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svanvianen/Documents/GitHub/stylescape/stylescape/res/"/>
    </mc:Choice>
  </mc:AlternateContent>
  <xr:revisionPtr revIDLastSave="0" documentId="13_ncr:1_{97F3CAB0-326B-1E4A-BC24-4DC1E8C6729B}" xr6:coauthVersionLast="47" xr6:coauthVersionMax="47" xr10:uidLastSave="{00000000-0000-0000-0000-000000000000}"/>
  <bookViews>
    <workbookView xWindow="0" yWindow="700" windowWidth="34560" windowHeight="20720" xr2:uid="{9AD68494-8C2D-2746-BBC3-2336E2C56BF9}"/>
  </bookViews>
  <sheets>
    <sheet name="stylescape" sheetId="1" r:id="rId1"/>
    <sheet name="primer" sheetId="11" r:id="rId2"/>
    <sheet name="primer clean" sheetId="12" r:id="rId3"/>
    <sheet name="daisy" sheetId="10" r:id="rId4"/>
    <sheet name="bulma" sheetId="7" r:id="rId5"/>
    <sheet name="bootstrap" sheetId="6" r:id="rId6"/>
    <sheet name="Sheet2" sheetId="8" r:id="rId7"/>
    <sheet name="tailwind" sheetId="9" r:id="rId8"/>
    <sheet name="word" sheetId="4" r:id="rId9"/>
    <sheet name="html_tags" sheetId="3" r:id="rId10"/>
    <sheet name="html_pseudo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29" i="1" l="1"/>
  <c r="F2629" i="1" s="1"/>
  <c r="K2629" i="1"/>
  <c r="Q2629" i="1"/>
  <c r="U2629" i="1"/>
  <c r="AH2629" i="1"/>
  <c r="AL2629" i="1"/>
  <c r="I2628" i="1"/>
  <c r="F2628" i="1" s="1"/>
  <c r="K2628" i="1"/>
  <c r="Q2628" i="1"/>
  <c r="U2628" i="1"/>
  <c r="AH2628" i="1"/>
  <c r="AL2628" i="1"/>
  <c r="I2630" i="1"/>
  <c r="F2630" i="1" s="1"/>
  <c r="K2630" i="1"/>
  <c r="Q2630" i="1"/>
  <c r="U2630" i="1"/>
  <c r="AH2630" i="1"/>
  <c r="AL2630" i="1"/>
  <c r="I2627" i="1"/>
  <c r="F2627" i="1" s="1"/>
  <c r="K2627" i="1"/>
  <c r="Q2627" i="1"/>
  <c r="U2627" i="1"/>
  <c r="AH2627" i="1"/>
  <c r="AL2627" i="1"/>
  <c r="I3187" i="1"/>
  <c r="F3187" i="1" s="1"/>
  <c r="K3187" i="1"/>
  <c r="Q3187" i="1"/>
  <c r="U3187" i="1"/>
  <c r="AH3187" i="1"/>
  <c r="AL3187" i="1"/>
  <c r="I3186" i="1"/>
  <c r="F3186" i="1" s="1"/>
  <c r="K3186" i="1"/>
  <c r="Q3186" i="1"/>
  <c r="U3186" i="1"/>
  <c r="AH3186" i="1"/>
  <c r="AL3186" i="1"/>
  <c r="I3180" i="1"/>
  <c r="F3180" i="1" s="1"/>
  <c r="K3180" i="1"/>
  <c r="Q3180" i="1"/>
  <c r="U3180" i="1"/>
  <c r="AH3180" i="1"/>
  <c r="AL3180" i="1"/>
  <c r="I3185" i="1"/>
  <c r="F3185" i="1" s="1"/>
  <c r="K3185" i="1"/>
  <c r="Q3185" i="1"/>
  <c r="U3185" i="1"/>
  <c r="AH3185" i="1"/>
  <c r="AL3185" i="1"/>
  <c r="I3179" i="1"/>
  <c r="F3179" i="1" s="1"/>
  <c r="K3179" i="1"/>
  <c r="Q3179" i="1"/>
  <c r="U3179" i="1"/>
  <c r="AH3179" i="1"/>
  <c r="AL3179" i="1"/>
  <c r="I3175" i="1"/>
  <c r="F3175" i="1" s="1"/>
  <c r="K3175" i="1"/>
  <c r="Q3175" i="1"/>
  <c r="U3175" i="1"/>
  <c r="AH3175" i="1"/>
  <c r="AL3175" i="1"/>
  <c r="I3173" i="1"/>
  <c r="F3173" i="1" s="1"/>
  <c r="K3173" i="1"/>
  <c r="Q3173" i="1"/>
  <c r="U3173" i="1"/>
  <c r="AH3173" i="1"/>
  <c r="AL3173" i="1"/>
  <c r="I3170" i="1"/>
  <c r="F3170" i="1" s="1"/>
  <c r="K3170" i="1"/>
  <c r="Q3170" i="1"/>
  <c r="U3170" i="1"/>
  <c r="AH3170" i="1"/>
  <c r="AL3170" i="1"/>
  <c r="I1518" i="1"/>
  <c r="F1518" i="1" s="1"/>
  <c r="K1518" i="1"/>
  <c r="Q1518" i="1"/>
  <c r="U1518" i="1"/>
  <c r="AH1518" i="1"/>
  <c r="AL1518" i="1"/>
  <c r="I1519" i="1"/>
  <c r="F1519" i="1" s="1"/>
  <c r="K1519" i="1"/>
  <c r="Q1519" i="1"/>
  <c r="U1519" i="1"/>
  <c r="AH1519" i="1"/>
  <c r="AL1519" i="1"/>
  <c r="I1520" i="1"/>
  <c r="F1520" i="1" s="1"/>
  <c r="K1520" i="1"/>
  <c r="Q1520" i="1"/>
  <c r="U1520" i="1"/>
  <c r="AH1520" i="1"/>
  <c r="AL1520" i="1"/>
  <c r="I1522" i="1"/>
  <c r="F1522" i="1" s="1"/>
  <c r="K1522" i="1"/>
  <c r="Q1522" i="1"/>
  <c r="U1522" i="1"/>
  <c r="AH1522" i="1"/>
  <c r="AL1522" i="1"/>
  <c r="I1523" i="1"/>
  <c r="F1523" i="1" s="1"/>
  <c r="K1523" i="1"/>
  <c r="Q1523" i="1"/>
  <c r="U1523" i="1"/>
  <c r="AH1523" i="1"/>
  <c r="AL1523" i="1"/>
  <c r="I1517" i="1"/>
  <c r="F1517" i="1" s="1"/>
  <c r="K1517" i="1"/>
  <c r="Q1517" i="1"/>
  <c r="U1517" i="1"/>
  <c r="AH1517" i="1"/>
  <c r="AL1517" i="1"/>
  <c r="I1515" i="1"/>
  <c r="F1515" i="1" s="1"/>
  <c r="K1515" i="1"/>
  <c r="Q1515" i="1"/>
  <c r="U1515" i="1"/>
  <c r="AH1515" i="1"/>
  <c r="AL1515" i="1"/>
  <c r="K3448" i="1"/>
  <c r="I66" i="1"/>
  <c r="F66" i="1" s="1"/>
  <c r="K66" i="1"/>
  <c r="Q66" i="1"/>
  <c r="U66" i="1"/>
  <c r="AH66" i="1"/>
  <c r="AL66" i="1"/>
  <c r="I51" i="1"/>
  <c r="F51" i="1" s="1"/>
  <c r="K51" i="1"/>
  <c r="Q51" i="1"/>
  <c r="U51" i="1"/>
  <c r="AH51" i="1"/>
  <c r="AL51" i="1"/>
  <c r="I1862" i="1"/>
  <c r="F1862" i="1" s="1"/>
  <c r="K1862" i="1"/>
  <c r="Q1862" i="1"/>
  <c r="U1862" i="1"/>
  <c r="AH1862" i="1"/>
  <c r="AL1862" i="1"/>
  <c r="I1861" i="1"/>
  <c r="F1861" i="1" s="1"/>
  <c r="K1861" i="1"/>
  <c r="Q1861" i="1"/>
  <c r="U1861" i="1"/>
  <c r="AH1861" i="1"/>
  <c r="AL1861" i="1"/>
  <c r="U298" i="1"/>
  <c r="U303" i="1"/>
  <c r="I305" i="1"/>
  <c r="F305" i="1" s="1"/>
  <c r="I307" i="1"/>
  <c r="F307" i="1" s="1"/>
  <c r="I312" i="1"/>
  <c r="F312" i="1" s="1"/>
  <c r="K305" i="1"/>
  <c r="K307" i="1"/>
  <c r="K312" i="1"/>
  <c r="Q305" i="1"/>
  <c r="Q307" i="1"/>
  <c r="Q312" i="1"/>
  <c r="U305" i="1"/>
  <c r="U307" i="1"/>
  <c r="U312" i="1"/>
  <c r="AH305" i="1"/>
  <c r="AH307" i="1"/>
  <c r="AH312" i="1"/>
  <c r="AL305" i="1"/>
  <c r="AL307" i="1"/>
  <c r="AL312" i="1"/>
  <c r="Q595" i="1"/>
  <c r="I216" i="1"/>
  <c r="F216" i="1" s="1"/>
  <c r="K216" i="1"/>
  <c r="Q216" i="1"/>
  <c r="U216" i="1"/>
  <c r="AH216" i="1"/>
  <c r="AL216" i="1"/>
  <c r="I196" i="1"/>
  <c r="F196" i="1" s="1"/>
  <c r="K196" i="1"/>
  <c r="Q196" i="1"/>
  <c r="U196" i="1"/>
  <c r="AH196" i="1"/>
  <c r="AL196" i="1"/>
  <c r="I188" i="1"/>
  <c r="F188" i="1" s="1"/>
  <c r="K188" i="1"/>
  <c r="Q188" i="1"/>
  <c r="U188" i="1"/>
  <c r="AH188" i="1"/>
  <c r="AL188" i="1"/>
  <c r="I182" i="1"/>
  <c r="F182" i="1" s="1"/>
  <c r="K182" i="1"/>
  <c r="Q182" i="1"/>
  <c r="U182" i="1"/>
  <c r="AH182" i="1"/>
  <c r="AL182" i="1"/>
  <c r="I181" i="1"/>
  <c r="F181" i="1" s="1"/>
  <c r="K181" i="1"/>
  <c r="Q181" i="1"/>
  <c r="U181" i="1"/>
  <c r="AH181" i="1"/>
  <c r="AL181" i="1"/>
  <c r="I187" i="1"/>
  <c r="F187" i="1" s="1"/>
  <c r="K187" i="1"/>
  <c r="Q187" i="1"/>
  <c r="U187" i="1"/>
  <c r="AH187" i="1"/>
  <c r="AL187" i="1"/>
  <c r="I178" i="1"/>
  <c r="F178" i="1" s="1"/>
  <c r="K178" i="1"/>
  <c r="Q178" i="1"/>
  <c r="U178" i="1"/>
  <c r="AH178" i="1"/>
  <c r="AL178" i="1"/>
  <c r="I179" i="1"/>
  <c r="F179" i="1" s="1"/>
  <c r="K179" i="1"/>
  <c r="Q179" i="1"/>
  <c r="U179" i="1"/>
  <c r="AH179" i="1"/>
  <c r="AL179" i="1"/>
  <c r="I180" i="1"/>
  <c r="F180" i="1" s="1"/>
  <c r="K180" i="1"/>
  <c r="Q180" i="1"/>
  <c r="U180" i="1"/>
  <c r="AH180" i="1"/>
  <c r="AL180" i="1"/>
  <c r="I614" i="1"/>
  <c r="F614" i="1" s="1"/>
  <c r="K614" i="1"/>
  <c r="Q614" i="1"/>
  <c r="U614" i="1"/>
  <c r="AH614" i="1"/>
  <c r="AL614" i="1"/>
  <c r="I625" i="1"/>
  <c r="F625" i="1" s="1"/>
  <c r="K625" i="1"/>
  <c r="Q625" i="1"/>
  <c r="U625" i="1"/>
  <c r="AH625" i="1"/>
  <c r="AL625" i="1"/>
  <c r="I620" i="1"/>
  <c r="F620" i="1" s="1"/>
  <c r="K620" i="1"/>
  <c r="Q620" i="1"/>
  <c r="U620" i="1"/>
  <c r="AH620" i="1"/>
  <c r="AL620" i="1"/>
  <c r="I617" i="1"/>
  <c r="F617" i="1" s="1"/>
  <c r="K617" i="1"/>
  <c r="Q617" i="1"/>
  <c r="U617" i="1"/>
  <c r="AH617" i="1"/>
  <c r="AL617" i="1"/>
  <c r="I613" i="1"/>
  <c r="F613" i="1" s="1"/>
  <c r="K613" i="1"/>
  <c r="Q613" i="1"/>
  <c r="U613" i="1"/>
  <c r="AH613" i="1"/>
  <c r="AL613" i="1"/>
  <c r="I362" i="1"/>
  <c r="F362" i="1" s="1"/>
  <c r="K362" i="1"/>
  <c r="Q362" i="1"/>
  <c r="U362" i="1"/>
  <c r="AH362" i="1"/>
  <c r="AL362" i="1"/>
  <c r="Q2327" i="1"/>
  <c r="Q2326" i="1"/>
  <c r="F2609" i="1"/>
  <c r="F2610" i="1"/>
  <c r="F3282" i="1"/>
  <c r="K2609" i="1"/>
  <c r="K2610" i="1"/>
  <c r="K3282" i="1"/>
  <c r="Q2609" i="1"/>
  <c r="Q2610" i="1"/>
  <c r="Q3282" i="1"/>
  <c r="U2609" i="1"/>
  <c r="U2610" i="1"/>
  <c r="U3282" i="1"/>
  <c r="AH2609" i="1"/>
  <c r="AH2610" i="1"/>
  <c r="AH3282" i="1"/>
  <c r="AL2609" i="1"/>
  <c r="AL2610" i="1"/>
  <c r="AL3282" i="1"/>
  <c r="I632" i="1"/>
  <c r="F632" i="1" s="1"/>
  <c r="I649" i="1"/>
  <c r="F649" i="1" s="1"/>
  <c r="I648" i="1"/>
  <c r="F648" i="1" s="1"/>
  <c r="I653" i="1"/>
  <c r="F653" i="1" s="1"/>
  <c r="I643" i="1"/>
  <c r="F643" i="1" s="1"/>
  <c r="I657" i="1"/>
  <c r="F657" i="1" s="1"/>
  <c r="I652" i="1"/>
  <c r="F652" i="1" s="1"/>
  <c r="I654" i="1"/>
  <c r="F654" i="1" s="1"/>
  <c r="I655" i="1"/>
  <c r="F655" i="1" s="1"/>
  <c r="I656" i="1"/>
  <c r="F656" i="1" s="1"/>
  <c r="I658" i="1"/>
  <c r="F658" i="1" s="1"/>
  <c r="K632" i="1"/>
  <c r="K649" i="1"/>
  <c r="K648" i="1"/>
  <c r="K653" i="1"/>
  <c r="K643" i="1"/>
  <c r="K657" i="1"/>
  <c r="K652" i="1"/>
  <c r="K654" i="1"/>
  <c r="K655" i="1"/>
  <c r="K656" i="1"/>
  <c r="K658" i="1"/>
  <c r="Q632" i="1"/>
  <c r="Q649" i="1"/>
  <c r="Q648" i="1"/>
  <c r="Q653" i="1"/>
  <c r="Q643" i="1"/>
  <c r="Q657" i="1"/>
  <c r="Q652" i="1"/>
  <c r="Q654" i="1"/>
  <c r="Q655" i="1"/>
  <c r="Q656" i="1"/>
  <c r="Q658" i="1"/>
  <c r="U632" i="1"/>
  <c r="U649" i="1"/>
  <c r="U648" i="1"/>
  <c r="U653" i="1"/>
  <c r="U643" i="1"/>
  <c r="U657" i="1"/>
  <c r="U652" i="1"/>
  <c r="U654" i="1"/>
  <c r="U655" i="1"/>
  <c r="U656" i="1"/>
  <c r="U658" i="1"/>
  <c r="AH632" i="1"/>
  <c r="AH649" i="1"/>
  <c r="AH648" i="1"/>
  <c r="AH653" i="1"/>
  <c r="AH643" i="1"/>
  <c r="AH657" i="1"/>
  <c r="AH652" i="1"/>
  <c r="AH654" i="1"/>
  <c r="AH655" i="1"/>
  <c r="AH656" i="1"/>
  <c r="AH658" i="1"/>
  <c r="AL632" i="1"/>
  <c r="AL649" i="1"/>
  <c r="AL648" i="1"/>
  <c r="AL653" i="1"/>
  <c r="AL643" i="1"/>
  <c r="AL657" i="1"/>
  <c r="AL652" i="1"/>
  <c r="AL654" i="1"/>
  <c r="AL655" i="1"/>
  <c r="AL656" i="1"/>
  <c r="AL658" i="1"/>
  <c r="I2029" i="1"/>
  <c r="F2029" i="1" s="1"/>
  <c r="I2030" i="1"/>
  <c r="F2030" i="1" s="1"/>
  <c r="I2031" i="1"/>
  <c r="F2031" i="1" s="1"/>
  <c r="I2032" i="1"/>
  <c r="F2032" i="1" s="1"/>
  <c r="I2033" i="1"/>
  <c r="F2033" i="1" s="1"/>
  <c r="K2029" i="1"/>
  <c r="K2030" i="1"/>
  <c r="K2031" i="1"/>
  <c r="K2032" i="1"/>
  <c r="K2033" i="1"/>
  <c r="Q2029" i="1"/>
  <c r="Q2030" i="1"/>
  <c r="Q2031" i="1"/>
  <c r="Q2032" i="1"/>
  <c r="Q2033" i="1"/>
  <c r="U2029" i="1"/>
  <c r="U2030" i="1"/>
  <c r="U2031" i="1"/>
  <c r="U2032" i="1"/>
  <c r="U2033" i="1"/>
  <c r="AH2029" i="1"/>
  <c r="AH2030" i="1"/>
  <c r="AH2031" i="1"/>
  <c r="AH2032" i="1"/>
  <c r="AH2033" i="1"/>
  <c r="AL2029" i="1"/>
  <c r="AL2030" i="1"/>
  <c r="AL2031" i="1"/>
  <c r="AL2032" i="1"/>
  <c r="AL2033" i="1"/>
  <c r="Q370" i="1"/>
  <c r="I326" i="1"/>
  <c r="F326" i="1" s="1"/>
  <c r="I327" i="1"/>
  <c r="F327" i="1" s="1"/>
  <c r="I328" i="1"/>
  <c r="F328" i="1" s="1"/>
  <c r="I370" i="1"/>
  <c r="F370" i="1" s="1"/>
  <c r="I352" i="1"/>
  <c r="F352" i="1" s="1"/>
  <c r="I329" i="1"/>
  <c r="F329" i="1" s="1"/>
  <c r="I330" i="1"/>
  <c r="F330" i="1" s="1"/>
  <c r="K326" i="1"/>
  <c r="K327" i="1"/>
  <c r="K328" i="1"/>
  <c r="K370" i="1"/>
  <c r="K352" i="1"/>
  <c r="K329" i="1"/>
  <c r="K330" i="1"/>
  <c r="Q326" i="1"/>
  <c r="Q327" i="1"/>
  <c r="Q328" i="1"/>
  <c r="Q352" i="1"/>
  <c r="Q329" i="1"/>
  <c r="Q330" i="1"/>
  <c r="U326" i="1"/>
  <c r="U327" i="1"/>
  <c r="U328" i="1"/>
  <c r="U370" i="1"/>
  <c r="U352" i="1"/>
  <c r="U329" i="1"/>
  <c r="U330" i="1"/>
  <c r="AH326" i="1"/>
  <c r="AH327" i="1"/>
  <c r="AH328" i="1"/>
  <c r="AH370" i="1"/>
  <c r="AH352" i="1"/>
  <c r="AH329" i="1"/>
  <c r="AH330" i="1"/>
  <c r="AL326" i="1"/>
  <c r="AL327" i="1"/>
  <c r="AL328" i="1"/>
  <c r="AL370" i="1"/>
  <c r="AL352" i="1"/>
  <c r="AL329" i="1"/>
  <c r="AL330" i="1"/>
  <c r="I186" i="1"/>
  <c r="F186" i="1" s="1"/>
  <c r="K186" i="1"/>
  <c r="Q186" i="1"/>
  <c r="U186" i="1"/>
  <c r="AH186" i="1"/>
  <c r="AL186" i="1"/>
  <c r="AH1038" i="1"/>
  <c r="I1489" i="1"/>
  <c r="F1489" i="1" s="1"/>
  <c r="I1490" i="1"/>
  <c r="F1490" i="1" s="1"/>
  <c r="I1491" i="1"/>
  <c r="F1491" i="1" s="1"/>
  <c r="I1250" i="1"/>
  <c r="F1250" i="1" s="1"/>
  <c r="I1251" i="1"/>
  <c r="F1251" i="1" s="1"/>
  <c r="I1282" i="1"/>
  <c r="F1282" i="1" s="1"/>
  <c r="I1283" i="1"/>
  <c r="F1283" i="1" s="1"/>
  <c r="I1281" i="1"/>
  <c r="F1281" i="1" s="1"/>
  <c r="I1488" i="1"/>
  <c r="F1488" i="1" s="1"/>
  <c r="I1252" i="1"/>
  <c r="F1252" i="1" s="1"/>
  <c r="I1253" i="1"/>
  <c r="F1253" i="1" s="1"/>
  <c r="I1254" i="1"/>
  <c r="F1254" i="1" s="1"/>
  <c r="I1255" i="1"/>
  <c r="F1255" i="1" s="1"/>
  <c r="I1256" i="1"/>
  <c r="F1256" i="1" s="1"/>
  <c r="I1257" i="1"/>
  <c r="F1257" i="1" s="1"/>
  <c r="I1258" i="1"/>
  <c r="F1258" i="1" s="1"/>
  <c r="I1259" i="1"/>
  <c r="F1259" i="1" s="1"/>
  <c r="I1260" i="1"/>
  <c r="F1260" i="1" s="1"/>
  <c r="I1261" i="1"/>
  <c r="F1261" i="1" s="1"/>
  <c r="I1264" i="1"/>
  <c r="F1264" i="1" s="1"/>
  <c r="I1270" i="1"/>
  <c r="F1270" i="1" s="1"/>
  <c r="I1275" i="1"/>
  <c r="F1275" i="1" s="1"/>
  <c r="I1276" i="1"/>
  <c r="F1276" i="1" s="1"/>
  <c r="I1277" i="1"/>
  <c r="F1277" i="1" s="1"/>
  <c r="I1278" i="1"/>
  <c r="F1278" i="1" s="1"/>
  <c r="K1489" i="1"/>
  <c r="K1490" i="1"/>
  <c r="K1491" i="1"/>
  <c r="K1250" i="1"/>
  <c r="K1251" i="1"/>
  <c r="K1282" i="1"/>
  <c r="K1283" i="1"/>
  <c r="K1281" i="1"/>
  <c r="K1488" i="1"/>
  <c r="K1252" i="1"/>
  <c r="K1253" i="1"/>
  <c r="K1254" i="1"/>
  <c r="K1255" i="1"/>
  <c r="K1256" i="1"/>
  <c r="K1257" i="1"/>
  <c r="K1258" i="1"/>
  <c r="K1259" i="1"/>
  <c r="K1260" i="1"/>
  <c r="K1261" i="1"/>
  <c r="K1264" i="1"/>
  <c r="K1270" i="1"/>
  <c r="K1275" i="1"/>
  <c r="K1276" i="1"/>
  <c r="K1277" i="1"/>
  <c r="K1278" i="1"/>
  <c r="Q1489" i="1"/>
  <c r="Q1490" i="1"/>
  <c r="Q1491" i="1"/>
  <c r="Q1250" i="1"/>
  <c r="Q1251" i="1"/>
  <c r="Q1282" i="1"/>
  <c r="Q1283" i="1"/>
  <c r="Q1281" i="1"/>
  <c r="Q1488" i="1"/>
  <c r="Q1252" i="1"/>
  <c r="Q1253" i="1"/>
  <c r="Q1254" i="1"/>
  <c r="Q1255" i="1"/>
  <c r="Q1256" i="1"/>
  <c r="Q1257" i="1"/>
  <c r="Q1258" i="1"/>
  <c r="Q1259" i="1"/>
  <c r="Q1260" i="1"/>
  <c r="Q1261" i="1"/>
  <c r="Q1264" i="1"/>
  <c r="Q1270" i="1"/>
  <c r="Q1275" i="1"/>
  <c r="Q1276" i="1"/>
  <c r="Q1277" i="1"/>
  <c r="Q1278" i="1"/>
  <c r="U1489" i="1"/>
  <c r="U1490" i="1"/>
  <c r="U1491" i="1"/>
  <c r="U1250" i="1"/>
  <c r="U1251" i="1"/>
  <c r="U1282" i="1"/>
  <c r="U1283" i="1"/>
  <c r="U1281" i="1"/>
  <c r="U1488" i="1"/>
  <c r="U1252" i="1"/>
  <c r="U1253" i="1"/>
  <c r="U1254" i="1"/>
  <c r="U1255" i="1"/>
  <c r="U1256" i="1"/>
  <c r="U1257" i="1"/>
  <c r="U1258" i="1"/>
  <c r="U1259" i="1"/>
  <c r="U1260" i="1"/>
  <c r="U1261" i="1"/>
  <c r="U1264" i="1"/>
  <c r="U1270" i="1"/>
  <c r="U1275" i="1"/>
  <c r="U1276" i="1"/>
  <c r="U1277" i="1"/>
  <c r="U1278" i="1"/>
  <c r="AH1489" i="1"/>
  <c r="AH1490" i="1"/>
  <c r="AH1491" i="1"/>
  <c r="AH1250" i="1"/>
  <c r="AH1251" i="1"/>
  <c r="AH1282" i="1"/>
  <c r="AH1283" i="1"/>
  <c r="AH1281" i="1"/>
  <c r="AH1488" i="1"/>
  <c r="AH1252" i="1"/>
  <c r="AH1253" i="1"/>
  <c r="AH1254" i="1"/>
  <c r="AH1255" i="1"/>
  <c r="AH1256" i="1"/>
  <c r="AH1257" i="1"/>
  <c r="AH1258" i="1"/>
  <c r="AH1259" i="1"/>
  <c r="AH1260" i="1"/>
  <c r="AH1261" i="1"/>
  <c r="AH1264" i="1"/>
  <c r="AH1270" i="1"/>
  <c r="AH1275" i="1"/>
  <c r="AH1276" i="1"/>
  <c r="AH1277" i="1"/>
  <c r="AH1278" i="1"/>
  <c r="AL1489" i="1"/>
  <c r="AL1490" i="1"/>
  <c r="AL1491" i="1"/>
  <c r="AL1250" i="1"/>
  <c r="AL1251" i="1"/>
  <c r="AL1282" i="1"/>
  <c r="AL1283" i="1"/>
  <c r="AL1281" i="1"/>
  <c r="AL1488" i="1"/>
  <c r="AL1252" i="1"/>
  <c r="AL1253" i="1"/>
  <c r="AL1254" i="1"/>
  <c r="AL1255" i="1"/>
  <c r="AL1256" i="1"/>
  <c r="AL1257" i="1"/>
  <c r="AL1258" i="1"/>
  <c r="AL1259" i="1"/>
  <c r="AL1260" i="1"/>
  <c r="AL1261" i="1"/>
  <c r="AL1264" i="1"/>
  <c r="AL1270" i="1"/>
  <c r="AL1275" i="1"/>
  <c r="AL1276" i="1"/>
  <c r="AL1277" i="1"/>
  <c r="AL1278" i="1"/>
  <c r="AH1129" i="1"/>
  <c r="AL2055" i="1"/>
  <c r="AH2055" i="1"/>
  <c r="K2507" i="1"/>
  <c r="J2507" i="1" s="1"/>
  <c r="I2507" i="1"/>
  <c r="F2507" i="1" s="1"/>
  <c r="I378" i="1"/>
  <c r="F378" i="1" s="1"/>
  <c r="K378" i="1"/>
  <c r="Q378" i="1"/>
  <c r="U378" i="1"/>
  <c r="AH378" i="1"/>
  <c r="AL378" i="1"/>
  <c r="I877" i="1"/>
  <c r="F877" i="1" s="1"/>
  <c r="I1019" i="1"/>
  <c r="F1019" i="1" s="1"/>
  <c r="K877" i="1"/>
  <c r="K1019" i="1"/>
  <c r="Q877" i="1"/>
  <c r="Q1019" i="1"/>
  <c r="U877" i="1"/>
  <c r="U1019" i="1"/>
  <c r="AH877" i="1"/>
  <c r="AH1019" i="1"/>
  <c r="AL877" i="1"/>
  <c r="AL1019" i="1"/>
  <c r="I1246" i="1"/>
  <c r="F1246" i="1" s="1"/>
  <c r="I1247" i="1"/>
  <c r="F1247" i="1" s="1"/>
  <c r="I1248" i="1"/>
  <c r="F1248" i="1" s="1"/>
  <c r="I1249" i="1"/>
  <c r="F1249" i="1" s="1"/>
  <c r="I1262" i="1"/>
  <c r="F1262" i="1" s="1"/>
  <c r="I1263" i="1"/>
  <c r="F1263" i="1" s="1"/>
  <c r="I1265" i="1"/>
  <c r="F1265" i="1" s="1"/>
  <c r="I1266" i="1"/>
  <c r="F1266" i="1" s="1"/>
  <c r="I1267" i="1"/>
  <c r="F1267" i="1" s="1"/>
  <c r="I1268" i="1"/>
  <c r="F1268" i="1" s="1"/>
  <c r="I1269" i="1"/>
  <c r="F1269" i="1" s="1"/>
  <c r="I1271" i="1"/>
  <c r="F1271" i="1" s="1"/>
  <c r="I1272" i="1"/>
  <c r="F1272" i="1" s="1"/>
  <c r="I1273" i="1"/>
  <c r="F1273" i="1" s="1"/>
  <c r="I1274" i="1"/>
  <c r="F1274" i="1" s="1"/>
  <c r="I1245" i="1"/>
  <c r="F1245" i="1" s="1"/>
  <c r="K1246" i="1"/>
  <c r="K1247" i="1"/>
  <c r="K1248" i="1"/>
  <c r="K1249" i="1"/>
  <c r="K1262" i="1"/>
  <c r="K1263" i="1"/>
  <c r="K1265" i="1"/>
  <c r="K1266" i="1"/>
  <c r="K1267" i="1"/>
  <c r="K1268" i="1"/>
  <c r="K1269" i="1"/>
  <c r="K1271" i="1"/>
  <c r="K1272" i="1"/>
  <c r="K1273" i="1"/>
  <c r="K1274" i="1"/>
  <c r="K1245" i="1"/>
  <c r="Q1246" i="1"/>
  <c r="Q1247" i="1"/>
  <c r="Q1248" i="1"/>
  <c r="Q1249" i="1"/>
  <c r="Q1262" i="1"/>
  <c r="Q1263" i="1"/>
  <c r="Q1265" i="1"/>
  <c r="Q1266" i="1"/>
  <c r="Q1267" i="1"/>
  <c r="Q1268" i="1"/>
  <c r="Q1269" i="1"/>
  <c r="Q1271" i="1"/>
  <c r="Q1272" i="1"/>
  <c r="Q1273" i="1"/>
  <c r="Q1274" i="1"/>
  <c r="Q1245" i="1"/>
  <c r="U1246" i="1"/>
  <c r="U1247" i="1"/>
  <c r="U1248" i="1"/>
  <c r="U1249" i="1"/>
  <c r="U1262" i="1"/>
  <c r="U1263" i="1"/>
  <c r="U1265" i="1"/>
  <c r="U1266" i="1"/>
  <c r="U1267" i="1"/>
  <c r="U1268" i="1"/>
  <c r="U1269" i="1"/>
  <c r="U1271" i="1"/>
  <c r="U1272" i="1"/>
  <c r="U1273" i="1"/>
  <c r="U1274" i="1"/>
  <c r="U1245" i="1"/>
  <c r="AH1246" i="1"/>
  <c r="AH1247" i="1"/>
  <c r="AH1248" i="1"/>
  <c r="AH1249" i="1"/>
  <c r="AH1262" i="1"/>
  <c r="AH1263" i="1"/>
  <c r="AH1265" i="1"/>
  <c r="AH1266" i="1"/>
  <c r="AH1267" i="1"/>
  <c r="AH1268" i="1"/>
  <c r="AH1269" i="1"/>
  <c r="AH1271" i="1"/>
  <c r="AH1272" i="1"/>
  <c r="AH1273" i="1"/>
  <c r="AH1274" i="1"/>
  <c r="AH1245" i="1"/>
  <c r="AL1246" i="1"/>
  <c r="AL1247" i="1"/>
  <c r="AL1248" i="1"/>
  <c r="AL1249" i="1"/>
  <c r="AL1262" i="1"/>
  <c r="AL1263" i="1"/>
  <c r="AL1265" i="1"/>
  <c r="AL1266" i="1"/>
  <c r="AL1267" i="1"/>
  <c r="AL1268" i="1"/>
  <c r="AL1269" i="1"/>
  <c r="AL1271" i="1"/>
  <c r="AL1272" i="1"/>
  <c r="AL1273" i="1"/>
  <c r="AL1274" i="1"/>
  <c r="AL1245" i="1"/>
  <c r="I898" i="1"/>
  <c r="F898" i="1" s="1"/>
  <c r="I899" i="1"/>
  <c r="F899" i="1" s="1"/>
  <c r="I900" i="1"/>
  <c r="F900" i="1" s="1"/>
  <c r="I901" i="1"/>
  <c r="F901" i="1" s="1"/>
  <c r="I902" i="1"/>
  <c r="F902" i="1" s="1"/>
  <c r="I903" i="1"/>
  <c r="F903" i="1" s="1"/>
  <c r="I904" i="1"/>
  <c r="F904" i="1" s="1"/>
  <c r="I905" i="1"/>
  <c r="F905" i="1" s="1"/>
  <c r="I906" i="1"/>
  <c r="F906" i="1" s="1"/>
  <c r="I907" i="1"/>
  <c r="F907" i="1" s="1"/>
  <c r="I908" i="1"/>
  <c r="F908" i="1" s="1"/>
  <c r="I909" i="1"/>
  <c r="F909" i="1" s="1"/>
  <c r="K898" i="1"/>
  <c r="K899" i="1"/>
  <c r="K900" i="1"/>
  <c r="K901" i="1"/>
  <c r="K902" i="1"/>
  <c r="K903" i="1"/>
  <c r="K904" i="1"/>
  <c r="K905" i="1"/>
  <c r="K906" i="1"/>
  <c r="K907" i="1"/>
  <c r="K908" i="1"/>
  <c r="K909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I863" i="1"/>
  <c r="F863" i="1" s="1"/>
  <c r="I864" i="1"/>
  <c r="F864" i="1" s="1"/>
  <c r="I865" i="1"/>
  <c r="F865" i="1" s="1"/>
  <c r="I866" i="1"/>
  <c r="F866" i="1" s="1"/>
  <c r="I867" i="1"/>
  <c r="F867" i="1" s="1"/>
  <c r="I868" i="1"/>
  <c r="F868" i="1" s="1"/>
  <c r="I869" i="1"/>
  <c r="F869" i="1" s="1"/>
  <c r="I870" i="1"/>
  <c r="F870" i="1" s="1"/>
  <c r="I871" i="1"/>
  <c r="F871" i="1" s="1"/>
  <c r="I872" i="1"/>
  <c r="F872" i="1" s="1"/>
  <c r="I873" i="1"/>
  <c r="F873" i="1" s="1"/>
  <c r="K863" i="1"/>
  <c r="K864" i="1"/>
  <c r="K865" i="1"/>
  <c r="K866" i="1"/>
  <c r="K867" i="1"/>
  <c r="K868" i="1"/>
  <c r="K869" i="1"/>
  <c r="K870" i="1"/>
  <c r="K871" i="1"/>
  <c r="K872" i="1"/>
  <c r="K873" i="1"/>
  <c r="Q863" i="1"/>
  <c r="Q864" i="1"/>
  <c r="Q865" i="1"/>
  <c r="Q866" i="1"/>
  <c r="Q867" i="1"/>
  <c r="Q868" i="1"/>
  <c r="Q869" i="1"/>
  <c r="Q870" i="1"/>
  <c r="Q871" i="1"/>
  <c r="Q872" i="1"/>
  <c r="Q873" i="1"/>
  <c r="U863" i="1"/>
  <c r="U864" i="1"/>
  <c r="U865" i="1"/>
  <c r="U866" i="1"/>
  <c r="U867" i="1"/>
  <c r="U868" i="1"/>
  <c r="U869" i="1"/>
  <c r="U870" i="1"/>
  <c r="U871" i="1"/>
  <c r="U872" i="1"/>
  <c r="U873" i="1"/>
  <c r="AH863" i="1"/>
  <c r="AH864" i="1"/>
  <c r="AH865" i="1"/>
  <c r="AH866" i="1"/>
  <c r="AH867" i="1"/>
  <c r="AH868" i="1"/>
  <c r="AH869" i="1"/>
  <c r="AH870" i="1"/>
  <c r="AH871" i="1"/>
  <c r="AH872" i="1"/>
  <c r="AH873" i="1"/>
  <c r="AL863" i="1"/>
  <c r="AL864" i="1"/>
  <c r="AL865" i="1"/>
  <c r="AL866" i="1"/>
  <c r="AL867" i="1"/>
  <c r="AL868" i="1"/>
  <c r="AL869" i="1"/>
  <c r="AL870" i="1"/>
  <c r="AL871" i="1"/>
  <c r="AL872" i="1"/>
  <c r="AL873" i="1"/>
  <c r="I1623" i="1"/>
  <c r="F1623" i="1" s="1"/>
  <c r="K1623" i="1"/>
  <c r="Q1623" i="1"/>
  <c r="U1623" i="1"/>
  <c r="AH1623" i="1"/>
  <c r="AL1623" i="1"/>
  <c r="I2101" i="1"/>
  <c r="F2101" i="1" s="1"/>
  <c r="I2119" i="1"/>
  <c r="F2119" i="1" s="1"/>
  <c r="K2101" i="1"/>
  <c r="K2119" i="1"/>
  <c r="Q2101" i="1"/>
  <c r="Q2119" i="1"/>
  <c r="U2101" i="1"/>
  <c r="U2119" i="1"/>
  <c r="AH2101" i="1"/>
  <c r="AH2119" i="1"/>
  <c r="AL2101" i="1"/>
  <c r="AL2119" i="1"/>
  <c r="K1502" i="1"/>
  <c r="K1501" i="1"/>
  <c r="I1502" i="1"/>
  <c r="F1502" i="1" s="1"/>
  <c r="Q1502" i="1"/>
  <c r="U1502" i="1"/>
  <c r="AH1502" i="1"/>
  <c r="AL1502" i="1"/>
  <c r="I1501" i="1"/>
  <c r="F1501" i="1" s="1"/>
  <c r="Q1501" i="1"/>
  <c r="U1501" i="1"/>
  <c r="AH1501" i="1"/>
  <c r="AL1501" i="1"/>
  <c r="AH1626" i="1"/>
  <c r="U143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61" i="1"/>
  <c r="U2442" i="1"/>
  <c r="U1607" i="1"/>
  <c r="U875" i="1"/>
  <c r="U839" i="1"/>
  <c r="U387" i="1"/>
  <c r="U385" i="1"/>
  <c r="U383" i="1"/>
  <c r="U379" i="1"/>
  <c r="U377" i="1"/>
  <c r="U376" i="1"/>
  <c r="U375" i="1"/>
  <c r="U374" i="1"/>
  <c r="U373" i="1"/>
  <c r="U372" i="1"/>
  <c r="U3176" i="1"/>
  <c r="U3174" i="1"/>
  <c r="U3172" i="1"/>
  <c r="U3171" i="1"/>
  <c r="U3169" i="1"/>
  <c r="U764" i="1"/>
  <c r="U747" i="1"/>
  <c r="U749" i="1"/>
  <c r="U2990" i="1"/>
  <c r="U2989" i="1"/>
  <c r="U2988" i="1"/>
  <c r="U2986" i="1"/>
  <c r="U2831" i="1"/>
  <c r="U2985" i="1"/>
  <c r="U1877" i="1"/>
  <c r="U1876" i="1"/>
  <c r="U1875" i="1"/>
  <c r="U1874" i="1"/>
  <c r="U1873" i="1"/>
  <c r="U1872" i="1"/>
  <c r="U1521" i="1"/>
  <c r="U1516" i="1"/>
  <c r="U1513" i="1"/>
  <c r="U1514" i="1"/>
  <c r="U1512" i="1"/>
  <c r="U3025" i="1"/>
  <c r="U3024" i="1"/>
  <c r="U3023" i="1"/>
  <c r="U3029" i="1"/>
  <c r="U3028" i="1"/>
  <c r="U3022" i="1"/>
  <c r="U3005" i="1"/>
  <c r="U3004" i="1"/>
  <c r="U2999" i="1"/>
  <c r="U3010" i="1"/>
  <c r="U2998" i="1"/>
  <c r="U3009" i="1"/>
  <c r="U1869" i="1"/>
  <c r="U1865" i="1"/>
  <c r="U1864" i="1"/>
  <c r="U1856" i="1"/>
  <c r="U1858" i="1"/>
  <c r="U1860" i="1"/>
  <c r="U1685" i="1"/>
  <c r="U1660" i="1"/>
  <c r="U1668" i="1"/>
  <c r="U1667" i="1"/>
  <c r="U1666" i="1"/>
  <c r="U1665" i="1"/>
  <c r="U1664" i="1"/>
  <c r="U1659" i="1"/>
  <c r="U2162" i="1"/>
  <c r="U2161" i="1"/>
  <c r="U1453" i="1"/>
  <c r="U1450" i="1"/>
  <c r="U1451" i="1"/>
  <c r="U1449" i="1"/>
  <c r="U1443" i="1"/>
  <c r="U1442" i="1"/>
  <c r="U1441" i="1"/>
  <c r="U413" i="1"/>
  <c r="U418" i="1"/>
  <c r="U371" i="1"/>
  <c r="U368" i="1"/>
  <c r="U369" i="1"/>
  <c r="U366" i="1"/>
  <c r="U363" i="1"/>
  <c r="U381" i="1"/>
  <c r="U359" i="1"/>
  <c r="U357" i="1"/>
  <c r="U388" i="1"/>
  <c r="U353" i="1"/>
  <c r="U351" i="1"/>
  <c r="U350" i="1"/>
  <c r="U348" i="1"/>
  <c r="U347" i="1"/>
  <c r="U754" i="1"/>
  <c r="U343" i="1"/>
  <c r="U342" i="1"/>
  <c r="U339" i="1"/>
  <c r="U310" i="1"/>
  <c r="U302" i="1"/>
  <c r="U309" i="1"/>
  <c r="U308" i="1"/>
  <c r="U299" i="1"/>
  <c r="U311" i="1"/>
  <c r="U306" i="1"/>
  <c r="U304" i="1"/>
  <c r="U3414" i="1"/>
  <c r="U3413" i="1"/>
  <c r="U3412" i="1"/>
  <c r="U46" i="1"/>
  <c r="U1609" i="1"/>
  <c r="U2106" i="1"/>
  <c r="U45" i="1"/>
  <c r="U44" i="1"/>
  <c r="U2728" i="1"/>
  <c r="U43" i="1"/>
  <c r="U3177" i="1"/>
  <c r="U2830" i="1"/>
  <c r="U2727" i="1"/>
  <c r="U42" i="1"/>
  <c r="U41" i="1"/>
  <c r="U2726" i="1"/>
  <c r="U2729" i="1"/>
  <c r="U2725" i="1"/>
  <c r="U40" i="1"/>
  <c r="U39" i="1"/>
  <c r="U38" i="1"/>
  <c r="U37" i="1"/>
  <c r="U490" i="1"/>
  <c r="U489" i="1"/>
  <c r="U36" i="1"/>
  <c r="U35" i="1"/>
  <c r="U34" i="1"/>
  <c r="U2219" i="1"/>
  <c r="U33" i="1"/>
  <c r="U32" i="1"/>
  <c r="U31" i="1"/>
  <c r="U30" i="1"/>
  <c r="U29" i="1"/>
  <c r="U488" i="1"/>
  <c r="U28" i="1"/>
  <c r="U27" i="1"/>
  <c r="U26" i="1"/>
  <c r="U1894" i="1"/>
  <c r="U25" i="1"/>
  <c r="U2105" i="1"/>
  <c r="U24" i="1"/>
  <c r="U1690" i="1"/>
  <c r="U1635" i="1"/>
  <c r="U1622" i="1"/>
  <c r="U23" i="1"/>
  <c r="U1589" i="1"/>
  <c r="U22" i="1"/>
  <c r="U528" i="1"/>
  <c r="U21" i="1"/>
  <c r="U20" i="1"/>
  <c r="U874" i="1"/>
  <c r="U1600" i="1"/>
  <c r="U19" i="1"/>
  <c r="U18" i="1"/>
  <c r="U2497" i="1"/>
  <c r="U17" i="1"/>
  <c r="U1279" i="1"/>
  <c r="U16" i="1"/>
  <c r="U15" i="1"/>
  <c r="U2104" i="1"/>
  <c r="U2103" i="1"/>
  <c r="U14" i="1"/>
  <c r="U13" i="1"/>
  <c r="U12" i="1"/>
  <c r="U11" i="1"/>
  <c r="U2102" i="1"/>
  <c r="U894" i="1"/>
  <c r="U10" i="1"/>
  <c r="U2724" i="1"/>
  <c r="U2723" i="1"/>
  <c r="U9" i="1"/>
  <c r="U222" i="1"/>
  <c r="U8" i="1"/>
  <c r="U7" i="1"/>
  <c r="U6" i="1"/>
  <c r="U5" i="1"/>
  <c r="U4" i="1"/>
  <c r="U3" i="1"/>
  <c r="U1914" i="1"/>
  <c r="U1601" i="1"/>
  <c r="U3197" i="1"/>
  <c r="U3196" i="1"/>
  <c r="U3195" i="1"/>
  <c r="U3192" i="1"/>
  <c r="U3178" i="1"/>
  <c r="U127" i="1"/>
  <c r="U126" i="1"/>
  <c r="U125" i="1"/>
  <c r="U124" i="1"/>
  <c r="U123" i="1"/>
  <c r="U122" i="1"/>
  <c r="U121" i="1"/>
  <c r="U118" i="1"/>
  <c r="U115" i="1"/>
  <c r="U114" i="1"/>
  <c r="U113" i="1"/>
  <c r="U112" i="1"/>
  <c r="U110" i="1"/>
  <c r="U109" i="1"/>
  <c r="U176" i="1"/>
  <c r="U2327" i="1"/>
  <c r="U2326" i="1"/>
  <c r="U107" i="1"/>
  <c r="U105" i="1"/>
  <c r="U104" i="1"/>
  <c r="U103" i="1"/>
  <c r="U102" i="1"/>
  <c r="U101" i="1"/>
  <c r="U100" i="1"/>
  <c r="U99" i="1"/>
  <c r="U98" i="1"/>
  <c r="U97" i="1"/>
  <c r="U95" i="1"/>
  <c r="U94" i="1"/>
  <c r="U93" i="1"/>
  <c r="U92" i="1"/>
  <c r="U91" i="1"/>
  <c r="U90" i="1"/>
  <c r="U89" i="1"/>
  <c r="U88" i="1"/>
  <c r="U86" i="1"/>
  <c r="U85" i="1"/>
  <c r="U84" i="1"/>
  <c r="U83" i="1"/>
  <c r="U82" i="1"/>
  <c r="U81" i="1"/>
  <c r="U80" i="1"/>
  <c r="U79" i="1"/>
  <c r="U78" i="1"/>
  <c r="U1471" i="1"/>
  <c r="U75" i="1"/>
  <c r="U67" i="1"/>
  <c r="U64" i="1"/>
  <c r="U62" i="1"/>
  <c r="U61" i="1"/>
  <c r="U60" i="1"/>
  <c r="U59" i="1"/>
  <c r="U58" i="1"/>
  <c r="U57" i="1"/>
  <c r="U56" i="1"/>
  <c r="U55" i="1"/>
  <c r="U53" i="1"/>
  <c r="U48" i="1"/>
  <c r="U47" i="1"/>
  <c r="U54" i="1"/>
  <c r="U65" i="1"/>
  <c r="U77" i="1"/>
  <c r="U96" i="1"/>
  <c r="U106" i="1"/>
  <c r="U1605" i="1"/>
  <c r="U1691" i="1"/>
  <c r="U117" i="1"/>
  <c r="U119" i="1"/>
  <c r="U129" i="1"/>
  <c r="U3193" i="1"/>
  <c r="U73" i="1"/>
  <c r="U116" i="1"/>
  <c r="U108" i="1"/>
  <c r="U74" i="1"/>
  <c r="U63" i="1"/>
  <c r="U52" i="1"/>
  <c r="U49" i="1"/>
  <c r="U50" i="1"/>
  <c r="U3194" i="1"/>
  <c r="U68" i="1"/>
  <c r="U87" i="1"/>
  <c r="U69" i="1"/>
  <c r="U76" i="1"/>
  <c r="U70" i="1"/>
  <c r="U111" i="1"/>
  <c r="U120" i="1"/>
  <c r="U71" i="1"/>
  <c r="U128" i="1"/>
  <c r="U72" i="1"/>
  <c r="U716" i="1"/>
  <c r="U341" i="1"/>
  <c r="U719" i="1"/>
  <c r="U720" i="1"/>
  <c r="U721" i="1"/>
  <c r="U723" i="1"/>
  <c r="U726" i="1"/>
  <c r="U727" i="1"/>
  <c r="U131" i="1"/>
  <c r="U132" i="1"/>
  <c r="U133" i="1"/>
  <c r="U134" i="1"/>
  <c r="U135" i="1"/>
  <c r="U137" i="1"/>
  <c r="U139" i="1"/>
  <c r="U142" i="1"/>
  <c r="U144" i="1"/>
  <c r="U145" i="1"/>
  <c r="U148" i="1"/>
  <c r="U156" i="1"/>
  <c r="U157" i="1"/>
  <c r="U158" i="1"/>
  <c r="U159" i="1"/>
  <c r="U160" i="1"/>
  <c r="U161" i="1"/>
  <c r="U162" i="1"/>
  <c r="U163" i="1"/>
  <c r="U164" i="1"/>
  <c r="U165" i="1"/>
  <c r="U166" i="1"/>
  <c r="U171" i="1"/>
  <c r="U168" i="1"/>
  <c r="U167" i="1"/>
  <c r="U170" i="1"/>
  <c r="U173" i="1"/>
  <c r="U172" i="1"/>
  <c r="U169" i="1"/>
  <c r="U174" i="1"/>
  <c r="U151" i="1"/>
  <c r="U152" i="1"/>
  <c r="U153" i="1"/>
  <c r="U154" i="1"/>
  <c r="U155" i="1"/>
  <c r="U189" i="1"/>
  <c r="U212" i="1"/>
  <c r="U191" i="1"/>
  <c r="U340" i="1"/>
  <c r="U195" i="1"/>
  <c r="U193" i="1"/>
  <c r="U197" i="1"/>
  <c r="U199" i="1"/>
  <c r="U204" i="1"/>
  <c r="U208" i="1"/>
  <c r="U210" i="1"/>
  <c r="U215" i="1"/>
  <c r="U192" i="1"/>
  <c r="U221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51" i="1"/>
  <c r="U253" i="1"/>
  <c r="U250" i="1"/>
  <c r="U252" i="1"/>
  <c r="U249" i="1"/>
  <c r="U248" i="1"/>
  <c r="U247" i="1"/>
  <c r="U246" i="1"/>
  <c r="U245" i="1"/>
  <c r="U244" i="1"/>
  <c r="U243" i="1"/>
  <c r="U242" i="1"/>
  <c r="U255" i="1"/>
  <c r="U256" i="1"/>
  <c r="U257" i="1"/>
  <c r="U258" i="1"/>
  <c r="U259" i="1"/>
  <c r="U260" i="1"/>
  <c r="U261" i="1"/>
  <c r="U262" i="1"/>
  <c r="U263" i="1"/>
  <c r="U264" i="1"/>
  <c r="U239" i="1"/>
  <c r="U266" i="1"/>
  <c r="U267" i="1"/>
  <c r="U268" i="1"/>
  <c r="U270" i="1"/>
  <c r="U269" i="1"/>
  <c r="U271" i="1"/>
  <c r="U272" i="1"/>
  <c r="U273" i="1"/>
  <c r="U274" i="1"/>
  <c r="U275" i="1"/>
  <c r="U276" i="1"/>
  <c r="U277" i="1"/>
  <c r="U240" i="1"/>
  <c r="U278" i="1"/>
  <c r="U279" i="1"/>
  <c r="U280" i="1"/>
  <c r="U281" i="1"/>
  <c r="U282" i="1"/>
  <c r="U241" i="1"/>
  <c r="U283" i="1"/>
  <c r="U284" i="1"/>
  <c r="U285" i="1"/>
  <c r="U286" i="1"/>
  <c r="U287" i="1"/>
  <c r="U254" i="1"/>
  <c r="U288" i="1"/>
  <c r="U760" i="1"/>
  <c r="U290" i="1"/>
  <c r="U291" i="1"/>
  <c r="U294" i="1"/>
  <c r="U293" i="1"/>
  <c r="U292" i="1"/>
  <c r="U295" i="1"/>
  <c r="U296" i="1"/>
  <c r="U297" i="1"/>
  <c r="U300" i="1"/>
  <c r="U301" i="1"/>
  <c r="U338" i="1"/>
  <c r="U337" i="1"/>
  <c r="U336" i="1"/>
  <c r="U335" i="1"/>
  <c r="U334" i="1"/>
  <c r="U313" i="1"/>
  <c r="U325" i="1"/>
  <c r="U324" i="1"/>
  <c r="U323" i="1"/>
  <c r="U322" i="1"/>
  <c r="U321" i="1"/>
  <c r="U320" i="1"/>
  <c r="U319" i="1"/>
  <c r="U318" i="1"/>
  <c r="U317" i="1"/>
  <c r="U316" i="1"/>
  <c r="U331" i="1"/>
  <c r="U332" i="1"/>
  <c r="U717" i="1"/>
  <c r="U393" i="1"/>
  <c r="U395" i="1"/>
  <c r="U394" i="1"/>
  <c r="U392" i="1"/>
  <c r="U405" i="1"/>
  <c r="U421" i="1"/>
  <c r="U419" i="1"/>
  <c r="U404" i="1"/>
  <c r="U403" i="1"/>
  <c r="U402" i="1"/>
  <c r="U401" i="1"/>
  <c r="U428" i="1"/>
  <c r="U427" i="1"/>
  <c r="U400" i="1"/>
  <c r="U399" i="1"/>
  <c r="U398" i="1"/>
  <c r="U411" i="1"/>
  <c r="U414" i="1"/>
  <c r="U415" i="1"/>
  <c r="U416" i="1"/>
  <c r="U407" i="1"/>
  <c r="U408" i="1"/>
  <c r="U409" i="1"/>
  <c r="U417" i="1"/>
  <c r="U412" i="1"/>
  <c r="U424" i="1"/>
  <c r="U420" i="1"/>
  <c r="U422" i="1"/>
  <c r="U426" i="1"/>
  <c r="U429" i="1"/>
  <c r="U430" i="1"/>
  <c r="U431" i="1"/>
  <c r="U432" i="1"/>
  <c r="U435" i="1"/>
  <c r="U436" i="1"/>
  <c r="U437" i="1"/>
  <c r="U438" i="1"/>
  <c r="U439" i="1"/>
  <c r="U440" i="1"/>
  <c r="U441" i="1"/>
  <c r="U443" i="1"/>
  <c r="U444" i="1"/>
  <c r="U452" i="1"/>
  <c r="U451" i="1"/>
  <c r="U450" i="1"/>
  <c r="U449" i="1"/>
  <c r="U453" i="1"/>
  <c r="U456" i="1"/>
  <c r="U458" i="1"/>
  <c r="U455" i="1"/>
  <c r="U457" i="1"/>
  <c r="U461" i="1"/>
  <c r="U460" i="1"/>
  <c r="U462" i="1"/>
  <c r="U463" i="1"/>
  <c r="U464" i="1"/>
  <c r="U466" i="1"/>
  <c r="U465" i="1"/>
  <c r="U469" i="1"/>
  <c r="U468" i="1"/>
  <c r="U487" i="1"/>
  <c r="U472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582" i="1"/>
  <c r="U565" i="1"/>
  <c r="U555" i="1"/>
  <c r="U498" i="1"/>
  <c r="U526" i="1"/>
  <c r="U525" i="1"/>
  <c r="U524" i="1"/>
  <c r="U491" i="1"/>
  <c r="U492" i="1"/>
  <c r="U493" i="1"/>
  <c r="U494" i="1"/>
  <c r="U495" i="1"/>
  <c r="U496" i="1"/>
  <c r="U497" i="1"/>
  <c r="U500" i="1"/>
  <c r="U499" i="1"/>
  <c r="U501" i="1"/>
  <c r="U502" i="1"/>
  <c r="U507" i="1"/>
  <c r="U506" i="1"/>
  <c r="U505" i="1"/>
  <c r="U504" i="1"/>
  <c r="U503" i="1"/>
  <c r="U511" i="1"/>
  <c r="U508" i="1"/>
  <c r="U509" i="1"/>
  <c r="U510" i="1"/>
  <c r="U512" i="1"/>
  <c r="U520" i="1"/>
  <c r="U519" i="1"/>
  <c r="U518" i="1"/>
  <c r="U517" i="1"/>
  <c r="U516" i="1"/>
  <c r="U515" i="1"/>
  <c r="U521" i="1"/>
  <c r="U514" i="1"/>
  <c r="U523" i="1"/>
  <c r="U513" i="1"/>
  <c r="U522" i="1"/>
  <c r="U530" i="1"/>
  <c r="U531" i="1"/>
  <c r="U532" i="1"/>
  <c r="U533" i="1"/>
  <c r="U535" i="1"/>
  <c r="U536" i="1"/>
  <c r="U539" i="1"/>
  <c r="U540" i="1"/>
  <c r="U541" i="1"/>
  <c r="U542" i="1"/>
  <c r="U543" i="1"/>
  <c r="U545" i="1"/>
  <c r="U548" i="1"/>
  <c r="U550" i="1"/>
  <c r="U552" i="1"/>
  <c r="U554" i="1"/>
  <c r="U563" i="1"/>
  <c r="U562" i="1"/>
  <c r="U561" i="1"/>
  <c r="U560" i="1"/>
  <c r="U559" i="1"/>
  <c r="U558" i="1"/>
  <c r="U556" i="1"/>
  <c r="U553" i="1"/>
  <c r="U557" i="1"/>
  <c r="U564" i="1"/>
  <c r="U566" i="1"/>
  <c r="U567" i="1"/>
  <c r="U568" i="1"/>
  <c r="U570" i="1"/>
  <c r="U569" i="1"/>
  <c r="U571" i="1"/>
  <c r="U576" i="1"/>
  <c r="U575" i="1"/>
  <c r="U574" i="1"/>
  <c r="U573" i="1"/>
  <c r="U572" i="1"/>
  <c r="U577" i="1"/>
  <c r="U578" i="1"/>
  <c r="U579" i="1"/>
  <c r="U580" i="1"/>
  <c r="U581" i="1"/>
  <c r="U585" i="1"/>
  <c r="U584" i="1"/>
  <c r="U598" i="1"/>
  <c r="U597" i="1"/>
  <c r="U596" i="1"/>
  <c r="U595" i="1"/>
  <c r="U594" i="1"/>
  <c r="U593" i="1"/>
  <c r="U592" i="1"/>
  <c r="U590" i="1"/>
  <c r="U589" i="1"/>
  <c r="U588" i="1"/>
  <c r="U587" i="1"/>
  <c r="U586" i="1"/>
  <c r="U591" i="1"/>
  <c r="U602" i="1"/>
  <c r="U601" i="1"/>
  <c r="U600" i="1"/>
  <c r="U605" i="1"/>
  <c r="U604" i="1"/>
  <c r="U603" i="1"/>
  <c r="U583" i="1"/>
  <c r="U599" i="1"/>
  <c r="U626" i="1"/>
  <c r="U627" i="1"/>
  <c r="U628" i="1"/>
  <c r="U629" i="1"/>
  <c r="U630" i="1"/>
  <c r="U631" i="1"/>
  <c r="U731" i="1"/>
  <c r="U728" i="1"/>
  <c r="U725" i="1"/>
  <c r="U718" i="1"/>
  <c r="U729" i="1"/>
  <c r="U663" i="1"/>
  <c r="U667" i="1"/>
  <c r="U666" i="1"/>
  <c r="U665" i="1"/>
  <c r="U664" i="1"/>
  <c r="U668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96" i="1"/>
  <c r="U697" i="1"/>
  <c r="U702" i="1"/>
  <c r="U703" i="1"/>
  <c r="U704" i="1"/>
  <c r="U705" i="1"/>
  <c r="U706" i="1"/>
  <c r="U707" i="1"/>
  <c r="U708" i="1"/>
  <c r="U762" i="1"/>
  <c r="U710" i="1"/>
  <c r="U711" i="1"/>
  <c r="U712" i="1"/>
  <c r="U713" i="1"/>
  <c r="U740" i="1"/>
  <c r="U739" i="1"/>
  <c r="U738" i="1"/>
  <c r="U737" i="1"/>
  <c r="U736" i="1"/>
  <c r="U735" i="1"/>
  <c r="U734" i="1"/>
  <c r="U733" i="1"/>
  <c r="U732" i="1"/>
  <c r="U742" i="1"/>
  <c r="U746" i="1"/>
  <c r="U748" i="1"/>
  <c r="U751" i="1"/>
  <c r="U759" i="1"/>
  <c r="U761" i="1"/>
  <c r="U3272" i="1"/>
  <c r="U3275" i="1"/>
  <c r="U149" i="1"/>
  <c r="U2467" i="1"/>
  <c r="U3160" i="1"/>
  <c r="U3159" i="1"/>
  <c r="U792" i="1"/>
  <c r="U791" i="1"/>
  <c r="U790" i="1"/>
  <c r="U789" i="1"/>
  <c r="U788" i="1"/>
  <c r="U787" i="1"/>
  <c r="U786" i="1"/>
  <c r="U785" i="1"/>
  <c r="U784" i="1"/>
  <c r="U783" i="1"/>
  <c r="U793" i="1"/>
  <c r="U794" i="1"/>
  <c r="U795" i="1"/>
  <c r="U796" i="1"/>
  <c r="U800" i="1"/>
  <c r="U799" i="1"/>
  <c r="U804" i="1"/>
  <c r="U836" i="1"/>
  <c r="U828" i="1"/>
  <c r="U831" i="1"/>
  <c r="U835" i="1"/>
  <c r="U827" i="1"/>
  <c r="U821" i="1"/>
  <c r="U834" i="1"/>
  <c r="U826" i="1"/>
  <c r="U833" i="1"/>
  <c r="U825" i="1"/>
  <c r="U823" i="1"/>
  <c r="U820" i="1"/>
  <c r="U819" i="1"/>
  <c r="U818" i="1"/>
  <c r="U817" i="1"/>
  <c r="U816" i="1"/>
  <c r="U815" i="1"/>
  <c r="U814" i="1"/>
  <c r="U813" i="1"/>
  <c r="U812" i="1"/>
  <c r="U811" i="1"/>
  <c r="U822" i="1"/>
  <c r="U824" i="1"/>
  <c r="U830" i="1"/>
  <c r="U832" i="1"/>
  <c r="U829" i="1"/>
  <c r="U809" i="1"/>
  <c r="U808" i="1"/>
  <c r="U807" i="1"/>
  <c r="U806" i="1"/>
  <c r="U841" i="1"/>
  <c r="U837" i="1"/>
  <c r="U840" i="1"/>
  <c r="U845" i="1"/>
  <c r="U846" i="1"/>
  <c r="U848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87" i="1"/>
  <c r="U888" i="1"/>
  <c r="U889" i="1"/>
  <c r="U893" i="1"/>
  <c r="U895" i="1"/>
  <c r="U896" i="1"/>
  <c r="U897" i="1"/>
  <c r="U921" i="1"/>
  <c r="U925" i="1"/>
  <c r="U930" i="1"/>
  <c r="U926" i="1"/>
  <c r="U927" i="1"/>
  <c r="U928" i="1"/>
  <c r="U929" i="1"/>
  <c r="U931" i="1"/>
  <c r="U946" i="1"/>
  <c r="U947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52" i="1"/>
  <c r="U948" i="1"/>
  <c r="U949" i="1"/>
  <c r="U967" i="1"/>
  <c r="U964" i="1"/>
  <c r="U987" i="1"/>
  <c r="U989" i="1"/>
  <c r="U988" i="1"/>
  <c r="U999" i="1"/>
  <c r="U998" i="1"/>
  <c r="U997" i="1"/>
  <c r="U996" i="1"/>
  <c r="U995" i="1"/>
  <c r="U994" i="1"/>
  <c r="U992" i="1"/>
  <c r="U990" i="1"/>
  <c r="U991" i="1"/>
  <c r="U1000" i="1"/>
  <c r="U993" i="1"/>
  <c r="U1004" i="1"/>
  <c r="U1002" i="1"/>
  <c r="U1003" i="1"/>
  <c r="U1018" i="1"/>
  <c r="U1020" i="1"/>
  <c r="U1033" i="1"/>
  <c r="U1048" i="1"/>
  <c r="U1046" i="1"/>
  <c r="U1047" i="1"/>
  <c r="U1038" i="1"/>
  <c r="U1056" i="1"/>
  <c r="U1059" i="1"/>
  <c r="U1060" i="1"/>
  <c r="U1058" i="1"/>
  <c r="U1062" i="1"/>
  <c r="U1061" i="1"/>
  <c r="U1063" i="1"/>
  <c r="U1064" i="1"/>
  <c r="U1078" i="1"/>
  <c r="U1082" i="1"/>
  <c r="U1081" i="1"/>
  <c r="U1083" i="1"/>
  <c r="U1084" i="1"/>
  <c r="U1085" i="1"/>
  <c r="U1086" i="1"/>
  <c r="U1087" i="1"/>
  <c r="U1089" i="1"/>
  <c r="U1088" i="1"/>
  <c r="U1090" i="1"/>
  <c r="U1092" i="1"/>
  <c r="U1091" i="1"/>
  <c r="U1094" i="1"/>
  <c r="U1093" i="1"/>
  <c r="U1095" i="1"/>
  <c r="U1097" i="1"/>
  <c r="U1096" i="1"/>
  <c r="U1098" i="1"/>
  <c r="U1099" i="1"/>
  <c r="U1100" i="1"/>
  <c r="U1102" i="1"/>
  <c r="U1101" i="1"/>
  <c r="U1103" i="1"/>
  <c r="U1106" i="1"/>
  <c r="U1107" i="1"/>
  <c r="U1108" i="1"/>
  <c r="U1110" i="1"/>
  <c r="U1109" i="1"/>
  <c r="U1111" i="1"/>
  <c r="U1112" i="1"/>
  <c r="U1104" i="1"/>
  <c r="U1105" i="1"/>
  <c r="U1113" i="1"/>
  <c r="U1114" i="1"/>
  <c r="U1115" i="1"/>
  <c r="U1116" i="1"/>
  <c r="U1117" i="1"/>
  <c r="U1118" i="1"/>
  <c r="U1120" i="1"/>
  <c r="U1119" i="1"/>
  <c r="U1126" i="1"/>
  <c r="U1125" i="1"/>
  <c r="U1124" i="1"/>
  <c r="U1123" i="1"/>
  <c r="U1122" i="1"/>
  <c r="U1129" i="1"/>
  <c r="U1127" i="1"/>
  <c r="U1130" i="1"/>
  <c r="U1131" i="1"/>
  <c r="U1132" i="1"/>
  <c r="U1577" i="1"/>
  <c r="U1569" i="1"/>
  <c r="U1568" i="1"/>
  <c r="U1567" i="1"/>
  <c r="U1566" i="1"/>
  <c r="U1565" i="1"/>
  <c r="U1564" i="1"/>
  <c r="U1573" i="1"/>
  <c r="U1572" i="1"/>
  <c r="U1576" i="1"/>
  <c r="U1578" i="1"/>
  <c r="U1571" i="1"/>
  <c r="U1570" i="1"/>
  <c r="U1581" i="1"/>
  <c r="U1580" i="1"/>
  <c r="U1582" i="1"/>
  <c r="U1151" i="1"/>
  <c r="U1150" i="1"/>
  <c r="U1142" i="1"/>
  <c r="U1141" i="1"/>
  <c r="U1154" i="1"/>
  <c r="U1153" i="1"/>
  <c r="U1152" i="1"/>
  <c r="U1149" i="1"/>
  <c r="U1148" i="1"/>
  <c r="U1147" i="1"/>
  <c r="U1146" i="1"/>
  <c r="U1145" i="1"/>
  <c r="U1144" i="1"/>
  <c r="U1143" i="1"/>
  <c r="U1140" i="1"/>
  <c r="U1139" i="1"/>
  <c r="U1138" i="1"/>
  <c r="U1137" i="1"/>
  <c r="U1136" i="1"/>
  <c r="U1135" i="1"/>
  <c r="U1156" i="1"/>
  <c r="U1155" i="1"/>
  <c r="U1159" i="1"/>
  <c r="U1160" i="1"/>
  <c r="U2464" i="1"/>
  <c r="U1157" i="1"/>
  <c r="U1158" i="1"/>
  <c r="U1163" i="1"/>
  <c r="U1162" i="1"/>
  <c r="U1164" i="1"/>
  <c r="U1165" i="1"/>
  <c r="U1172" i="1"/>
  <c r="U1171" i="1"/>
  <c r="U1170" i="1"/>
  <c r="U1169" i="1"/>
  <c r="U1168" i="1"/>
  <c r="U1167" i="1"/>
  <c r="U1166" i="1"/>
  <c r="U1176" i="1"/>
  <c r="U1180" i="1"/>
  <c r="U1182" i="1"/>
  <c r="U1184" i="1"/>
  <c r="U1186" i="1"/>
  <c r="U1188" i="1"/>
  <c r="U1190" i="1"/>
  <c r="U1192" i="1"/>
  <c r="U1194" i="1"/>
  <c r="U1195" i="1"/>
  <c r="U1196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223" i="1"/>
  <c r="U1178" i="1"/>
  <c r="U1177" i="1"/>
  <c r="U1174" i="1"/>
  <c r="U1193" i="1"/>
  <c r="U1191" i="1"/>
  <c r="U1189" i="1"/>
  <c r="U1187" i="1"/>
  <c r="U1185" i="1"/>
  <c r="U1183" i="1"/>
  <c r="U1181" i="1"/>
  <c r="U1179" i="1"/>
  <c r="U1175" i="1"/>
  <c r="U1173" i="1"/>
  <c r="U1224" i="1"/>
  <c r="U1225" i="1"/>
  <c r="U1227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86" i="1"/>
  <c r="U1285" i="1"/>
  <c r="U1280" i="1"/>
  <c r="U1287" i="1"/>
  <c r="U1284" i="1"/>
  <c r="U1288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331" i="1"/>
  <c r="U1359" i="1"/>
  <c r="U1364" i="1"/>
  <c r="U1363" i="1"/>
  <c r="U1362" i="1"/>
  <c r="U1361" i="1"/>
  <c r="U1360" i="1"/>
  <c r="U1318" i="1"/>
  <c r="U1317" i="1"/>
  <c r="U1316" i="1"/>
  <c r="U1321" i="1"/>
  <c r="U1320" i="1"/>
  <c r="U1319" i="1"/>
  <c r="U1324" i="1"/>
  <c r="U1323" i="1"/>
  <c r="U1322" i="1"/>
  <c r="U1327" i="1"/>
  <c r="U1326" i="1"/>
  <c r="U1325" i="1"/>
  <c r="U1330" i="1"/>
  <c r="U1329" i="1"/>
  <c r="U1328" i="1"/>
  <c r="U1365" i="1"/>
  <c r="U1366" i="1"/>
  <c r="U1367" i="1"/>
  <c r="U1368" i="1"/>
  <c r="U1369" i="1"/>
  <c r="U1370" i="1"/>
  <c r="U1334" i="1"/>
  <c r="U1333" i="1"/>
  <c r="U1332" i="1"/>
  <c r="U1337" i="1"/>
  <c r="U1336" i="1"/>
  <c r="U1335" i="1"/>
  <c r="U1340" i="1"/>
  <c r="U1339" i="1"/>
  <c r="U1338" i="1"/>
  <c r="U1343" i="1"/>
  <c r="U1342" i="1"/>
  <c r="U1341" i="1"/>
  <c r="U1346" i="1"/>
  <c r="U1345" i="1"/>
  <c r="U1344" i="1"/>
  <c r="U1371" i="1"/>
  <c r="U1349" i="1"/>
  <c r="U1348" i="1"/>
  <c r="U1347" i="1"/>
  <c r="U1352" i="1"/>
  <c r="U1351" i="1"/>
  <c r="U1350" i="1"/>
  <c r="U1355" i="1"/>
  <c r="U1354" i="1"/>
  <c r="U1353" i="1"/>
  <c r="U1358" i="1"/>
  <c r="U1357" i="1"/>
  <c r="U1356" i="1"/>
  <c r="U1373" i="1"/>
  <c r="U1372" i="1"/>
  <c r="U1375" i="1"/>
  <c r="U1374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89" i="1"/>
  <c r="U1390" i="1"/>
  <c r="U1391" i="1"/>
  <c r="U1392" i="1"/>
  <c r="U1393" i="1"/>
  <c r="U1394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416" i="1"/>
  <c r="U1415" i="1"/>
  <c r="U1418" i="1"/>
  <c r="U1417" i="1"/>
  <c r="U1420" i="1"/>
  <c r="U1419" i="1"/>
  <c r="U1422" i="1"/>
  <c r="U1421" i="1"/>
  <c r="U1428" i="1"/>
  <c r="U1427" i="1"/>
  <c r="U1426" i="1"/>
  <c r="U1425" i="1"/>
  <c r="U1424" i="1"/>
  <c r="U1423" i="1"/>
  <c r="U1434" i="1"/>
  <c r="U1433" i="1"/>
  <c r="U1432" i="1"/>
  <c r="U1431" i="1"/>
  <c r="U1430" i="1"/>
  <c r="U1429" i="1"/>
  <c r="U1435" i="1"/>
  <c r="U1444" i="1"/>
  <c r="U1452" i="1"/>
  <c r="U1448" i="1"/>
  <c r="U1447" i="1"/>
  <c r="U1440" i="1"/>
  <c r="U1445" i="1"/>
  <c r="U1446" i="1"/>
  <c r="U1455" i="1"/>
  <c r="U1454" i="1"/>
  <c r="U1456" i="1"/>
  <c r="U1457" i="1"/>
  <c r="U1458" i="1"/>
  <c r="U1459" i="1"/>
  <c r="U2462" i="1"/>
  <c r="U1461" i="1"/>
  <c r="U1470" i="1"/>
  <c r="U1472" i="1"/>
  <c r="U1473" i="1"/>
  <c r="U1479" i="1"/>
  <c r="U1476" i="1"/>
  <c r="U1474" i="1"/>
  <c r="U1475" i="1"/>
  <c r="U1477" i="1"/>
  <c r="U1478" i="1"/>
  <c r="U1480" i="1"/>
  <c r="U1481" i="1"/>
  <c r="U1499" i="1"/>
  <c r="U1497" i="1"/>
  <c r="U1498" i="1"/>
  <c r="U1492" i="1"/>
  <c r="U1494" i="1"/>
  <c r="U1495" i="1"/>
  <c r="U1496" i="1"/>
  <c r="U1500" i="1"/>
  <c r="U1503" i="1"/>
  <c r="U1504" i="1"/>
  <c r="U1505" i="1"/>
  <c r="U1511" i="1"/>
  <c r="U1510" i="1"/>
  <c r="U1509" i="1"/>
  <c r="U1508" i="1"/>
  <c r="U1507" i="1"/>
  <c r="U1506" i="1"/>
  <c r="U1525" i="1"/>
  <c r="U1524" i="1"/>
  <c r="U646" i="1"/>
  <c r="U650" i="1"/>
  <c r="U637" i="1"/>
  <c r="U633" i="1"/>
  <c r="U634" i="1"/>
  <c r="U635" i="1"/>
  <c r="U636" i="1"/>
  <c r="U640" i="1"/>
  <c r="U639" i="1"/>
  <c r="U641" i="1"/>
  <c r="U642" i="1"/>
  <c r="U644" i="1"/>
  <c r="U645" i="1"/>
  <c r="U638" i="1"/>
  <c r="U647" i="1"/>
  <c r="U651" i="1"/>
  <c r="U1526" i="1"/>
  <c r="U1527" i="1"/>
  <c r="U1531" i="1"/>
  <c r="U1530" i="1"/>
  <c r="U1529" i="1"/>
  <c r="U1528" i="1"/>
  <c r="U1532" i="1"/>
  <c r="U1538" i="1"/>
  <c r="U1534" i="1"/>
  <c r="U1533" i="1"/>
  <c r="U1536" i="1"/>
  <c r="U1535" i="1"/>
  <c r="U1537" i="1"/>
  <c r="U2993" i="1"/>
  <c r="U1560" i="1"/>
  <c r="U1579" i="1"/>
  <c r="U1563" i="1"/>
  <c r="U1574" i="1"/>
  <c r="U1562" i="1"/>
  <c r="U1585" i="1"/>
  <c r="U1584" i="1"/>
  <c r="U1583" i="1"/>
  <c r="U1587" i="1"/>
  <c r="U1586" i="1"/>
  <c r="U1598" i="1"/>
  <c r="U1597" i="1"/>
  <c r="U1596" i="1"/>
  <c r="U1595" i="1"/>
  <c r="U1594" i="1"/>
  <c r="U1593" i="1"/>
  <c r="U1592" i="1"/>
  <c r="U1604" i="1"/>
  <c r="U1591" i="1"/>
  <c r="U1590" i="1"/>
  <c r="U1588" i="1"/>
  <c r="U1603" i="1"/>
  <c r="U1602" i="1"/>
  <c r="U1599" i="1"/>
  <c r="U1610" i="1"/>
  <c r="U1608" i="1"/>
  <c r="U1606" i="1"/>
  <c r="U1611" i="1"/>
  <c r="U1615" i="1"/>
  <c r="U1616" i="1"/>
  <c r="U1559" i="1"/>
  <c r="U1558" i="1"/>
  <c r="U1617" i="1"/>
  <c r="U1658" i="1"/>
  <c r="U1657" i="1"/>
  <c r="U1656" i="1"/>
  <c r="U1655" i="1"/>
  <c r="U1654" i="1"/>
  <c r="U1653" i="1"/>
  <c r="U1652" i="1"/>
  <c r="U1651" i="1"/>
  <c r="U1650" i="1"/>
  <c r="U1649" i="1"/>
  <c r="U1661" i="1"/>
  <c r="U1670" i="1"/>
  <c r="U1671" i="1"/>
  <c r="U1673" i="1"/>
  <c r="U1678" i="1"/>
  <c r="U1677" i="1"/>
  <c r="U1676" i="1"/>
  <c r="U1675" i="1"/>
  <c r="U1674" i="1"/>
  <c r="U1679" i="1"/>
  <c r="U1681" i="1"/>
  <c r="U1663" i="1"/>
  <c r="U1669" i="1"/>
  <c r="U1686" i="1"/>
  <c r="U1687" i="1"/>
  <c r="U1688" i="1"/>
  <c r="U1683" i="1"/>
  <c r="U1689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561" i="1"/>
  <c r="U1575" i="1"/>
  <c r="U1728" i="1"/>
  <c r="U1727" i="1"/>
  <c r="U1729" i="1"/>
  <c r="U1730" i="1"/>
  <c r="U1731" i="1"/>
  <c r="U1744" i="1"/>
  <c r="U1777" i="1"/>
  <c r="U1778" i="1"/>
  <c r="U1784" i="1"/>
  <c r="U1779" i="1"/>
  <c r="U1781" i="1"/>
  <c r="U1780" i="1"/>
  <c r="U1782" i="1"/>
  <c r="U1783" i="1"/>
  <c r="U1799" i="1"/>
  <c r="U1797" i="1"/>
  <c r="U1795" i="1"/>
  <c r="U1794" i="1"/>
  <c r="U1792" i="1"/>
  <c r="U1785" i="1"/>
  <c r="U1788" i="1"/>
  <c r="U1790" i="1"/>
  <c r="U1793" i="1"/>
  <c r="U1786" i="1"/>
  <c r="U1787" i="1"/>
  <c r="U1796" i="1"/>
  <c r="U1798" i="1"/>
  <c r="U1789" i="1"/>
  <c r="U1791" i="1"/>
  <c r="U1800" i="1"/>
  <c r="U1808" i="1"/>
  <c r="U1807" i="1"/>
  <c r="U1806" i="1"/>
  <c r="U1805" i="1"/>
  <c r="U1804" i="1"/>
  <c r="U1803" i="1"/>
  <c r="U1802" i="1"/>
  <c r="U1801" i="1"/>
  <c r="U1809" i="1"/>
  <c r="U1810" i="1"/>
  <c r="U1811" i="1"/>
  <c r="U1812" i="1"/>
  <c r="U1827" i="1"/>
  <c r="U1825" i="1"/>
  <c r="U1821" i="1"/>
  <c r="U1820" i="1"/>
  <c r="U1819" i="1"/>
  <c r="U1818" i="1"/>
  <c r="U1817" i="1"/>
  <c r="U1816" i="1"/>
  <c r="U1815" i="1"/>
  <c r="U1814" i="1"/>
  <c r="U1828" i="1"/>
  <c r="U1826" i="1"/>
  <c r="U1824" i="1"/>
  <c r="U1823" i="1"/>
  <c r="U1822" i="1"/>
  <c r="U1813" i="1"/>
  <c r="U1833" i="1"/>
  <c r="U1832" i="1"/>
  <c r="U1831" i="1"/>
  <c r="U1830" i="1"/>
  <c r="U1829" i="1"/>
  <c r="U1834" i="1"/>
  <c r="U1835" i="1"/>
  <c r="U1836" i="1"/>
  <c r="U1837" i="1"/>
  <c r="U1841" i="1"/>
  <c r="U1838" i="1"/>
  <c r="U1839" i="1"/>
  <c r="U1840" i="1"/>
  <c r="U2992" i="1"/>
  <c r="U1848" i="1"/>
  <c r="U1847" i="1"/>
  <c r="U1846" i="1"/>
  <c r="U1845" i="1"/>
  <c r="U1844" i="1"/>
  <c r="U1843" i="1"/>
  <c r="U1850" i="1"/>
  <c r="U1851" i="1"/>
  <c r="U1849" i="1"/>
  <c r="U1857" i="1"/>
  <c r="U1859" i="1"/>
  <c r="U1863" i="1"/>
  <c r="U1853" i="1"/>
  <c r="U1854" i="1"/>
  <c r="U1868" i="1"/>
  <c r="U1866" i="1"/>
  <c r="U1870" i="1"/>
  <c r="U1888" i="1"/>
  <c r="U1887" i="1"/>
  <c r="U1886" i="1"/>
  <c r="U1892" i="1"/>
  <c r="U1885" i="1"/>
  <c r="U1884" i="1"/>
  <c r="U2163" i="1"/>
  <c r="U1883" i="1"/>
  <c r="U1882" i="1"/>
  <c r="U1893" i="1"/>
  <c r="U1881" i="1"/>
  <c r="U1880" i="1"/>
  <c r="U1879" i="1"/>
  <c r="U1878" i="1"/>
  <c r="U1895" i="1"/>
  <c r="U1896" i="1"/>
  <c r="U1897" i="1"/>
  <c r="U1898" i="1"/>
  <c r="U1899" i="1"/>
  <c r="U1900" i="1"/>
  <c r="U1903" i="1"/>
  <c r="U1902" i="1"/>
  <c r="U1901" i="1"/>
  <c r="U1906" i="1"/>
  <c r="U1905" i="1"/>
  <c r="U1904" i="1"/>
  <c r="U1907" i="1"/>
  <c r="U1908" i="1"/>
  <c r="U1909" i="1"/>
  <c r="U1910" i="1"/>
  <c r="U1911" i="1"/>
  <c r="U1912" i="1"/>
  <c r="U1913" i="1"/>
  <c r="U1915" i="1"/>
  <c r="U1916" i="1"/>
  <c r="U1917" i="1"/>
  <c r="U1919" i="1"/>
  <c r="U1918" i="1"/>
  <c r="U1920" i="1"/>
  <c r="U1922" i="1"/>
  <c r="U1921" i="1"/>
  <c r="U1926" i="1"/>
  <c r="U1929" i="1"/>
  <c r="U1928" i="1"/>
  <c r="U1927" i="1"/>
  <c r="U1937" i="1"/>
  <c r="U1925" i="1"/>
  <c r="U1924" i="1"/>
  <c r="U1932" i="1"/>
  <c r="U1933" i="1"/>
  <c r="U1935" i="1"/>
  <c r="U1940" i="1"/>
  <c r="U1942" i="1"/>
  <c r="U1944" i="1"/>
  <c r="U1934" i="1"/>
  <c r="U1938" i="1"/>
  <c r="U1936" i="1"/>
  <c r="U1939" i="1"/>
  <c r="U1941" i="1"/>
  <c r="U1943" i="1"/>
  <c r="U1945" i="1"/>
  <c r="U1930" i="1"/>
  <c r="U1931" i="1"/>
  <c r="U1946" i="1"/>
  <c r="U1947" i="1"/>
  <c r="U1948" i="1"/>
  <c r="U1949" i="1"/>
  <c r="U1950" i="1"/>
  <c r="U1951" i="1"/>
  <c r="U1953" i="1"/>
  <c r="U1952" i="1"/>
  <c r="U1955" i="1"/>
  <c r="U1954" i="1"/>
  <c r="U1956" i="1"/>
  <c r="U1957" i="1"/>
  <c r="U1958" i="1"/>
  <c r="U1959" i="1"/>
  <c r="U1960" i="1"/>
  <c r="U1961" i="1"/>
  <c r="U1962" i="1"/>
  <c r="U1963" i="1"/>
  <c r="U2301" i="1"/>
  <c r="U1964" i="1"/>
  <c r="U1970" i="1"/>
  <c r="U1969" i="1"/>
  <c r="U1968" i="1"/>
  <c r="U1967" i="1"/>
  <c r="U1966" i="1"/>
  <c r="U1973" i="1"/>
  <c r="U1971" i="1"/>
  <c r="U1972" i="1"/>
  <c r="U1975" i="1"/>
  <c r="U1974" i="1"/>
  <c r="U1976" i="1"/>
  <c r="U1978" i="1"/>
  <c r="U1979" i="1"/>
  <c r="U1977" i="1"/>
  <c r="U1980" i="1"/>
  <c r="U1981" i="1"/>
  <c r="U1982" i="1"/>
  <c r="U1983" i="1"/>
  <c r="U1984" i="1"/>
  <c r="U1985" i="1"/>
  <c r="U1986" i="1"/>
  <c r="U1987" i="1"/>
  <c r="U1988" i="1"/>
  <c r="U1991" i="1"/>
  <c r="U1990" i="1"/>
  <c r="U1989" i="1"/>
  <c r="U1993" i="1"/>
  <c r="U1992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2" i="1"/>
  <c r="U2011" i="1"/>
  <c r="U2014" i="1"/>
  <c r="U2013" i="1"/>
  <c r="U2015" i="1"/>
  <c r="U2016" i="1"/>
  <c r="U2017" i="1"/>
  <c r="U2018" i="1"/>
  <c r="U2019" i="1"/>
  <c r="U2021" i="1"/>
  <c r="U2020" i="1"/>
  <c r="U2022" i="1"/>
  <c r="U2023" i="1"/>
  <c r="U2025" i="1"/>
  <c r="U2026" i="1"/>
  <c r="U2024" i="1"/>
  <c r="U2027" i="1"/>
  <c r="U2028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5" i="1"/>
  <c r="U2056" i="1"/>
  <c r="U2057" i="1"/>
  <c r="U2058" i="1"/>
  <c r="U2059" i="1"/>
  <c r="U2060" i="1"/>
  <c r="U2061" i="1"/>
  <c r="U2062" i="1"/>
  <c r="U2063" i="1"/>
  <c r="U2064" i="1"/>
  <c r="U2054" i="1"/>
  <c r="U2053" i="1"/>
  <c r="U2065" i="1"/>
  <c r="U2066" i="1"/>
  <c r="U2067" i="1"/>
  <c r="U2068" i="1"/>
  <c r="U2069" i="1"/>
  <c r="U2072" i="1"/>
  <c r="U2100" i="1"/>
  <c r="U2144" i="1"/>
  <c r="U2099" i="1"/>
  <c r="U2098" i="1"/>
  <c r="U2097" i="1"/>
  <c r="U2096" i="1"/>
  <c r="U2095" i="1"/>
  <c r="U2094" i="1"/>
  <c r="U2093" i="1"/>
  <c r="U2143" i="1"/>
  <c r="U2092" i="1"/>
  <c r="U2091" i="1"/>
  <c r="U2142" i="1"/>
  <c r="U2090" i="1"/>
  <c r="U2140" i="1"/>
  <c r="U2139" i="1"/>
  <c r="U2089" i="1"/>
  <c r="U2088" i="1"/>
  <c r="U2087" i="1"/>
  <c r="U2157" i="1"/>
  <c r="U2131" i="1"/>
  <c r="U2130" i="1"/>
  <c r="U2129" i="1"/>
  <c r="U2126" i="1"/>
  <c r="U2125" i="1"/>
  <c r="U2124" i="1"/>
  <c r="U2141" i="1"/>
  <c r="U2128" i="1"/>
  <c r="U2127" i="1"/>
  <c r="U2137" i="1"/>
  <c r="U2136" i="1"/>
  <c r="U2135" i="1"/>
  <c r="U2134" i="1"/>
  <c r="U2133" i="1"/>
  <c r="U2156" i="1"/>
  <c r="U2155" i="1"/>
  <c r="U2154" i="1"/>
  <c r="U2153" i="1"/>
  <c r="U2152" i="1"/>
  <c r="U2150" i="1"/>
  <c r="U2149" i="1"/>
  <c r="U2148" i="1"/>
  <c r="U2147" i="1"/>
  <c r="U2146" i="1"/>
  <c r="U2086" i="1"/>
  <c r="U2085" i="1"/>
  <c r="U2145" i="1"/>
  <c r="U2084" i="1"/>
  <c r="U2083" i="1"/>
  <c r="U2082" i="1"/>
  <c r="U2081" i="1"/>
  <c r="U2080" i="1"/>
  <c r="U2107" i="1"/>
  <c r="U2109" i="1"/>
  <c r="U2110" i="1"/>
  <c r="U2111" i="1"/>
  <c r="U2112" i="1"/>
  <c r="U2113" i="1"/>
  <c r="U2122" i="1"/>
  <c r="U2108" i="1"/>
  <c r="U2117" i="1"/>
  <c r="U2076" i="1"/>
  <c r="U2075" i="1"/>
  <c r="U2073" i="1"/>
  <c r="U2074" i="1"/>
  <c r="U2114" i="1"/>
  <c r="U2115" i="1"/>
  <c r="U2116" i="1"/>
  <c r="U2118" i="1"/>
  <c r="U2121" i="1"/>
  <c r="U2120" i="1"/>
  <c r="U2151" i="1"/>
  <c r="U2123" i="1"/>
  <c r="U2138" i="1"/>
  <c r="U2132" i="1"/>
  <c r="U2158" i="1"/>
  <c r="U2159" i="1"/>
  <c r="U2160" i="1"/>
  <c r="U2164" i="1"/>
  <c r="U2166" i="1"/>
  <c r="U2167" i="1"/>
  <c r="U2168" i="1"/>
  <c r="U2169" i="1"/>
  <c r="U2165" i="1"/>
  <c r="U2170" i="1"/>
  <c r="U2171" i="1"/>
  <c r="U2172" i="1"/>
  <c r="U2173" i="1"/>
  <c r="U2174" i="1"/>
  <c r="U2188" i="1"/>
  <c r="U2189" i="1"/>
  <c r="U2202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98" i="1"/>
  <c r="U2197" i="1"/>
  <c r="U2196" i="1"/>
  <c r="U2195" i="1"/>
  <c r="U2194" i="1"/>
  <c r="U2193" i="1"/>
  <c r="U2199" i="1"/>
  <c r="U2200" i="1"/>
  <c r="U2201" i="1"/>
  <c r="U2190" i="1"/>
  <c r="U2191" i="1"/>
  <c r="U2192" i="1"/>
  <c r="U2203" i="1"/>
  <c r="U2204" i="1"/>
  <c r="U2205" i="1"/>
  <c r="U2206" i="1"/>
  <c r="U2207" i="1"/>
  <c r="U2208" i="1"/>
  <c r="U2209" i="1"/>
  <c r="U2210" i="1"/>
  <c r="U2211" i="1"/>
  <c r="U2214" i="1"/>
  <c r="U2216" i="1"/>
  <c r="U2215" i="1"/>
  <c r="U2217" i="1"/>
  <c r="U2218" i="1"/>
  <c r="U2222" i="1"/>
  <c r="U2220" i="1"/>
  <c r="U2221" i="1"/>
  <c r="U2223" i="1"/>
  <c r="U2224" i="1"/>
  <c r="U2225" i="1"/>
  <c r="U2226" i="1"/>
  <c r="U2227" i="1"/>
  <c r="U2228" i="1"/>
  <c r="U2229" i="1"/>
  <c r="U1923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62" i="1"/>
  <c r="U2230" i="1"/>
  <c r="U2263" i="1"/>
  <c r="U2259" i="1"/>
  <c r="U2258" i="1"/>
  <c r="U2257" i="1"/>
  <c r="U2256" i="1"/>
  <c r="U2261" i="1"/>
  <c r="U2255" i="1"/>
  <c r="U2254" i="1"/>
  <c r="U2253" i="1"/>
  <c r="U2252" i="1"/>
  <c r="U2251" i="1"/>
  <c r="U2260" i="1"/>
  <c r="U2250" i="1"/>
  <c r="U2264" i="1"/>
  <c r="U2265" i="1"/>
  <c r="U2266" i="1"/>
  <c r="U2267" i="1"/>
  <c r="U2268" i="1"/>
  <c r="U2984" i="1"/>
  <c r="U2983" i="1"/>
  <c r="U2271" i="1"/>
  <c r="U2272" i="1"/>
  <c r="U2273" i="1"/>
  <c r="U2274" i="1"/>
  <c r="U2275" i="1"/>
  <c r="U2276" i="1"/>
  <c r="U2277" i="1"/>
  <c r="U2278" i="1"/>
  <c r="U2293" i="1"/>
  <c r="U2282" i="1"/>
  <c r="U2283" i="1"/>
  <c r="U2284" i="1"/>
  <c r="U2285" i="1"/>
  <c r="U2286" i="1"/>
  <c r="U2287" i="1"/>
  <c r="U2288" i="1"/>
  <c r="U2289" i="1"/>
  <c r="U2290" i="1"/>
  <c r="U2291" i="1"/>
  <c r="U2279" i="1"/>
  <c r="U2292" i="1"/>
  <c r="U2281" i="1"/>
  <c r="U2280" i="1"/>
  <c r="U2294" i="1"/>
  <c r="U2295" i="1"/>
  <c r="U2296" i="1"/>
  <c r="U2297" i="1"/>
  <c r="U2298" i="1"/>
  <c r="U2299" i="1"/>
  <c r="U2300" i="1"/>
  <c r="U1889" i="1"/>
  <c r="U1890" i="1"/>
  <c r="U1965" i="1"/>
  <c r="U2302" i="1"/>
  <c r="U2303" i="1"/>
  <c r="U2304" i="1"/>
  <c r="U2305" i="1"/>
  <c r="U2071" i="1"/>
  <c r="U2070" i="1"/>
  <c r="U1891" i="1"/>
  <c r="U2213" i="1"/>
  <c r="U2212" i="1"/>
  <c r="U2316" i="1"/>
  <c r="U2315" i="1"/>
  <c r="U2314" i="1"/>
  <c r="U2313" i="1"/>
  <c r="U2312" i="1"/>
  <c r="U2311" i="1"/>
  <c r="U2310" i="1"/>
  <c r="U2309" i="1"/>
  <c r="U2308" i="1"/>
  <c r="U2307" i="1"/>
  <c r="U2306" i="1"/>
  <c r="U2317" i="1"/>
  <c r="U2318" i="1"/>
  <c r="U2319" i="1"/>
  <c r="U2320" i="1"/>
  <c r="U2321" i="1"/>
  <c r="U2322" i="1"/>
  <c r="U2323" i="1"/>
  <c r="U2324" i="1"/>
  <c r="U2325" i="1"/>
  <c r="U2332" i="1"/>
  <c r="U2331" i="1"/>
  <c r="U2330" i="1"/>
  <c r="U2329" i="1"/>
  <c r="U2328" i="1"/>
  <c r="U2333" i="1"/>
  <c r="U2336" i="1"/>
  <c r="U2339" i="1"/>
  <c r="U2334" i="1"/>
  <c r="U2335" i="1"/>
  <c r="U2337" i="1"/>
  <c r="U2338" i="1"/>
  <c r="U2341" i="1"/>
  <c r="U2340" i="1"/>
  <c r="U2346" i="1"/>
  <c r="U2342" i="1"/>
  <c r="U2343" i="1"/>
  <c r="U2344" i="1"/>
  <c r="U2345" i="1"/>
  <c r="U2356" i="1"/>
  <c r="U2355" i="1"/>
  <c r="U2354" i="1"/>
  <c r="U2353" i="1"/>
  <c r="U2352" i="1"/>
  <c r="U2351" i="1"/>
  <c r="U2350" i="1"/>
  <c r="U2349" i="1"/>
  <c r="U2348" i="1"/>
  <c r="U2347" i="1"/>
  <c r="U2365" i="1"/>
  <c r="U2364" i="1"/>
  <c r="U2363" i="1"/>
  <c r="U2362" i="1"/>
  <c r="U2361" i="1"/>
  <c r="U2360" i="1"/>
  <c r="U2359" i="1"/>
  <c r="U2358" i="1"/>
  <c r="U2357" i="1"/>
  <c r="U2368" i="1"/>
  <c r="U2367" i="1"/>
  <c r="U2366" i="1"/>
  <c r="U2370" i="1"/>
  <c r="U2369" i="1"/>
  <c r="U2991" i="1"/>
  <c r="U2375" i="1"/>
  <c r="U2374" i="1"/>
  <c r="U2380" i="1"/>
  <c r="U2373" i="1"/>
  <c r="U2383" i="1"/>
  <c r="U2384" i="1"/>
  <c r="U2387" i="1"/>
  <c r="U2388" i="1"/>
  <c r="U2389" i="1"/>
  <c r="U2391" i="1"/>
  <c r="U2392" i="1"/>
  <c r="U2393" i="1"/>
  <c r="U2397" i="1"/>
  <c r="U2396" i="1"/>
  <c r="U2394" i="1"/>
  <c r="U2398" i="1"/>
  <c r="U2395" i="1"/>
  <c r="U344" i="1"/>
  <c r="U2405" i="1"/>
  <c r="U2404" i="1"/>
  <c r="U2403" i="1"/>
  <c r="U2402" i="1"/>
  <c r="U2401" i="1"/>
  <c r="U2400" i="1"/>
  <c r="U2416" i="1"/>
  <c r="U2415" i="1"/>
  <c r="U2414" i="1"/>
  <c r="U2413" i="1"/>
  <c r="U2412" i="1"/>
  <c r="U2411" i="1"/>
  <c r="U2410" i="1"/>
  <c r="U2409" i="1"/>
  <c r="U2408" i="1"/>
  <c r="U2407" i="1"/>
  <c r="U2448" i="1"/>
  <c r="U2449" i="1"/>
  <c r="U2455" i="1"/>
  <c r="U2454" i="1"/>
  <c r="U2453" i="1"/>
  <c r="U2452" i="1"/>
  <c r="U2451" i="1"/>
  <c r="U2450" i="1"/>
  <c r="U2457" i="1"/>
  <c r="U2456" i="1"/>
  <c r="U2460" i="1"/>
  <c r="U2468" i="1"/>
  <c r="U2469" i="1"/>
  <c r="U2463" i="1"/>
  <c r="U2465" i="1"/>
  <c r="U2466" i="1"/>
  <c r="U289" i="1"/>
  <c r="U709" i="1"/>
  <c r="U1161" i="1"/>
  <c r="U1460" i="1"/>
  <c r="U2474" i="1"/>
  <c r="U2473" i="1"/>
  <c r="U2472" i="1"/>
  <c r="U2475" i="1"/>
  <c r="U2476" i="1"/>
  <c r="U2479" i="1"/>
  <c r="U2478" i="1"/>
  <c r="U2441" i="1"/>
  <c r="U2444" i="1"/>
  <c r="U2480" i="1"/>
  <c r="U2447" i="1"/>
  <c r="U2446" i="1"/>
  <c r="U2459" i="1"/>
  <c r="U2458" i="1"/>
  <c r="U2477" i="1"/>
  <c r="U1539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98" i="1"/>
  <c r="U2505" i="1"/>
  <c r="U2504" i="1"/>
  <c r="U2503" i="1"/>
  <c r="U2502" i="1"/>
  <c r="U2501" i="1"/>
  <c r="U2500" i="1"/>
  <c r="U2499" i="1"/>
  <c r="U2506" i="1"/>
  <c r="U2508" i="1"/>
  <c r="U2513" i="1"/>
  <c r="U2512" i="1"/>
  <c r="U2511" i="1"/>
  <c r="U2510" i="1"/>
  <c r="U2509" i="1"/>
  <c r="U2516" i="1"/>
  <c r="U2515" i="1"/>
  <c r="U2514" i="1"/>
  <c r="U1842" i="1"/>
  <c r="U2371" i="1"/>
  <c r="U2399" i="1"/>
  <c r="U2470" i="1"/>
  <c r="U2521" i="1"/>
  <c r="U2530" i="1"/>
  <c r="U2527" i="1"/>
  <c r="U2526" i="1"/>
  <c r="U2522" i="1"/>
  <c r="U2523" i="1"/>
  <c r="U2528" i="1"/>
  <c r="U2529" i="1"/>
  <c r="U2524" i="1"/>
  <c r="U2531" i="1"/>
  <c r="U2525" i="1"/>
  <c r="U2532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47" i="1"/>
  <c r="U2548" i="1"/>
  <c r="U2551" i="1"/>
  <c r="U2552" i="1"/>
  <c r="U2553" i="1"/>
  <c r="U2549" i="1"/>
  <c r="U2550" i="1"/>
  <c r="U2557" i="1"/>
  <c r="U2556" i="1"/>
  <c r="U2558" i="1"/>
  <c r="U2481" i="1"/>
  <c r="U2560" i="1"/>
  <c r="U2561" i="1"/>
  <c r="U2562" i="1"/>
  <c r="U2563" i="1"/>
  <c r="U2564" i="1"/>
  <c r="U2565" i="1"/>
  <c r="U2566" i="1"/>
  <c r="U2567" i="1"/>
  <c r="U2518" i="1"/>
  <c r="U2517" i="1"/>
  <c r="U2520" i="1"/>
  <c r="U2519" i="1"/>
  <c r="U2559" i="1"/>
  <c r="U2569" i="1"/>
  <c r="U2568" i="1"/>
  <c r="U2570" i="1"/>
  <c r="U2571" i="1"/>
  <c r="U2585" i="1"/>
  <c r="U2584" i="1"/>
  <c r="U2588" i="1"/>
  <c r="U2587" i="1"/>
  <c r="U2586" i="1"/>
  <c r="U2591" i="1"/>
  <c r="U2590" i="1"/>
  <c r="U2589" i="1"/>
  <c r="U2592" i="1"/>
  <c r="U2593" i="1"/>
  <c r="U2594" i="1"/>
  <c r="U2595" i="1"/>
  <c r="U2597" i="1"/>
  <c r="U2598" i="1"/>
  <c r="U2600" i="1"/>
  <c r="U2601" i="1"/>
  <c r="U2602" i="1"/>
  <c r="U2604" i="1"/>
  <c r="U2605" i="1"/>
  <c r="U2606" i="1"/>
  <c r="U2616" i="1"/>
  <c r="U2618" i="1"/>
  <c r="U2572" i="1"/>
  <c r="U2573" i="1"/>
  <c r="U2661" i="1"/>
  <c r="U2660" i="1"/>
  <c r="U2662" i="1"/>
  <c r="U2663" i="1"/>
  <c r="U3001" i="1"/>
  <c r="U3000" i="1"/>
  <c r="U2982" i="1"/>
  <c r="U2981" i="1"/>
  <c r="U2980" i="1"/>
  <c r="U2979" i="1"/>
  <c r="U2978" i="1"/>
  <c r="U2977" i="1"/>
  <c r="U2976" i="1"/>
  <c r="U2975" i="1"/>
  <c r="U2974" i="1"/>
  <c r="U2834" i="1"/>
  <c r="U2833" i="1"/>
  <c r="U2832" i="1"/>
  <c r="U2829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6" i="1"/>
  <c r="U2735" i="1"/>
  <c r="U2737" i="1"/>
  <c r="U2734" i="1"/>
  <c r="U2733" i="1"/>
  <c r="U2732" i="1"/>
  <c r="U2731" i="1"/>
  <c r="U2730" i="1"/>
  <c r="U2722" i="1"/>
  <c r="U2721" i="1"/>
  <c r="U2720" i="1"/>
  <c r="U2719" i="1"/>
  <c r="U2718" i="1"/>
  <c r="U2717" i="1"/>
  <c r="U2716" i="1"/>
  <c r="U2715" i="1"/>
  <c r="U2714" i="1"/>
  <c r="U2709" i="1"/>
  <c r="U2708" i="1"/>
  <c r="U2707" i="1"/>
  <c r="U2706" i="1"/>
  <c r="U2705" i="1"/>
  <c r="U2704" i="1"/>
  <c r="U2703" i="1"/>
  <c r="U2702" i="1"/>
  <c r="U2701" i="1"/>
  <c r="U2700" i="1"/>
  <c r="U2884" i="1"/>
  <c r="U2859" i="1"/>
  <c r="U2908" i="1"/>
  <c r="U2883" i="1"/>
  <c r="U2858" i="1"/>
  <c r="U2699" i="1"/>
  <c r="U2698" i="1"/>
  <c r="U2973" i="1"/>
  <c r="U2971" i="1"/>
  <c r="U2969" i="1"/>
  <c r="U2950" i="1"/>
  <c r="U2929" i="1"/>
  <c r="U2907" i="1"/>
  <c r="U2882" i="1"/>
  <c r="U2857" i="1"/>
  <c r="U2697" i="1"/>
  <c r="U2972" i="1"/>
  <c r="U2970" i="1"/>
  <c r="U2968" i="1"/>
  <c r="U2949" i="1"/>
  <c r="U2928" i="1"/>
  <c r="U2906" i="1"/>
  <c r="U2881" i="1"/>
  <c r="U2856" i="1"/>
  <c r="U2696" i="1"/>
  <c r="U2695" i="1"/>
  <c r="U2694" i="1"/>
  <c r="U2948" i="1"/>
  <c r="U2927" i="1"/>
  <c r="U2905" i="1"/>
  <c r="U2880" i="1"/>
  <c r="U2855" i="1"/>
  <c r="U2904" i="1"/>
  <c r="U2879" i="1"/>
  <c r="U2854" i="1"/>
  <c r="U2903" i="1"/>
  <c r="U2878" i="1"/>
  <c r="U2853" i="1"/>
  <c r="U2947" i="1"/>
  <c r="U2926" i="1"/>
  <c r="U2902" i="1"/>
  <c r="U2877" i="1"/>
  <c r="U2852" i="1"/>
  <c r="U2967" i="1"/>
  <c r="U2946" i="1"/>
  <c r="U2925" i="1"/>
  <c r="U2901" i="1"/>
  <c r="U2876" i="1"/>
  <c r="U2851" i="1"/>
  <c r="U2693" i="1"/>
  <c r="U2966" i="1"/>
  <c r="U2945" i="1"/>
  <c r="U2924" i="1"/>
  <c r="U2900" i="1"/>
  <c r="U2875" i="1"/>
  <c r="U2850" i="1"/>
  <c r="U2692" i="1"/>
  <c r="U2965" i="1"/>
  <c r="U2944" i="1"/>
  <c r="U2923" i="1"/>
  <c r="U2899" i="1"/>
  <c r="U2874" i="1"/>
  <c r="U2849" i="1"/>
  <c r="U2691" i="1"/>
  <c r="U2964" i="1"/>
  <c r="U2943" i="1"/>
  <c r="U2922" i="1"/>
  <c r="U2898" i="1"/>
  <c r="U2873" i="1"/>
  <c r="U2848" i="1"/>
  <c r="U2690" i="1"/>
  <c r="U2963" i="1"/>
  <c r="U2942" i="1"/>
  <c r="U2921" i="1"/>
  <c r="U2897" i="1"/>
  <c r="U2872" i="1"/>
  <c r="U2847" i="1"/>
  <c r="U2689" i="1"/>
  <c r="U2962" i="1"/>
  <c r="U2941" i="1"/>
  <c r="U2920" i="1"/>
  <c r="U2896" i="1"/>
  <c r="U2871" i="1"/>
  <c r="U2846" i="1"/>
  <c r="U2688" i="1"/>
  <c r="U2961" i="1"/>
  <c r="U2940" i="1"/>
  <c r="U2919" i="1"/>
  <c r="U2895" i="1"/>
  <c r="U2870" i="1"/>
  <c r="U2845" i="1"/>
  <c r="U2687" i="1"/>
  <c r="U2960" i="1"/>
  <c r="U2939" i="1"/>
  <c r="U2918" i="1"/>
  <c r="U2894" i="1"/>
  <c r="U2869" i="1"/>
  <c r="U2844" i="1"/>
  <c r="U2686" i="1"/>
  <c r="U2959" i="1"/>
  <c r="U2938" i="1"/>
  <c r="U2917" i="1"/>
  <c r="U2893" i="1"/>
  <c r="U2868" i="1"/>
  <c r="U2843" i="1"/>
  <c r="U2685" i="1"/>
  <c r="U2958" i="1"/>
  <c r="U2937" i="1"/>
  <c r="U2916" i="1"/>
  <c r="U2892" i="1"/>
  <c r="U2867" i="1"/>
  <c r="U2842" i="1"/>
  <c r="U2684" i="1"/>
  <c r="U2957" i="1"/>
  <c r="U2936" i="1"/>
  <c r="U2915" i="1"/>
  <c r="U2891" i="1"/>
  <c r="U2866" i="1"/>
  <c r="U2841" i="1"/>
  <c r="U2683" i="1"/>
  <c r="U2956" i="1"/>
  <c r="U2935" i="1"/>
  <c r="U2914" i="1"/>
  <c r="U2890" i="1"/>
  <c r="U2865" i="1"/>
  <c r="U2840" i="1"/>
  <c r="U2682" i="1"/>
  <c r="U2955" i="1"/>
  <c r="U2934" i="1"/>
  <c r="U2913" i="1"/>
  <c r="U2889" i="1"/>
  <c r="U2864" i="1"/>
  <c r="U2839" i="1"/>
  <c r="U2681" i="1"/>
  <c r="U2954" i="1"/>
  <c r="U2933" i="1"/>
  <c r="U2912" i="1"/>
  <c r="U2888" i="1"/>
  <c r="U2863" i="1"/>
  <c r="U2838" i="1"/>
  <c r="U2680" i="1"/>
  <c r="U2953" i="1"/>
  <c r="U2932" i="1"/>
  <c r="U2911" i="1"/>
  <c r="U2887" i="1"/>
  <c r="U2862" i="1"/>
  <c r="U2837" i="1"/>
  <c r="U2679" i="1"/>
  <c r="U2952" i="1"/>
  <c r="U2931" i="1"/>
  <c r="U2910" i="1"/>
  <c r="U2886" i="1"/>
  <c r="U2861" i="1"/>
  <c r="U2836" i="1"/>
  <c r="U2678" i="1"/>
  <c r="U2951" i="1"/>
  <c r="U2930" i="1"/>
  <c r="U2909" i="1"/>
  <c r="U2885" i="1"/>
  <c r="U2860" i="1"/>
  <c r="U2835" i="1"/>
  <c r="U2677" i="1"/>
  <c r="U2828" i="1"/>
  <c r="U2821" i="1"/>
  <c r="U2814" i="1"/>
  <c r="U2807" i="1"/>
  <c r="U2800" i="1"/>
  <c r="U2793" i="1"/>
  <c r="U2786" i="1"/>
  <c r="U2827" i="1"/>
  <c r="U2820" i="1"/>
  <c r="U2813" i="1"/>
  <c r="U2806" i="1"/>
  <c r="U2799" i="1"/>
  <c r="U2792" i="1"/>
  <c r="U2785" i="1"/>
  <c r="U2826" i="1"/>
  <c r="U2819" i="1"/>
  <c r="U2812" i="1"/>
  <c r="U2805" i="1"/>
  <c r="U2798" i="1"/>
  <c r="U2791" i="1"/>
  <c r="U2784" i="1"/>
  <c r="U2825" i="1"/>
  <c r="U2818" i="1"/>
  <c r="U2811" i="1"/>
  <c r="U2804" i="1"/>
  <c r="U2797" i="1"/>
  <c r="U2790" i="1"/>
  <c r="U2783" i="1"/>
  <c r="U2824" i="1"/>
  <c r="U2817" i="1"/>
  <c r="U2810" i="1"/>
  <c r="U2803" i="1"/>
  <c r="U2796" i="1"/>
  <c r="U2789" i="1"/>
  <c r="U2782" i="1"/>
  <c r="U2823" i="1"/>
  <c r="U2816" i="1"/>
  <c r="U2809" i="1"/>
  <c r="U2802" i="1"/>
  <c r="U2795" i="1"/>
  <c r="U2788" i="1"/>
  <c r="U2781" i="1"/>
  <c r="U2822" i="1"/>
  <c r="U2815" i="1"/>
  <c r="U2808" i="1"/>
  <c r="U2801" i="1"/>
  <c r="U2794" i="1"/>
  <c r="U2787" i="1"/>
  <c r="U2780" i="1"/>
  <c r="U2676" i="1"/>
  <c r="U2675" i="1"/>
  <c r="U2674" i="1"/>
  <c r="U2673" i="1"/>
  <c r="U2672" i="1"/>
  <c r="U2671" i="1"/>
  <c r="U2269" i="1"/>
  <c r="U2270" i="1"/>
  <c r="U3021" i="1"/>
  <c r="U3020" i="1"/>
  <c r="U3019" i="1"/>
  <c r="U3018" i="1"/>
  <c r="U3017" i="1"/>
  <c r="U3026" i="1"/>
  <c r="U3027" i="1"/>
  <c r="U3064" i="1"/>
  <c r="U3104" i="1"/>
  <c r="U3096" i="1"/>
  <c r="U3063" i="1"/>
  <c r="U3062" i="1"/>
  <c r="U3061" i="1"/>
  <c r="U3060" i="1"/>
  <c r="U3059" i="1"/>
  <c r="U3146" i="1"/>
  <c r="U3136" i="1"/>
  <c r="U3058" i="1"/>
  <c r="U3057" i="1"/>
  <c r="U3056" i="1"/>
  <c r="U3055" i="1"/>
  <c r="U3054" i="1"/>
  <c r="U3053" i="1"/>
  <c r="U3052" i="1"/>
  <c r="U3051" i="1"/>
  <c r="U3050" i="1"/>
  <c r="U3145" i="1"/>
  <c r="U3139" i="1"/>
  <c r="U3135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113" i="1"/>
  <c r="U3112" i="1"/>
  <c r="U3115" i="1"/>
  <c r="U3114" i="1"/>
  <c r="U3117" i="1"/>
  <c r="U3116" i="1"/>
  <c r="U3119" i="1"/>
  <c r="U3118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05" i="1"/>
  <c r="U3097" i="1"/>
  <c r="U3137" i="1"/>
  <c r="U3138" i="1"/>
  <c r="U3106" i="1"/>
  <c r="U3098" i="1"/>
  <c r="U3140" i="1"/>
  <c r="U3141" i="1"/>
  <c r="U3142" i="1"/>
  <c r="U3143" i="1"/>
  <c r="U3144" i="1"/>
  <c r="U3107" i="1"/>
  <c r="U3099" i="1"/>
  <c r="U3147" i="1"/>
  <c r="U3148" i="1"/>
  <c r="U3149" i="1"/>
  <c r="U3150" i="1"/>
  <c r="U3151" i="1"/>
  <c r="U3152" i="1"/>
  <c r="U3153" i="1"/>
  <c r="U3154" i="1"/>
  <c r="U3155" i="1"/>
  <c r="U3110" i="1"/>
  <c r="U3109" i="1"/>
  <c r="U3108" i="1"/>
  <c r="U3102" i="1"/>
  <c r="U3101" i="1"/>
  <c r="U3100" i="1"/>
  <c r="U3156" i="1"/>
  <c r="U3111" i="1"/>
  <c r="U3103" i="1"/>
  <c r="U3157" i="1"/>
  <c r="U3167" i="1"/>
  <c r="U3166" i="1"/>
  <c r="U3164" i="1"/>
  <c r="U3162" i="1"/>
  <c r="U3165" i="1"/>
  <c r="U3158" i="1"/>
  <c r="U3161" i="1"/>
  <c r="U2574" i="1"/>
  <c r="U2575" i="1"/>
  <c r="U2576" i="1"/>
  <c r="U2617" i="1"/>
  <c r="U3198" i="1"/>
  <c r="U3212" i="1"/>
  <c r="U3231" i="1"/>
  <c r="U3230" i="1"/>
  <c r="U3227" i="1"/>
  <c r="U3224" i="1"/>
  <c r="U3223" i="1"/>
  <c r="U3221" i="1"/>
  <c r="U3219" i="1"/>
  <c r="U3215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3" i="1"/>
  <c r="U3220" i="1"/>
  <c r="U3225" i="1"/>
  <c r="U3229" i="1"/>
  <c r="U3232" i="1"/>
  <c r="U3233" i="1"/>
  <c r="U3257" i="1"/>
  <c r="U3253" i="1"/>
  <c r="U3235" i="1"/>
  <c r="U3237" i="1"/>
  <c r="U3238" i="1"/>
  <c r="U3239" i="1"/>
  <c r="U3236" i="1"/>
  <c r="U3240" i="1"/>
  <c r="U3241" i="1"/>
  <c r="U3242" i="1"/>
  <c r="U3243" i="1"/>
  <c r="U3244" i="1"/>
  <c r="U3245" i="1"/>
  <c r="U3247" i="1"/>
  <c r="U3248" i="1"/>
  <c r="U3249" i="1"/>
  <c r="U3250" i="1"/>
  <c r="U3251" i="1"/>
  <c r="U3252" i="1"/>
  <c r="U3255" i="1"/>
  <c r="U3259" i="1"/>
  <c r="U3266" i="1"/>
  <c r="U3270" i="1"/>
  <c r="U3271" i="1"/>
  <c r="U2619" i="1"/>
  <c r="U3168" i="1"/>
  <c r="U3163" i="1"/>
  <c r="U3274" i="1"/>
  <c r="U3279" i="1"/>
  <c r="U3278" i="1"/>
  <c r="U3273" i="1"/>
  <c r="U3277" i="1"/>
  <c r="U1614" i="1"/>
  <c r="U1613" i="1"/>
  <c r="U1612" i="1"/>
  <c r="U3280" i="1"/>
  <c r="U3281" i="1"/>
  <c r="U3283" i="1"/>
  <c r="U3284" i="1"/>
  <c r="U3285" i="1"/>
  <c r="U3286" i="1"/>
  <c r="U3287" i="1"/>
  <c r="U3289" i="1"/>
  <c r="U3288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080" i="1"/>
  <c r="U1079" i="1"/>
  <c r="U3269" i="1"/>
  <c r="U3268" i="1"/>
  <c r="U3267" i="1"/>
  <c r="U3265" i="1"/>
  <c r="U3264" i="1"/>
  <c r="U3263" i="1"/>
  <c r="U3254" i="1"/>
  <c r="U3262" i="1"/>
  <c r="U3261" i="1"/>
  <c r="U3260" i="1"/>
  <c r="U3258" i="1"/>
  <c r="U3246" i="1"/>
  <c r="U3256" i="1"/>
  <c r="U3234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57" i="1"/>
  <c r="U3214" i="1"/>
  <c r="U3228" i="1"/>
  <c r="U3226" i="1"/>
  <c r="U3222" i="1"/>
  <c r="U3218" i="1"/>
  <c r="U3217" i="1"/>
  <c r="U3216" i="1"/>
  <c r="U3191" i="1"/>
  <c r="U3184" i="1"/>
  <c r="U3182" i="1"/>
  <c r="U3183" i="1"/>
  <c r="U3190" i="1"/>
  <c r="U3181" i="1"/>
  <c r="U3189" i="1"/>
  <c r="U3188" i="1"/>
  <c r="U1055" i="1"/>
  <c r="U1054" i="1"/>
  <c r="U1053" i="1"/>
  <c r="U1052" i="1"/>
  <c r="U1051" i="1"/>
  <c r="U1050" i="1"/>
  <c r="U1049" i="1"/>
  <c r="U1045" i="1"/>
  <c r="U1044" i="1"/>
  <c r="U1043" i="1"/>
  <c r="U1042" i="1"/>
  <c r="U1041" i="1"/>
  <c r="U1040" i="1"/>
  <c r="U1039" i="1"/>
  <c r="U1037" i="1"/>
  <c r="U3030" i="1"/>
  <c r="U3016" i="1"/>
  <c r="U3015" i="1"/>
  <c r="U3006" i="1"/>
  <c r="U3014" i="1"/>
  <c r="U3013" i="1"/>
  <c r="U3012" i="1"/>
  <c r="U3011" i="1"/>
  <c r="U3008" i="1"/>
  <c r="U2997" i="1"/>
  <c r="U3007" i="1"/>
  <c r="U2996" i="1"/>
  <c r="U2710" i="1"/>
  <c r="U2995" i="1"/>
  <c r="U2994" i="1"/>
  <c r="U2711" i="1"/>
  <c r="U2712" i="1"/>
  <c r="U2987" i="1"/>
  <c r="U2713" i="1"/>
  <c r="U3003" i="1"/>
  <c r="U3002" i="1"/>
  <c r="U2664" i="1"/>
  <c r="U2665" i="1"/>
  <c r="U2666" i="1"/>
  <c r="U2667" i="1"/>
  <c r="U2668" i="1"/>
  <c r="U2670" i="1"/>
  <c r="U2669" i="1"/>
  <c r="U2658" i="1"/>
  <c r="U2652" i="1"/>
  <c r="U2647" i="1"/>
  <c r="U2659" i="1"/>
  <c r="U2657" i="1"/>
  <c r="U2656" i="1"/>
  <c r="U2655" i="1"/>
  <c r="U2654" i="1"/>
  <c r="U2653" i="1"/>
  <c r="U2648" i="1"/>
  <c r="U2651" i="1"/>
  <c r="U2650" i="1"/>
  <c r="U2649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20" i="1"/>
  <c r="U2623" i="1"/>
  <c r="U2622" i="1"/>
  <c r="U2626" i="1"/>
  <c r="U2625" i="1"/>
  <c r="U2624" i="1"/>
  <c r="U2621" i="1"/>
  <c r="U2615" i="1"/>
  <c r="U2614" i="1"/>
  <c r="U2613" i="1"/>
  <c r="U2612" i="1"/>
  <c r="U2611" i="1"/>
  <c r="U2554" i="1"/>
  <c r="U2555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1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6" i="1"/>
  <c r="U965" i="1"/>
  <c r="U963" i="1"/>
  <c r="U962" i="1"/>
  <c r="U961" i="1"/>
  <c r="U960" i="1"/>
  <c r="U959" i="1"/>
  <c r="U958" i="1"/>
  <c r="U957" i="1"/>
  <c r="U956" i="1"/>
  <c r="U955" i="1"/>
  <c r="U954" i="1"/>
  <c r="U953" i="1"/>
  <c r="U951" i="1"/>
  <c r="U950" i="1"/>
  <c r="U2385" i="1"/>
  <c r="U2382" i="1"/>
  <c r="U2381" i="1"/>
  <c r="U2379" i="1"/>
  <c r="U2378" i="1"/>
  <c r="U2390" i="1"/>
  <c r="U2377" i="1"/>
  <c r="U2376" i="1"/>
  <c r="U2386" i="1"/>
  <c r="U2372" i="1"/>
  <c r="U2471" i="1"/>
  <c r="U2445" i="1"/>
  <c r="U2443" i="1"/>
  <c r="U2406" i="1"/>
  <c r="U1682" i="1"/>
  <c r="U1643" i="1"/>
  <c r="U1680" i="1"/>
  <c r="U1684" i="1"/>
  <c r="U1644" i="1"/>
  <c r="U1672" i="1"/>
  <c r="U1645" i="1"/>
  <c r="U1662" i="1"/>
  <c r="U1646" i="1"/>
  <c r="U1647" i="1"/>
  <c r="U1648" i="1"/>
  <c r="U1636" i="1"/>
  <c r="U1637" i="1"/>
  <c r="U1638" i="1"/>
  <c r="U1639" i="1"/>
  <c r="U1640" i="1"/>
  <c r="U1641" i="1"/>
  <c r="U1642" i="1"/>
  <c r="U1634" i="1"/>
  <c r="U1633" i="1"/>
  <c r="U1632" i="1"/>
  <c r="U1624" i="1"/>
  <c r="U1631" i="1"/>
  <c r="U1630" i="1"/>
  <c r="U1629" i="1"/>
  <c r="U1628" i="1"/>
  <c r="U1627" i="1"/>
  <c r="U1619" i="1"/>
  <c r="U1620" i="1"/>
  <c r="U1621" i="1"/>
  <c r="U1626" i="1"/>
  <c r="U1625" i="1"/>
  <c r="U1618" i="1"/>
  <c r="U2608" i="1"/>
  <c r="U2607" i="1"/>
  <c r="U2577" i="1"/>
  <c r="U2603" i="1"/>
  <c r="U2578" i="1"/>
  <c r="U2599" i="1"/>
  <c r="U2596" i="1"/>
  <c r="U2579" i="1"/>
  <c r="U2580" i="1"/>
  <c r="U2581" i="1"/>
  <c r="U2582" i="1"/>
  <c r="U2583" i="1"/>
  <c r="U2077" i="1"/>
  <c r="U2078" i="1"/>
  <c r="U2079" i="1"/>
  <c r="U551" i="1"/>
  <c r="U549" i="1"/>
  <c r="U547" i="1"/>
  <c r="U546" i="1"/>
  <c r="U544" i="1"/>
  <c r="U538" i="1"/>
  <c r="U537" i="1"/>
  <c r="U534" i="1"/>
  <c r="U529" i="1"/>
  <c r="U527" i="1"/>
  <c r="U1121" i="1"/>
  <c r="U1487" i="1"/>
  <c r="U1486" i="1"/>
  <c r="U1485" i="1"/>
  <c r="U1484" i="1"/>
  <c r="U1483" i="1"/>
  <c r="U1482" i="1"/>
  <c r="U1871" i="1"/>
  <c r="U1855" i="1"/>
  <c r="U1867" i="1"/>
  <c r="U781" i="1"/>
  <c r="U774" i="1"/>
  <c r="U1036" i="1"/>
  <c r="U1035" i="1"/>
  <c r="U1034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469" i="1"/>
  <c r="U1468" i="1"/>
  <c r="U1467" i="1"/>
  <c r="U1466" i="1"/>
  <c r="U1465" i="1"/>
  <c r="U1464" i="1"/>
  <c r="U1463" i="1"/>
  <c r="U1462" i="1"/>
  <c r="U1437" i="1"/>
  <c r="U1438" i="1"/>
  <c r="U1439" i="1"/>
  <c r="U130" i="1"/>
  <c r="U1228" i="1"/>
  <c r="U1229" i="1"/>
  <c r="U1226" i="1"/>
  <c r="U1493" i="1"/>
  <c r="U1134" i="1"/>
  <c r="U1133" i="1"/>
  <c r="U924" i="1"/>
  <c r="U923" i="1"/>
  <c r="U922" i="1"/>
  <c r="U920" i="1"/>
  <c r="U919" i="1"/>
  <c r="U918" i="1"/>
  <c r="U917" i="1"/>
  <c r="U916" i="1"/>
  <c r="U915" i="1"/>
  <c r="U914" i="1"/>
  <c r="U913" i="1"/>
  <c r="U912" i="1"/>
  <c r="U911" i="1"/>
  <c r="U910" i="1"/>
  <c r="U1128" i="1"/>
  <c r="U698" i="1"/>
  <c r="U699" i="1"/>
  <c r="U700" i="1"/>
  <c r="U701" i="1"/>
  <c r="U847" i="1"/>
  <c r="U844" i="1"/>
  <c r="U843" i="1"/>
  <c r="U838" i="1"/>
  <c r="U805" i="1"/>
  <c r="U842" i="1"/>
  <c r="U803" i="1"/>
  <c r="U810" i="1"/>
  <c r="U797" i="1"/>
  <c r="U802" i="1"/>
  <c r="U801" i="1"/>
  <c r="U798" i="1"/>
  <c r="U775" i="1"/>
  <c r="U776" i="1"/>
  <c r="U777" i="1"/>
  <c r="U782" i="1"/>
  <c r="U780" i="1"/>
  <c r="U778" i="1"/>
  <c r="U779" i="1"/>
  <c r="U773" i="1"/>
  <c r="U772" i="1"/>
  <c r="U771" i="1"/>
  <c r="U770" i="1"/>
  <c r="U769" i="1"/>
  <c r="U766" i="1"/>
  <c r="U768" i="1"/>
  <c r="U767" i="1"/>
  <c r="U765" i="1"/>
  <c r="U763" i="1"/>
  <c r="U758" i="1"/>
  <c r="U744" i="1"/>
  <c r="U757" i="1"/>
  <c r="U756" i="1"/>
  <c r="U755" i="1"/>
  <c r="U753" i="1"/>
  <c r="U752" i="1"/>
  <c r="U750" i="1"/>
  <c r="U743" i="1"/>
  <c r="U745" i="1"/>
  <c r="U741" i="1"/>
  <c r="U659" i="1"/>
  <c r="U660" i="1"/>
  <c r="U661" i="1"/>
  <c r="U662" i="1"/>
  <c r="U669" i="1"/>
  <c r="U730" i="1"/>
  <c r="U722" i="1"/>
  <c r="U724" i="1"/>
  <c r="U715" i="1"/>
  <c r="U714" i="1"/>
  <c r="U892" i="1"/>
  <c r="U891" i="1"/>
  <c r="U890" i="1"/>
  <c r="U886" i="1"/>
  <c r="U885" i="1"/>
  <c r="U884" i="1"/>
  <c r="U883" i="1"/>
  <c r="U882" i="1"/>
  <c r="U881" i="1"/>
  <c r="U880" i="1"/>
  <c r="U879" i="1"/>
  <c r="U878" i="1"/>
  <c r="U876" i="1"/>
  <c r="U606" i="1"/>
  <c r="U609" i="1"/>
  <c r="U610" i="1"/>
  <c r="U611" i="1"/>
  <c r="U607" i="1"/>
  <c r="U624" i="1"/>
  <c r="U623" i="1"/>
  <c r="U622" i="1"/>
  <c r="U621" i="1"/>
  <c r="U619" i="1"/>
  <c r="U618" i="1"/>
  <c r="U616" i="1"/>
  <c r="U615" i="1"/>
  <c r="U612" i="1"/>
  <c r="U608" i="1"/>
  <c r="U471" i="1"/>
  <c r="U467" i="1"/>
  <c r="U447" i="1"/>
  <c r="U470" i="1"/>
  <c r="U459" i="1"/>
  <c r="U454" i="1"/>
  <c r="U448" i="1"/>
  <c r="U446" i="1"/>
  <c r="U445" i="1"/>
  <c r="U423" i="1"/>
  <c r="U442" i="1"/>
  <c r="U410" i="1"/>
  <c r="U434" i="1"/>
  <c r="U433" i="1"/>
  <c r="U396" i="1"/>
  <c r="U397" i="1"/>
  <c r="U406" i="1"/>
  <c r="U425" i="1"/>
  <c r="U391" i="1"/>
  <c r="U390" i="1"/>
  <c r="U314" i="1"/>
  <c r="U389" i="1"/>
  <c r="U386" i="1"/>
  <c r="U384" i="1"/>
  <c r="U315" i="1"/>
  <c r="U382" i="1"/>
  <c r="U345" i="1"/>
  <c r="U367" i="1"/>
  <c r="U365" i="1"/>
  <c r="U364" i="1"/>
  <c r="U333" i="1"/>
  <c r="U361" i="1"/>
  <c r="U360" i="1"/>
  <c r="U358" i="1"/>
  <c r="U356" i="1"/>
  <c r="U355" i="1"/>
  <c r="U354" i="1"/>
  <c r="U380" i="1"/>
  <c r="U349" i="1"/>
  <c r="U346" i="1"/>
  <c r="U220" i="1"/>
  <c r="U219" i="1"/>
  <c r="U218" i="1"/>
  <c r="U217" i="1"/>
  <c r="U214" i="1"/>
  <c r="U213" i="1"/>
  <c r="U211" i="1"/>
  <c r="U209" i="1"/>
  <c r="U207" i="1"/>
  <c r="U206" i="1"/>
  <c r="U205" i="1"/>
  <c r="U203" i="1"/>
  <c r="U202" i="1"/>
  <c r="U201" i="1"/>
  <c r="U198" i="1"/>
  <c r="U194" i="1"/>
  <c r="U190" i="1"/>
  <c r="U185" i="1"/>
  <c r="U184" i="1"/>
  <c r="U183" i="1"/>
  <c r="U177" i="1"/>
  <c r="U175" i="1"/>
  <c r="U150" i="1"/>
  <c r="U3276" i="1"/>
  <c r="U147" i="1"/>
  <c r="U146" i="1"/>
  <c r="U143" i="1"/>
  <c r="U141" i="1"/>
  <c r="U140" i="1"/>
  <c r="U138" i="1"/>
  <c r="U136" i="1"/>
  <c r="U265" i="1"/>
  <c r="U200" i="1"/>
  <c r="I1745" i="1"/>
  <c r="F1745" i="1" s="1"/>
  <c r="I1746" i="1"/>
  <c r="F1746" i="1" s="1"/>
  <c r="I1747" i="1"/>
  <c r="F1747" i="1" s="1"/>
  <c r="I1748" i="1"/>
  <c r="F1748" i="1" s="1"/>
  <c r="I1749" i="1"/>
  <c r="F1749" i="1" s="1"/>
  <c r="I1750" i="1"/>
  <c r="F1750" i="1" s="1"/>
  <c r="I1751" i="1"/>
  <c r="F1751" i="1" s="1"/>
  <c r="I1752" i="1"/>
  <c r="F1752" i="1" s="1"/>
  <c r="I1753" i="1"/>
  <c r="F1753" i="1" s="1"/>
  <c r="I1754" i="1"/>
  <c r="F1754" i="1" s="1"/>
  <c r="I1755" i="1"/>
  <c r="F1755" i="1" s="1"/>
  <c r="I1756" i="1"/>
  <c r="F1756" i="1" s="1"/>
  <c r="I1757" i="1"/>
  <c r="F1757" i="1" s="1"/>
  <c r="I1758" i="1"/>
  <c r="F1758" i="1" s="1"/>
  <c r="I1759" i="1"/>
  <c r="F1759" i="1" s="1"/>
  <c r="I1760" i="1"/>
  <c r="F1760" i="1" s="1"/>
  <c r="I1761" i="1"/>
  <c r="F1761" i="1" s="1"/>
  <c r="I1762" i="1"/>
  <c r="F1762" i="1" s="1"/>
  <c r="I1763" i="1"/>
  <c r="F1763" i="1" s="1"/>
  <c r="I1764" i="1"/>
  <c r="F1764" i="1" s="1"/>
  <c r="I1765" i="1"/>
  <c r="F1765" i="1" s="1"/>
  <c r="I1766" i="1"/>
  <c r="F1766" i="1" s="1"/>
  <c r="I1767" i="1"/>
  <c r="F1767" i="1" s="1"/>
  <c r="I1768" i="1"/>
  <c r="F1768" i="1" s="1"/>
  <c r="I1769" i="1"/>
  <c r="F1769" i="1" s="1"/>
  <c r="I1770" i="1"/>
  <c r="F1770" i="1" s="1"/>
  <c r="I1771" i="1"/>
  <c r="F1771" i="1" s="1"/>
  <c r="I1772" i="1"/>
  <c r="F1772" i="1" s="1"/>
  <c r="I1773" i="1"/>
  <c r="F1773" i="1" s="1"/>
  <c r="I1774" i="1"/>
  <c r="F1774" i="1" s="1"/>
  <c r="I1775" i="1"/>
  <c r="F1775" i="1" s="1"/>
  <c r="I1776" i="1"/>
  <c r="F1776" i="1" s="1"/>
  <c r="I3065" i="1"/>
  <c r="F3065" i="1" s="1"/>
  <c r="I3066" i="1"/>
  <c r="F3066" i="1" s="1"/>
  <c r="I3067" i="1"/>
  <c r="F3067" i="1" s="1"/>
  <c r="I3068" i="1"/>
  <c r="F3068" i="1" s="1"/>
  <c r="I3069" i="1"/>
  <c r="F3069" i="1" s="1"/>
  <c r="I3070" i="1"/>
  <c r="F3070" i="1" s="1"/>
  <c r="I3071" i="1"/>
  <c r="F3071" i="1" s="1"/>
  <c r="I3072" i="1"/>
  <c r="F3072" i="1" s="1"/>
  <c r="I3073" i="1"/>
  <c r="F3073" i="1" s="1"/>
  <c r="I3074" i="1"/>
  <c r="F3074" i="1" s="1"/>
  <c r="I3075" i="1"/>
  <c r="F3075" i="1" s="1"/>
  <c r="I3076" i="1"/>
  <c r="F3076" i="1" s="1"/>
  <c r="I3077" i="1"/>
  <c r="F3077" i="1" s="1"/>
  <c r="I3078" i="1"/>
  <c r="F3078" i="1" s="1"/>
  <c r="I3079" i="1"/>
  <c r="F3079" i="1" s="1"/>
  <c r="I3080" i="1"/>
  <c r="F3080" i="1" s="1"/>
  <c r="I3081" i="1"/>
  <c r="F3081" i="1" s="1"/>
  <c r="I3082" i="1"/>
  <c r="F3082" i="1" s="1"/>
  <c r="I3083" i="1"/>
  <c r="F3083" i="1" s="1"/>
  <c r="I3084" i="1"/>
  <c r="F3084" i="1" s="1"/>
  <c r="I3085" i="1"/>
  <c r="F3085" i="1" s="1"/>
  <c r="I3086" i="1"/>
  <c r="F3086" i="1" s="1"/>
  <c r="I3087" i="1"/>
  <c r="F3087" i="1" s="1"/>
  <c r="I3088" i="1"/>
  <c r="F3088" i="1" s="1"/>
  <c r="I3089" i="1"/>
  <c r="F3089" i="1" s="1"/>
  <c r="I3090" i="1"/>
  <c r="F3090" i="1" s="1"/>
  <c r="I3091" i="1"/>
  <c r="F3091" i="1" s="1"/>
  <c r="I3092" i="1"/>
  <c r="F3092" i="1" s="1"/>
  <c r="I3093" i="1"/>
  <c r="F3093" i="1" s="1"/>
  <c r="I3094" i="1"/>
  <c r="F3094" i="1" s="1"/>
  <c r="I3095" i="1"/>
  <c r="F3095" i="1" s="1"/>
  <c r="I1436" i="1"/>
  <c r="F1436" i="1" s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1436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1436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1436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1436" i="1"/>
  <c r="I2417" i="1"/>
  <c r="F2417" i="1" s="1"/>
  <c r="I2418" i="1"/>
  <c r="F2418" i="1" s="1"/>
  <c r="I2419" i="1"/>
  <c r="F2419" i="1" s="1"/>
  <c r="I2420" i="1"/>
  <c r="F2420" i="1" s="1"/>
  <c r="I2421" i="1"/>
  <c r="F2421" i="1" s="1"/>
  <c r="I2422" i="1"/>
  <c r="F2422" i="1" s="1"/>
  <c r="I2423" i="1"/>
  <c r="F2423" i="1" s="1"/>
  <c r="I2424" i="1"/>
  <c r="F2424" i="1" s="1"/>
  <c r="I2425" i="1"/>
  <c r="F2425" i="1" s="1"/>
  <c r="I2426" i="1"/>
  <c r="F2426" i="1" s="1"/>
  <c r="I2427" i="1"/>
  <c r="F2427" i="1" s="1"/>
  <c r="I2428" i="1"/>
  <c r="F2428" i="1" s="1"/>
  <c r="I2429" i="1"/>
  <c r="F2429" i="1" s="1"/>
  <c r="I2430" i="1"/>
  <c r="F2430" i="1" s="1"/>
  <c r="I2431" i="1"/>
  <c r="F2431" i="1" s="1"/>
  <c r="I2432" i="1"/>
  <c r="F2432" i="1" s="1"/>
  <c r="I2433" i="1"/>
  <c r="F2433" i="1" s="1"/>
  <c r="I2434" i="1"/>
  <c r="F2434" i="1" s="1"/>
  <c r="I2435" i="1"/>
  <c r="F2435" i="1" s="1"/>
  <c r="I2436" i="1"/>
  <c r="F2436" i="1" s="1"/>
  <c r="I2437" i="1"/>
  <c r="F2437" i="1" s="1"/>
  <c r="I2438" i="1"/>
  <c r="F2438" i="1" s="1"/>
  <c r="I2439" i="1"/>
  <c r="F2439" i="1" s="1"/>
  <c r="I2440" i="1"/>
  <c r="F2440" i="1" s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I1079" i="1"/>
  <c r="F1079" i="1" s="1"/>
  <c r="I1080" i="1"/>
  <c r="F1080" i="1" s="1"/>
  <c r="K1079" i="1"/>
  <c r="K1080" i="1"/>
  <c r="Q1079" i="1"/>
  <c r="Q1080" i="1"/>
  <c r="AH1079" i="1"/>
  <c r="AH1080" i="1"/>
  <c r="AL1079" i="1"/>
  <c r="AL1080" i="1"/>
  <c r="D642" i="10"/>
  <c r="D641" i="10"/>
  <c r="I3184" i="1"/>
  <c r="F3184" i="1" s="1"/>
  <c r="I3183" i="1"/>
  <c r="F3183" i="1" s="1"/>
  <c r="I3181" i="1"/>
  <c r="F3181" i="1" s="1"/>
  <c r="I3182" i="1"/>
  <c r="F3182" i="1" s="1"/>
  <c r="I3188" i="1"/>
  <c r="F3188" i="1" s="1"/>
  <c r="I3189" i="1"/>
  <c r="F3189" i="1" s="1"/>
  <c r="I3190" i="1"/>
  <c r="F3190" i="1" s="1"/>
  <c r="I3191" i="1"/>
  <c r="F3191" i="1" s="1"/>
  <c r="K3184" i="1"/>
  <c r="K3183" i="1"/>
  <c r="K3181" i="1"/>
  <c r="K3182" i="1"/>
  <c r="K3188" i="1"/>
  <c r="K3189" i="1"/>
  <c r="K3190" i="1"/>
  <c r="K3191" i="1"/>
  <c r="Q3184" i="1"/>
  <c r="Q3183" i="1"/>
  <c r="Q3181" i="1"/>
  <c r="Q3182" i="1"/>
  <c r="Q3188" i="1"/>
  <c r="Q3189" i="1"/>
  <c r="Q3190" i="1"/>
  <c r="Q3191" i="1"/>
  <c r="AH3184" i="1"/>
  <c r="AH3183" i="1"/>
  <c r="AH3181" i="1"/>
  <c r="AH3182" i="1"/>
  <c r="AH3188" i="1"/>
  <c r="AH3189" i="1"/>
  <c r="AH3190" i="1"/>
  <c r="AH3191" i="1"/>
  <c r="AL3184" i="1"/>
  <c r="AL3183" i="1"/>
  <c r="AL3181" i="1"/>
  <c r="AL3182" i="1"/>
  <c r="AL3188" i="1"/>
  <c r="AL3189" i="1"/>
  <c r="AL3190" i="1"/>
  <c r="AL3191" i="1"/>
  <c r="D639" i="10"/>
  <c r="D638" i="10"/>
  <c r="D637" i="10"/>
  <c r="D636" i="10"/>
  <c r="D635" i="10"/>
  <c r="D634" i="10"/>
  <c r="D633" i="10"/>
  <c r="D632" i="10"/>
  <c r="D631" i="10"/>
  <c r="I1055" i="1"/>
  <c r="F1055" i="1" s="1"/>
  <c r="K1055" i="1"/>
  <c r="Q1055" i="1"/>
  <c r="AH1055" i="1"/>
  <c r="AL1055" i="1"/>
  <c r="D628" i="10"/>
  <c r="I3030" i="1"/>
  <c r="F3030" i="1" s="1"/>
  <c r="K3030" i="1"/>
  <c r="Q3030" i="1"/>
  <c r="AH3030" i="1"/>
  <c r="AL3030" i="1"/>
  <c r="D626" i="10"/>
  <c r="I2713" i="1"/>
  <c r="F2713" i="1" s="1"/>
  <c r="I2710" i="1"/>
  <c r="F2710" i="1" s="1"/>
  <c r="I2711" i="1"/>
  <c r="F2711" i="1" s="1"/>
  <c r="I2712" i="1"/>
  <c r="F2712" i="1" s="1"/>
  <c r="I2995" i="1"/>
  <c r="F2995" i="1" s="1"/>
  <c r="I2987" i="1"/>
  <c r="F2987" i="1" s="1"/>
  <c r="I2994" i="1"/>
  <c r="F2994" i="1" s="1"/>
  <c r="K2713" i="1"/>
  <c r="K2710" i="1"/>
  <c r="K2711" i="1"/>
  <c r="K2712" i="1"/>
  <c r="K2995" i="1"/>
  <c r="K2987" i="1"/>
  <c r="K2994" i="1"/>
  <c r="Q2713" i="1"/>
  <c r="Q2710" i="1"/>
  <c r="Q2711" i="1"/>
  <c r="Q2712" i="1"/>
  <c r="Q2995" i="1"/>
  <c r="Q2987" i="1"/>
  <c r="Q2994" i="1"/>
  <c r="AH2713" i="1"/>
  <c r="AH2710" i="1"/>
  <c r="AH2711" i="1"/>
  <c r="AH2712" i="1"/>
  <c r="AH2995" i="1"/>
  <c r="AH2987" i="1"/>
  <c r="AH2994" i="1"/>
  <c r="AL2713" i="1"/>
  <c r="AL2710" i="1"/>
  <c r="AL2711" i="1"/>
  <c r="AL2712" i="1"/>
  <c r="AL2995" i="1"/>
  <c r="AL2987" i="1"/>
  <c r="AL2994" i="1"/>
  <c r="D623" i="10"/>
  <c r="D622" i="10"/>
  <c r="D621" i="10"/>
  <c r="D620" i="10"/>
  <c r="D619" i="10"/>
  <c r="D618" i="10"/>
  <c r="D617" i="10"/>
  <c r="D616" i="10"/>
  <c r="D615" i="10"/>
  <c r="I2669" i="1"/>
  <c r="F2669" i="1" s="1"/>
  <c r="I2665" i="1"/>
  <c r="F2665" i="1" s="1"/>
  <c r="I2666" i="1"/>
  <c r="F2666" i="1" s="1"/>
  <c r="I2667" i="1"/>
  <c r="F2667" i="1" s="1"/>
  <c r="I2670" i="1"/>
  <c r="F2670" i="1" s="1"/>
  <c r="I2664" i="1"/>
  <c r="F2664" i="1" s="1"/>
  <c r="I2668" i="1"/>
  <c r="F2668" i="1" s="1"/>
  <c r="K2669" i="1"/>
  <c r="K2665" i="1"/>
  <c r="K2666" i="1"/>
  <c r="K2667" i="1"/>
  <c r="K2670" i="1"/>
  <c r="K2664" i="1"/>
  <c r="K2668" i="1"/>
  <c r="Q2669" i="1"/>
  <c r="Q2665" i="1"/>
  <c r="Q2666" i="1"/>
  <c r="Q2667" i="1"/>
  <c r="Q2670" i="1"/>
  <c r="Q2664" i="1"/>
  <c r="Q2668" i="1"/>
  <c r="AH2669" i="1"/>
  <c r="AH2665" i="1"/>
  <c r="AH2666" i="1"/>
  <c r="AH2667" i="1"/>
  <c r="AH2670" i="1"/>
  <c r="AH2664" i="1"/>
  <c r="AH2668" i="1"/>
  <c r="AL2669" i="1"/>
  <c r="AL2665" i="1"/>
  <c r="AL2666" i="1"/>
  <c r="AL2667" i="1"/>
  <c r="AL2670" i="1"/>
  <c r="AL2664" i="1"/>
  <c r="AL2668" i="1"/>
  <c r="D611" i="10"/>
  <c r="D610" i="10"/>
  <c r="D609" i="10"/>
  <c r="D608" i="10"/>
  <c r="D607" i="10"/>
  <c r="D606" i="10"/>
  <c r="D605" i="10"/>
  <c r="I2647" i="1"/>
  <c r="F2647" i="1" s="1"/>
  <c r="I2649" i="1"/>
  <c r="F2649" i="1" s="1"/>
  <c r="I2648" i="1"/>
  <c r="F2648" i="1" s="1"/>
  <c r="I2654" i="1"/>
  <c r="F2654" i="1" s="1"/>
  <c r="I2655" i="1"/>
  <c r="F2655" i="1" s="1"/>
  <c r="I2656" i="1"/>
  <c r="F2656" i="1" s="1"/>
  <c r="I2650" i="1"/>
  <c r="F2650" i="1" s="1"/>
  <c r="I2653" i="1"/>
  <c r="F2653" i="1" s="1"/>
  <c r="I2657" i="1"/>
  <c r="F2657" i="1" s="1"/>
  <c r="I2659" i="1"/>
  <c r="F2659" i="1" s="1"/>
  <c r="I2651" i="1"/>
  <c r="F2651" i="1" s="1"/>
  <c r="I2658" i="1"/>
  <c r="F2658" i="1" s="1"/>
  <c r="I2652" i="1"/>
  <c r="F2652" i="1" s="1"/>
  <c r="K2647" i="1"/>
  <c r="K2649" i="1"/>
  <c r="K2648" i="1"/>
  <c r="K2654" i="1"/>
  <c r="K2655" i="1"/>
  <c r="K2656" i="1"/>
  <c r="K2650" i="1"/>
  <c r="K2653" i="1"/>
  <c r="K2657" i="1"/>
  <c r="K2659" i="1"/>
  <c r="K2651" i="1"/>
  <c r="K2658" i="1"/>
  <c r="K2652" i="1"/>
  <c r="Q2647" i="1"/>
  <c r="Q2649" i="1"/>
  <c r="Q2648" i="1"/>
  <c r="Q2654" i="1"/>
  <c r="Q2655" i="1"/>
  <c r="Q2656" i="1"/>
  <c r="Q2650" i="1"/>
  <c r="Q2653" i="1"/>
  <c r="Q2657" i="1"/>
  <c r="Q2659" i="1"/>
  <c r="Q2651" i="1"/>
  <c r="Q2658" i="1"/>
  <c r="Q2652" i="1"/>
  <c r="AH2647" i="1"/>
  <c r="AH2649" i="1"/>
  <c r="AH2648" i="1"/>
  <c r="AH2654" i="1"/>
  <c r="AH2655" i="1"/>
  <c r="AH2656" i="1"/>
  <c r="AH2650" i="1"/>
  <c r="AH2653" i="1"/>
  <c r="AH2657" i="1"/>
  <c r="AH2659" i="1"/>
  <c r="AH2651" i="1"/>
  <c r="AH2658" i="1"/>
  <c r="AH2652" i="1"/>
  <c r="AL2647" i="1"/>
  <c r="AL2649" i="1"/>
  <c r="AL2648" i="1"/>
  <c r="AL2654" i="1"/>
  <c r="AL2655" i="1"/>
  <c r="AL2656" i="1"/>
  <c r="AL2650" i="1"/>
  <c r="AL2653" i="1"/>
  <c r="AL2657" i="1"/>
  <c r="AL2659" i="1"/>
  <c r="AL2651" i="1"/>
  <c r="AL2658" i="1"/>
  <c r="AL2652" i="1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I2633" i="1"/>
  <c r="F2633" i="1" s="1"/>
  <c r="I2639" i="1"/>
  <c r="F2639" i="1" s="1"/>
  <c r="I2640" i="1"/>
  <c r="F2640" i="1" s="1"/>
  <c r="I2641" i="1"/>
  <c r="F2641" i="1" s="1"/>
  <c r="I2634" i="1"/>
  <c r="F2634" i="1" s="1"/>
  <c r="I2636" i="1"/>
  <c r="F2636" i="1" s="1"/>
  <c r="I2643" i="1"/>
  <c r="F2643" i="1" s="1"/>
  <c r="I2644" i="1"/>
  <c r="F2644" i="1" s="1"/>
  <c r="I2635" i="1"/>
  <c r="F2635" i="1" s="1"/>
  <c r="I2646" i="1"/>
  <c r="F2646" i="1" s="1"/>
  <c r="I2642" i="1"/>
  <c r="F2642" i="1" s="1"/>
  <c r="I2638" i="1"/>
  <c r="F2638" i="1" s="1"/>
  <c r="I2637" i="1"/>
  <c r="F2637" i="1" s="1"/>
  <c r="I2645" i="1"/>
  <c r="F2645" i="1" s="1"/>
  <c r="K2633" i="1"/>
  <c r="K2639" i="1"/>
  <c r="K2640" i="1"/>
  <c r="K2641" i="1"/>
  <c r="K2634" i="1"/>
  <c r="K2636" i="1"/>
  <c r="K2643" i="1"/>
  <c r="K2644" i="1"/>
  <c r="K2635" i="1"/>
  <c r="K2646" i="1"/>
  <c r="K2642" i="1"/>
  <c r="K2638" i="1"/>
  <c r="K2637" i="1"/>
  <c r="K2645" i="1"/>
  <c r="Q2633" i="1"/>
  <c r="Q2639" i="1"/>
  <c r="Q2640" i="1"/>
  <c r="Q2641" i="1"/>
  <c r="Q2634" i="1"/>
  <c r="Q2636" i="1"/>
  <c r="Q2643" i="1"/>
  <c r="Q2644" i="1"/>
  <c r="Q2635" i="1"/>
  <c r="Q2646" i="1"/>
  <c r="Q2642" i="1"/>
  <c r="Q2638" i="1"/>
  <c r="Q2637" i="1"/>
  <c r="Q2645" i="1"/>
  <c r="AH2633" i="1"/>
  <c r="AH2639" i="1"/>
  <c r="AH2640" i="1"/>
  <c r="AH2641" i="1"/>
  <c r="AH2634" i="1"/>
  <c r="AH2636" i="1"/>
  <c r="AH2643" i="1"/>
  <c r="AH2644" i="1"/>
  <c r="AH2635" i="1"/>
  <c r="AH2646" i="1"/>
  <c r="AH2642" i="1"/>
  <c r="AH2638" i="1"/>
  <c r="AH2637" i="1"/>
  <c r="AH2645" i="1"/>
  <c r="AL2633" i="1"/>
  <c r="AL2639" i="1"/>
  <c r="AL2640" i="1"/>
  <c r="AL2641" i="1"/>
  <c r="AL2634" i="1"/>
  <c r="AL2636" i="1"/>
  <c r="AL2643" i="1"/>
  <c r="AL2644" i="1"/>
  <c r="AL2635" i="1"/>
  <c r="AL2646" i="1"/>
  <c r="AL2642" i="1"/>
  <c r="AL2638" i="1"/>
  <c r="AL2637" i="1"/>
  <c r="AL2645" i="1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I2620" i="1"/>
  <c r="F2620" i="1" s="1"/>
  <c r="I2621" i="1"/>
  <c r="F2621" i="1" s="1"/>
  <c r="I2622" i="1"/>
  <c r="F2622" i="1" s="1"/>
  <c r="I2623" i="1"/>
  <c r="F2623" i="1" s="1"/>
  <c r="I2625" i="1"/>
  <c r="F2625" i="1" s="1"/>
  <c r="I2626" i="1"/>
  <c r="F2626" i="1" s="1"/>
  <c r="I2624" i="1"/>
  <c r="F2624" i="1" s="1"/>
  <c r="I2631" i="1"/>
  <c r="F2631" i="1" s="1"/>
  <c r="I2632" i="1"/>
  <c r="F2632" i="1" s="1"/>
  <c r="K2620" i="1"/>
  <c r="K2621" i="1"/>
  <c r="K2622" i="1"/>
  <c r="K2623" i="1"/>
  <c r="K2625" i="1"/>
  <c r="K2626" i="1"/>
  <c r="K2624" i="1"/>
  <c r="K2631" i="1"/>
  <c r="K2632" i="1"/>
  <c r="Q2620" i="1"/>
  <c r="Q2621" i="1"/>
  <c r="Q2622" i="1"/>
  <c r="Q2623" i="1"/>
  <c r="Q2625" i="1"/>
  <c r="Q2626" i="1"/>
  <c r="Q2624" i="1"/>
  <c r="Q2631" i="1"/>
  <c r="Q2632" i="1"/>
  <c r="AH2620" i="1"/>
  <c r="AH2621" i="1"/>
  <c r="AH2622" i="1"/>
  <c r="AH2623" i="1"/>
  <c r="AH2625" i="1"/>
  <c r="AH2626" i="1"/>
  <c r="AH2624" i="1"/>
  <c r="AH2631" i="1"/>
  <c r="AH2632" i="1"/>
  <c r="AL2620" i="1"/>
  <c r="AL2621" i="1"/>
  <c r="AL2622" i="1"/>
  <c r="AL2623" i="1"/>
  <c r="AL2625" i="1"/>
  <c r="AL2626" i="1"/>
  <c r="AL2624" i="1"/>
  <c r="AL2631" i="1"/>
  <c r="AL2632" i="1"/>
  <c r="D571" i="10"/>
  <c r="D570" i="10"/>
  <c r="D569" i="10"/>
  <c r="D568" i="10"/>
  <c r="D567" i="10"/>
  <c r="D566" i="10"/>
  <c r="D565" i="10"/>
  <c r="D564" i="10"/>
  <c r="D563" i="10"/>
  <c r="I2611" i="1"/>
  <c r="F2611" i="1" s="1"/>
  <c r="I2615" i="1"/>
  <c r="F2615" i="1" s="1"/>
  <c r="I2612" i="1"/>
  <c r="F2612" i="1" s="1"/>
  <c r="I2614" i="1"/>
  <c r="F2614" i="1" s="1"/>
  <c r="I2613" i="1"/>
  <c r="F2613" i="1" s="1"/>
  <c r="K2611" i="1"/>
  <c r="K2615" i="1"/>
  <c r="K2612" i="1"/>
  <c r="K2614" i="1"/>
  <c r="K2613" i="1"/>
  <c r="Q2611" i="1"/>
  <c r="Q2615" i="1"/>
  <c r="Q2612" i="1"/>
  <c r="Q2614" i="1"/>
  <c r="Q2613" i="1"/>
  <c r="AH2611" i="1"/>
  <c r="AH2615" i="1"/>
  <c r="AH2612" i="1"/>
  <c r="AH2614" i="1"/>
  <c r="AH2613" i="1"/>
  <c r="AL2611" i="1"/>
  <c r="AL2615" i="1"/>
  <c r="AL2612" i="1"/>
  <c r="AL2614" i="1"/>
  <c r="AL2613" i="1"/>
  <c r="D561" i="10"/>
  <c r="D560" i="10"/>
  <c r="D559" i="10"/>
  <c r="D558" i="10"/>
  <c r="D557" i="10"/>
  <c r="I2555" i="1"/>
  <c r="F2555" i="1" s="1"/>
  <c r="I2554" i="1"/>
  <c r="F2554" i="1" s="1"/>
  <c r="K2555" i="1"/>
  <c r="K2554" i="1"/>
  <c r="Q2555" i="1"/>
  <c r="Q2554" i="1"/>
  <c r="AH2555" i="1"/>
  <c r="AH2554" i="1"/>
  <c r="AL2555" i="1"/>
  <c r="AL2554" i="1"/>
  <c r="D555" i="10"/>
  <c r="D554" i="10"/>
  <c r="I1006" i="1"/>
  <c r="F1006" i="1" s="1"/>
  <c r="I1010" i="1"/>
  <c r="F1010" i="1" s="1"/>
  <c r="I1011" i="1"/>
  <c r="F1011" i="1" s="1"/>
  <c r="I1012" i="1"/>
  <c r="F1012" i="1" s="1"/>
  <c r="I1001" i="1"/>
  <c r="F1001" i="1" s="1"/>
  <c r="I1007" i="1"/>
  <c r="F1007" i="1" s="1"/>
  <c r="I1014" i="1"/>
  <c r="F1014" i="1" s="1"/>
  <c r="I1015" i="1"/>
  <c r="F1015" i="1" s="1"/>
  <c r="I1005" i="1"/>
  <c r="F1005" i="1" s="1"/>
  <c r="I1017" i="1"/>
  <c r="F1017" i="1" s="1"/>
  <c r="I1013" i="1"/>
  <c r="F1013" i="1" s="1"/>
  <c r="I1009" i="1"/>
  <c r="F1009" i="1" s="1"/>
  <c r="I1008" i="1"/>
  <c r="F1008" i="1" s="1"/>
  <c r="I1016" i="1"/>
  <c r="F1016" i="1" s="1"/>
  <c r="K1006" i="1"/>
  <c r="K1010" i="1"/>
  <c r="K1011" i="1"/>
  <c r="K1012" i="1"/>
  <c r="K1001" i="1"/>
  <c r="K1007" i="1"/>
  <c r="K1014" i="1"/>
  <c r="K1015" i="1"/>
  <c r="K1005" i="1"/>
  <c r="K1017" i="1"/>
  <c r="K1013" i="1"/>
  <c r="K1009" i="1"/>
  <c r="K1008" i="1"/>
  <c r="K1016" i="1"/>
  <c r="Q1006" i="1"/>
  <c r="Q1010" i="1"/>
  <c r="Q1011" i="1"/>
  <c r="Q1012" i="1"/>
  <c r="Q1001" i="1"/>
  <c r="Q1007" i="1"/>
  <c r="Q1014" i="1"/>
  <c r="Q1015" i="1"/>
  <c r="Q1005" i="1"/>
  <c r="Q1017" i="1"/>
  <c r="Q1013" i="1"/>
  <c r="Q1009" i="1"/>
  <c r="Q1008" i="1"/>
  <c r="Q1016" i="1"/>
  <c r="AH1006" i="1"/>
  <c r="AH1010" i="1"/>
  <c r="AH1011" i="1"/>
  <c r="AH1012" i="1"/>
  <c r="AH1001" i="1"/>
  <c r="AH1007" i="1"/>
  <c r="AH1014" i="1"/>
  <c r="AH1015" i="1"/>
  <c r="AH1005" i="1"/>
  <c r="AH1017" i="1"/>
  <c r="AH1013" i="1"/>
  <c r="AH1009" i="1"/>
  <c r="AH1008" i="1"/>
  <c r="AH1016" i="1"/>
  <c r="AL1006" i="1"/>
  <c r="AL1010" i="1"/>
  <c r="AL1011" i="1"/>
  <c r="AL1012" i="1"/>
  <c r="AL1001" i="1"/>
  <c r="AL1007" i="1"/>
  <c r="AL1014" i="1"/>
  <c r="AL1015" i="1"/>
  <c r="AL1005" i="1"/>
  <c r="AL1017" i="1"/>
  <c r="AL1013" i="1"/>
  <c r="AL1009" i="1"/>
  <c r="AL1008" i="1"/>
  <c r="AL1016" i="1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I979" i="1"/>
  <c r="F979" i="1" s="1"/>
  <c r="I980" i="1"/>
  <c r="F980" i="1" s="1"/>
  <c r="I981" i="1"/>
  <c r="F981" i="1" s="1"/>
  <c r="I986" i="1"/>
  <c r="F986" i="1" s="1"/>
  <c r="I984" i="1"/>
  <c r="F984" i="1" s="1"/>
  <c r="I983" i="1"/>
  <c r="F983" i="1" s="1"/>
  <c r="I982" i="1"/>
  <c r="F982" i="1" s="1"/>
  <c r="I985" i="1"/>
  <c r="F985" i="1" s="1"/>
  <c r="K979" i="1"/>
  <c r="K980" i="1"/>
  <c r="K981" i="1"/>
  <c r="K986" i="1"/>
  <c r="K984" i="1"/>
  <c r="K983" i="1"/>
  <c r="K982" i="1"/>
  <c r="K985" i="1"/>
  <c r="Q979" i="1"/>
  <c r="Q980" i="1"/>
  <c r="Q981" i="1"/>
  <c r="Q986" i="1"/>
  <c r="Q984" i="1"/>
  <c r="Q983" i="1"/>
  <c r="Q982" i="1"/>
  <c r="Q985" i="1"/>
  <c r="AH979" i="1"/>
  <c r="AH980" i="1"/>
  <c r="AH981" i="1"/>
  <c r="AH986" i="1"/>
  <c r="AH984" i="1"/>
  <c r="AH983" i="1"/>
  <c r="AH982" i="1"/>
  <c r="AH985" i="1"/>
  <c r="AL979" i="1"/>
  <c r="AL980" i="1"/>
  <c r="AL981" i="1"/>
  <c r="AL986" i="1"/>
  <c r="AL984" i="1"/>
  <c r="AL983" i="1"/>
  <c r="AL982" i="1"/>
  <c r="AL985" i="1"/>
  <c r="D535" i="10"/>
  <c r="D534" i="10"/>
  <c r="D533" i="10"/>
  <c r="D532" i="10"/>
  <c r="D531" i="10"/>
  <c r="D530" i="10"/>
  <c r="D529" i="10"/>
  <c r="D528" i="10"/>
  <c r="I971" i="1"/>
  <c r="F971" i="1" s="1"/>
  <c r="I972" i="1"/>
  <c r="F972" i="1" s="1"/>
  <c r="I973" i="1"/>
  <c r="F973" i="1" s="1"/>
  <c r="I965" i="1"/>
  <c r="F965" i="1" s="1"/>
  <c r="I975" i="1"/>
  <c r="F975" i="1" s="1"/>
  <c r="I976" i="1"/>
  <c r="F976" i="1" s="1"/>
  <c r="I968" i="1"/>
  <c r="F968" i="1" s="1"/>
  <c r="I966" i="1"/>
  <c r="F966" i="1" s="1"/>
  <c r="I978" i="1"/>
  <c r="F978" i="1" s="1"/>
  <c r="I974" i="1"/>
  <c r="F974" i="1" s="1"/>
  <c r="I970" i="1"/>
  <c r="F970" i="1" s="1"/>
  <c r="I969" i="1"/>
  <c r="F969" i="1" s="1"/>
  <c r="I977" i="1"/>
  <c r="F977" i="1" s="1"/>
  <c r="K971" i="1"/>
  <c r="K972" i="1"/>
  <c r="K973" i="1"/>
  <c r="K965" i="1"/>
  <c r="K975" i="1"/>
  <c r="K976" i="1"/>
  <c r="K968" i="1"/>
  <c r="K966" i="1"/>
  <c r="K978" i="1"/>
  <c r="K974" i="1"/>
  <c r="K970" i="1"/>
  <c r="K969" i="1"/>
  <c r="K977" i="1"/>
  <c r="Q971" i="1"/>
  <c r="Q972" i="1"/>
  <c r="Q973" i="1"/>
  <c r="Q965" i="1"/>
  <c r="Q975" i="1"/>
  <c r="Q976" i="1"/>
  <c r="Q968" i="1"/>
  <c r="Q966" i="1"/>
  <c r="Q978" i="1"/>
  <c r="Q974" i="1"/>
  <c r="Q970" i="1"/>
  <c r="Q969" i="1"/>
  <c r="Q977" i="1"/>
  <c r="AH971" i="1"/>
  <c r="AH972" i="1"/>
  <c r="AH973" i="1"/>
  <c r="AH965" i="1"/>
  <c r="AH975" i="1"/>
  <c r="AH976" i="1"/>
  <c r="AH968" i="1"/>
  <c r="AH966" i="1"/>
  <c r="AH978" i="1"/>
  <c r="AH974" i="1"/>
  <c r="AH970" i="1"/>
  <c r="AH969" i="1"/>
  <c r="AH977" i="1"/>
  <c r="AL971" i="1"/>
  <c r="AL972" i="1"/>
  <c r="AL973" i="1"/>
  <c r="AL965" i="1"/>
  <c r="AL975" i="1"/>
  <c r="AL976" i="1"/>
  <c r="AL968" i="1"/>
  <c r="AL966" i="1"/>
  <c r="AL978" i="1"/>
  <c r="AL974" i="1"/>
  <c r="AL970" i="1"/>
  <c r="AL969" i="1"/>
  <c r="AL977" i="1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I961" i="1"/>
  <c r="F961" i="1" s="1"/>
  <c r="I953" i="1"/>
  <c r="F953" i="1" s="1"/>
  <c r="I951" i="1"/>
  <c r="F951" i="1" s="1"/>
  <c r="I963" i="1"/>
  <c r="F963" i="1" s="1"/>
  <c r="I959" i="1"/>
  <c r="F959" i="1" s="1"/>
  <c r="I955" i="1"/>
  <c r="F955" i="1" s="1"/>
  <c r="I954" i="1"/>
  <c r="F954" i="1" s="1"/>
  <c r="I962" i="1"/>
  <c r="F962" i="1" s="1"/>
  <c r="K961" i="1"/>
  <c r="K953" i="1"/>
  <c r="K951" i="1"/>
  <c r="K963" i="1"/>
  <c r="K959" i="1"/>
  <c r="K955" i="1"/>
  <c r="K954" i="1"/>
  <c r="K962" i="1"/>
  <c r="Q961" i="1"/>
  <c r="Q953" i="1"/>
  <c r="Q951" i="1"/>
  <c r="Q963" i="1"/>
  <c r="Q959" i="1"/>
  <c r="Q955" i="1"/>
  <c r="Q954" i="1"/>
  <c r="Q962" i="1"/>
  <c r="AH961" i="1"/>
  <c r="AH953" i="1"/>
  <c r="AH951" i="1"/>
  <c r="AH963" i="1"/>
  <c r="AH959" i="1"/>
  <c r="AH955" i="1"/>
  <c r="AH954" i="1"/>
  <c r="AH962" i="1"/>
  <c r="AL961" i="1"/>
  <c r="AL953" i="1"/>
  <c r="AL951" i="1"/>
  <c r="AL963" i="1"/>
  <c r="AL959" i="1"/>
  <c r="AL955" i="1"/>
  <c r="AL954" i="1"/>
  <c r="AL962" i="1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6" i="10"/>
  <c r="I2385" i="1"/>
  <c r="F2385" i="1" s="1"/>
  <c r="I2390" i="1"/>
  <c r="F2390" i="1" s="1"/>
  <c r="I2386" i="1"/>
  <c r="F2386" i="1" s="1"/>
  <c r="I956" i="1"/>
  <c r="F956" i="1" s="1"/>
  <c r="I957" i="1"/>
  <c r="F957" i="1" s="1"/>
  <c r="I958" i="1"/>
  <c r="F958" i="1" s="1"/>
  <c r="I950" i="1"/>
  <c r="F950" i="1" s="1"/>
  <c r="I960" i="1"/>
  <c r="F960" i="1" s="1"/>
  <c r="K2385" i="1"/>
  <c r="K2390" i="1"/>
  <c r="K2386" i="1"/>
  <c r="K956" i="1"/>
  <c r="K957" i="1"/>
  <c r="K958" i="1"/>
  <c r="K950" i="1"/>
  <c r="K960" i="1"/>
  <c r="Q2385" i="1"/>
  <c r="Q2390" i="1"/>
  <c r="Q2386" i="1"/>
  <c r="Q956" i="1"/>
  <c r="Q957" i="1"/>
  <c r="Q958" i="1"/>
  <c r="Q950" i="1"/>
  <c r="Q960" i="1"/>
  <c r="AH2385" i="1"/>
  <c r="AH2390" i="1"/>
  <c r="AH2386" i="1"/>
  <c r="AH956" i="1"/>
  <c r="AH957" i="1"/>
  <c r="AH958" i="1"/>
  <c r="AH950" i="1"/>
  <c r="AH960" i="1"/>
  <c r="AL2385" i="1"/>
  <c r="AL2390" i="1"/>
  <c r="AL2386" i="1"/>
  <c r="AL956" i="1"/>
  <c r="AL957" i="1"/>
  <c r="AL958" i="1"/>
  <c r="AL950" i="1"/>
  <c r="AL960" i="1"/>
  <c r="D494" i="10"/>
  <c r="D493" i="10"/>
  <c r="D492" i="10"/>
  <c r="D491" i="10"/>
  <c r="D490" i="10"/>
  <c r="D489" i="10"/>
  <c r="D488" i="10"/>
  <c r="D487" i="10"/>
  <c r="D486" i="10"/>
  <c r="I2406" i="1"/>
  <c r="F2406" i="1" s="1"/>
  <c r="I2471" i="1"/>
  <c r="F2471" i="1" s="1"/>
  <c r="I2443" i="1"/>
  <c r="F2443" i="1" s="1"/>
  <c r="I2445" i="1"/>
  <c r="F2445" i="1" s="1"/>
  <c r="K2406" i="1"/>
  <c r="K2471" i="1"/>
  <c r="K2443" i="1"/>
  <c r="K2445" i="1"/>
  <c r="Q2406" i="1"/>
  <c r="Q2471" i="1"/>
  <c r="Q2443" i="1"/>
  <c r="Q2445" i="1"/>
  <c r="AH2406" i="1"/>
  <c r="AH2471" i="1"/>
  <c r="AH2443" i="1"/>
  <c r="AH2445" i="1"/>
  <c r="AL2406" i="1"/>
  <c r="AL2471" i="1"/>
  <c r="AL2443" i="1"/>
  <c r="AL2445" i="1"/>
  <c r="D484" i="10"/>
  <c r="D483" i="10"/>
  <c r="D482" i="10"/>
  <c r="D481" i="10"/>
  <c r="I1645" i="1"/>
  <c r="F1645" i="1" s="1"/>
  <c r="I1647" i="1"/>
  <c r="F1647" i="1" s="1"/>
  <c r="I1646" i="1"/>
  <c r="F1646" i="1" s="1"/>
  <c r="I1643" i="1"/>
  <c r="F1643" i="1" s="1"/>
  <c r="I1684" i="1"/>
  <c r="F1684" i="1" s="1"/>
  <c r="I1682" i="1"/>
  <c r="F1682" i="1" s="1"/>
  <c r="I1644" i="1"/>
  <c r="F1644" i="1" s="1"/>
  <c r="I1662" i="1"/>
  <c r="F1662" i="1" s="1"/>
  <c r="I1680" i="1"/>
  <c r="F1680" i="1" s="1"/>
  <c r="I1672" i="1"/>
  <c r="F1672" i="1" s="1"/>
  <c r="K1645" i="1"/>
  <c r="K1647" i="1"/>
  <c r="K1646" i="1"/>
  <c r="K1643" i="1"/>
  <c r="K1684" i="1"/>
  <c r="K1682" i="1"/>
  <c r="K1644" i="1"/>
  <c r="K1662" i="1"/>
  <c r="K1680" i="1"/>
  <c r="K1672" i="1"/>
  <c r="Q1645" i="1"/>
  <c r="Q1647" i="1"/>
  <c r="Q1646" i="1"/>
  <c r="Q1643" i="1"/>
  <c r="Q1684" i="1"/>
  <c r="Q1682" i="1"/>
  <c r="Q1644" i="1"/>
  <c r="Q1662" i="1"/>
  <c r="Q1680" i="1"/>
  <c r="Q1672" i="1"/>
  <c r="AH1645" i="1"/>
  <c r="AH1647" i="1"/>
  <c r="AH1646" i="1"/>
  <c r="AH1643" i="1"/>
  <c r="AH1684" i="1"/>
  <c r="AH1682" i="1"/>
  <c r="AH1644" i="1"/>
  <c r="AH1662" i="1"/>
  <c r="AH1680" i="1"/>
  <c r="AH1672" i="1"/>
  <c r="AL1645" i="1"/>
  <c r="AL1647" i="1"/>
  <c r="AL1646" i="1"/>
  <c r="AL1643" i="1"/>
  <c r="AL1684" i="1"/>
  <c r="AL1682" i="1"/>
  <c r="AL1644" i="1"/>
  <c r="AL1662" i="1"/>
  <c r="AL1680" i="1"/>
  <c r="AL1672" i="1"/>
  <c r="D478" i="10"/>
  <c r="D477" i="10"/>
  <c r="D476" i="10"/>
  <c r="D475" i="10"/>
  <c r="D474" i="10"/>
  <c r="D473" i="10"/>
  <c r="D472" i="10"/>
  <c r="D471" i="10"/>
  <c r="D470" i="10"/>
  <c r="D469" i="10"/>
  <c r="D468" i="10"/>
  <c r="I1642" i="1"/>
  <c r="F1642" i="1" s="1"/>
  <c r="I1641" i="1"/>
  <c r="F1641" i="1" s="1"/>
  <c r="I1640" i="1"/>
  <c r="F1640" i="1" s="1"/>
  <c r="I1639" i="1"/>
  <c r="F1639" i="1" s="1"/>
  <c r="I1638" i="1"/>
  <c r="F1638" i="1" s="1"/>
  <c r="I1637" i="1"/>
  <c r="F1637" i="1" s="1"/>
  <c r="I1636" i="1"/>
  <c r="F1636" i="1" s="1"/>
  <c r="K1642" i="1"/>
  <c r="K1641" i="1"/>
  <c r="K1640" i="1"/>
  <c r="K1639" i="1"/>
  <c r="K1638" i="1"/>
  <c r="K1637" i="1"/>
  <c r="K1636" i="1"/>
  <c r="Q1642" i="1"/>
  <c r="Q1641" i="1"/>
  <c r="Q1640" i="1"/>
  <c r="Q1639" i="1"/>
  <c r="Q1638" i="1"/>
  <c r="Q1637" i="1"/>
  <c r="Q1636" i="1"/>
  <c r="AH1642" i="1"/>
  <c r="AH1641" i="1"/>
  <c r="AH1640" i="1"/>
  <c r="AH1639" i="1"/>
  <c r="AH1638" i="1"/>
  <c r="AH1637" i="1"/>
  <c r="AH1636" i="1"/>
  <c r="AL1642" i="1"/>
  <c r="AL1641" i="1"/>
  <c r="AL1640" i="1"/>
  <c r="AL1639" i="1"/>
  <c r="AL1638" i="1"/>
  <c r="AL1637" i="1"/>
  <c r="AL1636" i="1"/>
  <c r="D465" i="10"/>
  <c r="D464" i="10"/>
  <c r="D463" i="10"/>
  <c r="D462" i="10"/>
  <c r="D461" i="10"/>
  <c r="D460" i="10"/>
  <c r="D459" i="10"/>
  <c r="I1618" i="1"/>
  <c r="F1618" i="1" s="1"/>
  <c r="I1624" i="1"/>
  <c r="F1624" i="1" s="1"/>
  <c r="I1621" i="1"/>
  <c r="F1621" i="1" s="1"/>
  <c r="I1619" i="1"/>
  <c r="F1619" i="1" s="1"/>
  <c r="I1626" i="1"/>
  <c r="F1626" i="1" s="1"/>
  <c r="I1625" i="1"/>
  <c r="F1625" i="1" s="1"/>
  <c r="I1627" i="1"/>
  <c r="F1627" i="1" s="1"/>
  <c r="I1620" i="1"/>
  <c r="F1620" i="1" s="1"/>
  <c r="I1634" i="1"/>
  <c r="F1634" i="1" s="1"/>
  <c r="I1631" i="1"/>
  <c r="F1631" i="1" s="1"/>
  <c r="I1630" i="1"/>
  <c r="F1630" i="1" s="1"/>
  <c r="I1629" i="1"/>
  <c r="F1629" i="1" s="1"/>
  <c r="I1633" i="1"/>
  <c r="F1633" i="1" s="1"/>
  <c r="I1632" i="1"/>
  <c r="F1632" i="1" s="1"/>
  <c r="I1628" i="1"/>
  <c r="F1628" i="1" s="1"/>
  <c r="K1618" i="1"/>
  <c r="K1624" i="1"/>
  <c r="K1621" i="1"/>
  <c r="K1619" i="1"/>
  <c r="K1626" i="1"/>
  <c r="K1625" i="1"/>
  <c r="K1627" i="1"/>
  <c r="K1620" i="1"/>
  <c r="K1634" i="1"/>
  <c r="K1631" i="1"/>
  <c r="K1630" i="1"/>
  <c r="K1629" i="1"/>
  <c r="K1633" i="1"/>
  <c r="K1632" i="1"/>
  <c r="K1628" i="1"/>
  <c r="Q1618" i="1"/>
  <c r="Q1624" i="1"/>
  <c r="Q1621" i="1"/>
  <c r="Q1619" i="1"/>
  <c r="Q1626" i="1"/>
  <c r="Q1625" i="1"/>
  <c r="Q1627" i="1"/>
  <c r="Q1620" i="1"/>
  <c r="Q1634" i="1"/>
  <c r="Q1631" i="1"/>
  <c r="Q1630" i="1"/>
  <c r="Q1629" i="1"/>
  <c r="Q1633" i="1"/>
  <c r="Q1632" i="1"/>
  <c r="Q1628" i="1"/>
  <c r="AH1624" i="1"/>
  <c r="AH1621" i="1"/>
  <c r="AH1619" i="1"/>
  <c r="AH1625" i="1"/>
  <c r="AH1627" i="1"/>
  <c r="AH1620" i="1"/>
  <c r="AH1634" i="1"/>
  <c r="AH1631" i="1"/>
  <c r="AH1630" i="1"/>
  <c r="AH1629" i="1"/>
  <c r="AH1633" i="1"/>
  <c r="AH1632" i="1"/>
  <c r="AH1628" i="1"/>
  <c r="AL1618" i="1"/>
  <c r="AL1624" i="1"/>
  <c r="AL1621" i="1"/>
  <c r="AL1619" i="1"/>
  <c r="AL1626" i="1"/>
  <c r="AL1625" i="1"/>
  <c r="AL1627" i="1"/>
  <c r="AL1620" i="1"/>
  <c r="AL1634" i="1"/>
  <c r="AL1631" i="1"/>
  <c r="AL1630" i="1"/>
  <c r="AL1629" i="1"/>
  <c r="AL1633" i="1"/>
  <c r="AL1632" i="1"/>
  <c r="AL1628" i="1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I1557" i="1"/>
  <c r="F1557" i="1" s="1"/>
  <c r="I1546" i="1"/>
  <c r="F1546" i="1" s="1"/>
  <c r="I1551" i="1"/>
  <c r="F1551" i="1" s="1"/>
  <c r="I1550" i="1"/>
  <c r="F1550" i="1" s="1"/>
  <c r="I1549" i="1"/>
  <c r="F1549" i="1" s="1"/>
  <c r="I1555" i="1"/>
  <c r="F1555" i="1" s="1"/>
  <c r="I1548" i="1"/>
  <c r="F1548" i="1" s="1"/>
  <c r="I1554" i="1"/>
  <c r="F1554" i="1" s="1"/>
  <c r="I1547" i="1"/>
  <c r="F1547" i="1" s="1"/>
  <c r="I1556" i="1"/>
  <c r="F1556" i="1" s="1"/>
  <c r="I1545" i="1"/>
  <c r="F1545" i="1" s="1"/>
  <c r="I1544" i="1"/>
  <c r="F1544" i="1" s="1"/>
  <c r="I1543" i="1"/>
  <c r="F1543" i="1" s="1"/>
  <c r="I1542" i="1"/>
  <c r="F1542" i="1" s="1"/>
  <c r="I1541" i="1"/>
  <c r="F1541" i="1" s="1"/>
  <c r="I1540" i="1"/>
  <c r="F1540" i="1" s="1"/>
  <c r="I1553" i="1"/>
  <c r="F1553" i="1" s="1"/>
  <c r="I1552" i="1"/>
  <c r="F1552" i="1" s="1"/>
  <c r="K1557" i="1"/>
  <c r="K1546" i="1"/>
  <c r="K1551" i="1"/>
  <c r="K1550" i="1"/>
  <c r="K1549" i="1"/>
  <c r="K1555" i="1"/>
  <c r="K1548" i="1"/>
  <c r="K1554" i="1"/>
  <c r="K1547" i="1"/>
  <c r="K1556" i="1"/>
  <c r="K1545" i="1"/>
  <c r="K1544" i="1"/>
  <c r="K1543" i="1"/>
  <c r="K1542" i="1"/>
  <c r="K1541" i="1"/>
  <c r="K1540" i="1"/>
  <c r="K1553" i="1"/>
  <c r="K1552" i="1"/>
  <c r="Q1557" i="1"/>
  <c r="Q1546" i="1"/>
  <c r="Q1551" i="1"/>
  <c r="Q1550" i="1"/>
  <c r="Q1549" i="1"/>
  <c r="Q1555" i="1"/>
  <c r="Q1548" i="1"/>
  <c r="Q1554" i="1"/>
  <c r="Q1547" i="1"/>
  <c r="Q1556" i="1"/>
  <c r="Q1545" i="1"/>
  <c r="Q1544" i="1"/>
  <c r="Q1543" i="1"/>
  <c r="Q1542" i="1"/>
  <c r="Q1541" i="1"/>
  <c r="Q1540" i="1"/>
  <c r="Q1553" i="1"/>
  <c r="Q1552" i="1"/>
  <c r="AH1557" i="1"/>
  <c r="AH1546" i="1"/>
  <c r="AH1551" i="1"/>
  <c r="AH1550" i="1"/>
  <c r="AH1549" i="1"/>
  <c r="AH1555" i="1"/>
  <c r="AH1548" i="1"/>
  <c r="AH1554" i="1"/>
  <c r="AH1547" i="1"/>
  <c r="AH1556" i="1"/>
  <c r="AH1545" i="1"/>
  <c r="AH1544" i="1"/>
  <c r="AH1543" i="1"/>
  <c r="AH1542" i="1"/>
  <c r="AH1541" i="1"/>
  <c r="AH1540" i="1"/>
  <c r="AH1553" i="1"/>
  <c r="AH1552" i="1"/>
  <c r="AL1557" i="1"/>
  <c r="AL1546" i="1"/>
  <c r="AL1551" i="1"/>
  <c r="AL1550" i="1"/>
  <c r="AL1549" i="1"/>
  <c r="AL1555" i="1"/>
  <c r="AL1548" i="1"/>
  <c r="AL1554" i="1"/>
  <c r="AL1547" i="1"/>
  <c r="AL1556" i="1"/>
  <c r="AL1545" i="1"/>
  <c r="AL1544" i="1"/>
  <c r="AL1543" i="1"/>
  <c r="AL1542" i="1"/>
  <c r="AL1541" i="1"/>
  <c r="AL1540" i="1"/>
  <c r="AL1553" i="1"/>
  <c r="AL1552" i="1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I2583" i="1"/>
  <c r="F2583" i="1" s="1"/>
  <c r="I2577" i="1"/>
  <c r="F2577" i="1" s="1"/>
  <c r="I2580" i="1"/>
  <c r="F2580" i="1" s="1"/>
  <c r="I2578" i="1"/>
  <c r="F2578" i="1" s="1"/>
  <c r="I2582" i="1"/>
  <c r="F2582" i="1" s="1"/>
  <c r="I2581" i="1"/>
  <c r="F2581" i="1" s="1"/>
  <c r="I2579" i="1"/>
  <c r="F2579" i="1" s="1"/>
  <c r="I2608" i="1"/>
  <c r="F2608" i="1" s="1"/>
  <c r="I2603" i="1"/>
  <c r="F2603" i="1" s="1"/>
  <c r="I2599" i="1"/>
  <c r="F2599" i="1" s="1"/>
  <c r="I2596" i="1"/>
  <c r="F2596" i="1" s="1"/>
  <c r="I2607" i="1"/>
  <c r="F2607" i="1" s="1"/>
  <c r="K2583" i="1"/>
  <c r="K2577" i="1"/>
  <c r="K2580" i="1"/>
  <c r="K2578" i="1"/>
  <c r="K2582" i="1"/>
  <c r="K2581" i="1"/>
  <c r="K2579" i="1"/>
  <c r="K2608" i="1"/>
  <c r="K2603" i="1"/>
  <c r="K2599" i="1"/>
  <c r="K2596" i="1"/>
  <c r="K2607" i="1"/>
  <c r="Q2583" i="1"/>
  <c r="Q2577" i="1"/>
  <c r="Q2580" i="1"/>
  <c r="Q2578" i="1"/>
  <c r="Q2582" i="1"/>
  <c r="Q2581" i="1"/>
  <c r="Q2579" i="1"/>
  <c r="Q2608" i="1"/>
  <c r="Q2603" i="1"/>
  <c r="Q2599" i="1"/>
  <c r="Q2596" i="1"/>
  <c r="Q2607" i="1"/>
  <c r="AH2583" i="1"/>
  <c r="AH2577" i="1"/>
  <c r="AH2580" i="1"/>
  <c r="AH2578" i="1"/>
  <c r="AH2582" i="1"/>
  <c r="AH2581" i="1"/>
  <c r="AH2579" i="1"/>
  <c r="AH2608" i="1"/>
  <c r="AH2603" i="1"/>
  <c r="AH2599" i="1"/>
  <c r="AH2596" i="1"/>
  <c r="AH2607" i="1"/>
  <c r="AL2583" i="1"/>
  <c r="AL2577" i="1"/>
  <c r="AL2580" i="1"/>
  <c r="AL2578" i="1"/>
  <c r="AL2582" i="1"/>
  <c r="AL2581" i="1"/>
  <c r="AL2579" i="1"/>
  <c r="AL2608" i="1"/>
  <c r="AL2603" i="1"/>
  <c r="AL2599" i="1"/>
  <c r="AL2596" i="1"/>
  <c r="AL2607" i="1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I1133" i="1"/>
  <c r="F1133" i="1" s="1"/>
  <c r="I1134" i="1"/>
  <c r="F1134" i="1" s="1"/>
  <c r="I1228" i="1"/>
  <c r="F1228" i="1" s="1"/>
  <c r="I1226" i="1"/>
  <c r="F1226" i="1" s="1"/>
  <c r="I1229" i="1"/>
  <c r="F1229" i="1" s="1"/>
  <c r="I130" i="1"/>
  <c r="F130" i="1" s="1"/>
  <c r="I1439" i="1"/>
  <c r="F1439" i="1" s="1"/>
  <c r="I1438" i="1"/>
  <c r="F1438" i="1" s="1"/>
  <c r="I1437" i="1"/>
  <c r="F1437" i="1" s="1"/>
  <c r="K1133" i="1"/>
  <c r="K1134" i="1"/>
  <c r="K1228" i="1"/>
  <c r="K1226" i="1"/>
  <c r="K1229" i="1"/>
  <c r="K130" i="1"/>
  <c r="K1439" i="1"/>
  <c r="K1438" i="1"/>
  <c r="K1437" i="1"/>
  <c r="Q1133" i="1"/>
  <c r="Q1134" i="1"/>
  <c r="Q1228" i="1"/>
  <c r="Q1226" i="1"/>
  <c r="Q1229" i="1"/>
  <c r="Q130" i="1"/>
  <c r="Q1439" i="1"/>
  <c r="Q1438" i="1"/>
  <c r="Q1437" i="1"/>
  <c r="AH1133" i="1"/>
  <c r="AH1134" i="1"/>
  <c r="AH1228" i="1"/>
  <c r="AH1226" i="1"/>
  <c r="AH1229" i="1"/>
  <c r="AH130" i="1"/>
  <c r="AH1439" i="1"/>
  <c r="AH1438" i="1"/>
  <c r="AH1437" i="1"/>
  <c r="AL1133" i="1"/>
  <c r="AL1134" i="1"/>
  <c r="AL1228" i="1"/>
  <c r="AL1226" i="1"/>
  <c r="AL1229" i="1"/>
  <c r="AL130" i="1"/>
  <c r="AL1439" i="1"/>
  <c r="AL1438" i="1"/>
  <c r="AL1437" i="1"/>
  <c r="D237" i="10"/>
  <c r="D236" i="10"/>
  <c r="D235" i="10"/>
  <c r="D233" i="10"/>
  <c r="D232" i="10"/>
  <c r="D231" i="10"/>
  <c r="D230" i="10"/>
  <c r="D229" i="10"/>
  <c r="D227" i="10"/>
  <c r="D226" i="10"/>
  <c r="I912" i="1"/>
  <c r="F912" i="1" s="1"/>
  <c r="I916" i="1"/>
  <c r="F916" i="1" s="1"/>
  <c r="I917" i="1"/>
  <c r="F917" i="1" s="1"/>
  <c r="I918" i="1"/>
  <c r="F918" i="1" s="1"/>
  <c r="I910" i="1"/>
  <c r="F910" i="1" s="1"/>
  <c r="I913" i="1"/>
  <c r="F913" i="1" s="1"/>
  <c r="I920" i="1"/>
  <c r="F920" i="1" s="1"/>
  <c r="I922" i="1"/>
  <c r="F922" i="1" s="1"/>
  <c r="I911" i="1"/>
  <c r="F911" i="1" s="1"/>
  <c r="I924" i="1"/>
  <c r="F924" i="1" s="1"/>
  <c r="I919" i="1"/>
  <c r="F919" i="1" s="1"/>
  <c r="I915" i="1"/>
  <c r="F915" i="1" s="1"/>
  <c r="I914" i="1"/>
  <c r="F914" i="1" s="1"/>
  <c r="I923" i="1"/>
  <c r="F923" i="1" s="1"/>
  <c r="K912" i="1"/>
  <c r="K916" i="1"/>
  <c r="K917" i="1"/>
  <c r="K918" i="1"/>
  <c r="K910" i="1"/>
  <c r="K913" i="1"/>
  <c r="K920" i="1"/>
  <c r="K922" i="1"/>
  <c r="K911" i="1"/>
  <c r="K924" i="1"/>
  <c r="K919" i="1"/>
  <c r="K915" i="1"/>
  <c r="K914" i="1"/>
  <c r="K923" i="1"/>
  <c r="Q912" i="1"/>
  <c r="Q916" i="1"/>
  <c r="Q917" i="1"/>
  <c r="Q918" i="1"/>
  <c r="Q910" i="1"/>
  <c r="Q913" i="1"/>
  <c r="Q920" i="1"/>
  <c r="Q922" i="1"/>
  <c r="Q911" i="1"/>
  <c r="Q924" i="1"/>
  <c r="Q919" i="1"/>
  <c r="Q915" i="1"/>
  <c r="Q914" i="1"/>
  <c r="Q923" i="1"/>
  <c r="AH912" i="1"/>
  <c r="AH916" i="1"/>
  <c r="AH917" i="1"/>
  <c r="AH918" i="1"/>
  <c r="AH910" i="1"/>
  <c r="AH913" i="1"/>
  <c r="AH920" i="1"/>
  <c r="AH922" i="1"/>
  <c r="AH911" i="1"/>
  <c r="AH924" i="1"/>
  <c r="AH919" i="1"/>
  <c r="AH915" i="1"/>
  <c r="AH914" i="1"/>
  <c r="AH923" i="1"/>
  <c r="AL912" i="1"/>
  <c r="AL916" i="1"/>
  <c r="AL917" i="1"/>
  <c r="AL918" i="1"/>
  <c r="AL910" i="1"/>
  <c r="AL913" i="1"/>
  <c r="AL920" i="1"/>
  <c r="AL922" i="1"/>
  <c r="AL911" i="1"/>
  <c r="AL924" i="1"/>
  <c r="AL919" i="1"/>
  <c r="AL915" i="1"/>
  <c r="AL914" i="1"/>
  <c r="AL923" i="1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8" i="10"/>
  <c r="D207" i="10"/>
  <c r="D206" i="10"/>
  <c r="D204" i="10"/>
  <c r="D203" i="10"/>
  <c r="D202" i="10"/>
  <c r="D201" i="10"/>
  <c r="I844" i="1"/>
  <c r="F844" i="1" s="1"/>
  <c r="I802" i="1"/>
  <c r="F802" i="1" s="1"/>
  <c r="I803" i="1"/>
  <c r="F803" i="1" s="1"/>
  <c r="I801" i="1"/>
  <c r="F801" i="1" s="1"/>
  <c r="I797" i="1"/>
  <c r="F797" i="1" s="1"/>
  <c r="I701" i="1"/>
  <c r="F701" i="1" s="1"/>
  <c r="I700" i="1"/>
  <c r="F700" i="1" s="1"/>
  <c r="I698" i="1"/>
  <c r="F698" i="1" s="1"/>
  <c r="I699" i="1"/>
  <c r="F699" i="1" s="1"/>
  <c r="I1121" i="1"/>
  <c r="F1121" i="1" s="1"/>
  <c r="I1128" i="1"/>
  <c r="F1128" i="1" s="1"/>
  <c r="K844" i="1"/>
  <c r="K802" i="1"/>
  <c r="K803" i="1"/>
  <c r="K801" i="1"/>
  <c r="K797" i="1"/>
  <c r="K701" i="1"/>
  <c r="K700" i="1"/>
  <c r="K698" i="1"/>
  <c r="K699" i="1"/>
  <c r="K1121" i="1"/>
  <c r="K1128" i="1"/>
  <c r="Q844" i="1"/>
  <c r="Q802" i="1"/>
  <c r="Q803" i="1"/>
  <c r="Q801" i="1"/>
  <c r="Q797" i="1"/>
  <c r="Q701" i="1"/>
  <c r="Q700" i="1"/>
  <c r="Q698" i="1"/>
  <c r="Q699" i="1"/>
  <c r="Q1121" i="1"/>
  <c r="Q1128" i="1"/>
  <c r="AH844" i="1"/>
  <c r="AH802" i="1"/>
  <c r="AH803" i="1"/>
  <c r="AH801" i="1"/>
  <c r="AH797" i="1"/>
  <c r="AH701" i="1"/>
  <c r="AH700" i="1"/>
  <c r="AH698" i="1"/>
  <c r="AH699" i="1"/>
  <c r="AH1121" i="1"/>
  <c r="AH1128" i="1"/>
  <c r="AL844" i="1"/>
  <c r="AL802" i="1"/>
  <c r="AL803" i="1"/>
  <c r="AL801" i="1"/>
  <c r="AL797" i="1"/>
  <c r="AL701" i="1"/>
  <c r="AL700" i="1"/>
  <c r="AL698" i="1"/>
  <c r="AL699" i="1"/>
  <c r="AL1121" i="1"/>
  <c r="AL1128" i="1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I779" i="1"/>
  <c r="F779" i="1" s="1"/>
  <c r="I775" i="1"/>
  <c r="F775" i="1" s="1"/>
  <c r="I778" i="1"/>
  <c r="F778" i="1" s="1"/>
  <c r="I776" i="1"/>
  <c r="F776" i="1" s="1"/>
  <c r="I777" i="1"/>
  <c r="F777" i="1" s="1"/>
  <c r="I780" i="1"/>
  <c r="F780" i="1" s="1"/>
  <c r="I782" i="1"/>
  <c r="F782" i="1" s="1"/>
  <c r="I781" i="1"/>
  <c r="F781" i="1" s="1"/>
  <c r="I774" i="1"/>
  <c r="F774" i="1" s="1"/>
  <c r="K779" i="1"/>
  <c r="K775" i="1"/>
  <c r="K778" i="1"/>
  <c r="K776" i="1"/>
  <c r="K777" i="1"/>
  <c r="K780" i="1"/>
  <c r="K782" i="1"/>
  <c r="K781" i="1"/>
  <c r="K774" i="1"/>
  <c r="Q779" i="1"/>
  <c r="Q775" i="1"/>
  <c r="Q778" i="1"/>
  <c r="Q776" i="1"/>
  <c r="Q777" i="1"/>
  <c r="Q780" i="1"/>
  <c r="Q782" i="1"/>
  <c r="Q781" i="1"/>
  <c r="Q774" i="1"/>
  <c r="AH779" i="1"/>
  <c r="AH775" i="1"/>
  <c r="AH778" i="1"/>
  <c r="AH776" i="1"/>
  <c r="AH777" i="1"/>
  <c r="AH780" i="1"/>
  <c r="AH782" i="1"/>
  <c r="AH781" i="1"/>
  <c r="AH774" i="1"/>
  <c r="AL779" i="1"/>
  <c r="AL775" i="1"/>
  <c r="AL778" i="1"/>
  <c r="AL776" i="1"/>
  <c r="AL777" i="1"/>
  <c r="AL780" i="1"/>
  <c r="AL782" i="1"/>
  <c r="AL781" i="1"/>
  <c r="AL774" i="1"/>
  <c r="D185" i="10"/>
  <c r="D184" i="10"/>
  <c r="D183" i="10"/>
  <c r="D182" i="10"/>
  <c r="D181" i="10"/>
  <c r="D180" i="10"/>
  <c r="D179" i="10"/>
  <c r="D178" i="10"/>
  <c r="D177" i="10"/>
  <c r="I767" i="1"/>
  <c r="F767" i="1" s="1"/>
  <c r="I766" i="1"/>
  <c r="F766" i="1" s="1"/>
  <c r="I768" i="1"/>
  <c r="F768" i="1" s="1"/>
  <c r="I773" i="1"/>
  <c r="F773" i="1" s="1"/>
  <c r="I771" i="1"/>
  <c r="F771" i="1" s="1"/>
  <c r="I770" i="1"/>
  <c r="F770" i="1" s="1"/>
  <c r="I769" i="1"/>
  <c r="F769" i="1" s="1"/>
  <c r="I772" i="1"/>
  <c r="F772" i="1" s="1"/>
  <c r="K767" i="1"/>
  <c r="K766" i="1"/>
  <c r="K768" i="1"/>
  <c r="K773" i="1"/>
  <c r="K771" i="1"/>
  <c r="K770" i="1"/>
  <c r="K769" i="1"/>
  <c r="K772" i="1"/>
  <c r="Q767" i="1"/>
  <c r="Q766" i="1"/>
  <c r="Q768" i="1"/>
  <c r="Q773" i="1"/>
  <c r="Q771" i="1"/>
  <c r="Q770" i="1"/>
  <c r="Q769" i="1"/>
  <c r="Q772" i="1"/>
  <c r="AH767" i="1"/>
  <c r="AH766" i="1"/>
  <c r="AH768" i="1"/>
  <c r="AH773" i="1"/>
  <c r="AH771" i="1"/>
  <c r="AH770" i="1"/>
  <c r="AH769" i="1"/>
  <c r="AH772" i="1"/>
  <c r="AL767" i="1"/>
  <c r="AL766" i="1"/>
  <c r="AL768" i="1"/>
  <c r="AL773" i="1"/>
  <c r="AL771" i="1"/>
  <c r="AL770" i="1"/>
  <c r="AL769" i="1"/>
  <c r="AL772" i="1"/>
  <c r="D174" i="10"/>
  <c r="D173" i="10"/>
  <c r="D172" i="10"/>
  <c r="D171" i="10"/>
  <c r="D170" i="10"/>
  <c r="D169" i="10"/>
  <c r="D168" i="10"/>
  <c r="D167" i="10"/>
  <c r="I741" i="1"/>
  <c r="F741" i="1" s="1"/>
  <c r="I755" i="1"/>
  <c r="F755" i="1" s="1"/>
  <c r="I756" i="1"/>
  <c r="F756" i="1" s="1"/>
  <c r="I757" i="1"/>
  <c r="F757" i="1" s="1"/>
  <c r="I745" i="1"/>
  <c r="F745" i="1" s="1"/>
  <c r="I758" i="1"/>
  <c r="F758" i="1" s="1"/>
  <c r="I765" i="1"/>
  <c r="F765" i="1" s="1"/>
  <c r="I753" i="1"/>
  <c r="F753" i="1" s="1"/>
  <c r="I750" i="1"/>
  <c r="F750" i="1" s="1"/>
  <c r="I763" i="1"/>
  <c r="F763" i="1" s="1"/>
  <c r="I752" i="1"/>
  <c r="F752" i="1" s="1"/>
  <c r="I744" i="1"/>
  <c r="F744" i="1" s="1"/>
  <c r="I743" i="1"/>
  <c r="F743" i="1" s="1"/>
  <c r="K741" i="1"/>
  <c r="K755" i="1"/>
  <c r="K756" i="1"/>
  <c r="K757" i="1"/>
  <c r="K745" i="1"/>
  <c r="K758" i="1"/>
  <c r="K765" i="1"/>
  <c r="K753" i="1"/>
  <c r="K750" i="1"/>
  <c r="K763" i="1"/>
  <c r="K752" i="1"/>
  <c r="K744" i="1"/>
  <c r="K743" i="1"/>
  <c r="Q741" i="1"/>
  <c r="Q755" i="1"/>
  <c r="Q756" i="1"/>
  <c r="Q757" i="1"/>
  <c r="Q745" i="1"/>
  <c r="Q758" i="1"/>
  <c r="Q765" i="1"/>
  <c r="Q753" i="1"/>
  <c r="Q750" i="1"/>
  <c r="Q763" i="1"/>
  <c r="Q752" i="1"/>
  <c r="Q744" i="1"/>
  <c r="Q743" i="1"/>
  <c r="AH741" i="1"/>
  <c r="AH755" i="1"/>
  <c r="AH756" i="1"/>
  <c r="AH757" i="1"/>
  <c r="AH745" i="1"/>
  <c r="AH758" i="1"/>
  <c r="AH765" i="1"/>
  <c r="AH753" i="1"/>
  <c r="AH750" i="1"/>
  <c r="AH763" i="1"/>
  <c r="AH752" i="1"/>
  <c r="AH744" i="1"/>
  <c r="AH743" i="1"/>
  <c r="AL741" i="1"/>
  <c r="AL755" i="1"/>
  <c r="AL756" i="1"/>
  <c r="AL757" i="1"/>
  <c r="AL745" i="1"/>
  <c r="AL758" i="1"/>
  <c r="AL765" i="1"/>
  <c r="AL753" i="1"/>
  <c r="AL750" i="1"/>
  <c r="AL763" i="1"/>
  <c r="AL752" i="1"/>
  <c r="AL744" i="1"/>
  <c r="AL743" i="1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I662" i="1"/>
  <c r="F662" i="1" s="1"/>
  <c r="I661" i="1"/>
  <c r="F661" i="1" s="1"/>
  <c r="I660" i="1"/>
  <c r="F660" i="1" s="1"/>
  <c r="I659" i="1"/>
  <c r="F659" i="1" s="1"/>
  <c r="K662" i="1"/>
  <c r="K661" i="1"/>
  <c r="K660" i="1"/>
  <c r="K659" i="1"/>
  <c r="Q662" i="1"/>
  <c r="Q661" i="1"/>
  <c r="Q660" i="1"/>
  <c r="Q659" i="1"/>
  <c r="AH662" i="1"/>
  <c r="AH661" i="1"/>
  <c r="AH660" i="1"/>
  <c r="AH659" i="1"/>
  <c r="AL662" i="1"/>
  <c r="AL661" i="1"/>
  <c r="AL660" i="1"/>
  <c r="AL659" i="1"/>
  <c r="D151" i="10"/>
  <c r="D150" i="10"/>
  <c r="D149" i="10"/>
  <c r="D148" i="10"/>
  <c r="I669" i="1"/>
  <c r="F669" i="1" s="1"/>
  <c r="K669" i="1"/>
  <c r="Q669" i="1"/>
  <c r="AH669" i="1"/>
  <c r="AL669" i="1"/>
  <c r="D146" i="10"/>
  <c r="D144" i="10"/>
  <c r="D143" i="10"/>
  <c r="D142" i="10"/>
  <c r="D141" i="10"/>
  <c r="D140" i="10"/>
  <c r="D139" i="10"/>
  <c r="D138" i="10"/>
  <c r="I883" i="1"/>
  <c r="F883" i="1" s="1"/>
  <c r="I884" i="1"/>
  <c r="F884" i="1" s="1"/>
  <c r="I876" i="1"/>
  <c r="F876" i="1" s="1"/>
  <c r="I882" i="1"/>
  <c r="F882" i="1" s="1"/>
  <c r="I886" i="1"/>
  <c r="F886" i="1" s="1"/>
  <c r="I890" i="1"/>
  <c r="F890" i="1" s="1"/>
  <c r="I879" i="1"/>
  <c r="F879" i="1" s="1"/>
  <c r="I878" i="1"/>
  <c r="F878" i="1" s="1"/>
  <c r="I892" i="1"/>
  <c r="F892" i="1" s="1"/>
  <c r="I885" i="1"/>
  <c r="F885" i="1" s="1"/>
  <c r="I881" i="1"/>
  <c r="F881" i="1" s="1"/>
  <c r="I880" i="1"/>
  <c r="F880" i="1" s="1"/>
  <c r="I891" i="1"/>
  <c r="F891" i="1" s="1"/>
  <c r="K883" i="1"/>
  <c r="K884" i="1"/>
  <c r="K876" i="1"/>
  <c r="K882" i="1"/>
  <c r="K886" i="1"/>
  <c r="K890" i="1"/>
  <c r="K879" i="1"/>
  <c r="K878" i="1"/>
  <c r="K892" i="1"/>
  <c r="K885" i="1"/>
  <c r="K881" i="1"/>
  <c r="K880" i="1"/>
  <c r="K891" i="1"/>
  <c r="Q883" i="1"/>
  <c r="Q884" i="1"/>
  <c r="Q876" i="1"/>
  <c r="Q882" i="1"/>
  <c r="Q886" i="1"/>
  <c r="Q890" i="1"/>
  <c r="Q879" i="1"/>
  <c r="Q878" i="1"/>
  <c r="Q892" i="1"/>
  <c r="Q885" i="1"/>
  <c r="Q881" i="1"/>
  <c r="Q880" i="1"/>
  <c r="Q891" i="1"/>
  <c r="AH883" i="1"/>
  <c r="AH884" i="1"/>
  <c r="AH876" i="1"/>
  <c r="AH882" i="1"/>
  <c r="AH886" i="1"/>
  <c r="AH890" i="1"/>
  <c r="AH879" i="1"/>
  <c r="AH878" i="1"/>
  <c r="AH892" i="1"/>
  <c r="AH885" i="1"/>
  <c r="AH881" i="1"/>
  <c r="AH880" i="1"/>
  <c r="AH891" i="1"/>
  <c r="AL883" i="1"/>
  <c r="AL884" i="1"/>
  <c r="AL876" i="1"/>
  <c r="AL882" i="1"/>
  <c r="AL886" i="1"/>
  <c r="AL890" i="1"/>
  <c r="AL879" i="1"/>
  <c r="AL878" i="1"/>
  <c r="AL892" i="1"/>
  <c r="AL885" i="1"/>
  <c r="AL881" i="1"/>
  <c r="AL880" i="1"/>
  <c r="AL891" i="1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I1070" i="1"/>
  <c r="F1070" i="1" s="1"/>
  <c r="I1074" i="1"/>
  <c r="F1074" i="1" s="1"/>
  <c r="I1075" i="1"/>
  <c r="F1075" i="1" s="1"/>
  <c r="I1067" i="1"/>
  <c r="F1067" i="1" s="1"/>
  <c r="I1066" i="1"/>
  <c r="F1066" i="1" s="1"/>
  <c r="I1077" i="1"/>
  <c r="F1077" i="1" s="1"/>
  <c r="I1073" i="1"/>
  <c r="F1073" i="1" s="1"/>
  <c r="I1069" i="1"/>
  <c r="F1069" i="1" s="1"/>
  <c r="I1068" i="1"/>
  <c r="F1068" i="1" s="1"/>
  <c r="I1076" i="1"/>
  <c r="F1076" i="1" s="1"/>
  <c r="K1070" i="1"/>
  <c r="K1074" i="1"/>
  <c r="K1075" i="1"/>
  <c r="K1067" i="1"/>
  <c r="K1066" i="1"/>
  <c r="K1077" i="1"/>
  <c r="K1073" i="1"/>
  <c r="K1069" i="1"/>
  <c r="K1068" i="1"/>
  <c r="K1076" i="1"/>
  <c r="Q1070" i="1"/>
  <c r="Q1074" i="1"/>
  <c r="Q1075" i="1"/>
  <c r="Q1067" i="1"/>
  <c r="Q1066" i="1"/>
  <c r="Q1077" i="1"/>
  <c r="Q1073" i="1"/>
  <c r="Q1069" i="1"/>
  <c r="Q1068" i="1"/>
  <c r="Q1076" i="1"/>
  <c r="AH1070" i="1"/>
  <c r="AH1074" i="1"/>
  <c r="AH1075" i="1"/>
  <c r="AH1067" i="1"/>
  <c r="AH1066" i="1"/>
  <c r="AH1077" i="1"/>
  <c r="AH1073" i="1"/>
  <c r="AH1069" i="1"/>
  <c r="AH1068" i="1"/>
  <c r="AH1076" i="1"/>
  <c r="AL1070" i="1"/>
  <c r="AL1074" i="1"/>
  <c r="AL1075" i="1"/>
  <c r="AL1067" i="1"/>
  <c r="AL1066" i="1"/>
  <c r="AL1077" i="1"/>
  <c r="AL1073" i="1"/>
  <c r="AL1069" i="1"/>
  <c r="AL1068" i="1"/>
  <c r="AL1076" i="1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405" i="10"/>
  <c r="D404" i="10"/>
  <c r="D403" i="10"/>
  <c r="D402" i="10"/>
  <c r="I544" i="1"/>
  <c r="F544" i="1" s="1"/>
  <c r="I529" i="1"/>
  <c r="F529" i="1" s="1"/>
  <c r="I2077" i="1"/>
  <c r="F2077" i="1" s="1"/>
  <c r="I2078" i="1"/>
  <c r="F2078" i="1" s="1"/>
  <c r="I2079" i="1"/>
  <c r="F2079" i="1" s="1"/>
  <c r="I1057" i="1"/>
  <c r="F1057" i="1" s="1"/>
  <c r="I1071" i="1"/>
  <c r="F1071" i="1" s="1"/>
  <c r="I1072" i="1"/>
  <c r="F1072" i="1" s="1"/>
  <c r="I1065" i="1"/>
  <c r="F1065" i="1" s="1"/>
  <c r="K544" i="1"/>
  <c r="K529" i="1"/>
  <c r="K2077" i="1"/>
  <c r="K2078" i="1"/>
  <c r="K2079" i="1"/>
  <c r="K1057" i="1"/>
  <c r="K1071" i="1"/>
  <c r="K1072" i="1"/>
  <c r="K1065" i="1"/>
  <c r="Q544" i="1"/>
  <c r="Q529" i="1"/>
  <c r="Q2077" i="1"/>
  <c r="Q2078" i="1"/>
  <c r="Q2079" i="1"/>
  <c r="Q1057" i="1"/>
  <c r="Q1071" i="1"/>
  <c r="Q1072" i="1"/>
  <c r="Q1065" i="1"/>
  <c r="AH544" i="1"/>
  <c r="AH529" i="1"/>
  <c r="AH2077" i="1"/>
  <c r="AH2078" i="1"/>
  <c r="AH2079" i="1"/>
  <c r="AH1057" i="1"/>
  <c r="AH1071" i="1"/>
  <c r="AH1072" i="1"/>
  <c r="AH1065" i="1"/>
  <c r="AL544" i="1"/>
  <c r="AL529" i="1"/>
  <c r="AL2077" i="1"/>
  <c r="AL2078" i="1"/>
  <c r="AL2079" i="1"/>
  <c r="AL1057" i="1"/>
  <c r="AL1071" i="1"/>
  <c r="AL1072" i="1"/>
  <c r="AL1065" i="1"/>
  <c r="D399" i="10"/>
  <c r="D398" i="10"/>
  <c r="D397" i="10"/>
  <c r="D396" i="10"/>
  <c r="D395" i="10"/>
  <c r="D394" i="10"/>
  <c r="D393" i="10"/>
  <c r="D392" i="10"/>
  <c r="D391" i="10"/>
  <c r="D390" i="10"/>
  <c r="I1492" i="1"/>
  <c r="F1492" i="1" s="1"/>
  <c r="I1493" i="1"/>
  <c r="F1493" i="1" s="1"/>
  <c r="K1492" i="1"/>
  <c r="K1493" i="1"/>
  <c r="Q1492" i="1"/>
  <c r="Q1493" i="1"/>
  <c r="AH1493" i="1"/>
  <c r="AL1492" i="1"/>
  <c r="AL1493" i="1"/>
  <c r="D387" i="10"/>
  <c r="D386" i="10"/>
  <c r="I1482" i="1"/>
  <c r="F1482" i="1" s="1"/>
  <c r="I1487" i="1"/>
  <c r="F1487" i="1" s="1"/>
  <c r="I1485" i="1"/>
  <c r="F1485" i="1" s="1"/>
  <c r="I1484" i="1"/>
  <c r="F1484" i="1" s="1"/>
  <c r="I1483" i="1"/>
  <c r="F1483" i="1" s="1"/>
  <c r="I1486" i="1"/>
  <c r="F1486" i="1" s="1"/>
  <c r="K1482" i="1"/>
  <c r="K1487" i="1"/>
  <c r="K1485" i="1"/>
  <c r="K1484" i="1"/>
  <c r="K1483" i="1"/>
  <c r="K1486" i="1"/>
  <c r="Q1482" i="1"/>
  <c r="Q1487" i="1"/>
  <c r="Q1485" i="1"/>
  <c r="Q1484" i="1"/>
  <c r="Q1483" i="1"/>
  <c r="Q1486" i="1"/>
  <c r="AH1482" i="1"/>
  <c r="AH1487" i="1"/>
  <c r="AH1485" i="1"/>
  <c r="AH1484" i="1"/>
  <c r="AH1483" i="1"/>
  <c r="AH1486" i="1"/>
  <c r="AL1482" i="1"/>
  <c r="AL1487" i="1"/>
  <c r="AL1485" i="1"/>
  <c r="AL1484" i="1"/>
  <c r="AL1483" i="1"/>
  <c r="AL1486" i="1"/>
  <c r="D383" i="10"/>
  <c r="D382" i="10"/>
  <c r="D381" i="10"/>
  <c r="D380" i="10"/>
  <c r="D379" i="10"/>
  <c r="D378" i="10"/>
  <c r="I1021" i="1"/>
  <c r="F1021" i="1" s="1"/>
  <c r="I1024" i="1"/>
  <c r="F1024" i="1" s="1"/>
  <c r="I1028" i="1"/>
  <c r="F1028" i="1" s="1"/>
  <c r="I1029" i="1"/>
  <c r="F1029" i="1" s="1"/>
  <c r="I1030" i="1"/>
  <c r="F1030" i="1" s="1"/>
  <c r="I1022" i="1"/>
  <c r="F1022" i="1" s="1"/>
  <c r="I1025" i="1"/>
  <c r="F1025" i="1" s="1"/>
  <c r="I1032" i="1"/>
  <c r="F1032" i="1" s="1"/>
  <c r="I1034" i="1"/>
  <c r="F1034" i="1" s="1"/>
  <c r="I1023" i="1"/>
  <c r="F1023" i="1" s="1"/>
  <c r="I1036" i="1"/>
  <c r="F1036" i="1" s="1"/>
  <c r="I1031" i="1"/>
  <c r="F1031" i="1" s="1"/>
  <c r="I1027" i="1"/>
  <c r="F1027" i="1" s="1"/>
  <c r="I1026" i="1"/>
  <c r="F1026" i="1" s="1"/>
  <c r="I1035" i="1"/>
  <c r="F1035" i="1" s="1"/>
  <c r="K1021" i="1"/>
  <c r="K1024" i="1"/>
  <c r="K1028" i="1"/>
  <c r="K1029" i="1"/>
  <c r="K1030" i="1"/>
  <c r="K1022" i="1"/>
  <c r="K1025" i="1"/>
  <c r="K1032" i="1"/>
  <c r="K1034" i="1"/>
  <c r="K1023" i="1"/>
  <c r="K1036" i="1"/>
  <c r="K1031" i="1"/>
  <c r="K1027" i="1"/>
  <c r="K1026" i="1"/>
  <c r="K1035" i="1"/>
  <c r="Q1021" i="1"/>
  <c r="Q1024" i="1"/>
  <c r="Q1028" i="1"/>
  <c r="Q1029" i="1"/>
  <c r="Q1030" i="1"/>
  <c r="Q1022" i="1"/>
  <c r="Q1025" i="1"/>
  <c r="Q1032" i="1"/>
  <c r="Q1034" i="1"/>
  <c r="Q1023" i="1"/>
  <c r="Q1036" i="1"/>
  <c r="Q1031" i="1"/>
  <c r="Q1027" i="1"/>
  <c r="Q1026" i="1"/>
  <c r="Q1035" i="1"/>
  <c r="AH1021" i="1"/>
  <c r="AH1024" i="1"/>
  <c r="AH1028" i="1"/>
  <c r="AH1029" i="1"/>
  <c r="AH1030" i="1"/>
  <c r="AH1022" i="1"/>
  <c r="AH1025" i="1"/>
  <c r="AH1032" i="1"/>
  <c r="AH1034" i="1"/>
  <c r="AH1023" i="1"/>
  <c r="AH1036" i="1"/>
  <c r="AH1031" i="1"/>
  <c r="AH1027" i="1"/>
  <c r="AH1026" i="1"/>
  <c r="AH1035" i="1"/>
  <c r="AL1021" i="1"/>
  <c r="AL1024" i="1"/>
  <c r="AL1028" i="1"/>
  <c r="AL1029" i="1"/>
  <c r="AL1030" i="1"/>
  <c r="AL1022" i="1"/>
  <c r="AL1025" i="1"/>
  <c r="AL1032" i="1"/>
  <c r="AL1034" i="1"/>
  <c r="AL1023" i="1"/>
  <c r="AL1036" i="1"/>
  <c r="AL1031" i="1"/>
  <c r="AL1027" i="1"/>
  <c r="AL1026" i="1"/>
  <c r="AL1035" i="1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I1462" i="1"/>
  <c r="F1462" i="1" s="1"/>
  <c r="I1466" i="1"/>
  <c r="F1466" i="1" s="1"/>
  <c r="I1468" i="1"/>
  <c r="F1468" i="1" s="1"/>
  <c r="I1464" i="1"/>
  <c r="F1464" i="1" s="1"/>
  <c r="I1465" i="1"/>
  <c r="F1465" i="1" s="1"/>
  <c r="I1469" i="1"/>
  <c r="F1469" i="1" s="1"/>
  <c r="I1467" i="1"/>
  <c r="F1467" i="1" s="1"/>
  <c r="I1463" i="1"/>
  <c r="F1463" i="1" s="1"/>
  <c r="K1462" i="1"/>
  <c r="K1466" i="1"/>
  <c r="K1468" i="1"/>
  <c r="K1464" i="1"/>
  <c r="K1465" i="1"/>
  <c r="K1469" i="1"/>
  <c r="K1467" i="1"/>
  <c r="K1463" i="1"/>
  <c r="Q1462" i="1"/>
  <c r="Q1466" i="1"/>
  <c r="Q1468" i="1"/>
  <c r="Q1464" i="1"/>
  <c r="Q1465" i="1"/>
  <c r="Q1469" i="1"/>
  <c r="Q1467" i="1"/>
  <c r="Q1463" i="1"/>
  <c r="AH1462" i="1"/>
  <c r="AH1466" i="1"/>
  <c r="AH1468" i="1"/>
  <c r="AH1464" i="1"/>
  <c r="AH1465" i="1"/>
  <c r="AH1469" i="1"/>
  <c r="AH1467" i="1"/>
  <c r="AH1463" i="1"/>
  <c r="AL1462" i="1"/>
  <c r="AL1466" i="1"/>
  <c r="AL1468" i="1"/>
  <c r="AL1464" i="1"/>
  <c r="AL1465" i="1"/>
  <c r="AL1469" i="1"/>
  <c r="AL1467" i="1"/>
  <c r="AL1463" i="1"/>
  <c r="D358" i="10"/>
  <c r="D357" i="10"/>
  <c r="D356" i="10"/>
  <c r="D355" i="10"/>
  <c r="D354" i="10"/>
  <c r="D353" i="10"/>
  <c r="D352" i="10"/>
  <c r="D351" i="10"/>
  <c r="I1040" i="1"/>
  <c r="F1040" i="1" s="1"/>
  <c r="I1044" i="1"/>
  <c r="F1044" i="1" s="1"/>
  <c r="I1045" i="1"/>
  <c r="F1045" i="1" s="1"/>
  <c r="I1049" i="1"/>
  <c r="F1049" i="1" s="1"/>
  <c r="I1037" i="1"/>
  <c r="F1037" i="1" s="1"/>
  <c r="I1041" i="1"/>
  <c r="F1041" i="1" s="1"/>
  <c r="I1051" i="1"/>
  <c r="F1051" i="1" s="1"/>
  <c r="I1052" i="1"/>
  <c r="F1052" i="1" s="1"/>
  <c r="I1039" i="1"/>
  <c r="F1039" i="1" s="1"/>
  <c r="I1054" i="1"/>
  <c r="F1054" i="1" s="1"/>
  <c r="I1050" i="1"/>
  <c r="F1050" i="1" s="1"/>
  <c r="I1043" i="1"/>
  <c r="F1043" i="1" s="1"/>
  <c r="I1042" i="1"/>
  <c r="F1042" i="1" s="1"/>
  <c r="I1053" i="1"/>
  <c r="F1053" i="1" s="1"/>
  <c r="K1040" i="1"/>
  <c r="K1044" i="1"/>
  <c r="K1045" i="1"/>
  <c r="K1049" i="1"/>
  <c r="K1037" i="1"/>
  <c r="K1041" i="1"/>
  <c r="K1051" i="1"/>
  <c r="K1052" i="1"/>
  <c r="K1039" i="1"/>
  <c r="K1054" i="1"/>
  <c r="K1050" i="1"/>
  <c r="K1043" i="1"/>
  <c r="K1042" i="1"/>
  <c r="K1053" i="1"/>
  <c r="Q1040" i="1"/>
  <c r="Q1044" i="1"/>
  <c r="Q1045" i="1"/>
  <c r="Q1049" i="1"/>
  <c r="Q1037" i="1"/>
  <c r="Q1041" i="1"/>
  <c r="Q1051" i="1"/>
  <c r="Q1052" i="1"/>
  <c r="Q1039" i="1"/>
  <c r="Q1054" i="1"/>
  <c r="Q1050" i="1"/>
  <c r="Q1043" i="1"/>
  <c r="Q1042" i="1"/>
  <c r="Q1053" i="1"/>
  <c r="AH1040" i="1"/>
  <c r="AH1044" i="1"/>
  <c r="AH1045" i="1"/>
  <c r="AH1049" i="1"/>
  <c r="AH1037" i="1"/>
  <c r="AH1041" i="1"/>
  <c r="AH1051" i="1"/>
  <c r="AH1052" i="1"/>
  <c r="AH1039" i="1"/>
  <c r="AH1054" i="1"/>
  <c r="AH1050" i="1"/>
  <c r="AH1043" i="1"/>
  <c r="AH1042" i="1"/>
  <c r="AH1053" i="1"/>
  <c r="AL1040" i="1"/>
  <c r="AL1044" i="1"/>
  <c r="AL1045" i="1"/>
  <c r="AL1049" i="1"/>
  <c r="AL1037" i="1"/>
  <c r="AL1041" i="1"/>
  <c r="AL1051" i="1"/>
  <c r="AL1052" i="1"/>
  <c r="AL1039" i="1"/>
  <c r="AL1054" i="1"/>
  <c r="AL1050" i="1"/>
  <c r="AL1043" i="1"/>
  <c r="AL1042" i="1"/>
  <c r="AL1053" i="1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I2996" i="1"/>
  <c r="F2996" i="1" s="1"/>
  <c r="I3008" i="1"/>
  <c r="F3008" i="1" s="1"/>
  <c r="I3007" i="1"/>
  <c r="F3007" i="1" s="1"/>
  <c r="I3012" i="1"/>
  <c r="F3012" i="1" s="1"/>
  <c r="I3002" i="1"/>
  <c r="F3002" i="1" s="1"/>
  <c r="I3003" i="1"/>
  <c r="F3003" i="1" s="1"/>
  <c r="I3006" i="1"/>
  <c r="F3006" i="1" s="1"/>
  <c r="I2997" i="1"/>
  <c r="F2997" i="1" s="1"/>
  <c r="I3016" i="1"/>
  <c r="F3016" i="1" s="1"/>
  <c r="I3015" i="1"/>
  <c r="F3015" i="1" s="1"/>
  <c r="K2996" i="1"/>
  <c r="K3008" i="1"/>
  <c r="K3007" i="1"/>
  <c r="K3012" i="1"/>
  <c r="K3002" i="1"/>
  <c r="K3003" i="1"/>
  <c r="K3006" i="1"/>
  <c r="K2997" i="1"/>
  <c r="K3016" i="1"/>
  <c r="K3015" i="1"/>
  <c r="Q2996" i="1"/>
  <c r="Q3008" i="1"/>
  <c r="Q3007" i="1"/>
  <c r="Q3012" i="1"/>
  <c r="Q3002" i="1"/>
  <c r="Q3003" i="1"/>
  <c r="Q3006" i="1"/>
  <c r="Q2997" i="1"/>
  <c r="Q3016" i="1"/>
  <c r="Q3015" i="1"/>
  <c r="AH2996" i="1"/>
  <c r="AH3008" i="1"/>
  <c r="AH3007" i="1"/>
  <c r="AH3012" i="1"/>
  <c r="AH3002" i="1"/>
  <c r="AH3003" i="1"/>
  <c r="AH3006" i="1"/>
  <c r="AH2997" i="1"/>
  <c r="AH3016" i="1"/>
  <c r="AH3015" i="1"/>
  <c r="AL2996" i="1"/>
  <c r="AL3008" i="1"/>
  <c r="AL3007" i="1"/>
  <c r="AL3012" i="1"/>
  <c r="AL3002" i="1"/>
  <c r="AL3003" i="1"/>
  <c r="AL3006" i="1"/>
  <c r="AL2997" i="1"/>
  <c r="AL3016" i="1"/>
  <c r="AL3015" i="1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06" i="10"/>
  <c r="D305" i="10"/>
  <c r="D304" i="10"/>
  <c r="D303" i="10"/>
  <c r="I1855" i="1"/>
  <c r="F1855" i="1" s="1"/>
  <c r="I1871" i="1"/>
  <c r="F1871" i="1" s="1"/>
  <c r="K1855" i="1"/>
  <c r="K1871" i="1"/>
  <c r="Q1855" i="1"/>
  <c r="Q1871" i="1"/>
  <c r="AH1855" i="1"/>
  <c r="AH1871" i="1"/>
  <c r="AL1855" i="1"/>
  <c r="AL1871" i="1"/>
  <c r="I3246" i="1"/>
  <c r="F3246" i="1" s="1"/>
  <c r="I3254" i="1"/>
  <c r="F3254" i="1" s="1"/>
  <c r="I3262" i="1"/>
  <c r="F3262" i="1" s="1"/>
  <c r="I3263" i="1"/>
  <c r="F3263" i="1" s="1"/>
  <c r="I3265" i="1"/>
  <c r="F3265" i="1" s="1"/>
  <c r="I3260" i="1"/>
  <c r="F3260" i="1" s="1"/>
  <c r="I3267" i="1"/>
  <c r="F3267" i="1" s="1"/>
  <c r="I3269" i="1"/>
  <c r="F3269" i="1" s="1"/>
  <c r="I3258" i="1"/>
  <c r="F3258" i="1" s="1"/>
  <c r="K3246" i="1"/>
  <c r="K3254" i="1"/>
  <c r="K3262" i="1"/>
  <c r="K3263" i="1"/>
  <c r="K3265" i="1"/>
  <c r="K3260" i="1"/>
  <c r="K3267" i="1"/>
  <c r="K3269" i="1"/>
  <c r="K3258" i="1"/>
  <c r="Q3246" i="1"/>
  <c r="Q3254" i="1"/>
  <c r="Q3262" i="1"/>
  <c r="Q3263" i="1"/>
  <c r="Q3265" i="1"/>
  <c r="Q3260" i="1"/>
  <c r="Q3267" i="1"/>
  <c r="Q3269" i="1"/>
  <c r="Q3258" i="1"/>
  <c r="AH3246" i="1"/>
  <c r="AH3254" i="1"/>
  <c r="AH3262" i="1"/>
  <c r="AH3263" i="1"/>
  <c r="AH3265" i="1"/>
  <c r="AH3260" i="1"/>
  <c r="AH3267" i="1"/>
  <c r="AH3269" i="1"/>
  <c r="AH3258" i="1"/>
  <c r="AL3246" i="1"/>
  <c r="AL3254" i="1"/>
  <c r="AL3262" i="1"/>
  <c r="AL3263" i="1"/>
  <c r="AL3265" i="1"/>
  <c r="AL3260" i="1"/>
  <c r="AL3267" i="1"/>
  <c r="AL3269" i="1"/>
  <c r="AL3258" i="1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I3228" i="1"/>
  <c r="F3228" i="1" s="1"/>
  <c r="I3218" i="1"/>
  <c r="F3218" i="1" s="1"/>
  <c r="I3222" i="1"/>
  <c r="F3222" i="1" s="1"/>
  <c r="I3226" i="1"/>
  <c r="F3226" i="1" s="1"/>
  <c r="I3217" i="1"/>
  <c r="F3217" i="1" s="1"/>
  <c r="K3228" i="1"/>
  <c r="K3218" i="1"/>
  <c r="K3222" i="1"/>
  <c r="K3226" i="1"/>
  <c r="K3217" i="1"/>
  <c r="Q3228" i="1"/>
  <c r="Q3218" i="1"/>
  <c r="Q3222" i="1"/>
  <c r="Q3226" i="1"/>
  <c r="Q3217" i="1"/>
  <c r="AH3228" i="1"/>
  <c r="AH3218" i="1"/>
  <c r="AH3222" i="1"/>
  <c r="AH3226" i="1"/>
  <c r="AH3217" i="1"/>
  <c r="AL3228" i="1"/>
  <c r="AL3218" i="1"/>
  <c r="AL3222" i="1"/>
  <c r="AL3226" i="1"/>
  <c r="AL3217" i="1"/>
  <c r="D260" i="10"/>
  <c r="D259" i="10"/>
  <c r="D258" i="10"/>
  <c r="D257" i="10"/>
  <c r="D256" i="10"/>
  <c r="D255" i="10"/>
  <c r="D254" i="10"/>
  <c r="I608" i="1"/>
  <c r="F608" i="1" s="1"/>
  <c r="I609" i="1"/>
  <c r="F609" i="1" s="1"/>
  <c r="I610" i="1"/>
  <c r="F610" i="1" s="1"/>
  <c r="I611" i="1"/>
  <c r="F611" i="1" s="1"/>
  <c r="I612" i="1"/>
  <c r="F612" i="1" s="1"/>
  <c r="I606" i="1"/>
  <c r="F606" i="1" s="1"/>
  <c r="I607" i="1"/>
  <c r="F607" i="1" s="1"/>
  <c r="I619" i="1"/>
  <c r="F619" i="1" s="1"/>
  <c r="I621" i="1"/>
  <c r="F621" i="1" s="1"/>
  <c r="I622" i="1"/>
  <c r="F622" i="1" s="1"/>
  <c r="I615" i="1"/>
  <c r="F615" i="1" s="1"/>
  <c r="I618" i="1"/>
  <c r="F618" i="1" s="1"/>
  <c r="I623" i="1"/>
  <c r="F623" i="1" s="1"/>
  <c r="I624" i="1"/>
  <c r="F624" i="1" s="1"/>
  <c r="I616" i="1"/>
  <c r="F616" i="1" s="1"/>
  <c r="K608" i="1"/>
  <c r="K609" i="1"/>
  <c r="K610" i="1"/>
  <c r="K611" i="1"/>
  <c r="K612" i="1"/>
  <c r="K606" i="1"/>
  <c r="K607" i="1"/>
  <c r="K619" i="1"/>
  <c r="K621" i="1"/>
  <c r="K622" i="1"/>
  <c r="K615" i="1"/>
  <c r="K618" i="1"/>
  <c r="K623" i="1"/>
  <c r="K624" i="1"/>
  <c r="K616" i="1"/>
  <c r="Q608" i="1"/>
  <c r="Q609" i="1"/>
  <c r="Q610" i="1"/>
  <c r="Q611" i="1"/>
  <c r="Q612" i="1"/>
  <c r="Q606" i="1"/>
  <c r="Q607" i="1"/>
  <c r="Q619" i="1"/>
  <c r="Q621" i="1"/>
  <c r="Q622" i="1"/>
  <c r="Q615" i="1"/>
  <c r="Q618" i="1"/>
  <c r="Q623" i="1"/>
  <c r="Q624" i="1"/>
  <c r="Q616" i="1"/>
  <c r="AH608" i="1"/>
  <c r="AH609" i="1"/>
  <c r="AH610" i="1"/>
  <c r="AH611" i="1"/>
  <c r="AH612" i="1"/>
  <c r="AH606" i="1"/>
  <c r="AH607" i="1"/>
  <c r="AH619" i="1"/>
  <c r="AH621" i="1"/>
  <c r="AH622" i="1"/>
  <c r="AH615" i="1"/>
  <c r="AH618" i="1"/>
  <c r="AH623" i="1"/>
  <c r="AH624" i="1"/>
  <c r="AH616" i="1"/>
  <c r="AL608" i="1"/>
  <c r="AL609" i="1"/>
  <c r="AL610" i="1"/>
  <c r="AL611" i="1"/>
  <c r="AL612" i="1"/>
  <c r="AL606" i="1"/>
  <c r="AL607" i="1"/>
  <c r="AL619" i="1"/>
  <c r="AL621" i="1"/>
  <c r="AL622" i="1"/>
  <c r="AL615" i="1"/>
  <c r="AL618" i="1"/>
  <c r="AL623" i="1"/>
  <c r="AL624" i="1"/>
  <c r="AL616" i="1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I448" i="1"/>
  <c r="F448" i="1" s="1"/>
  <c r="I447" i="1"/>
  <c r="F447" i="1" s="1"/>
  <c r="I467" i="1"/>
  <c r="F467" i="1" s="1"/>
  <c r="I454" i="1"/>
  <c r="F454" i="1" s="1"/>
  <c r="I459" i="1"/>
  <c r="F459" i="1" s="1"/>
  <c r="I470" i="1"/>
  <c r="F470" i="1" s="1"/>
  <c r="I471" i="1"/>
  <c r="F471" i="1" s="1"/>
  <c r="K448" i="1"/>
  <c r="K447" i="1"/>
  <c r="K467" i="1"/>
  <c r="K454" i="1"/>
  <c r="K459" i="1"/>
  <c r="K470" i="1"/>
  <c r="K471" i="1"/>
  <c r="Q448" i="1"/>
  <c r="Q447" i="1"/>
  <c r="Q467" i="1"/>
  <c r="Q454" i="1"/>
  <c r="Q459" i="1"/>
  <c r="Q470" i="1"/>
  <c r="Q471" i="1"/>
  <c r="AH448" i="1"/>
  <c r="AH447" i="1"/>
  <c r="AH467" i="1"/>
  <c r="AH454" i="1"/>
  <c r="AH459" i="1"/>
  <c r="AH470" i="1"/>
  <c r="AH471" i="1"/>
  <c r="AL448" i="1"/>
  <c r="AL447" i="1"/>
  <c r="AL467" i="1"/>
  <c r="AL454" i="1"/>
  <c r="AL459" i="1"/>
  <c r="AL470" i="1"/>
  <c r="AL471" i="1"/>
  <c r="D103" i="10"/>
  <c r="D102" i="10"/>
  <c r="D101" i="10"/>
  <c r="D100" i="10"/>
  <c r="D99" i="10"/>
  <c r="D98" i="10"/>
  <c r="D97" i="10"/>
  <c r="I397" i="1"/>
  <c r="F397" i="1" s="1"/>
  <c r="I396" i="1"/>
  <c r="F396" i="1" s="1"/>
  <c r="I410" i="1"/>
  <c r="F410" i="1" s="1"/>
  <c r="I446" i="1"/>
  <c r="F446" i="1" s="1"/>
  <c r="I445" i="1"/>
  <c r="F445" i="1" s="1"/>
  <c r="K397" i="1"/>
  <c r="K396" i="1"/>
  <c r="K410" i="1"/>
  <c r="K446" i="1"/>
  <c r="K445" i="1"/>
  <c r="Q397" i="1"/>
  <c r="Q396" i="1"/>
  <c r="Q410" i="1"/>
  <c r="Q446" i="1"/>
  <c r="Q445" i="1"/>
  <c r="AH397" i="1"/>
  <c r="AH396" i="1"/>
  <c r="AH410" i="1"/>
  <c r="AH446" i="1"/>
  <c r="AH445" i="1"/>
  <c r="AL397" i="1"/>
  <c r="AL396" i="1"/>
  <c r="AL410" i="1"/>
  <c r="AL446" i="1"/>
  <c r="AL445" i="1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I365" i="1"/>
  <c r="F365" i="1" s="1"/>
  <c r="I314" i="1"/>
  <c r="F314" i="1" s="1"/>
  <c r="I349" i="1"/>
  <c r="F349" i="1" s="1"/>
  <c r="I354" i="1"/>
  <c r="F354" i="1" s="1"/>
  <c r="I315" i="1"/>
  <c r="F315" i="1" s="1"/>
  <c r="I358" i="1"/>
  <c r="F358" i="1" s="1"/>
  <c r="K365" i="1"/>
  <c r="K314" i="1"/>
  <c r="K349" i="1"/>
  <c r="K354" i="1"/>
  <c r="K315" i="1"/>
  <c r="K358" i="1"/>
  <c r="Q365" i="1"/>
  <c r="Q314" i="1"/>
  <c r="Q349" i="1"/>
  <c r="Q354" i="1"/>
  <c r="Q315" i="1"/>
  <c r="Q358" i="1"/>
  <c r="AH365" i="1"/>
  <c r="AH314" i="1"/>
  <c r="AH349" i="1"/>
  <c r="AH354" i="1"/>
  <c r="AH315" i="1"/>
  <c r="AH358" i="1"/>
  <c r="AL365" i="1"/>
  <c r="AL314" i="1"/>
  <c r="AL349" i="1"/>
  <c r="AL354" i="1"/>
  <c r="AL315" i="1"/>
  <c r="AL358" i="1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0" i="10"/>
  <c r="K724" i="1"/>
  <c r="K722" i="1"/>
  <c r="K730" i="1"/>
  <c r="K715" i="1"/>
  <c r="K714" i="1"/>
  <c r="I714" i="1"/>
  <c r="F714" i="1" s="1"/>
  <c r="I715" i="1"/>
  <c r="F715" i="1" s="1"/>
  <c r="I730" i="1"/>
  <c r="F730" i="1" s="1"/>
  <c r="I722" i="1"/>
  <c r="F722" i="1" s="1"/>
  <c r="I724" i="1"/>
  <c r="F724" i="1" s="1"/>
  <c r="Q714" i="1"/>
  <c r="Q715" i="1"/>
  <c r="Q730" i="1"/>
  <c r="Q722" i="1"/>
  <c r="Q724" i="1"/>
  <c r="AH714" i="1"/>
  <c r="AH715" i="1"/>
  <c r="AH730" i="1"/>
  <c r="AH722" i="1"/>
  <c r="AH724" i="1"/>
  <c r="AL714" i="1"/>
  <c r="AL715" i="1"/>
  <c r="AL730" i="1"/>
  <c r="AL722" i="1"/>
  <c r="AL724" i="1"/>
  <c r="I143" i="1"/>
  <c r="F143" i="1" s="1"/>
  <c r="I136" i="1"/>
  <c r="F136" i="1" s="1"/>
  <c r="I146" i="1"/>
  <c r="F146" i="1" s="1"/>
  <c r="I149" i="1"/>
  <c r="F149" i="1" s="1"/>
  <c r="I140" i="1"/>
  <c r="F140" i="1" s="1"/>
  <c r="K143" i="1"/>
  <c r="K136" i="1"/>
  <c r="K146" i="1"/>
  <c r="K149" i="1"/>
  <c r="K140" i="1"/>
  <c r="Q143" i="1"/>
  <c r="Q136" i="1"/>
  <c r="Q146" i="1"/>
  <c r="Q149" i="1"/>
  <c r="Q140" i="1"/>
  <c r="AH143" i="1"/>
  <c r="AH136" i="1"/>
  <c r="AH146" i="1"/>
  <c r="AH149" i="1"/>
  <c r="AH140" i="1"/>
  <c r="AL143" i="1"/>
  <c r="AL136" i="1"/>
  <c r="AL146" i="1"/>
  <c r="AL149" i="1"/>
  <c r="AL140" i="1"/>
  <c r="K194" i="1"/>
  <c r="K206" i="1"/>
  <c r="K201" i="1"/>
  <c r="K214" i="1"/>
  <c r="K198" i="1"/>
  <c r="K207" i="1"/>
  <c r="I207" i="1"/>
  <c r="F207" i="1" s="1"/>
  <c r="I198" i="1"/>
  <c r="F198" i="1" s="1"/>
  <c r="I214" i="1"/>
  <c r="F214" i="1" s="1"/>
  <c r="I201" i="1"/>
  <c r="F201" i="1" s="1"/>
  <c r="I206" i="1"/>
  <c r="F206" i="1" s="1"/>
  <c r="I194" i="1"/>
  <c r="F194" i="1" s="1"/>
  <c r="Q207" i="1"/>
  <c r="Q198" i="1"/>
  <c r="Q214" i="1"/>
  <c r="Q201" i="1"/>
  <c r="Q206" i="1"/>
  <c r="Q194" i="1"/>
  <c r="AH207" i="1"/>
  <c r="AH198" i="1"/>
  <c r="AH214" i="1"/>
  <c r="AH201" i="1"/>
  <c r="AH206" i="1"/>
  <c r="AH194" i="1"/>
  <c r="AL207" i="1"/>
  <c r="AL198" i="1"/>
  <c r="AL214" i="1"/>
  <c r="AL201" i="1"/>
  <c r="AL206" i="1"/>
  <c r="AL194" i="1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I175" i="1"/>
  <c r="F175" i="1" s="1"/>
  <c r="I177" i="1"/>
  <c r="F177" i="1" s="1"/>
  <c r="I184" i="1"/>
  <c r="F184" i="1" s="1"/>
  <c r="I183" i="1"/>
  <c r="F183" i="1" s="1"/>
  <c r="I185" i="1"/>
  <c r="F185" i="1" s="1"/>
  <c r="K175" i="1"/>
  <c r="K177" i="1"/>
  <c r="K184" i="1"/>
  <c r="K183" i="1"/>
  <c r="K185" i="1"/>
  <c r="Q175" i="1"/>
  <c r="Q177" i="1"/>
  <c r="Q184" i="1"/>
  <c r="Q183" i="1"/>
  <c r="Q185" i="1"/>
  <c r="AH175" i="1"/>
  <c r="AH177" i="1"/>
  <c r="AH184" i="1"/>
  <c r="AH183" i="1"/>
  <c r="AH185" i="1"/>
  <c r="AL175" i="1"/>
  <c r="AL177" i="1"/>
  <c r="AL184" i="1"/>
  <c r="AL183" i="1"/>
  <c r="AL185" i="1"/>
  <c r="D29" i="10"/>
  <c r="D28" i="10"/>
  <c r="D27" i="10"/>
  <c r="D26" i="10"/>
  <c r="D25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I3169" i="1"/>
  <c r="F3169" i="1" s="1"/>
  <c r="I3171" i="1"/>
  <c r="F3171" i="1" s="1"/>
  <c r="I3172" i="1"/>
  <c r="F3172" i="1" s="1"/>
  <c r="I3174" i="1"/>
  <c r="F3174" i="1" s="1"/>
  <c r="I3176" i="1"/>
  <c r="F3176" i="1" s="1"/>
  <c r="K3169" i="1"/>
  <c r="K3171" i="1"/>
  <c r="K3172" i="1"/>
  <c r="K3174" i="1"/>
  <c r="K3176" i="1"/>
  <c r="Q3169" i="1"/>
  <c r="Q3171" i="1"/>
  <c r="Q3172" i="1"/>
  <c r="Q3174" i="1"/>
  <c r="Q3176" i="1"/>
  <c r="AH3169" i="1"/>
  <c r="AH3171" i="1"/>
  <c r="AH3172" i="1"/>
  <c r="AH3174" i="1"/>
  <c r="AH3176" i="1"/>
  <c r="AL3169" i="1"/>
  <c r="AL3171" i="1"/>
  <c r="AL3172" i="1"/>
  <c r="AL3174" i="1"/>
  <c r="AL3176" i="1"/>
  <c r="I2714" i="1"/>
  <c r="F2714" i="1" s="1"/>
  <c r="I2715" i="1"/>
  <c r="F2715" i="1" s="1"/>
  <c r="I2716" i="1"/>
  <c r="F2716" i="1" s="1"/>
  <c r="I2717" i="1"/>
  <c r="F2717" i="1" s="1"/>
  <c r="I2718" i="1"/>
  <c r="F2718" i="1" s="1"/>
  <c r="I2719" i="1"/>
  <c r="F2719" i="1" s="1"/>
  <c r="I2720" i="1"/>
  <c r="F2720" i="1" s="1"/>
  <c r="I2721" i="1"/>
  <c r="F2721" i="1" s="1"/>
  <c r="I2722" i="1"/>
  <c r="F2722" i="1" s="1"/>
  <c r="K2714" i="1"/>
  <c r="K2715" i="1"/>
  <c r="K2716" i="1"/>
  <c r="K2717" i="1"/>
  <c r="K2718" i="1"/>
  <c r="K2719" i="1"/>
  <c r="K2720" i="1"/>
  <c r="K2721" i="1"/>
  <c r="K2722" i="1"/>
  <c r="Q2714" i="1"/>
  <c r="Q2715" i="1"/>
  <c r="Q2716" i="1"/>
  <c r="Q2717" i="1"/>
  <c r="Q2718" i="1"/>
  <c r="Q2719" i="1"/>
  <c r="Q2720" i="1"/>
  <c r="Q2721" i="1"/>
  <c r="Q2722" i="1"/>
  <c r="AH2714" i="1"/>
  <c r="AH2715" i="1"/>
  <c r="AH2716" i="1"/>
  <c r="AH2717" i="1"/>
  <c r="AH2718" i="1"/>
  <c r="AH2719" i="1"/>
  <c r="AH2720" i="1"/>
  <c r="AH2721" i="1"/>
  <c r="AH2722" i="1"/>
  <c r="AL2714" i="1"/>
  <c r="AL2715" i="1"/>
  <c r="AL2716" i="1"/>
  <c r="AL2717" i="1"/>
  <c r="AL2718" i="1"/>
  <c r="AL2719" i="1"/>
  <c r="AL2720" i="1"/>
  <c r="AL2721" i="1"/>
  <c r="AL2722" i="1"/>
  <c r="I1872" i="1"/>
  <c r="F1872" i="1" s="1"/>
  <c r="I1873" i="1"/>
  <c r="F1873" i="1" s="1"/>
  <c r="I1874" i="1"/>
  <c r="F1874" i="1" s="1"/>
  <c r="I1875" i="1"/>
  <c r="F1875" i="1" s="1"/>
  <c r="I1876" i="1"/>
  <c r="F1876" i="1" s="1"/>
  <c r="I1877" i="1"/>
  <c r="F1877" i="1" s="1"/>
  <c r="K1872" i="1"/>
  <c r="K1873" i="1"/>
  <c r="K1874" i="1"/>
  <c r="K1875" i="1"/>
  <c r="K1876" i="1"/>
  <c r="K1877" i="1"/>
  <c r="Q1872" i="1"/>
  <c r="Q1873" i="1"/>
  <c r="Q1874" i="1"/>
  <c r="Q1875" i="1"/>
  <c r="Q1876" i="1"/>
  <c r="Q1877" i="1"/>
  <c r="AH1872" i="1"/>
  <c r="AH1873" i="1"/>
  <c r="AH1874" i="1"/>
  <c r="AH1875" i="1"/>
  <c r="AH1876" i="1"/>
  <c r="AH1877" i="1"/>
  <c r="AL1872" i="1"/>
  <c r="AL1873" i="1"/>
  <c r="AL1874" i="1"/>
  <c r="AL1875" i="1"/>
  <c r="AL1876" i="1"/>
  <c r="AL1877" i="1"/>
  <c r="K1512" i="1"/>
  <c r="I1512" i="1"/>
  <c r="F1512" i="1" s="1"/>
  <c r="I1514" i="1"/>
  <c r="F1514" i="1" s="1"/>
  <c r="I1513" i="1"/>
  <c r="F1513" i="1" s="1"/>
  <c r="I1516" i="1"/>
  <c r="F1516" i="1" s="1"/>
  <c r="I1521" i="1"/>
  <c r="F1521" i="1" s="1"/>
  <c r="K1514" i="1"/>
  <c r="K1513" i="1"/>
  <c r="K1516" i="1"/>
  <c r="K1521" i="1"/>
  <c r="Q1512" i="1"/>
  <c r="Q1514" i="1"/>
  <c r="Q1513" i="1"/>
  <c r="Q1516" i="1"/>
  <c r="Q1521" i="1"/>
  <c r="AH1512" i="1"/>
  <c r="AH1514" i="1"/>
  <c r="AH1513" i="1"/>
  <c r="AH1516" i="1"/>
  <c r="AH1521" i="1"/>
  <c r="AL1512" i="1"/>
  <c r="AL1514" i="1"/>
  <c r="AL1513" i="1"/>
  <c r="AL1516" i="1"/>
  <c r="AL1521" i="1"/>
  <c r="K3025" i="1"/>
  <c r="K3024" i="1"/>
  <c r="K3023" i="1"/>
  <c r="K3029" i="1"/>
  <c r="K3028" i="1"/>
  <c r="K3022" i="1"/>
  <c r="I3022" i="1"/>
  <c r="F3022" i="1" s="1"/>
  <c r="I3028" i="1"/>
  <c r="F3028" i="1" s="1"/>
  <c r="I3029" i="1"/>
  <c r="F3029" i="1" s="1"/>
  <c r="I3023" i="1"/>
  <c r="F3023" i="1" s="1"/>
  <c r="I3024" i="1"/>
  <c r="F3024" i="1" s="1"/>
  <c r="I3025" i="1"/>
  <c r="F3025" i="1" s="1"/>
  <c r="Q3022" i="1"/>
  <c r="Q3028" i="1"/>
  <c r="Q3029" i="1"/>
  <c r="Q3023" i="1"/>
  <c r="Q3024" i="1"/>
  <c r="Q3025" i="1"/>
  <c r="AH3022" i="1"/>
  <c r="AH3028" i="1"/>
  <c r="AH3029" i="1"/>
  <c r="AH3023" i="1"/>
  <c r="AH3024" i="1"/>
  <c r="AH3025" i="1"/>
  <c r="AL3022" i="1"/>
  <c r="AL3028" i="1"/>
  <c r="AL3029" i="1"/>
  <c r="AL3023" i="1"/>
  <c r="AL3024" i="1"/>
  <c r="AL3025" i="1"/>
  <c r="I3009" i="1"/>
  <c r="F3009" i="1" s="1"/>
  <c r="I2998" i="1"/>
  <c r="F2998" i="1" s="1"/>
  <c r="I3010" i="1"/>
  <c r="F3010" i="1" s="1"/>
  <c r="I3011" i="1"/>
  <c r="F3011" i="1" s="1"/>
  <c r="I3013" i="1"/>
  <c r="F3013" i="1" s="1"/>
  <c r="I2999" i="1"/>
  <c r="F2999" i="1" s="1"/>
  <c r="I3014" i="1"/>
  <c r="F3014" i="1" s="1"/>
  <c r="I3004" i="1"/>
  <c r="F3004" i="1" s="1"/>
  <c r="I3005" i="1"/>
  <c r="F3005" i="1" s="1"/>
  <c r="K3009" i="1"/>
  <c r="K2998" i="1"/>
  <c r="K3010" i="1"/>
  <c r="K3011" i="1"/>
  <c r="K3013" i="1"/>
  <c r="K2999" i="1"/>
  <c r="K3014" i="1"/>
  <c r="K3004" i="1"/>
  <c r="K3005" i="1"/>
  <c r="Q3009" i="1"/>
  <c r="Q2998" i="1"/>
  <c r="Q3010" i="1"/>
  <c r="Q3011" i="1"/>
  <c r="Q3013" i="1"/>
  <c r="Q2999" i="1"/>
  <c r="Q3014" i="1"/>
  <c r="Q3004" i="1"/>
  <c r="Q3005" i="1"/>
  <c r="AH3009" i="1"/>
  <c r="AH2998" i="1"/>
  <c r="AH3010" i="1"/>
  <c r="AH3011" i="1"/>
  <c r="AH3013" i="1"/>
  <c r="AH2999" i="1"/>
  <c r="AH3014" i="1"/>
  <c r="AH3004" i="1"/>
  <c r="AH3005" i="1"/>
  <c r="AL3009" i="1"/>
  <c r="AL2998" i="1"/>
  <c r="AL3010" i="1"/>
  <c r="AL3011" i="1"/>
  <c r="AL3013" i="1"/>
  <c r="AL2999" i="1"/>
  <c r="AL3014" i="1"/>
  <c r="AL3004" i="1"/>
  <c r="AL3005" i="1"/>
  <c r="K1869" i="1"/>
  <c r="K1865" i="1"/>
  <c r="K1864" i="1"/>
  <c r="K1856" i="1"/>
  <c r="K1858" i="1"/>
  <c r="K1860" i="1"/>
  <c r="I1860" i="1"/>
  <c r="F1860" i="1" s="1"/>
  <c r="I1858" i="1"/>
  <c r="F1858" i="1" s="1"/>
  <c r="I1856" i="1"/>
  <c r="F1856" i="1" s="1"/>
  <c r="I1864" i="1"/>
  <c r="F1864" i="1" s="1"/>
  <c r="I1865" i="1"/>
  <c r="F1865" i="1" s="1"/>
  <c r="I1869" i="1"/>
  <c r="F1869" i="1" s="1"/>
  <c r="Q1860" i="1"/>
  <c r="Q1858" i="1"/>
  <c r="Q1856" i="1"/>
  <c r="Q1864" i="1"/>
  <c r="Q1865" i="1"/>
  <c r="Q1869" i="1"/>
  <c r="AH1860" i="1"/>
  <c r="AH1858" i="1"/>
  <c r="AH1856" i="1"/>
  <c r="AH1864" i="1"/>
  <c r="AH1865" i="1"/>
  <c r="AH1869" i="1"/>
  <c r="AL1860" i="1"/>
  <c r="AL1858" i="1"/>
  <c r="AL1856" i="1"/>
  <c r="AL1864" i="1"/>
  <c r="AL1865" i="1"/>
  <c r="AL1869" i="1"/>
  <c r="K1685" i="1"/>
  <c r="K1660" i="1"/>
  <c r="K1668" i="1"/>
  <c r="K1667" i="1"/>
  <c r="K1666" i="1"/>
  <c r="K1665" i="1"/>
  <c r="K1664" i="1"/>
  <c r="K1659" i="1"/>
  <c r="I1659" i="1"/>
  <c r="F1659" i="1" s="1"/>
  <c r="I1664" i="1"/>
  <c r="F1664" i="1" s="1"/>
  <c r="I1665" i="1"/>
  <c r="F1665" i="1" s="1"/>
  <c r="I1666" i="1"/>
  <c r="F1666" i="1" s="1"/>
  <c r="I1667" i="1"/>
  <c r="F1667" i="1" s="1"/>
  <c r="I1668" i="1"/>
  <c r="F1668" i="1" s="1"/>
  <c r="I1660" i="1"/>
  <c r="F1660" i="1" s="1"/>
  <c r="I1685" i="1"/>
  <c r="F1685" i="1" s="1"/>
  <c r="Q1659" i="1"/>
  <c r="Q1664" i="1"/>
  <c r="Q1665" i="1"/>
  <c r="Q1666" i="1"/>
  <c r="Q1667" i="1"/>
  <c r="Q1668" i="1"/>
  <c r="Q1660" i="1"/>
  <c r="Q1685" i="1"/>
  <c r="AH1659" i="1"/>
  <c r="AH1664" i="1"/>
  <c r="AH1665" i="1"/>
  <c r="AH1666" i="1"/>
  <c r="AH1667" i="1"/>
  <c r="AH1668" i="1"/>
  <c r="AH1660" i="1"/>
  <c r="AH1685" i="1"/>
  <c r="AL1659" i="1"/>
  <c r="AL1664" i="1"/>
  <c r="AL1665" i="1"/>
  <c r="AL1666" i="1"/>
  <c r="AL1667" i="1"/>
  <c r="AL1668" i="1"/>
  <c r="AL1660" i="1"/>
  <c r="AL1685" i="1"/>
  <c r="I2161" i="1"/>
  <c r="F2161" i="1" s="1"/>
  <c r="I2162" i="1"/>
  <c r="F2162" i="1" s="1"/>
  <c r="K2161" i="1"/>
  <c r="K2162" i="1"/>
  <c r="Q2161" i="1"/>
  <c r="Q2162" i="1"/>
  <c r="AH2161" i="1"/>
  <c r="AH2162" i="1"/>
  <c r="AL2161" i="1"/>
  <c r="AL2162" i="1"/>
  <c r="I1441" i="1"/>
  <c r="F1441" i="1" s="1"/>
  <c r="I1442" i="1"/>
  <c r="F1442" i="1" s="1"/>
  <c r="I1443" i="1"/>
  <c r="F1443" i="1" s="1"/>
  <c r="I1449" i="1"/>
  <c r="F1449" i="1" s="1"/>
  <c r="I1451" i="1"/>
  <c r="F1451" i="1" s="1"/>
  <c r="I1450" i="1"/>
  <c r="F1450" i="1" s="1"/>
  <c r="I1453" i="1"/>
  <c r="F1453" i="1" s="1"/>
  <c r="K1441" i="1"/>
  <c r="K1442" i="1"/>
  <c r="K1443" i="1"/>
  <c r="K1449" i="1"/>
  <c r="K1451" i="1"/>
  <c r="K1450" i="1"/>
  <c r="K1453" i="1"/>
  <c r="Q1441" i="1"/>
  <c r="Q1442" i="1"/>
  <c r="Q1443" i="1"/>
  <c r="Q1449" i="1"/>
  <c r="Q1451" i="1"/>
  <c r="Q1450" i="1"/>
  <c r="Q1453" i="1"/>
  <c r="AH1441" i="1"/>
  <c r="AH1442" i="1"/>
  <c r="AH1443" i="1"/>
  <c r="AH1449" i="1"/>
  <c r="AH1451" i="1"/>
  <c r="AH1450" i="1"/>
  <c r="AH1453" i="1"/>
  <c r="AL1441" i="1"/>
  <c r="AL1442" i="1"/>
  <c r="AL1443" i="1"/>
  <c r="AL1449" i="1"/>
  <c r="AL1451" i="1"/>
  <c r="AL1450" i="1"/>
  <c r="AL1453" i="1"/>
  <c r="K413" i="1"/>
  <c r="K418" i="1"/>
  <c r="I418" i="1"/>
  <c r="F418" i="1" s="1"/>
  <c r="I413" i="1"/>
  <c r="F413" i="1" s="1"/>
  <c r="Q418" i="1"/>
  <c r="Q413" i="1"/>
  <c r="AH418" i="1"/>
  <c r="AH413" i="1"/>
  <c r="AL418" i="1"/>
  <c r="AL413" i="1"/>
  <c r="I323" i="1"/>
  <c r="F323" i="1" s="1"/>
  <c r="I348" i="1"/>
  <c r="F348" i="1" s="1"/>
  <c r="I359" i="1"/>
  <c r="F359" i="1" s="1"/>
  <c r="I324" i="1"/>
  <c r="F324" i="1" s="1"/>
  <c r="I357" i="1"/>
  <c r="F357" i="1" s="1"/>
  <c r="I366" i="1"/>
  <c r="F366" i="1" s="1"/>
  <c r="I385" i="1"/>
  <c r="F385" i="1" s="1"/>
  <c r="I387" i="1"/>
  <c r="F387" i="1" s="1"/>
  <c r="I325" i="1"/>
  <c r="F325" i="1" s="1"/>
  <c r="I336" i="1"/>
  <c r="F336" i="1" s="1"/>
  <c r="I337" i="1"/>
  <c r="F337" i="1" s="1"/>
  <c r="I338" i="1"/>
  <c r="F338" i="1" s="1"/>
  <c r="I339" i="1"/>
  <c r="F339" i="1" s="1"/>
  <c r="K323" i="1"/>
  <c r="K348" i="1"/>
  <c r="K359" i="1"/>
  <c r="K324" i="1"/>
  <c r="K357" i="1"/>
  <c r="K366" i="1"/>
  <c r="K385" i="1"/>
  <c r="K387" i="1"/>
  <c r="K325" i="1"/>
  <c r="K336" i="1"/>
  <c r="K337" i="1"/>
  <c r="K338" i="1"/>
  <c r="K339" i="1"/>
  <c r="Q323" i="1"/>
  <c r="Q348" i="1"/>
  <c r="Q359" i="1"/>
  <c r="Q324" i="1"/>
  <c r="Q357" i="1"/>
  <c r="Q366" i="1"/>
  <c r="Q385" i="1"/>
  <c r="Q387" i="1"/>
  <c r="Q325" i="1"/>
  <c r="Q336" i="1"/>
  <c r="Q337" i="1"/>
  <c r="Q338" i="1"/>
  <c r="Q339" i="1"/>
  <c r="AH323" i="1"/>
  <c r="AH348" i="1"/>
  <c r="AH359" i="1"/>
  <c r="AH324" i="1"/>
  <c r="AH357" i="1"/>
  <c r="AH366" i="1"/>
  <c r="AH385" i="1"/>
  <c r="AH387" i="1"/>
  <c r="AH325" i="1"/>
  <c r="AH336" i="1"/>
  <c r="AH337" i="1"/>
  <c r="AH338" i="1"/>
  <c r="AH339" i="1"/>
  <c r="AL323" i="1"/>
  <c r="AL348" i="1"/>
  <c r="AL359" i="1"/>
  <c r="AL324" i="1"/>
  <c r="AL357" i="1"/>
  <c r="AL366" i="1"/>
  <c r="AL385" i="1"/>
  <c r="AL387" i="1"/>
  <c r="AL325" i="1"/>
  <c r="AL336" i="1"/>
  <c r="AL337" i="1"/>
  <c r="AL338" i="1"/>
  <c r="AL339" i="1"/>
  <c r="I303" i="1"/>
  <c r="F303" i="1" s="1"/>
  <c r="I304" i="1"/>
  <c r="F304" i="1" s="1"/>
  <c r="I306" i="1"/>
  <c r="F306" i="1" s="1"/>
  <c r="I311" i="1"/>
  <c r="F311" i="1" s="1"/>
  <c r="I299" i="1"/>
  <c r="F299" i="1" s="1"/>
  <c r="I308" i="1"/>
  <c r="F308" i="1" s="1"/>
  <c r="I309" i="1"/>
  <c r="F309" i="1" s="1"/>
  <c r="I302" i="1"/>
  <c r="F302" i="1" s="1"/>
  <c r="I310" i="1"/>
  <c r="F310" i="1" s="1"/>
  <c r="K303" i="1"/>
  <c r="K304" i="1"/>
  <c r="K306" i="1"/>
  <c r="K311" i="1"/>
  <c r="K299" i="1"/>
  <c r="K308" i="1"/>
  <c r="K309" i="1"/>
  <c r="K302" i="1"/>
  <c r="K310" i="1"/>
  <c r="Q303" i="1"/>
  <c r="Q304" i="1"/>
  <c r="Q306" i="1"/>
  <c r="Q311" i="1"/>
  <c r="Q299" i="1"/>
  <c r="Q308" i="1"/>
  <c r="Q309" i="1"/>
  <c r="Q302" i="1"/>
  <c r="Q310" i="1"/>
  <c r="AH303" i="1"/>
  <c r="AH304" i="1"/>
  <c r="AH306" i="1"/>
  <c r="AH311" i="1"/>
  <c r="AH299" i="1"/>
  <c r="AH308" i="1"/>
  <c r="AH309" i="1"/>
  <c r="AH302" i="1"/>
  <c r="AH310" i="1"/>
  <c r="AL303" i="1"/>
  <c r="AL304" i="1"/>
  <c r="AL306" i="1"/>
  <c r="AL311" i="1"/>
  <c r="AL299" i="1"/>
  <c r="AL308" i="1"/>
  <c r="AL309" i="1"/>
  <c r="AL302" i="1"/>
  <c r="AL310" i="1"/>
  <c r="I3132" i="1"/>
  <c r="F3132" i="1" s="1"/>
  <c r="I3133" i="1"/>
  <c r="F3133" i="1" s="1"/>
  <c r="I3134" i="1"/>
  <c r="F3134" i="1" s="1"/>
  <c r="I3138" i="1"/>
  <c r="F3138" i="1" s="1"/>
  <c r="I3142" i="1"/>
  <c r="F3142" i="1" s="1"/>
  <c r="I3144" i="1"/>
  <c r="F3144" i="1" s="1"/>
  <c r="I3148" i="1"/>
  <c r="F3148" i="1" s="1"/>
  <c r="I3153" i="1"/>
  <c r="F3153" i="1" s="1"/>
  <c r="I3154" i="1"/>
  <c r="F3154" i="1" s="1"/>
  <c r="K3132" i="1"/>
  <c r="K3133" i="1"/>
  <c r="K3134" i="1"/>
  <c r="K3138" i="1"/>
  <c r="K3142" i="1"/>
  <c r="K3144" i="1"/>
  <c r="K3148" i="1"/>
  <c r="K3153" i="1"/>
  <c r="K3154" i="1"/>
  <c r="Q3132" i="1"/>
  <c r="Q3133" i="1"/>
  <c r="Q3134" i="1"/>
  <c r="Q3138" i="1"/>
  <c r="Q3142" i="1"/>
  <c r="Q3144" i="1"/>
  <c r="Q3148" i="1"/>
  <c r="Q3153" i="1"/>
  <c r="Q3154" i="1"/>
  <c r="AH3132" i="1"/>
  <c r="AH3133" i="1"/>
  <c r="AH3134" i="1"/>
  <c r="AH3138" i="1"/>
  <c r="AH3142" i="1"/>
  <c r="AH3144" i="1"/>
  <c r="AH3148" i="1"/>
  <c r="AH3153" i="1"/>
  <c r="AH3154" i="1"/>
  <c r="AL3132" i="1"/>
  <c r="AL3133" i="1"/>
  <c r="AL3134" i="1"/>
  <c r="AL3138" i="1"/>
  <c r="AL3142" i="1"/>
  <c r="AL3144" i="1"/>
  <c r="AL3148" i="1"/>
  <c r="AL3153" i="1"/>
  <c r="AL3154" i="1"/>
  <c r="I534" i="1"/>
  <c r="F534" i="1" s="1"/>
  <c r="I533" i="1"/>
  <c r="F533" i="1" s="1"/>
  <c r="I538" i="1"/>
  <c r="F538" i="1" s="1"/>
  <c r="I540" i="1"/>
  <c r="F540" i="1" s="1"/>
  <c r="I546" i="1"/>
  <c r="F546" i="1" s="1"/>
  <c r="I547" i="1"/>
  <c r="F547" i="1" s="1"/>
  <c r="I549" i="1"/>
  <c r="F549" i="1" s="1"/>
  <c r="I551" i="1"/>
  <c r="F551" i="1" s="1"/>
  <c r="K534" i="1"/>
  <c r="K533" i="1"/>
  <c r="K538" i="1"/>
  <c r="K540" i="1"/>
  <c r="K546" i="1"/>
  <c r="K547" i="1"/>
  <c r="K549" i="1"/>
  <c r="K551" i="1"/>
  <c r="Q534" i="1"/>
  <c r="Q533" i="1"/>
  <c r="Q538" i="1"/>
  <c r="Q540" i="1"/>
  <c r="Q546" i="1"/>
  <c r="Q547" i="1"/>
  <c r="Q549" i="1"/>
  <c r="Q551" i="1"/>
  <c r="AH534" i="1"/>
  <c r="AH533" i="1"/>
  <c r="AH538" i="1"/>
  <c r="AH540" i="1"/>
  <c r="AH546" i="1"/>
  <c r="AH547" i="1"/>
  <c r="AH549" i="1"/>
  <c r="AH551" i="1"/>
  <c r="AL534" i="1"/>
  <c r="AL533" i="1"/>
  <c r="AL538" i="1"/>
  <c r="AL540" i="1"/>
  <c r="AL546" i="1"/>
  <c r="AL547" i="1"/>
  <c r="AL549" i="1"/>
  <c r="AL551" i="1"/>
  <c r="I1732" i="1"/>
  <c r="F1732" i="1" s="1"/>
  <c r="I1733" i="1"/>
  <c r="F1733" i="1" s="1"/>
  <c r="I1734" i="1"/>
  <c r="F1734" i="1" s="1"/>
  <c r="I1735" i="1"/>
  <c r="F1735" i="1" s="1"/>
  <c r="I1736" i="1"/>
  <c r="F1736" i="1" s="1"/>
  <c r="I1737" i="1"/>
  <c r="F1737" i="1" s="1"/>
  <c r="I1738" i="1"/>
  <c r="F1738" i="1" s="1"/>
  <c r="I1739" i="1"/>
  <c r="F1739" i="1" s="1"/>
  <c r="I1740" i="1"/>
  <c r="F1740" i="1" s="1"/>
  <c r="I1741" i="1"/>
  <c r="F1741" i="1" s="1"/>
  <c r="I1742" i="1"/>
  <c r="F1742" i="1" s="1"/>
  <c r="I1743" i="1"/>
  <c r="F1743" i="1" s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I3056" i="1"/>
  <c r="F3056" i="1" s="1"/>
  <c r="I3057" i="1"/>
  <c r="F3057" i="1" s="1"/>
  <c r="I3058" i="1"/>
  <c r="F3058" i="1" s="1"/>
  <c r="I3136" i="1"/>
  <c r="F3136" i="1" s="1"/>
  <c r="I3146" i="1"/>
  <c r="F3146" i="1" s="1"/>
  <c r="I3059" i="1"/>
  <c r="F3059" i="1" s="1"/>
  <c r="I3060" i="1"/>
  <c r="F3060" i="1" s="1"/>
  <c r="I3061" i="1"/>
  <c r="F3061" i="1" s="1"/>
  <c r="I3062" i="1"/>
  <c r="F3062" i="1" s="1"/>
  <c r="I3063" i="1"/>
  <c r="F3063" i="1" s="1"/>
  <c r="I3096" i="1"/>
  <c r="F3096" i="1" s="1"/>
  <c r="I3137" i="1"/>
  <c r="F3137" i="1" s="1"/>
  <c r="I3097" i="1"/>
  <c r="F3097" i="1" s="1"/>
  <c r="I3105" i="1"/>
  <c r="F3105" i="1" s="1"/>
  <c r="I3140" i="1"/>
  <c r="F3140" i="1" s="1"/>
  <c r="I3098" i="1"/>
  <c r="F3098" i="1" s="1"/>
  <c r="I3106" i="1"/>
  <c r="F3106" i="1" s="1"/>
  <c r="I3143" i="1"/>
  <c r="F3143" i="1" s="1"/>
  <c r="I3147" i="1"/>
  <c r="F3147" i="1" s="1"/>
  <c r="I3099" i="1"/>
  <c r="F3099" i="1" s="1"/>
  <c r="I3107" i="1"/>
  <c r="F3107" i="1" s="1"/>
  <c r="I3104" i="1"/>
  <c r="F3104" i="1" s="1"/>
  <c r="I3064" i="1"/>
  <c r="F3064" i="1" s="1"/>
  <c r="I3156" i="1"/>
  <c r="F3156" i="1" s="1"/>
  <c r="I3100" i="1"/>
  <c r="F3100" i="1" s="1"/>
  <c r="I3101" i="1"/>
  <c r="F3101" i="1" s="1"/>
  <c r="I3102" i="1"/>
  <c r="F3102" i="1" s="1"/>
  <c r="I3108" i="1"/>
  <c r="F3108" i="1" s="1"/>
  <c r="I3109" i="1"/>
  <c r="F3109" i="1" s="1"/>
  <c r="I3110" i="1"/>
  <c r="F3110" i="1" s="1"/>
  <c r="I3157" i="1"/>
  <c r="F3157" i="1" s="1"/>
  <c r="I3103" i="1"/>
  <c r="F3103" i="1" s="1"/>
  <c r="I3111" i="1"/>
  <c r="F3111" i="1" s="1"/>
  <c r="K3056" i="1"/>
  <c r="K3057" i="1"/>
  <c r="K3058" i="1"/>
  <c r="K3136" i="1"/>
  <c r="K3146" i="1"/>
  <c r="K3059" i="1"/>
  <c r="K3060" i="1"/>
  <c r="K3061" i="1"/>
  <c r="K3062" i="1"/>
  <c r="K3063" i="1"/>
  <c r="K3096" i="1"/>
  <c r="K3137" i="1"/>
  <c r="K3097" i="1"/>
  <c r="K3105" i="1"/>
  <c r="K3140" i="1"/>
  <c r="K3098" i="1"/>
  <c r="K3106" i="1"/>
  <c r="K3143" i="1"/>
  <c r="K3147" i="1"/>
  <c r="K3099" i="1"/>
  <c r="K3107" i="1"/>
  <c r="K3104" i="1"/>
  <c r="K3064" i="1"/>
  <c r="K3156" i="1"/>
  <c r="K3100" i="1"/>
  <c r="K3101" i="1"/>
  <c r="K3102" i="1"/>
  <c r="K3108" i="1"/>
  <c r="K3109" i="1"/>
  <c r="K3110" i="1"/>
  <c r="K3157" i="1"/>
  <c r="K3103" i="1"/>
  <c r="K3111" i="1"/>
  <c r="Q3056" i="1"/>
  <c r="Q3057" i="1"/>
  <c r="Q3058" i="1"/>
  <c r="Q3136" i="1"/>
  <c r="Q3146" i="1"/>
  <c r="Q3059" i="1"/>
  <c r="Q3060" i="1"/>
  <c r="Q3061" i="1"/>
  <c r="Q3062" i="1"/>
  <c r="Q3063" i="1"/>
  <c r="Q3096" i="1"/>
  <c r="Q3137" i="1"/>
  <c r="Q3097" i="1"/>
  <c r="Q3105" i="1"/>
  <c r="Q3140" i="1"/>
  <c r="Q3098" i="1"/>
  <c r="Q3106" i="1"/>
  <c r="Q3143" i="1"/>
  <c r="Q3147" i="1"/>
  <c r="Q3099" i="1"/>
  <c r="Q3107" i="1"/>
  <c r="Q3104" i="1"/>
  <c r="Q3064" i="1"/>
  <c r="Q3156" i="1"/>
  <c r="Q3100" i="1"/>
  <c r="Q3101" i="1"/>
  <c r="Q3102" i="1"/>
  <c r="Q3108" i="1"/>
  <c r="Q3109" i="1"/>
  <c r="Q3110" i="1"/>
  <c r="Q3157" i="1"/>
  <c r="Q3103" i="1"/>
  <c r="Q3111" i="1"/>
  <c r="AH3056" i="1"/>
  <c r="AH3057" i="1"/>
  <c r="AH3058" i="1"/>
  <c r="AH3136" i="1"/>
  <c r="AH3146" i="1"/>
  <c r="AH3059" i="1"/>
  <c r="AH3060" i="1"/>
  <c r="AH3061" i="1"/>
  <c r="AH3062" i="1"/>
  <c r="AH3063" i="1"/>
  <c r="AH3096" i="1"/>
  <c r="AH3137" i="1"/>
  <c r="AH3097" i="1"/>
  <c r="AH3105" i="1"/>
  <c r="AH3140" i="1"/>
  <c r="AH3098" i="1"/>
  <c r="AH3106" i="1"/>
  <c r="AH3143" i="1"/>
  <c r="AH3147" i="1"/>
  <c r="AH3099" i="1"/>
  <c r="AH3107" i="1"/>
  <c r="AH3104" i="1"/>
  <c r="AH3064" i="1"/>
  <c r="AH3156" i="1"/>
  <c r="AH3100" i="1"/>
  <c r="AH3101" i="1"/>
  <c r="AH3102" i="1"/>
  <c r="AH3108" i="1"/>
  <c r="AH3109" i="1"/>
  <c r="AH3110" i="1"/>
  <c r="AH3157" i="1"/>
  <c r="AH3103" i="1"/>
  <c r="AH3111" i="1"/>
  <c r="AL3056" i="1"/>
  <c r="AL3057" i="1"/>
  <c r="AL3058" i="1"/>
  <c r="AL3136" i="1"/>
  <c r="AL3146" i="1"/>
  <c r="AL3059" i="1"/>
  <c r="AL3060" i="1"/>
  <c r="AL3061" i="1"/>
  <c r="AL3062" i="1"/>
  <c r="AL3063" i="1"/>
  <c r="AL3096" i="1"/>
  <c r="AL3137" i="1"/>
  <c r="AL3097" i="1"/>
  <c r="AL3105" i="1"/>
  <c r="AL3140" i="1"/>
  <c r="AL3098" i="1"/>
  <c r="AL3106" i="1"/>
  <c r="AL3143" i="1"/>
  <c r="AL3147" i="1"/>
  <c r="AL3099" i="1"/>
  <c r="AL3107" i="1"/>
  <c r="AL3104" i="1"/>
  <c r="AL3064" i="1"/>
  <c r="AL3156" i="1"/>
  <c r="AL3100" i="1"/>
  <c r="AL3101" i="1"/>
  <c r="AL3102" i="1"/>
  <c r="AL3108" i="1"/>
  <c r="AL3109" i="1"/>
  <c r="AL3110" i="1"/>
  <c r="AL3157" i="1"/>
  <c r="AL3103" i="1"/>
  <c r="AL3111" i="1"/>
  <c r="I3034" i="1"/>
  <c r="F3034" i="1" s="1"/>
  <c r="I3035" i="1"/>
  <c r="F3035" i="1" s="1"/>
  <c r="I3036" i="1"/>
  <c r="F3036" i="1" s="1"/>
  <c r="I3037" i="1"/>
  <c r="F3037" i="1" s="1"/>
  <c r="I3038" i="1"/>
  <c r="F3038" i="1" s="1"/>
  <c r="I3039" i="1"/>
  <c r="F3039" i="1" s="1"/>
  <c r="I3040" i="1"/>
  <c r="F3040" i="1" s="1"/>
  <c r="I3041" i="1"/>
  <c r="F3041" i="1" s="1"/>
  <c r="I3042" i="1"/>
  <c r="F3042" i="1" s="1"/>
  <c r="I3043" i="1"/>
  <c r="F3043" i="1" s="1"/>
  <c r="I3044" i="1"/>
  <c r="F3044" i="1" s="1"/>
  <c r="I3045" i="1"/>
  <c r="F3045" i="1" s="1"/>
  <c r="I3046" i="1"/>
  <c r="F3046" i="1" s="1"/>
  <c r="I3047" i="1"/>
  <c r="F3047" i="1" s="1"/>
  <c r="I3048" i="1"/>
  <c r="F3048" i="1" s="1"/>
  <c r="I3049" i="1"/>
  <c r="F3049" i="1" s="1"/>
  <c r="I3135" i="1"/>
  <c r="F3135" i="1" s="1"/>
  <c r="I3139" i="1"/>
  <c r="F3139" i="1" s="1"/>
  <c r="I3145" i="1"/>
  <c r="F3145" i="1" s="1"/>
  <c r="I3050" i="1"/>
  <c r="F3050" i="1" s="1"/>
  <c r="I3051" i="1"/>
  <c r="F3051" i="1" s="1"/>
  <c r="I3052" i="1"/>
  <c r="F3052" i="1" s="1"/>
  <c r="I3053" i="1"/>
  <c r="F3053" i="1" s="1"/>
  <c r="I3054" i="1"/>
  <c r="F3054" i="1" s="1"/>
  <c r="I3055" i="1"/>
  <c r="F3055" i="1" s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135" i="1"/>
  <c r="K3139" i="1"/>
  <c r="K3145" i="1"/>
  <c r="K3050" i="1"/>
  <c r="K3051" i="1"/>
  <c r="K3052" i="1"/>
  <c r="K3053" i="1"/>
  <c r="K3054" i="1"/>
  <c r="K3055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135" i="1"/>
  <c r="Q3139" i="1"/>
  <c r="Q3145" i="1"/>
  <c r="Q3050" i="1"/>
  <c r="Q3051" i="1"/>
  <c r="Q3052" i="1"/>
  <c r="Q3053" i="1"/>
  <c r="Q3054" i="1"/>
  <c r="Q3055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135" i="1"/>
  <c r="AH3139" i="1"/>
  <c r="AH3145" i="1"/>
  <c r="AH3050" i="1"/>
  <c r="AH3051" i="1"/>
  <c r="AH3052" i="1"/>
  <c r="AH3053" i="1"/>
  <c r="AH3054" i="1"/>
  <c r="AH3055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135" i="1"/>
  <c r="AL3139" i="1"/>
  <c r="AL3145" i="1"/>
  <c r="AL3050" i="1"/>
  <c r="AL3051" i="1"/>
  <c r="AL3052" i="1"/>
  <c r="AL3053" i="1"/>
  <c r="AL3054" i="1"/>
  <c r="AL3055" i="1"/>
  <c r="K2202" i="1"/>
  <c r="I2202" i="1"/>
  <c r="F2202" i="1" s="1"/>
  <c r="Q2202" i="1"/>
  <c r="AH2202" i="1"/>
  <c r="AL2202" i="1"/>
  <c r="I474" i="1"/>
  <c r="F474" i="1" s="1"/>
  <c r="I475" i="1"/>
  <c r="F475" i="1" s="1"/>
  <c r="I476" i="1"/>
  <c r="F476" i="1" s="1"/>
  <c r="I477" i="1"/>
  <c r="F477" i="1" s="1"/>
  <c r="I478" i="1"/>
  <c r="F478" i="1" s="1"/>
  <c r="I479" i="1"/>
  <c r="F479" i="1" s="1"/>
  <c r="I480" i="1"/>
  <c r="F480" i="1" s="1"/>
  <c r="I481" i="1"/>
  <c r="F481" i="1" s="1"/>
  <c r="I482" i="1"/>
  <c r="F482" i="1" s="1"/>
  <c r="I483" i="1"/>
  <c r="F483" i="1" s="1"/>
  <c r="I484" i="1"/>
  <c r="F484" i="1" s="1"/>
  <c r="I485" i="1"/>
  <c r="F485" i="1" s="1"/>
  <c r="I486" i="1"/>
  <c r="F486" i="1" s="1"/>
  <c r="I472" i="1"/>
  <c r="F472" i="1" s="1"/>
  <c r="I487" i="1"/>
  <c r="F487" i="1" s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72" i="1"/>
  <c r="K487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72" i="1"/>
  <c r="Q487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72" i="1"/>
  <c r="AH487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72" i="1"/>
  <c r="AL487" i="1"/>
  <c r="I1172" i="1"/>
  <c r="F1172" i="1" s="1"/>
  <c r="I3289" i="1"/>
  <c r="F3289" i="1" s="1"/>
  <c r="K1172" i="1"/>
  <c r="K3289" i="1"/>
  <c r="Q1172" i="1"/>
  <c r="Q3289" i="1"/>
  <c r="AH1172" i="1"/>
  <c r="AH3289" i="1"/>
  <c r="AL1172" i="1"/>
  <c r="AL3289" i="1"/>
  <c r="I798" i="1"/>
  <c r="F798" i="1" s="1"/>
  <c r="I816" i="1"/>
  <c r="F816" i="1" s="1"/>
  <c r="I817" i="1"/>
  <c r="F817" i="1" s="1"/>
  <c r="I818" i="1"/>
  <c r="F818" i="1" s="1"/>
  <c r="I808" i="1"/>
  <c r="F808" i="1" s="1"/>
  <c r="I809" i="1"/>
  <c r="F809" i="1" s="1"/>
  <c r="I819" i="1"/>
  <c r="F819" i="1" s="1"/>
  <c r="I820" i="1"/>
  <c r="F820" i="1" s="1"/>
  <c r="I823" i="1"/>
  <c r="F823" i="1" s="1"/>
  <c r="I825" i="1"/>
  <c r="F825" i="1" s="1"/>
  <c r="I833" i="1"/>
  <c r="F833" i="1" s="1"/>
  <c r="I826" i="1"/>
  <c r="F826" i="1" s="1"/>
  <c r="I834" i="1"/>
  <c r="F834" i="1" s="1"/>
  <c r="I821" i="1"/>
  <c r="F821" i="1" s="1"/>
  <c r="I827" i="1"/>
  <c r="F827" i="1" s="1"/>
  <c r="I835" i="1"/>
  <c r="F835" i="1" s="1"/>
  <c r="I831" i="1"/>
  <c r="F831" i="1" s="1"/>
  <c r="I828" i="1"/>
  <c r="F828" i="1" s="1"/>
  <c r="I836" i="1"/>
  <c r="F836" i="1" s="1"/>
  <c r="I846" i="1"/>
  <c r="F846" i="1" s="1"/>
  <c r="I845" i="1"/>
  <c r="F845" i="1" s="1"/>
  <c r="I805" i="1"/>
  <c r="F805" i="1" s="1"/>
  <c r="I847" i="1"/>
  <c r="F847" i="1" s="1"/>
  <c r="I843" i="1"/>
  <c r="F843" i="1" s="1"/>
  <c r="I800" i="1"/>
  <c r="F800" i="1" s="1"/>
  <c r="K798" i="1"/>
  <c r="K816" i="1"/>
  <c r="K817" i="1"/>
  <c r="K818" i="1"/>
  <c r="K808" i="1"/>
  <c r="K809" i="1"/>
  <c r="K819" i="1"/>
  <c r="K820" i="1"/>
  <c r="K823" i="1"/>
  <c r="K825" i="1"/>
  <c r="K833" i="1"/>
  <c r="K826" i="1"/>
  <c r="K834" i="1"/>
  <c r="K821" i="1"/>
  <c r="K827" i="1"/>
  <c r="K835" i="1"/>
  <c r="K831" i="1"/>
  <c r="K828" i="1"/>
  <c r="K836" i="1"/>
  <c r="K846" i="1"/>
  <c r="K845" i="1"/>
  <c r="K805" i="1"/>
  <c r="K847" i="1"/>
  <c r="K843" i="1"/>
  <c r="K800" i="1"/>
  <c r="Q798" i="1"/>
  <c r="Q816" i="1"/>
  <c r="Q817" i="1"/>
  <c r="Q818" i="1"/>
  <c r="Q808" i="1"/>
  <c r="Q809" i="1"/>
  <c r="Q819" i="1"/>
  <c r="Q820" i="1"/>
  <c r="Q823" i="1"/>
  <c r="Q825" i="1"/>
  <c r="Q833" i="1"/>
  <c r="Q826" i="1"/>
  <c r="Q834" i="1"/>
  <c r="Q821" i="1"/>
  <c r="Q827" i="1"/>
  <c r="Q835" i="1"/>
  <c r="Q831" i="1"/>
  <c r="Q828" i="1"/>
  <c r="Q836" i="1"/>
  <c r="Q846" i="1"/>
  <c r="Q845" i="1"/>
  <c r="Q805" i="1"/>
  <c r="Q847" i="1"/>
  <c r="Q843" i="1"/>
  <c r="Q800" i="1"/>
  <c r="AH798" i="1"/>
  <c r="AH816" i="1"/>
  <c r="AH817" i="1"/>
  <c r="AH818" i="1"/>
  <c r="AH808" i="1"/>
  <c r="AH809" i="1"/>
  <c r="AH819" i="1"/>
  <c r="AH820" i="1"/>
  <c r="AH823" i="1"/>
  <c r="AH825" i="1"/>
  <c r="AH833" i="1"/>
  <c r="AH826" i="1"/>
  <c r="AH834" i="1"/>
  <c r="AH821" i="1"/>
  <c r="AH827" i="1"/>
  <c r="AH835" i="1"/>
  <c r="AH831" i="1"/>
  <c r="AH828" i="1"/>
  <c r="AH836" i="1"/>
  <c r="AH846" i="1"/>
  <c r="AH845" i="1"/>
  <c r="AH805" i="1"/>
  <c r="AH847" i="1"/>
  <c r="AH843" i="1"/>
  <c r="AH800" i="1"/>
  <c r="AL798" i="1"/>
  <c r="AL816" i="1"/>
  <c r="AL817" i="1"/>
  <c r="AL818" i="1"/>
  <c r="AL808" i="1"/>
  <c r="AL809" i="1"/>
  <c r="AL819" i="1"/>
  <c r="AL820" i="1"/>
  <c r="AL823" i="1"/>
  <c r="AL825" i="1"/>
  <c r="AL833" i="1"/>
  <c r="AL826" i="1"/>
  <c r="AL834" i="1"/>
  <c r="AL821" i="1"/>
  <c r="AL827" i="1"/>
  <c r="AL835" i="1"/>
  <c r="AL831" i="1"/>
  <c r="AL828" i="1"/>
  <c r="AL836" i="1"/>
  <c r="AL846" i="1"/>
  <c r="AL845" i="1"/>
  <c r="AL805" i="1"/>
  <c r="AL847" i="1"/>
  <c r="AL843" i="1"/>
  <c r="AL800" i="1"/>
  <c r="I2586" i="1"/>
  <c r="F2586" i="1" s="1"/>
  <c r="I2587" i="1"/>
  <c r="F2587" i="1" s="1"/>
  <c r="I2588" i="1"/>
  <c r="F2588" i="1" s="1"/>
  <c r="I2585" i="1"/>
  <c r="F2585" i="1" s="1"/>
  <c r="I2590" i="1"/>
  <c r="F2590" i="1" s="1"/>
  <c r="I2591" i="1"/>
  <c r="F2591" i="1" s="1"/>
  <c r="K2586" i="1"/>
  <c r="K2587" i="1"/>
  <c r="K2588" i="1"/>
  <c r="K2585" i="1"/>
  <c r="K2590" i="1"/>
  <c r="K2591" i="1"/>
  <c r="Q2586" i="1"/>
  <c r="Q2587" i="1"/>
  <c r="Q2588" i="1"/>
  <c r="Q2585" i="1"/>
  <c r="Q2590" i="1"/>
  <c r="Q2591" i="1"/>
  <c r="AH2586" i="1"/>
  <c r="AH2587" i="1"/>
  <c r="AH2588" i="1"/>
  <c r="AH2585" i="1"/>
  <c r="AH2590" i="1"/>
  <c r="AH2591" i="1"/>
  <c r="AL2586" i="1"/>
  <c r="AL2587" i="1"/>
  <c r="AL2588" i="1"/>
  <c r="AL2585" i="1"/>
  <c r="AL2590" i="1"/>
  <c r="AL2591" i="1"/>
  <c r="I1597" i="1"/>
  <c r="F1597" i="1" s="1"/>
  <c r="I1598" i="1"/>
  <c r="F1598" i="1" s="1"/>
  <c r="K1597" i="1"/>
  <c r="K1598" i="1"/>
  <c r="Q1597" i="1"/>
  <c r="Q1598" i="1"/>
  <c r="AH1597" i="1"/>
  <c r="AH1598" i="1"/>
  <c r="AL1597" i="1"/>
  <c r="AL1598" i="1"/>
  <c r="I236" i="1"/>
  <c r="F236" i="1" s="1"/>
  <c r="I237" i="1"/>
  <c r="F237" i="1" s="1"/>
  <c r="I238" i="1"/>
  <c r="F238" i="1" s="1"/>
  <c r="I266" i="1"/>
  <c r="F266" i="1" s="1"/>
  <c r="I267" i="1"/>
  <c r="F267" i="1" s="1"/>
  <c r="I276" i="1"/>
  <c r="F276" i="1" s="1"/>
  <c r="I278" i="1"/>
  <c r="F278" i="1" s="1"/>
  <c r="I285" i="1"/>
  <c r="F285" i="1" s="1"/>
  <c r="I290" i="1"/>
  <c r="F290" i="1" s="1"/>
  <c r="I291" i="1"/>
  <c r="F291" i="1" s="1"/>
  <c r="I242" i="1"/>
  <c r="F242" i="1" s="1"/>
  <c r="I243" i="1"/>
  <c r="F243" i="1" s="1"/>
  <c r="I244" i="1"/>
  <c r="F244" i="1" s="1"/>
  <c r="I245" i="1"/>
  <c r="F245" i="1" s="1"/>
  <c r="I246" i="1"/>
  <c r="F246" i="1" s="1"/>
  <c r="I247" i="1"/>
  <c r="F247" i="1" s="1"/>
  <c r="I248" i="1"/>
  <c r="F248" i="1" s="1"/>
  <c r="I249" i="1"/>
  <c r="F249" i="1" s="1"/>
  <c r="I252" i="1"/>
  <c r="F252" i="1" s="1"/>
  <c r="I250" i="1"/>
  <c r="F250" i="1" s="1"/>
  <c r="I253" i="1"/>
  <c r="F253" i="1" s="1"/>
  <c r="I251" i="1"/>
  <c r="F251" i="1" s="1"/>
  <c r="K236" i="1"/>
  <c r="K237" i="1"/>
  <c r="K238" i="1"/>
  <c r="K266" i="1"/>
  <c r="K267" i="1"/>
  <c r="K276" i="1"/>
  <c r="K278" i="1"/>
  <c r="K285" i="1"/>
  <c r="K290" i="1"/>
  <c r="K291" i="1"/>
  <c r="K242" i="1"/>
  <c r="K243" i="1"/>
  <c r="K244" i="1"/>
  <c r="K245" i="1"/>
  <c r="K246" i="1"/>
  <c r="K247" i="1"/>
  <c r="K248" i="1"/>
  <c r="K249" i="1"/>
  <c r="K252" i="1"/>
  <c r="K250" i="1"/>
  <c r="K253" i="1"/>
  <c r="K251" i="1"/>
  <c r="Q236" i="1"/>
  <c r="Q237" i="1"/>
  <c r="Q238" i="1"/>
  <c r="Q266" i="1"/>
  <c r="Q267" i="1"/>
  <c r="Q276" i="1"/>
  <c r="Q278" i="1"/>
  <c r="Q285" i="1"/>
  <c r="Q290" i="1"/>
  <c r="Q291" i="1"/>
  <c r="Q242" i="1"/>
  <c r="Q243" i="1"/>
  <c r="Q244" i="1"/>
  <c r="Q245" i="1"/>
  <c r="Q246" i="1"/>
  <c r="Q247" i="1"/>
  <c r="Q248" i="1"/>
  <c r="Q249" i="1"/>
  <c r="Q252" i="1"/>
  <c r="Q250" i="1"/>
  <c r="Q253" i="1"/>
  <c r="Q251" i="1"/>
  <c r="AH236" i="1"/>
  <c r="AH237" i="1"/>
  <c r="AH238" i="1"/>
  <c r="AH266" i="1"/>
  <c r="AH267" i="1"/>
  <c r="AH276" i="1"/>
  <c r="AH278" i="1"/>
  <c r="AH285" i="1"/>
  <c r="AH290" i="1"/>
  <c r="AH291" i="1"/>
  <c r="AH242" i="1"/>
  <c r="AH243" i="1"/>
  <c r="AH244" i="1"/>
  <c r="AH245" i="1"/>
  <c r="AH246" i="1"/>
  <c r="AH247" i="1"/>
  <c r="AH248" i="1"/>
  <c r="AH249" i="1"/>
  <c r="AH252" i="1"/>
  <c r="AH250" i="1"/>
  <c r="AH253" i="1"/>
  <c r="AH251" i="1"/>
  <c r="AL236" i="1"/>
  <c r="AL237" i="1"/>
  <c r="AL238" i="1"/>
  <c r="AL266" i="1"/>
  <c r="AL267" i="1"/>
  <c r="AL276" i="1"/>
  <c r="AL278" i="1"/>
  <c r="AL285" i="1"/>
  <c r="AL290" i="1"/>
  <c r="AL291" i="1"/>
  <c r="AL242" i="1"/>
  <c r="AL243" i="1"/>
  <c r="AL244" i="1"/>
  <c r="AL245" i="1"/>
  <c r="AL246" i="1"/>
  <c r="AL247" i="1"/>
  <c r="AL248" i="1"/>
  <c r="AL249" i="1"/>
  <c r="AL252" i="1"/>
  <c r="AL250" i="1"/>
  <c r="AL253" i="1"/>
  <c r="AL251" i="1"/>
  <c r="I1661" i="1"/>
  <c r="F1661" i="1" s="1"/>
  <c r="I1658" i="1"/>
  <c r="F1658" i="1" s="1"/>
  <c r="I1671" i="1"/>
  <c r="F1671" i="1" s="1"/>
  <c r="I1681" i="1"/>
  <c r="F1681" i="1" s="1"/>
  <c r="I1674" i="1"/>
  <c r="F1674" i="1" s="1"/>
  <c r="I1675" i="1"/>
  <c r="F1675" i="1" s="1"/>
  <c r="I1676" i="1"/>
  <c r="F1676" i="1" s="1"/>
  <c r="I1677" i="1"/>
  <c r="F1677" i="1" s="1"/>
  <c r="I1678" i="1"/>
  <c r="F1678" i="1" s="1"/>
  <c r="K1661" i="1"/>
  <c r="K1658" i="1"/>
  <c r="K1671" i="1"/>
  <c r="K1681" i="1"/>
  <c r="K1674" i="1"/>
  <c r="K1675" i="1"/>
  <c r="K1676" i="1"/>
  <c r="K1677" i="1"/>
  <c r="K1678" i="1"/>
  <c r="Q1661" i="1"/>
  <c r="Q1658" i="1"/>
  <c r="Q1671" i="1"/>
  <c r="Q1681" i="1"/>
  <c r="Q1674" i="1"/>
  <c r="Q1675" i="1"/>
  <c r="Q1676" i="1"/>
  <c r="Q1677" i="1"/>
  <c r="Q1678" i="1"/>
  <c r="AH1661" i="1"/>
  <c r="AH1658" i="1"/>
  <c r="AH1671" i="1"/>
  <c r="AH1681" i="1"/>
  <c r="AH1674" i="1"/>
  <c r="AH1675" i="1"/>
  <c r="AH1676" i="1"/>
  <c r="AH1677" i="1"/>
  <c r="AH1678" i="1"/>
  <c r="AL1661" i="1"/>
  <c r="AL1658" i="1"/>
  <c r="AL1671" i="1"/>
  <c r="AL1681" i="1"/>
  <c r="AL1674" i="1"/>
  <c r="AL1675" i="1"/>
  <c r="AL1676" i="1"/>
  <c r="AL1677" i="1"/>
  <c r="AL1678" i="1"/>
  <c r="I1857" i="1"/>
  <c r="F1857" i="1" s="1"/>
  <c r="I1859" i="1"/>
  <c r="F1859" i="1" s="1"/>
  <c r="I1868" i="1"/>
  <c r="F1868" i="1" s="1"/>
  <c r="I1870" i="1"/>
  <c r="F1870" i="1" s="1"/>
  <c r="K1857" i="1"/>
  <c r="K1859" i="1"/>
  <c r="K1868" i="1"/>
  <c r="K1870" i="1"/>
  <c r="Q1857" i="1"/>
  <c r="Q1859" i="1"/>
  <c r="Q1868" i="1"/>
  <c r="Q1870" i="1"/>
  <c r="AH1857" i="1"/>
  <c r="AH1859" i="1"/>
  <c r="AH1868" i="1"/>
  <c r="AH1870" i="1"/>
  <c r="AL1857" i="1"/>
  <c r="AL1859" i="1"/>
  <c r="AL1868" i="1"/>
  <c r="AL1870" i="1"/>
  <c r="I403" i="1"/>
  <c r="F403" i="1" s="1"/>
  <c r="I404" i="1"/>
  <c r="F404" i="1" s="1"/>
  <c r="I419" i="1"/>
  <c r="F419" i="1" s="1"/>
  <c r="I421" i="1"/>
  <c r="F421" i="1" s="1"/>
  <c r="I405" i="1"/>
  <c r="F405" i="1" s="1"/>
  <c r="K403" i="1"/>
  <c r="K404" i="1"/>
  <c r="K419" i="1"/>
  <c r="K421" i="1"/>
  <c r="K405" i="1"/>
  <c r="Q403" i="1"/>
  <c r="Q404" i="1"/>
  <c r="Q419" i="1"/>
  <c r="Q421" i="1"/>
  <c r="Q405" i="1"/>
  <c r="AH403" i="1"/>
  <c r="AH404" i="1"/>
  <c r="AH419" i="1"/>
  <c r="AH421" i="1"/>
  <c r="AH405" i="1"/>
  <c r="AL403" i="1"/>
  <c r="AL404" i="1"/>
  <c r="AL419" i="1"/>
  <c r="AL421" i="1"/>
  <c r="AL405" i="1"/>
  <c r="I2384" i="1"/>
  <c r="F2384" i="1" s="1"/>
  <c r="I2380" i="1"/>
  <c r="F2380" i="1" s="1"/>
  <c r="I2374" i="1"/>
  <c r="F2374" i="1" s="1"/>
  <c r="I2375" i="1"/>
  <c r="F2375" i="1" s="1"/>
  <c r="K2384" i="1"/>
  <c r="K2380" i="1"/>
  <c r="K2374" i="1"/>
  <c r="K2375" i="1"/>
  <c r="Q2384" i="1"/>
  <c r="Q2380" i="1"/>
  <c r="Q2374" i="1"/>
  <c r="Q2375" i="1"/>
  <c r="AH2384" i="1"/>
  <c r="AH2380" i="1"/>
  <c r="AH2374" i="1"/>
  <c r="AH2375" i="1"/>
  <c r="AL2384" i="1"/>
  <c r="AL2380" i="1"/>
  <c r="AL2374" i="1"/>
  <c r="AL2375" i="1"/>
  <c r="I2331" i="1"/>
  <c r="F2331" i="1" s="1"/>
  <c r="I2332" i="1"/>
  <c r="F2332" i="1" s="1"/>
  <c r="K2331" i="1"/>
  <c r="K2332" i="1"/>
  <c r="Q2331" i="1"/>
  <c r="Q2332" i="1"/>
  <c r="AH2331" i="1"/>
  <c r="AH2332" i="1"/>
  <c r="AL2331" i="1"/>
  <c r="AL2332" i="1"/>
  <c r="I1472" i="1"/>
  <c r="F1472" i="1" s="1"/>
  <c r="I1473" i="1"/>
  <c r="F1473" i="1" s="1"/>
  <c r="K1472" i="1"/>
  <c r="K1473" i="1"/>
  <c r="Q1472" i="1"/>
  <c r="Q1473" i="1"/>
  <c r="AH1472" i="1"/>
  <c r="AH1473" i="1"/>
  <c r="AL1472" i="1"/>
  <c r="AL1473" i="1"/>
  <c r="I450" i="1"/>
  <c r="F450" i="1" s="1"/>
  <c r="I453" i="1"/>
  <c r="F453" i="1" s="1"/>
  <c r="I456" i="1"/>
  <c r="F456" i="1" s="1"/>
  <c r="I458" i="1"/>
  <c r="F458" i="1" s="1"/>
  <c r="I455" i="1"/>
  <c r="F455" i="1" s="1"/>
  <c r="I457" i="1"/>
  <c r="F457" i="1" s="1"/>
  <c r="I451" i="1"/>
  <c r="F451" i="1" s="1"/>
  <c r="I452" i="1"/>
  <c r="F452" i="1" s="1"/>
  <c r="K450" i="1"/>
  <c r="K453" i="1"/>
  <c r="K456" i="1"/>
  <c r="K458" i="1"/>
  <c r="K455" i="1"/>
  <c r="K457" i="1"/>
  <c r="K451" i="1"/>
  <c r="K452" i="1"/>
  <c r="Q450" i="1"/>
  <c r="Q453" i="1"/>
  <c r="Q456" i="1"/>
  <c r="Q458" i="1"/>
  <c r="Q455" i="1"/>
  <c r="Q457" i="1"/>
  <c r="Q451" i="1"/>
  <c r="Q452" i="1"/>
  <c r="AH450" i="1"/>
  <c r="AH453" i="1"/>
  <c r="AH456" i="1"/>
  <c r="AH458" i="1"/>
  <c r="AH455" i="1"/>
  <c r="AH457" i="1"/>
  <c r="AH451" i="1"/>
  <c r="AH452" i="1"/>
  <c r="AL450" i="1"/>
  <c r="AL453" i="1"/>
  <c r="AL456" i="1"/>
  <c r="AL458" i="1"/>
  <c r="AL455" i="1"/>
  <c r="AL457" i="1"/>
  <c r="AL451" i="1"/>
  <c r="AL452" i="1"/>
  <c r="I346" i="1"/>
  <c r="F346" i="1" s="1"/>
  <c r="I320" i="1"/>
  <c r="F320" i="1" s="1"/>
  <c r="I321" i="1"/>
  <c r="F321" i="1" s="1"/>
  <c r="I322" i="1"/>
  <c r="F322" i="1" s="1"/>
  <c r="K346" i="1"/>
  <c r="K320" i="1"/>
  <c r="K321" i="1"/>
  <c r="K322" i="1"/>
  <c r="Q346" i="1"/>
  <c r="Q320" i="1"/>
  <c r="Q321" i="1"/>
  <c r="Q322" i="1"/>
  <c r="AH346" i="1"/>
  <c r="AH320" i="1"/>
  <c r="AH321" i="1"/>
  <c r="AH322" i="1"/>
  <c r="AL346" i="1"/>
  <c r="AL320" i="1"/>
  <c r="AL321" i="1"/>
  <c r="AL322" i="1"/>
  <c r="K376" i="1"/>
  <c r="K375" i="1"/>
  <c r="K374" i="1"/>
  <c r="K373" i="1"/>
  <c r="K372" i="1"/>
  <c r="K371" i="1"/>
  <c r="K368" i="1"/>
  <c r="K369" i="1"/>
  <c r="K351" i="1"/>
  <c r="K350" i="1"/>
  <c r="I350" i="1"/>
  <c r="F350" i="1" s="1"/>
  <c r="I351" i="1"/>
  <c r="F351" i="1" s="1"/>
  <c r="I369" i="1"/>
  <c r="F369" i="1" s="1"/>
  <c r="I368" i="1"/>
  <c r="F368" i="1" s="1"/>
  <c r="I371" i="1"/>
  <c r="F371" i="1" s="1"/>
  <c r="I372" i="1"/>
  <c r="F372" i="1" s="1"/>
  <c r="I373" i="1"/>
  <c r="F373" i="1" s="1"/>
  <c r="I374" i="1"/>
  <c r="F374" i="1" s="1"/>
  <c r="I375" i="1"/>
  <c r="F375" i="1" s="1"/>
  <c r="I376" i="1"/>
  <c r="F376" i="1" s="1"/>
  <c r="I334" i="1"/>
  <c r="F334" i="1" s="1"/>
  <c r="I341" i="1"/>
  <c r="F341" i="1" s="1"/>
  <c r="I342" i="1"/>
  <c r="F342" i="1" s="1"/>
  <c r="I335" i="1"/>
  <c r="F335" i="1" s="1"/>
  <c r="K334" i="1"/>
  <c r="K341" i="1"/>
  <c r="K342" i="1"/>
  <c r="K335" i="1"/>
  <c r="Q350" i="1"/>
  <c r="Q351" i="1"/>
  <c r="Q369" i="1"/>
  <c r="Q368" i="1"/>
  <c r="Q371" i="1"/>
  <c r="Q372" i="1"/>
  <c r="Q373" i="1"/>
  <c r="Q374" i="1"/>
  <c r="Q375" i="1"/>
  <c r="Q376" i="1"/>
  <c r="Q334" i="1"/>
  <c r="Q341" i="1"/>
  <c r="Q342" i="1"/>
  <c r="Q335" i="1"/>
  <c r="AH350" i="1"/>
  <c r="AH351" i="1"/>
  <c r="AH369" i="1"/>
  <c r="AH368" i="1"/>
  <c r="AH371" i="1"/>
  <c r="AH372" i="1"/>
  <c r="AH373" i="1"/>
  <c r="AH374" i="1"/>
  <c r="AH375" i="1"/>
  <c r="AH376" i="1"/>
  <c r="AH334" i="1"/>
  <c r="AH341" i="1"/>
  <c r="AH342" i="1"/>
  <c r="AH335" i="1"/>
  <c r="AL350" i="1"/>
  <c r="AL351" i="1"/>
  <c r="AL369" i="1"/>
  <c r="AL368" i="1"/>
  <c r="AL371" i="1"/>
  <c r="AL372" i="1"/>
  <c r="AL373" i="1"/>
  <c r="AL374" i="1"/>
  <c r="AL375" i="1"/>
  <c r="AL376" i="1"/>
  <c r="AL334" i="1"/>
  <c r="AL341" i="1"/>
  <c r="AL342" i="1"/>
  <c r="AL335" i="1"/>
  <c r="K204" i="1"/>
  <c r="K197" i="1"/>
  <c r="I197" i="1"/>
  <c r="F197" i="1" s="1"/>
  <c r="I204" i="1"/>
  <c r="F204" i="1" s="1"/>
  <c r="Q197" i="1"/>
  <c r="Q204" i="1"/>
  <c r="AH197" i="1"/>
  <c r="AH204" i="1"/>
  <c r="AL197" i="1"/>
  <c r="AL204" i="1"/>
  <c r="I135" i="1"/>
  <c r="F135" i="1" s="1"/>
  <c r="I137" i="1"/>
  <c r="F137" i="1" s="1"/>
  <c r="I132" i="1"/>
  <c r="F132" i="1" s="1"/>
  <c r="I142" i="1"/>
  <c r="F142" i="1" s="1"/>
  <c r="I133" i="1"/>
  <c r="F133" i="1" s="1"/>
  <c r="I144" i="1"/>
  <c r="F144" i="1" s="1"/>
  <c r="I145" i="1"/>
  <c r="F145" i="1" s="1"/>
  <c r="I139" i="1"/>
  <c r="F139" i="1" s="1"/>
  <c r="K135" i="1"/>
  <c r="K137" i="1"/>
  <c r="K132" i="1"/>
  <c r="K142" i="1"/>
  <c r="K133" i="1"/>
  <c r="K144" i="1"/>
  <c r="K145" i="1"/>
  <c r="K139" i="1"/>
  <c r="Q135" i="1"/>
  <c r="Q137" i="1"/>
  <c r="Q132" i="1"/>
  <c r="Q142" i="1"/>
  <c r="Q133" i="1"/>
  <c r="Q144" i="1"/>
  <c r="Q145" i="1"/>
  <c r="Q139" i="1"/>
  <c r="AH135" i="1"/>
  <c r="AH137" i="1"/>
  <c r="AH132" i="1"/>
  <c r="AH142" i="1"/>
  <c r="AH133" i="1"/>
  <c r="AH144" i="1"/>
  <c r="AH145" i="1"/>
  <c r="AH139" i="1"/>
  <c r="AL135" i="1"/>
  <c r="AL137" i="1"/>
  <c r="AL132" i="1"/>
  <c r="AL142" i="1"/>
  <c r="AL133" i="1"/>
  <c r="AL144" i="1"/>
  <c r="AL145" i="1"/>
  <c r="AL139" i="1"/>
  <c r="I726" i="1"/>
  <c r="F726" i="1" s="1"/>
  <c r="I727" i="1"/>
  <c r="F727" i="1" s="1"/>
  <c r="K726" i="1"/>
  <c r="K727" i="1"/>
  <c r="Q726" i="1"/>
  <c r="Q727" i="1"/>
  <c r="AH726" i="1"/>
  <c r="AH727" i="1"/>
  <c r="AL726" i="1"/>
  <c r="AL727" i="1"/>
  <c r="Q2051" i="1"/>
  <c r="Q2050" i="1"/>
  <c r="Q2049" i="1"/>
  <c r="I2050" i="1"/>
  <c r="F2050" i="1" s="1"/>
  <c r="K2050" i="1"/>
  <c r="AH2050" i="1"/>
  <c r="AL2050" i="1"/>
  <c r="I2049" i="1"/>
  <c r="F2049" i="1" s="1"/>
  <c r="K2049" i="1"/>
  <c r="AH2049" i="1"/>
  <c r="AL2049" i="1"/>
  <c r="I2051" i="1"/>
  <c r="F2051" i="1" s="1"/>
  <c r="K2051" i="1"/>
  <c r="AH2051" i="1"/>
  <c r="AL2051" i="1"/>
  <c r="I1991" i="1"/>
  <c r="F1991" i="1" s="1"/>
  <c r="I1989" i="1"/>
  <c r="F1989" i="1" s="1"/>
  <c r="I2228" i="1"/>
  <c r="F2228" i="1" s="1"/>
  <c r="I2227" i="1"/>
  <c r="F2227" i="1" s="1"/>
  <c r="I2218" i="1"/>
  <c r="F2218" i="1" s="1"/>
  <c r="I2217" i="1"/>
  <c r="F2217" i="1" s="1"/>
  <c r="I2216" i="1"/>
  <c r="F2216" i="1" s="1"/>
  <c r="I2215" i="1"/>
  <c r="F2215" i="1" s="1"/>
  <c r="I2016" i="1"/>
  <c r="F2016" i="1" s="1"/>
  <c r="I2015" i="1"/>
  <c r="F2015" i="1" s="1"/>
  <c r="I2203" i="1"/>
  <c r="F2203" i="1" s="1"/>
  <c r="I1986" i="1"/>
  <c r="F1986" i="1" s="1"/>
  <c r="I1878" i="1"/>
  <c r="F1878" i="1" s="1"/>
  <c r="I1977" i="1"/>
  <c r="F1977" i="1" s="1"/>
  <c r="K1991" i="1"/>
  <c r="K1989" i="1"/>
  <c r="K2228" i="1"/>
  <c r="K2227" i="1"/>
  <c r="K2218" i="1"/>
  <c r="K2217" i="1"/>
  <c r="K2216" i="1"/>
  <c r="K2215" i="1"/>
  <c r="K2016" i="1"/>
  <c r="K2015" i="1"/>
  <c r="K2203" i="1"/>
  <c r="K1986" i="1"/>
  <c r="K1878" i="1"/>
  <c r="K1977" i="1"/>
  <c r="Q1991" i="1"/>
  <c r="Q1989" i="1"/>
  <c r="Q2228" i="1"/>
  <c r="Q2227" i="1"/>
  <c r="Q2218" i="1"/>
  <c r="Q2217" i="1"/>
  <c r="Q2216" i="1"/>
  <c r="Q2215" i="1"/>
  <c r="Q2016" i="1"/>
  <c r="Q2015" i="1"/>
  <c r="Q2203" i="1"/>
  <c r="Q1986" i="1"/>
  <c r="Q1878" i="1"/>
  <c r="Q1977" i="1"/>
  <c r="AH1991" i="1"/>
  <c r="AH1989" i="1"/>
  <c r="AH2228" i="1"/>
  <c r="AH2227" i="1"/>
  <c r="AH2218" i="1"/>
  <c r="AH2217" i="1"/>
  <c r="AH2216" i="1"/>
  <c r="AH2215" i="1"/>
  <c r="AH2016" i="1"/>
  <c r="AH2015" i="1"/>
  <c r="AH2203" i="1"/>
  <c r="AH1986" i="1"/>
  <c r="AH1878" i="1"/>
  <c r="AH1977" i="1"/>
  <c r="AL1991" i="1"/>
  <c r="AL1989" i="1"/>
  <c r="AL2228" i="1"/>
  <c r="AL2227" i="1"/>
  <c r="AL2218" i="1"/>
  <c r="AL2217" i="1"/>
  <c r="AL2216" i="1"/>
  <c r="AL2215" i="1"/>
  <c r="AL2016" i="1"/>
  <c r="AL2015" i="1"/>
  <c r="AL2203" i="1"/>
  <c r="AL1986" i="1"/>
  <c r="AL1878" i="1"/>
  <c r="AL1977" i="1"/>
  <c r="I1990" i="1"/>
  <c r="F1990" i="1" s="1"/>
  <c r="K1990" i="1"/>
  <c r="Q1990" i="1"/>
  <c r="AH1990" i="1"/>
  <c r="AL1990" i="1"/>
  <c r="I1922" i="1"/>
  <c r="F1922" i="1" s="1"/>
  <c r="I1921" i="1"/>
  <c r="F1921" i="1" s="1"/>
  <c r="I2008" i="1"/>
  <c r="F2008" i="1" s="1"/>
  <c r="I2169" i="1"/>
  <c r="F2169" i="1" s="1"/>
  <c r="I2022" i="1"/>
  <c r="F2022" i="1" s="1"/>
  <c r="I1907" i="1"/>
  <c r="F1907" i="1" s="1"/>
  <c r="I1898" i="1"/>
  <c r="F1898" i="1" s="1"/>
  <c r="I1897" i="1"/>
  <c r="F1897" i="1" s="1"/>
  <c r="I2171" i="1"/>
  <c r="F2171" i="1" s="1"/>
  <c r="I2067" i="1"/>
  <c r="F2067" i="1" s="1"/>
  <c r="I1982" i="1"/>
  <c r="F1982" i="1" s="1"/>
  <c r="I1981" i="1"/>
  <c r="F1981" i="1" s="1"/>
  <c r="I1992" i="1"/>
  <c r="F1992" i="1" s="1"/>
  <c r="I1993" i="1"/>
  <c r="F1993" i="1" s="1"/>
  <c r="I1881" i="1"/>
  <c r="F1881" i="1" s="1"/>
  <c r="I2229" i="1"/>
  <c r="F2229" i="1" s="1"/>
  <c r="I2167" i="1"/>
  <c r="F2167" i="1" s="1"/>
  <c r="I2168" i="1"/>
  <c r="F2168" i="1" s="1"/>
  <c r="I2300" i="1"/>
  <c r="F2300" i="1" s="1"/>
  <c r="I2299" i="1"/>
  <c r="F2299" i="1" s="1"/>
  <c r="K1922" i="1"/>
  <c r="K1921" i="1"/>
  <c r="K2008" i="1"/>
  <c r="K2169" i="1"/>
  <c r="K2022" i="1"/>
  <c r="K1907" i="1"/>
  <c r="K1898" i="1"/>
  <c r="K1897" i="1"/>
  <c r="K2171" i="1"/>
  <c r="K2067" i="1"/>
  <c r="K1982" i="1"/>
  <c r="K1981" i="1"/>
  <c r="K1992" i="1"/>
  <c r="K1993" i="1"/>
  <c r="K1881" i="1"/>
  <c r="K2229" i="1"/>
  <c r="K2167" i="1"/>
  <c r="K2168" i="1"/>
  <c r="K2300" i="1"/>
  <c r="K2299" i="1"/>
  <c r="Q1922" i="1"/>
  <c r="Q1921" i="1"/>
  <c r="Q2008" i="1"/>
  <c r="Q2169" i="1"/>
  <c r="Q2022" i="1"/>
  <c r="Q1907" i="1"/>
  <c r="Q1898" i="1"/>
  <c r="Q1897" i="1"/>
  <c r="Q2171" i="1"/>
  <c r="Q2067" i="1"/>
  <c r="Q1982" i="1"/>
  <c r="Q1981" i="1"/>
  <c r="Q1992" i="1"/>
  <c r="Q1993" i="1"/>
  <c r="Q1881" i="1"/>
  <c r="Q2229" i="1"/>
  <c r="Q2167" i="1"/>
  <c r="Q2168" i="1"/>
  <c r="Q2300" i="1"/>
  <c r="Q2299" i="1"/>
  <c r="AH1922" i="1"/>
  <c r="AH1921" i="1"/>
  <c r="AH2008" i="1"/>
  <c r="AH2169" i="1"/>
  <c r="AH2022" i="1"/>
  <c r="AH1907" i="1"/>
  <c r="AH1898" i="1"/>
  <c r="AH1897" i="1"/>
  <c r="AH2171" i="1"/>
  <c r="AH2067" i="1"/>
  <c r="AH1982" i="1"/>
  <c r="AH1981" i="1"/>
  <c r="AH1992" i="1"/>
  <c r="AH1993" i="1"/>
  <c r="AH1881" i="1"/>
  <c r="AH2229" i="1"/>
  <c r="AH2167" i="1"/>
  <c r="AH2168" i="1"/>
  <c r="AH2300" i="1"/>
  <c r="AH2299" i="1"/>
  <c r="AL1922" i="1"/>
  <c r="AL1921" i="1"/>
  <c r="AL2008" i="1"/>
  <c r="AL2169" i="1"/>
  <c r="AL2022" i="1"/>
  <c r="AL1907" i="1"/>
  <c r="AL1898" i="1"/>
  <c r="AL1897" i="1"/>
  <c r="AL2171" i="1"/>
  <c r="AL2067" i="1"/>
  <c r="AL1982" i="1"/>
  <c r="AL1981" i="1"/>
  <c r="AL1992" i="1"/>
  <c r="AL1993" i="1"/>
  <c r="AL1881" i="1"/>
  <c r="AL2229" i="1"/>
  <c r="AL2167" i="1"/>
  <c r="AL2168" i="1"/>
  <c r="AL2300" i="1"/>
  <c r="AL2299" i="1"/>
  <c r="I2021" i="1"/>
  <c r="F2021" i="1" s="1"/>
  <c r="I2012" i="1"/>
  <c r="F2012" i="1" s="1"/>
  <c r="I2010" i="1"/>
  <c r="F2010" i="1" s="1"/>
  <c r="I2204" i="1"/>
  <c r="F2204" i="1" s="1"/>
  <c r="I2205" i="1"/>
  <c r="F2205" i="1" s="1"/>
  <c r="I2207" i="1"/>
  <c r="F2207" i="1" s="1"/>
  <c r="I2209" i="1"/>
  <c r="F2209" i="1" s="1"/>
  <c r="I2208" i="1"/>
  <c r="F2208" i="1" s="1"/>
  <c r="I2206" i="1"/>
  <c r="F2206" i="1" s="1"/>
  <c r="I1920" i="1"/>
  <c r="F1920" i="1" s="1"/>
  <c r="I1918" i="1"/>
  <c r="F1918" i="1" s="1"/>
  <c r="I1976" i="1"/>
  <c r="F1976" i="1" s="1"/>
  <c r="I2192" i="1"/>
  <c r="F2192" i="1" s="1"/>
  <c r="I2191" i="1"/>
  <c r="F2191" i="1" s="1"/>
  <c r="I2190" i="1"/>
  <c r="F2190" i="1" s="1"/>
  <c r="I117" i="1"/>
  <c r="F117" i="1" s="1"/>
  <c r="I54" i="1"/>
  <c r="F54" i="1" s="1"/>
  <c r="I77" i="1"/>
  <c r="F77" i="1" s="1"/>
  <c r="I1964" i="1"/>
  <c r="F1964" i="1" s="1"/>
  <c r="I119" i="1"/>
  <c r="F119" i="1" s="1"/>
  <c r="I65" i="1"/>
  <c r="F65" i="1" s="1"/>
  <c r="I129" i="1"/>
  <c r="F129" i="1" s="1"/>
  <c r="I47" i="1"/>
  <c r="F47" i="1" s="1"/>
  <c r="I1912" i="1"/>
  <c r="F1912" i="1" s="1"/>
  <c r="I1691" i="1"/>
  <c r="F1691" i="1" s="1"/>
  <c r="K2021" i="1"/>
  <c r="K2012" i="1"/>
  <c r="K2010" i="1"/>
  <c r="K2204" i="1"/>
  <c r="K2205" i="1"/>
  <c r="K2207" i="1"/>
  <c r="K2209" i="1"/>
  <c r="K2208" i="1"/>
  <c r="K2206" i="1"/>
  <c r="K1920" i="1"/>
  <c r="K1918" i="1"/>
  <c r="K1976" i="1"/>
  <c r="K2192" i="1"/>
  <c r="K2191" i="1"/>
  <c r="K2190" i="1"/>
  <c r="K117" i="1"/>
  <c r="K54" i="1"/>
  <c r="K77" i="1"/>
  <c r="K1964" i="1"/>
  <c r="K119" i="1"/>
  <c r="K65" i="1"/>
  <c r="K129" i="1"/>
  <c r="K47" i="1"/>
  <c r="K1912" i="1"/>
  <c r="K1691" i="1"/>
  <c r="Q2021" i="1"/>
  <c r="Q2012" i="1"/>
  <c r="Q2010" i="1"/>
  <c r="Q2204" i="1"/>
  <c r="Q2205" i="1"/>
  <c r="Q2207" i="1"/>
  <c r="Q2209" i="1"/>
  <c r="Q2208" i="1"/>
  <c r="Q2206" i="1"/>
  <c r="Q1920" i="1"/>
  <c r="Q1918" i="1"/>
  <c r="Q1976" i="1"/>
  <c r="Q2192" i="1"/>
  <c r="Q2191" i="1"/>
  <c r="Q2190" i="1"/>
  <c r="Q117" i="1"/>
  <c r="Q54" i="1"/>
  <c r="Q77" i="1"/>
  <c r="Q1964" i="1"/>
  <c r="Q119" i="1"/>
  <c r="Q65" i="1"/>
  <c r="Q129" i="1"/>
  <c r="Q47" i="1"/>
  <c r="Q1912" i="1"/>
  <c r="Q1691" i="1"/>
  <c r="AH2021" i="1"/>
  <c r="AH2012" i="1"/>
  <c r="AH2010" i="1"/>
  <c r="AH2204" i="1"/>
  <c r="AH2205" i="1"/>
  <c r="AH2207" i="1"/>
  <c r="AH2209" i="1"/>
  <c r="AH2208" i="1"/>
  <c r="AH2206" i="1"/>
  <c r="AH1920" i="1"/>
  <c r="AH1918" i="1"/>
  <c r="AH1976" i="1"/>
  <c r="AH2192" i="1"/>
  <c r="AH2191" i="1"/>
  <c r="AH2190" i="1"/>
  <c r="AH117" i="1"/>
  <c r="AH54" i="1"/>
  <c r="AH77" i="1"/>
  <c r="AH1964" i="1"/>
  <c r="AH119" i="1"/>
  <c r="AH65" i="1"/>
  <c r="AH129" i="1"/>
  <c r="AH47" i="1"/>
  <c r="AH1912" i="1"/>
  <c r="AH1691" i="1"/>
  <c r="AL2021" i="1"/>
  <c r="AL2012" i="1"/>
  <c r="AL2010" i="1"/>
  <c r="AL2204" i="1"/>
  <c r="AL2205" i="1"/>
  <c r="AL2207" i="1"/>
  <c r="AL2209" i="1"/>
  <c r="AL2208" i="1"/>
  <c r="AL2206" i="1"/>
  <c r="AL1920" i="1"/>
  <c r="AL1918" i="1"/>
  <c r="AL1976" i="1"/>
  <c r="AL2192" i="1"/>
  <c r="AL2191" i="1"/>
  <c r="AL2190" i="1"/>
  <c r="AL117" i="1"/>
  <c r="AL54" i="1"/>
  <c r="AL77" i="1"/>
  <c r="AL1964" i="1"/>
  <c r="AL119" i="1"/>
  <c r="AL65" i="1"/>
  <c r="AL129" i="1"/>
  <c r="AL47" i="1"/>
  <c r="AL1912" i="1"/>
  <c r="AL1691" i="1"/>
  <c r="I1563" i="1"/>
  <c r="F1563" i="1" s="1"/>
  <c r="I1574" i="1"/>
  <c r="F1574" i="1" s="1"/>
  <c r="I1562" i="1"/>
  <c r="F1562" i="1" s="1"/>
  <c r="I2731" i="1"/>
  <c r="F2731" i="1" s="1"/>
  <c r="I2737" i="1"/>
  <c r="F2737" i="1" s="1"/>
  <c r="I2829" i="1"/>
  <c r="F2829" i="1" s="1"/>
  <c r="I2832" i="1"/>
  <c r="F2832" i="1" s="1"/>
  <c r="I2779" i="1"/>
  <c r="F2779" i="1" s="1"/>
  <c r="I1578" i="1"/>
  <c r="F1578" i="1" s="1"/>
  <c r="I1571" i="1"/>
  <c r="F1571" i="1" s="1"/>
  <c r="I1572" i="1"/>
  <c r="F1572" i="1" s="1"/>
  <c r="I1573" i="1"/>
  <c r="F1573" i="1" s="1"/>
  <c r="I96" i="1"/>
  <c r="F96" i="1" s="1"/>
  <c r="I1576" i="1"/>
  <c r="F1576" i="1" s="1"/>
  <c r="I1605" i="1"/>
  <c r="F1605" i="1" s="1"/>
  <c r="I1570" i="1"/>
  <c r="F1570" i="1" s="1"/>
  <c r="I1579" i="1"/>
  <c r="F1579" i="1" s="1"/>
  <c r="I2730" i="1"/>
  <c r="F2730" i="1" s="1"/>
  <c r="I2160" i="1"/>
  <c r="F2160" i="1" s="1"/>
  <c r="I2165" i="1"/>
  <c r="F2165" i="1" s="1"/>
  <c r="K1563" i="1"/>
  <c r="K1574" i="1"/>
  <c r="K1562" i="1"/>
  <c r="K2731" i="1"/>
  <c r="K2737" i="1"/>
  <c r="K2829" i="1"/>
  <c r="K2832" i="1"/>
  <c r="K2779" i="1"/>
  <c r="K1578" i="1"/>
  <c r="K1571" i="1"/>
  <c r="K1572" i="1"/>
  <c r="K1573" i="1"/>
  <c r="K96" i="1"/>
  <c r="K1576" i="1"/>
  <c r="K1605" i="1"/>
  <c r="K1570" i="1"/>
  <c r="K1579" i="1"/>
  <c r="K2730" i="1"/>
  <c r="K2160" i="1"/>
  <c r="K2165" i="1"/>
  <c r="Q1563" i="1"/>
  <c r="Q1574" i="1"/>
  <c r="Q1562" i="1"/>
  <c r="Q2731" i="1"/>
  <c r="Q2737" i="1"/>
  <c r="Q2829" i="1"/>
  <c r="Q2832" i="1"/>
  <c r="Q2779" i="1"/>
  <c r="Q1578" i="1"/>
  <c r="Q1571" i="1"/>
  <c r="Q1572" i="1"/>
  <c r="Q1573" i="1"/>
  <c r="Q96" i="1"/>
  <c r="Q1576" i="1"/>
  <c r="Q1605" i="1"/>
  <c r="Q1570" i="1"/>
  <c r="Q1579" i="1"/>
  <c r="Q2730" i="1"/>
  <c r="Q2160" i="1"/>
  <c r="Q2165" i="1"/>
  <c r="AH1563" i="1"/>
  <c r="AH1574" i="1"/>
  <c r="AH1562" i="1"/>
  <c r="AH2731" i="1"/>
  <c r="AH2737" i="1"/>
  <c r="AH2829" i="1"/>
  <c r="AH2832" i="1"/>
  <c r="AH2779" i="1"/>
  <c r="AH1578" i="1"/>
  <c r="AH1571" i="1"/>
  <c r="AH1572" i="1"/>
  <c r="AH1573" i="1"/>
  <c r="AH96" i="1"/>
  <c r="AH1576" i="1"/>
  <c r="AH1605" i="1"/>
  <c r="AH1570" i="1"/>
  <c r="AH1579" i="1"/>
  <c r="AH2730" i="1"/>
  <c r="AH2160" i="1"/>
  <c r="AH2165" i="1"/>
  <c r="AL1563" i="1"/>
  <c r="AL1574" i="1"/>
  <c r="AL1562" i="1"/>
  <c r="AL2731" i="1"/>
  <c r="AL2737" i="1"/>
  <c r="AL2829" i="1"/>
  <c r="AL2832" i="1"/>
  <c r="AL2779" i="1"/>
  <c r="AL1578" i="1"/>
  <c r="AL1571" i="1"/>
  <c r="AL1572" i="1"/>
  <c r="AL1573" i="1"/>
  <c r="AL96" i="1"/>
  <c r="AL1576" i="1"/>
  <c r="AL1605" i="1"/>
  <c r="AL1570" i="1"/>
  <c r="AL1579" i="1"/>
  <c r="AL2730" i="1"/>
  <c r="AL2160" i="1"/>
  <c r="AL2165" i="1"/>
  <c r="I2107" i="1"/>
  <c r="F2107" i="1" s="1"/>
  <c r="I2117" i="1"/>
  <c r="F2117" i="1" s="1"/>
  <c r="I2108" i="1"/>
  <c r="F2108" i="1" s="1"/>
  <c r="I2083" i="1"/>
  <c r="F2083" i="1" s="1"/>
  <c r="I2097" i="1"/>
  <c r="F2097" i="1" s="1"/>
  <c r="I2086" i="1"/>
  <c r="F2086" i="1" s="1"/>
  <c r="I2096" i="1"/>
  <c r="F2096" i="1" s="1"/>
  <c r="I2099" i="1"/>
  <c r="F2099" i="1" s="1"/>
  <c r="I2085" i="1"/>
  <c r="F2085" i="1" s="1"/>
  <c r="I2098" i="1"/>
  <c r="F2098" i="1" s="1"/>
  <c r="I2084" i="1"/>
  <c r="F2084" i="1" s="1"/>
  <c r="I2075" i="1"/>
  <c r="F2075" i="1" s="1"/>
  <c r="I2076" i="1"/>
  <c r="F2076" i="1" s="1"/>
  <c r="K2107" i="1"/>
  <c r="K2117" i="1"/>
  <c r="K2108" i="1"/>
  <c r="K2083" i="1"/>
  <c r="K2097" i="1"/>
  <c r="K2086" i="1"/>
  <c r="K2096" i="1"/>
  <c r="K2099" i="1"/>
  <c r="K2085" i="1"/>
  <c r="K2098" i="1"/>
  <c r="K2084" i="1"/>
  <c r="K2075" i="1"/>
  <c r="K2076" i="1"/>
  <c r="Q2107" i="1"/>
  <c r="Q2117" i="1"/>
  <c r="Q2108" i="1"/>
  <c r="Q2083" i="1"/>
  <c r="Q2097" i="1"/>
  <c r="Q2086" i="1"/>
  <c r="Q2096" i="1"/>
  <c r="Q2099" i="1"/>
  <c r="Q2085" i="1"/>
  <c r="Q2098" i="1"/>
  <c r="Q2084" i="1"/>
  <c r="Q2075" i="1"/>
  <c r="Q2076" i="1"/>
  <c r="AH2107" i="1"/>
  <c r="AH2117" i="1"/>
  <c r="AH2108" i="1"/>
  <c r="AH2083" i="1"/>
  <c r="AH2097" i="1"/>
  <c r="AH2086" i="1"/>
  <c r="AH2096" i="1"/>
  <c r="AH2099" i="1"/>
  <c r="AH2085" i="1"/>
  <c r="AH2098" i="1"/>
  <c r="AH2084" i="1"/>
  <c r="AH2075" i="1"/>
  <c r="AH2076" i="1"/>
  <c r="AL2107" i="1"/>
  <c r="AL2117" i="1"/>
  <c r="AL2108" i="1"/>
  <c r="AL2083" i="1"/>
  <c r="AL2097" i="1"/>
  <c r="AL2086" i="1"/>
  <c r="AL2096" i="1"/>
  <c r="AL2099" i="1"/>
  <c r="AL2085" i="1"/>
  <c r="AL2098" i="1"/>
  <c r="AL2084" i="1"/>
  <c r="AL2075" i="1"/>
  <c r="AL2076" i="1"/>
  <c r="I1949" i="1"/>
  <c r="F1949" i="1" s="1"/>
  <c r="I1925" i="1"/>
  <c r="F1925" i="1" s="1"/>
  <c r="I1935" i="1"/>
  <c r="F1935" i="1" s="1"/>
  <c r="I1938" i="1"/>
  <c r="F1938" i="1" s="1"/>
  <c r="I1934" i="1"/>
  <c r="F1934" i="1" s="1"/>
  <c r="I1951" i="1"/>
  <c r="F1951" i="1" s="1"/>
  <c r="I1950" i="1"/>
  <c r="F1950" i="1" s="1"/>
  <c r="I1952" i="1"/>
  <c r="F1952" i="1" s="1"/>
  <c r="I1948" i="1"/>
  <c r="F1948" i="1" s="1"/>
  <c r="I1930" i="1"/>
  <c r="F1930" i="1" s="1"/>
  <c r="I1931" i="1"/>
  <c r="F1931" i="1" s="1"/>
  <c r="I2069" i="1"/>
  <c r="F2069" i="1" s="1"/>
  <c r="I1923" i="1"/>
  <c r="F1923" i="1" s="1"/>
  <c r="I1926" i="1"/>
  <c r="F1926" i="1" s="1"/>
  <c r="I1987" i="1"/>
  <c r="F1987" i="1" s="1"/>
  <c r="I2006" i="1"/>
  <c r="F2006" i="1" s="1"/>
  <c r="I1905" i="1"/>
  <c r="F1905" i="1" s="1"/>
  <c r="I1904" i="1"/>
  <c r="F1904" i="1" s="1"/>
  <c r="I1906" i="1"/>
  <c r="F1906" i="1" s="1"/>
  <c r="I2009" i="1"/>
  <c r="F2009" i="1" s="1"/>
  <c r="I2164" i="1"/>
  <c r="F2164" i="1" s="1"/>
  <c r="I1996" i="1"/>
  <c r="F1996" i="1" s="1"/>
  <c r="I1908" i="1"/>
  <c r="F1908" i="1" s="1"/>
  <c r="I2017" i="1"/>
  <c r="F2017" i="1" s="1"/>
  <c r="I1913" i="1"/>
  <c r="F1913" i="1" s="1"/>
  <c r="I2210" i="1"/>
  <c r="F2210" i="1" s="1"/>
  <c r="I1985" i="1"/>
  <c r="F1985" i="1" s="1"/>
  <c r="I2298" i="1"/>
  <c r="F2298" i="1" s="1"/>
  <c r="I1979" i="1"/>
  <c r="F1979" i="1" s="1"/>
  <c r="K1949" i="1"/>
  <c r="K1925" i="1"/>
  <c r="K1935" i="1"/>
  <c r="K1938" i="1"/>
  <c r="K1934" i="1"/>
  <c r="K1951" i="1"/>
  <c r="K1950" i="1"/>
  <c r="K1952" i="1"/>
  <c r="K1948" i="1"/>
  <c r="K1930" i="1"/>
  <c r="K1931" i="1"/>
  <c r="K2069" i="1"/>
  <c r="K1923" i="1"/>
  <c r="K1926" i="1"/>
  <c r="K1987" i="1"/>
  <c r="K2006" i="1"/>
  <c r="K1905" i="1"/>
  <c r="K1904" i="1"/>
  <c r="K1906" i="1"/>
  <c r="K2009" i="1"/>
  <c r="K2164" i="1"/>
  <c r="K1996" i="1"/>
  <c r="K1908" i="1"/>
  <c r="K2017" i="1"/>
  <c r="K1913" i="1"/>
  <c r="K2210" i="1"/>
  <c r="K1985" i="1"/>
  <c r="K2298" i="1"/>
  <c r="K1979" i="1"/>
  <c r="Q1949" i="1"/>
  <c r="Q1925" i="1"/>
  <c r="Q1935" i="1"/>
  <c r="Q1938" i="1"/>
  <c r="Q1934" i="1"/>
  <c r="Q1951" i="1"/>
  <c r="Q1950" i="1"/>
  <c r="Q1952" i="1"/>
  <c r="Q1948" i="1"/>
  <c r="Q1930" i="1"/>
  <c r="Q1931" i="1"/>
  <c r="Q2069" i="1"/>
  <c r="Q1923" i="1"/>
  <c r="Q1926" i="1"/>
  <c r="Q1987" i="1"/>
  <c r="Q2006" i="1"/>
  <c r="Q1905" i="1"/>
  <c r="Q1904" i="1"/>
  <c r="Q1906" i="1"/>
  <c r="Q2009" i="1"/>
  <c r="Q2164" i="1"/>
  <c r="Q1996" i="1"/>
  <c r="Q1908" i="1"/>
  <c r="Q2017" i="1"/>
  <c r="Q1913" i="1"/>
  <c r="Q2210" i="1"/>
  <c r="Q1985" i="1"/>
  <c r="Q2298" i="1"/>
  <c r="Q1979" i="1"/>
  <c r="AH1949" i="1"/>
  <c r="AH1925" i="1"/>
  <c r="AH1935" i="1"/>
  <c r="AH1938" i="1"/>
  <c r="AH1934" i="1"/>
  <c r="AH1951" i="1"/>
  <c r="AH1950" i="1"/>
  <c r="AH1952" i="1"/>
  <c r="AH1948" i="1"/>
  <c r="AH1930" i="1"/>
  <c r="AH1931" i="1"/>
  <c r="AH2069" i="1"/>
  <c r="AH1923" i="1"/>
  <c r="AH1926" i="1"/>
  <c r="AH1987" i="1"/>
  <c r="AH2006" i="1"/>
  <c r="AH1905" i="1"/>
  <c r="AH1904" i="1"/>
  <c r="AH1906" i="1"/>
  <c r="AH2009" i="1"/>
  <c r="AH2164" i="1"/>
  <c r="AH1996" i="1"/>
  <c r="AH1908" i="1"/>
  <c r="AH2017" i="1"/>
  <c r="AH1913" i="1"/>
  <c r="AH2210" i="1"/>
  <c r="AH1985" i="1"/>
  <c r="AH2298" i="1"/>
  <c r="AH1979" i="1"/>
  <c r="AL1949" i="1"/>
  <c r="AL1925" i="1"/>
  <c r="AL1935" i="1"/>
  <c r="AL1938" i="1"/>
  <c r="AL1934" i="1"/>
  <c r="AL1951" i="1"/>
  <c r="AL1950" i="1"/>
  <c r="AL1952" i="1"/>
  <c r="AL1948" i="1"/>
  <c r="AL1930" i="1"/>
  <c r="AL1931" i="1"/>
  <c r="AL2069" i="1"/>
  <c r="AL1923" i="1"/>
  <c r="AL1926" i="1"/>
  <c r="AL1987" i="1"/>
  <c r="AL2006" i="1"/>
  <c r="AL1905" i="1"/>
  <c r="AL1904" i="1"/>
  <c r="AL1906" i="1"/>
  <c r="AL2009" i="1"/>
  <c r="AL2164" i="1"/>
  <c r="AL1996" i="1"/>
  <c r="AL1908" i="1"/>
  <c r="AL2017" i="1"/>
  <c r="AL1913" i="1"/>
  <c r="AL2210" i="1"/>
  <c r="AL1985" i="1"/>
  <c r="AL2298" i="1"/>
  <c r="AL1979" i="1"/>
  <c r="I2170" i="1"/>
  <c r="F2170" i="1" s="1"/>
  <c r="I106" i="1"/>
  <c r="F106" i="1" s="1"/>
  <c r="I1968" i="1"/>
  <c r="F1968" i="1" s="1"/>
  <c r="I1974" i="1"/>
  <c r="F1974" i="1" s="1"/>
  <c r="I1973" i="1"/>
  <c r="F1973" i="1" s="1"/>
  <c r="I1970" i="1"/>
  <c r="F1970" i="1" s="1"/>
  <c r="I1967" i="1"/>
  <c r="F1967" i="1" s="1"/>
  <c r="I2222" i="1"/>
  <c r="F2222" i="1" s="1"/>
  <c r="I2266" i="1"/>
  <c r="F2266" i="1" s="1"/>
  <c r="I2267" i="1"/>
  <c r="F2267" i="1" s="1"/>
  <c r="I2214" i="1"/>
  <c r="F2214" i="1" s="1"/>
  <c r="I2226" i="1"/>
  <c r="F2226" i="1" s="1"/>
  <c r="I2225" i="1"/>
  <c r="F2225" i="1" s="1"/>
  <c r="I1958" i="1"/>
  <c r="F1958" i="1" s="1"/>
  <c r="I1957" i="1"/>
  <c r="F1957" i="1" s="1"/>
  <c r="I1962" i="1"/>
  <c r="F1962" i="1" s="1"/>
  <c r="I1961" i="1"/>
  <c r="F1961" i="1" s="1"/>
  <c r="I2066" i="1"/>
  <c r="F2066" i="1" s="1"/>
  <c r="I2065" i="1"/>
  <c r="F2065" i="1" s="1"/>
  <c r="I1959" i="1"/>
  <c r="F1959" i="1" s="1"/>
  <c r="I2297" i="1"/>
  <c r="F2297" i="1" s="1"/>
  <c r="I1960" i="1"/>
  <c r="F1960" i="1" s="1"/>
  <c r="I2003" i="1"/>
  <c r="F2003" i="1" s="1"/>
  <c r="I2221" i="1"/>
  <c r="F2221" i="1" s="1"/>
  <c r="I2220" i="1"/>
  <c r="F2220" i="1" s="1"/>
  <c r="I1972" i="1"/>
  <c r="F1972" i="1" s="1"/>
  <c r="I1971" i="1"/>
  <c r="F1971" i="1" s="1"/>
  <c r="I1911" i="1"/>
  <c r="F1911" i="1" s="1"/>
  <c r="I1910" i="1"/>
  <c r="F1910" i="1" s="1"/>
  <c r="I1909" i="1"/>
  <c r="F1909" i="1" s="1"/>
  <c r="K2170" i="1"/>
  <c r="K106" i="1"/>
  <c r="K1968" i="1"/>
  <c r="K1974" i="1"/>
  <c r="K1973" i="1"/>
  <c r="K1970" i="1"/>
  <c r="K1967" i="1"/>
  <c r="K2222" i="1"/>
  <c r="K2266" i="1"/>
  <c r="K2267" i="1"/>
  <c r="K2214" i="1"/>
  <c r="K2226" i="1"/>
  <c r="K2225" i="1"/>
  <c r="K1958" i="1"/>
  <c r="K1957" i="1"/>
  <c r="K1962" i="1"/>
  <c r="K1961" i="1"/>
  <c r="K2066" i="1"/>
  <c r="K2065" i="1"/>
  <c r="K1959" i="1"/>
  <c r="K2297" i="1"/>
  <c r="K1960" i="1"/>
  <c r="K2003" i="1"/>
  <c r="K2221" i="1"/>
  <c r="K2220" i="1"/>
  <c r="K1972" i="1"/>
  <c r="K1971" i="1"/>
  <c r="K1911" i="1"/>
  <c r="K1910" i="1"/>
  <c r="K1909" i="1"/>
  <c r="Q2170" i="1"/>
  <c r="Q106" i="1"/>
  <c r="Q1968" i="1"/>
  <c r="Q1974" i="1"/>
  <c r="Q1973" i="1"/>
  <c r="Q1970" i="1"/>
  <c r="Q1967" i="1"/>
  <c r="Q2222" i="1"/>
  <c r="Q2266" i="1"/>
  <c r="Q2267" i="1"/>
  <c r="Q2214" i="1"/>
  <c r="Q2226" i="1"/>
  <c r="Q2225" i="1"/>
  <c r="Q1958" i="1"/>
  <c r="Q1957" i="1"/>
  <c r="Q1962" i="1"/>
  <c r="Q1961" i="1"/>
  <c r="Q2066" i="1"/>
  <c r="Q2065" i="1"/>
  <c r="Q1959" i="1"/>
  <c r="Q2297" i="1"/>
  <c r="Q1960" i="1"/>
  <c r="Q2003" i="1"/>
  <c r="Q2221" i="1"/>
  <c r="Q2220" i="1"/>
  <c r="Q1972" i="1"/>
  <c r="Q1971" i="1"/>
  <c r="Q1911" i="1"/>
  <c r="Q1910" i="1"/>
  <c r="Q1909" i="1"/>
  <c r="AH2170" i="1"/>
  <c r="AH106" i="1"/>
  <c r="AH1968" i="1"/>
  <c r="AH1974" i="1"/>
  <c r="AH1973" i="1"/>
  <c r="AH1970" i="1"/>
  <c r="AH1967" i="1"/>
  <c r="AH2222" i="1"/>
  <c r="AH2266" i="1"/>
  <c r="AH2267" i="1"/>
  <c r="AH2214" i="1"/>
  <c r="AH2226" i="1"/>
  <c r="AH2225" i="1"/>
  <c r="AH1958" i="1"/>
  <c r="AH1957" i="1"/>
  <c r="AH1962" i="1"/>
  <c r="AH1961" i="1"/>
  <c r="AH2066" i="1"/>
  <c r="AH2065" i="1"/>
  <c r="AH1959" i="1"/>
  <c r="AH2297" i="1"/>
  <c r="AH1960" i="1"/>
  <c r="AH2003" i="1"/>
  <c r="AH2221" i="1"/>
  <c r="AH2220" i="1"/>
  <c r="AH1972" i="1"/>
  <c r="AH1971" i="1"/>
  <c r="AH1911" i="1"/>
  <c r="AH1910" i="1"/>
  <c r="AH1909" i="1"/>
  <c r="AL2170" i="1"/>
  <c r="AL106" i="1"/>
  <c r="AL1968" i="1"/>
  <c r="AL1974" i="1"/>
  <c r="AL1973" i="1"/>
  <c r="AL1970" i="1"/>
  <c r="AL1967" i="1"/>
  <c r="AL2222" i="1"/>
  <c r="AL2266" i="1"/>
  <c r="AL2267" i="1"/>
  <c r="AL2214" i="1"/>
  <c r="AL2226" i="1"/>
  <c r="AL2225" i="1"/>
  <c r="AL1958" i="1"/>
  <c r="AL1957" i="1"/>
  <c r="AL1962" i="1"/>
  <c r="AL1961" i="1"/>
  <c r="AL2066" i="1"/>
  <c r="AL2065" i="1"/>
  <c r="AL1959" i="1"/>
  <c r="AL2297" i="1"/>
  <c r="AL1960" i="1"/>
  <c r="AL2003" i="1"/>
  <c r="AL2221" i="1"/>
  <c r="AL2220" i="1"/>
  <c r="AL1972" i="1"/>
  <c r="AL1971" i="1"/>
  <c r="AL1911" i="1"/>
  <c r="AL1910" i="1"/>
  <c r="AL1909" i="1"/>
  <c r="I2292" i="1"/>
  <c r="F2292" i="1" s="1"/>
  <c r="I2293" i="1"/>
  <c r="F2293" i="1" s="1"/>
  <c r="I2281" i="1"/>
  <c r="F2281" i="1" s="1"/>
  <c r="I2280" i="1"/>
  <c r="F2280" i="1" s="1"/>
  <c r="I2279" i="1"/>
  <c r="F2279" i="1" s="1"/>
  <c r="I2296" i="1"/>
  <c r="F2296" i="1" s="1"/>
  <c r="I2158" i="1"/>
  <c r="F2158" i="1" s="1"/>
  <c r="I2295" i="1"/>
  <c r="F2295" i="1" s="1"/>
  <c r="I2269" i="1"/>
  <c r="F2269" i="1" s="1"/>
  <c r="I1896" i="1"/>
  <c r="F1896" i="1" s="1"/>
  <c r="I1895" i="1"/>
  <c r="F1895" i="1" s="1"/>
  <c r="I1900" i="1"/>
  <c r="F1900" i="1" s="1"/>
  <c r="I1899" i="1"/>
  <c r="F1899" i="1" s="1"/>
  <c r="I2026" i="1"/>
  <c r="F2026" i="1" s="1"/>
  <c r="I2024" i="1"/>
  <c r="F2024" i="1" s="1"/>
  <c r="I2025" i="1"/>
  <c r="F2025" i="1" s="1"/>
  <c r="I2055" i="1"/>
  <c r="F2055" i="1" s="1"/>
  <c r="I2054" i="1"/>
  <c r="F2054" i="1" s="1"/>
  <c r="I2053" i="1"/>
  <c r="F2053" i="1" s="1"/>
  <c r="K2292" i="1"/>
  <c r="K2293" i="1"/>
  <c r="K2281" i="1"/>
  <c r="K2280" i="1"/>
  <c r="K2279" i="1"/>
  <c r="K2296" i="1"/>
  <c r="K2158" i="1"/>
  <c r="K2295" i="1"/>
  <c r="K2269" i="1"/>
  <c r="K1896" i="1"/>
  <c r="K1895" i="1"/>
  <c r="K1900" i="1"/>
  <c r="K1899" i="1"/>
  <c r="K2026" i="1"/>
  <c r="K2024" i="1"/>
  <c r="K2025" i="1"/>
  <c r="K2055" i="1"/>
  <c r="K2054" i="1"/>
  <c r="K2053" i="1"/>
  <c r="Q2292" i="1"/>
  <c r="Q2293" i="1"/>
  <c r="Q2281" i="1"/>
  <c r="Q2280" i="1"/>
  <c r="Q2279" i="1"/>
  <c r="Q2296" i="1"/>
  <c r="Q2158" i="1"/>
  <c r="Q2295" i="1"/>
  <c r="Q2269" i="1"/>
  <c r="Q1896" i="1"/>
  <c r="Q1895" i="1"/>
  <c r="Q1900" i="1"/>
  <c r="Q1899" i="1"/>
  <c r="Q2026" i="1"/>
  <c r="Q2024" i="1"/>
  <c r="Q2025" i="1"/>
  <c r="Q2055" i="1"/>
  <c r="Q2054" i="1"/>
  <c r="Q2053" i="1"/>
  <c r="AH2292" i="1"/>
  <c r="AH2293" i="1"/>
  <c r="AH2281" i="1"/>
  <c r="AH2280" i="1"/>
  <c r="AH2279" i="1"/>
  <c r="AH2296" i="1"/>
  <c r="AH2158" i="1"/>
  <c r="AH2295" i="1"/>
  <c r="AH2269" i="1"/>
  <c r="AH1896" i="1"/>
  <c r="AH1895" i="1"/>
  <c r="AH1900" i="1"/>
  <c r="AH1899" i="1"/>
  <c r="AH2026" i="1"/>
  <c r="AH2024" i="1"/>
  <c r="AH2025" i="1"/>
  <c r="AH2054" i="1"/>
  <c r="AH2053" i="1"/>
  <c r="AL2292" i="1"/>
  <c r="AL2293" i="1"/>
  <c r="AL2281" i="1"/>
  <c r="AL2280" i="1"/>
  <c r="AL2279" i="1"/>
  <c r="AL2296" i="1"/>
  <c r="AL2158" i="1"/>
  <c r="AL2295" i="1"/>
  <c r="AL2269" i="1"/>
  <c r="AL1896" i="1"/>
  <c r="AL1895" i="1"/>
  <c r="AL1900" i="1"/>
  <c r="AL1899" i="1"/>
  <c r="AL2026" i="1"/>
  <c r="AL2024" i="1"/>
  <c r="AL2025" i="1"/>
  <c r="AL2054" i="1"/>
  <c r="AL2053" i="1"/>
  <c r="I2275" i="1"/>
  <c r="F2275" i="1" s="1"/>
  <c r="I2273" i="1"/>
  <c r="F2273" i="1" s="1"/>
  <c r="I2272" i="1"/>
  <c r="F2272" i="1" s="1"/>
  <c r="I2274" i="1"/>
  <c r="F2274" i="1" s="1"/>
  <c r="I2277" i="1"/>
  <c r="F2277" i="1" s="1"/>
  <c r="I2173" i="1"/>
  <c r="F2173" i="1" s="1"/>
  <c r="I2174" i="1"/>
  <c r="F2174" i="1" s="1"/>
  <c r="I1988" i="1"/>
  <c r="F1988" i="1" s="1"/>
  <c r="I2068" i="1"/>
  <c r="F2068" i="1" s="1"/>
  <c r="I2072" i="1"/>
  <c r="F2072" i="1" s="1"/>
  <c r="I2007" i="1"/>
  <c r="F2007" i="1" s="1"/>
  <c r="I2172" i="1"/>
  <c r="F2172" i="1" s="1"/>
  <c r="I1995" i="1"/>
  <c r="F1995" i="1" s="1"/>
  <c r="I2014" i="1"/>
  <c r="F2014" i="1" s="1"/>
  <c r="I2013" i="1"/>
  <c r="F2013" i="1" s="1"/>
  <c r="K2275" i="1"/>
  <c r="K2273" i="1"/>
  <c r="K2272" i="1"/>
  <c r="K2274" i="1"/>
  <c r="K2277" i="1"/>
  <c r="K2173" i="1"/>
  <c r="K2174" i="1"/>
  <c r="K1988" i="1"/>
  <c r="K2068" i="1"/>
  <c r="K2072" i="1"/>
  <c r="K2007" i="1"/>
  <c r="K2172" i="1"/>
  <c r="K1995" i="1"/>
  <c r="K2014" i="1"/>
  <c r="K2013" i="1"/>
  <c r="Q2275" i="1"/>
  <c r="Q2273" i="1"/>
  <c r="Q2272" i="1"/>
  <c r="Q2274" i="1"/>
  <c r="Q2277" i="1"/>
  <c r="Q2173" i="1"/>
  <c r="Q2174" i="1"/>
  <c r="Q1988" i="1"/>
  <c r="Q2068" i="1"/>
  <c r="Q2072" i="1"/>
  <c r="Q2007" i="1"/>
  <c r="Q2172" i="1"/>
  <c r="Q1995" i="1"/>
  <c r="Q2014" i="1"/>
  <c r="Q2013" i="1"/>
  <c r="AH2275" i="1"/>
  <c r="AH2273" i="1"/>
  <c r="AH2272" i="1"/>
  <c r="AH2274" i="1"/>
  <c r="AH2277" i="1"/>
  <c r="AH2173" i="1"/>
  <c r="AH2174" i="1"/>
  <c r="AH1988" i="1"/>
  <c r="AH2068" i="1"/>
  <c r="AH2072" i="1"/>
  <c r="AH2007" i="1"/>
  <c r="AH2172" i="1"/>
  <c r="AH1995" i="1"/>
  <c r="AH2014" i="1"/>
  <c r="AH2013" i="1"/>
  <c r="AL2275" i="1"/>
  <c r="AL2273" i="1"/>
  <c r="AL2272" i="1"/>
  <c r="AL2274" i="1"/>
  <c r="AL2277" i="1"/>
  <c r="AL2173" i="1"/>
  <c r="AL2174" i="1"/>
  <c r="AL1988" i="1"/>
  <c r="AL2068" i="1"/>
  <c r="AL2072" i="1"/>
  <c r="AL2007" i="1"/>
  <c r="AL2172" i="1"/>
  <c r="AL1995" i="1"/>
  <c r="AL2014" i="1"/>
  <c r="AL2013" i="1"/>
  <c r="I2027" i="1"/>
  <c r="F2027" i="1" s="1"/>
  <c r="I2224" i="1"/>
  <c r="F2224" i="1" s="1"/>
  <c r="I2223" i="1"/>
  <c r="F2223" i="1" s="1"/>
  <c r="I2023" i="1"/>
  <c r="F2023" i="1" s="1"/>
  <c r="I2276" i="1"/>
  <c r="F2276" i="1" s="1"/>
  <c r="K2027" i="1"/>
  <c r="K2224" i="1"/>
  <c r="K2223" i="1"/>
  <c r="K2023" i="1"/>
  <c r="K2276" i="1"/>
  <c r="Q2027" i="1"/>
  <c r="Q2224" i="1"/>
  <c r="Q2223" i="1"/>
  <c r="Q2023" i="1"/>
  <c r="Q2276" i="1"/>
  <c r="AH2027" i="1"/>
  <c r="AH2224" i="1"/>
  <c r="AH2223" i="1"/>
  <c r="AH2023" i="1"/>
  <c r="AH2276" i="1"/>
  <c r="AL2027" i="1"/>
  <c r="AL2224" i="1"/>
  <c r="AL2223" i="1"/>
  <c r="AL2023" i="1"/>
  <c r="AL2276" i="1"/>
  <c r="AL2259" i="1"/>
  <c r="AL2258" i="1"/>
  <c r="AL2257" i="1"/>
  <c r="AL2256" i="1"/>
  <c r="AL2261" i="1"/>
  <c r="AL2255" i="1"/>
  <c r="AL2254" i="1"/>
  <c r="AL2253" i="1"/>
  <c r="AL2252" i="1"/>
  <c r="AL2251" i="1"/>
  <c r="AL2260" i="1"/>
  <c r="AL2250" i="1"/>
  <c r="AL2263" i="1"/>
  <c r="AL2249" i="1"/>
  <c r="AL2248" i="1"/>
  <c r="AL2247" i="1"/>
  <c r="AL2246" i="1"/>
  <c r="AL2245" i="1"/>
  <c r="AL2244" i="1"/>
  <c r="AL2243" i="1"/>
  <c r="AL2242" i="1"/>
  <c r="AL2241" i="1"/>
  <c r="AL2240" i="1"/>
  <c r="AL2239" i="1"/>
  <c r="AL2238" i="1"/>
  <c r="AL2237" i="1"/>
  <c r="AL2236" i="1"/>
  <c r="AL2235" i="1"/>
  <c r="AL2234" i="1"/>
  <c r="AL2233" i="1"/>
  <c r="AL2232" i="1"/>
  <c r="AL2231" i="1"/>
  <c r="AL2265" i="1"/>
  <c r="AL2264" i="1"/>
  <c r="AL2262" i="1"/>
  <c r="AL2230" i="1"/>
  <c r="AL2213" i="1"/>
  <c r="AL2212" i="1"/>
  <c r="AL2185" i="1"/>
  <c r="AL2198" i="1"/>
  <c r="AL2184" i="1"/>
  <c r="AL2183" i="1"/>
  <c r="AL2197" i="1"/>
  <c r="AL2182" i="1"/>
  <c r="AL2181" i="1"/>
  <c r="AL2180" i="1"/>
  <c r="AL2196" i="1"/>
  <c r="AL2179" i="1"/>
  <c r="AL2199" i="1"/>
  <c r="AL2195" i="1"/>
  <c r="AL2194" i="1"/>
  <c r="AL2178" i="1"/>
  <c r="AL2201" i="1"/>
  <c r="AL2200" i="1"/>
  <c r="AL2193" i="1"/>
  <c r="AL2177" i="1"/>
  <c r="AL2176" i="1"/>
  <c r="AL2175" i="1"/>
  <c r="AL2186" i="1"/>
  <c r="AL2187" i="1"/>
  <c r="AL2189" i="1"/>
  <c r="AL2188" i="1"/>
  <c r="AL2138" i="1"/>
  <c r="AL2120" i="1"/>
  <c r="AL2118" i="1"/>
  <c r="AL2144" i="1"/>
  <c r="AL2094" i="1"/>
  <c r="AL2093" i="1"/>
  <c r="AL2143" i="1"/>
  <c r="AL2092" i="1"/>
  <c r="AL2091" i="1"/>
  <c r="AL2142" i="1"/>
  <c r="AL2090" i="1"/>
  <c r="AL2140" i="1"/>
  <c r="AL2139" i="1"/>
  <c r="AL2089" i="1"/>
  <c r="AL2123" i="1"/>
  <c r="AL2088" i="1"/>
  <c r="AL2087" i="1"/>
  <c r="AL2157" i="1"/>
  <c r="AL2131" i="1"/>
  <c r="AL2130" i="1"/>
  <c r="AL2129" i="1"/>
  <c r="AL2126" i="1"/>
  <c r="AL2125" i="1"/>
  <c r="AL2124" i="1"/>
  <c r="AL2141" i="1"/>
  <c r="AL2128" i="1"/>
  <c r="AL2127" i="1"/>
  <c r="AL2145" i="1"/>
  <c r="AL2071" i="1"/>
  <c r="AL2070" i="1"/>
  <c r="AL2305" i="1"/>
  <c r="AL2304" i="1"/>
  <c r="AL2303" i="1"/>
  <c r="AL1965" i="1"/>
  <c r="AL2270" i="1"/>
  <c r="AL2048" i="1"/>
  <c r="AL2047" i="1"/>
  <c r="AL2046" i="1"/>
  <c r="AL2045" i="1"/>
  <c r="AL2044" i="1"/>
  <c r="AL2043" i="1"/>
  <c r="AL2052" i="1"/>
  <c r="AL1883" i="1"/>
  <c r="AL1885" i="1"/>
  <c r="AL1884" i="1"/>
  <c r="AL2302" i="1"/>
  <c r="AL1891" i="1"/>
  <c r="AL1890" i="1"/>
  <c r="AL1889" i="1"/>
  <c r="AL1953" i="1"/>
  <c r="AL1947" i="1"/>
  <c r="AL1946" i="1"/>
  <c r="AL2121" i="1"/>
  <c r="AL2004" i="1"/>
  <c r="AL2005" i="1"/>
  <c r="AL2673" i="1"/>
  <c r="AL2672" i="1"/>
  <c r="AL2671" i="1"/>
  <c r="AL2405" i="1"/>
  <c r="AL2404" i="1"/>
  <c r="AL2403" i="1"/>
  <c r="AL2402" i="1"/>
  <c r="AL2401" i="1"/>
  <c r="AL2400" i="1"/>
  <c r="AL1456" i="1"/>
  <c r="AL1394" i="1"/>
  <c r="AL1393" i="1"/>
  <c r="AL1392" i="1"/>
  <c r="AL1391" i="1"/>
  <c r="AL1390" i="1"/>
  <c r="AL862" i="1"/>
  <c r="AL861" i="1"/>
  <c r="AL860" i="1"/>
  <c r="AL189" i="1"/>
  <c r="AL72" i="1"/>
  <c r="AL71" i="1"/>
  <c r="AL120" i="1"/>
  <c r="AL70" i="1"/>
  <c r="AL69" i="1"/>
  <c r="AL68" i="1"/>
  <c r="AL118" i="1"/>
  <c r="AL2327" i="1"/>
  <c r="AL2326" i="1"/>
  <c r="AL67" i="1"/>
  <c r="AL61" i="1"/>
  <c r="AL60" i="1"/>
  <c r="AL59" i="1"/>
  <c r="AL58" i="1"/>
  <c r="AL57" i="1"/>
  <c r="AL56" i="1"/>
  <c r="AL55" i="1"/>
  <c r="AL3033" i="1"/>
  <c r="AL3032" i="1"/>
  <c r="AL3031" i="1"/>
  <c r="AL3155" i="1"/>
  <c r="AL3152" i="1"/>
  <c r="AL3151" i="1"/>
  <c r="AL3150" i="1"/>
  <c r="AL3149" i="1"/>
  <c r="AL3141" i="1"/>
  <c r="AL3131" i="1"/>
  <c r="AL3126" i="1"/>
  <c r="AL3125" i="1"/>
  <c r="AL3124" i="1"/>
  <c r="AL3123" i="1"/>
  <c r="AL3122" i="1"/>
  <c r="AL3121" i="1"/>
  <c r="AL3120" i="1"/>
  <c r="AL3119" i="1"/>
  <c r="AL3118" i="1"/>
  <c r="AL3117" i="1"/>
  <c r="AL3116" i="1"/>
  <c r="AL3115" i="1"/>
  <c r="AL3114" i="1"/>
  <c r="AL3113" i="1"/>
  <c r="AL3112" i="1"/>
  <c r="AL2834" i="1"/>
  <c r="AL2989" i="1"/>
  <c r="AL2988" i="1"/>
  <c r="AL2980" i="1"/>
  <c r="AL2977" i="1"/>
  <c r="AL2976" i="1"/>
  <c r="AL2002" i="1"/>
  <c r="AL2001" i="1"/>
  <c r="AL2000" i="1"/>
  <c r="AL1999" i="1"/>
  <c r="AL1998" i="1"/>
  <c r="AL1997" i="1"/>
  <c r="AL1812" i="1"/>
  <c r="AL1811" i="1"/>
  <c r="AL1810" i="1"/>
  <c r="AL1809" i="1"/>
  <c r="AL1575" i="1"/>
  <c r="AL1561" i="1"/>
  <c r="AL1171" i="1"/>
  <c r="AL1170" i="1"/>
  <c r="AL1223" i="1"/>
  <c r="AL1178" i="1"/>
  <c r="AL1177" i="1"/>
  <c r="AL1174" i="1"/>
  <c r="AL1193" i="1"/>
  <c r="AL1191" i="1"/>
  <c r="AL1189" i="1"/>
  <c r="AL1187" i="1"/>
  <c r="AL1185" i="1"/>
  <c r="AL1183" i="1"/>
  <c r="AL1181" i="1"/>
  <c r="AL1179" i="1"/>
  <c r="AL1175" i="1"/>
  <c r="AL1173" i="1"/>
  <c r="AL1222" i="1"/>
  <c r="AL1221" i="1"/>
  <c r="AL1220" i="1"/>
  <c r="AL1219" i="1"/>
  <c r="AL1218" i="1"/>
  <c r="AL1217" i="1"/>
  <c r="AL1216" i="1"/>
  <c r="AL1215" i="1"/>
  <c r="AL1214" i="1"/>
  <c r="AL1213" i="1"/>
  <c r="AL1212" i="1"/>
  <c r="AL1211" i="1"/>
  <c r="AL1210" i="1"/>
  <c r="AL1209" i="1"/>
  <c r="AL1208" i="1"/>
  <c r="AL1207" i="1"/>
  <c r="AL1206" i="1"/>
  <c r="AL1205" i="1"/>
  <c r="AL1204" i="1"/>
  <c r="AL1203" i="1"/>
  <c r="AL1202" i="1"/>
  <c r="AL1201" i="1"/>
  <c r="AL1200" i="1"/>
  <c r="AL1199" i="1"/>
  <c r="AL1198" i="1"/>
  <c r="AL1197" i="1"/>
  <c r="AL1196" i="1"/>
  <c r="AL1195" i="1"/>
  <c r="AL1169" i="1"/>
  <c r="AL1168" i="1"/>
  <c r="AL1167" i="1"/>
  <c r="AL1166" i="1"/>
  <c r="AL583" i="1"/>
  <c r="AL599" i="1"/>
  <c r="AL605" i="1"/>
  <c r="AL604" i="1"/>
  <c r="AL600" i="1"/>
  <c r="AL602" i="1"/>
  <c r="AL601" i="1"/>
  <c r="AL585" i="1"/>
  <c r="AL584" i="1"/>
  <c r="AL598" i="1"/>
  <c r="AL597" i="1"/>
  <c r="AL596" i="1"/>
  <c r="AL595" i="1"/>
  <c r="AL594" i="1"/>
  <c r="AL593" i="1"/>
  <c r="AL592" i="1"/>
  <c r="AL590" i="1"/>
  <c r="AL589" i="1"/>
  <c r="AL588" i="1"/>
  <c r="AL587" i="1"/>
  <c r="AL586" i="1"/>
  <c r="AL591" i="1"/>
  <c r="AL580" i="1"/>
  <c r="AL578" i="1"/>
  <c r="AL581" i="1"/>
  <c r="AL579" i="1"/>
  <c r="AL571" i="1"/>
  <c r="AL570" i="1"/>
  <c r="AL569" i="1"/>
  <c r="AL566" i="1"/>
  <c r="AL564" i="1"/>
  <c r="AL557" i="1"/>
  <c r="AL554" i="1"/>
  <c r="AL563" i="1"/>
  <c r="AL562" i="1"/>
  <c r="AL561" i="1"/>
  <c r="AL560" i="1"/>
  <c r="AL559" i="1"/>
  <c r="AL558" i="1"/>
  <c r="AL556" i="1"/>
  <c r="AL553" i="1"/>
  <c r="AL512" i="1"/>
  <c r="AL510" i="1"/>
  <c r="AL509" i="1"/>
  <c r="AL508" i="1"/>
  <c r="AL511" i="1"/>
  <c r="AL503" i="1"/>
  <c r="AL507" i="1"/>
  <c r="AL506" i="1"/>
  <c r="AL505" i="1"/>
  <c r="AL504" i="1"/>
  <c r="AL493" i="1"/>
  <c r="AL491" i="1"/>
  <c r="AL522" i="1"/>
  <c r="AL520" i="1"/>
  <c r="AL1975" i="1"/>
  <c r="AL1966" i="1"/>
  <c r="AL1969" i="1"/>
  <c r="AL1956" i="1"/>
  <c r="AL1954" i="1"/>
  <c r="AL1955" i="1"/>
  <c r="AL1916" i="1"/>
  <c r="AL1915" i="1"/>
  <c r="AL3130" i="1"/>
  <c r="AL3129" i="1"/>
  <c r="AL3128" i="1"/>
  <c r="AL3127" i="1"/>
  <c r="AL2532" i="1"/>
  <c r="AL2525" i="1"/>
  <c r="AL2531" i="1"/>
  <c r="AL2524" i="1"/>
  <c r="AL2529" i="1"/>
  <c r="AL2528" i="1"/>
  <c r="AL2523" i="1"/>
  <c r="AL2522" i="1"/>
  <c r="AL2526" i="1"/>
  <c r="AL2530" i="1"/>
  <c r="AL2527" i="1"/>
  <c r="AL1783" i="1"/>
  <c r="AL1782" i="1"/>
  <c r="AL1780" i="1"/>
  <c r="AL1784" i="1"/>
  <c r="AL1778" i="1"/>
  <c r="AL1777" i="1"/>
  <c r="AL1730" i="1"/>
  <c r="AL1729" i="1"/>
  <c r="AL1727" i="1"/>
  <c r="AL1721" i="1"/>
  <c r="AL1720" i="1"/>
  <c r="AL1719" i="1"/>
  <c r="AL1718" i="1"/>
  <c r="AL1717" i="1"/>
  <c r="AL1716" i="1"/>
  <c r="AL1715" i="1"/>
  <c r="AL1714" i="1"/>
  <c r="AL1713" i="1"/>
  <c r="AL1712" i="1"/>
  <c r="AL1711" i="1"/>
  <c r="AL1710" i="1"/>
  <c r="AL1709" i="1"/>
  <c r="AL1708" i="1"/>
  <c r="AL1707" i="1"/>
  <c r="AL1706" i="1"/>
  <c r="AL1705" i="1"/>
  <c r="AL1704" i="1"/>
  <c r="AL1703" i="1"/>
  <c r="AL1702" i="1"/>
  <c r="AL1701" i="1"/>
  <c r="AL1700" i="1"/>
  <c r="AL1699" i="1"/>
  <c r="AL1698" i="1"/>
  <c r="AL1697" i="1"/>
  <c r="AL1696" i="1"/>
  <c r="AL1695" i="1"/>
  <c r="AL1694" i="1"/>
  <c r="AL1693" i="1"/>
  <c r="AL1692" i="1"/>
  <c r="AL115" i="1"/>
  <c r="AL114" i="1"/>
  <c r="AL113" i="1"/>
  <c r="AL2521" i="1"/>
  <c r="AL2520" i="1"/>
  <c r="AL2519" i="1"/>
  <c r="AL2518" i="1"/>
  <c r="AL2517" i="1"/>
  <c r="AL2516" i="1"/>
  <c r="AL2515" i="1"/>
  <c r="AL2514" i="1"/>
  <c r="AL2513" i="1"/>
  <c r="AL2512" i="1"/>
  <c r="AL2511" i="1"/>
  <c r="AL2510" i="1"/>
  <c r="AL2509" i="1"/>
  <c r="AL2508" i="1"/>
  <c r="AL2498" i="1"/>
  <c r="AL2496" i="1"/>
  <c r="AL2495" i="1"/>
  <c r="AL2494" i="1"/>
  <c r="AL2493" i="1"/>
  <c r="AL2492" i="1"/>
  <c r="AL2491" i="1"/>
  <c r="AL2490" i="1"/>
  <c r="AL2489" i="1"/>
  <c r="AL2488" i="1"/>
  <c r="AL2487" i="1"/>
  <c r="AL2486" i="1"/>
  <c r="AL2485" i="1"/>
  <c r="AL2484" i="1"/>
  <c r="AL2483" i="1"/>
  <c r="AL2482" i="1"/>
  <c r="AL1525" i="1"/>
  <c r="AL1524" i="1"/>
  <c r="AL1389" i="1"/>
  <c r="AL751" i="1"/>
  <c r="AL289" i="1"/>
  <c r="AL254" i="1"/>
  <c r="AL241" i="1"/>
  <c r="AL281" i="1"/>
  <c r="AL240" i="1"/>
  <c r="AL275" i="1"/>
  <c r="AL274" i="1"/>
  <c r="AL239" i="1"/>
  <c r="AL265" i="1"/>
  <c r="AL235" i="1"/>
  <c r="AL288" i="1"/>
  <c r="AL284" i="1"/>
  <c r="AL282" i="1"/>
  <c r="AL280" i="1"/>
  <c r="AL279" i="1"/>
  <c r="AL277" i="1"/>
  <c r="AL273" i="1"/>
  <c r="AL272" i="1"/>
  <c r="AL271" i="1"/>
  <c r="AL269" i="1"/>
  <c r="AL268" i="1"/>
  <c r="AL234" i="1"/>
  <c r="AL233" i="1"/>
  <c r="AL256" i="1"/>
  <c r="AL264" i="1"/>
  <c r="AL263" i="1"/>
  <c r="AL262" i="1"/>
  <c r="AL261" i="1"/>
  <c r="AL260" i="1"/>
  <c r="AL259" i="1"/>
  <c r="AL258" i="1"/>
  <c r="AL257" i="1"/>
  <c r="AL255" i="1"/>
  <c r="AL287" i="1"/>
  <c r="AL286" i="1"/>
  <c r="AL232" i="1"/>
  <c r="AL231" i="1"/>
  <c r="AL230" i="1"/>
  <c r="AL229" i="1"/>
  <c r="AL228" i="1"/>
  <c r="AL227" i="1"/>
  <c r="AL226" i="1"/>
  <c r="AL270" i="1"/>
  <c r="AL283" i="1"/>
  <c r="AL225" i="1"/>
  <c r="AL224" i="1"/>
  <c r="AL223" i="1"/>
  <c r="AL128" i="1"/>
  <c r="AL111" i="1"/>
  <c r="AL76" i="1"/>
  <c r="AL50" i="1"/>
  <c r="AL1559" i="1"/>
  <c r="AL3272" i="1"/>
  <c r="AL2676" i="1"/>
  <c r="AL2675" i="1"/>
  <c r="AL2617" i="1"/>
  <c r="AL2619" i="1"/>
  <c r="AL2616" i="1"/>
  <c r="AL2618" i="1"/>
  <c r="AL2345" i="1"/>
  <c r="AL2344" i="1"/>
  <c r="AL2343" i="1"/>
  <c r="AL2342" i="1"/>
  <c r="AL2346" i="1"/>
  <c r="AL2341" i="1"/>
  <c r="AL2340" i="1"/>
  <c r="AL1846" i="1"/>
  <c r="AL1844" i="1"/>
  <c r="AL1843" i="1"/>
  <c r="AL1842" i="1"/>
  <c r="AL1840" i="1"/>
  <c r="AL1839" i="1"/>
  <c r="AL1838" i="1"/>
  <c r="AL1841" i="1"/>
  <c r="AL1837" i="1"/>
  <c r="AL1836" i="1"/>
  <c r="AL1827" i="1"/>
  <c r="AL1825" i="1"/>
  <c r="AL1821" i="1"/>
  <c r="AL1820" i="1"/>
  <c r="AL1819" i="1"/>
  <c r="AL1818" i="1"/>
  <c r="AL1817" i="1"/>
  <c r="AL1816" i="1"/>
  <c r="AL1815" i="1"/>
  <c r="AL1814" i="1"/>
  <c r="AL1828" i="1"/>
  <c r="AL1826" i="1"/>
  <c r="AL1824" i="1"/>
  <c r="AL1823" i="1"/>
  <c r="AL1822" i="1"/>
  <c r="AL1813" i="1"/>
  <c r="AL1808" i="1"/>
  <c r="AL1807" i="1"/>
  <c r="AL1806" i="1"/>
  <c r="AL1805" i="1"/>
  <c r="AL1804" i="1"/>
  <c r="AL1803" i="1"/>
  <c r="AL1802" i="1"/>
  <c r="AL1801" i="1"/>
  <c r="AL1781" i="1"/>
  <c r="AL1779" i="1"/>
  <c r="AL1744" i="1"/>
  <c r="AL1731" i="1"/>
  <c r="AL1728" i="1"/>
  <c r="AL1726" i="1"/>
  <c r="AL1725" i="1"/>
  <c r="AL1724" i="1"/>
  <c r="AL1723" i="1"/>
  <c r="AL1722" i="1"/>
  <c r="AL1539" i="1"/>
  <c r="AL1537" i="1"/>
  <c r="AL1536" i="1"/>
  <c r="AL1535" i="1"/>
  <c r="AL1534" i="1"/>
  <c r="AL1533" i="1"/>
  <c r="AL1538" i="1"/>
  <c r="AL1532" i="1"/>
  <c r="AL1531" i="1"/>
  <c r="AL1530" i="1"/>
  <c r="AL1529" i="1"/>
  <c r="AL1528" i="1"/>
  <c r="AL1481" i="1"/>
  <c r="AL1480" i="1"/>
  <c r="AL1478" i="1"/>
  <c r="AL1477" i="1"/>
  <c r="AL1475" i="1"/>
  <c r="AL1479" i="1"/>
  <c r="AL1476" i="1"/>
  <c r="AL1474" i="1"/>
  <c r="AL1455" i="1"/>
  <c r="AL1454" i="1"/>
  <c r="AL1422" i="1"/>
  <c r="AL1421" i="1"/>
  <c r="AL1420" i="1"/>
  <c r="AL1419" i="1"/>
  <c r="AL1418" i="1"/>
  <c r="AL1417" i="1"/>
  <c r="AL1416" i="1"/>
  <c r="AL1415" i="1"/>
  <c r="AL1414" i="1"/>
  <c r="AL1413" i="1"/>
  <c r="AL1412" i="1"/>
  <c r="AL1411" i="1"/>
  <c r="AL1410" i="1"/>
  <c r="AL1409" i="1"/>
  <c r="AL1408" i="1"/>
  <c r="AL1407" i="1"/>
  <c r="AL1406" i="1"/>
  <c r="AL1405" i="1"/>
  <c r="AL1403" i="1"/>
  <c r="AL1402" i="1"/>
  <c r="AL1401" i="1"/>
  <c r="AL1400" i="1"/>
  <c r="AL1399" i="1"/>
  <c r="AL1398" i="1"/>
  <c r="AL1397" i="1"/>
  <c r="AL1396" i="1"/>
  <c r="AL1395" i="1"/>
  <c r="AL1388" i="1"/>
  <c r="AL1387" i="1"/>
  <c r="AL1386" i="1"/>
  <c r="AL1385" i="1"/>
  <c r="AL1384" i="1"/>
  <c r="AL1383" i="1"/>
  <c r="AL1382" i="1"/>
  <c r="AL1381" i="1"/>
  <c r="AL1380" i="1"/>
  <c r="AL1379" i="1"/>
  <c r="AL1378" i="1"/>
  <c r="AL1377" i="1"/>
  <c r="AL1376" i="1"/>
  <c r="AL1165" i="1"/>
  <c r="AL1164" i="1"/>
  <c r="AL1163" i="1"/>
  <c r="AL1162" i="1"/>
  <c r="AL1151" i="1"/>
  <c r="AL1150" i="1"/>
  <c r="AL1142" i="1"/>
  <c r="AL1141" i="1"/>
  <c r="AL1154" i="1"/>
  <c r="AL1153" i="1"/>
  <c r="AL1152" i="1"/>
  <c r="AL1149" i="1"/>
  <c r="AL1148" i="1"/>
  <c r="AL1147" i="1"/>
  <c r="AL1146" i="1"/>
  <c r="AL1145" i="1"/>
  <c r="AL1144" i="1"/>
  <c r="AL1143" i="1"/>
  <c r="AL1140" i="1"/>
  <c r="AL1139" i="1"/>
  <c r="AL1138" i="1"/>
  <c r="AL1137" i="1"/>
  <c r="AL1136" i="1"/>
  <c r="AL1135" i="1"/>
  <c r="AL740" i="1"/>
  <c r="AL739" i="1"/>
  <c r="AL738" i="1"/>
  <c r="AL737" i="1"/>
  <c r="AL736" i="1"/>
  <c r="AL735" i="1"/>
  <c r="AL734" i="1"/>
  <c r="AL733" i="1"/>
  <c r="AL732" i="1"/>
  <c r="AL155" i="1"/>
  <c r="AL154" i="1"/>
  <c r="AL153" i="1"/>
  <c r="AL152" i="1"/>
  <c r="AL151" i="1"/>
  <c r="AL174" i="1"/>
  <c r="AL173" i="1"/>
  <c r="AL172" i="1"/>
  <c r="AL169" i="1"/>
  <c r="AL170" i="1"/>
  <c r="AL171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3275" i="1"/>
  <c r="AL3279" i="1"/>
  <c r="AL3274" i="1"/>
  <c r="AL3273" i="1"/>
  <c r="AL3277" i="1"/>
  <c r="AL3276" i="1"/>
  <c r="AL3283" i="1"/>
  <c r="AL3281" i="1"/>
  <c r="AL3280" i="1"/>
  <c r="AL3278" i="1"/>
  <c r="AL112" i="1"/>
  <c r="AL110" i="1"/>
  <c r="AL109" i="1"/>
  <c r="AL107" i="1"/>
  <c r="AL104" i="1"/>
  <c r="AL103" i="1"/>
  <c r="AL102" i="1"/>
  <c r="AL101" i="1"/>
  <c r="AL100" i="1"/>
  <c r="AL99" i="1"/>
  <c r="AL98" i="1"/>
  <c r="AL97" i="1"/>
  <c r="AL95" i="1"/>
  <c r="AL94" i="1"/>
  <c r="AL93" i="1"/>
  <c r="AL92" i="1"/>
  <c r="AL91" i="1"/>
  <c r="AL90" i="1"/>
  <c r="AL89" i="1"/>
  <c r="AL88" i="1"/>
  <c r="AL81" i="1"/>
  <c r="AL80" i="1"/>
  <c r="AL79" i="1"/>
  <c r="AL78" i="1"/>
  <c r="AL1471" i="1"/>
  <c r="AL630" i="1"/>
  <c r="AL1370" i="1"/>
  <c r="AL1358" i="1"/>
  <c r="AL1357" i="1"/>
  <c r="AL1356" i="1"/>
  <c r="AL1355" i="1"/>
  <c r="AL1354" i="1"/>
  <c r="AL1353" i="1"/>
  <c r="AL1352" i="1"/>
  <c r="AL1351" i="1"/>
  <c r="AL1350" i="1"/>
  <c r="AL1349" i="1"/>
  <c r="AL1348" i="1"/>
  <c r="AL1347" i="1"/>
  <c r="AL1371" i="1"/>
  <c r="AL1369" i="1"/>
  <c r="AL1346" i="1"/>
  <c r="AL1345" i="1"/>
  <c r="AL1344" i="1"/>
  <c r="AL1343" i="1"/>
  <c r="AL1342" i="1"/>
  <c r="AL1341" i="1"/>
  <c r="AL1340" i="1"/>
  <c r="AL1339" i="1"/>
  <c r="AL1338" i="1"/>
  <c r="AL1337" i="1"/>
  <c r="AL1336" i="1"/>
  <c r="AL1335" i="1"/>
  <c r="AL1368" i="1"/>
  <c r="AL1367" i="1"/>
  <c r="AL1334" i="1"/>
  <c r="AL1333" i="1"/>
  <c r="AL1332" i="1"/>
  <c r="AL1330" i="1"/>
  <c r="AL1329" i="1"/>
  <c r="AL1328" i="1"/>
  <c r="AL1327" i="1"/>
  <c r="AL1326" i="1"/>
  <c r="AL1325" i="1"/>
  <c r="AL1324" i="1"/>
  <c r="AL1323" i="1"/>
  <c r="AL1322" i="1"/>
  <c r="AL1321" i="1"/>
  <c r="AL1320" i="1"/>
  <c r="AL1319" i="1"/>
  <c r="AL1318" i="1"/>
  <c r="AL1317" i="1"/>
  <c r="AL1316" i="1"/>
  <c r="AL1364" i="1"/>
  <c r="AL1363" i="1"/>
  <c r="AL1362" i="1"/>
  <c r="AL1361" i="1"/>
  <c r="AL1360" i="1"/>
  <c r="AL1366" i="1"/>
  <c r="AL1359" i="1"/>
  <c r="AL1315" i="1"/>
  <c r="AL1314" i="1"/>
  <c r="AL1313" i="1"/>
  <c r="AL1312" i="1"/>
  <c r="AL1311" i="1"/>
  <c r="AL1310" i="1"/>
  <c r="AL1309" i="1"/>
  <c r="AL1308" i="1"/>
  <c r="AL1307" i="1"/>
  <c r="AL1306" i="1"/>
  <c r="AL1331" i="1"/>
  <c r="AL1305" i="1"/>
  <c r="AL1304" i="1"/>
  <c r="AL1365" i="1"/>
  <c r="AL1303" i="1"/>
  <c r="AL1302" i="1"/>
  <c r="AL1301" i="1"/>
  <c r="AL1300" i="1"/>
  <c r="AL1299" i="1"/>
  <c r="AL1298" i="1"/>
  <c r="AL1297" i="1"/>
  <c r="AL1296" i="1"/>
  <c r="AL1295" i="1"/>
  <c r="AL1294" i="1"/>
  <c r="AL1293" i="1"/>
  <c r="AL1292" i="1"/>
  <c r="AL1291" i="1"/>
  <c r="AL1290" i="1"/>
  <c r="AL1289" i="1"/>
  <c r="AL2552" i="1"/>
  <c r="AL2546" i="1"/>
  <c r="AL2545" i="1"/>
  <c r="AL2551" i="1"/>
  <c r="AL2544" i="1"/>
  <c r="AL2543" i="1"/>
  <c r="AL2541" i="1"/>
  <c r="AL2540" i="1"/>
  <c r="AL2539" i="1"/>
  <c r="AL2537" i="1"/>
  <c r="AL2536" i="1"/>
  <c r="AL2535" i="1"/>
  <c r="AL2548" i="1"/>
  <c r="AL2547" i="1"/>
  <c r="AL2534" i="1"/>
  <c r="AL2533" i="1"/>
  <c r="AL1227" i="1"/>
  <c r="AL1224" i="1"/>
  <c r="AL1225" i="1"/>
  <c r="AL1526" i="1"/>
  <c r="AL86" i="1"/>
  <c r="AL85" i="1"/>
  <c r="AL84" i="1"/>
  <c r="AL83" i="1"/>
  <c r="AL82" i="1"/>
  <c r="AL1849" i="1"/>
  <c r="AL1851" i="1"/>
  <c r="AL1848" i="1"/>
  <c r="AL1847" i="1"/>
  <c r="AL1850" i="1"/>
  <c r="AL1845" i="1"/>
  <c r="AL1511" i="1"/>
  <c r="AL1510" i="1"/>
  <c r="AL1509" i="1"/>
  <c r="AL1508" i="1"/>
  <c r="AL1507" i="1"/>
  <c r="AL1506" i="1"/>
  <c r="AL127" i="1"/>
  <c r="AL126" i="1"/>
  <c r="AL125" i="1"/>
  <c r="AL124" i="1"/>
  <c r="AL123" i="1"/>
  <c r="AL122" i="1"/>
  <c r="AL121" i="1"/>
  <c r="AL3288" i="1"/>
  <c r="AL3286" i="1"/>
  <c r="AL3284" i="1"/>
  <c r="AL3287" i="1"/>
  <c r="AL3285" i="1"/>
  <c r="AL3160" i="1"/>
  <c r="AL3159" i="1"/>
  <c r="AL3168" i="1"/>
  <c r="AL3163" i="1"/>
  <c r="AL3161" i="1"/>
  <c r="AL3158" i="1"/>
  <c r="AL3162" i="1"/>
  <c r="AL3165" i="1"/>
  <c r="AL3164" i="1"/>
  <c r="AL3167" i="1"/>
  <c r="AL3166" i="1"/>
  <c r="AL2550" i="1"/>
  <c r="AL2549" i="1"/>
  <c r="AL2553" i="1"/>
  <c r="AL2542" i="1"/>
  <c r="AL2538" i="1"/>
  <c r="AL2481" i="1"/>
  <c r="AL2477" i="1"/>
  <c r="AL2459" i="1"/>
  <c r="AL2458" i="1"/>
  <c r="AL2447" i="1"/>
  <c r="AL2446" i="1"/>
  <c r="AL2480" i="1"/>
  <c r="AL2444" i="1"/>
  <c r="AL2441" i="1"/>
  <c r="AL2479" i="1"/>
  <c r="AL2478" i="1"/>
  <c r="AL2476" i="1"/>
  <c r="AL2475" i="1"/>
  <c r="AL2472" i="1"/>
  <c r="AL2473" i="1"/>
  <c r="AL2474" i="1"/>
  <c r="AL2467" i="1"/>
  <c r="AL2464" i="1"/>
  <c r="AL2462" i="1"/>
  <c r="AL2470" i="1"/>
  <c r="AL2466" i="1"/>
  <c r="AL2465" i="1"/>
  <c r="AL2463" i="1"/>
  <c r="AL2469" i="1"/>
  <c r="AL2468" i="1"/>
  <c r="AL2460" i="1"/>
  <c r="AL2461" i="1"/>
  <c r="AL2455" i="1"/>
  <c r="AL2454" i="1"/>
  <c r="AL2453" i="1"/>
  <c r="AL2452" i="1"/>
  <c r="AL2451" i="1"/>
  <c r="AL2450" i="1"/>
  <c r="AL2448" i="1"/>
  <c r="AL2449" i="1"/>
  <c r="AL2442" i="1"/>
  <c r="AL2416" i="1"/>
  <c r="AL2415" i="1"/>
  <c r="AL2456" i="1"/>
  <c r="AL2414" i="1"/>
  <c r="AL2413" i="1"/>
  <c r="AL2412" i="1"/>
  <c r="AL2457" i="1"/>
  <c r="AL2411" i="1"/>
  <c r="AL2410" i="1"/>
  <c r="AL2399" i="1"/>
  <c r="AL2395" i="1"/>
  <c r="AL2398" i="1"/>
  <c r="AL2394" i="1"/>
  <c r="AL2397" i="1"/>
  <c r="AL2396" i="1"/>
  <c r="AL2393" i="1"/>
  <c r="AL1800" i="1"/>
  <c r="AL1791" i="1"/>
  <c r="AL1789" i="1"/>
  <c r="AL1798" i="1"/>
  <c r="AL1796" i="1"/>
  <c r="AL1787" i="1"/>
  <c r="AL1786" i="1"/>
  <c r="AL1793" i="1"/>
  <c r="AL1790" i="1"/>
  <c r="AL1799" i="1"/>
  <c r="AL1797" i="1"/>
  <c r="AL1788" i="1"/>
  <c r="AL1795" i="1"/>
  <c r="AL1794" i="1"/>
  <c r="AL1785" i="1"/>
  <c r="AL1792" i="1"/>
  <c r="AL1689" i="1"/>
  <c r="AL1683" i="1"/>
  <c r="AL1688" i="1"/>
  <c r="AL1687" i="1"/>
  <c r="AL1686" i="1"/>
  <c r="AL1669" i="1"/>
  <c r="AL1663" i="1"/>
  <c r="AL1657" i="1"/>
  <c r="AL1656" i="1"/>
  <c r="AL1655" i="1"/>
  <c r="AL1654" i="1"/>
  <c r="AL1653" i="1"/>
  <c r="AL1679" i="1"/>
  <c r="AL1652" i="1"/>
  <c r="AL1673" i="1"/>
  <c r="AL1651" i="1"/>
  <c r="AL1670" i="1"/>
  <c r="AL1650" i="1"/>
  <c r="AL1649" i="1"/>
  <c r="AL1648" i="1"/>
  <c r="AL1434" i="1"/>
  <c r="AL1433" i="1"/>
  <c r="AL1428" i="1"/>
  <c r="AL1432" i="1"/>
  <c r="AL1427" i="1"/>
  <c r="AL1435" i="1"/>
  <c r="AL1426" i="1"/>
  <c r="AL1425" i="1"/>
  <c r="AL1431" i="1"/>
  <c r="AL1424" i="1"/>
  <c r="AL1430" i="1"/>
  <c r="AL1429" i="1"/>
  <c r="AL1423" i="1"/>
  <c r="AL1374" i="1"/>
  <c r="AL1375" i="1"/>
  <c r="AL1373" i="1"/>
  <c r="AL1372" i="1"/>
  <c r="AL393" i="1"/>
  <c r="AL395" i="1"/>
  <c r="AL394" i="1"/>
  <c r="AL392" i="1"/>
  <c r="AL63" i="1"/>
  <c r="AL1607" i="1"/>
  <c r="AL1470" i="1"/>
  <c r="AL75" i="1"/>
  <c r="AL64" i="1"/>
  <c r="AL53" i="1"/>
  <c r="AL48" i="1"/>
  <c r="AL3270" i="1"/>
  <c r="AL3271" i="1"/>
  <c r="AL3233" i="1"/>
  <c r="AL3232" i="1"/>
  <c r="AL3210" i="1"/>
  <c r="AL3209" i="1"/>
  <c r="AL3208" i="1"/>
  <c r="AL3214" i="1"/>
  <c r="AL3229" i="1"/>
  <c r="AL3213" i="1"/>
  <c r="AL3206" i="1"/>
  <c r="AL3205" i="1"/>
  <c r="AL3204" i="1"/>
  <c r="AL3225" i="1"/>
  <c r="AL3202" i="1"/>
  <c r="AL3201" i="1"/>
  <c r="AL3200" i="1"/>
  <c r="AL3216" i="1"/>
  <c r="AL3212" i="1"/>
  <c r="AL3231" i="1"/>
  <c r="AL3230" i="1"/>
  <c r="AL3227" i="1"/>
  <c r="AL3211" i="1"/>
  <c r="AL3220" i="1"/>
  <c r="AL3224" i="1"/>
  <c r="AL3223" i="1"/>
  <c r="AL3221" i="1"/>
  <c r="AL3207" i="1"/>
  <c r="AL3203" i="1"/>
  <c r="AL3219" i="1"/>
  <c r="AL3199" i="1"/>
  <c r="AL3215" i="1"/>
  <c r="AL3027" i="1"/>
  <c r="AL3026" i="1"/>
  <c r="AL3021" i="1"/>
  <c r="AL3020" i="1"/>
  <c r="AL3019" i="1"/>
  <c r="AL3018" i="1"/>
  <c r="AL3017" i="1"/>
  <c r="AL2992" i="1"/>
  <c r="AL2991" i="1"/>
  <c r="AL2993" i="1"/>
  <c r="AL2990" i="1"/>
  <c r="AL2986" i="1"/>
  <c r="AL2831" i="1"/>
  <c r="AL2983" i="1"/>
  <c r="AL2982" i="1"/>
  <c r="AL2981" i="1"/>
  <c r="AL2984" i="1"/>
  <c r="AL2778" i="1"/>
  <c r="AL2974" i="1"/>
  <c r="AL2745" i="1"/>
  <c r="AL2744" i="1"/>
  <c r="AL2743" i="1"/>
  <c r="AL2742" i="1"/>
  <c r="AL2741" i="1"/>
  <c r="AL2740" i="1"/>
  <c r="AL2739" i="1"/>
  <c r="AL2738" i="1"/>
  <c r="AL2735" i="1"/>
  <c r="AL2736" i="1"/>
  <c r="AL2733" i="1"/>
  <c r="AL2734" i="1"/>
  <c r="AL2732" i="1"/>
  <c r="AL2979" i="1"/>
  <c r="AL2978" i="1"/>
  <c r="AL2709" i="1"/>
  <c r="AL2833" i="1"/>
  <c r="AL2708" i="1"/>
  <c r="AL2707" i="1"/>
  <c r="AL2706" i="1"/>
  <c r="AL2705" i="1"/>
  <c r="AL2704" i="1"/>
  <c r="AL2985" i="1"/>
  <c r="AL2662" i="1"/>
  <c r="AL2661" i="1"/>
  <c r="AL2663" i="1"/>
  <c r="AL2660" i="1"/>
  <c r="AL2505" i="1"/>
  <c r="AL2504" i="1"/>
  <c r="AL2503" i="1"/>
  <c r="AL2502" i="1"/>
  <c r="AL2506" i="1"/>
  <c r="AL2501" i="1"/>
  <c r="AL2500" i="1"/>
  <c r="AL2499" i="1"/>
  <c r="AL2409" i="1"/>
  <c r="AL2408" i="1"/>
  <c r="AL2407" i="1"/>
  <c r="AL2371" i="1"/>
  <c r="AL2370" i="1"/>
  <c r="AL2369" i="1"/>
  <c r="AL2368" i="1"/>
  <c r="AL2367" i="1"/>
  <c r="AL2366" i="1"/>
  <c r="AL2365" i="1"/>
  <c r="AL2364" i="1"/>
  <c r="AL2363" i="1"/>
  <c r="AL2362" i="1"/>
  <c r="AL2361" i="1"/>
  <c r="AL2360" i="1"/>
  <c r="AL2359" i="1"/>
  <c r="AL2358" i="1"/>
  <c r="AL2357" i="1"/>
  <c r="AL2356" i="1"/>
  <c r="AL2355" i="1"/>
  <c r="AL2354" i="1"/>
  <c r="AL2353" i="1"/>
  <c r="AL2352" i="1"/>
  <c r="AL2351" i="1"/>
  <c r="AL2350" i="1"/>
  <c r="AL2349" i="1"/>
  <c r="AL2348" i="1"/>
  <c r="AL2347" i="1"/>
  <c r="AL2325" i="1"/>
  <c r="AL2324" i="1"/>
  <c r="AL2323" i="1"/>
  <c r="AL2322" i="1"/>
  <c r="AL2321" i="1"/>
  <c r="AL2320" i="1"/>
  <c r="AL2319" i="1"/>
  <c r="AL2318" i="1"/>
  <c r="AL2317" i="1"/>
  <c r="AL2316" i="1"/>
  <c r="AL2315" i="1"/>
  <c r="AL2314" i="1"/>
  <c r="AL2313" i="1"/>
  <c r="AL2312" i="1"/>
  <c r="AL2311" i="1"/>
  <c r="AL2310" i="1"/>
  <c r="AL2309" i="1"/>
  <c r="AL2308" i="1"/>
  <c r="AL2307" i="1"/>
  <c r="AL2306" i="1"/>
  <c r="AL1866" i="1"/>
  <c r="AL1854" i="1"/>
  <c r="AL1867" i="1"/>
  <c r="AL1853" i="1"/>
  <c r="AL1852" i="1"/>
  <c r="AL1863" i="1"/>
  <c r="AL1602" i="1"/>
  <c r="AL1603" i="1"/>
  <c r="AL1604" i="1"/>
  <c r="AL1594" i="1"/>
  <c r="AL1588" i="1"/>
  <c r="AL1593" i="1"/>
  <c r="AL1590" i="1"/>
  <c r="AL1591" i="1"/>
  <c r="AL1592" i="1"/>
  <c r="AL1587" i="1"/>
  <c r="AL1586" i="1"/>
  <c r="AL1585" i="1"/>
  <c r="AL1584" i="1"/>
  <c r="AL1583" i="1"/>
  <c r="AL1527" i="1"/>
  <c r="AL651" i="1"/>
  <c r="AL647" i="1"/>
  <c r="AL638" i="1"/>
  <c r="AL645" i="1"/>
  <c r="AL644" i="1"/>
  <c r="AL642" i="1"/>
  <c r="AL641" i="1"/>
  <c r="AL639" i="1"/>
  <c r="AL640" i="1"/>
  <c r="AL637" i="1"/>
  <c r="AL636" i="1"/>
  <c r="AL633" i="1"/>
  <c r="AL635" i="1"/>
  <c r="AL634" i="1"/>
  <c r="AL646" i="1"/>
  <c r="AL650" i="1"/>
  <c r="AL1505" i="1"/>
  <c r="AL1499" i="1"/>
  <c r="AL1497" i="1"/>
  <c r="AL1498" i="1"/>
  <c r="AL1461" i="1"/>
  <c r="AL1460" i="1"/>
  <c r="AL1459" i="1"/>
  <c r="AL1458" i="1"/>
  <c r="AL1457" i="1"/>
  <c r="AL1446" i="1"/>
  <c r="AL1445" i="1"/>
  <c r="AL1444" i="1"/>
  <c r="AL1452" i="1"/>
  <c r="AL1448" i="1"/>
  <c r="AL1447" i="1"/>
  <c r="AL1440" i="1"/>
  <c r="AL1404" i="1"/>
  <c r="AL1288" i="1"/>
  <c r="AL1284" i="1"/>
  <c r="AL1287" i="1"/>
  <c r="AL1280" i="1"/>
  <c r="AL1286" i="1"/>
  <c r="AL1285" i="1"/>
  <c r="AL1244" i="1"/>
  <c r="AL1243" i="1"/>
  <c r="AL1242" i="1"/>
  <c r="AL1241" i="1"/>
  <c r="AL1240" i="1"/>
  <c r="AL1239" i="1"/>
  <c r="AL1238" i="1"/>
  <c r="AL1237" i="1"/>
  <c r="AL1236" i="1"/>
  <c r="AL1235" i="1"/>
  <c r="AL1234" i="1"/>
  <c r="AL1233" i="1"/>
  <c r="AL1232" i="1"/>
  <c r="AL1231" i="1"/>
  <c r="AL1230" i="1"/>
  <c r="AL1582" i="1"/>
  <c r="AL1581" i="1"/>
  <c r="AL1580" i="1"/>
  <c r="AL1577" i="1"/>
  <c r="AL1569" i="1"/>
  <c r="AL1568" i="1"/>
  <c r="AL1567" i="1"/>
  <c r="AL1566" i="1"/>
  <c r="AL1565" i="1"/>
  <c r="AL1564" i="1"/>
  <c r="AL1132" i="1"/>
  <c r="AL1131" i="1"/>
  <c r="AL1125" i="1"/>
  <c r="AL1124" i="1"/>
  <c r="AL1123" i="1"/>
  <c r="AL1130" i="1"/>
  <c r="AL1122" i="1"/>
  <c r="AL1129" i="1"/>
  <c r="AL1127" i="1"/>
  <c r="AL1086" i="1"/>
  <c r="AL1084" i="1"/>
  <c r="AL1085" i="1"/>
  <c r="AL1083" i="1"/>
  <c r="AL1081" i="1"/>
  <c r="AL1082" i="1"/>
  <c r="AL1102" i="1"/>
  <c r="AL1101" i="1"/>
  <c r="AL1098" i="1"/>
  <c r="AL1093" i="1"/>
  <c r="AL856" i="1"/>
  <c r="AL930" i="1"/>
  <c r="AL855" i="1"/>
  <c r="AL854" i="1"/>
  <c r="AL853" i="1"/>
  <c r="AL852" i="1"/>
  <c r="AL851" i="1"/>
  <c r="AL850" i="1"/>
  <c r="AL849" i="1"/>
  <c r="AL832" i="1"/>
  <c r="AL830" i="1"/>
  <c r="AL824" i="1"/>
  <c r="AL841" i="1"/>
  <c r="AL822" i="1"/>
  <c r="AL839" i="1"/>
  <c r="AL838" i="1"/>
  <c r="AL837" i="1"/>
  <c r="AL807" i="1"/>
  <c r="AL806" i="1"/>
  <c r="AL842" i="1"/>
  <c r="AL829" i="1"/>
  <c r="AL815" i="1"/>
  <c r="AL814" i="1"/>
  <c r="AL812" i="1"/>
  <c r="AL811" i="1"/>
  <c r="AL810" i="1"/>
  <c r="AL840" i="1"/>
  <c r="AL796" i="1"/>
  <c r="AL794" i="1"/>
  <c r="AL792" i="1"/>
  <c r="AL793" i="1"/>
  <c r="AL791" i="1"/>
  <c r="AL790" i="1"/>
  <c r="AL789" i="1"/>
  <c r="AL788" i="1"/>
  <c r="AL787" i="1"/>
  <c r="AL795" i="1"/>
  <c r="AL786" i="1"/>
  <c r="AL785" i="1"/>
  <c r="AL784" i="1"/>
  <c r="AL783" i="1"/>
  <c r="AL668" i="1"/>
  <c r="AL663" i="1"/>
  <c r="AL666" i="1"/>
  <c r="AL667" i="1"/>
  <c r="AL665" i="1"/>
  <c r="AL664" i="1"/>
  <c r="AL729" i="1"/>
  <c r="AL731" i="1"/>
  <c r="AL728" i="1"/>
  <c r="AL725" i="1"/>
  <c r="AL718" i="1"/>
  <c r="AL627" i="1"/>
  <c r="AL626" i="1"/>
  <c r="AL629" i="1"/>
  <c r="AL628" i="1"/>
  <c r="AL466" i="1"/>
  <c r="AL469" i="1"/>
  <c r="AL465" i="1"/>
  <c r="AL468" i="1"/>
  <c r="AL461" i="1"/>
  <c r="AL462" i="1"/>
  <c r="AL464" i="1"/>
  <c r="AL463" i="1"/>
  <c r="AL460" i="1"/>
  <c r="AL449" i="1"/>
  <c r="AL444" i="1"/>
  <c r="AL440" i="1"/>
  <c r="AL443" i="1"/>
  <c r="AL439" i="1"/>
  <c r="AL442" i="1"/>
  <c r="AL441" i="1"/>
  <c r="AL438" i="1"/>
  <c r="AL434" i="1"/>
  <c r="AL433" i="1"/>
  <c r="AL437" i="1"/>
  <c r="AL431" i="1"/>
  <c r="AL430" i="1"/>
  <c r="AL429" i="1"/>
  <c r="AL416" i="1"/>
  <c r="AL436" i="1"/>
  <c r="AL426" i="1"/>
  <c r="AL425" i="1"/>
  <c r="AL432" i="1"/>
  <c r="AL424" i="1"/>
  <c r="AL412" i="1"/>
  <c r="AL417" i="1"/>
  <c r="AL409" i="1"/>
  <c r="AL402" i="1"/>
  <c r="AL401" i="1"/>
  <c r="AL435" i="1"/>
  <c r="AL408" i="1"/>
  <c r="AL407" i="1"/>
  <c r="AL428" i="1"/>
  <c r="AL427" i="1"/>
  <c r="AL406" i="1"/>
  <c r="AL400" i="1"/>
  <c r="AL415" i="1"/>
  <c r="AL414" i="1"/>
  <c r="AL399" i="1"/>
  <c r="AL398" i="1"/>
  <c r="AL423" i="1"/>
  <c r="AL422" i="1"/>
  <c r="AL420" i="1"/>
  <c r="AL411" i="1"/>
  <c r="AL344" i="1"/>
  <c r="AL340" i="1"/>
  <c r="AL343" i="1"/>
  <c r="AL298" i="1"/>
  <c r="AL301" i="1"/>
  <c r="AL300" i="1"/>
  <c r="AL723" i="1"/>
  <c r="AL721" i="1"/>
  <c r="AL720" i="1"/>
  <c r="AL719" i="1"/>
  <c r="AL717" i="1"/>
  <c r="AL716" i="1"/>
  <c r="AL87" i="1"/>
  <c r="AL116" i="1"/>
  <c r="AL108" i="1"/>
  <c r="AL74" i="1"/>
  <c r="AL52" i="1"/>
  <c r="AL49" i="1"/>
  <c r="AL3193" i="1"/>
  <c r="AL73" i="1"/>
  <c r="AL3198" i="1"/>
  <c r="AL3197" i="1"/>
  <c r="AL3196" i="1"/>
  <c r="AL3195" i="1"/>
  <c r="AL3194" i="1"/>
  <c r="AL3192" i="1"/>
  <c r="AL3178" i="1"/>
  <c r="AL1614" i="1"/>
  <c r="AL1613" i="1"/>
  <c r="AL1612" i="1"/>
  <c r="AL3268" i="1"/>
  <c r="AL3251" i="1"/>
  <c r="AL3245" i="1"/>
  <c r="AL3240" i="1"/>
  <c r="AL3264" i="1"/>
  <c r="AL3250" i="1"/>
  <c r="AL3244" i="1"/>
  <c r="AL3236" i="1"/>
  <c r="AL3239" i="1"/>
  <c r="AL3261" i="1"/>
  <c r="AL3249" i="1"/>
  <c r="AL3243" i="1"/>
  <c r="AL3238" i="1"/>
  <c r="AL3256" i="1"/>
  <c r="AL3248" i="1"/>
  <c r="AL3242" i="1"/>
  <c r="AL3237" i="1"/>
  <c r="AL3255" i="1"/>
  <c r="AL3259" i="1"/>
  <c r="AL3257" i="1"/>
  <c r="AL3253" i="1"/>
  <c r="AL3266" i="1"/>
  <c r="AL3241" i="1"/>
  <c r="AL3252" i="1"/>
  <c r="AL3247" i="1"/>
  <c r="AL3235" i="1"/>
  <c r="AL3234" i="1"/>
  <c r="AL3001" i="1"/>
  <c r="AL3000" i="1"/>
  <c r="AL2606" i="1"/>
  <c r="AL2605" i="1"/>
  <c r="AL2604" i="1"/>
  <c r="AL2601" i="1"/>
  <c r="AL2600" i="1"/>
  <c r="AL2597" i="1"/>
  <c r="AL2595" i="1"/>
  <c r="AL2593" i="1"/>
  <c r="AL2592" i="1"/>
  <c r="AL2602" i="1"/>
  <c r="AL2598" i="1"/>
  <c r="AL2594" i="1"/>
  <c r="AL2589" i="1"/>
  <c r="AL2584" i="1"/>
  <c r="AL2576" i="1"/>
  <c r="AL2575" i="1"/>
  <c r="AL2574" i="1"/>
  <c r="AL2573" i="1"/>
  <c r="AL2572" i="1"/>
  <c r="AL2571" i="1"/>
  <c r="AL2570" i="1"/>
  <c r="AL2559" i="1"/>
  <c r="AL2569" i="1"/>
  <c r="AL2568" i="1"/>
  <c r="AL2567" i="1"/>
  <c r="AL2566" i="1"/>
  <c r="AL2565" i="1"/>
  <c r="AL2564" i="1"/>
  <c r="AL2563" i="1"/>
  <c r="AL2562" i="1"/>
  <c r="AL2561" i="1"/>
  <c r="AL2558" i="1"/>
  <c r="AL2560" i="1"/>
  <c r="AL2557" i="1"/>
  <c r="AL2556" i="1"/>
  <c r="AL2382" i="1"/>
  <c r="AL2381" i="1"/>
  <c r="AL2391" i="1"/>
  <c r="AL2378" i="1"/>
  <c r="AL2389" i="1"/>
  <c r="AL2377" i="1"/>
  <c r="AL2376" i="1"/>
  <c r="AL2388" i="1"/>
  <c r="AL2379" i="1"/>
  <c r="AL2392" i="1"/>
  <c r="AL2383" i="1"/>
  <c r="AL2387" i="1"/>
  <c r="AL2373" i="1"/>
  <c r="AL2338" i="1"/>
  <c r="AL2337" i="1"/>
  <c r="AL2335" i="1"/>
  <c r="AL2334" i="1"/>
  <c r="AL2339" i="1"/>
  <c r="AL2330" i="1"/>
  <c r="AL2336" i="1"/>
  <c r="AL2329" i="1"/>
  <c r="AL2333" i="1"/>
  <c r="AL2328" i="1"/>
  <c r="AL1834" i="1"/>
  <c r="AL1833" i="1"/>
  <c r="AL1832" i="1"/>
  <c r="AL1831" i="1"/>
  <c r="AL1830" i="1"/>
  <c r="AL1829" i="1"/>
  <c r="AL1835" i="1"/>
  <c r="AL1596" i="1"/>
  <c r="AL1599" i="1"/>
  <c r="AL1595" i="1"/>
  <c r="AL1560" i="1"/>
  <c r="AL1617" i="1"/>
  <c r="AL1494" i="1"/>
  <c r="AL1500" i="1"/>
  <c r="AL1496" i="1"/>
  <c r="AL1495" i="1"/>
  <c r="AL1158" i="1"/>
  <c r="AL1157" i="1"/>
  <c r="AL1161" i="1"/>
  <c r="AL1160" i="1"/>
  <c r="AL1159" i="1"/>
  <c r="AL1156" i="1"/>
  <c r="AL1155" i="1"/>
  <c r="AL1126" i="1"/>
  <c r="AL1116" i="1"/>
  <c r="AL1064" i="1"/>
  <c r="AL1063" i="1"/>
  <c r="AL1062" i="1"/>
  <c r="AL1061" i="1"/>
  <c r="AL1058" i="1"/>
  <c r="AL1060" i="1"/>
  <c r="AL1059" i="1"/>
  <c r="AL1115" i="1"/>
  <c r="AL1114" i="1"/>
  <c r="AL1100" i="1"/>
  <c r="AL1094" i="1"/>
  <c r="AL1113" i="1"/>
  <c r="AL1105" i="1"/>
  <c r="AL1112" i="1"/>
  <c r="AL1107" i="1"/>
  <c r="AL1095" i="1"/>
  <c r="AL1089" i="1"/>
  <c r="AL1088" i="1"/>
  <c r="AL859" i="1"/>
  <c r="AL858" i="1"/>
  <c r="AL857" i="1"/>
  <c r="AL813" i="1"/>
  <c r="AL804" i="1"/>
  <c r="AL848" i="1"/>
  <c r="AL799" i="1"/>
  <c r="AL762" i="1"/>
  <c r="AL760" i="1"/>
  <c r="AL754" i="1"/>
  <c r="AL749" i="1"/>
  <c r="AL764" i="1"/>
  <c r="AL747" i="1"/>
  <c r="AL746" i="1"/>
  <c r="AL761" i="1"/>
  <c r="AL759" i="1"/>
  <c r="AL748" i="1"/>
  <c r="AL742" i="1"/>
  <c r="AL709" i="1"/>
  <c r="AL707" i="1"/>
  <c r="AL706" i="1"/>
  <c r="AL705" i="1"/>
  <c r="AL708" i="1"/>
  <c r="AL704" i="1"/>
  <c r="AL712" i="1"/>
  <c r="AL713" i="1"/>
  <c r="AL710" i="1"/>
  <c r="AL711" i="1"/>
  <c r="AL703" i="1"/>
  <c r="AL702" i="1"/>
  <c r="AL695" i="1"/>
  <c r="AL696" i="1"/>
  <c r="AL694" i="1"/>
  <c r="AL693" i="1"/>
  <c r="AL692" i="1"/>
  <c r="AL691" i="1"/>
  <c r="AL690" i="1"/>
  <c r="AL689" i="1"/>
  <c r="AL688" i="1"/>
  <c r="AL687" i="1"/>
  <c r="AL686" i="1"/>
  <c r="AL685" i="1"/>
  <c r="AL684" i="1"/>
  <c r="AL683" i="1"/>
  <c r="AL682" i="1"/>
  <c r="AL681" i="1"/>
  <c r="AL680" i="1"/>
  <c r="AL679" i="1"/>
  <c r="AL678" i="1"/>
  <c r="AL677" i="1"/>
  <c r="AL676" i="1"/>
  <c r="AL675" i="1"/>
  <c r="AL697" i="1"/>
  <c r="AL674" i="1"/>
  <c r="AL673" i="1"/>
  <c r="AL672" i="1"/>
  <c r="AL671" i="1"/>
  <c r="AL670" i="1"/>
  <c r="AL391" i="1"/>
  <c r="AL390" i="1"/>
  <c r="AL389" i="1"/>
  <c r="AL386" i="1"/>
  <c r="AL382" i="1"/>
  <c r="AL380" i="1"/>
  <c r="AL379" i="1"/>
  <c r="AL353" i="1"/>
  <c r="AL364" i="1"/>
  <c r="AL363" i="1"/>
  <c r="AL333" i="1"/>
  <c r="AL361" i="1"/>
  <c r="AL360" i="1"/>
  <c r="AL388" i="1"/>
  <c r="AL355" i="1"/>
  <c r="AL356" i="1"/>
  <c r="AL347" i="1"/>
  <c r="AL384" i="1"/>
  <c r="AL319" i="1"/>
  <c r="AL383" i="1"/>
  <c r="AL318" i="1"/>
  <c r="AL381" i="1"/>
  <c r="AL377" i="1"/>
  <c r="AL367" i="1"/>
  <c r="AL313" i="1"/>
  <c r="AL317" i="1"/>
  <c r="AL316" i="1"/>
  <c r="AL345" i="1"/>
  <c r="AL331" i="1"/>
  <c r="AL297" i="1"/>
  <c r="AL296" i="1"/>
  <c r="AL295" i="1"/>
  <c r="AL294" i="1"/>
  <c r="AL293" i="1"/>
  <c r="AL292" i="1"/>
  <c r="AL220" i="1"/>
  <c r="AL219" i="1"/>
  <c r="AL218" i="1"/>
  <c r="AL217" i="1"/>
  <c r="AL192" i="1"/>
  <c r="AL215" i="1"/>
  <c r="AL213" i="1"/>
  <c r="AL210" i="1"/>
  <c r="AL205" i="1"/>
  <c r="AL203" i="1"/>
  <c r="AL202" i="1"/>
  <c r="AL200" i="1"/>
  <c r="AL195" i="1"/>
  <c r="AL212" i="1"/>
  <c r="AL193" i="1"/>
  <c r="AL191" i="1"/>
  <c r="AL208" i="1"/>
  <c r="AL199" i="1"/>
  <c r="AL332" i="1"/>
  <c r="AL211" i="1"/>
  <c r="AL209" i="1"/>
  <c r="AL190" i="1"/>
  <c r="AL150" i="1"/>
  <c r="AL148" i="1"/>
  <c r="AL147" i="1"/>
  <c r="AL141" i="1"/>
  <c r="AL138" i="1"/>
  <c r="AL134" i="1"/>
  <c r="AL131" i="1"/>
  <c r="AL1615" i="1"/>
  <c r="AL1606" i="1"/>
  <c r="AL1611" i="1"/>
  <c r="AL1608" i="1"/>
  <c r="AL1610" i="1"/>
  <c r="AL1616" i="1"/>
  <c r="AL1558" i="1"/>
  <c r="AL176" i="1"/>
  <c r="AL105" i="1"/>
  <c r="AL631" i="1"/>
  <c r="AL221" i="1"/>
  <c r="AL62" i="1"/>
  <c r="AL2674" i="1"/>
  <c r="AL519" i="1"/>
  <c r="AL518" i="1"/>
  <c r="AL517" i="1"/>
  <c r="AL516" i="1"/>
  <c r="AL515" i="1"/>
  <c r="AL473" i="1"/>
  <c r="AL545" i="1"/>
  <c r="AL542" i="1"/>
  <c r="AL541" i="1"/>
  <c r="AL532" i="1"/>
  <c r="AL531" i="1"/>
  <c r="AL539" i="1"/>
  <c r="AL535" i="1"/>
  <c r="AL2301" i="1"/>
  <c r="AL1980" i="1"/>
  <c r="AL2703" i="1"/>
  <c r="AL2702" i="1"/>
  <c r="AL2701" i="1"/>
  <c r="AL2700" i="1"/>
  <c r="AL2884" i="1"/>
  <c r="AL2859" i="1"/>
  <c r="AL2908" i="1"/>
  <c r="AL2883" i="1"/>
  <c r="AL2858" i="1"/>
  <c r="AL2699" i="1"/>
  <c r="AL2698" i="1"/>
  <c r="AL2973" i="1"/>
  <c r="AL2971" i="1"/>
  <c r="AL2969" i="1"/>
  <c r="AL2950" i="1"/>
  <c r="AL2929" i="1"/>
  <c r="AL2907" i="1"/>
  <c r="AL2882" i="1"/>
  <c r="AL2857" i="1"/>
  <c r="AL2697" i="1"/>
  <c r="AL2972" i="1"/>
  <c r="AL2970" i="1"/>
  <c r="AL2968" i="1"/>
  <c r="AL2949" i="1"/>
  <c r="AL2928" i="1"/>
  <c r="AL2906" i="1"/>
  <c r="AL2881" i="1"/>
  <c r="AL2856" i="1"/>
  <c r="AL2696" i="1"/>
  <c r="AL2695" i="1"/>
  <c r="AL2694" i="1"/>
  <c r="AL2948" i="1"/>
  <c r="AL2927" i="1"/>
  <c r="AL2905" i="1"/>
  <c r="AL2880" i="1"/>
  <c r="AL2855" i="1"/>
  <c r="AL2904" i="1"/>
  <c r="AL2879" i="1"/>
  <c r="AL2854" i="1"/>
  <c r="AL2749" i="1"/>
  <c r="AL2748" i="1"/>
  <c r="AL2747" i="1"/>
  <c r="AL2746" i="1"/>
  <c r="AL2903" i="1"/>
  <c r="AL2878" i="1"/>
  <c r="AL2853" i="1"/>
  <c r="AL2947" i="1"/>
  <c r="AL2926" i="1"/>
  <c r="AL2902" i="1"/>
  <c r="AL2877" i="1"/>
  <c r="AL2852" i="1"/>
  <c r="AL2967" i="1"/>
  <c r="AL2946" i="1"/>
  <c r="AL2925" i="1"/>
  <c r="AL2901" i="1"/>
  <c r="AL2876" i="1"/>
  <c r="AL2851" i="1"/>
  <c r="AL2693" i="1"/>
  <c r="AL2966" i="1"/>
  <c r="AL2945" i="1"/>
  <c r="AL2924" i="1"/>
  <c r="AL2900" i="1"/>
  <c r="AL2875" i="1"/>
  <c r="AL2850" i="1"/>
  <c r="AL2692" i="1"/>
  <c r="AL2965" i="1"/>
  <c r="AL2944" i="1"/>
  <c r="AL2923" i="1"/>
  <c r="AL2899" i="1"/>
  <c r="AL2874" i="1"/>
  <c r="AL2849" i="1"/>
  <c r="AL2691" i="1"/>
  <c r="AL2964" i="1"/>
  <c r="AL2943" i="1"/>
  <c r="AL2922" i="1"/>
  <c r="AL2898" i="1"/>
  <c r="AL2873" i="1"/>
  <c r="AL2848" i="1"/>
  <c r="AL2690" i="1"/>
  <c r="AL2963" i="1"/>
  <c r="AL2942" i="1"/>
  <c r="AL2921" i="1"/>
  <c r="AL2897" i="1"/>
  <c r="AL2872" i="1"/>
  <c r="AL2847" i="1"/>
  <c r="AL2689" i="1"/>
  <c r="AL2962" i="1"/>
  <c r="AL2941" i="1"/>
  <c r="AL2920" i="1"/>
  <c r="AL2896" i="1"/>
  <c r="AL2871" i="1"/>
  <c r="AL2846" i="1"/>
  <c r="AL2688" i="1"/>
  <c r="AL2961" i="1"/>
  <c r="AL2940" i="1"/>
  <c r="AL2919" i="1"/>
  <c r="AL2895" i="1"/>
  <c r="AL2870" i="1"/>
  <c r="AL2845" i="1"/>
  <c r="AL2687" i="1"/>
  <c r="AL2960" i="1"/>
  <c r="AL2939" i="1"/>
  <c r="AL2918" i="1"/>
  <c r="AL2894" i="1"/>
  <c r="AL2869" i="1"/>
  <c r="AL2844" i="1"/>
  <c r="AL2686" i="1"/>
  <c r="AL2959" i="1"/>
  <c r="AL2938" i="1"/>
  <c r="AL2917" i="1"/>
  <c r="AL2893" i="1"/>
  <c r="AL2868" i="1"/>
  <c r="AL2843" i="1"/>
  <c r="AL2685" i="1"/>
  <c r="AL2958" i="1"/>
  <c r="AL2937" i="1"/>
  <c r="AL2916" i="1"/>
  <c r="AL2892" i="1"/>
  <c r="AL2867" i="1"/>
  <c r="AL2842" i="1"/>
  <c r="AL2684" i="1"/>
  <c r="AL2957" i="1"/>
  <c r="AL2936" i="1"/>
  <c r="AL2915" i="1"/>
  <c r="AL2891" i="1"/>
  <c r="AL2866" i="1"/>
  <c r="AL2841" i="1"/>
  <c r="AL2683" i="1"/>
  <c r="AL2956" i="1"/>
  <c r="AL2935" i="1"/>
  <c r="AL2914" i="1"/>
  <c r="AL2890" i="1"/>
  <c r="AL2865" i="1"/>
  <c r="AL2840" i="1"/>
  <c r="AL2682" i="1"/>
  <c r="AL2955" i="1"/>
  <c r="AL2934" i="1"/>
  <c r="AL2913" i="1"/>
  <c r="AL2889" i="1"/>
  <c r="AL2864" i="1"/>
  <c r="AL2839" i="1"/>
  <c r="AL2681" i="1"/>
  <c r="AL2954" i="1"/>
  <c r="AL2933" i="1"/>
  <c r="AL2912" i="1"/>
  <c r="AL2888" i="1"/>
  <c r="AL2863" i="1"/>
  <c r="AL2838" i="1"/>
  <c r="AL2680" i="1"/>
  <c r="AL2953" i="1"/>
  <c r="AL2932" i="1"/>
  <c r="AL2911" i="1"/>
  <c r="AL2887" i="1"/>
  <c r="AL2862" i="1"/>
  <c r="AL2837" i="1"/>
  <c r="AL2679" i="1"/>
  <c r="AL2952" i="1"/>
  <c r="AL2931" i="1"/>
  <c r="AL2910" i="1"/>
  <c r="AL2886" i="1"/>
  <c r="AL2861" i="1"/>
  <c r="AL2836" i="1"/>
  <c r="AL2678" i="1"/>
  <c r="AL2951" i="1"/>
  <c r="AL2930" i="1"/>
  <c r="AL2909" i="1"/>
  <c r="AL2885" i="1"/>
  <c r="AL2860" i="1"/>
  <c r="AL2835" i="1"/>
  <c r="AL2677" i="1"/>
  <c r="AL2828" i="1"/>
  <c r="AL2821" i="1"/>
  <c r="AL2814" i="1"/>
  <c r="AL2807" i="1"/>
  <c r="AL2800" i="1"/>
  <c r="AL2793" i="1"/>
  <c r="AL2786" i="1"/>
  <c r="AL2827" i="1"/>
  <c r="AL2820" i="1"/>
  <c r="AL2813" i="1"/>
  <c r="AL2806" i="1"/>
  <c r="AL2799" i="1"/>
  <c r="AL2792" i="1"/>
  <c r="AL2785" i="1"/>
  <c r="AL2826" i="1"/>
  <c r="AL2819" i="1"/>
  <c r="AL2812" i="1"/>
  <c r="AL2805" i="1"/>
  <c r="AL2798" i="1"/>
  <c r="AL2791" i="1"/>
  <c r="AL2784" i="1"/>
  <c r="AL2825" i="1"/>
  <c r="AL2818" i="1"/>
  <c r="AL2811" i="1"/>
  <c r="AL2804" i="1"/>
  <c r="AL2797" i="1"/>
  <c r="AL2790" i="1"/>
  <c r="AL2783" i="1"/>
  <c r="AL2824" i="1"/>
  <c r="AL2817" i="1"/>
  <c r="AL2810" i="1"/>
  <c r="AL2803" i="1"/>
  <c r="AL2796" i="1"/>
  <c r="AL2789" i="1"/>
  <c r="AL2782" i="1"/>
  <c r="AL2823" i="1"/>
  <c r="AL2816" i="1"/>
  <c r="AL2809" i="1"/>
  <c r="AL2802" i="1"/>
  <c r="AL2795" i="1"/>
  <c r="AL2788" i="1"/>
  <c r="AL2781" i="1"/>
  <c r="AL2822" i="1"/>
  <c r="AL2815" i="1"/>
  <c r="AL2808" i="1"/>
  <c r="AL2801" i="1"/>
  <c r="AL2794" i="1"/>
  <c r="AL2787" i="1"/>
  <c r="AL2780" i="1"/>
  <c r="AL2777" i="1"/>
  <c r="AL2776" i="1"/>
  <c r="AL2775" i="1"/>
  <c r="AL2774" i="1"/>
  <c r="AL2773" i="1"/>
  <c r="AL2772" i="1"/>
  <c r="AL2771" i="1"/>
  <c r="AL2770" i="1"/>
  <c r="AL2769" i="1"/>
  <c r="AL2768" i="1"/>
  <c r="AL2767" i="1"/>
  <c r="AL2766" i="1"/>
  <c r="AL2765" i="1"/>
  <c r="AL2764" i="1"/>
  <c r="AL2763" i="1"/>
  <c r="AL2762" i="1"/>
  <c r="AL2761" i="1"/>
  <c r="AL2760" i="1"/>
  <c r="AL2759" i="1"/>
  <c r="AL2758" i="1"/>
  <c r="AL2757" i="1"/>
  <c r="AL2756" i="1"/>
  <c r="AL2755" i="1"/>
  <c r="AL2754" i="1"/>
  <c r="AL2753" i="1"/>
  <c r="AL2752" i="1"/>
  <c r="AL2751" i="1"/>
  <c r="AL2750" i="1"/>
  <c r="AL1504" i="1"/>
  <c r="AL1503" i="1"/>
  <c r="AL2282" i="1"/>
  <c r="AL2291" i="1"/>
  <c r="AL2290" i="1"/>
  <c r="AL2289" i="1"/>
  <c r="AL2288" i="1"/>
  <c r="AL2287" i="1"/>
  <c r="AL2286" i="1"/>
  <c r="AL2285" i="1"/>
  <c r="AL2284" i="1"/>
  <c r="AL2283" i="1"/>
  <c r="AL2278" i="1"/>
  <c r="AL2271" i="1"/>
  <c r="AL2294" i="1"/>
  <c r="AL1888" i="1"/>
  <c r="AL2268" i="1"/>
  <c r="AL1887" i="1"/>
  <c r="AL1886" i="1"/>
  <c r="AL2211" i="1"/>
  <c r="AL1892" i="1"/>
  <c r="AL1936" i="1"/>
  <c r="AL2166" i="1"/>
  <c r="AL1924" i="1"/>
  <c r="AL1929" i="1"/>
  <c r="AL1928" i="1"/>
  <c r="AL1927" i="1"/>
  <c r="AL2163" i="1"/>
  <c r="AL2159" i="1"/>
  <c r="AL2100" i="1"/>
  <c r="AL2137" i="1"/>
  <c r="AL2136" i="1"/>
  <c r="AL2135" i="1"/>
  <c r="AL2134" i="1"/>
  <c r="AL2133" i="1"/>
  <c r="AL2113" i="1"/>
  <c r="AL2112" i="1"/>
  <c r="AL2111" i="1"/>
  <c r="AL2110" i="1"/>
  <c r="AL2109" i="1"/>
  <c r="AL2156" i="1"/>
  <c r="AL2155" i="1"/>
  <c r="AL2154" i="1"/>
  <c r="AL2153" i="1"/>
  <c r="AL2152" i="1"/>
  <c r="AL2150" i="1"/>
  <c r="AL2149" i="1"/>
  <c r="AL2148" i="1"/>
  <c r="AL2147" i="1"/>
  <c r="AL2146" i="1"/>
  <c r="AL1882" i="1"/>
  <c r="AL2064" i="1"/>
  <c r="AL2063" i="1"/>
  <c r="AL2062" i="1"/>
  <c r="AL2061" i="1"/>
  <c r="AL2060" i="1"/>
  <c r="AL2059" i="1"/>
  <c r="AL2058" i="1"/>
  <c r="AL2057" i="1"/>
  <c r="AL2056" i="1"/>
  <c r="AL2042" i="1"/>
  <c r="AL2041" i="1"/>
  <c r="AL2040" i="1"/>
  <c r="AL2028" i="1"/>
  <c r="AL2020" i="1"/>
  <c r="AL2019" i="1"/>
  <c r="AL1901" i="1"/>
  <c r="AL1902" i="1"/>
  <c r="AL2011" i="1"/>
  <c r="AL1880" i="1"/>
  <c r="AL1879" i="1"/>
  <c r="AL1994" i="1"/>
  <c r="AL1984" i="1"/>
  <c r="AL1983" i="1"/>
  <c r="AL1978" i="1"/>
  <c r="AL1944" i="1"/>
  <c r="AL1942" i="1"/>
  <c r="AL1940" i="1"/>
  <c r="AL1933" i="1"/>
  <c r="AL1932" i="1"/>
  <c r="AL1943" i="1"/>
  <c r="AL1941" i="1"/>
  <c r="AL1939" i="1"/>
  <c r="AL1937" i="1"/>
  <c r="AL1919" i="1"/>
  <c r="AL1917" i="1"/>
  <c r="AL2095" i="1"/>
  <c r="AL2082" i="1"/>
  <c r="AL2081" i="1"/>
  <c r="AL2080" i="1"/>
  <c r="AL582" i="1"/>
  <c r="AL572" i="1"/>
  <c r="AL513" i="1"/>
  <c r="AL548" i="1"/>
  <c r="AL568" i="1"/>
  <c r="AL567" i="1"/>
  <c r="AL565" i="1"/>
  <c r="AL555" i="1"/>
  <c r="AL573" i="1"/>
  <c r="AL514" i="1"/>
  <c r="AL526" i="1"/>
  <c r="AL525" i="1"/>
  <c r="AL574" i="1"/>
  <c r="AL524" i="1"/>
  <c r="AL575" i="1"/>
  <c r="AL501" i="1"/>
  <c r="AL576" i="1"/>
  <c r="AL496" i="1"/>
  <c r="AL46" i="1"/>
  <c r="AL1609" i="1"/>
  <c r="AL498" i="1"/>
  <c r="AL2106" i="1"/>
  <c r="AL2151" i="1"/>
  <c r="AL45" i="1"/>
  <c r="AL44" i="1"/>
  <c r="AL2728" i="1"/>
  <c r="AL43" i="1"/>
  <c r="AL3177" i="1"/>
  <c r="AL2830" i="1"/>
  <c r="AL2727" i="1"/>
  <c r="AL42" i="1"/>
  <c r="AL1038" i="1"/>
  <c r="AL1048" i="1"/>
  <c r="AL1046" i="1"/>
  <c r="AL1047" i="1"/>
  <c r="AL41" i="1"/>
  <c r="AL2726" i="1"/>
  <c r="AL2729" i="1"/>
  <c r="AL2725" i="1"/>
  <c r="AL2975" i="1"/>
  <c r="AL40" i="1"/>
  <c r="AL39" i="1"/>
  <c r="AL38" i="1"/>
  <c r="AL37" i="1"/>
  <c r="AL490" i="1"/>
  <c r="AL523" i="1"/>
  <c r="AL489" i="1"/>
  <c r="AL36" i="1"/>
  <c r="AL35" i="1"/>
  <c r="AL34" i="1"/>
  <c r="AL603" i="1"/>
  <c r="AL1003" i="1"/>
  <c r="AL1002" i="1"/>
  <c r="AL999" i="1"/>
  <c r="AL998" i="1"/>
  <c r="AL997" i="1"/>
  <c r="AL996" i="1"/>
  <c r="AL995" i="1"/>
  <c r="AL994" i="1"/>
  <c r="AL992" i="1"/>
  <c r="AL1000" i="1"/>
  <c r="AL993" i="1"/>
  <c r="AL1004" i="1"/>
  <c r="AL2219" i="1"/>
  <c r="AL989" i="1"/>
  <c r="AL33" i="1"/>
  <c r="AL577" i="1"/>
  <c r="AL32" i="1"/>
  <c r="AL31" i="1"/>
  <c r="AL30" i="1"/>
  <c r="AL29" i="1"/>
  <c r="AL488" i="1"/>
  <c r="AL2372" i="1"/>
  <c r="AL28" i="1"/>
  <c r="AL1893" i="1"/>
  <c r="AL27" i="1"/>
  <c r="AL26" i="1"/>
  <c r="AL1894" i="1"/>
  <c r="AL1945" i="1"/>
  <c r="AL25" i="1"/>
  <c r="AL990" i="1"/>
  <c r="AL991" i="1"/>
  <c r="AL2105" i="1"/>
  <c r="AL2132" i="1"/>
  <c r="AL24" i="1"/>
  <c r="AL1690" i="1"/>
  <c r="AL1635" i="1"/>
  <c r="AL1622" i="1"/>
  <c r="AL23" i="1"/>
  <c r="AL1589" i="1"/>
  <c r="AL22" i="1"/>
  <c r="AL528" i="1"/>
  <c r="AL21" i="1"/>
  <c r="AL2116" i="1"/>
  <c r="AL2115" i="1"/>
  <c r="AL2073" i="1"/>
  <c r="AL2114" i="1"/>
  <c r="AL2074" i="1"/>
  <c r="AL1104" i="1"/>
  <c r="AL499" i="1"/>
  <c r="AL20" i="1"/>
  <c r="AL874" i="1"/>
  <c r="AL1087" i="1"/>
  <c r="AL1078" i="1"/>
  <c r="AL1056" i="1"/>
  <c r="AL1033" i="1"/>
  <c r="AL1020" i="1"/>
  <c r="AL1018" i="1"/>
  <c r="AL987" i="1"/>
  <c r="AL929" i="1"/>
  <c r="AL928" i="1"/>
  <c r="AL927" i="1"/>
  <c r="AL926" i="1"/>
  <c r="AL925" i="1"/>
  <c r="AL921" i="1"/>
  <c r="AL897" i="1"/>
  <c r="AL896" i="1"/>
  <c r="AL895" i="1"/>
  <c r="AL893" i="1"/>
  <c r="AL875" i="1"/>
  <c r="AL949" i="1"/>
  <c r="AL948" i="1"/>
  <c r="AL944" i="1"/>
  <c r="AL943" i="1"/>
  <c r="AL931" i="1"/>
  <c r="AL942" i="1"/>
  <c r="AL941" i="1"/>
  <c r="AL940" i="1"/>
  <c r="AL939" i="1"/>
  <c r="AL938" i="1"/>
  <c r="AL937" i="1"/>
  <c r="AL936" i="1"/>
  <c r="AL935" i="1"/>
  <c r="AL934" i="1"/>
  <c r="AL952" i="1"/>
  <c r="AL933" i="1"/>
  <c r="AL932" i="1"/>
  <c r="AL889" i="1"/>
  <c r="AL888" i="1"/>
  <c r="AL887" i="1"/>
  <c r="AL1120" i="1"/>
  <c r="AL1119" i="1"/>
  <c r="AL1118" i="1"/>
  <c r="AL1117" i="1"/>
  <c r="AL1111" i="1"/>
  <c r="AL1110" i="1"/>
  <c r="AL1109" i="1"/>
  <c r="AL1106" i="1"/>
  <c r="AL1103" i="1"/>
  <c r="AL1099" i="1"/>
  <c r="AL1097" i="1"/>
  <c r="AL1096" i="1"/>
  <c r="AL1092" i="1"/>
  <c r="AL1091" i="1"/>
  <c r="AL1108" i="1"/>
  <c r="AL1090" i="1"/>
  <c r="AL988" i="1"/>
  <c r="AL967" i="1"/>
  <c r="AL964" i="1"/>
  <c r="AL946" i="1"/>
  <c r="AL947" i="1"/>
  <c r="AL945" i="1"/>
  <c r="AL1600" i="1"/>
  <c r="AL19" i="1"/>
  <c r="AL18" i="1"/>
  <c r="AL552" i="1"/>
  <c r="AL2497" i="1"/>
  <c r="AL17" i="1"/>
  <c r="AL2039" i="1"/>
  <c r="AL2038" i="1"/>
  <c r="AL2037" i="1"/>
  <c r="AL2036" i="1"/>
  <c r="AL2035" i="1"/>
  <c r="AL2034" i="1"/>
  <c r="AL1279" i="1"/>
  <c r="AL3414" i="1"/>
  <c r="AL2018" i="1"/>
  <c r="AL16" i="1"/>
  <c r="AL15" i="1"/>
  <c r="AL521" i="1"/>
  <c r="AL2104" i="1"/>
  <c r="AL2103" i="1"/>
  <c r="AL2122" i="1"/>
  <c r="AL14" i="1"/>
  <c r="AL13" i="1"/>
  <c r="AL3413" i="1"/>
  <c r="AL502" i="1"/>
  <c r="AL12" i="1"/>
  <c r="AL11" i="1"/>
  <c r="AL2102" i="1"/>
  <c r="AL894" i="1"/>
  <c r="AL10" i="1"/>
  <c r="AL2724" i="1"/>
  <c r="AL2723" i="1"/>
  <c r="AL500" i="1"/>
  <c r="AL497" i="1"/>
  <c r="AL1963" i="1"/>
  <c r="AL9" i="1"/>
  <c r="AL222" i="1"/>
  <c r="AL8" i="1"/>
  <c r="AL7" i="1"/>
  <c r="AL6" i="1"/>
  <c r="AL5" i="1"/>
  <c r="AL495" i="1"/>
  <c r="AL4" i="1"/>
  <c r="AL3" i="1"/>
  <c r="AL1914" i="1"/>
  <c r="AL1601" i="1"/>
  <c r="AL1903" i="1"/>
  <c r="AL3412" i="1"/>
  <c r="AL494" i="1"/>
  <c r="AL492" i="1"/>
  <c r="AL550" i="1"/>
  <c r="AL543" i="1"/>
  <c r="AL537" i="1"/>
  <c r="AL536" i="1"/>
  <c r="AL530" i="1"/>
  <c r="AL1194" i="1"/>
  <c r="AL1192" i="1"/>
  <c r="AL1190" i="1"/>
  <c r="AL1188" i="1"/>
  <c r="AL1186" i="1"/>
  <c r="AL1184" i="1"/>
  <c r="AL1182" i="1"/>
  <c r="AL1180" i="1"/>
  <c r="AL1176" i="1"/>
  <c r="AL527" i="1"/>
  <c r="AH494" i="1"/>
  <c r="AH1903" i="1"/>
  <c r="I1601" i="1"/>
  <c r="F1601" i="1" s="1"/>
  <c r="I1914" i="1"/>
  <c r="F1914" i="1" s="1"/>
  <c r="I3" i="1"/>
  <c r="F3" i="1" s="1"/>
  <c r="I4" i="1"/>
  <c r="F4" i="1" s="1"/>
  <c r="I5" i="1"/>
  <c r="F5" i="1" s="1"/>
  <c r="I6" i="1"/>
  <c r="F6" i="1" s="1"/>
  <c r="I7" i="1"/>
  <c r="F7" i="1" s="1"/>
  <c r="I8" i="1"/>
  <c r="F8" i="1" s="1"/>
  <c r="I222" i="1"/>
  <c r="F222" i="1" s="1"/>
  <c r="I9" i="1"/>
  <c r="F9" i="1" s="1"/>
  <c r="I2723" i="1"/>
  <c r="F2723" i="1" s="1"/>
  <c r="I2724" i="1"/>
  <c r="F2724" i="1" s="1"/>
  <c r="I10" i="1"/>
  <c r="F10" i="1" s="1"/>
  <c r="I894" i="1"/>
  <c r="F894" i="1" s="1"/>
  <c r="I2102" i="1"/>
  <c r="F2102" i="1" s="1"/>
  <c r="I11" i="1"/>
  <c r="F11" i="1" s="1"/>
  <c r="I12" i="1"/>
  <c r="F12" i="1" s="1"/>
  <c r="I13" i="1"/>
  <c r="F13" i="1" s="1"/>
  <c r="I14" i="1"/>
  <c r="F14" i="1" s="1"/>
  <c r="I2103" i="1"/>
  <c r="F2103" i="1" s="1"/>
  <c r="I2104" i="1"/>
  <c r="F2104" i="1" s="1"/>
  <c r="I15" i="1"/>
  <c r="F15" i="1" s="1"/>
  <c r="I16" i="1"/>
  <c r="F16" i="1" s="1"/>
  <c r="I1279" i="1"/>
  <c r="F1279" i="1" s="1"/>
  <c r="I17" i="1"/>
  <c r="F17" i="1" s="1"/>
  <c r="I2497" i="1"/>
  <c r="F2497" i="1" s="1"/>
  <c r="I18" i="1"/>
  <c r="F18" i="1" s="1"/>
  <c r="I19" i="1"/>
  <c r="F19" i="1" s="1"/>
  <c r="I1600" i="1"/>
  <c r="F1600" i="1" s="1"/>
  <c r="I874" i="1"/>
  <c r="F874" i="1" s="1"/>
  <c r="I20" i="1"/>
  <c r="F20" i="1" s="1"/>
  <c r="I21" i="1"/>
  <c r="F21" i="1" s="1"/>
  <c r="I528" i="1"/>
  <c r="F528" i="1" s="1"/>
  <c r="I22" i="1"/>
  <c r="F22" i="1" s="1"/>
  <c r="I1589" i="1"/>
  <c r="F1589" i="1" s="1"/>
  <c r="I23" i="1"/>
  <c r="F23" i="1" s="1"/>
  <c r="I1622" i="1"/>
  <c r="F1622" i="1" s="1"/>
  <c r="I1635" i="1"/>
  <c r="F1635" i="1" s="1"/>
  <c r="I1690" i="1"/>
  <c r="F1690" i="1" s="1"/>
  <c r="I24" i="1"/>
  <c r="F24" i="1" s="1"/>
  <c r="I2105" i="1"/>
  <c r="F2105" i="1" s="1"/>
  <c r="I25" i="1"/>
  <c r="F25" i="1" s="1"/>
  <c r="I1894" i="1"/>
  <c r="F1894" i="1" s="1"/>
  <c r="I26" i="1"/>
  <c r="F26" i="1" s="1"/>
  <c r="I27" i="1"/>
  <c r="F27" i="1" s="1"/>
  <c r="I28" i="1"/>
  <c r="F28" i="1" s="1"/>
  <c r="I488" i="1"/>
  <c r="F488" i="1" s="1"/>
  <c r="I29" i="1"/>
  <c r="F29" i="1" s="1"/>
  <c r="I30" i="1"/>
  <c r="F30" i="1" s="1"/>
  <c r="I31" i="1"/>
  <c r="F31" i="1" s="1"/>
  <c r="I32" i="1"/>
  <c r="F32" i="1" s="1"/>
  <c r="I33" i="1"/>
  <c r="F33" i="1" s="1"/>
  <c r="I2219" i="1"/>
  <c r="F2219" i="1" s="1"/>
  <c r="I34" i="1"/>
  <c r="F34" i="1" s="1"/>
  <c r="I35" i="1"/>
  <c r="F35" i="1" s="1"/>
  <c r="I36" i="1"/>
  <c r="F36" i="1" s="1"/>
  <c r="I489" i="1"/>
  <c r="F489" i="1" s="1"/>
  <c r="I490" i="1"/>
  <c r="F490" i="1" s="1"/>
  <c r="I37" i="1"/>
  <c r="F37" i="1" s="1"/>
  <c r="I38" i="1"/>
  <c r="F38" i="1" s="1"/>
  <c r="I39" i="1"/>
  <c r="F39" i="1" s="1"/>
  <c r="I40" i="1"/>
  <c r="F40" i="1" s="1"/>
  <c r="I2725" i="1"/>
  <c r="F2725" i="1" s="1"/>
  <c r="I2729" i="1"/>
  <c r="F2729" i="1" s="1"/>
  <c r="I2726" i="1"/>
  <c r="F2726" i="1" s="1"/>
  <c r="I41" i="1"/>
  <c r="F41" i="1" s="1"/>
  <c r="I42" i="1"/>
  <c r="F42" i="1" s="1"/>
  <c r="I2727" i="1"/>
  <c r="F2727" i="1" s="1"/>
  <c r="I2830" i="1"/>
  <c r="F2830" i="1" s="1"/>
  <c r="I3177" i="1"/>
  <c r="F3177" i="1" s="1"/>
  <c r="I43" i="1"/>
  <c r="F43" i="1" s="1"/>
  <c r="I2728" i="1"/>
  <c r="F2728" i="1" s="1"/>
  <c r="I44" i="1"/>
  <c r="F44" i="1" s="1"/>
  <c r="I45" i="1"/>
  <c r="F45" i="1" s="1"/>
  <c r="I2106" i="1"/>
  <c r="F2106" i="1" s="1"/>
  <c r="I1609" i="1"/>
  <c r="F1609" i="1" s="1"/>
  <c r="I46" i="1"/>
  <c r="F46" i="1" s="1"/>
  <c r="K1601" i="1"/>
  <c r="K1914" i="1"/>
  <c r="K3" i="1"/>
  <c r="K4" i="1"/>
  <c r="K5" i="1"/>
  <c r="K6" i="1"/>
  <c r="K7" i="1"/>
  <c r="K8" i="1"/>
  <c r="K222" i="1"/>
  <c r="K9" i="1"/>
  <c r="K2723" i="1"/>
  <c r="K2724" i="1"/>
  <c r="K10" i="1"/>
  <c r="K894" i="1"/>
  <c r="K2102" i="1"/>
  <c r="K11" i="1"/>
  <c r="K12" i="1"/>
  <c r="K13" i="1"/>
  <c r="K14" i="1"/>
  <c r="K2103" i="1"/>
  <c r="K2104" i="1"/>
  <c r="K15" i="1"/>
  <c r="K16" i="1"/>
  <c r="K1279" i="1"/>
  <c r="K17" i="1"/>
  <c r="K2497" i="1"/>
  <c r="K18" i="1"/>
  <c r="K19" i="1"/>
  <c r="K1600" i="1"/>
  <c r="K874" i="1"/>
  <c r="K20" i="1"/>
  <c r="K21" i="1"/>
  <c r="K528" i="1"/>
  <c r="K22" i="1"/>
  <c r="K1589" i="1"/>
  <c r="K23" i="1"/>
  <c r="K1622" i="1"/>
  <c r="K1635" i="1"/>
  <c r="K1690" i="1"/>
  <c r="K24" i="1"/>
  <c r="K2105" i="1"/>
  <c r="K25" i="1"/>
  <c r="K1894" i="1"/>
  <c r="K26" i="1"/>
  <c r="K27" i="1"/>
  <c r="K28" i="1"/>
  <c r="K488" i="1"/>
  <c r="K29" i="1"/>
  <c r="K30" i="1"/>
  <c r="K31" i="1"/>
  <c r="K32" i="1"/>
  <c r="K33" i="1"/>
  <c r="K2219" i="1"/>
  <c r="K34" i="1"/>
  <c r="K35" i="1"/>
  <c r="K36" i="1"/>
  <c r="K489" i="1"/>
  <c r="K490" i="1"/>
  <c r="K37" i="1"/>
  <c r="K38" i="1"/>
  <c r="K39" i="1"/>
  <c r="K40" i="1"/>
  <c r="K2725" i="1"/>
  <c r="K2729" i="1"/>
  <c r="K2726" i="1"/>
  <c r="K41" i="1"/>
  <c r="K42" i="1"/>
  <c r="K2727" i="1"/>
  <c r="K2830" i="1"/>
  <c r="K3177" i="1"/>
  <c r="K43" i="1"/>
  <c r="K2728" i="1"/>
  <c r="K44" i="1"/>
  <c r="K45" i="1"/>
  <c r="K2106" i="1"/>
  <c r="K1609" i="1"/>
  <c r="K46" i="1"/>
  <c r="Q1601" i="1"/>
  <c r="Q1914" i="1"/>
  <c r="Q3" i="1"/>
  <c r="Q4" i="1"/>
  <c r="Q5" i="1"/>
  <c r="Q6" i="1"/>
  <c r="Q7" i="1"/>
  <c r="Q8" i="1"/>
  <c r="Q222" i="1"/>
  <c r="Q9" i="1"/>
  <c r="Q2723" i="1"/>
  <c r="Q2724" i="1"/>
  <c r="Q10" i="1"/>
  <c r="Q894" i="1"/>
  <c r="Q2102" i="1"/>
  <c r="Q11" i="1"/>
  <c r="Q12" i="1"/>
  <c r="Q13" i="1"/>
  <c r="Q14" i="1"/>
  <c r="Q2103" i="1"/>
  <c r="Q2104" i="1"/>
  <c r="Q15" i="1"/>
  <c r="Q16" i="1"/>
  <c r="Q1279" i="1"/>
  <c r="Q17" i="1"/>
  <c r="Q2497" i="1"/>
  <c r="Q18" i="1"/>
  <c r="Q19" i="1"/>
  <c r="Q1600" i="1"/>
  <c r="Q874" i="1"/>
  <c r="Q20" i="1"/>
  <c r="Q21" i="1"/>
  <c r="Q528" i="1"/>
  <c r="Q22" i="1"/>
  <c r="Q1589" i="1"/>
  <c r="Q23" i="1"/>
  <c r="Q1622" i="1"/>
  <c r="Q1635" i="1"/>
  <c r="Q1690" i="1"/>
  <c r="Q24" i="1"/>
  <c r="Q2105" i="1"/>
  <c r="Q25" i="1"/>
  <c r="Q1894" i="1"/>
  <c r="Q26" i="1"/>
  <c r="Q27" i="1"/>
  <c r="Q28" i="1"/>
  <c r="Q488" i="1"/>
  <c r="Q29" i="1"/>
  <c r="Q30" i="1"/>
  <c r="Q31" i="1"/>
  <c r="Q32" i="1"/>
  <c r="Q33" i="1"/>
  <c r="Q2219" i="1"/>
  <c r="Q34" i="1"/>
  <c r="Q35" i="1"/>
  <c r="Q36" i="1"/>
  <c r="Q489" i="1"/>
  <c r="Q490" i="1"/>
  <c r="Q37" i="1"/>
  <c r="Q38" i="1"/>
  <c r="Q39" i="1"/>
  <c r="Q40" i="1"/>
  <c r="Q2725" i="1"/>
  <c r="Q2729" i="1"/>
  <c r="Q2726" i="1"/>
  <c r="Q41" i="1"/>
  <c r="Q42" i="1"/>
  <c r="Q2727" i="1"/>
  <c r="Q2830" i="1"/>
  <c r="Q3177" i="1"/>
  <c r="Q43" i="1"/>
  <c r="Q2728" i="1"/>
  <c r="Q44" i="1"/>
  <c r="Q45" i="1"/>
  <c r="Q2106" i="1"/>
  <c r="Q1609" i="1"/>
  <c r="Q46" i="1"/>
  <c r="AH1601" i="1"/>
  <c r="AH1914" i="1"/>
  <c r="AH3" i="1"/>
  <c r="AH4" i="1"/>
  <c r="AH5" i="1"/>
  <c r="AH6" i="1"/>
  <c r="AH7" i="1"/>
  <c r="AH8" i="1"/>
  <c r="AH222" i="1"/>
  <c r="AH9" i="1"/>
  <c r="AH2723" i="1"/>
  <c r="AH2724" i="1"/>
  <c r="AH10" i="1"/>
  <c r="AH894" i="1"/>
  <c r="AH2102" i="1"/>
  <c r="AH11" i="1"/>
  <c r="AH12" i="1"/>
  <c r="AH13" i="1"/>
  <c r="AH14" i="1"/>
  <c r="AH2103" i="1"/>
  <c r="AH2104" i="1"/>
  <c r="AH15" i="1"/>
  <c r="AH16" i="1"/>
  <c r="AH1279" i="1"/>
  <c r="AH17" i="1"/>
  <c r="AH2497" i="1"/>
  <c r="AH18" i="1"/>
  <c r="AH19" i="1"/>
  <c r="AH1600" i="1"/>
  <c r="AH874" i="1"/>
  <c r="AH20" i="1"/>
  <c r="AH21" i="1"/>
  <c r="AH528" i="1"/>
  <c r="AH22" i="1"/>
  <c r="AH1589" i="1"/>
  <c r="AH23" i="1"/>
  <c r="AH1618" i="1"/>
  <c r="AH1635" i="1"/>
  <c r="AH1690" i="1"/>
  <c r="AH24" i="1"/>
  <c r="AH2105" i="1"/>
  <c r="AH25" i="1"/>
  <c r="AH1894" i="1"/>
  <c r="AH26" i="1"/>
  <c r="AH27" i="1"/>
  <c r="AH28" i="1"/>
  <c r="AH488" i="1"/>
  <c r="AH29" i="1"/>
  <c r="AH30" i="1"/>
  <c r="AH31" i="1"/>
  <c r="AH32" i="1"/>
  <c r="AH33" i="1"/>
  <c r="AH2219" i="1"/>
  <c r="AH34" i="1"/>
  <c r="AH35" i="1"/>
  <c r="AH36" i="1"/>
  <c r="AH489" i="1"/>
  <c r="AH490" i="1"/>
  <c r="AH37" i="1"/>
  <c r="AH38" i="1"/>
  <c r="AH39" i="1"/>
  <c r="AH40" i="1"/>
  <c r="AH2725" i="1"/>
  <c r="AH2729" i="1"/>
  <c r="AH2726" i="1"/>
  <c r="AH41" i="1"/>
  <c r="AH42" i="1"/>
  <c r="AH2727" i="1"/>
  <c r="AH2830" i="1"/>
  <c r="AH3177" i="1"/>
  <c r="AH43" i="1"/>
  <c r="AH2728" i="1"/>
  <c r="AH44" i="1"/>
  <c r="AH45" i="1"/>
  <c r="AH2106" i="1"/>
  <c r="AH1609" i="1"/>
  <c r="AH46" i="1"/>
  <c r="I574" i="1"/>
  <c r="F574" i="1" s="1"/>
  <c r="I576" i="1"/>
  <c r="F576" i="1" s="1"/>
  <c r="I555" i="1"/>
  <c r="F555" i="1" s="1"/>
  <c r="I567" i="1"/>
  <c r="F567" i="1" s="1"/>
  <c r="I575" i="1"/>
  <c r="F575" i="1" s="1"/>
  <c r="I501" i="1"/>
  <c r="F501" i="1" s="1"/>
  <c r="I527" i="1"/>
  <c r="F527" i="1" s="1"/>
  <c r="I524" i="1"/>
  <c r="F524" i="1" s="1"/>
  <c r="I494" i="1"/>
  <c r="F494" i="1" s="1"/>
  <c r="I473" i="1"/>
  <c r="F473" i="1" s="1"/>
  <c r="I502" i="1"/>
  <c r="F502" i="1" s="1"/>
  <c r="I499" i="1"/>
  <c r="F499" i="1" s="1"/>
  <c r="I577" i="1"/>
  <c r="F577" i="1" s="1"/>
  <c r="I526" i="1"/>
  <c r="F526" i="1" s="1"/>
  <c r="I498" i="1"/>
  <c r="F498" i="1" s="1"/>
  <c r="I568" i="1"/>
  <c r="F568" i="1" s="1"/>
  <c r="I513" i="1"/>
  <c r="F513" i="1" s="1"/>
  <c r="I514" i="1"/>
  <c r="F514" i="1" s="1"/>
  <c r="I572" i="1"/>
  <c r="F572" i="1" s="1"/>
  <c r="I573" i="1"/>
  <c r="F573" i="1" s="1"/>
  <c r="I496" i="1"/>
  <c r="F496" i="1" s="1"/>
  <c r="I565" i="1"/>
  <c r="F565" i="1" s="1"/>
  <c r="I548" i="1"/>
  <c r="F548" i="1" s="1"/>
  <c r="I525" i="1"/>
  <c r="F525" i="1" s="1"/>
  <c r="I582" i="1"/>
  <c r="F582" i="1" s="1"/>
  <c r="I2095" i="1"/>
  <c r="F2095" i="1" s="1"/>
  <c r="I2081" i="1"/>
  <c r="F2081" i="1" s="1"/>
  <c r="I2080" i="1"/>
  <c r="F2080" i="1" s="1"/>
  <c r="I2082" i="1"/>
  <c r="F2082" i="1" s="1"/>
  <c r="I1928" i="1"/>
  <c r="F1928" i="1" s="1"/>
  <c r="I2056" i="1"/>
  <c r="F2056" i="1" s="1"/>
  <c r="I2057" i="1"/>
  <c r="F2057" i="1" s="1"/>
  <c r="I2058" i="1"/>
  <c r="F2058" i="1" s="1"/>
  <c r="I2059" i="1"/>
  <c r="F2059" i="1" s="1"/>
  <c r="I2060" i="1"/>
  <c r="F2060" i="1" s="1"/>
  <c r="I2061" i="1"/>
  <c r="F2061" i="1" s="1"/>
  <c r="I2062" i="1"/>
  <c r="F2062" i="1" s="1"/>
  <c r="I2063" i="1"/>
  <c r="F2063" i="1" s="1"/>
  <c r="I2064" i="1"/>
  <c r="F2064" i="1" s="1"/>
  <c r="I2283" i="1"/>
  <c r="F2283" i="1" s="1"/>
  <c r="I2284" i="1"/>
  <c r="F2284" i="1" s="1"/>
  <c r="I2285" i="1"/>
  <c r="F2285" i="1" s="1"/>
  <c r="I2286" i="1"/>
  <c r="F2286" i="1" s="1"/>
  <c r="I2287" i="1"/>
  <c r="F2287" i="1" s="1"/>
  <c r="I2288" i="1"/>
  <c r="F2288" i="1" s="1"/>
  <c r="I2289" i="1"/>
  <c r="F2289" i="1" s="1"/>
  <c r="I2290" i="1"/>
  <c r="F2290" i="1" s="1"/>
  <c r="I2291" i="1"/>
  <c r="F2291" i="1" s="1"/>
  <c r="I1924" i="1"/>
  <c r="F1924" i="1" s="1"/>
  <c r="I2020" i="1"/>
  <c r="F2020" i="1" s="1"/>
  <c r="I1984" i="1"/>
  <c r="F1984" i="1" s="1"/>
  <c r="I2028" i="1"/>
  <c r="F2028" i="1" s="1"/>
  <c r="I2019" i="1"/>
  <c r="F2019" i="1" s="1"/>
  <c r="I2294" i="1"/>
  <c r="F2294" i="1" s="1"/>
  <c r="I1902" i="1"/>
  <c r="F1902" i="1" s="1"/>
  <c r="I1901" i="1"/>
  <c r="F1901" i="1" s="1"/>
  <c r="I2011" i="1"/>
  <c r="F2011" i="1" s="1"/>
  <c r="I1888" i="1"/>
  <c r="F1888" i="1" s="1"/>
  <c r="I2159" i="1"/>
  <c r="F2159" i="1" s="1"/>
  <c r="I2278" i="1"/>
  <c r="F2278" i="1" s="1"/>
  <c r="I2146" i="1"/>
  <c r="F2146" i="1" s="1"/>
  <c r="I2152" i="1"/>
  <c r="F2152" i="1" s="1"/>
  <c r="I2133" i="1"/>
  <c r="F2133" i="1" s="1"/>
  <c r="I2147" i="1"/>
  <c r="F2147" i="1" s="1"/>
  <c r="I2148" i="1"/>
  <c r="F2148" i="1" s="1"/>
  <c r="I2149" i="1"/>
  <c r="F2149" i="1" s="1"/>
  <c r="I2150" i="1"/>
  <c r="F2150" i="1" s="1"/>
  <c r="I2153" i="1"/>
  <c r="F2153" i="1" s="1"/>
  <c r="I2154" i="1"/>
  <c r="F2154" i="1" s="1"/>
  <c r="I2155" i="1"/>
  <c r="F2155" i="1" s="1"/>
  <c r="I2156" i="1"/>
  <c r="F2156" i="1" s="1"/>
  <c r="I2134" i="1"/>
  <c r="F2134" i="1" s="1"/>
  <c r="I2135" i="1"/>
  <c r="F2135" i="1" s="1"/>
  <c r="I2136" i="1"/>
  <c r="F2136" i="1" s="1"/>
  <c r="I2137" i="1"/>
  <c r="F2137" i="1" s="1"/>
  <c r="I2271" i="1"/>
  <c r="F2271" i="1" s="1"/>
  <c r="I1978" i="1"/>
  <c r="F1978" i="1" s="1"/>
  <c r="I1887" i="1"/>
  <c r="F1887" i="1" s="1"/>
  <c r="I1939" i="1"/>
  <c r="F1939" i="1" s="1"/>
  <c r="I1940" i="1"/>
  <c r="F1940" i="1" s="1"/>
  <c r="I2109" i="1"/>
  <c r="F2109" i="1" s="1"/>
  <c r="I2110" i="1"/>
  <c r="F2110" i="1" s="1"/>
  <c r="I2111" i="1"/>
  <c r="F2111" i="1" s="1"/>
  <c r="I2112" i="1"/>
  <c r="F2112" i="1" s="1"/>
  <c r="I2113" i="1"/>
  <c r="F2113" i="1" s="1"/>
  <c r="I2163" i="1"/>
  <c r="F2163" i="1" s="1"/>
  <c r="I2268" i="1"/>
  <c r="F2268" i="1" s="1"/>
  <c r="I1886" i="1"/>
  <c r="F1886" i="1" s="1"/>
  <c r="I1994" i="1"/>
  <c r="F1994" i="1" s="1"/>
  <c r="I1932" i="1"/>
  <c r="F1932" i="1" s="1"/>
  <c r="I1933" i="1"/>
  <c r="F1933" i="1" s="1"/>
  <c r="I2166" i="1"/>
  <c r="F2166" i="1" s="1"/>
  <c r="I1941" i="1"/>
  <c r="F1941" i="1" s="1"/>
  <c r="I1943" i="1"/>
  <c r="F1943" i="1" s="1"/>
  <c r="I1942" i="1"/>
  <c r="F1942" i="1" s="1"/>
  <c r="I1944" i="1"/>
  <c r="F1944" i="1" s="1"/>
  <c r="I1937" i="1"/>
  <c r="F1937" i="1" s="1"/>
  <c r="I1879" i="1"/>
  <c r="F1879" i="1" s="1"/>
  <c r="I1936" i="1"/>
  <c r="F1936" i="1" s="1"/>
  <c r="I1880" i="1"/>
  <c r="F1880" i="1" s="1"/>
  <c r="I1504" i="1"/>
  <c r="F1504" i="1" s="1"/>
  <c r="I1503" i="1"/>
  <c r="F1503" i="1" s="1"/>
  <c r="I1929" i="1"/>
  <c r="F1929" i="1" s="1"/>
  <c r="I1893" i="1"/>
  <c r="F1893" i="1" s="1"/>
  <c r="I1983" i="1"/>
  <c r="F1983" i="1" s="1"/>
  <c r="I1917" i="1"/>
  <c r="F1917" i="1" s="1"/>
  <c r="I1927" i="1"/>
  <c r="F1927" i="1" s="1"/>
  <c r="I2211" i="1"/>
  <c r="F2211" i="1" s="1"/>
  <c r="I2100" i="1"/>
  <c r="F2100" i="1" s="1"/>
  <c r="I1892" i="1"/>
  <c r="F1892" i="1" s="1"/>
  <c r="I1882" i="1"/>
  <c r="F1882" i="1" s="1"/>
  <c r="I1919" i="1"/>
  <c r="F1919" i="1" s="1"/>
  <c r="I2282" i="1"/>
  <c r="F2282" i="1" s="1"/>
  <c r="I2698" i="1"/>
  <c r="F2698" i="1" s="1"/>
  <c r="I2858" i="1"/>
  <c r="F2858" i="1" s="1"/>
  <c r="I2883" i="1"/>
  <c r="F2883" i="1" s="1"/>
  <c r="I2908" i="1"/>
  <c r="F2908" i="1" s="1"/>
  <c r="I2746" i="1"/>
  <c r="F2746" i="1" s="1"/>
  <c r="I2747" i="1"/>
  <c r="F2747" i="1" s="1"/>
  <c r="I2748" i="1"/>
  <c r="F2748" i="1" s="1"/>
  <c r="I2749" i="1"/>
  <c r="F2749" i="1" s="1"/>
  <c r="I2854" i="1"/>
  <c r="F2854" i="1" s="1"/>
  <c r="I2879" i="1"/>
  <c r="F2879" i="1" s="1"/>
  <c r="I2904" i="1"/>
  <c r="F2904" i="1" s="1"/>
  <c r="I2855" i="1"/>
  <c r="F2855" i="1" s="1"/>
  <c r="I2880" i="1"/>
  <c r="F2880" i="1" s="1"/>
  <c r="I2905" i="1"/>
  <c r="F2905" i="1" s="1"/>
  <c r="I2927" i="1"/>
  <c r="F2927" i="1" s="1"/>
  <c r="I2948" i="1"/>
  <c r="F2948" i="1" s="1"/>
  <c r="I2856" i="1"/>
  <c r="F2856" i="1" s="1"/>
  <c r="I2881" i="1"/>
  <c r="F2881" i="1" s="1"/>
  <c r="I2906" i="1"/>
  <c r="F2906" i="1" s="1"/>
  <c r="I2928" i="1"/>
  <c r="F2928" i="1" s="1"/>
  <c r="I2949" i="1"/>
  <c r="F2949" i="1" s="1"/>
  <c r="I2968" i="1"/>
  <c r="F2968" i="1" s="1"/>
  <c r="I2970" i="1"/>
  <c r="F2970" i="1" s="1"/>
  <c r="I2972" i="1"/>
  <c r="F2972" i="1" s="1"/>
  <c r="I2857" i="1"/>
  <c r="F2857" i="1" s="1"/>
  <c r="I2882" i="1"/>
  <c r="F2882" i="1" s="1"/>
  <c r="I2907" i="1"/>
  <c r="F2907" i="1" s="1"/>
  <c r="I2929" i="1"/>
  <c r="F2929" i="1" s="1"/>
  <c r="I2950" i="1"/>
  <c r="F2950" i="1" s="1"/>
  <c r="I2969" i="1"/>
  <c r="F2969" i="1" s="1"/>
  <c r="I2971" i="1"/>
  <c r="F2971" i="1" s="1"/>
  <c r="I2973" i="1"/>
  <c r="F2973" i="1" s="1"/>
  <c r="I2853" i="1"/>
  <c r="F2853" i="1" s="1"/>
  <c r="I2878" i="1"/>
  <c r="F2878" i="1" s="1"/>
  <c r="I2903" i="1"/>
  <c r="F2903" i="1" s="1"/>
  <c r="I2694" i="1"/>
  <c r="F2694" i="1" s="1"/>
  <c r="I2695" i="1"/>
  <c r="F2695" i="1" s="1"/>
  <c r="I2699" i="1"/>
  <c r="F2699" i="1" s="1"/>
  <c r="I2859" i="1"/>
  <c r="F2859" i="1" s="1"/>
  <c r="I2884" i="1"/>
  <c r="F2884" i="1" s="1"/>
  <c r="I2701" i="1"/>
  <c r="F2701" i="1" s="1"/>
  <c r="I2702" i="1"/>
  <c r="F2702" i="1" s="1"/>
  <c r="I2703" i="1"/>
  <c r="F2703" i="1" s="1"/>
  <c r="I2696" i="1"/>
  <c r="F2696" i="1" s="1"/>
  <c r="I2700" i="1"/>
  <c r="F2700" i="1" s="1"/>
  <c r="I2679" i="1"/>
  <c r="F2679" i="1" s="1"/>
  <c r="I2678" i="1"/>
  <c r="F2678" i="1" s="1"/>
  <c r="I2677" i="1"/>
  <c r="F2677" i="1" s="1"/>
  <c r="I2692" i="1"/>
  <c r="F2692" i="1" s="1"/>
  <c r="I2693" i="1"/>
  <c r="F2693" i="1" s="1"/>
  <c r="I2690" i="1"/>
  <c r="F2690" i="1" s="1"/>
  <c r="I2691" i="1"/>
  <c r="F2691" i="1" s="1"/>
  <c r="I2687" i="1"/>
  <c r="F2687" i="1" s="1"/>
  <c r="I2688" i="1"/>
  <c r="F2688" i="1" s="1"/>
  <c r="I2689" i="1"/>
  <c r="F2689" i="1" s="1"/>
  <c r="I2771" i="1"/>
  <c r="F2771" i="1" s="1"/>
  <c r="I2764" i="1"/>
  <c r="F2764" i="1" s="1"/>
  <c r="I2757" i="1"/>
  <c r="F2757" i="1" s="1"/>
  <c r="I2750" i="1"/>
  <c r="F2750" i="1" s="1"/>
  <c r="I2837" i="1"/>
  <c r="F2837" i="1" s="1"/>
  <c r="I2836" i="1"/>
  <c r="F2836" i="1" s="1"/>
  <c r="I2835" i="1"/>
  <c r="F2835" i="1" s="1"/>
  <c r="I2850" i="1"/>
  <c r="F2850" i="1" s="1"/>
  <c r="I2851" i="1"/>
  <c r="F2851" i="1" s="1"/>
  <c r="I2848" i="1"/>
  <c r="F2848" i="1" s="1"/>
  <c r="I2849" i="1"/>
  <c r="F2849" i="1" s="1"/>
  <c r="I2845" i="1"/>
  <c r="F2845" i="1" s="1"/>
  <c r="I2846" i="1"/>
  <c r="F2846" i="1" s="1"/>
  <c r="I2847" i="1"/>
  <c r="F2847" i="1" s="1"/>
  <c r="I2772" i="1"/>
  <c r="F2772" i="1" s="1"/>
  <c r="I2765" i="1"/>
  <c r="F2765" i="1" s="1"/>
  <c r="I2758" i="1"/>
  <c r="F2758" i="1" s="1"/>
  <c r="I2751" i="1"/>
  <c r="F2751" i="1" s="1"/>
  <c r="I2862" i="1"/>
  <c r="F2862" i="1" s="1"/>
  <c r="I2861" i="1"/>
  <c r="F2861" i="1" s="1"/>
  <c r="I2860" i="1"/>
  <c r="F2860" i="1" s="1"/>
  <c r="I2875" i="1"/>
  <c r="F2875" i="1" s="1"/>
  <c r="I2876" i="1"/>
  <c r="F2876" i="1" s="1"/>
  <c r="I2873" i="1"/>
  <c r="F2873" i="1" s="1"/>
  <c r="I2874" i="1"/>
  <c r="F2874" i="1" s="1"/>
  <c r="I2870" i="1"/>
  <c r="F2870" i="1" s="1"/>
  <c r="I2871" i="1"/>
  <c r="F2871" i="1" s="1"/>
  <c r="I2872" i="1"/>
  <c r="F2872" i="1" s="1"/>
  <c r="I2773" i="1"/>
  <c r="F2773" i="1" s="1"/>
  <c r="I2766" i="1"/>
  <c r="F2766" i="1" s="1"/>
  <c r="I2759" i="1"/>
  <c r="F2759" i="1" s="1"/>
  <c r="I2752" i="1"/>
  <c r="F2752" i="1" s="1"/>
  <c r="I2887" i="1"/>
  <c r="F2887" i="1" s="1"/>
  <c r="I2886" i="1"/>
  <c r="F2886" i="1" s="1"/>
  <c r="I2885" i="1"/>
  <c r="F2885" i="1" s="1"/>
  <c r="I2900" i="1"/>
  <c r="F2900" i="1" s="1"/>
  <c r="I2901" i="1"/>
  <c r="F2901" i="1" s="1"/>
  <c r="I2898" i="1"/>
  <c r="F2898" i="1" s="1"/>
  <c r="I2899" i="1"/>
  <c r="F2899" i="1" s="1"/>
  <c r="I2895" i="1"/>
  <c r="F2895" i="1" s="1"/>
  <c r="I2896" i="1"/>
  <c r="F2896" i="1" s="1"/>
  <c r="I2897" i="1"/>
  <c r="F2897" i="1" s="1"/>
  <c r="I2774" i="1"/>
  <c r="F2774" i="1" s="1"/>
  <c r="I2767" i="1"/>
  <c r="F2767" i="1" s="1"/>
  <c r="I2760" i="1"/>
  <c r="F2760" i="1" s="1"/>
  <c r="I2753" i="1"/>
  <c r="F2753" i="1" s="1"/>
  <c r="I2911" i="1"/>
  <c r="F2911" i="1" s="1"/>
  <c r="I2910" i="1"/>
  <c r="F2910" i="1" s="1"/>
  <c r="I2909" i="1"/>
  <c r="F2909" i="1" s="1"/>
  <c r="I2924" i="1"/>
  <c r="F2924" i="1" s="1"/>
  <c r="I2925" i="1"/>
  <c r="F2925" i="1" s="1"/>
  <c r="I2922" i="1"/>
  <c r="F2922" i="1" s="1"/>
  <c r="I2923" i="1"/>
  <c r="F2923" i="1" s="1"/>
  <c r="I2919" i="1"/>
  <c r="F2919" i="1" s="1"/>
  <c r="I2920" i="1"/>
  <c r="F2920" i="1" s="1"/>
  <c r="I2921" i="1"/>
  <c r="F2921" i="1" s="1"/>
  <c r="I2775" i="1"/>
  <c r="F2775" i="1" s="1"/>
  <c r="I2768" i="1"/>
  <c r="F2768" i="1" s="1"/>
  <c r="I2761" i="1"/>
  <c r="F2761" i="1" s="1"/>
  <c r="I2754" i="1"/>
  <c r="F2754" i="1" s="1"/>
  <c r="I2932" i="1"/>
  <c r="F2932" i="1" s="1"/>
  <c r="I2931" i="1"/>
  <c r="F2931" i="1" s="1"/>
  <c r="I2930" i="1"/>
  <c r="F2930" i="1" s="1"/>
  <c r="I2945" i="1"/>
  <c r="F2945" i="1" s="1"/>
  <c r="I2946" i="1"/>
  <c r="F2946" i="1" s="1"/>
  <c r="I2943" i="1"/>
  <c r="F2943" i="1" s="1"/>
  <c r="I2944" i="1"/>
  <c r="F2944" i="1" s="1"/>
  <c r="I2940" i="1"/>
  <c r="F2940" i="1" s="1"/>
  <c r="I2941" i="1"/>
  <c r="F2941" i="1" s="1"/>
  <c r="I2942" i="1"/>
  <c r="F2942" i="1" s="1"/>
  <c r="I2776" i="1"/>
  <c r="F2776" i="1" s="1"/>
  <c r="I2769" i="1"/>
  <c r="F2769" i="1" s="1"/>
  <c r="I2762" i="1"/>
  <c r="F2762" i="1" s="1"/>
  <c r="I2755" i="1"/>
  <c r="F2755" i="1" s="1"/>
  <c r="I2953" i="1"/>
  <c r="F2953" i="1" s="1"/>
  <c r="I2952" i="1"/>
  <c r="F2952" i="1" s="1"/>
  <c r="I2951" i="1"/>
  <c r="F2951" i="1" s="1"/>
  <c r="I2966" i="1"/>
  <c r="F2966" i="1" s="1"/>
  <c r="I2967" i="1"/>
  <c r="F2967" i="1" s="1"/>
  <c r="I2964" i="1"/>
  <c r="F2964" i="1" s="1"/>
  <c r="I2965" i="1"/>
  <c r="F2965" i="1" s="1"/>
  <c r="I2961" i="1"/>
  <c r="F2961" i="1" s="1"/>
  <c r="I2962" i="1"/>
  <c r="F2962" i="1" s="1"/>
  <c r="I2963" i="1"/>
  <c r="F2963" i="1" s="1"/>
  <c r="I2777" i="1"/>
  <c r="F2777" i="1" s="1"/>
  <c r="I2770" i="1"/>
  <c r="F2770" i="1" s="1"/>
  <c r="I2763" i="1"/>
  <c r="F2763" i="1" s="1"/>
  <c r="I2756" i="1"/>
  <c r="F2756" i="1" s="1"/>
  <c r="I2852" i="1"/>
  <c r="F2852" i="1" s="1"/>
  <c r="I2877" i="1"/>
  <c r="F2877" i="1" s="1"/>
  <c r="I2902" i="1"/>
  <c r="F2902" i="1" s="1"/>
  <c r="I2926" i="1"/>
  <c r="F2926" i="1" s="1"/>
  <c r="I2947" i="1"/>
  <c r="F2947" i="1" s="1"/>
  <c r="I2697" i="1"/>
  <c r="F2697" i="1" s="1"/>
  <c r="I2780" i="1"/>
  <c r="F2780" i="1" s="1"/>
  <c r="I2781" i="1"/>
  <c r="F2781" i="1" s="1"/>
  <c r="I2782" i="1"/>
  <c r="F2782" i="1" s="1"/>
  <c r="I2783" i="1"/>
  <c r="F2783" i="1" s="1"/>
  <c r="I2784" i="1"/>
  <c r="F2784" i="1" s="1"/>
  <c r="I2785" i="1"/>
  <c r="F2785" i="1" s="1"/>
  <c r="I2786" i="1"/>
  <c r="F2786" i="1" s="1"/>
  <c r="I2787" i="1"/>
  <c r="F2787" i="1" s="1"/>
  <c r="I2788" i="1"/>
  <c r="F2788" i="1" s="1"/>
  <c r="I2789" i="1"/>
  <c r="F2789" i="1" s="1"/>
  <c r="I2790" i="1"/>
  <c r="F2790" i="1" s="1"/>
  <c r="I2791" i="1"/>
  <c r="F2791" i="1" s="1"/>
  <c r="I2792" i="1"/>
  <c r="F2792" i="1" s="1"/>
  <c r="I2793" i="1"/>
  <c r="F2793" i="1" s="1"/>
  <c r="I2794" i="1"/>
  <c r="F2794" i="1" s="1"/>
  <c r="I2795" i="1"/>
  <c r="F2795" i="1" s="1"/>
  <c r="I2796" i="1"/>
  <c r="F2796" i="1" s="1"/>
  <c r="I2797" i="1"/>
  <c r="F2797" i="1" s="1"/>
  <c r="I2798" i="1"/>
  <c r="F2798" i="1" s="1"/>
  <c r="I2799" i="1"/>
  <c r="F2799" i="1" s="1"/>
  <c r="I2800" i="1"/>
  <c r="F2800" i="1" s="1"/>
  <c r="I2801" i="1"/>
  <c r="F2801" i="1" s="1"/>
  <c r="I2802" i="1"/>
  <c r="F2802" i="1" s="1"/>
  <c r="I2803" i="1"/>
  <c r="F2803" i="1" s="1"/>
  <c r="I2804" i="1"/>
  <c r="F2804" i="1" s="1"/>
  <c r="I2805" i="1"/>
  <c r="F2805" i="1" s="1"/>
  <c r="I2806" i="1"/>
  <c r="F2806" i="1" s="1"/>
  <c r="I2807" i="1"/>
  <c r="F2807" i="1" s="1"/>
  <c r="I2808" i="1"/>
  <c r="F2808" i="1" s="1"/>
  <c r="I2809" i="1"/>
  <c r="F2809" i="1" s="1"/>
  <c r="I2810" i="1"/>
  <c r="F2810" i="1" s="1"/>
  <c r="I2811" i="1"/>
  <c r="F2811" i="1" s="1"/>
  <c r="I2812" i="1"/>
  <c r="F2812" i="1" s="1"/>
  <c r="I2813" i="1"/>
  <c r="F2813" i="1" s="1"/>
  <c r="I2814" i="1"/>
  <c r="F2814" i="1" s="1"/>
  <c r="I2815" i="1"/>
  <c r="F2815" i="1" s="1"/>
  <c r="I2816" i="1"/>
  <c r="F2816" i="1" s="1"/>
  <c r="I2817" i="1"/>
  <c r="F2817" i="1" s="1"/>
  <c r="I2818" i="1"/>
  <c r="F2818" i="1" s="1"/>
  <c r="I2819" i="1"/>
  <c r="F2819" i="1" s="1"/>
  <c r="I2820" i="1"/>
  <c r="F2820" i="1" s="1"/>
  <c r="I2821" i="1"/>
  <c r="F2821" i="1" s="1"/>
  <c r="I2822" i="1"/>
  <c r="F2822" i="1" s="1"/>
  <c r="I2823" i="1"/>
  <c r="F2823" i="1" s="1"/>
  <c r="I2824" i="1"/>
  <c r="F2824" i="1" s="1"/>
  <c r="I2825" i="1"/>
  <c r="F2825" i="1" s="1"/>
  <c r="I2826" i="1"/>
  <c r="F2826" i="1" s="1"/>
  <c r="I2827" i="1"/>
  <c r="F2827" i="1" s="1"/>
  <c r="I2828" i="1"/>
  <c r="F2828" i="1" s="1"/>
  <c r="I2680" i="1"/>
  <c r="F2680" i="1" s="1"/>
  <c r="I2681" i="1"/>
  <c r="F2681" i="1" s="1"/>
  <c r="I2682" i="1"/>
  <c r="F2682" i="1" s="1"/>
  <c r="I2683" i="1"/>
  <c r="F2683" i="1" s="1"/>
  <c r="I2684" i="1"/>
  <c r="F2684" i="1" s="1"/>
  <c r="I2685" i="1"/>
  <c r="F2685" i="1" s="1"/>
  <c r="I2686" i="1"/>
  <c r="F2686" i="1" s="1"/>
  <c r="I2838" i="1"/>
  <c r="F2838" i="1" s="1"/>
  <c r="I2839" i="1"/>
  <c r="F2839" i="1" s="1"/>
  <c r="I2840" i="1"/>
  <c r="F2840" i="1" s="1"/>
  <c r="I2841" i="1"/>
  <c r="F2841" i="1" s="1"/>
  <c r="I2842" i="1"/>
  <c r="F2842" i="1" s="1"/>
  <c r="I2843" i="1"/>
  <c r="F2843" i="1" s="1"/>
  <c r="I2844" i="1"/>
  <c r="F2844" i="1" s="1"/>
  <c r="I2863" i="1"/>
  <c r="F2863" i="1" s="1"/>
  <c r="I2864" i="1"/>
  <c r="F2864" i="1" s="1"/>
  <c r="I2865" i="1"/>
  <c r="F2865" i="1" s="1"/>
  <c r="I2866" i="1"/>
  <c r="F2866" i="1" s="1"/>
  <c r="I2867" i="1"/>
  <c r="F2867" i="1" s="1"/>
  <c r="I2868" i="1"/>
  <c r="F2868" i="1" s="1"/>
  <c r="I2869" i="1"/>
  <c r="F2869" i="1" s="1"/>
  <c r="I2888" i="1"/>
  <c r="F2888" i="1" s="1"/>
  <c r="I2889" i="1"/>
  <c r="F2889" i="1" s="1"/>
  <c r="I2890" i="1"/>
  <c r="F2890" i="1" s="1"/>
  <c r="I2891" i="1"/>
  <c r="F2891" i="1" s="1"/>
  <c r="I2892" i="1"/>
  <c r="F2892" i="1" s="1"/>
  <c r="I2893" i="1"/>
  <c r="F2893" i="1" s="1"/>
  <c r="I2894" i="1"/>
  <c r="F2894" i="1" s="1"/>
  <c r="I2912" i="1"/>
  <c r="F2912" i="1" s="1"/>
  <c r="I2913" i="1"/>
  <c r="F2913" i="1" s="1"/>
  <c r="I2914" i="1"/>
  <c r="F2914" i="1" s="1"/>
  <c r="I2915" i="1"/>
  <c r="F2915" i="1" s="1"/>
  <c r="I2916" i="1"/>
  <c r="F2916" i="1" s="1"/>
  <c r="I2917" i="1"/>
  <c r="F2917" i="1" s="1"/>
  <c r="I2918" i="1"/>
  <c r="F2918" i="1" s="1"/>
  <c r="I2933" i="1"/>
  <c r="F2933" i="1" s="1"/>
  <c r="I2934" i="1"/>
  <c r="F2934" i="1" s="1"/>
  <c r="I2935" i="1"/>
  <c r="F2935" i="1" s="1"/>
  <c r="I2936" i="1"/>
  <c r="F2936" i="1" s="1"/>
  <c r="I2937" i="1"/>
  <c r="F2937" i="1" s="1"/>
  <c r="I2938" i="1"/>
  <c r="F2938" i="1" s="1"/>
  <c r="I2939" i="1"/>
  <c r="F2939" i="1" s="1"/>
  <c r="I2954" i="1"/>
  <c r="F2954" i="1" s="1"/>
  <c r="I2955" i="1"/>
  <c r="F2955" i="1" s="1"/>
  <c r="I2956" i="1"/>
  <c r="F2956" i="1" s="1"/>
  <c r="I2957" i="1"/>
  <c r="F2957" i="1" s="1"/>
  <c r="I2958" i="1"/>
  <c r="F2958" i="1" s="1"/>
  <c r="I2959" i="1"/>
  <c r="F2959" i="1" s="1"/>
  <c r="I2960" i="1"/>
  <c r="F2960" i="1" s="1"/>
  <c r="K574" i="1"/>
  <c r="K576" i="1"/>
  <c r="K555" i="1"/>
  <c r="K567" i="1"/>
  <c r="K575" i="1"/>
  <c r="K501" i="1"/>
  <c r="K527" i="1"/>
  <c r="K524" i="1"/>
  <c r="K494" i="1"/>
  <c r="K473" i="1"/>
  <c r="K502" i="1"/>
  <c r="K499" i="1"/>
  <c r="K577" i="1"/>
  <c r="K526" i="1"/>
  <c r="K498" i="1"/>
  <c r="K568" i="1"/>
  <c r="K513" i="1"/>
  <c r="K514" i="1"/>
  <c r="K572" i="1"/>
  <c r="K573" i="1"/>
  <c r="K496" i="1"/>
  <c r="K565" i="1"/>
  <c r="K548" i="1"/>
  <c r="K525" i="1"/>
  <c r="K582" i="1"/>
  <c r="K2095" i="1"/>
  <c r="K2081" i="1"/>
  <c r="K2080" i="1"/>
  <c r="K2082" i="1"/>
  <c r="K1928" i="1"/>
  <c r="K2056" i="1"/>
  <c r="K2057" i="1"/>
  <c r="K2058" i="1"/>
  <c r="K2059" i="1"/>
  <c r="K2060" i="1"/>
  <c r="K2061" i="1"/>
  <c r="K2062" i="1"/>
  <c r="K2063" i="1"/>
  <c r="K2064" i="1"/>
  <c r="K2283" i="1"/>
  <c r="K2284" i="1"/>
  <c r="K2285" i="1"/>
  <c r="K2286" i="1"/>
  <c r="K2287" i="1"/>
  <c r="K2288" i="1"/>
  <c r="K2289" i="1"/>
  <c r="K2290" i="1"/>
  <c r="K2291" i="1"/>
  <c r="K1924" i="1"/>
  <c r="K2020" i="1"/>
  <c r="K1984" i="1"/>
  <c r="K2028" i="1"/>
  <c r="K2019" i="1"/>
  <c r="K2294" i="1"/>
  <c r="K1902" i="1"/>
  <c r="K1901" i="1"/>
  <c r="K2011" i="1"/>
  <c r="K1888" i="1"/>
  <c r="K2159" i="1"/>
  <c r="K2278" i="1"/>
  <c r="K2146" i="1"/>
  <c r="K2152" i="1"/>
  <c r="K2133" i="1"/>
  <c r="K2147" i="1"/>
  <c r="K2148" i="1"/>
  <c r="K2149" i="1"/>
  <c r="K2150" i="1"/>
  <c r="K2153" i="1"/>
  <c r="K2154" i="1"/>
  <c r="K2155" i="1"/>
  <c r="K2156" i="1"/>
  <c r="K2134" i="1"/>
  <c r="K2135" i="1"/>
  <c r="K2136" i="1"/>
  <c r="K2137" i="1"/>
  <c r="K2271" i="1"/>
  <c r="K1978" i="1"/>
  <c r="K1887" i="1"/>
  <c r="K1939" i="1"/>
  <c r="K1940" i="1"/>
  <c r="K2109" i="1"/>
  <c r="K2110" i="1"/>
  <c r="K2111" i="1"/>
  <c r="K2112" i="1"/>
  <c r="K2113" i="1"/>
  <c r="K2163" i="1"/>
  <c r="K2268" i="1"/>
  <c r="K1886" i="1"/>
  <c r="K1994" i="1"/>
  <c r="K1932" i="1"/>
  <c r="K1933" i="1"/>
  <c r="K2166" i="1"/>
  <c r="K1941" i="1"/>
  <c r="K1943" i="1"/>
  <c r="K1942" i="1"/>
  <c r="K1944" i="1"/>
  <c r="K1937" i="1"/>
  <c r="K1879" i="1"/>
  <c r="K1936" i="1"/>
  <c r="K1880" i="1"/>
  <c r="K1504" i="1"/>
  <c r="K1503" i="1"/>
  <c r="K1929" i="1"/>
  <c r="K1893" i="1"/>
  <c r="K1983" i="1"/>
  <c r="K1917" i="1"/>
  <c r="K1927" i="1"/>
  <c r="K2211" i="1"/>
  <c r="K2100" i="1"/>
  <c r="K1892" i="1"/>
  <c r="K1882" i="1"/>
  <c r="K1919" i="1"/>
  <c r="K2282" i="1"/>
  <c r="K2698" i="1"/>
  <c r="K2858" i="1"/>
  <c r="K2883" i="1"/>
  <c r="K2908" i="1"/>
  <c r="K2746" i="1"/>
  <c r="K2747" i="1"/>
  <c r="K2748" i="1"/>
  <c r="K2749" i="1"/>
  <c r="K2854" i="1"/>
  <c r="K2879" i="1"/>
  <c r="K2904" i="1"/>
  <c r="K2855" i="1"/>
  <c r="K2880" i="1"/>
  <c r="K2905" i="1"/>
  <c r="K2927" i="1"/>
  <c r="K2948" i="1"/>
  <c r="K2856" i="1"/>
  <c r="K2881" i="1"/>
  <c r="K2906" i="1"/>
  <c r="K2928" i="1"/>
  <c r="K2949" i="1"/>
  <c r="K2968" i="1"/>
  <c r="K2970" i="1"/>
  <c r="K2972" i="1"/>
  <c r="K2857" i="1"/>
  <c r="K2882" i="1"/>
  <c r="K2907" i="1"/>
  <c r="K2929" i="1"/>
  <c r="K2950" i="1"/>
  <c r="K2969" i="1"/>
  <c r="K2971" i="1"/>
  <c r="K2973" i="1"/>
  <c r="K2853" i="1"/>
  <c r="K2878" i="1"/>
  <c r="K2903" i="1"/>
  <c r="K2694" i="1"/>
  <c r="K2695" i="1"/>
  <c r="K2699" i="1"/>
  <c r="K2859" i="1"/>
  <c r="K2884" i="1"/>
  <c r="K2701" i="1"/>
  <c r="K2702" i="1"/>
  <c r="K2703" i="1"/>
  <c r="K2696" i="1"/>
  <c r="K2700" i="1"/>
  <c r="K2679" i="1"/>
  <c r="K2678" i="1"/>
  <c r="K2677" i="1"/>
  <c r="K2692" i="1"/>
  <c r="K2693" i="1"/>
  <c r="K2690" i="1"/>
  <c r="K2691" i="1"/>
  <c r="K2687" i="1"/>
  <c r="K2688" i="1"/>
  <c r="K2689" i="1"/>
  <c r="K2771" i="1"/>
  <c r="K2764" i="1"/>
  <c r="K2757" i="1"/>
  <c r="K2750" i="1"/>
  <c r="K2837" i="1"/>
  <c r="K2836" i="1"/>
  <c r="K2835" i="1"/>
  <c r="K2850" i="1"/>
  <c r="K2851" i="1"/>
  <c r="K2848" i="1"/>
  <c r="K2849" i="1"/>
  <c r="K2845" i="1"/>
  <c r="K2846" i="1"/>
  <c r="K2847" i="1"/>
  <c r="K2772" i="1"/>
  <c r="K2765" i="1"/>
  <c r="K2758" i="1"/>
  <c r="K2751" i="1"/>
  <c r="K2862" i="1"/>
  <c r="K2861" i="1"/>
  <c r="K2860" i="1"/>
  <c r="K2875" i="1"/>
  <c r="K2876" i="1"/>
  <c r="K2873" i="1"/>
  <c r="K2874" i="1"/>
  <c r="K2870" i="1"/>
  <c r="K2871" i="1"/>
  <c r="K2872" i="1"/>
  <c r="K2773" i="1"/>
  <c r="K2766" i="1"/>
  <c r="K2759" i="1"/>
  <c r="K2752" i="1"/>
  <c r="K2887" i="1"/>
  <c r="K2886" i="1"/>
  <c r="K2885" i="1"/>
  <c r="K2900" i="1"/>
  <c r="K2901" i="1"/>
  <c r="K2898" i="1"/>
  <c r="K2899" i="1"/>
  <c r="K2895" i="1"/>
  <c r="K2896" i="1"/>
  <c r="K2897" i="1"/>
  <c r="K2774" i="1"/>
  <c r="K2767" i="1"/>
  <c r="K2760" i="1"/>
  <c r="K2753" i="1"/>
  <c r="K2911" i="1"/>
  <c r="K2910" i="1"/>
  <c r="K2909" i="1"/>
  <c r="K2924" i="1"/>
  <c r="K2925" i="1"/>
  <c r="K2922" i="1"/>
  <c r="K2923" i="1"/>
  <c r="K2919" i="1"/>
  <c r="K2920" i="1"/>
  <c r="K2921" i="1"/>
  <c r="K2775" i="1"/>
  <c r="K2768" i="1"/>
  <c r="K2761" i="1"/>
  <c r="K2754" i="1"/>
  <c r="K2932" i="1"/>
  <c r="K2931" i="1"/>
  <c r="K2930" i="1"/>
  <c r="K2945" i="1"/>
  <c r="K2946" i="1"/>
  <c r="K2943" i="1"/>
  <c r="K2944" i="1"/>
  <c r="K2940" i="1"/>
  <c r="K2941" i="1"/>
  <c r="K2942" i="1"/>
  <c r="K2776" i="1"/>
  <c r="K2769" i="1"/>
  <c r="K2762" i="1"/>
  <c r="K2755" i="1"/>
  <c r="K2953" i="1"/>
  <c r="K2952" i="1"/>
  <c r="K2951" i="1"/>
  <c r="K2966" i="1"/>
  <c r="K2967" i="1"/>
  <c r="K2964" i="1"/>
  <c r="K2965" i="1"/>
  <c r="K2961" i="1"/>
  <c r="K2962" i="1"/>
  <c r="K2963" i="1"/>
  <c r="K2777" i="1"/>
  <c r="K2770" i="1"/>
  <c r="K2763" i="1"/>
  <c r="K2756" i="1"/>
  <c r="K2852" i="1"/>
  <c r="K2877" i="1"/>
  <c r="K2902" i="1"/>
  <c r="K2926" i="1"/>
  <c r="K2947" i="1"/>
  <c r="K2697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680" i="1"/>
  <c r="K2681" i="1"/>
  <c r="K2682" i="1"/>
  <c r="K2683" i="1"/>
  <c r="K2684" i="1"/>
  <c r="K2685" i="1"/>
  <c r="K2686" i="1"/>
  <c r="K2838" i="1"/>
  <c r="K2839" i="1"/>
  <c r="K2840" i="1"/>
  <c r="K2841" i="1"/>
  <c r="K2842" i="1"/>
  <c r="K2843" i="1"/>
  <c r="K2844" i="1"/>
  <c r="K2863" i="1"/>
  <c r="K2864" i="1"/>
  <c r="K2865" i="1"/>
  <c r="K2866" i="1"/>
  <c r="K2867" i="1"/>
  <c r="K2868" i="1"/>
  <c r="K2869" i="1"/>
  <c r="K2888" i="1"/>
  <c r="K2889" i="1"/>
  <c r="K2890" i="1"/>
  <c r="K2891" i="1"/>
  <c r="K2892" i="1"/>
  <c r="K2893" i="1"/>
  <c r="K2894" i="1"/>
  <c r="K2912" i="1"/>
  <c r="K2913" i="1"/>
  <c r="K2914" i="1"/>
  <c r="K2915" i="1"/>
  <c r="K2916" i="1"/>
  <c r="K2917" i="1"/>
  <c r="K2918" i="1"/>
  <c r="K2933" i="1"/>
  <c r="K2934" i="1"/>
  <c r="K2935" i="1"/>
  <c r="K2936" i="1"/>
  <c r="K2937" i="1"/>
  <c r="K2938" i="1"/>
  <c r="K2939" i="1"/>
  <c r="K2954" i="1"/>
  <c r="K2955" i="1"/>
  <c r="K2956" i="1"/>
  <c r="K2957" i="1"/>
  <c r="K2958" i="1"/>
  <c r="K2959" i="1"/>
  <c r="K2960" i="1"/>
  <c r="Q574" i="1"/>
  <c r="Q576" i="1"/>
  <c r="Q555" i="1"/>
  <c r="Q567" i="1"/>
  <c r="Q575" i="1"/>
  <c r="Q501" i="1"/>
  <c r="Q527" i="1"/>
  <c r="Q524" i="1"/>
  <c r="Q494" i="1"/>
  <c r="Q473" i="1"/>
  <c r="Q502" i="1"/>
  <c r="Q499" i="1"/>
  <c r="Q577" i="1"/>
  <c r="Q526" i="1"/>
  <c r="Q498" i="1"/>
  <c r="Q568" i="1"/>
  <c r="Q513" i="1"/>
  <c r="Q514" i="1"/>
  <c r="Q572" i="1"/>
  <c r="Q573" i="1"/>
  <c r="Q496" i="1"/>
  <c r="Q565" i="1"/>
  <c r="Q548" i="1"/>
  <c r="Q525" i="1"/>
  <c r="Q582" i="1"/>
  <c r="Q2095" i="1"/>
  <c r="Q2081" i="1"/>
  <c r="Q2080" i="1"/>
  <c r="Q2082" i="1"/>
  <c r="Q1928" i="1"/>
  <c r="Q2056" i="1"/>
  <c r="Q2057" i="1"/>
  <c r="Q2058" i="1"/>
  <c r="Q2059" i="1"/>
  <c r="Q2060" i="1"/>
  <c r="Q2061" i="1"/>
  <c r="Q2062" i="1"/>
  <c r="Q2063" i="1"/>
  <c r="Q2064" i="1"/>
  <c r="Q2283" i="1"/>
  <c r="Q2284" i="1"/>
  <c r="Q2285" i="1"/>
  <c r="Q2286" i="1"/>
  <c r="Q2287" i="1"/>
  <c r="Q2288" i="1"/>
  <c r="Q2289" i="1"/>
  <c r="Q2290" i="1"/>
  <c r="Q2291" i="1"/>
  <c r="Q1924" i="1"/>
  <c r="Q2020" i="1"/>
  <c r="Q1984" i="1"/>
  <c r="Q2028" i="1"/>
  <c r="Q2019" i="1"/>
  <c r="Q2294" i="1"/>
  <c r="Q1902" i="1"/>
  <c r="Q1901" i="1"/>
  <c r="Q2011" i="1"/>
  <c r="Q1888" i="1"/>
  <c r="Q2159" i="1"/>
  <c r="Q2278" i="1"/>
  <c r="Q2146" i="1"/>
  <c r="Q2152" i="1"/>
  <c r="Q2133" i="1"/>
  <c r="Q2147" i="1"/>
  <c r="Q2148" i="1"/>
  <c r="Q2149" i="1"/>
  <c r="Q2150" i="1"/>
  <c r="Q2153" i="1"/>
  <c r="Q2154" i="1"/>
  <c r="Q2155" i="1"/>
  <c r="Q2156" i="1"/>
  <c r="Q2134" i="1"/>
  <c r="Q2135" i="1"/>
  <c r="Q2136" i="1"/>
  <c r="Q2137" i="1"/>
  <c r="Q2271" i="1"/>
  <c r="Q1978" i="1"/>
  <c r="Q1887" i="1"/>
  <c r="Q1939" i="1"/>
  <c r="Q1940" i="1"/>
  <c r="Q2109" i="1"/>
  <c r="Q2110" i="1"/>
  <c r="Q2111" i="1"/>
  <c r="Q2112" i="1"/>
  <c r="Q2113" i="1"/>
  <c r="Q2163" i="1"/>
  <c r="Q2268" i="1"/>
  <c r="Q1886" i="1"/>
  <c r="Q1994" i="1"/>
  <c r="Q1932" i="1"/>
  <c r="Q1933" i="1"/>
  <c r="Q2166" i="1"/>
  <c r="Q1941" i="1"/>
  <c r="Q1943" i="1"/>
  <c r="Q1942" i="1"/>
  <c r="Q1944" i="1"/>
  <c r="Q1937" i="1"/>
  <c r="Q1879" i="1"/>
  <c r="Q1936" i="1"/>
  <c r="Q1880" i="1"/>
  <c r="Q1504" i="1"/>
  <c r="Q1503" i="1"/>
  <c r="Q1929" i="1"/>
  <c r="Q1893" i="1"/>
  <c r="Q1983" i="1"/>
  <c r="Q1917" i="1"/>
  <c r="Q1927" i="1"/>
  <c r="Q2211" i="1"/>
  <c r="Q2100" i="1"/>
  <c r="Q1892" i="1"/>
  <c r="Q1882" i="1"/>
  <c r="Q1919" i="1"/>
  <c r="Q2282" i="1"/>
  <c r="Q2698" i="1"/>
  <c r="Q2858" i="1"/>
  <c r="Q2883" i="1"/>
  <c r="Q2908" i="1"/>
  <c r="Q2746" i="1"/>
  <c r="Q2747" i="1"/>
  <c r="Q2748" i="1"/>
  <c r="Q2749" i="1"/>
  <c r="Q2854" i="1"/>
  <c r="Q2879" i="1"/>
  <c r="Q2904" i="1"/>
  <c r="Q2855" i="1"/>
  <c r="Q2880" i="1"/>
  <c r="Q2905" i="1"/>
  <c r="Q2927" i="1"/>
  <c r="Q2948" i="1"/>
  <c r="Q2856" i="1"/>
  <c r="Q2881" i="1"/>
  <c r="Q2906" i="1"/>
  <c r="Q2928" i="1"/>
  <c r="Q2949" i="1"/>
  <c r="Q2968" i="1"/>
  <c r="Q2970" i="1"/>
  <c r="Q2972" i="1"/>
  <c r="Q2857" i="1"/>
  <c r="Q2882" i="1"/>
  <c r="Q2907" i="1"/>
  <c r="Q2929" i="1"/>
  <c r="Q2950" i="1"/>
  <c r="Q2969" i="1"/>
  <c r="Q2971" i="1"/>
  <c r="Q2973" i="1"/>
  <c r="Q2853" i="1"/>
  <c r="Q2878" i="1"/>
  <c r="Q2903" i="1"/>
  <c r="Q2694" i="1"/>
  <c r="Q2695" i="1"/>
  <c r="Q2699" i="1"/>
  <c r="Q2859" i="1"/>
  <c r="Q2884" i="1"/>
  <c r="Q2701" i="1"/>
  <c r="Q2702" i="1"/>
  <c r="Q2703" i="1"/>
  <c r="Q2696" i="1"/>
  <c r="Q2700" i="1"/>
  <c r="Q2679" i="1"/>
  <c r="Q2678" i="1"/>
  <c r="Q2677" i="1"/>
  <c r="Q2692" i="1"/>
  <c r="Q2693" i="1"/>
  <c r="Q2690" i="1"/>
  <c r="Q2691" i="1"/>
  <c r="Q2687" i="1"/>
  <c r="Q2688" i="1"/>
  <c r="Q2689" i="1"/>
  <c r="Q2771" i="1"/>
  <c r="Q2764" i="1"/>
  <c r="Q2757" i="1"/>
  <c r="Q2750" i="1"/>
  <c r="Q2837" i="1"/>
  <c r="Q2836" i="1"/>
  <c r="Q2835" i="1"/>
  <c r="Q2850" i="1"/>
  <c r="Q2851" i="1"/>
  <c r="Q2848" i="1"/>
  <c r="Q2849" i="1"/>
  <c r="Q2845" i="1"/>
  <c r="Q2846" i="1"/>
  <c r="Q2847" i="1"/>
  <c r="Q2772" i="1"/>
  <c r="Q2765" i="1"/>
  <c r="Q2758" i="1"/>
  <c r="Q2751" i="1"/>
  <c r="Q2862" i="1"/>
  <c r="Q2861" i="1"/>
  <c r="Q2860" i="1"/>
  <c r="Q2875" i="1"/>
  <c r="Q2876" i="1"/>
  <c r="Q2873" i="1"/>
  <c r="Q2874" i="1"/>
  <c r="Q2870" i="1"/>
  <c r="Q2871" i="1"/>
  <c r="Q2872" i="1"/>
  <c r="Q2773" i="1"/>
  <c r="Q2766" i="1"/>
  <c r="Q2759" i="1"/>
  <c r="Q2752" i="1"/>
  <c r="Q2887" i="1"/>
  <c r="Q2886" i="1"/>
  <c r="Q2885" i="1"/>
  <c r="Q2900" i="1"/>
  <c r="Q2901" i="1"/>
  <c r="Q2898" i="1"/>
  <c r="Q2899" i="1"/>
  <c r="Q2895" i="1"/>
  <c r="Q2896" i="1"/>
  <c r="Q2897" i="1"/>
  <c r="Q2774" i="1"/>
  <c r="Q2767" i="1"/>
  <c r="Q2760" i="1"/>
  <c r="Q2753" i="1"/>
  <c r="Q2911" i="1"/>
  <c r="Q2910" i="1"/>
  <c r="Q2909" i="1"/>
  <c r="Q2924" i="1"/>
  <c r="Q2925" i="1"/>
  <c r="Q2922" i="1"/>
  <c r="Q2923" i="1"/>
  <c r="Q2919" i="1"/>
  <c r="Q2920" i="1"/>
  <c r="Q2921" i="1"/>
  <c r="Q2775" i="1"/>
  <c r="Q2768" i="1"/>
  <c r="Q2761" i="1"/>
  <c r="Q2754" i="1"/>
  <c r="Q2932" i="1"/>
  <c r="Q2931" i="1"/>
  <c r="Q2930" i="1"/>
  <c r="Q2945" i="1"/>
  <c r="Q2946" i="1"/>
  <c r="Q2943" i="1"/>
  <c r="Q2944" i="1"/>
  <c r="Q2940" i="1"/>
  <c r="Q2941" i="1"/>
  <c r="Q2942" i="1"/>
  <c r="Q2776" i="1"/>
  <c r="Q2769" i="1"/>
  <c r="Q2762" i="1"/>
  <c r="Q2755" i="1"/>
  <c r="Q2953" i="1"/>
  <c r="Q2952" i="1"/>
  <c r="Q2951" i="1"/>
  <c r="Q2966" i="1"/>
  <c r="Q2967" i="1"/>
  <c r="Q2964" i="1"/>
  <c r="Q2965" i="1"/>
  <c r="Q2961" i="1"/>
  <c r="Q2962" i="1"/>
  <c r="Q2963" i="1"/>
  <c r="Q2777" i="1"/>
  <c r="Q2770" i="1"/>
  <c r="Q2763" i="1"/>
  <c r="Q2756" i="1"/>
  <c r="Q2852" i="1"/>
  <c r="Q2877" i="1"/>
  <c r="Q2902" i="1"/>
  <c r="Q2926" i="1"/>
  <c r="Q2947" i="1"/>
  <c r="Q2697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680" i="1"/>
  <c r="Q2681" i="1"/>
  <c r="Q2682" i="1"/>
  <c r="Q2683" i="1"/>
  <c r="Q2684" i="1"/>
  <c r="Q2685" i="1"/>
  <c r="Q2686" i="1"/>
  <c r="Q2838" i="1"/>
  <c r="Q2839" i="1"/>
  <c r="Q2840" i="1"/>
  <c r="Q2841" i="1"/>
  <c r="Q2842" i="1"/>
  <c r="Q2843" i="1"/>
  <c r="Q2844" i="1"/>
  <c r="Q2863" i="1"/>
  <c r="Q2864" i="1"/>
  <c r="Q2865" i="1"/>
  <c r="Q2866" i="1"/>
  <c r="Q2867" i="1"/>
  <c r="Q2868" i="1"/>
  <c r="Q2869" i="1"/>
  <c r="Q2888" i="1"/>
  <c r="Q2889" i="1"/>
  <c r="Q2890" i="1"/>
  <c r="Q2891" i="1"/>
  <c r="Q2892" i="1"/>
  <c r="Q2893" i="1"/>
  <c r="Q2894" i="1"/>
  <c r="Q2912" i="1"/>
  <c r="Q2913" i="1"/>
  <c r="Q2914" i="1"/>
  <c r="Q2915" i="1"/>
  <c r="Q2916" i="1"/>
  <c r="Q2917" i="1"/>
  <c r="Q2918" i="1"/>
  <c r="Q2933" i="1"/>
  <c r="Q2934" i="1"/>
  <c r="Q2935" i="1"/>
  <c r="Q2936" i="1"/>
  <c r="Q2937" i="1"/>
  <c r="Q2938" i="1"/>
  <c r="Q2939" i="1"/>
  <c r="Q2954" i="1"/>
  <c r="Q2955" i="1"/>
  <c r="Q2956" i="1"/>
  <c r="Q2957" i="1"/>
  <c r="Q2958" i="1"/>
  <c r="Q2959" i="1"/>
  <c r="Q2960" i="1"/>
  <c r="AH574" i="1"/>
  <c r="AH576" i="1"/>
  <c r="AH555" i="1"/>
  <c r="AH567" i="1"/>
  <c r="AH575" i="1"/>
  <c r="AH501" i="1"/>
  <c r="AH527" i="1"/>
  <c r="AH524" i="1"/>
  <c r="AH500" i="1"/>
  <c r="AH502" i="1"/>
  <c r="AH499" i="1"/>
  <c r="AH577" i="1"/>
  <c r="AH526" i="1"/>
  <c r="AH498" i="1"/>
  <c r="AH568" i="1"/>
  <c r="AH513" i="1"/>
  <c r="AH514" i="1"/>
  <c r="AH572" i="1"/>
  <c r="AH573" i="1"/>
  <c r="AH496" i="1"/>
  <c r="AH565" i="1"/>
  <c r="AH548" i="1"/>
  <c r="AH525" i="1"/>
  <c r="AH582" i="1"/>
  <c r="AH2095" i="1"/>
  <c r="AH2081" i="1"/>
  <c r="AH2080" i="1"/>
  <c r="AH2082" i="1"/>
  <c r="AH1928" i="1"/>
  <c r="AH2056" i="1"/>
  <c r="AH2057" i="1"/>
  <c r="AH2058" i="1"/>
  <c r="AH2059" i="1"/>
  <c r="AH2060" i="1"/>
  <c r="AH2061" i="1"/>
  <c r="AH2062" i="1"/>
  <c r="AH2063" i="1"/>
  <c r="AH2064" i="1"/>
  <c r="AH2283" i="1"/>
  <c r="AH2284" i="1"/>
  <c r="AH2285" i="1"/>
  <c r="AH2286" i="1"/>
  <c r="AH2287" i="1"/>
  <c r="AH2288" i="1"/>
  <c r="AH2289" i="1"/>
  <c r="AH2290" i="1"/>
  <c r="AH2291" i="1"/>
  <c r="AH1924" i="1"/>
  <c r="AH2020" i="1"/>
  <c r="AH1984" i="1"/>
  <c r="AH2028" i="1"/>
  <c r="AH2019" i="1"/>
  <c r="AH2294" i="1"/>
  <c r="AH1902" i="1"/>
  <c r="AH1901" i="1"/>
  <c r="AH2011" i="1"/>
  <c r="AH1888" i="1"/>
  <c r="AH2159" i="1"/>
  <c r="AH2278" i="1"/>
  <c r="AH2146" i="1"/>
  <c r="AH2152" i="1"/>
  <c r="AH2133" i="1"/>
  <c r="AH2147" i="1"/>
  <c r="AH2148" i="1"/>
  <c r="AH2149" i="1"/>
  <c r="AH2150" i="1"/>
  <c r="AH2153" i="1"/>
  <c r="AH2154" i="1"/>
  <c r="AH2155" i="1"/>
  <c r="AH2156" i="1"/>
  <c r="AH2134" i="1"/>
  <c r="AH2135" i="1"/>
  <c r="AH2136" i="1"/>
  <c r="AH2137" i="1"/>
  <c r="AH2271" i="1"/>
  <c r="AH1978" i="1"/>
  <c r="AH1887" i="1"/>
  <c r="AH1939" i="1"/>
  <c r="AH1940" i="1"/>
  <c r="AH2109" i="1"/>
  <c r="AH2110" i="1"/>
  <c r="AH2111" i="1"/>
  <c r="AH2112" i="1"/>
  <c r="AH2113" i="1"/>
  <c r="AH2163" i="1"/>
  <c r="AH2268" i="1"/>
  <c r="AH1886" i="1"/>
  <c r="AH1994" i="1"/>
  <c r="AH1932" i="1"/>
  <c r="AH1933" i="1"/>
  <c r="AH2166" i="1"/>
  <c r="AH1941" i="1"/>
  <c r="AH1943" i="1"/>
  <c r="AH1942" i="1"/>
  <c r="AH1944" i="1"/>
  <c r="AH1937" i="1"/>
  <c r="AH1879" i="1"/>
  <c r="AH1936" i="1"/>
  <c r="AH1880" i="1"/>
  <c r="AH1504" i="1"/>
  <c r="AH1503" i="1"/>
  <c r="AH1929" i="1"/>
  <c r="AH1893" i="1"/>
  <c r="AH1983" i="1"/>
  <c r="AH1917" i="1"/>
  <c r="AH1927" i="1"/>
  <c r="AH2211" i="1"/>
  <c r="AH2100" i="1"/>
  <c r="AH1892" i="1"/>
  <c r="AH1882" i="1"/>
  <c r="AH1919" i="1"/>
  <c r="AH2282" i="1"/>
  <c r="AH2698" i="1"/>
  <c r="AH2858" i="1"/>
  <c r="AH2883" i="1"/>
  <c r="AH2908" i="1"/>
  <c r="AH2746" i="1"/>
  <c r="AH2747" i="1"/>
  <c r="AH2748" i="1"/>
  <c r="AH2749" i="1"/>
  <c r="AH2854" i="1"/>
  <c r="AH2879" i="1"/>
  <c r="AH2904" i="1"/>
  <c r="AH2855" i="1"/>
  <c r="AH2880" i="1"/>
  <c r="AH2905" i="1"/>
  <c r="AH2927" i="1"/>
  <c r="AH2948" i="1"/>
  <c r="AH2856" i="1"/>
  <c r="AH2881" i="1"/>
  <c r="AH2906" i="1"/>
  <c r="AH2928" i="1"/>
  <c r="AH2949" i="1"/>
  <c r="AH2968" i="1"/>
  <c r="AH2970" i="1"/>
  <c r="AH2972" i="1"/>
  <c r="AH2857" i="1"/>
  <c r="AH2882" i="1"/>
  <c r="AH2907" i="1"/>
  <c r="AH2929" i="1"/>
  <c r="AH2950" i="1"/>
  <c r="AH2969" i="1"/>
  <c r="AH2971" i="1"/>
  <c r="AH2973" i="1"/>
  <c r="AH2853" i="1"/>
  <c r="AH2878" i="1"/>
  <c r="AH2903" i="1"/>
  <c r="AH2694" i="1"/>
  <c r="AH2695" i="1"/>
  <c r="AH2699" i="1"/>
  <c r="AH2859" i="1"/>
  <c r="AH2884" i="1"/>
  <c r="AH2701" i="1"/>
  <c r="AH2702" i="1"/>
  <c r="AH2703" i="1"/>
  <c r="AH2696" i="1"/>
  <c r="AH2700" i="1"/>
  <c r="AH2679" i="1"/>
  <c r="AH2678" i="1"/>
  <c r="AH2677" i="1"/>
  <c r="AH2692" i="1"/>
  <c r="AH2693" i="1"/>
  <c r="AH2690" i="1"/>
  <c r="AH2691" i="1"/>
  <c r="AH2687" i="1"/>
  <c r="AH2688" i="1"/>
  <c r="AH2689" i="1"/>
  <c r="AH2771" i="1"/>
  <c r="AH2764" i="1"/>
  <c r="AH2757" i="1"/>
  <c r="AH2750" i="1"/>
  <c r="AH2837" i="1"/>
  <c r="AH2836" i="1"/>
  <c r="AH2835" i="1"/>
  <c r="AH2850" i="1"/>
  <c r="AH2851" i="1"/>
  <c r="AH2848" i="1"/>
  <c r="AH2849" i="1"/>
  <c r="AH2845" i="1"/>
  <c r="AH2846" i="1"/>
  <c r="AH2847" i="1"/>
  <c r="AH2772" i="1"/>
  <c r="AH2765" i="1"/>
  <c r="AH2758" i="1"/>
  <c r="AH2751" i="1"/>
  <c r="AH2862" i="1"/>
  <c r="AH2861" i="1"/>
  <c r="AH2860" i="1"/>
  <c r="AH2875" i="1"/>
  <c r="AH2876" i="1"/>
  <c r="AH2873" i="1"/>
  <c r="AH2874" i="1"/>
  <c r="AH2870" i="1"/>
  <c r="AH2871" i="1"/>
  <c r="AH2872" i="1"/>
  <c r="AH2773" i="1"/>
  <c r="AH2766" i="1"/>
  <c r="AH2759" i="1"/>
  <c r="AH2752" i="1"/>
  <c r="AH2887" i="1"/>
  <c r="AH2886" i="1"/>
  <c r="AH2885" i="1"/>
  <c r="AH2900" i="1"/>
  <c r="AH2901" i="1"/>
  <c r="AH2898" i="1"/>
  <c r="AH2899" i="1"/>
  <c r="AH2895" i="1"/>
  <c r="AH2896" i="1"/>
  <c r="AH2897" i="1"/>
  <c r="AH2774" i="1"/>
  <c r="AH2767" i="1"/>
  <c r="AH2760" i="1"/>
  <c r="AH2753" i="1"/>
  <c r="AH2911" i="1"/>
  <c r="AH2910" i="1"/>
  <c r="AH2909" i="1"/>
  <c r="AH2924" i="1"/>
  <c r="AH2925" i="1"/>
  <c r="AH2922" i="1"/>
  <c r="AH2923" i="1"/>
  <c r="AH2919" i="1"/>
  <c r="AH2920" i="1"/>
  <c r="AH2921" i="1"/>
  <c r="AH2775" i="1"/>
  <c r="AH2768" i="1"/>
  <c r="AH2761" i="1"/>
  <c r="AH2754" i="1"/>
  <c r="AH2932" i="1"/>
  <c r="AH2931" i="1"/>
  <c r="AH2930" i="1"/>
  <c r="AH2945" i="1"/>
  <c r="AH2946" i="1"/>
  <c r="AH2943" i="1"/>
  <c r="AH2944" i="1"/>
  <c r="AH2940" i="1"/>
  <c r="AH2941" i="1"/>
  <c r="AH2942" i="1"/>
  <c r="AH2776" i="1"/>
  <c r="AH2769" i="1"/>
  <c r="AH2762" i="1"/>
  <c r="AH2755" i="1"/>
  <c r="AH2953" i="1"/>
  <c r="AH2952" i="1"/>
  <c r="AH2951" i="1"/>
  <c r="AH2966" i="1"/>
  <c r="AH2967" i="1"/>
  <c r="AH2964" i="1"/>
  <c r="AH2965" i="1"/>
  <c r="AH2961" i="1"/>
  <c r="AH2962" i="1"/>
  <c r="AH2963" i="1"/>
  <c r="AH2777" i="1"/>
  <c r="AH2770" i="1"/>
  <c r="AH2763" i="1"/>
  <c r="AH2756" i="1"/>
  <c r="AH2852" i="1"/>
  <c r="AH2877" i="1"/>
  <c r="AH2902" i="1"/>
  <c r="AH2926" i="1"/>
  <c r="AH2947" i="1"/>
  <c r="AH2697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680" i="1"/>
  <c r="AH2681" i="1"/>
  <c r="AH2682" i="1"/>
  <c r="AH2683" i="1"/>
  <c r="AH2684" i="1"/>
  <c r="AH2685" i="1"/>
  <c r="AH2686" i="1"/>
  <c r="AH2838" i="1"/>
  <c r="AH2839" i="1"/>
  <c r="AH2840" i="1"/>
  <c r="AH2841" i="1"/>
  <c r="AH2842" i="1"/>
  <c r="AH2843" i="1"/>
  <c r="AH2844" i="1"/>
  <c r="AH2863" i="1"/>
  <c r="AH2864" i="1"/>
  <c r="AH2865" i="1"/>
  <c r="AH2866" i="1"/>
  <c r="AH2867" i="1"/>
  <c r="AH2868" i="1"/>
  <c r="AH2869" i="1"/>
  <c r="AH2888" i="1"/>
  <c r="AH2889" i="1"/>
  <c r="AH2890" i="1"/>
  <c r="AH2891" i="1"/>
  <c r="AH2892" i="1"/>
  <c r="AH2893" i="1"/>
  <c r="AH2894" i="1"/>
  <c r="AH2912" i="1"/>
  <c r="AH2913" i="1"/>
  <c r="AH2914" i="1"/>
  <c r="AH2915" i="1"/>
  <c r="AH2916" i="1"/>
  <c r="AH2917" i="1"/>
  <c r="AH2918" i="1"/>
  <c r="AH2933" i="1"/>
  <c r="AH2934" i="1"/>
  <c r="AH2935" i="1"/>
  <c r="AH2936" i="1"/>
  <c r="AH2937" i="1"/>
  <c r="AH2938" i="1"/>
  <c r="AH2939" i="1"/>
  <c r="AH2954" i="1"/>
  <c r="AH2955" i="1"/>
  <c r="AH2956" i="1"/>
  <c r="AH2957" i="1"/>
  <c r="AH2958" i="1"/>
  <c r="AH2959" i="1"/>
  <c r="AH2960" i="1"/>
  <c r="K2674" i="1"/>
  <c r="K62" i="1"/>
  <c r="K221" i="1"/>
  <c r="K631" i="1"/>
  <c r="K105" i="1"/>
  <c r="K176" i="1"/>
  <c r="K1558" i="1"/>
  <c r="K1616" i="1"/>
  <c r="K1610" i="1"/>
  <c r="K1608" i="1"/>
  <c r="K1611" i="1"/>
  <c r="K1606" i="1"/>
  <c r="K1615" i="1"/>
  <c r="K131" i="1"/>
  <c r="K134" i="1"/>
  <c r="K138" i="1"/>
  <c r="K141" i="1"/>
  <c r="K147" i="1"/>
  <c r="K148" i="1"/>
  <c r="K150" i="1"/>
  <c r="K190" i="1"/>
  <c r="K209" i="1"/>
  <c r="K211" i="1"/>
  <c r="K332" i="1"/>
  <c r="K199" i="1"/>
  <c r="K208" i="1"/>
  <c r="K191" i="1"/>
  <c r="K193" i="1"/>
  <c r="K212" i="1"/>
  <c r="K195" i="1"/>
  <c r="K200" i="1"/>
  <c r="K202" i="1"/>
  <c r="K203" i="1"/>
  <c r="K205" i="1"/>
  <c r="K210" i="1"/>
  <c r="K213" i="1"/>
  <c r="K215" i="1"/>
  <c r="K192" i="1"/>
  <c r="K217" i="1"/>
  <c r="K218" i="1"/>
  <c r="K219" i="1"/>
  <c r="K220" i="1"/>
  <c r="K292" i="1"/>
  <c r="K293" i="1"/>
  <c r="K294" i="1"/>
  <c r="K295" i="1"/>
  <c r="K296" i="1"/>
  <c r="K297" i="1"/>
  <c r="K331" i="1"/>
  <c r="K345" i="1"/>
  <c r="K316" i="1"/>
  <c r="K317" i="1"/>
  <c r="K313" i="1"/>
  <c r="K367" i="1"/>
  <c r="K377" i="1"/>
  <c r="K381" i="1"/>
  <c r="K318" i="1"/>
  <c r="K383" i="1"/>
  <c r="K319" i="1"/>
  <c r="K384" i="1"/>
  <c r="K347" i="1"/>
  <c r="K356" i="1"/>
  <c r="K355" i="1"/>
  <c r="K388" i="1"/>
  <c r="K360" i="1"/>
  <c r="K361" i="1"/>
  <c r="K333" i="1"/>
  <c r="K363" i="1"/>
  <c r="K364" i="1"/>
  <c r="K353" i="1"/>
  <c r="K379" i="1"/>
  <c r="K380" i="1"/>
  <c r="K382" i="1"/>
  <c r="K386" i="1"/>
  <c r="K389" i="1"/>
  <c r="K390" i="1"/>
  <c r="K391" i="1"/>
  <c r="K1963" i="1"/>
  <c r="K670" i="1"/>
  <c r="K671" i="1"/>
  <c r="K672" i="1"/>
  <c r="K673" i="1"/>
  <c r="K674" i="1"/>
  <c r="K697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6" i="1"/>
  <c r="K695" i="1"/>
  <c r="K702" i="1"/>
  <c r="K703" i="1"/>
  <c r="K711" i="1"/>
  <c r="K710" i="1"/>
  <c r="K713" i="1"/>
  <c r="K712" i="1"/>
  <c r="K704" i="1"/>
  <c r="K708" i="1"/>
  <c r="K705" i="1"/>
  <c r="K706" i="1"/>
  <c r="K707" i="1"/>
  <c r="K709" i="1"/>
  <c r="K742" i="1"/>
  <c r="K748" i="1"/>
  <c r="K759" i="1"/>
  <c r="K761" i="1"/>
  <c r="K746" i="1"/>
  <c r="K747" i="1"/>
  <c r="K764" i="1"/>
  <c r="K749" i="1"/>
  <c r="K754" i="1"/>
  <c r="K760" i="1"/>
  <c r="K762" i="1"/>
  <c r="K799" i="1"/>
  <c r="K848" i="1"/>
  <c r="K804" i="1"/>
  <c r="K813" i="1"/>
  <c r="K857" i="1"/>
  <c r="K858" i="1"/>
  <c r="K859" i="1"/>
  <c r="K945" i="1"/>
  <c r="K947" i="1"/>
  <c r="K946" i="1"/>
  <c r="K964" i="1"/>
  <c r="K967" i="1"/>
  <c r="K988" i="1"/>
  <c r="K989" i="1"/>
  <c r="K1004" i="1"/>
  <c r="K993" i="1"/>
  <c r="K1000" i="1"/>
  <c r="K991" i="1"/>
  <c r="K990" i="1"/>
  <c r="K992" i="1"/>
  <c r="K994" i="1"/>
  <c r="K995" i="1"/>
  <c r="K996" i="1"/>
  <c r="K997" i="1"/>
  <c r="K998" i="1"/>
  <c r="K999" i="1"/>
  <c r="K1002" i="1"/>
  <c r="K1003" i="1"/>
  <c r="K1047" i="1"/>
  <c r="K1046" i="1"/>
  <c r="K1048" i="1"/>
  <c r="K1038" i="1"/>
  <c r="K1090" i="1"/>
  <c r="K1088" i="1"/>
  <c r="K1089" i="1"/>
  <c r="K1095" i="1"/>
  <c r="K1107" i="1"/>
  <c r="K1108" i="1"/>
  <c r="K1112" i="1"/>
  <c r="K1104" i="1"/>
  <c r="K1105" i="1"/>
  <c r="K1113" i="1"/>
  <c r="K1091" i="1"/>
  <c r="K1092" i="1"/>
  <c r="K1094" i="1"/>
  <c r="K1096" i="1"/>
  <c r="K1097" i="1"/>
  <c r="K1099" i="1"/>
  <c r="K1100" i="1"/>
  <c r="K1103" i="1"/>
  <c r="K1106" i="1"/>
  <c r="K1109" i="1"/>
  <c r="K1110" i="1"/>
  <c r="K1111" i="1"/>
  <c r="K1117" i="1"/>
  <c r="K1118" i="1"/>
  <c r="K1119" i="1"/>
  <c r="K1120" i="1"/>
  <c r="K1114" i="1"/>
  <c r="K1115" i="1"/>
  <c r="K1059" i="1"/>
  <c r="K1060" i="1"/>
  <c r="K1058" i="1"/>
  <c r="K1061" i="1"/>
  <c r="K1062" i="1"/>
  <c r="K1063" i="1"/>
  <c r="K1064" i="1"/>
  <c r="K887" i="1"/>
  <c r="K888" i="1"/>
  <c r="K889" i="1"/>
  <c r="K1116" i="1"/>
  <c r="K1126" i="1"/>
  <c r="K1155" i="1"/>
  <c r="K1156" i="1"/>
  <c r="K1159" i="1"/>
  <c r="K1160" i="1"/>
  <c r="K1161" i="1"/>
  <c r="K1157" i="1"/>
  <c r="K1158" i="1"/>
  <c r="K1495" i="1"/>
  <c r="K1496" i="1"/>
  <c r="K1500" i="1"/>
  <c r="K1494" i="1"/>
  <c r="K1617" i="1"/>
  <c r="K1560" i="1"/>
  <c r="K1595" i="1"/>
  <c r="K1599" i="1"/>
  <c r="K1596" i="1"/>
  <c r="K1835" i="1"/>
  <c r="K1829" i="1"/>
  <c r="K1830" i="1"/>
  <c r="K1831" i="1"/>
  <c r="K1832" i="1"/>
  <c r="K1833" i="1"/>
  <c r="K1834" i="1"/>
  <c r="K2328" i="1"/>
  <c r="K2333" i="1"/>
  <c r="K2329" i="1"/>
  <c r="K2336" i="1"/>
  <c r="K2330" i="1"/>
  <c r="K2339" i="1"/>
  <c r="K2334" i="1"/>
  <c r="K2335" i="1"/>
  <c r="K2337" i="1"/>
  <c r="K2338" i="1"/>
  <c r="K2372" i="1"/>
  <c r="K2373" i="1"/>
  <c r="K2387" i="1"/>
  <c r="K2383" i="1"/>
  <c r="K2392" i="1"/>
  <c r="K2379" i="1"/>
  <c r="K2388" i="1"/>
  <c r="K2376" i="1"/>
  <c r="K2377" i="1"/>
  <c r="K2389" i="1"/>
  <c r="K2378" i="1"/>
  <c r="K2391" i="1"/>
  <c r="K2381" i="1"/>
  <c r="K2382" i="1"/>
  <c r="K2556" i="1"/>
  <c r="K2557" i="1"/>
  <c r="K2560" i="1"/>
  <c r="K2558" i="1"/>
  <c r="K2561" i="1"/>
  <c r="K2562" i="1"/>
  <c r="K2563" i="1"/>
  <c r="K2564" i="1"/>
  <c r="K2565" i="1"/>
  <c r="K2566" i="1"/>
  <c r="K2567" i="1"/>
  <c r="K2568" i="1"/>
  <c r="K2569" i="1"/>
  <c r="K2559" i="1"/>
  <c r="K2570" i="1"/>
  <c r="K2571" i="1"/>
  <c r="K2572" i="1"/>
  <c r="K2573" i="1"/>
  <c r="K2574" i="1"/>
  <c r="K2575" i="1"/>
  <c r="K2576" i="1"/>
  <c r="K2584" i="1"/>
  <c r="K2589" i="1"/>
  <c r="K2594" i="1"/>
  <c r="K2598" i="1"/>
  <c r="K2602" i="1"/>
  <c r="K2592" i="1"/>
  <c r="K2593" i="1"/>
  <c r="K2595" i="1"/>
  <c r="K2597" i="1"/>
  <c r="K2600" i="1"/>
  <c r="K2601" i="1"/>
  <c r="K2604" i="1"/>
  <c r="K2605" i="1"/>
  <c r="K2606" i="1"/>
  <c r="K3000" i="1"/>
  <c r="K3001" i="1"/>
  <c r="K3234" i="1"/>
  <c r="K3235" i="1"/>
  <c r="K3247" i="1"/>
  <c r="K3252" i="1"/>
  <c r="K3241" i="1"/>
  <c r="K3266" i="1"/>
  <c r="K3253" i="1"/>
  <c r="K3257" i="1"/>
  <c r="K3259" i="1"/>
  <c r="K3255" i="1"/>
  <c r="K3237" i="1"/>
  <c r="K3242" i="1"/>
  <c r="K3248" i="1"/>
  <c r="K3256" i="1"/>
  <c r="K3238" i="1"/>
  <c r="K3243" i="1"/>
  <c r="K3249" i="1"/>
  <c r="K3261" i="1"/>
  <c r="K3239" i="1"/>
  <c r="K3236" i="1"/>
  <c r="K3244" i="1"/>
  <c r="K3250" i="1"/>
  <c r="K3264" i="1"/>
  <c r="K3240" i="1"/>
  <c r="K3245" i="1"/>
  <c r="K3251" i="1"/>
  <c r="K3268" i="1"/>
  <c r="K1612" i="1"/>
  <c r="K1613" i="1"/>
  <c r="K1614" i="1"/>
  <c r="K3178" i="1"/>
  <c r="K3192" i="1"/>
  <c r="K3194" i="1"/>
  <c r="K3195" i="1"/>
  <c r="K3196" i="1"/>
  <c r="K3197" i="1"/>
  <c r="K3198" i="1"/>
  <c r="K73" i="1"/>
  <c r="K3193" i="1"/>
  <c r="K49" i="1"/>
  <c r="K52" i="1"/>
  <c r="K74" i="1"/>
  <c r="K108" i="1"/>
  <c r="K116" i="1"/>
  <c r="K87" i="1"/>
  <c r="K716" i="1"/>
  <c r="K717" i="1"/>
  <c r="K719" i="1"/>
  <c r="K720" i="1"/>
  <c r="K721" i="1"/>
  <c r="K723" i="1"/>
  <c r="K300" i="1"/>
  <c r="K301" i="1"/>
  <c r="K298" i="1"/>
  <c r="K343" i="1"/>
  <c r="K340" i="1"/>
  <c r="K344" i="1"/>
  <c r="K411" i="1"/>
  <c r="K420" i="1"/>
  <c r="K422" i="1"/>
  <c r="K423" i="1"/>
  <c r="K398" i="1"/>
  <c r="K399" i="1"/>
  <c r="K414" i="1"/>
  <c r="K415" i="1"/>
  <c r="K400" i="1"/>
  <c r="K406" i="1"/>
  <c r="K427" i="1"/>
  <c r="K428" i="1"/>
  <c r="K407" i="1"/>
  <c r="K408" i="1"/>
  <c r="K435" i="1"/>
  <c r="K401" i="1"/>
  <c r="K402" i="1"/>
  <c r="K409" i="1"/>
  <c r="K417" i="1"/>
  <c r="K412" i="1"/>
  <c r="K424" i="1"/>
  <c r="K432" i="1"/>
  <c r="K425" i="1"/>
  <c r="K426" i="1"/>
  <c r="K436" i="1"/>
  <c r="K416" i="1"/>
  <c r="K429" i="1"/>
  <c r="K430" i="1"/>
  <c r="K431" i="1"/>
  <c r="K437" i="1"/>
  <c r="K433" i="1"/>
  <c r="K434" i="1"/>
  <c r="K438" i="1"/>
  <c r="K441" i="1"/>
  <c r="K442" i="1"/>
  <c r="K439" i="1"/>
  <c r="K443" i="1"/>
  <c r="K440" i="1"/>
  <c r="K444" i="1"/>
  <c r="K449" i="1"/>
  <c r="K460" i="1"/>
  <c r="K463" i="1"/>
  <c r="K464" i="1"/>
  <c r="K462" i="1"/>
  <c r="K461" i="1"/>
  <c r="K468" i="1"/>
  <c r="K465" i="1"/>
  <c r="K469" i="1"/>
  <c r="K466" i="1"/>
  <c r="K628" i="1"/>
  <c r="K629" i="1"/>
  <c r="K626" i="1"/>
  <c r="K627" i="1"/>
  <c r="K718" i="1"/>
  <c r="K725" i="1"/>
  <c r="K728" i="1"/>
  <c r="K731" i="1"/>
  <c r="K729" i="1"/>
  <c r="K664" i="1"/>
  <c r="K665" i="1"/>
  <c r="K667" i="1"/>
  <c r="K666" i="1"/>
  <c r="K663" i="1"/>
  <c r="K668" i="1"/>
  <c r="K783" i="1"/>
  <c r="K784" i="1"/>
  <c r="K785" i="1"/>
  <c r="K786" i="1"/>
  <c r="K795" i="1"/>
  <c r="K787" i="1"/>
  <c r="K788" i="1"/>
  <c r="K789" i="1"/>
  <c r="K790" i="1"/>
  <c r="K791" i="1"/>
  <c r="K793" i="1"/>
  <c r="K792" i="1"/>
  <c r="K794" i="1"/>
  <c r="K796" i="1"/>
  <c r="K840" i="1"/>
  <c r="K810" i="1"/>
  <c r="K811" i="1"/>
  <c r="K812" i="1"/>
  <c r="K814" i="1"/>
  <c r="K815" i="1"/>
  <c r="K829" i="1"/>
  <c r="K842" i="1"/>
  <c r="K806" i="1"/>
  <c r="K807" i="1"/>
  <c r="K837" i="1"/>
  <c r="K838" i="1"/>
  <c r="K839" i="1"/>
  <c r="K822" i="1"/>
  <c r="K841" i="1"/>
  <c r="K824" i="1"/>
  <c r="K830" i="1"/>
  <c r="K832" i="1"/>
  <c r="K849" i="1"/>
  <c r="K850" i="1"/>
  <c r="K851" i="1"/>
  <c r="K852" i="1"/>
  <c r="K853" i="1"/>
  <c r="K854" i="1"/>
  <c r="K855" i="1"/>
  <c r="K930" i="1"/>
  <c r="K856" i="1"/>
  <c r="K1093" i="1"/>
  <c r="K1098" i="1"/>
  <c r="K1101" i="1"/>
  <c r="K1102" i="1"/>
  <c r="K932" i="1"/>
  <c r="K933" i="1"/>
  <c r="K952" i="1"/>
  <c r="K934" i="1"/>
  <c r="K935" i="1"/>
  <c r="K936" i="1"/>
  <c r="K937" i="1"/>
  <c r="K938" i="1"/>
  <c r="K939" i="1"/>
  <c r="K940" i="1"/>
  <c r="K941" i="1"/>
  <c r="K942" i="1"/>
  <c r="K931" i="1"/>
  <c r="K943" i="1"/>
  <c r="K944" i="1"/>
  <c r="K948" i="1"/>
  <c r="K949" i="1"/>
  <c r="K1082" i="1"/>
  <c r="K1081" i="1"/>
  <c r="K1083" i="1"/>
  <c r="K1085" i="1"/>
  <c r="K1084" i="1"/>
  <c r="K1086" i="1"/>
  <c r="K1127" i="1"/>
  <c r="K1129" i="1"/>
  <c r="K1122" i="1"/>
  <c r="K1130" i="1"/>
  <c r="K1123" i="1"/>
  <c r="K1124" i="1"/>
  <c r="K1125" i="1"/>
  <c r="K1131" i="1"/>
  <c r="K1132" i="1"/>
  <c r="K1564" i="1"/>
  <c r="K1565" i="1"/>
  <c r="K1566" i="1"/>
  <c r="K1567" i="1"/>
  <c r="K1568" i="1"/>
  <c r="K1569" i="1"/>
  <c r="K1577" i="1"/>
  <c r="K1580" i="1"/>
  <c r="K1581" i="1"/>
  <c r="K1582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85" i="1"/>
  <c r="K1286" i="1"/>
  <c r="K1280" i="1"/>
  <c r="K1287" i="1"/>
  <c r="K1284" i="1"/>
  <c r="K1288" i="1"/>
  <c r="K1404" i="1"/>
  <c r="K1440" i="1"/>
  <c r="K1447" i="1"/>
  <c r="K1448" i="1"/>
  <c r="K1452" i="1"/>
  <c r="K1444" i="1"/>
  <c r="K1445" i="1"/>
  <c r="K1446" i="1"/>
  <c r="K1457" i="1"/>
  <c r="K1458" i="1"/>
  <c r="K1459" i="1"/>
  <c r="K1460" i="1"/>
  <c r="K1461" i="1"/>
  <c r="K1498" i="1"/>
  <c r="K1497" i="1"/>
  <c r="K1499" i="1"/>
  <c r="K1505" i="1"/>
  <c r="K650" i="1"/>
  <c r="K646" i="1"/>
  <c r="K634" i="1"/>
  <c r="K635" i="1"/>
  <c r="K633" i="1"/>
  <c r="K636" i="1"/>
  <c r="K637" i="1"/>
  <c r="K640" i="1"/>
  <c r="K639" i="1"/>
  <c r="K641" i="1"/>
  <c r="K642" i="1"/>
  <c r="K644" i="1"/>
  <c r="K645" i="1"/>
  <c r="K638" i="1"/>
  <c r="K647" i="1"/>
  <c r="K651" i="1"/>
  <c r="K1527" i="1"/>
  <c r="K1583" i="1"/>
  <c r="K1584" i="1"/>
  <c r="K1585" i="1"/>
  <c r="K1586" i="1"/>
  <c r="K1587" i="1"/>
  <c r="K1592" i="1"/>
  <c r="K1591" i="1"/>
  <c r="K1590" i="1"/>
  <c r="K1593" i="1"/>
  <c r="K1588" i="1"/>
  <c r="K1594" i="1"/>
  <c r="K1604" i="1"/>
  <c r="K1603" i="1"/>
  <c r="K1602" i="1"/>
  <c r="K1863" i="1"/>
  <c r="K1852" i="1"/>
  <c r="K1853" i="1"/>
  <c r="K1867" i="1"/>
  <c r="K1854" i="1"/>
  <c r="K1866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407" i="1"/>
  <c r="K2408" i="1"/>
  <c r="K2409" i="1"/>
  <c r="K2499" i="1"/>
  <c r="K2500" i="1"/>
  <c r="K2501" i="1"/>
  <c r="K2506" i="1"/>
  <c r="K2502" i="1"/>
  <c r="K2503" i="1"/>
  <c r="K2504" i="1"/>
  <c r="K2505" i="1"/>
  <c r="K2660" i="1"/>
  <c r="K2663" i="1"/>
  <c r="K2661" i="1"/>
  <c r="K2662" i="1"/>
  <c r="K2985" i="1"/>
  <c r="K2704" i="1"/>
  <c r="K2705" i="1"/>
  <c r="K2706" i="1"/>
  <c r="K2707" i="1"/>
  <c r="K2708" i="1"/>
  <c r="K2833" i="1"/>
  <c r="K2709" i="1"/>
  <c r="K2978" i="1"/>
  <c r="K2979" i="1"/>
  <c r="K2732" i="1"/>
  <c r="K2734" i="1"/>
  <c r="K2733" i="1"/>
  <c r="K2736" i="1"/>
  <c r="K2735" i="1"/>
  <c r="K2738" i="1"/>
  <c r="K2739" i="1"/>
  <c r="K2740" i="1"/>
  <c r="K2741" i="1"/>
  <c r="K2742" i="1"/>
  <c r="K2743" i="1"/>
  <c r="K2744" i="1"/>
  <c r="K2745" i="1"/>
  <c r="K2974" i="1"/>
  <c r="K2778" i="1"/>
  <c r="K2984" i="1"/>
  <c r="K2981" i="1"/>
  <c r="K2982" i="1"/>
  <c r="K2983" i="1"/>
  <c r="K2831" i="1"/>
  <c r="K2986" i="1"/>
  <c r="K2990" i="1"/>
  <c r="K2993" i="1"/>
  <c r="K2991" i="1"/>
  <c r="K2992" i="1"/>
  <c r="K3017" i="1"/>
  <c r="K3018" i="1"/>
  <c r="K3019" i="1"/>
  <c r="K3020" i="1"/>
  <c r="K3021" i="1"/>
  <c r="K3026" i="1"/>
  <c r="K3027" i="1"/>
  <c r="K3215" i="1"/>
  <c r="K3199" i="1"/>
  <c r="K3219" i="1"/>
  <c r="K3203" i="1"/>
  <c r="K3207" i="1"/>
  <c r="K3221" i="1"/>
  <c r="K3223" i="1"/>
  <c r="K3224" i="1"/>
  <c r="K3220" i="1"/>
  <c r="K3211" i="1"/>
  <c r="K3227" i="1"/>
  <c r="K3230" i="1"/>
  <c r="K3231" i="1"/>
  <c r="K3212" i="1"/>
  <c r="K3216" i="1"/>
  <c r="K3200" i="1"/>
  <c r="K3201" i="1"/>
  <c r="K3202" i="1"/>
  <c r="K3225" i="1"/>
  <c r="K3204" i="1"/>
  <c r="K3205" i="1"/>
  <c r="K3206" i="1"/>
  <c r="K3213" i="1"/>
  <c r="K3229" i="1"/>
  <c r="K3214" i="1"/>
  <c r="K3208" i="1"/>
  <c r="K3209" i="1"/>
  <c r="K3210" i="1"/>
  <c r="K3232" i="1"/>
  <c r="K3233" i="1"/>
  <c r="K3271" i="1"/>
  <c r="K3270" i="1"/>
  <c r="K48" i="1"/>
  <c r="K53" i="1"/>
  <c r="K64" i="1"/>
  <c r="K75" i="1"/>
  <c r="K1470" i="1"/>
  <c r="K1607" i="1"/>
  <c r="K63" i="1"/>
  <c r="K392" i="1"/>
  <c r="K394" i="1"/>
  <c r="K395" i="1"/>
  <c r="K393" i="1"/>
  <c r="K1372" i="1"/>
  <c r="K1373" i="1"/>
  <c r="K1375" i="1"/>
  <c r="K1374" i="1"/>
  <c r="K1423" i="1"/>
  <c r="K1429" i="1"/>
  <c r="K1430" i="1"/>
  <c r="K1424" i="1"/>
  <c r="K1431" i="1"/>
  <c r="K1425" i="1"/>
  <c r="K1426" i="1"/>
  <c r="K1435" i="1"/>
  <c r="K1427" i="1"/>
  <c r="K1432" i="1"/>
  <c r="K1428" i="1"/>
  <c r="K1433" i="1"/>
  <c r="K1434" i="1"/>
  <c r="K1648" i="1"/>
  <c r="K1649" i="1"/>
  <c r="K1650" i="1"/>
  <c r="K1670" i="1"/>
  <c r="K1651" i="1"/>
  <c r="K1673" i="1"/>
  <c r="K1652" i="1"/>
  <c r="K1679" i="1"/>
  <c r="K1653" i="1"/>
  <c r="K1654" i="1"/>
  <c r="K1655" i="1"/>
  <c r="K1656" i="1"/>
  <c r="K1657" i="1"/>
  <c r="K1663" i="1"/>
  <c r="K1669" i="1"/>
  <c r="K1686" i="1"/>
  <c r="K1687" i="1"/>
  <c r="K1688" i="1"/>
  <c r="K1683" i="1"/>
  <c r="K1689" i="1"/>
  <c r="K1792" i="1"/>
  <c r="K1785" i="1"/>
  <c r="K1794" i="1"/>
  <c r="K1795" i="1"/>
  <c r="K1788" i="1"/>
  <c r="K1797" i="1"/>
  <c r="K1799" i="1"/>
  <c r="K1790" i="1"/>
  <c r="K1793" i="1"/>
  <c r="K1786" i="1"/>
  <c r="K1787" i="1"/>
  <c r="K1796" i="1"/>
  <c r="K1798" i="1"/>
  <c r="K1789" i="1"/>
  <c r="K1791" i="1"/>
  <c r="K1800" i="1"/>
  <c r="K2393" i="1"/>
  <c r="K2396" i="1"/>
  <c r="K2397" i="1"/>
  <c r="K2394" i="1"/>
  <c r="K2398" i="1"/>
  <c r="K2395" i="1"/>
  <c r="K2399" i="1"/>
  <c r="K2410" i="1"/>
  <c r="K2411" i="1"/>
  <c r="K2457" i="1"/>
  <c r="K2412" i="1"/>
  <c r="K2413" i="1"/>
  <c r="K2414" i="1"/>
  <c r="K2456" i="1"/>
  <c r="K2415" i="1"/>
  <c r="K2416" i="1"/>
  <c r="K2442" i="1"/>
  <c r="K2449" i="1"/>
  <c r="K2448" i="1"/>
  <c r="K2450" i="1"/>
  <c r="K2451" i="1"/>
  <c r="K2452" i="1"/>
  <c r="K2453" i="1"/>
  <c r="K2454" i="1"/>
  <c r="K2455" i="1"/>
  <c r="K2461" i="1"/>
  <c r="K2460" i="1"/>
  <c r="K2468" i="1"/>
  <c r="K2469" i="1"/>
  <c r="K2463" i="1"/>
  <c r="K2465" i="1"/>
  <c r="K2466" i="1"/>
  <c r="K2470" i="1"/>
  <c r="K2462" i="1"/>
  <c r="K2464" i="1"/>
  <c r="K2467" i="1"/>
  <c r="K2474" i="1"/>
  <c r="K2473" i="1"/>
  <c r="K2472" i="1"/>
  <c r="K2475" i="1"/>
  <c r="K2476" i="1"/>
  <c r="K2478" i="1"/>
  <c r="K2479" i="1"/>
  <c r="K2441" i="1"/>
  <c r="K2444" i="1"/>
  <c r="K2480" i="1"/>
  <c r="K2446" i="1"/>
  <c r="K2447" i="1"/>
  <c r="K2458" i="1"/>
  <c r="K2459" i="1"/>
  <c r="K2477" i="1"/>
  <c r="K2481" i="1"/>
  <c r="K2538" i="1"/>
  <c r="K2542" i="1"/>
  <c r="K2553" i="1"/>
  <c r="K2549" i="1"/>
  <c r="K2550" i="1"/>
  <c r="K3166" i="1"/>
  <c r="K3167" i="1"/>
  <c r="K3164" i="1"/>
  <c r="K3165" i="1"/>
  <c r="K3162" i="1"/>
  <c r="K3158" i="1"/>
  <c r="K3161" i="1"/>
  <c r="K3163" i="1"/>
  <c r="K3168" i="1"/>
  <c r="K3159" i="1"/>
  <c r="K3160" i="1"/>
  <c r="K3285" i="1"/>
  <c r="K3287" i="1"/>
  <c r="K3284" i="1"/>
  <c r="K3286" i="1"/>
  <c r="K3288" i="1"/>
  <c r="K121" i="1"/>
  <c r="K122" i="1"/>
  <c r="K123" i="1"/>
  <c r="K124" i="1"/>
  <c r="K125" i="1"/>
  <c r="K126" i="1"/>
  <c r="K127" i="1"/>
  <c r="K1506" i="1"/>
  <c r="K1507" i="1"/>
  <c r="K1508" i="1"/>
  <c r="K1509" i="1"/>
  <c r="K1510" i="1"/>
  <c r="K1511" i="1"/>
  <c r="K1845" i="1"/>
  <c r="K1850" i="1"/>
  <c r="K1847" i="1"/>
  <c r="K1848" i="1"/>
  <c r="K1851" i="1"/>
  <c r="K1849" i="1"/>
  <c r="K875" i="1"/>
  <c r="K893" i="1"/>
  <c r="K895" i="1"/>
  <c r="K896" i="1"/>
  <c r="K897" i="1"/>
  <c r="K921" i="1"/>
  <c r="K925" i="1"/>
  <c r="K926" i="1"/>
  <c r="K927" i="1"/>
  <c r="K928" i="1"/>
  <c r="K929" i="1"/>
  <c r="K987" i="1"/>
  <c r="K1018" i="1"/>
  <c r="K1020" i="1"/>
  <c r="K1033" i="1"/>
  <c r="K1056" i="1"/>
  <c r="K1078" i="1"/>
  <c r="K1087" i="1"/>
  <c r="K82" i="1"/>
  <c r="K83" i="1"/>
  <c r="K84" i="1"/>
  <c r="K85" i="1"/>
  <c r="K86" i="1"/>
  <c r="K1526" i="1"/>
  <c r="K1225" i="1"/>
  <c r="K1224" i="1"/>
  <c r="K1227" i="1"/>
  <c r="K2533" i="1"/>
  <c r="K2534" i="1"/>
  <c r="K2547" i="1"/>
  <c r="K2548" i="1"/>
  <c r="K2535" i="1"/>
  <c r="K2536" i="1"/>
  <c r="K2537" i="1"/>
  <c r="K2539" i="1"/>
  <c r="K2540" i="1"/>
  <c r="K2541" i="1"/>
  <c r="K2543" i="1"/>
  <c r="K2544" i="1"/>
  <c r="K2551" i="1"/>
  <c r="K2545" i="1"/>
  <c r="K2546" i="1"/>
  <c r="K2552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65" i="1"/>
  <c r="K1304" i="1"/>
  <c r="K1305" i="1"/>
  <c r="K1331" i="1"/>
  <c r="K1306" i="1"/>
  <c r="K1307" i="1"/>
  <c r="K1308" i="1"/>
  <c r="K1309" i="1"/>
  <c r="K1310" i="1"/>
  <c r="K1311" i="1"/>
  <c r="K1312" i="1"/>
  <c r="K1313" i="1"/>
  <c r="K1314" i="1"/>
  <c r="K1315" i="1"/>
  <c r="K1359" i="1"/>
  <c r="K1366" i="1"/>
  <c r="K1360" i="1"/>
  <c r="K1361" i="1"/>
  <c r="K1362" i="1"/>
  <c r="K1363" i="1"/>
  <c r="K1364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2" i="1"/>
  <c r="K1333" i="1"/>
  <c r="K1334" i="1"/>
  <c r="K1367" i="1"/>
  <c r="K1368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69" i="1"/>
  <c r="K1371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70" i="1"/>
  <c r="K630" i="1"/>
  <c r="K1471" i="1"/>
  <c r="K78" i="1"/>
  <c r="K79" i="1"/>
  <c r="K80" i="1"/>
  <c r="K81" i="1"/>
  <c r="K88" i="1"/>
  <c r="K89" i="1"/>
  <c r="K90" i="1"/>
  <c r="K91" i="1"/>
  <c r="K92" i="1"/>
  <c r="K93" i="1"/>
  <c r="K94" i="1"/>
  <c r="K95" i="1"/>
  <c r="K97" i="1"/>
  <c r="K98" i="1"/>
  <c r="K99" i="1"/>
  <c r="K100" i="1"/>
  <c r="K101" i="1"/>
  <c r="K102" i="1"/>
  <c r="K103" i="1"/>
  <c r="K104" i="1"/>
  <c r="K107" i="1"/>
  <c r="K109" i="1"/>
  <c r="K110" i="1"/>
  <c r="K112" i="1"/>
  <c r="K3278" i="1"/>
  <c r="K3280" i="1"/>
  <c r="K3281" i="1"/>
  <c r="K3283" i="1"/>
  <c r="K3276" i="1"/>
  <c r="K3277" i="1"/>
  <c r="K3273" i="1"/>
  <c r="K3274" i="1"/>
  <c r="K3279" i="1"/>
  <c r="K327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71" i="1"/>
  <c r="K170" i="1"/>
  <c r="K169" i="1"/>
  <c r="K172" i="1"/>
  <c r="K173" i="1"/>
  <c r="K174" i="1"/>
  <c r="K151" i="1"/>
  <c r="K152" i="1"/>
  <c r="K153" i="1"/>
  <c r="K154" i="1"/>
  <c r="K155" i="1"/>
  <c r="K732" i="1"/>
  <c r="K733" i="1"/>
  <c r="K734" i="1"/>
  <c r="K735" i="1"/>
  <c r="K736" i="1"/>
  <c r="K737" i="1"/>
  <c r="K738" i="1"/>
  <c r="K739" i="1"/>
  <c r="K740" i="1"/>
  <c r="K1135" i="1"/>
  <c r="K1136" i="1"/>
  <c r="K1137" i="1"/>
  <c r="K1138" i="1"/>
  <c r="K1139" i="1"/>
  <c r="K1140" i="1"/>
  <c r="K1143" i="1"/>
  <c r="K1144" i="1"/>
  <c r="K1145" i="1"/>
  <c r="K1146" i="1"/>
  <c r="K1147" i="1"/>
  <c r="K1148" i="1"/>
  <c r="K1149" i="1"/>
  <c r="K1152" i="1"/>
  <c r="K1153" i="1"/>
  <c r="K1154" i="1"/>
  <c r="K1141" i="1"/>
  <c r="K1142" i="1"/>
  <c r="K1150" i="1"/>
  <c r="K1151" i="1"/>
  <c r="K1162" i="1"/>
  <c r="K1163" i="1"/>
  <c r="K1164" i="1"/>
  <c r="K116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95" i="1"/>
  <c r="K1396" i="1"/>
  <c r="K1397" i="1"/>
  <c r="K1398" i="1"/>
  <c r="K1399" i="1"/>
  <c r="K1400" i="1"/>
  <c r="K1401" i="1"/>
  <c r="K1402" i="1"/>
  <c r="K1403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54" i="1"/>
  <c r="K1455" i="1"/>
  <c r="K1474" i="1"/>
  <c r="K1476" i="1"/>
  <c r="K1479" i="1"/>
  <c r="K1475" i="1"/>
  <c r="K1477" i="1"/>
  <c r="K1478" i="1"/>
  <c r="K1480" i="1"/>
  <c r="K1481" i="1"/>
  <c r="K1528" i="1"/>
  <c r="K1529" i="1"/>
  <c r="K1530" i="1"/>
  <c r="K1531" i="1"/>
  <c r="K1532" i="1"/>
  <c r="K1538" i="1"/>
  <c r="K1533" i="1"/>
  <c r="K1534" i="1"/>
  <c r="K1535" i="1"/>
  <c r="K1536" i="1"/>
  <c r="K1537" i="1"/>
  <c r="K1539" i="1"/>
  <c r="K1722" i="1"/>
  <c r="K1723" i="1"/>
  <c r="K1724" i="1"/>
  <c r="K1725" i="1"/>
  <c r="K1726" i="1"/>
  <c r="K1728" i="1"/>
  <c r="K1731" i="1"/>
  <c r="K1744" i="1"/>
  <c r="K1779" i="1"/>
  <c r="K1781" i="1"/>
  <c r="K1801" i="1"/>
  <c r="K1802" i="1"/>
  <c r="K1803" i="1"/>
  <c r="K1804" i="1"/>
  <c r="K1805" i="1"/>
  <c r="K1806" i="1"/>
  <c r="K1807" i="1"/>
  <c r="K1808" i="1"/>
  <c r="K1813" i="1"/>
  <c r="K1822" i="1"/>
  <c r="K1823" i="1"/>
  <c r="K1824" i="1"/>
  <c r="K1826" i="1"/>
  <c r="K1828" i="1"/>
  <c r="K1814" i="1"/>
  <c r="K1815" i="1"/>
  <c r="K1816" i="1"/>
  <c r="K1817" i="1"/>
  <c r="K1818" i="1"/>
  <c r="K1819" i="1"/>
  <c r="K1820" i="1"/>
  <c r="K1821" i="1"/>
  <c r="K1825" i="1"/>
  <c r="K1827" i="1"/>
  <c r="K1836" i="1"/>
  <c r="K1837" i="1"/>
  <c r="K1841" i="1"/>
  <c r="K1838" i="1"/>
  <c r="K1839" i="1"/>
  <c r="K1840" i="1"/>
  <c r="K1842" i="1"/>
  <c r="K1843" i="1"/>
  <c r="K1844" i="1"/>
  <c r="K1846" i="1"/>
  <c r="K2340" i="1"/>
  <c r="K2341" i="1"/>
  <c r="K2346" i="1"/>
  <c r="K2342" i="1"/>
  <c r="K2343" i="1"/>
  <c r="K2344" i="1"/>
  <c r="K2345" i="1"/>
  <c r="K2618" i="1"/>
  <c r="K2616" i="1"/>
  <c r="K2619" i="1"/>
  <c r="K2617" i="1"/>
  <c r="K2675" i="1"/>
  <c r="K2676" i="1"/>
  <c r="K3272" i="1"/>
  <c r="K1559" i="1"/>
  <c r="K50" i="1"/>
  <c r="K76" i="1"/>
  <c r="K111" i="1"/>
  <c r="K128" i="1"/>
  <c r="K223" i="1"/>
  <c r="K224" i="1"/>
  <c r="K225" i="1"/>
  <c r="K283" i="1"/>
  <c r="K270" i="1"/>
  <c r="K226" i="1"/>
  <c r="K227" i="1"/>
  <c r="K228" i="1"/>
  <c r="K229" i="1"/>
  <c r="K230" i="1"/>
  <c r="K231" i="1"/>
  <c r="K232" i="1"/>
  <c r="K286" i="1"/>
  <c r="K287" i="1"/>
  <c r="K255" i="1"/>
  <c r="K257" i="1"/>
  <c r="K258" i="1"/>
  <c r="K259" i="1"/>
  <c r="K260" i="1"/>
  <c r="K261" i="1"/>
  <c r="K262" i="1"/>
  <c r="K263" i="1"/>
  <c r="K264" i="1"/>
  <c r="K256" i="1"/>
  <c r="K233" i="1"/>
  <c r="K234" i="1"/>
  <c r="K268" i="1"/>
  <c r="K269" i="1"/>
  <c r="K271" i="1"/>
  <c r="K272" i="1"/>
  <c r="K273" i="1"/>
  <c r="K277" i="1"/>
  <c r="K279" i="1"/>
  <c r="K280" i="1"/>
  <c r="K282" i="1"/>
  <c r="K284" i="1"/>
  <c r="K288" i="1"/>
  <c r="K235" i="1"/>
  <c r="K265" i="1"/>
  <c r="K239" i="1"/>
  <c r="K274" i="1"/>
  <c r="K275" i="1"/>
  <c r="K240" i="1"/>
  <c r="K281" i="1"/>
  <c r="K241" i="1"/>
  <c r="K254" i="1"/>
  <c r="K289" i="1"/>
  <c r="K751" i="1"/>
  <c r="K1389" i="1"/>
  <c r="K1524" i="1"/>
  <c r="K1525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8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113" i="1"/>
  <c r="K114" i="1"/>
  <c r="K115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7" i="1"/>
  <c r="K1729" i="1"/>
  <c r="K1730" i="1"/>
  <c r="K1777" i="1"/>
  <c r="K1778" i="1"/>
  <c r="K1784" i="1"/>
  <c r="K1780" i="1"/>
  <c r="K1782" i="1"/>
  <c r="K1783" i="1"/>
  <c r="K2527" i="1"/>
  <c r="K2530" i="1"/>
  <c r="K2526" i="1"/>
  <c r="K2522" i="1"/>
  <c r="K2523" i="1"/>
  <c r="K2528" i="1"/>
  <c r="K2529" i="1"/>
  <c r="K2524" i="1"/>
  <c r="K2531" i="1"/>
  <c r="K2525" i="1"/>
  <c r="K2532" i="1"/>
  <c r="K3127" i="1"/>
  <c r="K3128" i="1"/>
  <c r="K3129" i="1"/>
  <c r="K3130" i="1"/>
  <c r="K1915" i="1"/>
  <c r="K1916" i="1"/>
  <c r="K1955" i="1"/>
  <c r="K1954" i="1"/>
  <c r="K1956" i="1"/>
  <c r="K1969" i="1"/>
  <c r="K1966" i="1"/>
  <c r="K1975" i="1"/>
  <c r="K492" i="1"/>
  <c r="K491" i="1"/>
  <c r="K493" i="1"/>
  <c r="K504" i="1"/>
  <c r="K505" i="1"/>
  <c r="K506" i="1"/>
  <c r="K507" i="1"/>
  <c r="K503" i="1"/>
  <c r="K511" i="1"/>
  <c r="K508" i="1"/>
  <c r="K509" i="1"/>
  <c r="K510" i="1"/>
  <c r="K512" i="1"/>
  <c r="K535" i="1"/>
  <c r="K539" i="1"/>
  <c r="K530" i="1"/>
  <c r="K531" i="1"/>
  <c r="K532" i="1"/>
  <c r="K536" i="1"/>
  <c r="K537" i="1"/>
  <c r="K541" i="1"/>
  <c r="K542" i="1"/>
  <c r="K543" i="1"/>
  <c r="K545" i="1"/>
  <c r="K550" i="1"/>
  <c r="K579" i="1"/>
  <c r="K581" i="1"/>
  <c r="K599" i="1"/>
  <c r="K583" i="1"/>
  <c r="K495" i="1"/>
  <c r="K500" i="1"/>
  <c r="K521" i="1"/>
  <c r="K515" i="1"/>
  <c r="K516" i="1"/>
  <c r="K517" i="1"/>
  <c r="K518" i="1"/>
  <c r="K519" i="1"/>
  <c r="K520" i="1"/>
  <c r="K522" i="1"/>
  <c r="K523" i="1"/>
  <c r="K552" i="1"/>
  <c r="K553" i="1"/>
  <c r="K556" i="1"/>
  <c r="K558" i="1"/>
  <c r="K559" i="1"/>
  <c r="K560" i="1"/>
  <c r="K561" i="1"/>
  <c r="K562" i="1"/>
  <c r="K563" i="1"/>
  <c r="K554" i="1"/>
  <c r="K557" i="1"/>
  <c r="K564" i="1"/>
  <c r="K566" i="1"/>
  <c r="K569" i="1"/>
  <c r="K570" i="1"/>
  <c r="K571" i="1"/>
  <c r="K578" i="1"/>
  <c r="K580" i="1"/>
  <c r="K591" i="1"/>
  <c r="K586" i="1"/>
  <c r="K587" i="1"/>
  <c r="K588" i="1"/>
  <c r="K589" i="1"/>
  <c r="K590" i="1"/>
  <c r="K592" i="1"/>
  <c r="K593" i="1"/>
  <c r="K594" i="1"/>
  <c r="K595" i="1"/>
  <c r="K596" i="1"/>
  <c r="K597" i="1"/>
  <c r="K598" i="1"/>
  <c r="K584" i="1"/>
  <c r="K585" i="1"/>
  <c r="K601" i="1"/>
  <c r="K602" i="1"/>
  <c r="K600" i="1"/>
  <c r="K603" i="1"/>
  <c r="K604" i="1"/>
  <c r="K605" i="1"/>
  <c r="K1166" i="1"/>
  <c r="K1167" i="1"/>
  <c r="K1168" i="1"/>
  <c r="K1169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173" i="1"/>
  <c r="K1175" i="1"/>
  <c r="K1179" i="1"/>
  <c r="K1181" i="1"/>
  <c r="K1183" i="1"/>
  <c r="K1185" i="1"/>
  <c r="K1187" i="1"/>
  <c r="K1189" i="1"/>
  <c r="K1191" i="1"/>
  <c r="K1193" i="1"/>
  <c r="K1174" i="1"/>
  <c r="K1177" i="1"/>
  <c r="K1178" i="1"/>
  <c r="K1223" i="1"/>
  <c r="K1170" i="1"/>
  <c r="K1171" i="1"/>
  <c r="K1176" i="1"/>
  <c r="K1180" i="1"/>
  <c r="K1182" i="1"/>
  <c r="K1184" i="1"/>
  <c r="K1186" i="1"/>
  <c r="K1188" i="1"/>
  <c r="K1190" i="1"/>
  <c r="K1192" i="1"/>
  <c r="K1194" i="1"/>
  <c r="K1561" i="1"/>
  <c r="K1575" i="1"/>
  <c r="K1809" i="1"/>
  <c r="K1810" i="1"/>
  <c r="K1811" i="1"/>
  <c r="K1812" i="1"/>
  <c r="K1903" i="1"/>
  <c r="K2302" i="1"/>
  <c r="K1884" i="1"/>
  <c r="K1885" i="1"/>
  <c r="K1883" i="1"/>
  <c r="K1945" i="1"/>
  <c r="K1946" i="1"/>
  <c r="K1947" i="1"/>
  <c r="K1953" i="1"/>
  <c r="K2034" i="1"/>
  <c r="K2035" i="1"/>
  <c r="K2036" i="1"/>
  <c r="K2037" i="1"/>
  <c r="K2038" i="1"/>
  <c r="K2039" i="1"/>
  <c r="K2040" i="1"/>
  <c r="K2041" i="1"/>
  <c r="K2042" i="1"/>
  <c r="K2052" i="1"/>
  <c r="K2043" i="1"/>
  <c r="K2044" i="1"/>
  <c r="K2045" i="1"/>
  <c r="K2046" i="1"/>
  <c r="K2047" i="1"/>
  <c r="K2048" i="1"/>
  <c r="K2074" i="1"/>
  <c r="K2114" i="1"/>
  <c r="K2073" i="1"/>
  <c r="K2115" i="1"/>
  <c r="K2116" i="1"/>
  <c r="K1889" i="1"/>
  <c r="K1890" i="1"/>
  <c r="K2301" i="1"/>
  <c r="K2018" i="1"/>
  <c r="K2270" i="1"/>
  <c r="K1965" i="1"/>
  <c r="K497" i="1"/>
  <c r="K1980" i="1"/>
  <c r="K1997" i="1"/>
  <c r="K1998" i="1"/>
  <c r="K1999" i="1"/>
  <c r="K2000" i="1"/>
  <c r="K2001" i="1"/>
  <c r="K2002" i="1"/>
  <c r="K2303" i="1"/>
  <c r="K2304" i="1"/>
  <c r="K2305" i="1"/>
  <c r="K2070" i="1"/>
  <c r="K2071" i="1"/>
  <c r="K2145" i="1"/>
  <c r="K2127" i="1"/>
  <c r="K2128" i="1"/>
  <c r="K2141" i="1"/>
  <c r="K2124" i="1"/>
  <c r="K2125" i="1"/>
  <c r="K2126" i="1"/>
  <c r="K2129" i="1"/>
  <c r="K2130" i="1"/>
  <c r="K2131" i="1"/>
  <c r="K2157" i="1"/>
  <c r="K2087" i="1"/>
  <c r="K2088" i="1"/>
  <c r="K2123" i="1"/>
  <c r="K2089" i="1"/>
  <c r="K2139" i="1"/>
  <c r="K2140" i="1"/>
  <c r="K2090" i="1"/>
  <c r="K2142" i="1"/>
  <c r="K2091" i="1"/>
  <c r="K2092" i="1"/>
  <c r="K2143" i="1"/>
  <c r="K2093" i="1"/>
  <c r="K2094" i="1"/>
  <c r="K2144" i="1"/>
  <c r="K2118" i="1"/>
  <c r="K2120" i="1"/>
  <c r="K2121" i="1"/>
  <c r="K2151" i="1"/>
  <c r="K2122" i="1"/>
  <c r="K2138" i="1"/>
  <c r="K2132" i="1"/>
  <c r="K1891" i="1"/>
  <c r="K2188" i="1"/>
  <c r="K2189" i="1"/>
  <c r="K2187" i="1"/>
  <c r="K2186" i="1"/>
  <c r="K2175" i="1"/>
  <c r="K2176" i="1"/>
  <c r="K2177" i="1"/>
  <c r="K2193" i="1"/>
  <c r="K2200" i="1"/>
  <c r="K2201" i="1"/>
  <c r="K2178" i="1"/>
  <c r="K2194" i="1"/>
  <c r="K2195" i="1"/>
  <c r="K2199" i="1"/>
  <c r="K2179" i="1"/>
  <c r="K2196" i="1"/>
  <c r="K2180" i="1"/>
  <c r="K2181" i="1"/>
  <c r="K2182" i="1"/>
  <c r="K2197" i="1"/>
  <c r="K2183" i="1"/>
  <c r="K2184" i="1"/>
  <c r="K2198" i="1"/>
  <c r="K2185" i="1"/>
  <c r="K2212" i="1"/>
  <c r="K2213" i="1"/>
  <c r="K2230" i="1"/>
  <c r="K2262" i="1"/>
  <c r="K2264" i="1"/>
  <c r="K2265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63" i="1"/>
  <c r="K2250" i="1"/>
  <c r="K2260" i="1"/>
  <c r="K2251" i="1"/>
  <c r="K2252" i="1"/>
  <c r="K2253" i="1"/>
  <c r="K2254" i="1"/>
  <c r="K2255" i="1"/>
  <c r="K2261" i="1"/>
  <c r="K2256" i="1"/>
  <c r="K2257" i="1"/>
  <c r="K2258" i="1"/>
  <c r="K2259" i="1"/>
  <c r="K2004" i="1"/>
  <c r="K2005" i="1"/>
  <c r="K2975" i="1"/>
  <c r="K2976" i="1"/>
  <c r="K2977" i="1"/>
  <c r="K2980" i="1"/>
  <c r="K2988" i="1"/>
  <c r="K2989" i="1"/>
  <c r="K2834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31" i="1"/>
  <c r="K3141" i="1"/>
  <c r="K3149" i="1"/>
  <c r="K3150" i="1"/>
  <c r="K3151" i="1"/>
  <c r="K3152" i="1"/>
  <c r="K3155" i="1"/>
  <c r="K3031" i="1"/>
  <c r="K3032" i="1"/>
  <c r="K3033" i="1"/>
  <c r="K55" i="1"/>
  <c r="K56" i="1"/>
  <c r="K57" i="1"/>
  <c r="K58" i="1"/>
  <c r="K59" i="1"/>
  <c r="K60" i="1"/>
  <c r="K61" i="1"/>
  <c r="K67" i="1"/>
  <c r="K2326" i="1"/>
  <c r="K2327" i="1"/>
  <c r="K118" i="1"/>
  <c r="K68" i="1"/>
  <c r="K69" i="1"/>
  <c r="K70" i="1"/>
  <c r="K120" i="1"/>
  <c r="K71" i="1"/>
  <c r="K72" i="1"/>
  <c r="K189" i="1"/>
  <c r="K860" i="1"/>
  <c r="K861" i="1"/>
  <c r="K862" i="1"/>
  <c r="K1390" i="1"/>
  <c r="K1391" i="1"/>
  <c r="K1392" i="1"/>
  <c r="K1393" i="1"/>
  <c r="K1394" i="1"/>
  <c r="K1456" i="1"/>
  <c r="K2400" i="1"/>
  <c r="K2401" i="1"/>
  <c r="K2402" i="1"/>
  <c r="K2403" i="1"/>
  <c r="K2404" i="1"/>
  <c r="K2405" i="1"/>
  <c r="K2671" i="1"/>
  <c r="K2672" i="1"/>
  <c r="K2673" i="1"/>
  <c r="Q492" i="1"/>
  <c r="Q491" i="1"/>
  <c r="Q493" i="1"/>
  <c r="Q723" i="1"/>
  <c r="Q716" i="1"/>
  <c r="Q717" i="1"/>
  <c r="Q719" i="1"/>
  <c r="Q720" i="1"/>
  <c r="Q721" i="1"/>
  <c r="Q131" i="1"/>
  <c r="Q134" i="1"/>
  <c r="Q138" i="1"/>
  <c r="Q141" i="1"/>
  <c r="Q147" i="1"/>
  <c r="Q148" i="1"/>
  <c r="Q150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51" i="1"/>
  <c r="Q152" i="1"/>
  <c r="Q153" i="1"/>
  <c r="Q154" i="1"/>
  <c r="Q155" i="1"/>
  <c r="Q48" i="1"/>
  <c r="Q49" i="1"/>
  <c r="Q190" i="1"/>
  <c r="Q209" i="1"/>
  <c r="Q211" i="1"/>
  <c r="Q195" i="1"/>
  <c r="Q332" i="1"/>
  <c r="Q199" i="1"/>
  <c r="Q200" i="1"/>
  <c r="Q202" i="1"/>
  <c r="Q208" i="1"/>
  <c r="Q191" i="1"/>
  <c r="Q193" i="1"/>
  <c r="Q192" i="1"/>
  <c r="Q210" i="1"/>
  <c r="Q212" i="1"/>
  <c r="Q203" i="1"/>
  <c r="Q205" i="1"/>
  <c r="Q213" i="1"/>
  <c r="Q219" i="1"/>
  <c r="Q220" i="1"/>
  <c r="Q215" i="1"/>
  <c r="Q217" i="1"/>
  <c r="Q218" i="1"/>
  <c r="Q221" i="1"/>
  <c r="Q189" i="1"/>
  <c r="Q223" i="1"/>
  <c r="Q224" i="1"/>
  <c r="Q225" i="1"/>
  <c r="Q265" i="1"/>
  <c r="Q281" i="1"/>
  <c r="Q283" i="1"/>
  <c r="Q270" i="1"/>
  <c r="Q226" i="1"/>
  <c r="Q275" i="1"/>
  <c r="Q227" i="1"/>
  <c r="Q228" i="1"/>
  <c r="Q229" i="1"/>
  <c r="Q230" i="1"/>
  <c r="Q231" i="1"/>
  <c r="Q232" i="1"/>
  <c r="Q286" i="1"/>
  <c r="Q287" i="1"/>
  <c r="Q255" i="1"/>
  <c r="Q257" i="1"/>
  <c r="Q258" i="1"/>
  <c r="Q259" i="1"/>
  <c r="Q260" i="1"/>
  <c r="Q261" i="1"/>
  <c r="Q262" i="1"/>
  <c r="Q263" i="1"/>
  <c r="Q264" i="1"/>
  <c r="Q256" i="1"/>
  <c r="Q233" i="1"/>
  <c r="Q234" i="1"/>
  <c r="Q239" i="1"/>
  <c r="Q268" i="1"/>
  <c r="Q269" i="1"/>
  <c r="Q271" i="1"/>
  <c r="Q272" i="1"/>
  <c r="Q273" i="1"/>
  <c r="Q274" i="1"/>
  <c r="Q277" i="1"/>
  <c r="Q240" i="1"/>
  <c r="Q279" i="1"/>
  <c r="Q280" i="1"/>
  <c r="Q282" i="1"/>
  <c r="Q241" i="1"/>
  <c r="Q284" i="1"/>
  <c r="Q254" i="1"/>
  <c r="Q288" i="1"/>
  <c r="Q289" i="1"/>
  <c r="Q235" i="1"/>
  <c r="Q292" i="1"/>
  <c r="Q293" i="1"/>
  <c r="Q294" i="1"/>
  <c r="Q295" i="1"/>
  <c r="Q296" i="1"/>
  <c r="Q297" i="1"/>
  <c r="Q298" i="1"/>
  <c r="Q300" i="1"/>
  <c r="Q301" i="1"/>
  <c r="Q331" i="1"/>
  <c r="Q343" i="1"/>
  <c r="Q340" i="1"/>
  <c r="Q345" i="1"/>
  <c r="Q347" i="1"/>
  <c r="Q316" i="1"/>
  <c r="Q317" i="1"/>
  <c r="Q356" i="1"/>
  <c r="Q355" i="1"/>
  <c r="Q388" i="1"/>
  <c r="Q313" i="1"/>
  <c r="Q360" i="1"/>
  <c r="Q333" i="1"/>
  <c r="Q363" i="1"/>
  <c r="Q367" i="1"/>
  <c r="Q377" i="1"/>
  <c r="Q353" i="1"/>
  <c r="Q379" i="1"/>
  <c r="Q380" i="1"/>
  <c r="Q381" i="1"/>
  <c r="Q318" i="1"/>
  <c r="Q361" i="1"/>
  <c r="Q364" i="1"/>
  <c r="Q382" i="1"/>
  <c r="Q390" i="1"/>
  <c r="Q391" i="1"/>
  <c r="Q383" i="1"/>
  <c r="Q319" i="1"/>
  <c r="Q384" i="1"/>
  <c r="Q386" i="1"/>
  <c r="Q389" i="1"/>
  <c r="Q344" i="1"/>
  <c r="Q392" i="1"/>
  <c r="Q394" i="1"/>
  <c r="Q395" i="1"/>
  <c r="Q393" i="1"/>
  <c r="Q1963" i="1"/>
  <c r="Q411" i="1"/>
  <c r="Q409" i="1"/>
  <c r="Q417" i="1"/>
  <c r="Q412" i="1"/>
  <c r="Q424" i="1"/>
  <c r="Q420" i="1"/>
  <c r="Q422" i="1"/>
  <c r="Q423" i="1"/>
  <c r="Q398" i="1"/>
  <c r="Q399" i="1"/>
  <c r="Q414" i="1"/>
  <c r="Q415" i="1"/>
  <c r="Q416" i="1"/>
  <c r="Q400" i="1"/>
  <c r="Q425" i="1"/>
  <c r="Q406" i="1"/>
  <c r="Q426" i="1"/>
  <c r="Q427" i="1"/>
  <c r="Q428" i="1"/>
  <c r="Q407" i="1"/>
  <c r="Q408" i="1"/>
  <c r="Q429" i="1"/>
  <c r="Q430" i="1"/>
  <c r="Q431" i="1"/>
  <c r="Q432" i="1"/>
  <c r="Q436" i="1"/>
  <c r="Q437" i="1"/>
  <c r="Q438" i="1"/>
  <c r="Q439" i="1"/>
  <c r="Q440" i="1"/>
  <c r="Q435" i="1"/>
  <c r="Q441" i="1"/>
  <c r="Q433" i="1"/>
  <c r="Q434" i="1"/>
  <c r="Q442" i="1"/>
  <c r="Q443" i="1"/>
  <c r="Q444" i="1"/>
  <c r="Q401" i="1"/>
  <c r="Q402" i="1"/>
  <c r="Q468" i="1"/>
  <c r="Q449" i="1"/>
  <c r="Q465" i="1"/>
  <c r="Q460" i="1"/>
  <c r="Q469" i="1"/>
  <c r="Q466" i="1"/>
  <c r="Q463" i="1"/>
  <c r="Q464" i="1"/>
  <c r="Q462" i="1"/>
  <c r="Q461" i="1"/>
  <c r="Q591" i="1"/>
  <c r="Q495" i="1"/>
  <c r="Q586" i="1"/>
  <c r="Q500" i="1"/>
  <c r="Q599" i="1"/>
  <c r="Q521" i="1"/>
  <c r="Q522" i="1"/>
  <c r="Q523" i="1"/>
  <c r="Q531" i="1"/>
  <c r="Q532" i="1"/>
  <c r="Q541" i="1"/>
  <c r="Q542" i="1"/>
  <c r="Q545" i="1"/>
  <c r="Q587" i="1"/>
  <c r="Q588" i="1"/>
  <c r="Q552" i="1"/>
  <c r="Q553" i="1"/>
  <c r="Q556" i="1"/>
  <c r="Q558" i="1"/>
  <c r="Q559" i="1"/>
  <c r="Q560" i="1"/>
  <c r="Q561" i="1"/>
  <c r="Q562" i="1"/>
  <c r="Q563" i="1"/>
  <c r="Q535" i="1"/>
  <c r="Q539" i="1"/>
  <c r="Q589" i="1"/>
  <c r="Q583" i="1"/>
  <c r="Q566" i="1"/>
  <c r="Q590" i="1"/>
  <c r="Q571" i="1"/>
  <c r="Q569" i="1"/>
  <c r="Q570" i="1"/>
  <c r="Q600" i="1"/>
  <c r="Q601" i="1"/>
  <c r="Q602" i="1"/>
  <c r="Q603" i="1"/>
  <c r="Q604" i="1"/>
  <c r="Q605" i="1"/>
  <c r="Q592" i="1"/>
  <c r="Q593" i="1"/>
  <c r="Q594" i="1"/>
  <c r="Q596" i="1"/>
  <c r="Q597" i="1"/>
  <c r="Q598" i="1"/>
  <c r="Q887" i="1"/>
  <c r="Q888" i="1"/>
  <c r="Q889" i="1"/>
  <c r="Q626" i="1"/>
  <c r="Q627" i="1"/>
  <c r="Q628" i="1"/>
  <c r="Q629" i="1"/>
  <c r="Q630" i="1"/>
  <c r="Q631" i="1"/>
  <c r="Q718" i="1"/>
  <c r="Q725" i="1"/>
  <c r="Q728" i="1"/>
  <c r="Q729" i="1"/>
  <c r="Q731" i="1"/>
  <c r="Q2974" i="1"/>
  <c r="Q664" i="1"/>
  <c r="Q668" i="1"/>
  <c r="Q665" i="1"/>
  <c r="Q667" i="1"/>
  <c r="Q666" i="1"/>
  <c r="Q663" i="1"/>
  <c r="Q52" i="1"/>
  <c r="Q53" i="1"/>
  <c r="Q670" i="1"/>
  <c r="Q671" i="1"/>
  <c r="Q672" i="1"/>
  <c r="Q673" i="1"/>
  <c r="Q674" i="1"/>
  <c r="Q697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6" i="1"/>
  <c r="Q695" i="1"/>
  <c r="Q1612" i="1"/>
  <c r="Q2145" i="1"/>
  <c r="Q1004" i="1"/>
  <c r="Q55" i="1"/>
  <c r="Q56" i="1"/>
  <c r="Q57" i="1"/>
  <c r="Q58" i="1"/>
  <c r="Q59" i="1"/>
  <c r="Q60" i="1"/>
  <c r="Q61" i="1"/>
  <c r="Q2671" i="1"/>
  <c r="Q2672" i="1"/>
  <c r="Q2673" i="1"/>
  <c r="Q2778" i="1"/>
  <c r="Q2674" i="1"/>
  <c r="Q62" i="1"/>
  <c r="Q63" i="1"/>
  <c r="Q64" i="1"/>
  <c r="Q702" i="1"/>
  <c r="Q703" i="1"/>
  <c r="Q704" i="1"/>
  <c r="Q705" i="1"/>
  <c r="Q706" i="1"/>
  <c r="Q707" i="1"/>
  <c r="Q708" i="1"/>
  <c r="Q709" i="1"/>
  <c r="Q711" i="1"/>
  <c r="Q712" i="1"/>
  <c r="Q710" i="1"/>
  <c r="Q713" i="1"/>
  <c r="Q732" i="1"/>
  <c r="Q733" i="1"/>
  <c r="Q734" i="1"/>
  <c r="Q735" i="1"/>
  <c r="Q736" i="1"/>
  <c r="Q737" i="1"/>
  <c r="Q738" i="1"/>
  <c r="Q739" i="1"/>
  <c r="Q740" i="1"/>
  <c r="Q2675" i="1"/>
  <c r="Q2676" i="1"/>
  <c r="Q1997" i="1"/>
  <c r="Q1998" i="1"/>
  <c r="Q1999" i="1"/>
  <c r="Q2000" i="1"/>
  <c r="Q2001" i="1"/>
  <c r="Q2002" i="1"/>
  <c r="Q742" i="1"/>
  <c r="Q746" i="1"/>
  <c r="Q747" i="1"/>
  <c r="Q748" i="1"/>
  <c r="Q759" i="1"/>
  <c r="Q761" i="1"/>
  <c r="Q764" i="1"/>
  <c r="Q749" i="1"/>
  <c r="Q754" i="1"/>
  <c r="Q760" i="1"/>
  <c r="Q762" i="1"/>
  <c r="Q751" i="1"/>
  <c r="Q2122" i="1"/>
  <c r="Q783" i="1"/>
  <c r="Q784" i="1"/>
  <c r="Q785" i="1"/>
  <c r="Q786" i="1"/>
  <c r="Q795" i="1"/>
  <c r="Q787" i="1"/>
  <c r="Q788" i="1"/>
  <c r="Q789" i="1"/>
  <c r="Q790" i="1"/>
  <c r="Q794" i="1"/>
  <c r="Q796" i="1"/>
  <c r="Q791" i="1"/>
  <c r="Q793" i="1"/>
  <c r="Q792" i="1"/>
  <c r="Q504" i="1"/>
  <c r="Q508" i="1"/>
  <c r="Q503" i="1"/>
  <c r="Q511" i="1"/>
  <c r="Q505" i="1"/>
  <c r="Q510" i="1"/>
  <c r="Q506" i="1"/>
  <c r="Q507" i="1"/>
  <c r="Q512" i="1"/>
  <c r="Q509" i="1"/>
  <c r="Q799" i="1"/>
  <c r="Q848" i="1"/>
  <c r="Q804" i="1"/>
  <c r="Q813" i="1"/>
  <c r="Q840" i="1"/>
  <c r="Q810" i="1"/>
  <c r="Q822" i="1"/>
  <c r="Q824" i="1"/>
  <c r="Q830" i="1"/>
  <c r="Q811" i="1"/>
  <c r="Q832" i="1"/>
  <c r="Q812" i="1"/>
  <c r="Q814" i="1"/>
  <c r="Q815" i="1"/>
  <c r="Q829" i="1"/>
  <c r="Q842" i="1"/>
  <c r="Q806" i="1"/>
  <c r="Q838" i="1"/>
  <c r="Q841" i="1"/>
  <c r="Q807" i="1"/>
  <c r="Q837" i="1"/>
  <c r="Q839" i="1"/>
  <c r="Q1613" i="1"/>
  <c r="Q515" i="1"/>
  <c r="Q516" i="1"/>
  <c r="Q517" i="1"/>
  <c r="Q518" i="1"/>
  <c r="Q519" i="1"/>
  <c r="Q520" i="1"/>
  <c r="Q1127" i="1"/>
  <c r="Q1129" i="1"/>
  <c r="Q1564" i="1"/>
  <c r="Q1565" i="1"/>
  <c r="Q1566" i="1"/>
  <c r="Q1567" i="1"/>
  <c r="Q1568" i="1"/>
  <c r="Q1569" i="1"/>
  <c r="Q1580" i="1"/>
  <c r="Q1577" i="1"/>
  <c r="Q1581" i="1"/>
  <c r="Q1582" i="1"/>
  <c r="Q1135" i="1"/>
  <c r="Q1136" i="1"/>
  <c r="Q1137" i="1"/>
  <c r="Q1138" i="1"/>
  <c r="Q1139" i="1"/>
  <c r="Q1140" i="1"/>
  <c r="Q1143" i="1"/>
  <c r="Q1144" i="1"/>
  <c r="Q1145" i="1"/>
  <c r="Q1146" i="1"/>
  <c r="Q1147" i="1"/>
  <c r="Q1148" i="1"/>
  <c r="Q1149" i="1"/>
  <c r="Q1152" i="1"/>
  <c r="Q1153" i="1"/>
  <c r="Q1154" i="1"/>
  <c r="Q1141" i="1"/>
  <c r="Q1142" i="1"/>
  <c r="Q1150" i="1"/>
  <c r="Q1151" i="1"/>
  <c r="Q1159" i="1"/>
  <c r="Q1160" i="1"/>
  <c r="Q1161" i="1"/>
  <c r="Q1155" i="1"/>
  <c r="Q1157" i="1"/>
  <c r="Q1158" i="1"/>
  <c r="Q1156" i="1"/>
  <c r="Q1164" i="1"/>
  <c r="Q1162" i="1"/>
  <c r="Q1165" i="1"/>
  <c r="Q1163" i="1"/>
  <c r="Q67" i="1"/>
  <c r="Q68" i="1"/>
  <c r="Q69" i="1"/>
  <c r="Q70" i="1"/>
  <c r="Q71" i="1"/>
  <c r="Q72" i="1"/>
  <c r="Q1195" i="1"/>
  <c r="Q1196" i="1"/>
  <c r="Q1166" i="1"/>
  <c r="Q1167" i="1"/>
  <c r="Q1168" i="1"/>
  <c r="Q1173" i="1"/>
  <c r="Q1175" i="1"/>
  <c r="Q1179" i="1"/>
  <c r="Q1181" i="1"/>
  <c r="Q1183" i="1"/>
  <c r="Q1185" i="1"/>
  <c r="Q1187" i="1"/>
  <c r="Q1189" i="1"/>
  <c r="Q1191" i="1"/>
  <c r="Q1193" i="1"/>
  <c r="Q1174" i="1"/>
  <c r="Q1177" i="1"/>
  <c r="Q1178" i="1"/>
  <c r="Q1223" i="1"/>
  <c r="Q1169" i="1"/>
  <c r="Q584" i="1"/>
  <c r="Q1170" i="1"/>
  <c r="Q1176" i="1"/>
  <c r="Q1180" i="1"/>
  <c r="Q1182" i="1"/>
  <c r="Q1184" i="1"/>
  <c r="Q1186" i="1"/>
  <c r="Q1188" i="1"/>
  <c r="Q1190" i="1"/>
  <c r="Q1192" i="1"/>
  <c r="Q1194" i="1"/>
  <c r="Q1225" i="1"/>
  <c r="Q1227" i="1"/>
  <c r="Q1224" i="1"/>
  <c r="Q1230" i="1"/>
  <c r="Q1285" i="1"/>
  <c r="Q1231" i="1"/>
  <c r="Q1232" i="1"/>
  <c r="Q1233" i="1"/>
  <c r="Q1234" i="1"/>
  <c r="Q1286" i="1"/>
  <c r="Q1235" i="1"/>
  <c r="Q1287" i="1"/>
  <c r="Q1236" i="1"/>
  <c r="Q1237" i="1"/>
  <c r="Q849" i="1"/>
  <c r="Q1238" i="1"/>
  <c r="Q1239" i="1"/>
  <c r="Q1280" i="1"/>
  <c r="Q1284" i="1"/>
  <c r="Q1240" i="1"/>
  <c r="Q850" i="1"/>
  <c r="Q851" i="1"/>
  <c r="Q852" i="1"/>
  <c r="Q853" i="1"/>
  <c r="Q854" i="1"/>
  <c r="Q855" i="1"/>
  <c r="Q1241" i="1"/>
  <c r="Q1242" i="1"/>
  <c r="Q1243" i="1"/>
  <c r="Q1244" i="1"/>
  <c r="Q1288" i="1"/>
  <c r="Q1093" i="1"/>
  <c r="Q1098" i="1"/>
  <c r="Q930" i="1"/>
  <c r="Q1101" i="1"/>
  <c r="Q1102" i="1"/>
  <c r="Q1498" i="1"/>
  <c r="Q856" i="1"/>
  <c r="Q932" i="1"/>
  <c r="Q933" i="1"/>
  <c r="Q952" i="1"/>
  <c r="Q934" i="1"/>
  <c r="Q935" i="1"/>
  <c r="Q936" i="1"/>
  <c r="Q937" i="1"/>
  <c r="Q938" i="1"/>
  <c r="Q949" i="1"/>
  <c r="Q939" i="1"/>
  <c r="Q940" i="1"/>
  <c r="Q941" i="1"/>
  <c r="Q948" i="1"/>
  <c r="Q942" i="1"/>
  <c r="Q931" i="1"/>
  <c r="Q943" i="1"/>
  <c r="Q944" i="1"/>
  <c r="Q1289" i="1"/>
  <c r="Q1316" i="1"/>
  <c r="Q1319" i="1"/>
  <c r="Q1322" i="1"/>
  <c r="Q1325" i="1"/>
  <c r="Q1328" i="1"/>
  <c r="Q1332" i="1"/>
  <c r="Q1290" i="1"/>
  <c r="Q1335" i="1"/>
  <c r="Q1338" i="1"/>
  <c r="Q1341" i="1"/>
  <c r="Q1344" i="1"/>
  <c r="Q1347" i="1"/>
  <c r="Q1350" i="1"/>
  <c r="Q1353" i="1"/>
  <c r="Q1356" i="1"/>
  <c r="Q1360" i="1"/>
  <c r="Q1361" i="1"/>
  <c r="Q1291" i="1"/>
  <c r="Q1292" i="1"/>
  <c r="Q1293" i="1"/>
  <c r="Q1294" i="1"/>
  <c r="Q1295" i="1"/>
  <c r="Q1296" i="1"/>
  <c r="Q1297" i="1"/>
  <c r="Q1362" i="1"/>
  <c r="Q1363" i="1"/>
  <c r="Q1317" i="1"/>
  <c r="Q1318" i="1"/>
  <c r="Q1320" i="1"/>
  <c r="Q1321" i="1"/>
  <c r="Q1323" i="1"/>
  <c r="Q1324" i="1"/>
  <c r="Q1326" i="1"/>
  <c r="Q1327" i="1"/>
  <c r="Q1329" i="1"/>
  <c r="Q1330" i="1"/>
  <c r="Q1298" i="1"/>
  <c r="Q1299" i="1"/>
  <c r="Q1333" i="1"/>
  <c r="Q1334" i="1"/>
  <c r="Q1300" i="1"/>
  <c r="Q1301" i="1"/>
  <c r="Q1336" i="1"/>
  <c r="Q1337" i="1"/>
  <c r="Q1339" i="1"/>
  <c r="Q1340" i="1"/>
  <c r="Q1342" i="1"/>
  <c r="Q1343" i="1"/>
  <c r="Q1345" i="1"/>
  <c r="Q1346" i="1"/>
  <c r="Q1348" i="1"/>
  <c r="Q1349" i="1"/>
  <c r="Q1351" i="1"/>
  <c r="Q1352" i="1"/>
  <c r="Q1354" i="1"/>
  <c r="Q1355" i="1"/>
  <c r="Q1357" i="1"/>
  <c r="Q1358" i="1"/>
  <c r="Q1302" i="1"/>
  <c r="Q1303" i="1"/>
  <c r="Q1365" i="1"/>
  <c r="Q1366" i="1"/>
  <c r="Q1367" i="1"/>
  <c r="Q1368" i="1"/>
  <c r="Q1369" i="1"/>
  <c r="Q1370" i="1"/>
  <c r="Q1364" i="1"/>
  <c r="Q1304" i="1"/>
  <c r="Q1305" i="1"/>
  <c r="Q1331" i="1"/>
  <c r="Q1306" i="1"/>
  <c r="Q1307" i="1"/>
  <c r="Q1308" i="1"/>
  <c r="Q1309" i="1"/>
  <c r="Q1310" i="1"/>
  <c r="Q1311" i="1"/>
  <c r="Q1312" i="1"/>
  <c r="Q1313" i="1"/>
  <c r="Q1314" i="1"/>
  <c r="Q1359" i="1"/>
  <c r="Q1371" i="1"/>
  <c r="Q1315" i="1"/>
  <c r="Q1372" i="1"/>
  <c r="Q1373" i="1"/>
  <c r="Q1375" i="1"/>
  <c r="Q1374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171" i="1"/>
  <c r="Q1390" i="1"/>
  <c r="Q1391" i="1"/>
  <c r="Q1392" i="1"/>
  <c r="Q1393" i="1"/>
  <c r="Q1394" i="1"/>
  <c r="Q1389" i="1"/>
  <c r="Q1586" i="1"/>
  <c r="Q1583" i="1"/>
  <c r="Q1584" i="1"/>
  <c r="Q1585" i="1"/>
  <c r="Q1587" i="1"/>
  <c r="Q1395" i="1"/>
  <c r="Q1396" i="1"/>
  <c r="Q1397" i="1"/>
  <c r="Q1398" i="1"/>
  <c r="Q1399" i="1"/>
  <c r="Q1400" i="1"/>
  <c r="Q1401" i="1"/>
  <c r="Q1402" i="1"/>
  <c r="Q1403" i="1"/>
  <c r="Q1415" i="1"/>
  <c r="Q1416" i="1"/>
  <c r="Q1404" i="1"/>
  <c r="Q1405" i="1"/>
  <c r="Q1406" i="1"/>
  <c r="Q1407" i="1"/>
  <c r="Q1408" i="1"/>
  <c r="Q1409" i="1"/>
  <c r="Q1410" i="1"/>
  <c r="Q1411" i="1"/>
  <c r="Q1412" i="1"/>
  <c r="Q1413" i="1"/>
  <c r="Q1417" i="1"/>
  <c r="Q1419" i="1"/>
  <c r="Q1421" i="1"/>
  <c r="Q1414" i="1"/>
  <c r="Q1418" i="1"/>
  <c r="Q1420" i="1"/>
  <c r="Q1422" i="1"/>
  <c r="Q2034" i="1"/>
  <c r="Q2043" i="1"/>
  <c r="Q2035" i="1"/>
  <c r="Q2044" i="1"/>
  <c r="Q2036" i="1"/>
  <c r="Q2045" i="1"/>
  <c r="Q2037" i="1"/>
  <c r="Q2046" i="1"/>
  <c r="Q2038" i="1"/>
  <c r="Q2047" i="1"/>
  <c r="Q2039" i="1"/>
  <c r="Q2048" i="1"/>
  <c r="Q2052" i="1"/>
  <c r="Q1423" i="1"/>
  <c r="Q1429" i="1"/>
  <c r="Q1430" i="1"/>
  <c r="Q1424" i="1"/>
  <c r="Q1431" i="1"/>
  <c r="Q1425" i="1"/>
  <c r="Q1426" i="1"/>
  <c r="Q1435" i="1"/>
  <c r="Q1427" i="1"/>
  <c r="Q1432" i="1"/>
  <c r="Q1428" i="1"/>
  <c r="Q1433" i="1"/>
  <c r="Q1434" i="1"/>
  <c r="Q1440" i="1"/>
  <c r="Q1447" i="1"/>
  <c r="Q1448" i="1"/>
  <c r="Q1452" i="1"/>
  <c r="Q1444" i="1"/>
  <c r="Q1445" i="1"/>
  <c r="Q1446" i="1"/>
  <c r="Q1454" i="1"/>
  <c r="Q1455" i="1"/>
  <c r="Q2482" i="1"/>
  <c r="Q2483" i="1"/>
  <c r="Q2498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1614" i="1"/>
  <c r="Q1457" i="1"/>
  <c r="Q1461" i="1"/>
  <c r="Q1458" i="1"/>
  <c r="Q1459" i="1"/>
  <c r="Q1460" i="1"/>
  <c r="Q1456" i="1"/>
  <c r="Q1592" i="1"/>
  <c r="Q1604" i="1"/>
  <c r="Q1591" i="1"/>
  <c r="Q1590" i="1"/>
  <c r="Q1593" i="1"/>
  <c r="Q1588" i="1"/>
  <c r="Q1594" i="1"/>
  <c r="Q1595" i="1"/>
  <c r="Q1603" i="1"/>
  <c r="Q1602" i="1"/>
  <c r="Q1599" i="1"/>
  <c r="Q1596" i="1"/>
  <c r="Q73" i="1"/>
  <c r="Q74" i="1"/>
  <c r="Q1122" i="1"/>
  <c r="Q1130" i="1"/>
  <c r="Q1123" i="1"/>
  <c r="Q1124" i="1"/>
  <c r="Q1125" i="1"/>
  <c r="Q1131" i="1"/>
  <c r="Q1132" i="1"/>
  <c r="Q1107" i="1"/>
  <c r="Q1108" i="1"/>
  <c r="Q1090" i="1"/>
  <c r="Q1088" i="1"/>
  <c r="Q1089" i="1"/>
  <c r="Q1091" i="1"/>
  <c r="Q1096" i="1"/>
  <c r="Q1099" i="1"/>
  <c r="Q1104" i="1"/>
  <c r="Q857" i="1"/>
  <c r="Q1105" i="1"/>
  <c r="Q858" i="1"/>
  <c r="Q945" i="1"/>
  <c r="Q964" i="1"/>
  <c r="Q967" i="1"/>
  <c r="Q1109" i="1"/>
  <c r="Q988" i="1"/>
  <c r="Q989" i="1"/>
  <c r="Q1113" i="1"/>
  <c r="Q1092" i="1"/>
  <c r="Q1097" i="1"/>
  <c r="Q1103" i="1"/>
  <c r="Q1094" i="1"/>
  <c r="Q1100" i="1"/>
  <c r="Q1115" i="1"/>
  <c r="Q1119" i="1"/>
  <c r="Q1106" i="1"/>
  <c r="Q1110" i="1"/>
  <c r="Q1111" i="1"/>
  <c r="Q1118" i="1"/>
  <c r="Q1095" i="1"/>
  <c r="Q1112" i="1"/>
  <c r="Q1114" i="1"/>
  <c r="Q1116" i="1"/>
  <c r="Q1117" i="1"/>
  <c r="Q1120" i="1"/>
  <c r="Q859" i="1"/>
  <c r="Q1126" i="1"/>
  <c r="Q75" i="1"/>
  <c r="Q1470" i="1"/>
  <c r="Q1471" i="1"/>
  <c r="Q1474" i="1"/>
  <c r="Q1475" i="1"/>
  <c r="Q1476" i="1"/>
  <c r="Q1477" i="1"/>
  <c r="Q1478" i="1"/>
  <c r="Q1479" i="1"/>
  <c r="Q1480" i="1"/>
  <c r="Q1481" i="1"/>
  <c r="Q1494" i="1"/>
  <c r="Q1495" i="1"/>
  <c r="Q1496" i="1"/>
  <c r="Q1497" i="1"/>
  <c r="Q1499" i="1"/>
  <c r="Q1500" i="1"/>
  <c r="Q1505" i="1"/>
  <c r="Q1506" i="1"/>
  <c r="Q1507" i="1"/>
  <c r="Q1508" i="1"/>
  <c r="Q1509" i="1"/>
  <c r="Q1510" i="1"/>
  <c r="Q1511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524" i="1"/>
  <c r="Q1525" i="1"/>
  <c r="Q1883" i="1"/>
  <c r="Q2074" i="1"/>
  <c r="Q2114" i="1"/>
  <c r="Q2118" i="1"/>
  <c r="Q2115" i="1"/>
  <c r="Q2116" i="1"/>
  <c r="Q2073" i="1"/>
  <c r="Q2127" i="1"/>
  <c r="Q2128" i="1"/>
  <c r="Q2141" i="1"/>
  <c r="Q2124" i="1"/>
  <c r="Q2125" i="1"/>
  <c r="Q2126" i="1"/>
  <c r="Q2129" i="1"/>
  <c r="Q647" i="1"/>
  <c r="Q634" i="1"/>
  <c r="Q635" i="1"/>
  <c r="Q633" i="1"/>
  <c r="Q636" i="1"/>
  <c r="Q637" i="1"/>
  <c r="Q638" i="1"/>
  <c r="Q640" i="1"/>
  <c r="Q639" i="1"/>
  <c r="Q641" i="1"/>
  <c r="Q642" i="1"/>
  <c r="Q644" i="1"/>
  <c r="Q645" i="1"/>
  <c r="Q650" i="1"/>
  <c r="Q651" i="1"/>
  <c r="Q646" i="1"/>
  <c r="Q2130" i="1"/>
  <c r="Q2131" i="1"/>
  <c r="Q2157" i="1"/>
  <c r="Q2087" i="1"/>
  <c r="Q2088" i="1"/>
  <c r="Q2123" i="1"/>
  <c r="Q2089" i="1"/>
  <c r="Q2139" i="1"/>
  <c r="Q2140" i="1"/>
  <c r="Q2090" i="1"/>
  <c r="Q2142" i="1"/>
  <c r="Q2091" i="1"/>
  <c r="Q2092" i="1"/>
  <c r="Q2143" i="1"/>
  <c r="Q2093" i="1"/>
  <c r="Q2120" i="1"/>
  <c r="Q2094" i="1"/>
  <c r="Q78" i="1"/>
  <c r="Q79" i="1"/>
  <c r="Q80" i="1"/>
  <c r="Q81" i="1"/>
  <c r="Q82" i="1"/>
  <c r="Q83" i="1"/>
  <c r="Q84" i="1"/>
  <c r="Q85" i="1"/>
  <c r="Q86" i="1"/>
  <c r="Q1526" i="1"/>
  <c r="Q1527" i="1"/>
  <c r="Q1528" i="1"/>
  <c r="Q1529" i="1"/>
  <c r="Q1532" i="1"/>
  <c r="Q1538" i="1"/>
  <c r="Q1533" i="1"/>
  <c r="Q1534" i="1"/>
  <c r="Q1535" i="1"/>
  <c r="Q1536" i="1"/>
  <c r="Q1537" i="1"/>
  <c r="Q1539" i="1"/>
  <c r="Q1530" i="1"/>
  <c r="Q1531" i="1"/>
  <c r="Q564" i="1"/>
  <c r="Q87" i="1"/>
  <c r="Q88" i="1"/>
  <c r="Q89" i="1"/>
  <c r="Q90" i="1"/>
  <c r="Q91" i="1"/>
  <c r="Q92" i="1"/>
  <c r="Q93" i="1"/>
  <c r="Q94" i="1"/>
  <c r="Q95" i="1"/>
  <c r="Q1648" i="1"/>
  <c r="Q1649" i="1"/>
  <c r="Q1650" i="1"/>
  <c r="Q1670" i="1"/>
  <c r="Q1651" i="1"/>
  <c r="Q1673" i="1"/>
  <c r="Q1652" i="1"/>
  <c r="Q1679" i="1"/>
  <c r="Q1669" i="1"/>
  <c r="Q1653" i="1"/>
  <c r="Q1654" i="1"/>
  <c r="Q1686" i="1"/>
  <c r="Q1687" i="1"/>
  <c r="Q1655" i="1"/>
  <c r="Q1656" i="1"/>
  <c r="Q1663" i="1"/>
  <c r="Q1683" i="1"/>
  <c r="Q1688" i="1"/>
  <c r="Q1657" i="1"/>
  <c r="Q1689" i="1"/>
  <c r="Q97" i="1"/>
  <c r="Q98" i="1"/>
  <c r="Q99" i="1"/>
  <c r="Q100" i="1"/>
  <c r="Q101" i="1"/>
  <c r="Q102" i="1"/>
  <c r="Q103" i="1"/>
  <c r="Q104" i="1"/>
  <c r="Q2407" i="1"/>
  <c r="Q2408" i="1"/>
  <c r="Q2409" i="1"/>
  <c r="Q50" i="1"/>
  <c r="Q76" i="1"/>
  <c r="Q111" i="1"/>
  <c r="Q128" i="1"/>
  <c r="Q105" i="1"/>
  <c r="Q1692" i="1"/>
  <c r="Q1693" i="1"/>
  <c r="Q1694" i="1"/>
  <c r="Q1695" i="1"/>
  <c r="Q1696" i="1"/>
  <c r="Q1727" i="1"/>
  <c r="Q1730" i="1"/>
  <c r="Q1729" i="1"/>
  <c r="Q1697" i="1"/>
  <c r="Q1778" i="1"/>
  <c r="Q1698" i="1"/>
  <c r="Q1699" i="1"/>
  <c r="Q1784" i="1"/>
  <c r="Q1700" i="1"/>
  <c r="Q1777" i="1"/>
  <c r="Q1780" i="1"/>
  <c r="Q1782" i="1"/>
  <c r="Q1783" i="1"/>
  <c r="Q1561" i="1"/>
  <c r="Q1575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8" i="1"/>
  <c r="Q1731" i="1"/>
  <c r="Q1744" i="1"/>
  <c r="Q1779" i="1"/>
  <c r="Q1781" i="1"/>
  <c r="Q1792" i="1"/>
  <c r="Q1793" i="1"/>
  <c r="Q1785" i="1"/>
  <c r="Q1786" i="1"/>
  <c r="Q1794" i="1"/>
  <c r="Q1795" i="1"/>
  <c r="Q1787" i="1"/>
  <c r="Q1788" i="1"/>
  <c r="Q1796" i="1"/>
  <c r="Q1797" i="1"/>
  <c r="Q1798" i="1"/>
  <c r="Q1789" i="1"/>
  <c r="Q1799" i="1"/>
  <c r="Q1790" i="1"/>
  <c r="Q1791" i="1"/>
  <c r="Q1800" i="1"/>
  <c r="Q2132" i="1"/>
  <c r="Q2138" i="1"/>
  <c r="Q1801" i="1"/>
  <c r="Q1802" i="1"/>
  <c r="Q1803" i="1"/>
  <c r="Q1804" i="1"/>
  <c r="Q1805" i="1"/>
  <c r="Q1806" i="1"/>
  <c r="Q1807" i="1"/>
  <c r="Q1808" i="1"/>
  <c r="Q1813" i="1"/>
  <c r="Q1822" i="1"/>
  <c r="Q1823" i="1"/>
  <c r="Q1824" i="1"/>
  <c r="Q1826" i="1"/>
  <c r="Q1828" i="1"/>
  <c r="Q1814" i="1"/>
  <c r="Q1815" i="1"/>
  <c r="Q1816" i="1"/>
  <c r="Q1817" i="1"/>
  <c r="Q1818" i="1"/>
  <c r="Q1819" i="1"/>
  <c r="Q1820" i="1"/>
  <c r="Q1821" i="1"/>
  <c r="Q1825" i="1"/>
  <c r="Q1827" i="1"/>
  <c r="Q1835" i="1"/>
  <c r="Q1829" i="1"/>
  <c r="Q1834" i="1"/>
  <c r="Q1830" i="1"/>
  <c r="Q1831" i="1"/>
  <c r="Q1832" i="1"/>
  <c r="Q1833" i="1"/>
  <c r="Q1836" i="1"/>
  <c r="Q1837" i="1"/>
  <c r="Q1841" i="1"/>
  <c r="Q1838" i="1"/>
  <c r="Q1839" i="1"/>
  <c r="Q1840" i="1"/>
  <c r="Q1842" i="1"/>
  <c r="Q1843" i="1"/>
  <c r="Q1851" i="1"/>
  <c r="Q1849" i="1"/>
  <c r="Q1844" i="1"/>
  <c r="Q1845" i="1"/>
  <c r="Q1850" i="1"/>
  <c r="Q1846" i="1"/>
  <c r="Q1847" i="1"/>
  <c r="Q1848" i="1"/>
  <c r="Q1852" i="1"/>
  <c r="Q1853" i="1"/>
  <c r="Q1867" i="1"/>
  <c r="Q1854" i="1"/>
  <c r="Q1863" i="1"/>
  <c r="Q1866" i="1"/>
  <c r="Q1903" i="1"/>
  <c r="Q497" i="1"/>
  <c r="Q1980" i="1"/>
  <c r="Q2188" i="1"/>
  <c r="Q1889" i="1"/>
  <c r="Q1890" i="1"/>
  <c r="Q1945" i="1"/>
  <c r="Q1946" i="1"/>
  <c r="Q1947" i="1"/>
  <c r="Q1953" i="1"/>
  <c r="Q2301" i="1"/>
  <c r="Q2018" i="1"/>
  <c r="Q2270" i="1"/>
  <c r="Q1965" i="1"/>
  <c r="Q2302" i="1"/>
  <c r="Q1884" i="1"/>
  <c r="Q2070" i="1"/>
  <c r="Q2212" i="1"/>
  <c r="Q2071" i="1"/>
  <c r="Q2121" i="1"/>
  <c r="Q1891" i="1"/>
  <c r="Q1885" i="1"/>
  <c r="Q2213" i="1"/>
  <c r="Q2004" i="1"/>
  <c r="Q2005" i="1"/>
  <c r="Q3288" i="1"/>
  <c r="Q107" i="1"/>
  <c r="Q2306" i="1"/>
  <c r="Q2317" i="1"/>
  <c r="Q2307" i="1"/>
  <c r="Q2318" i="1"/>
  <c r="Q2308" i="1"/>
  <c r="Q2309" i="1"/>
  <c r="Q2319" i="1"/>
  <c r="Q2320" i="1"/>
  <c r="Q2310" i="1"/>
  <c r="Q2321" i="1"/>
  <c r="Q2311" i="1"/>
  <c r="Q2322" i="1"/>
  <c r="Q2323" i="1"/>
  <c r="Q2312" i="1"/>
  <c r="Q2313" i="1"/>
  <c r="Q2314" i="1"/>
  <c r="Q2315" i="1"/>
  <c r="Q2324" i="1"/>
  <c r="Q2316" i="1"/>
  <c r="Q2325" i="1"/>
  <c r="Q2328" i="1"/>
  <c r="Q2339" i="1"/>
  <c r="Q2333" i="1"/>
  <c r="Q2334" i="1"/>
  <c r="Q2329" i="1"/>
  <c r="Q2335" i="1"/>
  <c r="Q2336" i="1"/>
  <c r="Q2330" i="1"/>
  <c r="Q2337" i="1"/>
  <c r="Q2338" i="1"/>
  <c r="Q108" i="1"/>
  <c r="Q2340" i="1"/>
  <c r="Q2341" i="1"/>
  <c r="Q2346" i="1"/>
  <c r="Q2342" i="1"/>
  <c r="Q2343" i="1"/>
  <c r="Q2344" i="1"/>
  <c r="Q2345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9" i="1"/>
  <c r="Q2370" i="1"/>
  <c r="Q2361" i="1"/>
  <c r="Q2362" i="1"/>
  <c r="Q2363" i="1"/>
  <c r="Q2364" i="1"/>
  <c r="Q2366" i="1"/>
  <c r="Q2367" i="1"/>
  <c r="Q2368" i="1"/>
  <c r="Q2371" i="1"/>
  <c r="Q2365" i="1"/>
  <c r="Q176" i="1"/>
  <c r="Q2372" i="1"/>
  <c r="Q2373" i="1"/>
  <c r="Q2388" i="1"/>
  <c r="Q2387" i="1"/>
  <c r="Q2383" i="1"/>
  <c r="Q2389" i="1"/>
  <c r="Q2391" i="1"/>
  <c r="Q2392" i="1"/>
  <c r="Q2376" i="1"/>
  <c r="Q2377" i="1"/>
  <c r="Q2378" i="1"/>
  <c r="Q2379" i="1"/>
  <c r="Q2381" i="1"/>
  <c r="Q2382" i="1"/>
  <c r="Q2175" i="1"/>
  <c r="Q2176" i="1"/>
  <c r="Q2177" i="1"/>
  <c r="Q2193" i="1"/>
  <c r="Q2200" i="1"/>
  <c r="Q2201" i="1"/>
  <c r="Q2178" i="1"/>
  <c r="Q2194" i="1"/>
  <c r="Q2195" i="1"/>
  <c r="Q2199" i="1"/>
  <c r="Q2179" i="1"/>
  <c r="Q2196" i="1"/>
  <c r="Q2180" i="1"/>
  <c r="Q2181" i="1"/>
  <c r="Q2182" i="1"/>
  <c r="Q2197" i="1"/>
  <c r="Q2183" i="1"/>
  <c r="Q2184" i="1"/>
  <c r="Q2198" i="1"/>
  <c r="Q109" i="1"/>
  <c r="Q947" i="1"/>
  <c r="Q946" i="1"/>
  <c r="Q2396" i="1"/>
  <c r="Q2397" i="1"/>
  <c r="Q2394" i="1"/>
  <c r="Q2398" i="1"/>
  <c r="Q2393" i="1"/>
  <c r="Q2395" i="1"/>
  <c r="Q2399" i="1"/>
  <c r="Q2400" i="1"/>
  <c r="Q2401" i="1"/>
  <c r="Q2402" i="1"/>
  <c r="Q2403" i="1"/>
  <c r="Q2404" i="1"/>
  <c r="Q2405" i="1"/>
  <c r="Q110" i="1"/>
  <c r="Q2442" i="1"/>
  <c r="Q2449" i="1"/>
  <c r="Q2448" i="1"/>
  <c r="Q2450" i="1"/>
  <c r="Q2451" i="1"/>
  <c r="Q2452" i="1"/>
  <c r="Q2453" i="1"/>
  <c r="Q2454" i="1"/>
  <c r="Q2455" i="1"/>
  <c r="Q2460" i="1"/>
  <c r="Q2461" i="1"/>
  <c r="Q2468" i="1"/>
  <c r="Q2469" i="1"/>
  <c r="Q2463" i="1"/>
  <c r="Q2465" i="1"/>
  <c r="Q2466" i="1"/>
  <c r="Q2470" i="1"/>
  <c r="Q2462" i="1"/>
  <c r="Q2464" i="1"/>
  <c r="Q2467" i="1"/>
  <c r="Q2474" i="1"/>
  <c r="Q2473" i="1"/>
  <c r="Q2472" i="1"/>
  <c r="Q2475" i="1"/>
  <c r="Q2476" i="1"/>
  <c r="Q2478" i="1"/>
  <c r="Q2410" i="1"/>
  <c r="Q2411" i="1"/>
  <c r="Q2457" i="1"/>
  <c r="Q2412" i="1"/>
  <c r="Q2479" i="1"/>
  <c r="Q2413" i="1"/>
  <c r="Q2414" i="1"/>
  <c r="Q2456" i="1"/>
  <c r="Q2415" i="1"/>
  <c r="Q2444" i="1"/>
  <c r="Q2446" i="1"/>
  <c r="Q2458" i="1"/>
  <c r="Q2441" i="1"/>
  <c r="Q2480" i="1"/>
  <c r="Q2416" i="1"/>
  <c r="Q2447" i="1"/>
  <c r="Q2459" i="1"/>
  <c r="Q2477" i="1"/>
  <c r="Q2481" i="1"/>
  <c r="Q993" i="1"/>
  <c r="Q2499" i="1"/>
  <c r="Q2500" i="1"/>
  <c r="Q2501" i="1"/>
  <c r="Q2506" i="1"/>
  <c r="Q2502" i="1"/>
  <c r="Q2503" i="1"/>
  <c r="Q2504" i="1"/>
  <c r="Q1000" i="1"/>
  <c r="Q991" i="1"/>
  <c r="Q990" i="1"/>
  <c r="Q992" i="1"/>
  <c r="Q1003" i="1"/>
  <c r="Q994" i="1"/>
  <c r="Q995" i="1"/>
  <c r="Q996" i="1"/>
  <c r="Q997" i="1"/>
  <c r="Q998" i="1"/>
  <c r="Q999" i="1"/>
  <c r="Q1002" i="1"/>
  <c r="Q2509" i="1"/>
  <c r="Q2510" i="1"/>
  <c r="Q2511" i="1"/>
  <c r="Q2512" i="1"/>
  <c r="Q2513" i="1"/>
  <c r="Q2519" i="1"/>
  <c r="Q2520" i="1"/>
  <c r="Q2521" i="1"/>
  <c r="Q2517" i="1"/>
  <c r="Q2518" i="1"/>
  <c r="Q2508" i="1"/>
  <c r="Q2514" i="1"/>
  <c r="Q2515" i="1"/>
  <c r="Q2516" i="1"/>
  <c r="Q2526" i="1"/>
  <c r="Q2522" i="1"/>
  <c r="Q2527" i="1"/>
  <c r="Q2523" i="1"/>
  <c r="Q2528" i="1"/>
  <c r="Q2529" i="1"/>
  <c r="Q2530" i="1"/>
  <c r="Q2524" i="1"/>
  <c r="Q2531" i="1"/>
  <c r="Q2525" i="1"/>
  <c r="Q2532" i="1"/>
  <c r="Q112" i="1"/>
  <c r="Q2533" i="1"/>
  <c r="Q2534" i="1"/>
  <c r="Q2547" i="1"/>
  <c r="Q2548" i="1"/>
  <c r="Q2535" i="1"/>
  <c r="Q2536" i="1"/>
  <c r="Q2537" i="1"/>
  <c r="Q2538" i="1"/>
  <c r="Q2539" i="1"/>
  <c r="Q2540" i="1"/>
  <c r="Q2541" i="1"/>
  <c r="Q2542" i="1"/>
  <c r="Q2543" i="1"/>
  <c r="Q2544" i="1"/>
  <c r="Q2551" i="1"/>
  <c r="Q2545" i="1"/>
  <c r="Q2546" i="1"/>
  <c r="Q2552" i="1"/>
  <c r="Q2553" i="1"/>
  <c r="Q2549" i="1"/>
  <c r="Q2550" i="1"/>
  <c r="Q113" i="1"/>
  <c r="Q114" i="1"/>
  <c r="Q115" i="1"/>
  <c r="Q116" i="1"/>
  <c r="Q2505" i="1"/>
  <c r="Q2556" i="1"/>
  <c r="Q2568" i="1"/>
  <c r="Q2557" i="1"/>
  <c r="Q2560" i="1"/>
  <c r="Q2561" i="1"/>
  <c r="Q2562" i="1"/>
  <c r="Q2558" i="1"/>
  <c r="Q2563" i="1"/>
  <c r="Q2564" i="1"/>
  <c r="Q2565" i="1"/>
  <c r="Q2566" i="1"/>
  <c r="Q2567" i="1"/>
  <c r="Q2569" i="1"/>
  <c r="Q2570" i="1"/>
  <c r="Q2571" i="1"/>
  <c r="Q2559" i="1"/>
  <c r="Q2572" i="1"/>
  <c r="Q2573" i="1"/>
  <c r="Q2574" i="1"/>
  <c r="Q2575" i="1"/>
  <c r="Q2576" i="1"/>
  <c r="Q581" i="1"/>
  <c r="Q579" i="1"/>
  <c r="Q578" i="1"/>
  <c r="Q580" i="1"/>
  <c r="Q2584" i="1"/>
  <c r="Q2589" i="1"/>
  <c r="Q2592" i="1"/>
  <c r="Q2593" i="1"/>
  <c r="Q2594" i="1"/>
  <c r="Q2595" i="1"/>
  <c r="Q2597" i="1"/>
  <c r="Q2598" i="1"/>
  <c r="Q2600" i="1"/>
  <c r="Q2601" i="1"/>
  <c r="Q2602" i="1"/>
  <c r="Q2604" i="1"/>
  <c r="Q2605" i="1"/>
  <c r="Q2606" i="1"/>
  <c r="Q118" i="1"/>
  <c r="Q2618" i="1"/>
  <c r="Q2616" i="1"/>
  <c r="Q2619" i="1"/>
  <c r="Q2617" i="1"/>
  <c r="Q120" i="1"/>
  <c r="Q2230" i="1"/>
  <c r="Q2262" i="1"/>
  <c r="Q2263" i="1"/>
  <c r="Q2264" i="1"/>
  <c r="Q2265" i="1"/>
  <c r="Q2231" i="1"/>
  <c r="Q2232" i="1"/>
  <c r="Q2233" i="1"/>
  <c r="Q2234" i="1"/>
  <c r="Q2235" i="1"/>
  <c r="Q2236" i="1"/>
  <c r="Q2250" i="1"/>
  <c r="Q2260" i="1"/>
  <c r="Q2251" i="1"/>
  <c r="Q2252" i="1"/>
  <c r="Q2253" i="1"/>
  <c r="Q2254" i="1"/>
  <c r="Q2255" i="1"/>
  <c r="Q2261" i="1"/>
  <c r="Q2256" i="1"/>
  <c r="Q2257" i="1"/>
  <c r="Q2258" i="1"/>
  <c r="Q2259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662" i="1"/>
  <c r="Q2660" i="1"/>
  <c r="Q2663" i="1"/>
  <c r="Q2661" i="1"/>
  <c r="Q1617" i="1"/>
  <c r="Q1560" i="1"/>
  <c r="Q3000" i="1"/>
  <c r="Q3001" i="1"/>
  <c r="Q2732" i="1"/>
  <c r="Q2734" i="1"/>
  <c r="Q2733" i="1"/>
  <c r="Q2736" i="1"/>
  <c r="Q2735" i="1"/>
  <c r="Q2741" i="1"/>
  <c r="Q2738" i="1"/>
  <c r="Q2739" i="1"/>
  <c r="Q2740" i="1"/>
  <c r="Q2742" i="1"/>
  <c r="Q2743" i="1"/>
  <c r="Q2744" i="1"/>
  <c r="Q2745" i="1"/>
  <c r="Q2975" i="1"/>
  <c r="Q2980" i="1"/>
  <c r="Q2985" i="1"/>
  <c r="Q2984" i="1"/>
  <c r="Q2993" i="1"/>
  <c r="Q2704" i="1"/>
  <c r="Q2981" i="1"/>
  <c r="Q2982" i="1"/>
  <c r="Q2991" i="1"/>
  <c r="Q2986" i="1"/>
  <c r="Q2990" i="1"/>
  <c r="Q2705" i="1"/>
  <c r="Q2706" i="1"/>
  <c r="Q2707" i="1"/>
  <c r="Q2708" i="1"/>
  <c r="Q2833" i="1"/>
  <c r="Q2831" i="1"/>
  <c r="Q2983" i="1"/>
  <c r="Q2992" i="1"/>
  <c r="Q2709" i="1"/>
  <c r="Q2978" i="1"/>
  <c r="Q2979" i="1"/>
  <c r="Q3017" i="1"/>
  <c r="Q3018" i="1"/>
  <c r="Q3019" i="1"/>
  <c r="Q3020" i="1"/>
  <c r="Q3021" i="1"/>
  <c r="Q3026" i="1"/>
  <c r="Q3027" i="1"/>
  <c r="Q121" i="1"/>
  <c r="Q122" i="1"/>
  <c r="Q123" i="1"/>
  <c r="Q124" i="1"/>
  <c r="Q125" i="1"/>
  <c r="Q126" i="1"/>
  <c r="Q127" i="1"/>
  <c r="Q3114" i="1"/>
  <c r="Q3115" i="1"/>
  <c r="Q3112" i="1"/>
  <c r="Q3116" i="1"/>
  <c r="Q3118" i="1"/>
  <c r="Q3117" i="1"/>
  <c r="Q3119" i="1"/>
  <c r="Q554" i="1"/>
  <c r="Q557" i="1"/>
  <c r="Q3120" i="1"/>
  <c r="Q3121" i="1"/>
  <c r="Q3122" i="1"/>
  <c r="Q3123" i="1"/>
  <c r="Q3124" i="1"/>
  <c r="Q3125" i="1"/>
  <c r="Q3126" i="1"/>
  <c r="Q3127" i="1"/>
  <c r="Q3128" i="1"/>
  <c r="Q3129" i="1"/>
  <c r="Q3130" i="1"/>
  <c r="Q585" i="1"/>
  <c r="Q3131" i="1"/>
  <c r="Q3141" i="1"/>
  <c r="Q3149" i="1"/>
  <c r="Q3150" i="1"/>
  <c r="Q3151" i="1"/>
  <c r="Q3152" i="1"/>
  <c r="Q3155" i="1"/>
  <c r="Q3113" i="1"/>
  <c r="Q1038" i="1"/>
  <c r="Q1047" i="1"/>
  <c r="Q1046" i="1"/>
  <c r="Q1048" i="1"/>
  <c r="Q3164" i="1"/>
  <c r="Q3165" i="1"/>
  <c r="Q3158" i="1"/>
  <c r="Q3161" i="1"/>
  <c r="Q3166" i="1"/>
  <c r="Q3167" i="1"/>
  <c r="Q3162" i="1"/>
  <c r="Q3163" i="1"/>
  <c r="Q3168" i="1"/>
  <c r="Q3159" i="1"/>
  <c r="Q3160" i="1"/>
  <c r="Q3178" i="1"/>
  <c r="Q3192" i="1"/>
  <c r="Q3193" i="1"/>
  <c r="Q3194" i="1"/>
  <c r="Q3195" i="1"/>
  <c r="Q3196" i="1"/>
  <c r="Q3197" i="1"/>
  <c r="Q3198" i="1"/>
  <c r="Q3200" i="1"/>
  <c r="Q3202" i="1"/>
  <c r="Q3201" i="1"/>
  <c r="Q3204" i="1"/>
  <c r="Q3206" i="1"/>
  <c r="Q3205" i="1"/>
  <c r="Q3208" i="1"/>
  <c r="Q3209" i="1"/>
  <c r="Q3210" i="1"/>
  <c r="Q3215" i="1"/>
  <c r="Q3216" i="1"/>
  <c r="Q3199" i="1"/>
  <c r="Q3219" i="1"/>
  <c r="Q3203" i="1"/>
  <c r="Q3207" i="1"/>
  <c r="Q3221" i="1"/>
  <c r="Q3223" i="1"/>
  <c r="Q3224" i="1"/>
  <c r="Q3220" i="1"/>
  <c r="Q3211" i="1"/>
  <c r="Q3225" i="1"/>
  <c r="Q3227" i="1"/>
  <c r="Q3213" i="1"/>
  <c r="Q3214" i="1"/>
  <c r="Q3229" i="1"/>
  <c r="Q3230" i="1"/>
  <c r="Q3231" i="1"/>
  <c r="Q3232" i="1"/>
  <c r="Q3212" i="1"/>
  <c r="Q3233" i="1"/>
  <c r="Q1059" i="1"/>
  <c r="Q1060" i="1"/>
  <c r="Q1058" i="1"/>
  <c r="Q1061" i="1"/>
  <c r="Q1062" i="1"/>
  <c r="Q1063" i="1"/>
  <c r="Q1064" i="1"/>
  <c r="Q3234" i="1"/>
  <c r="Q3235" i="1"/>
  <c r="Q3237" i="1"/>
  <c r="Q3238" i="1"/>
  <c r="Q3239" i="1"/>
  <c r="Q3236" i="1"/>
  <c r="Q3240" i="1"/>
  <c r="Q3242" i="1"/>
  <c r="Q3243" i="1"/>
  <c r="Q3244" i="1"/>
  <c r="Q3245" i="1"/>
  <c r="Q3247" i="1"/>
  <c r="Q3248" i="1"/>
  <c r="Q3249" i="1"/>
  <c r="Q3250" i="1"/>
  <c r="Q3251" i="1"/>
  <c r="Q3252" i="1"/>
  <c r="Q3255" i="1"/>
  <c r="Q3256" i="1"/>
  <c r="Q3241" i="1"/>
  <c r="Q3261" i="1"/>
  <c r="Q3264" i="1"/>
  <c r="Q3266" i="1"/>
  <c r="Q3253" i="1"/>
  <c r="Q3257" i="1"/>
  <c r="Q3259" i="1"/>
  <c r="Q3268" i="1"/>
  <c r="Q2151" i="1"/>
  <c r="Q2144" i="1"/>
  <c r="Q860" i="1"/>
  <c r="Q861" i="1"/>
  <c r="Q862" i="1"/>
  <c r="Q1082" i="1"/>
  <c r="Q1081" i="1"/>
  <c r="Q1083" i="1"/>
  <c r="Q1085" i="1"/>
  <c r="Q1086" i="1"/>
  <c r="Q1084" i="1"/>
  <c r="Q3270" i="1"/>
  <c r="Q3271" i="1"/>
  <c r="Q3275" i="1"/>
  <c r="Q3276" i="1"/>
  <c r="Q3277" i="1"/>
  <c r="Q3278" i="1"/>
  <c r="Q3273" i="1"/>
  <c r="Q3274" i="1"/>
  <c r="Q3279" i="1"/>
  <c r="Q3272" i="1"/>
  <c r="Q1616" i="1"/>
  <c r="Q1610" i="1"/>
  <c r="Q1608" i="1"/>
  <c r="Q1607" i="1"/>
  <c r="Q1611" i="1"/>
  <c r="Q1606" i="1"/>
  <c r="Q1615" i="1"/>
  <c r="Q1558" i="1"/>
  <c r="Q1559" i="1"/>
  <c r="Q3280" i="1"/>
  <c r="Q3281" i="1"/>
  <c r="Q3283" i="1"/>
  <c r="Q3284" i="1"/>
  <c r="Q3285" i="1"/>
  <c r="Q3286" i="1"/>
  <c r="Q3287" i="1"/>
  <c r="Q3031" i="1"/>
  <c r="Q3032" i="1"/>
  <c r="Q3033" i="1"/>
  <c r="Q2976" i="1"/>
  <c r="Q2977" i="1"/>
  <c r="Q1809" i="1"/>
  <c r="Q2303" i="1"/>
  <c r="Q2304" i="1"/>
  <c r="Q2305" i="1"/>
  <c r="Q1810" i="1"/>
  <c r="Q2040" i="1"/>
  <c r="Q2041" i="1"/>
  <c r="Q2042" i="1"/>
  <c r="Q530" i="1"/>
  <c r="Q536" i="1"/>
  <c r="Q537" i="1"/>
  <c r="Q543" i="1"/>
  <c r="Q550" i="1"/>
  <c r="Q1811" i="1"/>
  <c r="Q1812" i="1"/>
  <c r="Q2189" i="1"/>
  <c r="Q2187" i="1"/>
  <c r="Q2186" i="1"/>
  <c r="Q2185" i="1"/>
  <c r="Q2988" i="1"/>
  <c r="Q2989" i="1"/>
  <c r="Q875" i="1"/>
  <c r="Q893" i="1"/>
  <c r="Q895" i="1"/>
  <c r="Q896" i="1"/>
  <c r="Q897" i="1"/>
  <c r="Q921" i="1"/>
  <c r="Q925" i="1"/>
  <c r="Q926" i="1"/>
  <c r="Q927" i="1"/>
  <c r="Q928" i="1"/>
  <c r="Q929" i="1"/>
  <c r="Q987" i="1"/>
  <c r="Q1018" i="1"/>
  <c r="Q1020" i="1"/>
  <c r="Q1033" i="1"/>
  <c r="Q1056" i="1"/>
  <c r="Q1078" i="1"/>
  <c r="Q1087" i="1"/>
  <c r="Q2834" i="1"/>
  <c r="Q1969" i="1"/>
  <c r="Q1966" i="1"/>
  <c r="Q1975" i="1"/>
  <c r="Q1915" i="1"/>
  <c r="Q1916" i="1"/>
  <c r="Q1955" i="1"/>
  <c r="Q1954" i="1"/>
  <c r="Q1956" i="1"/>
  <c r="I492" i="1"/>
  <c r="F492" i="1" s="1"/>
  <c r="I491" i="1"/>
  <c r="F491" i="1" s="1"/>
  <c r="I493" i="1"/>
  <c r="F493" i="1" s="1"/>
  <c r="I1889" i="1"/>
  <c r="F1889" i="1" s="1"/>
  <c r="I3114" i="1"/>
  <c r="F3114" i="1" s="1"/>
  <c r="I3115" i="1"/>
  <c r="F3115" i="1" s="1"/>
  <c r="I3112" i="1"/>
  <c r="F3112" i="1" s="1"/>
  <c r="I3116" i="1"/>
  <c r="F3116" i="1" s="1"/>
  <c r="I3118" i="1"/>
  <c r="F3118" i="1" s="1"/>
  <c r="I3117" i="1"/>
  <c r="F3117" i="1" s="1"/>
  <c r="I3119" i="1"/>
  <c r="F3119" i="1" s="1"/>
  <c r="I3113" i="1"/>
  <c r="F3113" i="1" s="1"/>
  <c r="I1890" i="1"/>
  <c r="F1890" i="1" s="1"/>
  <c r="I1459" i="1"/>
  <c r="F1459" i="1" s="1"/>
  <c r="I1457" i="1"/>
  <c r="F1457" i="1" s="1"/>
  <c r="I1461" i="1"/>
  <c r="F1461" i="1" s="1"/>
  <c r="I1458" i="1"/>
  <c r="F1458" i="1" s="1"/>
  <c r="I1460" i="1"/>
  <c r="F1460" i="1" s="1"/>
  <c r="I599" i="1"/>
  <c r="F599" i="1" s="1"/>
  <c r="I583" i="1"/>
  <c r="F583" i="1" s="1"/>
  <c r="I1088" i="1"/>
  <c r="F1088" i="1" s="1"/>
  <c r="I1089" i="1"/>
  <c r="F1089" i="1" s="1"/>
  <c r="I2975" i="1"/>
  <c r="F2975" i="1" s="1"/>
  <c r="I1945" i="1"/>
  <c r="F1945" i="1" s="1"/>
  <c r="I1946" i="1"/>
  <c r="F1946" i="1" s="1"/>
  <c r="I1947" i="1"/>
  <c r="F1947" i="1" s="1"/>
  <c r="I1953" i="1"/>
  <c r="F1953" i="1" s="1"/>
  <c r="I495" i="1"/>
  <c r="F495" i="1" s="1"/>
  <c r="I2301" i="1"/>
  <c r="F2301" i="1" s="1"/>
  <c r="I2018" i="1"/>
  <c r="F2018" i="1" s="1"/>
  <c r="I2270" i="1"/>
  <c r="F2270" i="1" s="1"/>
  <c r="I500" i="1"/>
  <c r="F500" i="1" s="1"/>
  <c r="I1980" i="1"/>
  <c r="F1980" i="1" s="1"/>
  <c r="I2976" i="1"/>
  <c r="F2976" i="1" s="1"/>
  <c r="I2977" i="1"/>
  <c r="F2977" i="1" s="1"/>
  <c r="I664" i="1"/>
  <c r="F664" i="1" s="1"/>
  <c r="I668" i="1"/>
  <c r="F668" i="1" s="1"/>
  <c r="I665" i="1"/>
  <c r="F665" i="1" s="1"/>
  <c r="I667" i="1"/>
  <c r="F667" i="1" s="1"/>
  <c r="I666" i="1"/>
  <c r="F666" i="1" s="1"/>
  <c r="I663" i="1"/>
  <c r="F663" i="1" s="1"/>
  <c r="I2980" i="1"/>
  <c r="F2980" i="1" s="1"/>
  <c r="I1195" i="1"/>
  <c r="F1195" i="1" s="1"/>
  <c r="I1196" i="1"/>
  <c r="F1196" i="1" s="1"/>
  <c r="I1166" i="1"/>
  <c r="F1166" i="1" s="1"/>
  <c r="I1167" i="1"/>
  <c r="F1167" i="1" s="1"/>
  <c r="I1168" i="1"/>
  <c r="F1168" i="1" s="1"/>
  <c r="I1169" i="1"/>
  <c r="F1169" i="1" s="1"/>
  <c r="I1903" i="1"/>
  <c r="F1903" i="1" s="1"/>
  <c r="I1965" i="1"/>
  <c r="F1965" i="1" s="1"/>
  <c r="I2302" i="1"/>
  <c r="F2302" i="1" s="1"/>
  <c r="I1884" i="1"/>
  <c r="F1884" i="1" s="1"/>
  <c r="I2070" i="1"/>
  <c r="F2070" i="1" s="1"/>
  <c r="I2212" i="1"/>
  <c r="F2212" i="1" s="1"/>
  <c r="I2071" i="1"/>
  <c r="F2071" i="1" s="1"/>
  <c r="I1885" i="1"/>
  <c r="F1885" i="1" s="1"/>
  <c r="I2213" i="1"/>
  <c r="F2213" i="1" s="1"/>
  <c r="I497" i="1"/>
  <c r="F497" i="1" s="1"/>
  <c r="I1997" i="1"/>
  <c r="F1997" i="1" s="1"/>
  <c r="I1998" i="1"/>
  <c r="F1998" i="1" s="1"/>
  <c r="I1999" i="1"/>
  <c r="F1999" i="1" s="1"/>
  <c r="I2000" i="1"/>
  <c r="F2000" i="1" s="1"/>
  <c r="I2001" i="1"/>
  <c r="F2001" i="1" s="1"/>
  <c r="I2002" i="1"/>
  <c r="F2002" i="1" s="1"/>
  <c r="I504" i="1"/>
  <c r="F504" i="1" s="1"/>
  <c r="I508" i="1"/>
  <c r="F508" i="1" s="1"/>
  <c r="I503" i="1"/>
  <c r="F503" i="1" s="1"/>
  <c r="I511" i="1"/>
  <c r="F511" i="1" s="1"/>
  <c r="I505" i="1"/>
  <c r="F505" i="1" s="1"/>
  <c r="I510" i="1"/>
  <c r="F510" i="1" s="1"/>
  <c r="I506" i="1"/>
  <c r="F506" i="1" s="1"/>
  <c r="I507" i="1"/>
  <c r="F507" i="1" s="1"/>
  <c r="I512" i="1"/>
  <c r="F512" i="1" s="1"/>
  <c r="I509" i="1"/>
  <c r="F509" i="1" s="1"/>
  <c r="I521" i="1"/>
  <c r="F521" i="1" s="1"/>
  <c r="I515" i="1"/>
  <c r="F515" i="1" s="1"/>
  <c r="I516" i="1"/>
  <c r="F516" i="1" s="1"/>
  <c r="I517" i="1"/>
  <c r="F517" i="1" s="1"/>
  <c r="I518" i="1"/>
  <c r="F518" i="1" s="1"/>
  <c r="I519" i="1"/>
  <c r="F519" i="1" s="1"/>
  <c r="I520" i="1"/>
  <c r="F520" i="1" s="1"/>
  <c r="I522" i="1"/>
  <c r="F522" i="1" s="1"/>
  <c r="I523" i="1"/>
  <c r="F523" i="1" s="1"/>
  <c r="I1809" i="1"/>
  <c r="F1809" i="1" s="1"/>
  <c r="I2303" i="1"/>
  <c r="F2303" i="1" s="1"/>
  <c r="I2304" i="1"/>
  <c r="F2304" i="1" s="1"/>
  <c r="I2305" i="1"/>
  <c r="F2305" i="1" s="1"/>
  <c r="I1810" i="1"/>
  <c r="F1810" i="1" s="1"/>
  <c r="I1586" i="1"/>
  <c r="F1586" i="1" s="1"/>
  <c r="I1583" i="1"/>
  <c r="F1583" i="1" s="1"/>
  <c r="I1584" i="1"/>
  <c r="F1584" i="1" s="1"/>
  <c r="I1585" i="1"/>
  <c r="F1585" i="1" s="1"/>
  <c r="I1587" i="1"/>
  <c r="F1587" i="1" s="1"/>
  <c r="I1126" i="1"/>
  <c r="F1126" i="1" s="1"/>
  <c r="I1122" i="1"/>
  <c r="F1122" i="1" s="1"/>
  <c r="I1130" i="1"/>
  <c r="F1130" i="1" s="1"/>
  <c r="I1123" i="1"/>
  <c r="F1123" i="1" s="1"/>
  <c r="I1124" i="1"/>
  <c r="F1124" i="1" s="1"/>
  <c r="I1125" i="1"/>
  <c r="F1125" i="1" s="1"/>
  <c r="I1131" i="1"/>
  <c r="F1131" i="1" s="1"/>
  <c r="I1132" i="1"/>
  <c r="F1132" i="1" s="1"/>
  <c r="I639" i="1"/>
  <c r="F639" i="1" s="1"/>
  <c r="I640" i="1"/>
  <c r="F640" i="1" s="1"/>
  <c r="I641" i="1"/>
  <c r="F641" i="1" s="1"/>
  <c r="I642" i="1"/>
  <c r="F642" i="1" s="1"/>
  <c r="I644" i="1"/>
  <c r="F644" i="1" s="1"/>
  <c r="I645" i="1"/>
  <c r="F645" i="1" s="1"/>
  <c r="I647" i="1"/>
  <c r="F647" i="1" s="1"/>
  <c r="I634" i="1"/>
  <c r="F634" i="1" s="1"/>
  <c r="I635" i="1"/>
  <c r="F635" i="1" s="1"/>
  <c r="I633" i="1"/>
  <c r="F633" i="1" s="1"/>
  <c r="I636" i="1"/>
  <c r="F636" i="1" s="1"/>
  <c r="I637" i="1"/>
  <c r="F637" i="1" s="1"/>
  <c r="I650" i="1"/>
  <c r="F650" i="1" s="1"/>
  <c r="I651" i="1"/>
  <c r="F651" i="1" s="1"/>
  <c r="I646" i="1"/>
  <c r="F646" i="1" s="1"/>
  <c r="I2043" i="1"/>
  <c r="F2043" i="1" s="1"/>
  <c r="I2044" i="1"/>
  <c r="F2044" i="1" s="1"/>
  <c r="I2045" i="1"/>
  <c r="F2045" i="1" s="1"/>
  <c r="I2046" i="1"/>
  <c r="F2046" i="1" s="1"/>
  <c r="I2047" i="1"/>
  <c r="F2047" i="1" s="1"/>
  <c r="I2048" i="1"/>
  <c r="F2048" i="1" s="1"/>
  <c r="I2052" i="1"/>
  <c r="F2052" i="1" s="1"/>
  <c r="I2034" i="1"/>
  <c r="F2034" i="1" s="1"/>
  <c r="I2035" i="1"/>
  <c r="F2035" i="1" s="1"/>
  <c r="I2036" i="1"/>
  <c r="F2036" i="1" s="1"/>
  <c r="I2037" i="1"/>
  <c r="F2037" i="1" s="1"/>
  <c r="I2038" i="1"/>
  <c r="F2038" i="1" s="1"/>
  <c r="I2039" i="1"/>
  <c r="F2039" i="1" s="1"/>
  <c r="I2040" i="1"/>
  <c r="F2040" i="1" s="1"/>
  <c r="I2041" i="1"/>
  <c r="F2041" i="1" s="1"/>
  <c r="I2042" i="1"/>
  <c r="F2042" i="1" s="1"/>
  <c r="I530" i="1"/>
  <c r="F530" i="1" s="1"/>
  <c r="I536" i="1"/>
  <c r="F536" i="1" s="1"/>
  <c r="I537" i="1"/>
  <c r="F537" i="1" s="1"/>
  <c r="I543" i="1"/>
  <c r="F543" i="1" s="1"/>
  <c r="I550" i="1"/>
  <c r="F550" i="1" s="1"/>
  <c r="I535" i="1"/>
  <c r="F535" i="1" s="1"/>
  <c r="I539" i="1"/>
  <c r="F539" i="1" s="1"/>
  <c r="I531" i="1"/>
  <c r="F531" i="1" s="1"/>
  <c r="I532" i="1"/>
  <c r="F532" i="1" s="1"/>
  <c r="I541" i="1"/>
  <c r="F541" i="1" s="1"/>
  <c r="I542" i="1"/>
  <c r="F542" i="1" s="1"/>
  <c r="I545" i="1"/>
  <c r="F545" i="1" s="1"/>
  <c r="I1595" i="1"/>
  <c r="F1595" i="1" s="1"/>
  <c r="I1599" i="1"/>
  <c r="F1599" i="1" s="1"/>
  <c r="I1596" i="1"/>
  <c r="F1596" i="1" s="1"/>
  <c r="I1592" i="1"/>
  <c r="F1592" i="1" s="1"/>
  <c r="I1604" i="1"/>
  <c r="F1604" i="1" s="1"/>
  <c r="I1591" i="1"/>
  <c r="F1591" i="1" s="1"/>
  <c r="I1590" i="1"/>
  <c r="F1590" i="1" s="1"/>
  <c r="I1593" i="1"/>
  <c r="F1593" i="1" s="1"/>
  <c r="I1588" i="1"/>
  <c r="F1588" i="1" s="1"/>
  <c r="I1594" i="1"/>
  <c r="F1594" i="1" s="1"/>
  <c r="I1603" i="1"/>
  <c r="F1603" i="1" s="1"/>
  <c r="I1602" i="1"/>
  <c r="F1602" i="1" s="1"/>
  <c r="I3120" i="1"/>
  <c r="F3120" i="1" s="1"/>
  <c r="I3121" i="1"/>
  <c r="F3121" i="1" s="1"/>
  <c r="I3122" i="1"/>
  <c r="F3122" i="1" s="1"/>
  <c r="I3123" i="1"/>
  <c r="F3123" i="1" s="1"/>
  <c r="I3124" i="1"/>
  <c r="F3124" i="1" s="1"/>
  <c r="I3125" i="1"/>
  <c r="F3125" i="1" s="1"/>
  <c r="I3126" i="1"/>
  <c r="F3126" i="1" s="1"/>
  <c r="I1811" i="1"/>
  <c r="F1811" i="1" s="1"/>
  <c r="I552" i="1"/>
  <c r="F552" i="1" s="1"/>
  <c r="I1197" i="1"/>
  <c r="F1197" i="1" s="1"/>
  <c r="I1198" i="1"/>
  <c r="F1198" i="1" s="1"/>
  <c r="I1199" i="1"/>
  <c r="F1199" i="1" s="1"/>
  <c r="I1200" i="1"/>
  <c r="F1200" i="1" s="1"/>
  <c r="I1201" i="1"/>
  <c r="F1201" i="1" s="1"/>
  <c r="I1202" i="1"/>
  <c r="F1202" i="1" s="1"/>
  <c r="I1203" i="1"/>
  <c r="F1203" i="1" s="1"/>
  <c r="I1204" i="1"/>
  <c r="F1204" i="1" s="1"/>
  <c r="I1205" i="1"/>
  <c r="F1205" i="1" s="1"/>
  <c r="I1206" i="1"/>
  <c r="F1206" i="1" s="1"/>
  <c r="I1207" i="1"/>
  <c r="F1207" i="1" s="1"/>
  <c r="I1208" i="1"/>
  <c r="F1208" i="1" s="1"/>
  <c r="I1209" i="1"/>
  <c r="F1209" i="1" s="1"/>
  <c r="I1210" i="1"/>
  <c r="F1210" i="1" s="1"/>
  <c r="I1211" i="1"/>
  <c r="F1211" i="1" s="1"/>
  <c r="I1212" i="1"/>
  <c r="F1212" i="1" s="1"/>
  <c r="I1213" i="1"/>
  <c r="F1213" i="1" s="1"/>
  <c r="I1214" i="1"/>
  <c r="F1214" i="1" s="1"/>
  <c r="I1215" i="1"/>
  <c r="F1215" i="1" s="1"/>
  <c r="I1216" i="1"/>
  <c r="F1216" i="1" s="1"/>
  <c r="I1217" i="1"/>
  <c r="F1217" i="1" s="1"/>
  <c r="I1218" i="1"/>
  <c r="F1218" i="1" s="1"/>
  <c r="I1219" i="1"/>
  <c r="F1219" i="1" s="1"/>
  <c r="I1220" i="1"/>
  <c r="F1220" i="1" s="1"/>
  <c r="I1221" i="1"/>
  <c r="F1221" i="1" s="1"/>
  <c r="I1222" i="1"/>
  <c r="F1222" i="1" s="1"/>
  <c r="I553" i="1"/>
  <c r="F553" i="1" s="1"/>
  <c r="I556" i="1"/>
  <c r="F556" i="1" s="1"/>
  <c r="I558" i="1"/>
  <c r="F558" i="1" s="1"/>
  <c r="I559" i="1"/>
  <c r="F559" i="1" s="1"/>
  <c r="I560" i="1"/>
  <c r="F560" i="1" s="1"/>
  <c r="I561" i="1"/>
  <c r="F561" i="1" s="1"/>
  <c r="I562" i="1"/>
  <c r="F562" i="1" s="1"/>
  <c r="I563" i="1"/>
  <c r="F563" i="1" s="1"/>
  <c r="I554" i="1"/>
  <c r="F554" i="1" s="1"/>
  <c r="I557" i="1"/>
  <c r="F557" i="1" s="1"/>
  <c r="I2118" i="1"/>
  <c r="F2118" i="1" s="1"/>
  <c r="I2132" i="1"/>
  <c r="F2132" i="1" s="1"/>
  <c r="I2145" i="1"/>
  <c r="F2145" i="1" s="1"/>
  <c r="I2074" i="1"/>
  <c r="F2074" i="1" s="1"/>
  <c r="I2114" i="1"/>
  <c r="F2114" i="1" s="1"/>
  <c r="I2115" i="1"/>
  <c r="F2115" i="1" s="1"/>
  <c r="I2116" i="1"/>
  <c r="F2116" i="1" s="1"/>
  <c r="I2073" i="1"/>
  <c r="F2073" i="1" s="1"/>
  <c r="I2127" i="1"/>
  <c r="F2127" i="1" s="1"/>
  <c r="I2128" i="1"/>
  <c r="F2128" i="1" s="1"/>
  <c r="I2141" i="1"/>
  <c r="F2141" i="1" s="1"/>
  <c r="I2124" i="1"/>
  <c r="F2124" i="1" s="1"/>
  <c r="I2125" i="1"/>
  <c r="F2125" i="1" s="1"/>
  <c r="I2126" i="1"/>
  <c r="F2126" i="1" s="1"/>
  <c r="I2129" i="1"/>
  <c r="F2129" i="1" s="1"/>
  <c r="I2130" i="1"/>
  <c r="F2130" i="1" s="1"/>
  <c r="I2131" i="1"/>
  <c r="F2131" i="1" s="1"/>
  <c r="I2157" i="1"/>
  <c r="F2157" i="1" s="1"/>
  <c r="I2087" i="1"/>
  <c r="F2087" i="1" s="1"/>
  <c r="I2088" i="1"/>
  <c r="F2088" i="1" s="1"/>
  <c r="I2123" i="1"/>
  <c r="F2123" i="1" s="1"/>
  <c r="I2089" i="1"/>
  <c r="F2089" i="1" s="1"/>
  <c r="I2139" i="1"/>
  <c r="F2139" i="1" s="1"/>
  <c r="I2140" i="1"/>
  <c r="F2140" i="1" s="1"/>
  <c r="I2090" i="1"/>
  <c r="F2090" i="1" s="1"/>
  <c r="I2142" i="1"/>
  <c r="F2142" i="1" s="1"/>
  <c r="I2091" i="1"/>
  <c r="F2091" i="1" s="1"/>
  <c r="I2092" i="1"/>
  <c r="F2092" i="1" s="1"/>
  <c r="I2143" i="1"/>
  <c r="F2143" i="1" s="1"/>
  <c r="I2093" i="1"/>
  <c r="F2093" i="1" s="1"/>
  <c r="I2120" i="1"/>
  <c r="F2120" i="1" s="1"/>
  <c r="I2094" i="1"/>
  <c r="F2094" i="1" s="1"/>
  <c r="I2144" i="1"/>
  <c r="F2144" i="1" s="1"/>
  <c r="I2121" i="1"/>
  <c r="F2121" i="1" s="1"/>
  <c r="I2151" i="1"/>
  <c r="F2151" i="1" s="1"/>
  <c r="I2122" i="1"/>
  <c r="F2122" i="1" s="1"/>
  <c r="I2138" i="1"/>
  <c r="F2138" i="1" s="1"/>
  <c r="I564" i="1"/>
  <c r="F564" i="1" s="1"/>
  <c r="I1891" i="1"/>
  <c r="F1891" i="1" s="1"/>
  <c r="I1812" i="1"/>
  <c r="F1812" i="1" s="1"/>
  <c r="I566" i="1"/>
  <c r="F566" i="1" s="1"/>
  <c r="I1108" i="1"/>
  <c r="F1108" i="1" s="1"/>
  <c r="I1107" i="1"/>
  <c r="F1107" i="1" s="1"/>
  <c r="I571" i="1"/>
  <c r="F571" i="1" s="1"/>
  <c r="I569" i="1"/>
  <c r="F569" i="1" s="1"/>
  <c r="I570" i="1"/>
  <c r="F570" i="1" s="1"/>
  <c r="I2188" i="1"/>
  <c r="F2188" i="1" s="1"/>
  <c r="I2189" i="1"/>
  <c r="F2189" i="1" s="1"/>
  <c r="I2187" i="1"/>
  <c r="F2187" i="1" s="1"/>
  <c r="I2186" i="1"/>
  <c r="F2186" i="1" s="1"/>
  <c r="I2175" i="1"/>
  <c r="F2175" i="1" s="1"/>
  <c r="I2176" i="1"/>
  <c r="F2176" i="1" s="1"/>
  <c r="I2177" i="1"/>
  <c r="F2177" i="1" s="1"/>
  <c r="I2193" i="1"/>
  <c r="F2193" i="1" s="1"/>
  <c r="I2200" i="1"/>
  <c r="F2200" i="1" s="1"/>
  <c r="I2201" i="1"/>
  <c r="F2201" i="1" s="1"/>
  <c r="I2178" i="1"/>
  <c r="F2178" i="1" s="1"/>
  <c r="I2194" i="1"/>
  <c r="F2194" i="1" s="1"/>
  <c r="I2195" i="1"/>
  <c r="F2195" i="1" s="1"/>
  <c r="I2199" i="1"/>
  <c r="F2199" i="1" s="1"/>
  <c r="I2179" i="1"/>
  <c r="F2179" i="1" s="1"/>
  <c r="I2196" i="1"/>
  <c r="F2196" i="1" s="1"/>
  <c r="I2180" i="1"/>
  <c r="F2180" i="1" s="1"/>
  <c r="I2181" i="1"/>
  <c r="F2181" i="1" s="1"/>
  <c r="I2182" i="1"/>
  <c r="F2182" i="1" s="1"/>
  <c r="I2197" i="1"/>
  <c r="F2197" i="1" s="1"/>
  <c r="I2183" i="1"/>
  <c r="F2183" i="1" s="1"/>
  <c r="I2184" i="1"/>
  <c r="F2184" i="1" s="1"/>
  <c r="I2198" i="1"/>
  <c r="F2198" i="1" s="1"/>
  <c r="I2185" i="1"/>
  <c r="F2185" i="1" s="1"/>
  <c r="I2988" i="1"/>
  <c r="F2988" i="1" s="1"/>
  <c r="I2989" i="1"/>
  <c r="F2989" i="1" s="1"/>
  <c r="I318" i="1"/>
  <c r="F318" i="1" s="1"/>
  <c r="I361" i="1"/>
  <c r="F361" i="1" s="1"/>
  <c r="I364" i="1"/>
  <c r="F364" i="1" s="1"/>
  <c r="I382" i="1"/>
  <c r="F382" i="1" s="1"/>
  <c r="I390" i="1"/>
  <c r="F390" i="1" s="1"/>
  <c r="I391" i="1"/>
  <c r="F391" i="1" s="1"/>
  <c r="I1104" i="1"/>
  <c r="F1104" i="1" s="1"/>
  <c r="I1105" i="1"/>
  <c r="F1105" i="1" s="1"/>
  <c r="I1113" i="1"/>
  <c r="F1113" i="1" s="1"/>
  <c r="I1173" i="1"/>
  <c r="F1173" i="1" s="1"/>
  <c r="I1175" i="1"/>
  <c r="F1175" i="1" s="1"/>
  <c r="I1179" i="1"/>
  <c r="F1179" i="1" s="1"/>
  <c r="I1181" i="1"/>
  <c r="F1181" i="1" s="1"/>
  <c r="I1183" i="1"/>
  <c r="F1183" i="1" s="1"/>
  <c r="I1185" i="1"/>
  <c r="F1185" i="1" s="1"/>
  <c r="I1187" i="1"/>
  <c r="F1187" i="1" s="1"/>
  <c r="I1189" i="1"/>
  <c r="F1189" i="1" s="1"/>
  <c r="I1191" i="1"/>
  <c r="F1191" i="1" s="1"/>
  <c r="I1193" i="1"/>
  <c r="F1193" i="1" s="1"/>
  <c r="I1174" i="1"/>
  <c r="F1174" i="1" s="1"/>
  <c r="I1177" i="1"/>
  <c r="F1177" i="1" s="1"/>
  <c r="I1178" i="1"/>
  <c r="F1178" i="1" s="1"/>
  <c r="I1223" i="1"/>
  <c r="F1223" i="1" s="1"/>
  <c r="I1495" i="1"/>
  <c r="F1495" i="1" s="1"/>
  <c r="I1496" i="1"/>
  <c r="F1496" i="1" s="1"/>
  <c r="I1500" i="1"/>
  <c r="F1500" i="1" s="1"/>
  <c r="I581" i="1"/>
  <c r="F581" i="1" s="1"/>
  <c r="I579" i="1"/>
  <c r="F579" i="1" s="1"/>
  <c r="I578" i="1"/>
  <c r="F578" i="1" s="1"/>
  <c r="I580" i="1"/>
  <c r="F580" i="1" s="1"/>
  <c r="I1091" i="1"/>
  <c r="F1091" i="1" s="1"/>
  <c r="I1092" i="1"/>
  <c r="F1092" i="1" s="1"/>
  <c r="I1097" i="1"/>
  <c r="F1097" i="1" s="1"/>
  <c r="I1096" i="1"/>
  <c r="F1096" i="1" s="1"/>
  <c r="I1118" i="1"/>
  <c r="F1118" i="1" s="1"/>
  <c r="I1099" i="1"/>
  <c r="F1099" i="1" s="1"/>
  <c r="I1103" i="1"/>
  <c r="F1103" i="1" s="1"/>
  <c r="I1119" i="1"/>
  <c r="F1119" i="1" s="1"/>
  <c r="I1120" i="1"/>
  <c r="F1120" i="1" s="1"/>
  <c r="I1106" i="1"/>
  <c r="F1106" i="1" s="1"/>
  <c r="I1110" i="1"/>
  <c r="F1110" i="1" s="1"/>
  <c r="I1109" i="1"/>
  <c r="F1109" i="1" s="1"/>
  <c r="I1111" i="1"/>
  <c r="F1111" i="1" s="1"/>
  <c r="I1117" i="1"/>
  <c r="F1117" i="1" s="1"/>
  <c r="I1094" i="1"/>
  <c r="F1094" i="1" s="1"/>
  <c r="I1100" i="1"/>
  <c r="F1100" i="1" s="1"/>
  <c r="I1494" i="1"/>
  <c r="F1494" i="1" s="1"/>
  <c r="I1095" i="1"/>
  <c r="F1095" i="1" s="1"/>
  <c r="I1112" i="1"/>
  <c r="F1112" i="1" s="1"/>
  <c r="I1114" i="1"/>
  <c r="F1114" i="1" s="1"/>
  <c r="I1116" i="1"/>
  <c r="F1116" i="1" s="1"/>
  <c r="I2263" i="1"/>
  <c r="F2263" i="1" s="1"/>
  <c r="I2230" i="1"/>
  <c r="F2230" i="1" s="1"/>
  <c r="I2262" i="1"/>
  <c r="F2262" i="1" s="1"/>
  <c r="I2264" i="1"/>
  <c r="F2264" i="1" s="1"/>
  <c r="I2265" i="1"/>
  <c r="F2265" i="1" s="1"/>
  <c r="I2231" i="1"/>
  <c r="F2231" i="1" s="1"/>
  <c r="I2232" i="1"/>
  <c r="F2232" i="1" s="1"/>
  <c r="I2233" i="1"/>
  <c r="F2233" i="1" s="1"/>
  <c r="I2234" i="1"/>
  <c r="F2234" i="1" s="1"/>
  <c r="I2235" i="1"/>
  <c r="F2235" i="1" s="1"/>
  <c r="I2236" i="1"/>
  <c r="F2236" i="1" s="1"/>
  <c r="I2250" i="1"/>
  <c r="F2250" i="1" s="1"/>
  <c r="I2260" i="1"/>
  <c r="F2260" i="1" s="1"/>
  <c r="I2251" i="1"/>
  <c r="F2251" i="1" s="1"/>
  <c r="I2252" i="1"/>
  <c r="F2252" i="1" s="1"/>
  <c r="I2253" i="1"/>
  <c r="F2253" i="1" s="1"/>
  <c r="I2254" i="1"/>
  <c r="F2254" i="1" s="1"/>
  <c r="I2255" i="1"/>
  <c r="F2255" i="1" s="1"/>
  <c r="I2261" i="1"/>
  <c r="F2261" i="1" s="1"/>
  <c r="I2256" i="1"/>
  <c r="F2256" i="1" s="1"/>
  <c r="I2257" i="1"/>
  <c r="F2257" i="1" s="1"/>
  <c r="I2258" i="1"/>
  <c r="F2258" i="1" s="1"/>
  <c r="I2259" i="1"/>
  <c r="F2259" i="1" s="1"/>
  <c r="I2237" i="1"/>
  <c r="F2237" i="1" s="1"/>
  <c r="I2238" i="1"/>
  <c r="F2238" i="1" s="1"/>
  <c r="I2239" i="1"/>
  <c r="F2239" i="1" s="1"/>
  <c r="I2240" i="1"/>
  <c r="F2240" i="1" s="1"/>
  <c r="I2241" i="1"/>
  <c r="F2241" i="1" s="1"/>
  <c r="I2242" i="1"/>
  <c r="F2242" i="1" s="1"/>
  <c r="I2243" i="1"/>
  <c r="F2243" i="1" s="1"/>
  <c r="I2244" i="1"/>
  <c r="F2244" i="1" s="1"/>
  <c r="I2245" i="1"/>
  <c r="F2245" i="1" s="1"/>
  <c r="I2246" i="1"/>
  <c r="F2246" i="1" s="1"/>
  <c r="I2247" i="1"/>
  <c r="F2247" i="1" s="1"/>
  <c r="I2248" i="1"/>
  <c r="F2248" i="1" s="1"/>
  <c r="I2249" i="1"/>
  <c r="F2249" i="1" s="1"/>
  <c r="I2004" i="1"/>
  <c r="F2004" i="1" s="1"/>
  <c r="I2005" i="1"/>
  <c r="F2005" i="1" s="1"/>
  <c r="I1059" i="1"/>
  <c r="F1059" i="1" s="1"/>
  <c r="I1060" i="1"/>
  <c r="F1060" i="1" s="1"/>
  <c r="I1058" i="1"/>
  <c r="F1058" i="1" s="1"/>
  <c r="I1061" i="1"/>
  <c r="F1061" i="1" s="1"/>
  <c r="I1062" i="1"/>
  <c r="F1062" i="1" s="1"/>
  <c r="I1063" i="1"/>
  <c r="F1063" i="1" s="1"/>
  <c r="I1064" i="1"/>
  <c r="F1064" i="1" s="1"/>
  <c r="I1002" i="1"/>
  <c r="F1002" i="1" s="1"/>
  <c r="I887" i="1"/>
  <c r="F887" i="1" s="1"/>
  <c r="I888" i="1"/>
  <c r="F888" i="1" s="1"/>
  <c r="I889" i="1"/>
  <c r="F889" i="1" s="1"/>
  <c r="I932" i="1"/>
  <c r="F932" i="1" s="1"/>
  <c r="I933" i="1"/>
  <c r="F933" i="1" s="1"/>
  <c r="I952" i="1"/>
  <c r="F952" i="1" s="1"/>
  <c r="I934" i="1"/>
  <c r="F934" i="1" s="1"/>
  <c r="I935" i="1"/>
  <c r="F935" i="1" s="1"/>
  <c r="I936" i="1"/>
  <c r="F936" i="1" s="1"/>
  <c r="I937" i="1"/>
  <c r="F937" i="1" s="1"/>
  <c r="I938" i="1"/>
  <c r="F938" i="1" s="1"/>
  <c r="I949" i="1"/>
  <c r="F949" i="1" s="1"/>
  <c r="I939" i="1"/>
  <c r="F939" i="1" s="1"/>
  <c r="I940" i="1"/>
  <c r="F940" i="1" s="1"/>
  <c r="I941" i="1"/>
  <c r="F941" i="1" s="1"/>
  <c r="I948" i="1"/>
  <c r="F948" i="1" s="1"/>
  <c r="I942" i="1"/>
  <c r="F942" i="1" s="1"/>
  <c r="I931" i="1"/>
  <c r="F931" i="1" s="1"/>
  <c r="I943" i="1"/>
  <c r="F943" i="1" s="1"/>
  <c r="I944" i="1"/>
  <c r="F944" i="1" s="1"/>
  <c r="I875" i="1"/>
  <c r="F875" i="1" s="1"/>
  <c r="I893" i="1"/>
  <c r="F893" i="1" s="1"/>
  <c r="I895" i="1"/>
  <c r="F895" i="1" s="1"/>
  <c r="I896" i="1"/>
  <c r="F896" i="1" s="1"/>
  <c r="I897" i="1"/>
  <c r="F897" i="1" s="1"/>
  <c r="I921" i="1"/>
  <c r="F921" i="1" s="1"/>
  <c r="I925" i="1"/>
  <c r="F925" i="1" s="1"/>
  <c r="I926" i="1"/>
  <c r="F926" i="1" s="1"/>
  <c r="I927" i="1"/>
  <c r="F927" i="1" s="1"/>
  <c r="I928" i="1"/>
  <c r="F928" i="1" s="1"/>
  <c r="I929" i="1"/>
  <c r="F929" i="1" s="1"/>
  <c r="I945" i="1"/>
  <c r="F945" i="1" s="1"/>
  <c r="I947" i="1"/>
  <c r="F947" i="1" s="1"/>
  <c r="I946" i="1"/>
  <c r="F946" i="1" s="1"/>
  <c r="I964" i="1"/>
  <c r="F964" i="1" s="1"/>
  <c r="I967" i="1"/>
  <c r="F967" i="1" s="1"/>
  <c r="I987" i="1"/>
  <c r="F987" i="1" s="1"/>
  <c r="I988" i="1"/>
  <c r="F988" i="1" s="1"/>
  <c r="I989" i="1"/>
  <c r="F989" i="1" s="1"/>
  <c r="I1004" i="1"/>
  <c r="F1004" i="1" s="1"/>
  <c r="I993" i="1"/>
  <c r="F993" i="1" s="1"/>
  <c r="I1000" i="1"/>
  <c r="F1000" i="1" s="1"/>
  <c r="I991" i="1"/>
  <c r="F991" i="1" s="1"/>
  <c r="I990" i="1"/>
  <c r="F990" i="1" s="1"/>
  <c r="I992" i="1"/>
  <c r="F992" i="1" s="1"/>
  <c r="I1003" i="1"/>
  <c r="F1003" i="1" s="1"/>
  <c r="I994" i="1"/>
  <c r="F994" i="1" s="1"/>
  <c r="I995" i="1"/>
  <c r="F995" i="1" s="1"/>
  <c r="I996" i="1"/>
  <c r="F996" i="1" s="1"/>
  <c r="I997" i="1"/>
  <c r="F997" i="1" s="1"/>
  <c r="I998" i="1"/>
  <c r="F998" i="1" s="1"/>
  <c r="I999" i="1"/>
  <c r="F999" i="1" s="1"/>
  <c r="I1018" i="1"/>
  <c r="F1018" i="1" s="1"/>
  <c r="I1020" i="1"/>
  <c r="F1020" i="1" s="1"/>
  <c r="I1033" i="1"/>
  <c r="F1033" i="1" s="1"/>
  <c r="I1038" i="1"/>
  <c r="F1038" i="1" s="1"/>
  <c r="I1047" i="1"/>
  <c r="F1047" i="1" s="1"/>
  <c r="I1046" i="1"/>
  <c r="F1046" i="1" s="1"/>
  <c r="I1048" i="1"/>
  <c r="F1048" i="1" s="1"/>
  <c r="I1056" i="1"/>
  <c r="F1056" i="1" s="1"/>
  <c r="I1078" i="1"/>
  <c r="F1078" i="1" s="1"/>
  <c r="I1087" i="1"/>
  <c r="F1087" i="1" s="1"/>
  <c r="I1084" i="1"/>
  <c r="F1084" i="1" s="1"/>
  <c r="I1086" i="1"/>
  <c r="F1086" i="1" s="1"/>
  <c r="I1082" i="1"/>
  <c r="F1082" i="1" s="1"/>
  <c r="I1081" i="1"/>
  <c r="F1081" i="1" s="1"/>
  <c r="I1083" i="1"/>
  <c r="F1083" i="1" s="1"/>
  <c r="I1085" i="1"/>
  <c r="F1085" i="1" s="1"/>
  <c r="I591" i="1"/>
  <c r="F591" i="1" s="1"/>
  <c r="I586" i="1"/>
  <c r="F586" i="1" s="1"/>
  <c r="I587" i="1"/>
  <c r="F587" i="1" s="1"/>
  <c r="I588" i="1"/>
  <c r="F588" i="1" s="1"/>
  <c r="I589" i="1"/>
  <c r="F589" i="1" s="1"/>
  <c r="I590" i="1"/>
  <c r="F590" i="1" s="1"/>
  <c r="I592" i="1"/>
  <c r="F592" i="1" s="1"/>
  <c r="I593" i="1"/>
  <c r="F593" i="1" s="1"/>
  <c r="I594" i="1"/>
  <c r="F594" i="1" s="1"/>
  <c r="I595" i="1"/>
  <c r="F595" i="1" s="1"/>
  <c r="I596" i="1"/>
  <c r="F596" i="1" s="1"/>
  <c r="I597" i="1"/>
  <c r="F597" i="1" s="1"/>
  <c r="I598" i="1"/>
  <c r="F598" i="1" s="1"/>
  <c r="I584" i="1"/>
  <c r="F584" i="1" s="1"/>
  <c r="I585" i="1"/>
  <c r="F585" i="1" s="1"/>
  <c r="I600" i="1"/>
  <c r="F600" i="1" s="1"/>
  <c r="I601" i="1"/>
  <c r="F601" i="1" s="1"/>
  <c r="I602" i="1"/>
  <c r="F602" i="1" s="1"/>
  <c r="I603" i="1"/>
  <c r="F603" i="1" s="1"/>
  <c r="I604" i="1"/>
  <c r="F604" i="1" s="1"/>
  <c r="I605" i="1"/>
  <c r="F605" i="1" s="1"/>
  <c r="I1176" i="1"/>
  <c r="F1176" i="1" s="1"/>
  <c r="I1180" i="1"/>
  <c r="F1180" i="1" s="1"/>
  <c r="I1182" i="1"/>
  <c r="F1182" i="1" s="1"/>
  <c r="I1184" i="1"/>
  <c r="F1184" i="1" s="1"/>
  <c r="I1186" i="1"/>
  <c r="F1186" i="1" s="1"/>
  <c r="I1188" i="1"/>
  <c r="F1188" i="1" s="1"/>
  <c r="I1190" i="1"/>
  <c r="F1190" i="1" s="1"/>
  <c r="I1192" i="1"/>
  <c r="F1192" i="1" s="1"/>
  <c r="I1194" i="1"/>
  <c r="F1194" i="1" s="1"/>
  <c r="I1170" i="1"/>
  <c r="F1170" i="1" s="1"/>
  <c r="I1171" i="1"/>
  <c r="F1171" i="1" s="1"/>
  <c r="I723" i="1"/>
  <c r="F723" i="1" s="1"/>
  <c r="I716" i="1"/>
  <c r="F716" i="1" s="1"/>
  <c r="I717" i="1"/>
  <c r="F717" i="1" s="1"/>
  <c r="I719" i="1"/>
  <c r="F719" i="1" s="1"/>
  <c r="I720" i="1"/>
  <c r="F720" i="1" s="1"/>
  <c r="I721" i="1"/>
  <c r="F721" i="1" s="1"/>
  <c r="I138" i="1"/>
  <c r="F138" i="1" s="1"/>
  <c r="I141" i="1"/>
  <c r="F141" i="1" s="1"/>
  <c r="I147" i="1"/>
  <c r="F147" i="1" s="1"/>
  <c r="I148" i="1"/>
  <c r="F148" i="1" s="1"/>
  <c r="I150" i="1"/>
  <c r="F150" i="1" s="1"/>
  <c r="I131" i="1"/>
  <c r="F131" i="1" s="1"/>
  <c r="I134" i="1"/>
  <c r="F134" i="1" s="1"/>
  <c r="I156" i="1"/>
  <c r="F156" i="1" s="1"/>
  <c r="I157" i="1"/>
  <c r="F157" i="1" s="1"/>
  <c r="I158" i="1"/>
  <c r="F158" i="1" s="1"/>
  <c r="I159" i="1"/>
  <c r="F159" i="1" s="1"/>
  <c r="I160" i="1"/>
  <c r="F160" i="1" s="1"/>
  <c r="I161" i="1"/>
  <c r="F161" i="1" s="1"/>
  <c r="I162" i="1"/>
  <c r="F162" i="1" s="1"/>
  <c r="I163" i="1"/>
  <c r="F163" i="1" s="1"/>
  <c r="I164" i="1"/>
  <c r="F164" i="1" s="1"/>
  <c r="I165" i="1"/>
  <c r="F165" i="1" s="1"/>
  <c r="I166" i="1"/>
  <c r="F166" i="1" s="1"/>
  <c r="I167" i="1"/>
  <c r="F167" i="1" s="1"/>
  <c r="I168" i="1"/>
  <c r="F168" i="1" s="1"/>
  <c r="I169" i="1"/>
  <c r="F169" i="1" s="1"/>
  <c r="I170" i="1"/>
  <c r="F170" i="1" s="1"/>
  <c r="I171" i="1"/>
  <c r="F171" i="1" s="1"/>
  <c r="I172" i="1"/>
  <c r="F172" i="1" s="1"/>
  <c r="I173" i="1"/>
  <c r="F173" i="1" s="1"/>
  <c r="I174" i="1"/>
  <c r="F174" i="1" s="1"/>
  <c r="I151" i="1"/>
  <c r="F151" i="1" s="1"/>
  <c r="I152" i="1"/>
  <c r="F152" i="1" s="1"/>
  <c r="I153" i="1"/>
  <c r="F153" i="1" s="1"/>
  <c r="I154" i="1"/>
  <c r="F154" i="1" s="1"/>
  <c r="I155" i="1"/>
  <c r="F155" i="1" s="1"/>
  <c r="I189" i="1"/>
  <c r="F189" i="1" s="1"/>
  <c r="I202" i="1"/>
  <c r="F202" i="1" s="1"/>
  <c r="I217" i="1"/>
  <c r="F217" i="1" s="1"/>
  <c r="I218" i="1"/>
  <c r="F218" i="1" s="1"/>
  <c r="I190" i="1"/>
  <c r="F190" i="1" s="1"/>
  <c r="I209" i="1"/>
  <c r="F209" i="1" s="1"/>
  <c r="I211" i="1"/>
  <c r="F211" i="1" s="1"/>
  <c r="I195" i="1"/>
  <c r="F195" i="1" s="1"/>
  <c r="I332" i="1"/>
  <c r="F332" i="1" s="1"/>
  <c r="I199" i="1"/>
  <c r="F199" i="1" s="1"/>
  <c r="I200" i="1"/>
  <c r="F200" i="1" s="1"/>
  <c r="I208" i="1"/>
  <c r="F208" i="1" s="1"/>
  <c r="I191" i="1"/>
  <c r="F191" i="1" s="1"/>
  <c r="I193" i="1"/>
  <c r="F193" i="1" s="1"/>
  <c r="I192" i="1"/>
  <c r="F192" i="1" s="1"/>
  <c r="I210" i="1"/>
  <c r="F210" i="1" s="1"/>
  <c r="I212" i="1"/>
  <c r="F212" i="1" s="1"/>
  <c r="I203" i="1"/>
  <c r="F203" i="1" s="1"/>
  <c r="I205" i="1"/>
  <c r="F205" i="1" s="1"/>
  <c r="I213" i="1"/>
  <c r="F213" i="1" s="1"/>
  <c r="I219" i="1"/>
  <c r="F219" i="1" s="1"/>
  <c r="I220" i="1"/>
  <c r="F220" i="1" s="1"/>
  <c r="I215" i="1"/>
  <c r="F215" i="1" s="1"/>
  <c r="I221" i="1"/>
  <c r="F221" i="1" s="1"/>
  <c r="I281" i="1"/>
  <c r="F281" i="1" s="1"/>
  <c r="I223" i="1"/>
  <c r="F223" i="1" s="1"/>
  <c r="I224" i="1"/>
  <c r="F224" i="1" s="1"/>
  <c r="I225" i="1"/>
  <c r="F225" i="1" s="1"/>
  <c r="I265" i="1"/>
  <c r="F265" i="1" s="1"/>
  <c r="I283" i="1"/>
  <c r="F283" i="1" s="1"/>
  <c r="I270" i="1"/>
  <c r="F270" i="1" s="1"/>
  <c r="I226" i="1"/>
  <c r="F226" i="1" s="1"/>
  <c r="I275" i="1"/>
  <c r="F275" i="1" s="1"/>
  <c r="I227" i="1"/>
  <c r="F227" i="1" s="1"/>
  <c r="I228" i="1"/>
  <c r="F228" i="1" s="1"/>
  <c r="I229" i="1"/>
  <c r="F229" i="1" s="1"/>
  <c r="I230" i="1"/>
  <c r="F230" i="1" s="1"/>
  <c r="I231" i="1"/>
  <c r="F231" i="1" s="1"/>
  <c r="I232" i="1"/>
  <c r="F232" i="1" s="1"/>
  <c r="I286" i="1"/>
  <c r="F286" i="1" s="1"/>
  <c r="I287" i="1"/>
  <c r="F287" i="1" s="1"/>
  <c r="I255" i="1"/>
  <c r="F255" i="1" s="1"/>
  <c r="I257" i="1"/>
  <c r="F257" i="1" s="1"/>
  <c r="I258" i="1"/>
  <c r="F258" i="1" s="1"/>
  <c r="I259" i="1"/>
  <c r="F259" i="1" s="1"/>
  <c r="I260" i="1"/>
  <c r="F260" i="1" s="1"/>
  <c r="I261" i="1"/>
  <c r="F261" i="1" s="1"/>
  <c r="I262" i="1"/>
  <c r="F262" i="1" s="1"/>
  <c r="I263" i="1"/>
  <c r="F263" i="1" s="1"/>
  <c r="I264" i="1"/>
  <c r="F264" i="1" s="1"/>
  <c r="I256" i="1"/>
  <c r="F256" i="1" s="1"/>
  <c r="I233" i="1"/>
  <c r="F233" i="1" s="1"/>
  <c r="I234" i="1"/>
  <c r="F234" i="1" s="1"/>
  <c r="I239" i="1"/>
  <c r="F239" i="1" s="1"/>
  <c r="I268" i="1"/>
  <c r="F268" i="1" s="1"/>
  <c r="I269" i="1"/>
  <c r="F269" i="1" s="1"/>
  <c r="I271" i="1"/>
  <c r="F271" i="1" s="1"/>
  <c r="I272" i="1"/>
  <c r="F272" i="1" s="1"/>
  <c r="I273" i="1"/>
  <c r="F273" i="1" s="1"/>
  <c r="I274" i="1"/>
  <c r="F274" i="1" s="1"/>
  <c r="I277" i="1"/>
  <c r="F277" i="1" s="1"/>
  <c r="I240" i="1"/>
  <c r="F240" i="1" s="1"/>
  <c r="I279" i="1"/>
  <c r="F279" i="1" s="1"/>
  <c r="I280" i="1"/>
  <c r="F280" i="1" s="1"/>
  <c r="I282" i="1"/>
  <c r="F282" i="1" s="1"/>
  <c r="I241" i="1"/>
  <c r="F241" i="1" s="1"/>
  <c r="I284" i="1"/>
  <c r="F284" i="1" s="1"/>
  <c r="I254" i="1"/>
  <c r="F254" i="1" s="1"/>
  <c r="I288" i="1"/>
  <c r="F288" i="1" s="1"/>
  <c r="I289" i="1"/>
  <c r="F289" i="1" s="1"/>
  <c r="I235" i="1"/>
  <c r="F235" i="1" s="1"/>
  <c r="I298" i="1"/>
  <c r="F298" i="1" s="1"/>
  <c r="I300" i="1"/>
  <c r="F300" i="1" s="1"/>
  <c r="I301" i="1"/>
  <c r="F301" i="1" s="1"/>
  <c r="I355" i="1"/>
  <c r="F355" i="1" s="1"/>
  <c r="I356" i="1"/>
  <c r="F356" i="1" s="1"/>
  <c r="I360" i="1"/>
  <c r="F360" i="1" s="1"/>
  <c r="I353" i="1"/>
  <c r="F353" i="1" s="1"/>
  <c r="I386" i="1"/>
  <c r="F386" i="1" s="1"/>
  <c r="I389" i="1"/>
  <c r="F389" i="1" s="1"/>
  <c r="I331" i="1"/>
  <c r="F331" i="1" s="1"/>
  <c r="I345" i="1"/>
  <c r="F345" i="1" s="1"/>
  <c r="I347" i="1"/>
  <c r="F347" i="1" s="1"/>
  <c r="I316" i="1"/>
  <c r="F316" i="1" s="1"/>
  <c r="I317" i="1"/>
  <c r="F317" i="1" s="1"/>
  <c r="I388" i="1"/>
  <c r="F388" i="1" s="1"/>
  <c r="I313" i="1"/>
  <c r="F313" i="1" s="1"/>
  <c r="I333" i="1"/>
  <c r="F333" i="1" s="1"/>
  <c r="I363" i="1"/>
  <c r="F363" i="1" s="1"/>
  <c r="I367" i="1"/>
  <c r="F367" i="1" s="1"/>
  <c r="I377" i="1"/>
  <c r="F377" i="1" s="1"/>
  <c r="I379" i="1"/>
  <c r="F379" i="1" s="1"/>
  <c r="I380" i="1"/>
  <c r="F380" i="1" s="1"/>
  <c r="I381" i="1"/>
  <c r="F381" i="1" s="1"/>
  <c r="I383" i="1"/>
  <c r="F383" i="1" s="1"/>
  <c r="I319" i="1"/>
  <c r="F319" i="1" s="1"/>
  <c r="I384" i="1"/>
  <c r="F384" i="1" s="1"/>
  <c r="I344" i="1"/>
  <c r="F344" i="1" s="1"/>
  <c r="I343" i="1"/>
  <c r="F343" i="1" s="1"/>
  <c r="I340" i="1"/>
  <c r="F340" i="1" s="1"/>
  <c r="I392" i="1"/>
  <c r="F392" i="1" s="1"/>
  <c r="I394" i="1"/>
  <c r="F394" i="1" s="1"/>
  <c r="I395" i="1"/>
  <c r="F395" i="1" s="1"/>
  <c r="I393" i="1"/>
  <c r="F393" i="1" s="1"/>
  <c r="I1963" i="1"/>
  <c r="F1963" i="1" s="1"/>
  <c r="I432" i="1"/>
  <c r="F432" i="1" s="1"/>
  <c r="I426" i="1"/>
  <c r="F426" i="1" s="1"/>
  <c r="I436" i="1"/>
  <c r="F436" i="1" s="1"/>
  <c r="I431" i="1"/>
  <c r="F431" i="1" s="1"/>
  <c r="I437" i="1"/>
  <c r="F437" i="1" s="1"/>
  <c r="I438" i="1"/>
  <c r="F438" i="1" s="1"/>
  <c r="I441" i="1"/>
  <c r="F441" i="1" s="1"/>
  <c r="I439" i="1"/>
  <c r="F439" i="1" s="1"/>
  <c r="I443" i="1"/>
  <c r="F443" i="1" s="1"/>
  <c r="I440" i="1"/>
  <c r="F440" i="1" s="1"/>
  <c r="I444" i="1"/>
  <c r="F444" i="1" s="1"/>
  <c r="I411" i="1"/>
  <c r="F411" i="1" s="1"/>
  <c r="I409" i="1"/>
  <c r="F409" i="1" s="1"/>
  <c r="I417" i="1"/>
  <c r="F417" i="1" s="1"/>
  <c r="I412" i="1"/>
  <c r="F412" i="1" s="1"/>
  <c r="I424" i="1"/>
  <c r="F424" i="1" s="1"/>
  <c r="I420" i="1"/>
  <c r="F420" i="1" s="1"/>
  <c r="I422" i="1"/>
  <c r="F422" i="1" s="1"/>
  <c r="I423" i="1"/>
  <c r="F423" i="1" s="1"/>
  <c r="I398" i="1"/>
  <c r="F398" i="1" s="1"/>
  <c r="I399" i="1"/>
  <c r="F399" i="1" s="1"/>
  <c r="I414" i="1"/>
  <c r="F414" i="1" s="1"/>
  <c r="I415" i="1"/>
  <c r="F415" i="1" s="1"/>
  <c r="I416" i="1"/>
  <c r="F416" i="1" s="1"/>
  <c r="I400" i="1"/>
  <c r="F400" i="1" s="1"/>
  <c r="I425" i="1"/>
  <c r="F425" i="1" s="1"/>
  <c r="I406" i="1"/>
  <c r="F406" i="1" s="1"/>
  <c r="I427" i="1"/>
  <c r="F427" i="1" s="1"/>
  <c r="I428" i="1"/>
  <c r="F428" i="1" s="1"/>
  <c r="I407" i="1"/>
  <c r="F407" i="1" s="1"/>
  <c r="I408" i="1"/>
  <c r="F408" i="1" s="1"/>
  <c r="I429" i="1"/>
  <c r="F429" i="1" s="1"/>
  <c r="I430" i="1"/>
  <c r="F430" i="1" s="1"/>
  <c r="I435" i="1"/>
  <c r="F435" i="1" s="1"/>
  <c r="I433" i="1"/>
  <c r="F433" i="1" s="1"/>
  <c r="I434" i="1"/>
  <c r="F434" i="1" s="1"/>
  <c r="I442" i="1"/>
  <c r="F442" i="1" s="1"/>
  <c r="I401" i="1"/>
  <c r="F401" i="1" s="1"/>
  <c r="I402" i="1"/>
  <c r="F402" i="1" s="1"/>
  <c r="I468" i="1"/>
  <c r="F468" i="1" s="1"/>
  <c r="I449" i="1"/>
  <c r="F449" i="1" s="1"/>
  <c r="I465" i="1"/>
  <c r="F465" i="1" s="1"/>
  <c r="I460" i="1"/>
  <c r="F460" i="1" s="1"/>
  <c r="I469" i="1"/>
  <c r="F469" i="1" s="1"/>
  <c r="I466" i="1"/>
  <c r="F466" i="1" s="1"/>
  <c r="I463" i="1"/>
  <c r="F463" i="1" s="1"/>
  <c r="I464" i="1"/>
  <c r="F464" i="1" s="1"/>
  <c r="I462" i="1"/>
  <c r="F462" i="1" s="1"/>
  <c r="I461" i="1"/>
  <c r="F461" i="1" s="1"/>
  <c r="I626" i="1"/>
  <c r="F626" i="1" s="1"/>
  <c r="I627" i="1"/>
  <c r="F627" i="1" s="1"/>
  <c r="I628" i="1"/>
  <c r="F628" i="1" s="1"/>
  <c r="I629" i="1"/>
  <c r="F629" i="1" s="1"/>
  <c r="I718" i="1"/>
  <c r="F718" i="1" s="1"/>
  <c r="I725" i="1"/>
  <c r="F725" i="1" s="1"/>
  <c r="I728" i="1"/>
  <c r="F728" i="1" s="1"/>
  <c r="I729" i="1"/>
  <c r="F729" i="1" s="1"/>
  <c r="I731" i="1"/>
  <c r="F731" i="1" s="1"/>
  <c r="I670" i="1"/>
  <c r="F670" i="1" s="1"/>
  <c r="I671" i="1"/>
  <c r="F671" i="1" s="1"/>
  <c r="I672" i="1"/>
  <c r="F672" i="1" s="1"/>
  <c r="I673" i="1"/>
  <c r="F673" i="1" s="1"/>
  <c r="I674" i="1"/>
  <c r="F674" i="1" s="1"/>
  <c r="I697" i="1"/>
  <c r="F697" i="1" s="1"/>
  <c r="I675" i="1"/>
  <c r="F675" i="1" s="1"/>
  <c r="I676" i="1"/>
  <c r="F676" i="1" s="1"/>
  <c r="I677" i="1"/>
  <c r="F677" i="1" s="1"/>
  <c r="I678" i="1"/>
  <c r="F678" i="1" s="1"/>
  <c r="I679" i="1"/>
  <c r="F679" i="1" s="1"/>
  <c r="I680" i="1"/>
  <c r="F680" i="1" s="1"/>
  <c r="I681" i="1"/>
  <c r="F681" i="1" s="1"/>
  <c r="I682" i="1"/>
  <c r="F682" i="1" s="1"/>
  <c r="I683" i="1"/>
  <c r="F683" i="1" s="1"/>
  <c r="I684" i="1"/>
  <c r="F684" i="1" s="1"/>
  <c r="I685" i="1"/>
  <c r="F685" i="1" s="1"/>
  <c r="I686" i="1"/>
  <c r="F686" i="1" s="1"/>
  <c r="I687" i="1"/>
  <c r="F687" i="1" s="1"/>
  <c r="I688" i="1"/>
  <c r="F688" i="1" s="1"/>
  <c r="I689" i="1"/>
  <c r="F689" i="1" s="1"/>
  <c r="I690" i="1"/>
  <c r="F690" i="1" s="1"/>
  <c r="I691" i="1"/>
  <c r="F691" i="1" s="1"/>
  <c r="I692" i="1"/>
  <c r="F692" i="1" s="1"/>
  <c r="I693" i="1"/>
  <c r="F693" i="1" s="1"/>
  <c r="I694" i="1"/>
  <c r="F694" i="1" s="1"/>
  <c r="I696" i="1"/>
  <c r="F696" i="1" s="1"/>
  <c r="I695" i="1"/>
  <c r="F695" i="1" s="1"/>
  <c r="I702" i="1"/>
  <c r="F702" i="1" s="1"/>
  <c r="I703" i="1"/>
  <c r="F703" i="1" s="1"/>
  <c r="I704" i="1"/>
  <c r="F704" i="1" s="1"/>
  <c r="I705" i="1"/>
  <c r="F705" i="1" s="1"/>
  <c r="I706" i="1"/>
  <c r="F706" i="1" s="1"/>
  <c r="I707" i="1"/>
  <c r="F707" i="1" s="1"/>
  <c r="I708" i="1"/>
  <c r="F708" i="1" s="1"/>
  <c r="I709" i="1"/>
  <c r="F709" i="1" s="1"/>
  <c r="I711" i="1"/>
  <c r="F711" i="1" s="1"/>
  <c r="I712" i="1"/>
  <c r="F712" i="1" s="1"/>
  <c r="I710" i="1"/>
  <c r="F710" i="1" s="1"/>
  <c r="I713" i="1"/>
  <c r="F713" i="1" s="1"/>
  <c r="I732" i="1"/>
  <c r="F732" i="1" s="1"/>
  <c r="I733" i="1"/>
  <c r="F733" i="1" s="1"/>
  <c r="I734" i="1"/>
  <c r="F734" i="1" s="1"/>
  <c r="I735" i="1"/>
  <c r="F735" i="1" s="1"/>
  <c r="I736" i="1"/>
  <c r="F736" i="1" s="1"/>
  <c r="I737" i="1"/>
  <c r="F737" i="1" s="1"/>
  <c r="I738" i="1"/>
  <c r="F738" i="1" s="1"/>
  <c r="I739" i="1"/>
  <c r="F739" i="1" s="1"/>
  <c r="I740" i="1"/>
  <c r="F740" i="1" s="1"/>
  <c r="I742" i="1"/>
  <c r="F742" i="1" s="1"/>
  <c r="I746" i="1"/>
  <c r="F746" i="1" s="1"/>
  <c r="I747" i="1"/>
  <c r="F747" i="1" s="1"/>
  <c r="I748" i="1"/>
  <c r="F748" i="1" s="1"/>
  <c r="I759" i="1"/>
  <c r="F759" i="1" s="1"/>
  <c r="I761" i="1"/>
  <c r="F761" i="1" s="1"/>
  <c r="I764" i="1"/>
  <c r="F764" i="1" s="1"/>
  <c r="I749" i="1"/>
  <c r="F749" i="1" s="1"/>
  <c r="I754" i="1"/>
  <c r="F754" i="1" s="1"/>
  <c r="I760" i="1"/>
  <c r="F760" i="1" s="1"/>
  <c r="I762" i="1"/>
  <c r="F762" i="1" s="1"/>
  <c r="I751" i="1"/>
  <c r="F751" i="1" s="1"/>
  <c r="I794" i="1"/>
  <c r="F794" i="1" s="1"/>
  <c r="I796" i="1"/>
  <c r="F796" i="1" s="1"/>
  <c r="I783" i="1"/>
  <c r="F783" i="1" s="1"/>
  <c r="I784" i="1"/>
  <c r="F784" i="1" s="1"/>
  <c r="I785" i="1"/>
  <c r="F785" i="1" s="1"/>
  <c r="I786" i="1"/>
  <c r="F786" i="1" s="1"/>
  <c r="I795" i="1"/>
  <c r="F795" i="1" s="1"/>
  <c r="I787" i="1"/>
  <c r="F787" i="1" s="1"/>
  <c r="I788" i="1"/>
  <c r="F788" i="1" s="1"/>
  <c r="I789" i="1"/>
  <c r="F789" i="1" s="1"/>
  <c r="I790" i="1"/>
  <c r="F790" i="1" s="1"/>
  <c r="I791" i="1"/>
  <c r="F791" i="1" s="1"/>
  <c r="I793" i="1"/>
  <c r="F793" i="1" s="1"/>
  <c r="I792" i="1"/>
  <c r="F792" i="1" s="1"/>
  <c r="I838" i="1"/>
  <c r="F838" i="1" s="1"/>
  <c r="I841" i="1"/>
  <c r="F841" i="1" s="1"/>
  <c r="I799" i="1"/>
  <c r="F799" i="1" s="1"/>
  <c r="I848" i="1"/>
  <c r="F848" i="1" s="1"/>
  <c r="I804" i="1"/>
  <c r="F804" i="1" s="1"/>
  <c r="I813" i="1"/>
  <c r="F813" i="1" s="1"/>
  <c r="I840" i="1"/>
  <c r="F840" i="1" s="1"/>
  <c r="I810" i="1"/>
  <c r="F810" i="1" s="1"/>
  <c r="I822" i="1"/>
  <c r="F822" i="1" s="1"/>
  <c r="I824" i="1"/>
  <c r="F824" i="1" s="1"/>
  <c r="I830" i="1"/>
  <c r="F830" i="1" s="1"/>
  <c r="I811" i="1"/>
  <c r="F811" i="1" s="1"/>
  <c r="I832" i="1"/>
  <c r="F832" i="1" s="1"/>
  <c r="I812" i="1"/>
  <c r="F812" i="1" s="1"/>
  <c r="I814" i="1"/>
  <c r="F814" i="1" s="1"/>
  <c r="I815" i="1"/>
  <c r="F815" i="1" s="1"/>
  <c r="I829" i="1"/>
  <c r="F829" i="1" s="1"/>
  <c r="I842" i="1"/>
  <c r="F842" i="1" s="1"/>
  <c r="I806" i="1"/>
  <c r="F806" i="1" s="1"/>
  <c r="I807" i="1"/>
  <c r="F807" i="1" s="1"/>
  <c r="I837" i="1"/>
  <c r="F837" i="1" s="1"/>
  <c r="I839" i="1"/>
  <c r="F839" i="1" s="1"/>
  <c r="I1115" i="1"/>
  <c r="F1115" i="1" s="1"/>
  <c r="I1090" i="1"/>
  <c r="F1090" i="1" s="1"/>
  <c r="I857" i="1"/>
  <c r="F857" i="1" s="1"/>
  <c r="I858" i="1"/>
  <c r="F858" i="1" s="1"/>
  <c r="I859" i="1"/>
  <c r="F859" i="1" s="1"/>
  <c r="I849" i="1"/>
  <c r="F849" i="1" s="1"/>
  <c r="I850" i="1"/>
  <c r="F850" i="1" s="1"/>
  <c r="I851" i="1"/>
  <c r="F851" i="1" s="1"/>
  <c r="I852" i="1"/>
  <c r="F852" i="1" s="1"/>
  <c r="I853" i="1"/>
  <c r="F853" i="1" s="1"/>
  <c r="I854" i="1"/>
  <c r="F854" i="1" s="1"/>
  <c r="I855" i="1"/>
  <c r="F855" i="1" s="1"/>
  <c r="I930" i="1"/>
  <c r="F930" i="1" s="1"/>
  <c r="I856" i="1"/>
  <c r="F856" i="1" s="1"/>
  <c r="I1093" i="1"/>
  <c r="F1093" i="1" s="1"/>
  <c r="I1098" i="1"/>
  <c r="F1098" i="1" s="1"/>
  <c r="I1101" i="1"/>
  <c r="F1101" i="1" s="1"/>
  <c r="I1102" i="1"/>
  <c r="F1102" i="1" s="1"/>
  <c r="I860" i="1"/>
  <c r="F860" i="1" s="1"/>
  <c r="I861" i="1"/>
  <c r="F861" i="1" s="1"/>
  <c r="I862" i="1"/>
  <c r="F862" i="1" s="1"/>
  <c r="I1127" i="1"/>
  <c r="F1127" i="1" s="1"/>
  <c r="I1129" i="1"/>
  <c r="F1129" i="1" s="1"/>
  <c r="I1564" i="1"/>
  <c r="F1564" i="1" s="1"/>
  <c r="I1565" i="1"/>
  <c r="F1565" i="1" s="1"/>
  <c r="I1566" i="1"/>
  <c r="F1566" i="1" s="1"/>
  <c r="I1567" i="1"/>
  <c r="F1567" i="1" s="1"/>
  <c r="I1568" i="1"/>
  <c r="F1568" i="1" s="1"/>
  <c r="I1569" i="1"/>
  <c r="F1569" i="1" s="1"/>
  <c r="I1580" i="1"/>
  <c r="F1580" i="1" s="1"/>
  <c r="I1577" i="1"/>
  <c r="F1577" i="1" s="1"/>
  <c r="I1581" i="1"/>
  <c r="F1581" i="1" s="1"/>
  <c r="I1582" i="1"/>
  <c r="F1582" i="1" s="1"/>
  <c r="I1135" i="1"/>
  <c r="F1135" i="1" s="1"/>
  <c r="I1136" i="1"/>
  <c r="F1136" i="1" s="1"/>
  <c r="I1137" i="1"/>
  <c r="F1137" i="1" s="1"/>
  <c r="I1138" i="1"/>
  <c r="F1138" i="1" s="1"/>
  <c r="I1139" i="1"/>
  <c r="F1139" i="1" s="1"/>
  <c r="I1140" i="1"/>
  <c r="F1140" i="1" s="1"/>
  <c r="I1143" i="1"/>
  <c r="F1143" i="1" s="1"/>
  <c r="I1144" i="1"/>
  <c r="F1144" i="1" s="1"/>
  <c r="I1145" i="1"/>
  <c r="F1145" i="1" s="1"/>
  <c r="I1146" i="1"/>
  <c r="F1146" i="1" s="1"/>
  <c r="I1147" i="1"/>
  <c r="F1147" i="1" s="1"/>
  <c r="I1148" i="1"/>
  <c r="F1148" i="1" s="1"/>
  <c r="I1149" i="1"/>
  <c r="F1149" i="1" s="1"/>
  <c r="I1152" i="1"/>
  <c r="F1152" i="1" s="1"/>
  <c r="I1153" i="1"/>
  <c r="F1153" i="1" s="1"/>
  <c r="I1154" i="1"/>
  <c r="F1154" i="1" s="1"/>
  <c r="I1141" i="1"/>
  <c r="F1141" i="1" s="1"/>
  <c r="I1142" i="1"/>
  <c r="F1142" i="1" s="1"/>
  <c r="I1150" i="1"/>
  <c r="F1150" i="1" s="1"/>
  <c r="I1151" i="1"/>
  <c r="F1151" i="1" s="1"/>
  <c r="I1159" i="1"/>
  <c r="F1159" i="1" s="1"/>
  <c r="I1160" i="1"/>
  <c r="F1160" i="1" s="1"/>
  <c r="I1161" i="1"/>
  <c r="F1161" i="1" s="1"/>
  <c r="I1155" i="1"/>
  <c r="F1155" i="1" s="1"/>
  <c r="I1157" i="1"/>
  <c r="F1157" i="1" s="1"/>
  <c r="I1158" i="1"/>
  <c r="F1158" i="1" s="1"/>
  <c r="I1156" i="1"/>
  <c r="F1156" i="1" s="1"/>
  <c r="I1164" i="1"/>
  <c r="F1164" i="1" s="1"/>
  <c r="I1162" i="1"/>
  <c r="F1162" i="1" s="1"/>
  <c r="I1165" i="1"/>
  <c r="F1165" i="1" s="1"/>
  <c r="I1163" i="1"/>
  <c r="F1163" i="1" s="1"/>
  <c r="I1225" i="1"/>
  <c r="F1225" i="1" s="1"/>
  <c r="I1227" i="1"/>
  <c r="F1227" i="1" s="1"/>
  <c r="I1224" i="1"/>
  <c r="F1224" i="1" s="1"/>
  <c r="I1288" i="1"/>
  <c r="F1288" i="1" s="1"/>
  <c r="I1230" i="1"/>
  <c r="F1230" i="1" s="1"/>
  <c r="I1285" i="1"/>
  <c r="F1285" i="1" s="1"/>
  <c r="I1231" i="1"/>
  <c r="F1231" i="1" s="1"/>
  <c r="I1232" i="1"/>
  <c r="F1232" i="1" s="1"/>
  <c r="I1233" i="1"/>
  <c r="F1233" i="1" s="1"/>
  <c r="I1234" i="1"/>
  <c r="F1234" i="1" s="1"/>
  <c r="I1286" i="1"/>
  <c r="F1286" i="1" s="1"/>
  <c r="I1235" i="1"/>
  <c r="F1235" i="1" s="1"/>
  <c r="I1287" i="1"/>
  <c r="F1287" i="1" s="1"/>
  <c r="I1236" i="1"/>
  <c r="F1236" i="1" s="1"/>
  <c r="I1237" i="1"/>
  <c r="F1237" i="1" s="1"/>
  <c r="I1238" i="1"/>
  <c r="F1238" i="1" s="1"/>
  <c r="I1239" i="1"/>
  <c r="F1239" i="1" s="1"/>
  <c r="I1280" i="1"/>
  <c r="F1280" i="1" s="1"/>
  <c r="I1284" i="1"/>
  <c r="F1284" i="1" s="1"/>
  <c r="I1240" i="1"/>
  <c r="F1240" i="1" s="1"/>
  <c r="I1241" i="1"/>
  <c r="F1241" i="1" s="1"/>
  <c r="I1242" i="1"/>
  <c r="F1242" i="1" s="1"/>
  <c r="I1243" i="1"/>
  <c r="F1243" i="1" s="1"/>
  <c r="I1244" i="1"/>
  <c r="F1244" i="1" s="1"/>
  <c r="I1289" i="1"/>
  <c r="F1289" i="1" s="1"/>
  <c r="I1316" i="1"/>
  <c r="F1316" i="1" s="1"/>
  <c r="I1319" i="1"/>
  <c r="F1319" i="1" s="1"/>
  <c r="I1322" i="1"/>
  <c r="F1322" i="1" s="1"/>
  <c r="I1325" i="1"/>
  <c r="F1325" i="1" s="1"/>
  <c r="I1328" i="1"/>
  <c r="F1328" i="1" s="1"/>
  <c r="I1332" i="1"/>
  <c r="F1332" i="1" s="1"/>
  <c r="I1290" i="1"/>
  <c r="F1290" i="1" s="1"/>
  <c r="I1335" i="1"/>
  <c r="F1335" i="1" s="1"/>
  <c r="I1338" i="1"/>
  <c r="F1338" i="1" s="1"/>
  <c r="I1341" i="1"/>
  <c r="F1341" i="1" s="1"/>
  <c r="I1344" i="1"/>
  <c r="F1344" i="1" s="1"/>
  <c r="I1347" i="1"/>
  <c r="F1347" i="1" s="1"/>
  <c r="I1350" i="1"/>
  <c r="F1350" i="1" s="1"/>
  <c r="I1353" i="1"/>
  <c r="F1353" i="1" s="1"/>
  <c r="I1356" i="1"/>
  <c r="F1356" i="1" s="1"/>
  <c r="I1360" i="1"/>
  <c r="F1360" i="1" s="1"/>
  <c r="I1361" i="1"/>
  <c r="F1361" i="1" s="1"/>
  <c r="I1291" i="1"/>
  <c r="F1291" i="1" s="1"/>
  <c r="I1292" i="1"/>
  <c r="F1292" i="1" s="1"/>
  <c r="I1293" i="1"/>
  <c r="F1293" i="1" s="1"/>
  <c r="I1294" i="1"/>
  <c r="F1294" i="1" s="1"/>
  <c r="I1295" i="1"/>
  <c r="F1295" i="1" s="1"/>
  <c r="I1296" i="1"/>
  <c r="F1296" i="1" s="1"/>
  <c r="I1297" i="1"/>
  <c r="F1297" i="1" s="1"/>
  <c r="I1362" i="1"/>
  <c r="F1362" i="1" s="1"/>
  <c r="I1363" i="1"/>
  <c r="F1363" i="1" s="1"/>
  <c r="I1317" i="1"/>
  <c r="F1317" i="1" s="1"/>
  <c r="I1318" i="1"/>
  <c r="F1318" i="1" s="1"/>
  <c r="I1320" i="1"/>
  <c r="F1320" i="1" s="1"/>
  <c r="I1321" i="1"/>
  <c r="F1321" i="1" s="1"/>
  <c r="I1323" i="1"/>
  <c r="F1323" i="1" s="1"/>
  <c r="I1324" i="1"/>
  <c r="F1324" i="1" s="1"/>
  <c r="I1326" i="1"/>
  <c r="F1326" i="1" s="1"/>
  <c r="I1327" i="1"/>
  <c r="F1327" i="1" s="1"/>
  <c r="I1329" i="1"/>
  <c r="F1329" i="1" s="1"/>
  <c r="I1330" i="1"/>
  <c r="F1330" i="1" s="1"/>
  <c r="I1298" i="1"/>
  <c r="F1298" i="1" s="1"/>
  <c r="I1299" i="1"/>
  <c r="F1299" i="1" s="1"/>
  <c r="I1333" i="1"/>
  <c r="F1333" i="1" s="1"/>
  <c r="I1334" i="1"/>
  <c r="F1334" i="1" s="1"/>
  <c r="I1300" i="1"/>
  <c r="F1300" i="1" s="1"/>
  <c r="I1301" i="1"/>
  <c r="F1301" i="1" s="1"/>
  <c r="I1336" i="1"/>
  <c r="F1336" i="1" s="1"/>
  <c r="I1337" i="1"/>
  <c r="F1337" i="1" s="1"/>
  <c r="I1339" i="1"/>
  <c r="F1339" i="1" s="1"/>
  <c r="I1340" i="1"/>
  <c r="F1340" i="1" s="1"/>
  <c r="I1342" i="1"/>
  <c r="F1342" i="1" s="1"/>
  <c r="I1343" i="1"/>
  <c r="F1343" i="1" s="1"/>
  <c r="I1345" i="1"/>
  <c r="F1345" i="1" s="1"/>
  <c r="I1346" i="1"/>
  <c r="F1346" i="1" s="1"/>
  <c r="I1348" i="1"/>
  <c r="F1348" i="1" s="1"/>
  <c r="I1349" i="1"/>
  <c r="F1349" i="1" s="1"/>
  <c r="I1351" i="1"/>
  <c r="F1351" i="1" s="1"/>
  <c r="I1352" i="1"/>
  <c r="F1352" i="1" s="1"/>
  <c r="I1354" i="1"/>
  <c r="F1354" i="1" s="1"/>
  <c r="I1355" i="1"/>
  <c r="F1355" i="1" s="1"/>
  <c r="I1357" i="1"/>
  <c r="F1357" i="1" s="1"/>
  <c r="I1358" i="1"/>
  <c r="F1358" i="1" s="1"/>
  <c r="I1302" i="1"/>
  <c r="F1302" i="1" s="1"/>
  <c r="I1303" i="1"/>
  <c r="F1303" i="1" s="1"/>
  <c r="I1365" i="1"/>
  <c r="F1365" i="1" s="1"/>
  <c r="I1366" i="1"/>
  <c r="F1366" i="1" s="1"/>
  <c r="I1367" i="1"/>
  <c r="F1367" i="1" s="1"/>
  <c r="I1368" i="1"/>
  <c r="F1368" i="1" s="1"/>
  <c r="I1369" i="1"/>
  <c r="F1369" i="1" s="1"/>
  <c r="I1370" i="1"/>
  <c r="F1370" i="1" s="1"/>
  <c r="I1364" i="1"/>
  <c r="F1364" i="1" s="1"/>
  <c r="I1304" i="1"/>
  <c r="F1304" i="1" s="1"/>
  <c r="I1305" i="1"/>
  <c r="F1305" i="1" s="1"/>
  <c r="I1331" i="1"/>
  <c r="F1331" i="1" s="1"/>
  <c r="I1306" i="1"/>
  <c r="F1306" i="1" s="1"/>
  <c r="I1307" i="1"/>
  <c r="F1307" i="1" s="1"/>
  <c r="I1308" i="1"/>
  <c r="F1308" i="1" s="1"/>
  <c r="I1309" i="1"/>
  <c r="F1309" i="1" s="1"/>
  <c r="I1310" i="1"/>
  <c r="F1310" i="1" s="1"/>
  <c r="I1311" i="1"/>
  <c r="F1311" i="1" s="1"/>
  <c r="I1312" i="1"/>
  <c r="F1312" i="1" s="1"/>
  <c r="I1313" i="1"/>
  <c r="F1313" i="1" s="1"/>
  <c r="I1314" i="1"/>
  <c r="F1314" i="1" s="1"/>
  <c r="I1359" i="1"/>
  <c r="F1359" i="1" s="1"/>
  <c r="I1371" i="1"/>
  <c r="F1371" i="1" s="1"/>
  <c r="I1315" i="1"/>
  <c r="F1315" i="1" s="1"/>
  <c r="I1372" i="1"/>
  <c r="F1372" i="1" s="1"/>
  <c r="I1373" i="1"/>
  <c r="F1373" i="1" s="1"/>
  <c r="I1375" i="1"/>
  <c r="F1375" i="1" s="1"/>
  <c r="I1374" i="1"/>
  <c r="F1374" i="1" s="1"/>
  <c r="I1376" i="1"/>
  <c r="F1376" i="1" s="1"/>
  <c r="I1377" i="1"/>
  <c r="F1377" i="1" s="1"/>
  <c r="I1378" i="1"/>
  <c r="F1378" i="1" s="1"/>
  <c r="I1379" i="1"/>
  <c r="F1379" i="1" s="1"/>
  <c r="I1380" i="1"/>
  <c r="F1380" i="1" s="1"/>
  <c r="I1381" i="1"/>
  <c r="F1381" i="1" s="1"/>
  <c r="I1382" i="1"/>
  <c r="F1382" i="1" s="1"/>
  <c r="I1383" i="1"/>
  <c r="F1383" i="1" s="1"/>
  <c r="I1384" i="1"/>
  <c r="F1384" i="1" s="1"/>
  <c r="I1385" i="1"/>
  <c r="F1385" i="1" s="1"/>
  <c r="I1386" i="1"/>
  <c r="F1386" i="1" s="1"/>
  <c r="I1387" i="1"/>
  <c r="F1387" i="1" s="1"/>
  <c r="I1388" i="1"/>
  <c r="F1388" i="1" s="1"/>
  <c r="I1389" i="1"/>
  <c r="F1389" i="1" s="1"/>
  <c r="I1390" i="1"/>
  <c r="F1390" i="1" s="1"/>
  <c r="I1391" i="1"/>
  <c r="F1391" i="1" s="1"/>
  <c r="I1392" i="1"/>
  <c r="F1392" i="1" s="1"/>
  <c r="I1393" i="1"/>
  <c r="F1393" i="1" s="1"/>
  <c r="I1394" i="1"/>
  <c r="F1394" i="1" s="1"/>
  <c r="I1404" i="1"/>
  <c r="F1404" i="1" s="1"/>
  <c r="I1395" i="1"/>
  <c r="F1395" i="1" s="1"/>
  <c r="I1396" i="1"/>
  <c r="F1396" i="1" s="1"/>
  <c r="I1397" i="1"/>
  <c r="F1397" i="1" s="1"/>
  <c r="I1398" i="1"/>
  <c r="F1398" i="1" s="1"/>
  <c r="I1399" i="1"/>
  <c r="F1399" i="1" s="1"/>
  <c r="I1400" i="1"/>
  <c r="F1400" i="1" s="1"/>
  <c r="I1401" i="1"/>
  <c r="F1401" i="1" s="1"/>
  <c r="I1402" i="1"/>
  <c r="F1402" i="1" s="1"/>
  <c r="I1403" i="1"/>
  <c r="F1403" i="1" s="1"/>
  <c r="I1415" i="1"/>
  <c r="F1415" i="1" s="1"/>
  <c r="I1416" i="1"/>
  <c r="F1416" i="1" s="1"/>
  <c r="I1405" i="1"/>
  <c r="F1405" i="1" s="1"/>
  <c r="I1406" i="1"/>
  <c r="F1406" i="1" s="1"/>
  <c r="I1407" i="1"/>
  <c r="F1407" i="1" s="1"/>
  <c r="I1408" i="1"/>
  <c r="F1408" i="1" s="1"/>
  <c r="I1409" i="1"/>
  <c r="F1409" i="1" s="1"/>
  <c r="I1410" i="1"/>
  <c r="F1410" i="1" s="1"/>
  <c r="I1411" i="1"/>
  <c r="F1411" i="1" s="1"/>
  <c r="I1412" i="1"/>
  <c r="F1412" i="1" s="1"/>
  <c r="I1413" i="1"/>
  <c r="F1413" i="1" s="1"/>
  <c r="I1417" i="1"/>
  <c r="F1417" i="1" s="1"/>
  <c r="I1419" i="1"/>
  <c r="F1419" i="1" s="1"/>
  <c r="I1421" i="1"/>
  <c r="F1421" i="1" s="1"/>
  <c r="I1414" i="1"/>
  <c r="F1414" i="1" s="1"/>
  <c r="I1418" i="1"/>
  <c r="F1418" i="1" s="1"/>
  <c r="I1420" i="1"/>
  <c r="F1420" i="1" s="1"/>
  <c r="I1422" i="1"/>
  <c r="F1422" i="1" s="1"/>
  <c r="I1423" i="1"/>
  <c r="F1423" i="1" s="1"/>
  <c r="I1429" i="1"/>
  <c r="F1429" i="1" s="1"/>
  <c r="I1430" i="1"/>
  <c r="F1430" i="1" s="1"/>
  <c r="I1424" i="1"/>
  <c r="F1424" i="1" s="1"/>
  <c r="I1431" i="1"/>
  <c r="F1431" i="1" s="1"/>
  <c r="I1425" i="1"/>
  <c r="F1425" i="1" s="1"/>
  <c r="I1426" i="1"/>
  <c r="F1426" i="1" s="1"/>
  <c r="I1435" i="1"/>
  <c r="F1435" i="1" s="1"/>
  <c r="I1427" i="1"/>
  <c r="F1427" i="1" s="1"/>
  <c r="I1432" i="1"/>
  <c r="F1432" i="1" s="1"/>
  <c r="I1428" i="1"/>
  <c r="F1428" i="1" s="1"/>
  <c r="I1433" i="1"/>
  <c r="F1433" i="1" s="1"/>
  <c r="I1434" i="1"/>
  <c r="F1434" i="1" s="1"/>
  <c r="I1440" i="1"/>
  <c r="F1440" i="1" s="1"/>
  <c r="I1447" i="1"/>
  <c r="F1447" i="1" s="1"/>
  <c r="I1448" i="1"/>
  <c r="F1448" i="1" s="1"/>
  <c r="I1452" i="1"/>
  <c r="F1452" i="1" s="1"/>
  <c r="I1444" i="1"/>
  <c r="F1444" i="1" s="1"/>
  <c r="I1445" i="1"/>
  <c r="F1445" i="1" s="1"/>
  <c r="I1446" i="1"/>
  <c r="F1446" i="1" s="1"/>
  <c r="I1454" i="1"/>
  <c r="F1454" i="1" s="1"/>
  <c r="I1455" i="1"/>
  <c r="F1455" i="1" s="1"/>
  <c r="I1456" i="1"/>
  <c r="F1456" i="1" s="1"/>
  <c r="I1474" i="1"/>
  <c r="F1474" i="1" s="1"/>
  <c r="I1475" i="1"/>
  <c r="F1475" i="1" s="1"/>
  <c r="I1476" i="1"/>
  <c r="F1476" i="1" s="1"/>
  <c r="I1477" i="1"/>
  <c r="F1477" i="1" s="1"/>
  <c r="I1478" i="1"/>
  <c r="F1478" i="1" s="1"/>
  <c r="I1479" i="1"/>
  <c r="F1479" i="1" s="1"/>
  <c r="I1480" i="1"/>
  <c r="F1480" i="1" s="1"/>
  <c r="I1481" i="1"/>
  <c r="F1481" i="1" s="1"/>
  <c r="I1498" i="1"/>
  <c r="F1498" i="1" s="1"/>
  <c r="I1497" i="1"/>
  <c r="F1497" i="1" s="1"/>
  <c r="I1499" i="1"/>
  <c r="F1499" i="1" s="1"/>
  <c r="I1505" i="1"/>
  <c r="F1505" i="1" s="1"/>
  <c r="I1506" i="1"/>
  <c r="F1506" i="1" s="1"/>
  <c r="I1507" i="1"/>
  <c r="F1507" i="1" s="1"/>
  <c r="I1508" i="1"/>
  <c r="F1508" i="1" s="1"/>
  <c r="I1509" i="1"/>
  <c r="F1509" i="1" s="1"/>
  <c r="I1510" i="1"/>
  <c r="F1510" i="1" s="1"/>
  <c r="I1511" i="1"/>
  <c r="F1511" i="1" s="1"/>
  <c r="I1524" i="1"/>
  <c r="F1524" i="1" s="1"/>
  <c r="I1525" i="1"/>
  <c r="F1525" i="1" s="1"/>
  <c r="I638" i="1"/>
  <c r="F638" i="1" s="1"/>
  <c r="I1527" i="1"/>
  <c r="F1527" i="1" s="1"/>
  <c r="I1528" i="1"/>
  <c r="F1528" i="1" s="1"/>
  <c r="I1529" i="1"/>
  <c r="F1529" i="1" s="1"/>
  <c r="I1532" i="1"/>
  <c r="F1532" i="1" s="1"/>
  <c r="I1538" i="1"/>
  <c r="F1538" i="1" s="1"/>
  <c r="I1533" i="1"/>
  <c r="F1533" i="1" s="1"/>
  <c r="I1534" i="1"/>
  <c r="F1534" i="1" s="1"/>
  <c r="I1535" i="1"/>
  <c r="F1535" i="1" s="1"/>
  <c r="I1536" i="1"/>
  <c r="F1536" i="1" s="1"/>
  <c r="I1537" i="1"/>
  <c r="F1537" i="1" s="1"/>
  <c r="I1539" i="1"/>
  <c r="F1539" i="1" s="1"/>
  <c r="I1530" i="1"/>
  <c r="F1530" i="1" s="1"/>
  <c r="I1531" i="1"/>
  <c r="F1531" i="1" s="1"/>
  <c r="I1617" i="1"/>
  <c r="F1617" i="1" s="1"/>
  <c r="I1560" i="1"/>
  <c r="F1560" i="1" s="1"/>
  <c r="I1648" i="1"/>
  <c r="F1648" i="1" s="1"/>
  <c r="I1649" i="1"/>
  <c r="F1649" i="1" s="1"/>
  <c r="I1650" i="1"/>
  <c r="F1650" i="1" s="1"/>
  <c r="I1670" i="1"/>
  <c r="F1670" i="1" s="1"/>
  <c r="I1651" i="1"/>
  <c r="F1651" i="1" s="1"/>
  <c r="I1673" i="1"/>
  <c r="F1673" i="1" s="1"/>
  <c r="I1652" i="1"/>
  <c r="F1652" i="1" s="1"/>
  <c r="I1679" i="1"/>
  <c r="F1679" i="1" s="1"/>
  <c r="I1669" i="1"/>
  <c r="F1669" i="1" s="1"/>
  <c r="I1653" i="1"/>
  <c r="F1653" i="1" s="1"/>
  <c r="I1654" i="1"/>
  <c r="F1654" i="1" s="1"/>
  <c r="I1686" i="1"/>
  <c r="F1686" i="1" s="1"/>
  <c r="I1687" i="1"/>
  <c r="F1687" i="1" s="1"/>
  <c r="I1655" i="1"/>
  <c r="F1655" i="1" s="1"/>
  <c r="I1656" i="1"/>
  <c r="F1656" i="1" s="1"/>
  <c r="I1663" i="1"/>
  <c r="F1663" i="1" s="1"/>
  <c r="I1683" i="1"/>
  <c r="F1683" i="1" s="1"/>
  <c r="I1688" i="1"/>
  <c r="F1688" i="1" s="1"/>
  <c r="I1657" i="1"/>
  <c r="F1657" i="1" s="1"/>
  <c r="I1689" i="1"/>
  <c r="F1689" i="1" s="1"/>
  <c r="I1722" i="1"/>
  <c r="F1722" i="1" s="1"/>
  <c r="I1723" i="1"/>
  <c r="F1723" i="1" s="1"/>
  <c r="I1724" i="1"/>
  <c r="F1724" i="1" s="1"/>
  <c r="I1725" i="1"/>
  <c r="F1725" i="1" s="1"/>
  <c r="I1726" i="1"/>
  <c r="F1726" i="1" s="1"/>
  <c r="I1728" i="1"/>
  <c r="F1728" i="1" s="1"/>
  <c r="I1731" i="1"/>
  <c r="F1731" i="1" s="1"/>
  <c r="I1744" i="1"/>
  <c r="F1744" i="1" s="1"/>
  <c r="I1779" i="1"/>
  <c r="F1779" i="1" s="1"/>
  <c r="I1781" i="1"/>
  <c r="F1781" i="1" s="1"/>
  <c r="I1692" i="1"/>
  <c r="F1692" i="1" s="1"/>
  <c r="I1693" i="1"/>
  <c r="F1693" i="1" s="1"/>
  <c r="I1694" i="1"/>
  <c r="F1694" i="1" s="1"/>
  <c r="I1695" i="1"/>
  <c r="F1695" i="1" s="1"/>
  <c r="I1696" i="1"/>
  <c r="F1696" i="1" s="1"/>
  <c r="I1727" i="1"/>
  <c r="F1727" i="1" s="1"/>
  <c r="I1730" i="1"/>
  <c r="F1730" i="1" s="1"/>
  <c r="I1729" i="1"/>
  <c r="F1729" i="1" s="1"/>
  <c r="I1697" i="1"/>
  <c r="F1697" i="1" s="1"/>
  <c r="I1778" i="1"/>
  <c r="F1778" i="1" s="1"/>
  <c r="I1698" i="1"/>
  <c r="F1698" i="1" s="1"/>
  <c r="I1699" i="1"/>
  <c r="F1699" i="1" s="1"/>
  <c r="I1784" i="1"/>
  <c r="F1784" i="1" s="1"/>
  <c r="I1700" i="1"/>
  <c r="F1700" i="1" s="1"/>
  <c r="I1777" i="1"/>
  <c r="F1777" i="1" s="1"/>
  <c r="I1780" i="1"/>
  <c r="F1780" i="1" s="1"/>
  <c r="I1782" i="1"/>
  <c r="F1782" i="1" s="1"/>
  <c r="I1783" i="1"/>
  <c r="F1783" i="1" s="1"/>
  <c r="I1701" i="1"/>
  <c r="F1701" i="1" s="1"/>
  <c r="I1702" i="1"/>
  <c r="F1702" i="1" s="1"/>
  <c r="I1703" i="1"/>
  <c r="F1703" i="1" s="1"/>
  <c r="I1704" i="1"/>
  <c r="F1704" i="1" s="1"/>
  <c r="I1705" i="1"/>
  <c r="F1705" i="1" s="1"/>
  <c r="I1706" i="1"/>
  <c r="F1706" i="1" s="1"/>
  <c r="I1707" i="1"/>
  <c r="F1707" i="1" s="1"/>
  <c r="I1708" i="1"/>
  <c r="F1708" i="1" s="1"/>
  <c r="I1709" i="1"/>
  <c r="F1709" i="1" s="1"/>
  <c r="I1710" i="1"/>
  <c r="F1710" i="1" s="1"/>
  <c r="I1711" i="1"/>
  <c r="F1711" i="1" s="1"/>
  <c r="I1712" i="1"/>
  <c r="F1712" i="1" s="1"/>
  <c r="I1713" i="1"/>
  <c r="F1713" i="1" s="1"/>
  <c r="I1714" i="1"/>
  <c r="F1714" i="1" s="1"/>
  <c r="I1715" i="1"/>
  <c r="F1715" i="1" s="1"/>
  <c r="I1716" i="1"/>
  <c r="F1716" i="1" s="1"/>
  <c r="I1717" i="1"/>
  <c r="F1717" i="1" s="1"/>
  <c r="I1718" i="1"/>
  <c r="F1718" i="1" s="1"/>
  <c r="I1719" i="1"/>
  <c r="F1719" i="1" s="1"/>
  <c r="I1720" i="1"/>
  <c r="F1720" i="1" s="1"/>
  <c r="I1721" i="1"/>
  <c r="F1721" i="1" s="1"/>
  <c r="I1561" i="1"/>
  <c r="F1561" i="1" s="1"/>
  <c r="I1575" i="1"/>
  <c r="F1575" i="1" s="1"/>
  <c r="I1792" i="1"/>
  <c r="F1792" i="1" s="1"/>
  <c r="I1793" i="1"/>
  <c r="F1793" i="1" s="1"/>
  <c r="I1785" i="1"/>
  <c r="F1785" i="1" s="1"/>
  <c r="I1786" i="1"/>
  <c r="F1786" i="1" s="1"/>
  <c r="I1794" i="1"/>
  <c r="F1794" i="1" s="1"/>
  <c r="I1795" i="1"/>
  <c r="F1795" i="1" s="1"/>
  <c r="I1787" i="1"/>
  <c r="F1787" i="1" s="1"/>
  <c r="I1788" i="1"/>
  <c r="F1788" i="1" s="1"/>
  <c r="I1796" i="1"/>
  <c r="F1796" i="1" s="1"/>
  <c r="I1797" i="1"/>
  <c r="F1797" i="1" s="1"/>
  <c r="I1798" i="1"/>
  <c r="F1798" i="1" s="1"/>
  <c r="I1789" i="1"/>
  <c r="F1789" i="1" s="1"/>
  <c r="I1799" i="1"/>
  <c r="F1799" i="1" s="1"/>
  <c r="I1790" i="1"/>
  <c r="F1790" i="1" s="1"/>
  <c r="I1791" i="1"/>
  <c r="F1791" i="1" s="1"/>
  <c r="I1800" i="1"/>
  <c r="F1800" i="1" s="1"/>
  <c r="I1801" i="1"/>
  <c r="F1801" i="1" s="1"/>
  <c r="I1802" i="1"/>
  <c r="F1802" i="1" s="1"/>
  <c r="I1803" i="1"/>
  <c r="F1803" i="1" s="1"/>
  <c r="I1804" i="1"/>
  <c r="F1804" i="1" s="1"/>
  <c r="I1805" i="1"/>
  <c r="F1805" i="1" s="1"/>
  <c r="I1806" i="1"/>
  <c r="F1806" i="1" s="1"/>
  <c r="I1807" i="1"/>
  <c r="F1807" i="1" s="1"/>
  <c r="I1808" i="1"/>
  <c r="F1808" i="1" s="1"/>
  <c r="I1813" i="1"/>
  <c r="F1813" i="1" s="1"/>
  <c r="I1822" i="1"/>
  <c r="F1822" i="1" s="1"/>
  <c r="I1823" i="1"/>
  <c r="F1823" i="1" s="1"/>
  <c r="I1824" i="1"/>
  <c r="F1824" i="1" s="1"/>
  <c r="I1826" i="1"/>
  <c r="F1826" i="1" s="1"/>
  <c r="I1828" i="1"/>
  <c r="F1828" i="1" s="1"/>
  <c r="I1814" i="1"/>
  <c r="F1814" i="1" s="1"/>
  <c r="I1815" i="1"/>
  <c r="F1815" i="1" s="1"/>
  <c r="I1816" i="1"/>
  <c r="F1816" i="1" s="1"/>
  <c r="I1817" i="1"/>
  <c r="F1817" i="1" s="1"/>
  <c r="I1818" i="1"/>
  <c r="F1818" i="1" s="1"/>
  <c r="I1819" i="1"/>
  <c r="F1819" i="1" s="1"/>
  <c r="I1820" i="1"/>
  <c r="F1820" i="1" s="1"/>
  <c r="I1821" i="1"/>
  <c r="F1821" i="1" s="1"/>
  <c r="I1825" i="1"/>
  <c r="F1825" i="1" s="1"/>
  <c r="I1827" i="1"/>
  <c r="F1827" i="1" s="1"/>
  <c r="I1835" i="1"/>
  <c r="F1835" i="1" s="1"/>
  <c r="I1829" i="1"/>
  <c r="F1829" i="1" s="1"/>
  <c r="I1834" i="1"/>
  <c r="F1834" i="1" s="1"/>
  <c r="I1830" i="1"/>
  <c r="F1830" i="1" s="1"/>
  <c r="I1831" i="1"/>
  <c r="F1831" i="1" s="1"/>
  <c r="I1832" i="1"/>
  <c r="F1832" i="1" s="1"/>
  <c r="I1833" i="1"/>
  <c r="F1833" i="1" s="1"/>
  <c r="I1836" i="1"/>
  <c r="F1836" i="1" s="1"/>
  <c r="I1837" i="1"/>
  <c r="F1837" i="1" s="1"/>
  <c r="I1841" i="1"/>
  <c r="F1841" i="1" s="1"/>
  <c r="I1838" i="1"/>
  <c r="F1838" i="1" s="1"/>
  <c r="I1839" i="1"/>
  <c r="F1839" i="1" s="1"/>
  <c r="I1840" i="1"/>
  <c r="F1840" i="1" s="1"/>
  <c r="I1842" i="1"/>
  <c r="F1842" i="1" s="1"/>
  <c r="I1851" i="1"/>
  <c r="F1851" i="1" s="1"/>
  <c r="I1849" i="1"/>
  <c r="F1849" i="1" s="1"/>
  <c r="I1845" i="1"/>
  <c r="F1845" i="1" s="1"/>
  <c r="I1850" i="1"/>
  <c r="F1850" i="1" s="1"/>
  <c r="I1847" i="1"/>
  <c r="F1847" i="1" s="1"/>
  <c r="I1848" i="1"/>
  <c r="F1848" i="1" s="1"/>
  <c r="I1843" i="1"/>
  <c r="F1843" i="1" s="1"/>
  <c r="I1844" i="1"/>
  <c r="F1844" i="1" s="1"/>
  <c r="I1846" i="1"/>
  <c r="F1846" i="1" s="1"/>
  <c r="I1852" i="1"/>
  <c r="F1852" i="1" s="1"/>
  <c r="I1853" i="1"/>
  <c r="F1853" i="1" s="1"/>
  <c r="I1867" i="1"/>
  <c r="F1867" i="1" s="1"/>
  <c r="I1854" i="1"/>
  <c r="F1854" i="1" s="1"/>
  <c r="I1863" i="1"/>
  <c r="F1863" i="1" s="1"/>
  <c r="I1866" i="1"/>
  <c r="F1866" i="1" s="1"/>
  <c r="I1883" i="1"/>
  <c r="F1883" i="1" s="1"/>
  <c r="I2318" i="1"/>
  <c r="F2318" i="1" s="1"/>
  <c r="I2319" i="1"/>
  <c r="F2319" i="1" s="1"/>
  <c r="I2321" i="1"/>
  <c r="F2321" i="1" s="1"/>
  <c r="I2323" i="1"/>
  <c r="F2323" i="1" s="1"/>
  <c r="I2324" i="1"/>
  <c r="F2324" i="1" s="1"/>
  <c r="I2306" i="1"/>
  <c r="F2306" i="1" s="1"/>
  <c r="I2317" i="1"/>
  <c r="F2317" i="1" s="1"/>
  <c r="I2307" i="1"/>
  <c r="F2307" i="1" s="1"/>
  <c r="I2308" i="1"/>
  <c r="F2308" i="1" s="1"/>
  <c r="I2309" i="1"/>
  <c r="F2309" i="1" s="1"/>
  <c r="I2320" i="1"/>
  <c r="F2320" i="1" s="1"/>
  <c r="I2310" i="1"/>
  <c r="F2310" i="1" s="1"/>
  <c r="I2311" i="1"/>
  <c r="F2311" i="1" s="1"/>
  <c r="I2322" i="1"/>
  <c r="F2322" i="1" s="1"/>
  <c r="I2312" i="1"/>
  <c r="F2312" i="1" s="1"/>
  <c r="I2313" i="1"/>
  <c r="F2313" i="1" s="1"/>
  <c r="I2314" i="1"/>
  <c r="F2314" i="1" s="1"/>
  <c r="I2315" i="1"/>
  <c r="F2315" i="1" s="1"/>
  <c r="I2316" i="1"/>
  <c r="F2316" i="1" s="1"/>
  <c r="I2325" i="1"/>
  <c r="F2325" i="1" s="1"/>
  <c r="I2328" i="1"/>
  <c r="F2328" i="1" s="1"/>
  <c r="I2339" i="1"/>
  <c r="F2339" i="1" s="1"/>
  <c r="I2333" i="1"/>
  <c r="F2333" i="1" s="1"/>
  <c r="I2334" i="1"/>
  <c r="F2334" i="1" s="1"/>
  <c r="I2329" i="1"/>
  <c r="F2329" i="1" s="1"/>
  <c r="I2335" i="1"/>
  <c r="F2335" i="1" s="1"/>
  <c r="I2336" i="1"/>
  <c r="F2336" i="1" s="1"/>
  <c r="I2330" i="1"/>
  <c r="F2330" i="1" s="1"/>
  <c r="I2337" i="1"/>
  <c r="F2337" i="1" s="1"/>
  <c r="I2338" i="1"/>
  <c r="F2338" i="1" s="1"/>
  <c r="I2340" i="1"/>
  <c r="F2340" i="1" s="1"/>
  <c r="I2341" i="1"/>
  <c r="F2341" i="1" s="1"/>
  <c r="I2346" i="1"/>
  <c r="F2346" i="1" s="1"/>
  <c r="I2342" i="1"/>
  <c r="F2342" i="1" s="1"/>
  <c r="I2343" i="1"/>
  <c r="F2343" i="1" s="1"/>
  <c r="I2344" i="1"/>
  <c r="F2344" i="1" s="1"/>
  <c r="I2345" i="1"/>
  <c r="F2345" i="1" s="1"/>
  <c r="I2347" i="1"/>
  <c r="F2347" i="1" s="1"/>
  <c r="I2348" i="1"/>
  <c r="F2348" i="1" s="1"/>
  <c r="I2349" i="1"/>
  <c r="F2349" i="1" s="1"/>
  <c r="I2350" i="1"/>
  <c r="F2350" i="1" s="1"/>
  <c r="I2351" i="1"/>
  <c r="F2351" i="1" s="1"/>
  <c r="I2352" i="1"/>
  <c r="F2352" i="1" s="1"/>
  <c r="I2353" i="1"/>
  <c r="F2353" i="1" s="1"/>
  <c r="I2354" i="1"/>
  <c r="F2354" i="1" s="1"/>
  <c r="I2355" i="1"/>
  <c r="F2355" i="1" s="1"/>
  <c r="I2356" i="1"/>
  <c r="F2356" i="1" s="1"/>
  <c r="I2369" i="1"/>
  <c r="F2369" i="1" s="1"/>
  <c r="I2370" i="1"/>
  <c r="F2370" i="1" s="1"/>
  <c r="I2357" i="1"/>
  <c r="F2357" i="1" s="1"/>
  <c r="I2358" i="1"/>
  <c r="F2358" i="1" s="1"/>
  <c r="I2359" i="1"/>
  <c r="F2359" i="1" s="1"/>
  <c r="I2360" i="1"/>
  <c r="F2360" i="1" s="1"/>
  <c r="I2361" i="1"/>
  <c r="F2361" i="1" s="1"/>
  <c r="I2362" i="1"/>
  <c r="F2362" i="1" s="1"/>
  <c r="I2363" i="1"/>
  <c r="F2363" i="1" s="1"/>
  <c r="I2364" i="1"/>
  <c r="F2364" i="1" s="1"/>
  <c r="I2366" i="1"/>
  <c r="F2366" i="1" s="1"/>
  <c r="I2367" i="1"/>
  <c r="F2367" i="1" s="1"/>
  <c r="I2368" i="1"/>
  <c r="F2368" i="1" s="1"/>
  <c r="I2371" i="1"/>
  <c r="F2371" i="1" s="1"/>
  <c r="I2365" i="1"/>
  <c r="F2365" i="1" s="1"/>
  <c r="I2376" i="1"/>
  <c r="F2376" i="1" s="1"/>
  <c r="I2377" i="1"/>
  <c r="F2377" i="1" s="1"/>
  <c r="I2378" i="1"/>
  <c r="F2378" i="1" s="1"/>
  <c r="I2381" i="1"/>
  <c r="F2381" i="1" s="1"/>
  <c r="I2382" i="1"/>
  <c r="F2382" i="1" s="1"/>
  <c r="I2372" i="1"/>
  <c r="F2372" i="1" s="1"/>
  <c r="I2373" i="1"/>
  <c r="F2373" i="1" s="1"/>
  <c r="I2388" i="1"/>
  <c r="F2388" i="1" s="1"/>
  <c r="I2387" i="1"/>
  <c r="F2387" i="1" s="1"/>
  <c r="I2383" i="1"/>
  <c r="F2383" i="1" s="1"/>
  <c r="I2389" i="1"/>
  <c r="F2389" i="1" s="1"/>
  <c r="I2391" i="1"/>
  <c r="F2391" i="1" s="1"/>
  <c r="I2392" i="1"/>
  <c r="F2392" i="1" s="1"/>
  <c r="I2379" i="1"/>
  <c r="F2379" i="1" s="1"/>
  <c r="I2396" i="1"/>
  <c r="F2396" i="1" s="1"/>
  <c r="I2397" i="1"/>
  <c r="F2397" i="1" s="1"/>
  <c r="I2394" i="1"/>
  <c r="F2394" i="1" s="1"/>
  <c r="I2398" i="1"/>
  <c r="F2398" i="1" s="1"/>
  <c r="I2393" i="1"/>
  <c r="F2393" i="1" s="1"/>
  <c r="I2395" i="1"/>
  <c r="F2395" i="1" s="1"/>
  <c r="I2399" i="1"/>
  <c r="F2399" i="1" s="1"/>
  <c r="I2400" i="1"/>
  <c r="F2400" i="1" s="1"/>
  <c r="I2401" i="1"/>
  <c r="F2401" i="1" s="1"/>
  <c r="I2402" i="1"/>
  <c r="F2402" i="1" s="1"/>
  <c r="I2403" i="1"/>
  <c r="F2403" i="1" s="1"/>
  <c r="I2404" i="1"/>
  <c r="F2404" i="1" s="1"/>
  <c r="I2405" i="1"/>
  <c r="F2405" i="1" s="1"/>
  <c r="I2407" i="1"/>
  <c r="F2407" i="1" s="1"/>
  <c r="I2408" i="1"/>
  <c r="F2408" i="1" s="1"/>
  <c r="I2409" i="1"/>
  <c r="F2409" i="1" s="1"/>
  <c r="I2442" i="1"/>
  <c r="F2442" i="1" s="1"/>
  <c r="I2449" i="1"/>
  <c r="F2449" i="1" s="1"/>
  <c r="I2448" i="1"/>
  <c r="F2448" i="1" s="1"/>
  <c r="I2450" i="1"/>
  <c r="F2450" i="1" s="1"/>
  <c r="I2451" i="1"/>
  <c r="F2451" i="1" s="1"/>
  <c r="I2452" i="1"/>
  <c r="F2452" i="1" s="1"/>
  <c r="I2453" i="1"/>
  <c r="F2453" i="1" s="1"/>
  <c r="I2454" i="1"/>
  <c r="F2454" i="1" s="1"/>
  <c r="I2455" i="1"/>
  <c r="F2455" i="1" s="1"/>
  <c r="I2460" i="1"/>
  <c r="F2460" i="1" s="1"/>
  <c r="I2461" i="1"/>
  <c r="F2461" i="1" s="1"/>
  <c r="I2468" i="1"/>
  <c r="F2468" i="1" s="1"/>
  <c r="I2469" i="1"/>
  <c r="F2469" i="1" s="1"/>
  <c r="I2463" i="1"/>
  <c r="F2463" i="1" s="1"/>
  <c r="I2465" i="1"/>
  <c r="F2465" i="1" s="1"/>
  <c r="I2466" i="1"/>
  <c r="F2466" i="1" s="1"/>
  <c r="I2470" i="1"/>
  <c r="F2470" i="1" s="1"/>
  <c r="I2462" i="1"/>
  <c r="F2462" i="1" s="1"/>
  <c r="I2464" i="1"/>
  <c r="F2464" i="1" s="1"/>
  <c r="I2467" i="1"/>
  <c r="F2467" i="1" s="1"/>
  <c r="I2474" i="1"/>
  <c r="F2474" i="1" s="1"/>
  <c r="I2473" i="1"/>
  <c r="F2473" i="1" s="1"/>
  <c r="I2472" i="1"/>
  <c r="F2472" i="1" s="1"/>
  <c r="I2475" i="1"/>
  <c r="F2475" i="1" s="1"/>
  <c r="I2476" i="1"/>
  <c r="F2476" i="1" s="1"/>
  <c r="I2478" i="1"/>
  <c r="F2478" i="1" s="1"/>
  <c r="I2410" i="1"/>
  <c r="F2410" i="1" s="1"/>
  <c r="I2411" i="1"/>
  <c r="F2411" i="1" s="1"/>
  <c r="I2457" i="1"/>
  <c r="F2457" i="1" s="1"/>
  <c r="I2412" i="1"/>
  <c r="F2412" i="1" s="1"/>
  <c r="I2479" i="1"/>
  <c r="F2479" i="1" s="1"/>
  <c r="I2413" i="1"/>
  <c r="F2413" i="1" s="1"/>
  <c r="I2414" i="1"/>
  <c r="F2414" i="1" s="1"/>
  <c r="I2456" i="1"/>
  <c r="F2456" i="1" s="1"/>
  <c r="I2415" i="1"/>
  <c r="F2415" i="1" s="1"/>
  <c r="I2444" i="1"/>
  <c r="F2444" i="1" s="1"/>
  <c r="I2446" i="1"/>
  <c r="F2446" i="1" s="1"/>
  <c r="I2458" i="1"/>
  <c r="F2458" i="1" s="1"/>
  <c r="I2441" i="1"/>
  <c r="F2441" i="1" s="1"/>
  <c r="I2480" i="1"/>
  <c r="F2480" i="1" s="1"/>
  <c r="I2416" i="1"/>
  <c r="F2416" i="1" s="1"/>
  <c r="I2447" i="1"/>
  <c r="F2447" i="1" s="1"/>
  <c r="I2459" i="1"/>
  <c r="F2459" i="1" s="1"/>
  <c r="I2477" i="1"/>
  <c r="F2477" i="1" s="1"/>
  <c r="I2481" i="1"/>
  <c r="F2481" i="1" s="1"/>
  <c r="I2482" i="1"/>
  <c r="F2482" i="1" s="1"/>
  <c r="I2483" i="1"/>
  <c r="F2483" i="1" s="1"/>
  <c r="I2498" i="1"/>
  <c r="F2498" i="1" s="1"/>
  <c r="I2484" i="1"/>
  <c r="F2484" i="1" s="1"/>
  <c r="I2485" i="1"/>
  <c r="F2485" i="1" s="1"/>
  <c r="I2486" i="1"/>
  <c r="F2486" i="1" s="1"/>
  <c r="I2487" i="1"/>
  <c r="F2487" i="1" s="1"/>
  <c r="I2488" i="1"/>
  <c r="F2488" i="1" s="1"/>
  <c r="I2489" i="1"/>
  <c r="F2489" i="1" s="1"/>
  <c r="I2490" i="1"/>
  <c r="F2490" i="1" s="1"/>
  <c r="I2491" i="1"/>
  <c r="F2491" i="1" s="1"/>
  <c r="I2492" i="1"/>
  <c r="F2492" i="1" s="1"/>
  <c r="I2493" i="1"/>
  <c r="F2493" i="1" s="1"/>
  <c r="I2494" i="1"/>
  <c r="F2494" i="1" s="1"/>
  <c r="I2495" i="1"/>
  <c r="F2495" i="1" s="1"/>
  <c r="I2496" i="1"/>
  <c r="F2496" i="1" s="1"/>
  <c r="I2499" i="1"/>
  <c r="F2499" i="1" s="1"/>
  <c r="I2500" i="1"/>
  <c r="F2500" i="1" s="1"/>
  <c r="I2501" i="1"/>
  <c r="F2501" i="1" s="1"/>
  <c r="I2506" i="1"/>
  <c r="F2506" i="1" s="1"/>
  <c r="I2502" i="1"/>
  <c r="F2502" i="1" s="1"/>
  <c r="I2503" i="1"/>
  <c r="F2503" i="1" s="1"/>
  <c r="I2504" i="1"/>
  <c r="F2504" i="1" s="1"/>
  <c r="I2505" i="1"/>
  <c r="F2505" i="1" s="1"/>
  <c r="I2509" i="1"/>
  <c r="F2509" i="1" s="1"/>
  <c r="I2510" i="1"/>
  <c r="F2510" i="1" s="1"/>
  <c r="I2511" i="1"/>
  <c r="F2511" i="1" s="1"/>
  <c r="I2512" i="1"/>
  <c r="F2512" i="1" s="1"/>
  <c r="I2513" i="1"/>
  <c r="F2513" i="1" s="1"/>
  <c r="I2519" i="1"/>
  <c r="F2519" i="1" s="1"/>
  <c r="I2520" i="1"/>
  <c r="F2520" i="1" s="1"/>
  <c r="I2521" i="1"/>
  <c r="F2521" i="1" s="1"/>
  <c r="I2517" i="1"/>
  <c r="F2517" i="1" s="1"/>
  <c r="I2518" i="1"/>
  <c r="F2518" i="1" s="1"/>
  <c r="I2508" i="1"/>
  <c r="F2508" i="1" s="1"/>
  <c r="I2514" i="1"/>
  <c r="F2514" i="1" s="1"/>
  <c r="I2515" i="1"/>
  <c r="F2515" i="1" s="1"/>
  <c r="I2516" i="1"/>
  <c r="F2516" i="1" s="1"/>
  <c r="I2526" i="1"/>
  <c r="F2526" i="1" s="1"/>
  <c r="I2522" i="1"/>
  <c r="F2522" i="1" s="1"/>
  <c r="I2527" i="1"/>
  <c r="F2527" i="1" s="1"/>
  <c r="I2523" i="1"/>
  <c r="F2523" i="1" s="1"/>
  <c r="I2528" i="1"/>
  <c r="F2528" i="1" s="1"/>
  <c r="I2529" i="1"/>
  <c r="F2529" i="1" s="1"/>
  <c r="I2530" i="1"/>
  <c r="F2530" i="1" s="1"/>
  <c r="I2524" i="1"/>
  <c r="F2524" i="1" s="1"/>
  <c r="I2531" i="1"/>
  <c r="F2531" i="1" s="1"/>
  <c r="I2525" i="1"/>
  <c r="F2525" i="1" s="1"/>
  <c r="I2532" i="1"/>
  <c r="F2532" i="1" s="1"/>
  <c r="I2538" i="1"/>
  <c r="F2538" i="1" s="1"/>
  <c r="I2542" i="1"/>
  <c r="F2542" i="1" s="1"/>
  <c r="I2553" i="1"/>
  <c r="F2553" i="1" s="1"/>
  <c r="I2549" i="1"/>
  <c r="F2549" i="1" s="1"/>
  <c r="I2550" i="1"/>
  <c r="F2550" i="1" s="1"/>
  <c r="I2533" i="1"/>
  <c r="F2533" i="1" s="1"/>
  <c r="I2534" i="1"/>
  <c r="F2534" i="1" s="1"/>
  <c r="I2547" i="1"/>
  <c r="F2547" i="1" s="1"/>
  <c r="I2548" i="1"/>
  <c r="F2548" i="1" s="1"/>
  <c r="I2535" i="1"/>
  <c r="F2535" i="1" s="1"/>
  <c r="I2536" i="1"/>
  <c r="F2536" i="1" s="1"/>
  <c r="I2537" i="1"/>
  <c r="F2537" i="1" s="1"/>
  <c r="I2539" i="1"/>
  <c r="F2539" i="1" s="1"/>
  <c r="I2540" i="1"/>
  <c r="F2540" i="1" s="1"/>
  <c r="I2541" i="1"/>
  <c r="F2541" i="1" s="1"/>
  <c r="I2543" i="1"/>
  <c r="F2543" i="1" s="1"/>
  <c r="I2544" i="1"/>
  <c r="F2544" i="1" s="1"/>
  <c r="I2551" i="1"/>
  <c r="F2551" i="1" s="1"/>
  <c r="I2545" i="1"/>
  <c r="F2545" i="1" s="1"/>
  <c r="I2546" i="1"/>
  <c r="F2546" i="1" s="1"/>
  <c r="I2552" i="1"/>
  <c r="F2552" i="1" s="1"/>
  <c r="I2556" i="1"/>
  <c r="F2556" i="1" s="1"/>
  <c r="I2568" i="1"/>
  <c r="F2568" i="1" s="1"/>
  <c r="I2557" i="1"/>
  <c r="F2557" i="1" s="1"/>
  <c r="I2560" i="1"/>
  <c r="F2560" i="1" s="1"/>
  <c r="I2561" i="1"/>
  <c r="F2561" i="1" s="1"/>
  <c r="I2562" i="1"/>
  <c r="F2562" i="1" s="1"/>
  <c r="I2558" i="1"/>
  <c r="F2558" i="1" s="1"/>
  <c r="I2563" i="1"/>
  <c r="F2563" i="1" s="1"/>
  <c r="I2564" i="1"/>
  <c r="F2564" i="1" s="1"/>
  <c r="I2565" i="1"/>
  <c r="F2565" i="1" s="1"/>
  <c r="I2566" i="1"/>
  <c r="F2566" i="1" s="1"/>
  <c r="I2567" i="1"/>
  <c r="F2567" i="1" s="1"/>
  <c r="I2569" i="1"/>
  <c r="F2569" i="1" s="1"/>
  <c r="I2570" i="1"/>
  <c r="F2570" i="1" s="1"/>
  <c r="I2571" i="1"/>
  <c r="F2571" i="1" s="1"/>
  <c r="I2559" i="1"/>
  <c r="F2559" i="1" s="1"/>
  <c r="I2572" i="1"/>
  <c r="F2572" i="1" s="1"/>
  <c r="I2573" i="1"/>
  <c r="F2573" i="1" s="1"/>
  <c r="I2574" i="1"/>
  <c r="F2574" i="1" s="1"/>
  <c r="I2575" i="1"/>
  <c r="F2575" i="1" s="1"/>
  <c r="I2576" i="1"/>
  <c r="F2576" i="1" s="1"/>
  <c r="I2593" i="1"/>
  <c r="F2593" i="1" s="1"/>
  <c r="I2595" i="1"/>
  <c r="F2595" i="1" s="1"/>
  <c r="I2601" i="1"/>
  <c r="F2601" i="1" s="1"/>
  <c r="I2605" i="1"/>
  <c r="F2605" i="1" s="1"/>
  <c r="I2606" i="1"/>
  <c r="F2606" i="1" s="1"/>
  <c r="I2584" i="1"/>
  <c r="F2584" i="1" s="1"/>
  <c r="I2589" i="1"/>
  <c r="F2589" i="1" s="1"/>
  <c r="I2592" i="1"/>
  <c r="F2592" i="1" s="1"/>
  <c r="I2594" i="1"/>
  <c r="F2594" i="1" s="1"/>
  <c r="I2597" i="1"/>
  <c r="F2597" i="1" s="1"/>
  <c r="I2598" i="1"/>
  <c r="F2598" i="1" s="1"/>
  <c r="I2600" i="1"/>
  <c r="F2600" i="1" s="1"/>
  <c r="I2602" i="1"/>
  <c r="F2602" i="1" s="1"/>
  <c r="I2604" i="1"/>
  <c r="F2604" i="1" s="1"/>
  <c r="I2618" i="1"/>
  <c r="F2618" i="1" s="1"/>
  <c r="I2616" i="1"/>
  <c r="F2616" i="1" s="1"/>
  <c r="I2619" i="1"/>
  <c r="F2619" i="1" s="1"/>
  <c r="I2617" i="1"/>
  <c r="F2617" i="1" s="1"/>
  <c r="I2662" i="1"/>
  <c r="F2662" i="1" s="1"/>
  <c r="I2660" i="1"/>
  <c r="F2660" i="1" s="1"/>
  <c r="I2663" i="1"/>
  <c r="F2663" i="1" s="1"/>
  <c r="I2661" i="1"/>
  <c r="F2661" i="1" s="1"/>
  <c r="I3000" i="1"/>
  <c r="F3000" i="1" s="1"/>
  <c r="I3001" i="1"/>
  <c r="F3001" i="1" s="1"/>
  <c r="I2778" i="1"/>
  <c r="F2778" i="1" s="1"/>
  <c r="I2974" i="1"/>
  <c r="F2974" i="1" s="1"/>
  <c r="I2985" i="1"/>
  <c r="F2985" i="1" s="1"/>
  <c r="I2984" i="1"/>
  <c r="F2984" i="1" s="1"/>
  <c r="I2993" i="1"/>
  <c r="F2993" i="1" s="1"/>
  <c r="I2704" i="1"/>
  <c r="F2704" i="1" s="1"/>
  <c r="I2981" i="1"/>
  <c r="F2981" i="1" s="1"/>
  <c r="I2982" i="1"/>
  <c r="F2982" i="1" s="1"/>
  <c r="I2991" i="1"/>
  <c r="F2991" i="1" s="1"/>
  <c r="I2986" i="1"/>
  <c r="F2986" i="1" s="1"/>
  <c r="I2990" i="1"/>
  <c r="F2990" i="1" s="1"/>
  <c r="I2705" i="1"/>
  <c r="F2705" i="1" s="1"/>
  <c r="I2706" i="1"/>
  <c r="F2706" i="1" s="1"/>
  <c r="I2707" i="1"/>
  <c r="F2707" i="1" s="1"/>
  <c r="I2708" i="1"/>
  <c r="F2708" i="1" s="1"/>
  <c r="I2833" i="1"/>
  <c r="F2833" i="1" s="1"/>
  <c r="I2831" i="1"/>
  <c r="F2831" i="1" s="1"/>
  <c r="I2983" i="1"/>
  <c r="F2983" i="1" s="1"/>
  <c r="I2992" i="1"/>
  <c r="F2992" i="1" s="1"/>
  <c r="I2709" i="1"/>
  <c r="F2709" i="1" s="1"/>
  <c r="I2978" i="1"/>
  <c r="F2978" i="1" s="1"/>
  <c r="I2979" i="1"/>
  <c r="F2979" i="1" s="1"/>
  <c r="I2675" i="1"/>
  <c r="F2675" i="1" s="1"/>
  <c r="I2676" i="1"/>
  <c r="F2676" i="1" s="1"/>
  <c r="I2834" i="1"/>
  <c r="F2834" i="1" s="1"/>
  <c r="I2671" i="1"/>
  <c r="F2671" i="1" s="1"/>
  <c r="I2672" i="1"/>
  <c r="F2672" i="1" s="1"/>
  <c r="I2673" i="1"/>
  <c r="F2673" i="1" s="1"/>
  <c r="I2732" i="1"/>
  <c r="F2732" i="1" s="1"/>
  <c r="I2734" i="1"/>
  <c r="F2734" i="1" s="1"/>
  <c r="I2733" i="1"/>
  <c r="F2733" i="1" s="1"/>
  <c r="I2736" i="1"/>
  <c r="F2736" i="1" s="1"/>
  <c r="I2735" i="1"/>
  <c r="F2735" i="1" s="1"/>
  <c r="I2741" i="1"/>
  <c r="F2741" i="1" s="1"/>
  <c r="I2738" i="1"/>
  <c r="F2738" i="1" s="1"/>
  <c r="I2739" i="1"/>
  <c r="F2739" i="1" s="1"/>
  <c r="I2740" i="1"/>
  <c r="F2740" i="1" s="1"/>
  <c r="I2742" i="1"/>
  <c r="F2742" i="1" s="1"/>
  <c r="I2743" i="1"/>
  <c r="F2743" i="1" s="1"/>
  <c r="I2744" i="1"/>
  <c r="F2744" i="1" s="1"/>
  <c r="I2745" i="1"/>
  <c r="F2745" i="1" s="1"/>
  <c r="I3017" i="1"/>
  <c r="F3017" i="1" s="1"/>
  <c r="I3018" i="1"/>
  <c r="F3018" i="1" s="1"/>
  <c r="I3019" i="1"/>
  <c r="F3019" i="1" s="1"/>
  <c r="I3020" i="1"/>
  <c r="F3020" i="1" s="1"/>
  <c r="I3021" i="1"/>
  <c r="F3021" i="1" s="1"/>
  <c r="I3026" i="1"/>
  <c r="F3026" i="1" s="1"/>
  <c r="I3027" i="1"/>
  <c r="F3027" i="1" s="1"/>
  <c r="I3131" i="1"/>
  <c r="F3131" i="1" s="1"/>
  <c r="I3141" i="1"/>
  <c r="F3141" i="1" s="1"/>
  <c r="I3149" i="1"/>
  <c r="F3149" i="1" s="1"/>
  <c r="I3150" i="1"/>
  <c r="F3150" i="1" s="1"/>
  <c r="I3151" i="1"/>
  <c r="F3151" i="1" s="1"/>
  <c r="I3152" i="1"/>
  <c r="F3152" i="1" s="1"/>
  <c r="I3155" i="1"/>
  <c r="F3155" i="1" s="1"/>
  <c r="I3031" i="1"/>
  <c r="F3031" i="1" s="1"/>
  <c r="I3032" i="1"/>
  <c r="F3032" i="1" s="1"/>
  <c r="I3033" i="1"/>
  <c r="F3033" i="1" s="1"/>
  <c r="I3127" i="1"/>
  <c r="F3127" i="1" s="1"/>
  <c r="I3128" i="1"/>
  <c r="F3128" i="1" s="1"/>
  <c r="I3129" i="1"/>
  <c r="F3129" i="1" s="1"/>
  <c r="I3130" i="1"/>
  <c r="F3130" i="1" s="1"/>
  <c r="I3164" i="1"/>
  <c r="F3164" i="1" s="1"/>
  <c r="I3165" i="1"/>
  <c r="F3165" i="1" s="1"/>
  <c r="I3158" i="1"/>
  <c r="F3158" i="1" s="1"/>
  <c r="I3161" i="1"/>
  <c r="F3161" i="1" s="1"/>
  <c r="I3166" i="1"/>
  <c r="F3166" i="1" s="1"/>
  <c r="I3167" i="1"/>
  <c r="F3167" i="1" s="1"/>
  <c r="I3162" i="1"/>
  <c r="F3162" i="1" s="1"/>
  <c r="I3163" i="1"/>
  <c r="F3163" i="1" s="1"/>
  <c r="I3168" i="1"/>
  <c r="F3168" i="1" s="1"/>
  <c r="I3159" i="1"/>
  <c r="F3159" i="1" s="1"/>
  <c r="I3160" i="1"/>
  <c r="F3160" i="1" s="1"/>
  <c r="I3225" i="1"/>
  <c r="F3225" i="1" s="1"/>
  <c r="I3229" i="1"/>
  <c r="F3229" i="1" s="1"/>
  <c r="I3232" i="1"/>
  <c r="F3232" i="1" s="1"/>
  <c r="I3200" i="1"/>
  <c r="F3200" i="1" s="1"/>
  <c r="I3202" i="1"/>
  <c r="F3202" i="1" s="1"/>
  <c r="I3201" i="1"/>
  <c r="F3201" i="1" s="1"/>
  <c r="I3204" i="1"/>
  <c r="F3204" i="1" s="1"/>
  <c r="I3206" i="1"/>
  <c r="F3206" i="1" s="1"/>
  <c r="I3205" i="1"/>
  <c r="F3205" i="1" s="1"/>
  <c r="I3208" i="1"/>
  <c r="F3208" i="1" s="1"/>
  <c r="I3209" i="1"/>
  <c r="F3209" i="1" s="1"/>
  <c r="I3210" i="1"/>
  <c r="F3210" i="1" s="1"/>
  <c r="I3215" i="1"/>
  <c r="F3215" i="1" s="1"/>
  <c r="I3216" i="1"/>
  <c r="F3216" i="1" s="1"/>
  <c r="I3199" i="1"/>
  <c r="F3199" i="1" s="1"/>
  <c r="I3219" i="1"/>
  <c r="F3219" i="1" s="1"/>
  <c r="I3203" i="1"/>
  <c r="F3203" i="1" s="1"/>
  <c r="I3207" i="1"/>
  <c r="F3207" i="1" s="1"/>
  <c r="I3221" i="1"/>
  <c r="F3221" i="1" s="1"/>
  <c r="I3223" i="1"/>
  <c r="F3223" i="1" s="1"/>
  <c r="I3224" i="1"/>
  <c r="F3224" i="1" s="1"/>
  <c r="I3220" i="1"/>
  <c r="F3220" i="1" s="1"/>
  <c r="I3211" i="1"/>
  <c r="F3211" i="1" s="1"/>
  <c r="I3227" i="1"/>
  <c r="F3227" i="1" s="1"/>
  <c r="I3213" i="1"/>
  <c r="F3213" i="1" s="1"/>
  <c r="I3214" i="1"/>
  <c r="F3214" i="1" s="1"/>
  <c r="I3230" i="1"/>
  <c r="F3230" i="1" s="1"/>
  <c r="I3231" i="1"/>
  <c r="F3231" i="1" s="1"/>
  <c r="I3212" i="1"/>
  <c r="F3212" i="1" s="1"/>
  <c r="I3233" i="1"/>
  <c r="F3233" i="1" s="1"/>
  <c r="I3234" i="1"/>
  <c r="F3234" i="1" s="1"/>
  <c r="I3235" i="1"/>
  <c r="F3235" i="1" s="1"/>
  <c r="I3237" i="1"/>
  <c r="F3237" i="1" s="1"/>
  <c r="I3238" i="1"/>
  <c r="F3238" i="1" s="1"/>
  <c r="I3239" i="1"/>
  <c r="F3239" i="1" s="1"/>
  <c r="I3236" i="1"/>
  <c r="F3236" i="1" s="1"/>
  <c r="I3240" i="1"/>
  <c r="F3240" i="1" s="1"/>
  <c r="I3242" i="1"/>
  <c r="F3242" i="1" s="1"/>
  <c r="I3243" i="1"/>
  <c r="F3243" i="1" s="1"/>
  <c r="I3244" i="1"/>
  <c r="F3244" i="1" s="1"/>
  <c r="I3245" i="1"/>
  <c r="F3245" i="1" s="1"/>
  <c r="I3247" i="1"/>
  <c r="F3247" i="1" s="1"/>
  <c r="I3248" i="1"/>
  <c r="F3248" i="1" s="1"/>
  <c r="I3249" i="1"/>
  <c r="F3249" i="1" s="1"/>
  <c r="I3250" i="1"/>
  <c r="F3250" i="1" s="1"/>
  <c r="I3251" i="1"/>
  <c r="F3251" i="1" s="1"/>
  <c r="I3252" i="1"/>
  <c r="F3252" i="1" s="1"/>
  <c r="I3255" i="1"/>
  <c r="F3255" i="1" s="1"/>
  <c r="I3256" i="1"/>
  <c r="F3256" i="1" s="1"/>
  <c r="I3241" i="1"/>
  <c r="F3241" i="1" s="1"/>
  <c r="I3261" i="1"/>
  <c r="F3261" i="1" s="1"/>
  <c r="I3264" i="1"/>
  <c r="F3264" i="1" s="1"/>
  <c r="I3266" i="1"/>
  <c r="F3266" i="1" s="1"/>
  <c r="I3253" i="1"/>
  <c r="F3253" i="1" s="1"/>
  <c r="I3257" i="1"/>
  <c r="F3257" i="1" s="1"/>
  <c r="I3259" i="1"/>
  <c r="F3259" i="1" s="1"/>
  <c r="I3268" i="1"/>
  <c r="F3268" i="1" s="1"/>
  <c r="I3270" i="1"/>
  <c r="F3270" i="1" s="1"/>
  <c r="I3271" i="1"/>
  <c r="F3271" i="1" s="1"/>
  <c r="I1612" i="1"/>
  <c r="F1612" i="1" s="1"/>
  <c r="I1613" i="1"/>
  <c r="F1613" i="1" s="1"/>
  <c r="I1614" i="1"/>
  <c r="F1614" i="1" s="1"/>
  <c r="I1616" i="1"/>
  <c r="F1616" i="1" s="1"/>
  <c r="I1610" i="1"/>
  <c r="F1610" i="1" s="1"/>
  <c r="I1608" i="1"/>
  <c r="F1608" i="1" s="1"/>
  <c r="I1611" i="1"/>
  <c r="F1611" i="1" s="1"/>
  <c r="I1606" i="1"/>
  <c r="F1606" i="1" s="1"/>
  <c r="I1615" i="1"/>
  <c r="F1615" i="1" s="1"/>
  <c r="I3284" i="1"/>
  <c r="F3284" i="1" s="1"/>
  <c r="I3285" i="1"/>
  <c r="F3285" i="1" s="1"/>
  <c r="I3286" i="1"/>
  <c r="F3286" i="1" s="1"/>
  <c r="I3287" i="1"/>
  <c r="F3287" i="1" s="1"/>
  <c r="I3288" i="1"/>
  <c r="F3288" i="1" s="1"/>
  <c r="I73" i="1"/>
  <c r="F73" i="1" s="1"/>
  <c r="I3193" i="1"/>
  <c r="F3193" i="1" s="1"/>
  <c r="I87" i="1"/>
  <c r="F87" i="1" s="1"/>
  <c r="I1969" i="1"/>
  <c r="F1969" i="1" s="1"/>
  <c r="I1966" i="1"/>
  <c r="F1966" i="1" s="1"/>
  <c r="I1975" i="1"/>
  <c r="F1975" i="1" s="1"/>
  <c r="I1915" i="1"/>
  <c r="F1915" i="1" s="1"/>
  <c r="I1916" i="1"/>
  <c r="F1916" i="1" s="1"/>
  <c r="I1955" i="1"/>
  <c r="F1955" i="1" s="1"/>
  <c r="I1954" i="1"/>
  <c r="F1954" i="1" s="1"/>
  <c r="I1956" i="1"/>
  <c r="F1956" i="1" s="1"/>
  <c r="I2674" i="1"/>
  <c r="F2674" i="1" s="1"/>
  <c r="I62" i="1"/>
  <c r="F62" i="1" s="1"/>
  <c r="I292" i="1"/>
  <c r="F292" i="1" s="1"/>
  <c r="I293" i="1"/>
  <c r="F293" i="1" s="1"/>
  <c r="I294" i="1"/>
  <c r="F294" i="1" s="1"/>
  <c r="I295" i="1"/>
  <c r="F295" i="1" s="1"/>
  <c r="I296" i="1"/>
  <c r="F296" i="1" s="1"/>
  <c r="I297" i="1"/>
  <c r="F297" i="1" s="1"/>
  <c r="I631" i="1"/>
  <c r="F631" i="1" s="1"/>
  <c r="I105" i="1"/>
  <c r="F105" i="1" s="1"/>
  <c r="I176" i="1"/>
  <c r="F176" i="1" s="1"/>
  <c r="I1558" i="1"/>
  <c r="F1558" i="1" s="1"/>
  <c r="I49" i="1"/>
  <c r="F49" i="1" s="1"/>
  <c r="I52" i="1"/>
  <c r="F52" i="1" s="1"/>
  <c r="I74" i="1"/>
  <c r="F74" i="1" s="1"/>
  <c r="I108" i="1"/>
  <c r="F108" i="1" s="1"/>
  <c r="I116" i="1"/>
  <c r="F116" i="1" s="1"/>
  <c r="I3178" i="1"/>
  <c r="F3178" i="1" s="1"/>
  <c r="I3192" i="1"/>
  <c r="F3192" i="1" s="1"/>
  <c r="I3194" i="1"/>
  <c r="F3194" i="1" s="1"/>
  <c r="I3195" i="1"/>
  <c r="F3195" i="1" s="1"/>
  <c r="I3196" i="1"/>
  <c r="F3196" i="1" s="1"/>
  <c r="I3197" i="1"/>
  <c r="F3197" i="1" s="1"/>
  <c r="I3198" i="1"/>
  <c r="F3198" i="1" s="1"/>
  <c r="I48" i="1"/>
  <c r="F48" i="1" s="1"/>
  <c r="I53" i="1"/>
  <c r="F53" i="1" s="1"/>
  <c r="I63" i="1"/>
  <c r="F63" i="1" s="1"/>
  <c r="I64" i="1"/>
  <c r="F64" i="1" s="1"/>
  <c r="I75" i="1"/>
  <c r="F75" i="1" s="1"/>
  <c r="I1470" i="1"/>
  <c r="F1470" i="1" s="1"/>
  <c r="I1607" i="1"/>
  <c r="F1607" i="1" s="1"/>
  <c r="I121" i="1"/>
  <c r="F121" i="1" s="1"/>
  <c r="I122" i="1"/>
  <c r="F122" i="1" s="1"/>
  <c r="I123" i="1"/>
  <c r="F123" i="1" s="1"/>
  <c r="I124" i="1"/>
  <c r="F124" i="1" s="1"/>
  <c r="I125" i="1"/>
  <c r="F125" i="1" s="1"/>
  <c r="I126" i="1"/>
  <c r="F126" i="1" s="1"/>
  <c r="I127" i="1"/>
  <c r="F127" i="1" s="1"/>
  <c r="I82" i="1"/>
  <c r="F82" i="1" s="1"/>
  <c r="I83" i="1"/>
  <c r="F83" i="1" s="1"/>
  <c r="I84" i="1"/>
  <c r="F84" i="1" s="1"/>
  <c r="I85" i="1"/>
  <c r="F85" i="1" s="1"/>
  <c r="I86" i="1"/>
  <c r="F86" i="1" s="1"/>
  <c r="I1526" i="1"/>
  <c r="F1526" i="1" s="1"/>
  <c r="I630" i="1"/>
  <c r="F630" i="1" s="1"/>
  <c r="F1471" i="1"/>
  <c r="I78" i="1"/>
  <c r="F78" i="1" s="1"/>
  <c r="I79" i="1"/>
  <c r="F79" i="1" s="1"/>
  <c r="I80" i="1"/>
  <c r="F80" i="1" s="1"/>
  <c r="I81" i="1"/>
  <c r="F81" i="1" s="1"/>
  <c r="I88" i="1"/>
  <c r="F88" i="1" s="1"/>
  <c r="I89" i="1"/>
  <c r="F89" i="1" s="1"/>
  <c r="I90" i="1"/>
  <c r="F90" i="1" s="1"/>
  <c r="I91" i="1"/>
  <c r="F91" i="1" s="1"/>
  <c r="I92" i="1"/>
  <c r="F92" i="1" s="1"/>
  <c r="I93" i="1"/>
  <c r="F93" i="1" s="1"/>
  <c r="I94" i="1"/>
  <c r="F94" i="1" s="1"/>
  <c r="I95" i="1"/>
  <c r="F95" i="1" s="1"/>
  <c r="I97" i="1"/>
  <c r="F97" i="1" s="1"/>
  <c r="I98" i="1"/>
  <c r="F98" i="1" s="1"/>
  <c r="I99" i="1"/>
  <c r="F99" i="1" s="1"/>
  <c r="I100" i="1"/>
  <c r="F100" i="1" s="1"/>
  <c r="I101" i="1"/>
  <c r="F101" i="1" s="1"/>
  <c r="I102" i="1"/>
  <c r="F102" i="1" s="1"/>
  <c r="I103" i="1"/>
  <c r="F103" i="1" s="1"/>
  <c r="I104" i="1"/>
  <c r="F104" i="1" s="1"/>
  <c r="I107" i="1"/>
  <c r="F107" i="1" s="1"/>
  <c r="I109" i="1"/>
  <c r="F109" i="1" s="1"/>
  <c r="I110" i="1"/>
  <c r="F110" i="1" s="1"/>
  <c r="I112" i="1"/>
  <c r="F112" i="1" s="1"/>
  <c r="I3275" i="1"/>
  <c r="F3275" i="1" s="1"/>
  <c r="I3276" i="1"/>
  <c r="F3276" i="1" s="1"/>
  <c r="I3277" i="1"/>
  <c r="F3277" i="1" s="1"/>
  <c r="I3278" i="1"/>
  <c r="F3278" i="1" s="1"/>
  <c r="I3273" i="1"/>
  <c r="F3273" i="1" s="1"/>
  <c r="I3274" i="1"/>
  <c r="F3274" i="1" s="1"/>
  <c r="I3279" i="1"/>
  <c r="F3279" i="1" s="1"/>
  <c r="F3280" i="1"/>
  <c r="F3281" i="1"/>
  <c r="F3283" i="1"/>
  <c r="I50" i="1"/>
  <c r="F50" i="1" s="1"/>
  <c r="I76" i="1"/>
  <c r="F76" i="1" s="1"/>
  <c r="I111" i="1"/>
  <c r="F111" i="1" s="1"/>
  <c r="I128" i="1"/>
  <c r="F128" i="1" s="1"/>
  <c r="I3272" i="1"/>
  <c r="F3272" i="1" s="1"/>
  <c r="I1559" i="1"/>
  <c r="F1559" i="1" s="1"/>
  <c r="I113" i="1"/>
  <c r="F113" i="1" s="1"/>
  <c r="I114" i="1"/>
  <c r="F114" i="1" s="1"/>
  <c r="I115" i="1"/>
  <c r="F115" i="1" s="1"/>
  <c r="I68" i="1"/>
  <c r="F68" i="1" s="1"/>
  <c r="I69" i="1"/>
  <c r="F69" i="1" s="1"/>
  <c r="I70" i="1"/>
  <c r="F70" i="1" s="1"/>
  <c r="I71" i="1"/>
  <c r="F71" i="1" s="1"/>
  <c r="I72" i="1"/>
  <c r="F72" i="1" s="1"/>
  <c r="I55" i="1"/>
  <c r="F55" i="1" s="1"/>
  <c r="I56" i="1"/>
  <c r="F56" i="1" s="1"/>
  <c r="I57" i="1"/>
  <c r="F57" i="1" s="1"/>
  <c r="I58" i="1"/>
  <c r="F58" i="1" s="1"/>
  <c r="I59" i="1"/>
  <c r="F59" i="1" s="1"/>
  <c r="I60" i="1"/>
  <c r="F60" i="1" s="1"/>
  <c r="I61" i="1"/>
  <c r="F61" i="1" s="1"/>
  <c r="I67" i="1"/>
  <c r="F67" i="1" s="1"/>
  <c r="I2326" i="1"/>
  <c r="F2326" i="1" s="1"/>
  <c r="I2327" i="1"/>
  <c r="F2327" i="1" s="1"/>
  <c r="I118" i="1"/>
  <c r="F118" i="1" s="1"/>
  <c r="I120" i="1"/>
  <c r="F120" i="1" s="1"/>
  <c r="AH1087" i="1"/>
  <c r="AH221" i="1"/>
  <c r="AH2674" i="1"/>
  <c r="AH62" i="1"/>
  <c r="AH1155" i="1"/>
  <c r="AH1157" i="1"/>
  <c r="AH1158" i="1"/>
  <c r="AH1156" i="1"/>
  <c r="AH1159" i="1"/>
  <c r="AH1160" i="1"/>
  <c r="AH1161" i="1"/>
  <c r="AH1004" i="1"/>
  <c r="AH993" i="1"/>
  <c r="AH995" i="1"/>
  <c r="AH996" i="1"/>
  <c r="AH997" i="1"/>
  <c r="AH998" i="1"/>
  <c r="AH999" i="1"/>
  <c r="AH1002" i="1"/>
  <c r="AH331" i="1"/>
  <c r="AH345" i="1"/>
  <c r="AH347" i="1"/>
  <c r="AH316" i="1"/>
  <c r="AH317" i="1"/>
  <c r="AH356" i="1"/>
  <c r="AH355" i="1"/>
  <c r="AH388" i="1"/>
  <c r="AH313" i="1"/>
  <c r="AH360" i="1"/>
  <c r="AH333" i="1"/>
  <c r="AH363" i="1"/>
  <c r="AH367" i="1"/>
  <c r="AH377" i="1"/>
  <c r="AH353" i="1"/>
  <c r="AH379" i="1"/>
  <c r="AH380" i="1"/>
  <c r="AH381" i="1"/>
  <c r="AH318" i="1"/>
  <c r="AH361" i="1"/>
  <c r="AH364" i="1"/>
  <c r="AH382" i="1"/>
  <c r="AH390" i="1"/>
  <c r="AH391" i="1"/>
  <c r="AH383" i="1"/>
  <c r="AH319" i="1"/>
  <c r="AH384" i="1"/>
  <c r="AH386" i="1"/>
  <c r="AH389" i="1"/>
  <c r="AH131" i="1"/>
  <c r="AH134" i="1"/>
  <c r="AH138" i="1"/>
  <c r="AH141" i="1"/>
  <c r="AH147" i="1"/>
  <c r="AH148" i="1"/>
  <c r="AH150" i="1"/>
  <c r="AH1963" i="1"/>
  <c r="AH1829" i="1"/>
  <c r="AH1834" i="1"/>
  <c r="AH1830" i="1"/>
  <c r="AH1831" i="1"/>
  <c r="AH1832" i="1"/>
  <c r="AH1833" i="1"/>
  <c r="AH1835" i="1"/>
  <c r="AH2328" i="1"/>
  <c r="AH2339" i="1"/>
  <c r="AH2333" i="1"/>
  <c r="AH2334" i="1"/>
  <c r="AH2329" i="1"/>
  <c r="AH2335" i="1"/>
  <c r="AH2336" i="1"/>
  <c r="AH2330" i="1"/>
  <c r="AH2337" i="1"/>
  <c r="AH2338" i="1"/>
  <c r="AH3000" i="1"/>
  <c r="AH3001" i="1"/>
  <c r="AH3234" i="1"/>
  <c r="AH3255" i="1"/>
  <c r="AH3256" i="1"/>
  <c r="AH3241" i="1"/>
  <c r="AH3261" i="1"/>
  <c r="AH3264" i="1"/>
  <c r="AH3266" i="1"/>
  <c r="AH3253" i="1"/>
  <c r="AH3257" i="1"/>
  <c r="AH3259" i="1"/>
  <c r="AH3268" i="1"/>
  <c r="AH3235" i="1"/>
  <c r="AH3237" i="1"/>
  <c r="AH3238" i="1"/>
  <c r="AH3239" i="1"/>
  <c r="AH3236" i="1"/>
  <c r="AH3240" i="1"/>
  <c r="AH3242" i="1"/>
  <c r="AH3243" i="1"/>
  <c r="AH3244" i="1"/>
  <c r="AH3245" i="1"/>
  <c r="AH3247" i="1"/>
  <c r="AH3248" i="1"/>
  <c r="AH3249" i="1"/>
  <c r="AH3250" i="1"/>
  <c r="AH3251" i="1"/>
  <c r="AH3252" i="1"/>
  <c r="AH887" i="1"/>
  <c r="AH888" i="1"/>
  <c r="AH799" i="1"/>
  <c r="AH848" i="1"/>
  <c r="AH804" i="1"/>
  <c r="AH813" i="1"/>
  <c r="AH992" i="1"/>
  <c r="AH1494" i="1"/>
  <c r="AH1495" i="1"/>
  <c r="AH1496" i="1"/>
  <c r="AH1500" i="1"/>
  <c r="AH857" i="1"/>
  <c r="AH1107" i="1"/>
  <c r="AH1108" i="1"/>
  <c r="AH947" i="1"/>
  <c r="AH967" i="1"/>
  <c r="AH858" i="1"/>
  <c r="AH989" i="1"/>
  <c r="AH1000" i="1"/>
  <c r="AH1003" i="1"/>
  <c r="AH994" i="1"/>
  <c r="AH991" i="1"/>
  <c r="AH990" i="1"/>
  <c r="AH1092" i="1"/>
  <c r="AH1097" i="1"/>
  <c r="AH1094" i="1"/>
  <c r="AH1100" i="1"/>
  <c r="AH1115" i="1"/>
  <c r="AH1119" i="1"/>
  <c r="AH1106" i="1"/>
  <c r="AH1110" i="1"/>
  <c r="AH1111" i="1"/>
  <c r="AH1118" i="1"/>
  <c r="AH1059" i="1"/>
  <c r="AH1060" i="1"/>
  <c r="AH1058" i="1"/>
  <c r="AH1061" i="1"/>
  <c r="AH1062" i="1"/>
  <c r="AH1063" i="1"/>
  <c r="AH1064" i="1"/>
  <c r="AH1090" i="1"/>
  <c r="AH875" i="1"/>
  <c r="AH889" i="1"/>
  <c r="AH893" i="1"/>
  <c r="AH895" i="1"/>
  <c r="AH896" i="1"/>
  <c r="AH897" i="1"/>
  <c r="AH921" i="1"/>
  <c r="AH925" i="1"/>
  <c r="AH926" i="1"/>
  <c r="AH927" i="1"/>
  <c r="AH928" i="1"/>
  <c r="AH929" i="1"/>
  <c r="AH945" i="1"/>
  <c r="AH964" i="1"/>
  <c r="AH987" i="1"/>
  <c r="AH988" i="1"/>
  <c r="AH1018" i="1"/>
  <c r="AH1020" i="1"/>
  <c r="AH1033" i="1"/>
  <c r="AH1056" i="1"/>
  <c r="AH1078" i="1"/>
  <c r="AH1088" i="1"/>
  <c r="AH1089" i="1"/>
  <c r="AH1091" i="1"/>
  <c r="AH1096" i="1"/>
  <c r="AH1099" i="1"/>
  <c r="AH1103" i="1"/>
  <c r="AH1104" i="1"/>
  <c r="AH1105" i="1"/>
  <c r="AH1109" i="1"/>
  <c r="AH1113" i="1"/>
  <c r="AH1095" i="1"/>
  <c r="AH1112" i="1"/>
  <c r="AH1114" i="1"/>
  <c r="AH1116" i="1"/>
  <c r="AH1117" i="1"/>
  <c r="AH1120" i="1"/>
  <c r="AH859" i="1"/>
  <c r="AH1126" i="1"/>
  <c r="AH946" i="1"/>
  <c r="AH1047" i="1"/>
  <c r="AH1046" i="1"/>
  <c r="AH1048" i="1"/>
  <c r="AH294" i="1"/>
  <c r="AH295" i="1"/>
  <c r="AH296" i="1"/>
  <c r="AH297" i="1"/>
  <c r="AH292" i="1"/>
  <c r="AH293" i="1"/>
  <c r="AH631" i="1"/>
  <c r="AH670" i="1"/>
  <c r="AH671" i="1"/>
  <c r="AH672" i="1"/>
  <c r="AH673" i="1"/>
  <c r="AH674" i="1"/>
  <c r="AH697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6" i="1"/>
  <c r="AH695" i="1"/>
  <c r="AH105" i="1"/>
  <c r="AH702" i="1"/>
  <c r="AH712" i="1"/>
  <c r="AH710" i="1"/>
  <c r="AH713" i="1"/>
  <c r="AH703" i="1"/>
  <c r="AH704" i="1"/>
  <c r="AH705" i="1"/>
  <c r="AH706" i="1"/>
  <c r="AH707" i="1"/>
  <c r="AH708" i="1"/>
  <c r="AH709" i="1"/>
  <c r="AH711" i="1"/>
  <c r="AH742" i="1"/>
  <c r="AH746" i="1"/>
  <c r="AH747" i="1"/>
  <c r="AH748" i="1"/>
  <c r="AH759" i="1"/>
  <c r="AH761" i="1"/>
  <c r="AH764" i="1"/>
  <c r="AH749" i="1"/>
  <c r="AH754" i="1"/>
  <c r="AH760" i="1"/>
  <c r="AH762" i="1"/>
  <c r="AH2556" i="1"/>
  <c r="AH2568" i="1"/>
  <c r="AH2557" i="1"/>
  <c r="AH2560" i="1"/>
  <c r="AH2561" i="1"/>
  <c r="AH2562" i="1"/>
  <c r="AH2558" i="1"/>
  <c r="AH2563" i="1"/>
  <c r="AH2564" i="1"/>
  <c r="AH2565" i="1"/>
  <c r="AH2566" i="1"/>
  <c r="AH2567" i="1"/>
  <c r="AH2569" i="1"/>
  <c r="AH2570" i="1"/>
  <c r="AH2571" i="1"/>
  <c r="AH2559" i="1"/>
  <c r="AH2572" i="1"/>
  <c r="AH2573" i="1"/>
  <c r="AH2574" i="1"/>
  <c r="AH2575" i="1"/>
  <c r="AH2576" i="1"/>
  <c r="AH1599" i="1"/>
  <c r="AH1596" i="1"/>
  <c r="AH1595" i="1"/>
  <c r="AH176" i="1"/>
  <c r="AH1558" i="1"/>
  <c r="AH1617" i="1"/>
  <c r="AH1560" i="1"/>
  <c r="AH1612" i="1"/>
  <c r="AH1613" i="1"/>
  <c r="AH1614" i="1"/>
  <c r="AH1610" i="1"/>
  <c r="AH1608" i="1"/>
  <c r="AH1611" i="1"/>
  <c r="AH1606" i="1"/>
  <c r="AH1615" i="1"/>
  <c r="AH1616" i="1"/>
  <c r="AH190" i="1"/>
  <c r="AH209" i="1"/>
  <c r="AH211" i="1"/>
  <c r="AH195" i="1"/>
  <c r="AH332" i="1"/>
  <c r="AH199" i="1"/>
  <c r="AH200" i="1"/>
  <c r="AH202" i="1"/>
  <c r="AH208" i="1"/>
  <c r="AH191" i="1"/>
  <c r="AH193" i="1"/>
  <c r="AH192" i="1"/>
  <c r="AH210" i="1"/>
  <c r="AH212" i="1"/>
  <c r="AH203" i="1"/>
  <c r="AH205" i="1"/>
  <c r="AH213" i="1"/>
  <c r="AH219" i="1"/>
  <c r="AH220" i="1"/>
  <c r="AH215" i="1"/>
  <c r="AH217" i="1"/>
  <c r="AH218" i="1"/>
  <c r="AH2372" i="1"/>
  <c r="AH2387" i="1"/>
  <c r="AH2383" i="1"/>
  <c r="AH2389" i="1"/>
  <c r="AH2391" i="1"/>
  <c r="AH2392" i="1"/>
  <c r="AH2376" i="1"/>
  <c r="AH2377" i="1"/>
  <c r="AH2378" i="1"/>
  <c r="AH2379" i="1"/>
  <c r="AH2381" i="1"/>
  <c r="AH2382" i="1"/>
  <c r="AH2373" i="1"/>
  <c r="AH2388" i="1"/>
  <c r="AH2584" i="1"/>
  <c r="AH2592" i="1"/>
  <c r="AH2593" i="1"/>
  <c r="AH2594" i="1"/>
  <c r="AH2595" i="1"/>
  <c r="AH2597" i="1"/>
  <c r="AH2598" i="1"/>
  <c r="AH2600" i="1"/>
  <c r="AH2601" i="1"/>
  <c r="AH2602" i="1"/>
  <c r="AH2604" i="1"/>
  <c r="AH2605" i="1"/>
  <c r="AH2606" i="1"/>
  <c r="AH2589" i="1"/>
  <c r="AH426" i="1"/>
  <c r="AH431" i="1"/>
  <c r="AH436" i="1"/>
  <c r="AH437" i="1"/>
  <c r="AH438" i="1"/>
  <c r="AH439" i="1"/>
  <c r="AH440" i="1"/>
  <c r="AH441" i="1"/>
  <c r="AH443" i="1"/>
  <c r="AH444" i="1"/>
  <c r="AH412" i="1"/>
  <c r="AH424" i="1"/>
  <c r="AH417" i="1"/>
  <c r="AH398" i="1"/>
  <c r="AH399" i="1"/>
  <c r="AH416" i="1"/>
  <c r="AH414" i="1"/>
  <c r="AH415" i="1"/>
  <c r="AH400" i="1"/>
  <c r="AH425" i="1"/>
  <c r="AH406" i="1"/>
  <c r="AH427" i="1"/>
  <c r="AH428" i="1"/>
  <c r="AH407" i="1"/>
  <c r="AH408" i="1"/>
  <c r="AH429" i="1"/>
  <c r="AH430" i="1"/>
  <c r="AH432" i="1"/>
  <c r="AH435" i="1"/>
  <c r="AH433" i="1"/>
  <c r="AH434" i="1"/>
  <c r="AH442" i="1"/>
  <c r="AH401" i="1"/>
  <c r="AH402" i="1"/>
  <c r="AH411" i="1"/>
  <c r="AH409" i="1"/>
  <c r="AH420" i="1"/>
  <c r="AH422" i="1"/>
  <c r="AH423" i="1"/>
  <c r="AH723" i="1"/>
  <c r="AH716" i="1"/>
  <c r="AH717" i="1"/>
  <c r="AH719" i="1"/>
  <c r="AH720" i="1"/>
  <c r="AH721" i="1"/>
  <c r="AH298" i="1"/>
  <c r="AH300" i="1"/>
  <c r="AH301" i="1"/>
  <c r="AH626" i="1"/>
  <c r="AH627" i="1"/>
  <c r="AH628" i="1"/>
  <c r="AH629" i="1"/>
  <c r="AH718" i="1"/>
  <c r="AH725" i="1"/>
  <c r="AH728" i="1"/>
  <c r="AH729" i="1"/>
  <c r="AH731" i="1"/>
  <c r="AH2407" i="1"/>
  <c r="AH2408" i="1"/>
  <c r="AH2409" i="1"/>
  <c r="AH52" i="1"/>
  <c r="AH664" i="1"/>
  <c r="AH668" i="1"/>
  <c r="AH665" i="1"/>
  <c r="AH667" i="1"/>
  <c r="AH666" i="1"/>
  <c r="AH663" i="1"/>
  <c r="AH1564" i="1"/>
  <c r="AH1565" i="1"/>
  <c r="AH1566" i="1"/>
  <c r="AH1567" i="1"/>
  <c r="AH1568" i="1"/>
  <c r="AH1569" i="1"/>
  <c r="AH1580" i="1"/>
  <c r="AH1577" i="1"/>
  <c r="AH1581" i="1"/>
  <c r="AH1582" i="1"/>
  <c r="AH1586" i="1"/>
  <c r="AH1583" i="1"/>
  <c r="AH1584" i="1"/>
  <c r="AH1585" i="1"/>
  <c r="AH1587" i="1"/>
  <c r="AH2662" i="1"/>
  <c r="AH2660" i="1"/>
  <c r="AH2663" i="1"/>
  <c r="AH2661" i="1"/>
  <c r="AH3178" i="1"/>
  <c r="AH3192" i="1"/>
  <c r="AH3193" i="1"/>
  <c r="AH3194" i="1"/>
  <c r="AH3195" i="1"/>
  <c r="AH3196" i="1"/>
  <c r="AH3197" i="1"/>
  <c r="AH3198" i="1"/>
  <c r="AH49" i="1"/>
  <c r="AH3233" i="1"/>
  <c r="AH3270" i="1"/>
  <c r="AH3271" i="1"/>
  <c r="AH3215" i="1"/>
  <c r="AH3216" i="1"/>
  <c r="AH3199" i="1"/>
  <c r="AH3219" i="1"/>
  <c r="AH3203" i="1"/>
  <c r="AH3207" i="1"/>
  <c r="AH3221" i="1"/>
  <c r="AH3223" i="1"/>
  <c r="AH3224" i="1"/>
  <c r="AH3220" i="1"/>
  <c r="AH3211" i="1"/>
  <c r="AH3225" i="1"/>
  <c r="AH3227" i="1"/>
  <c r="AH3213" i="1"/>
  <c r="AH3214" i="1"/>
  <c r="AH3229" i="1"/>
  <c r="AH3230" i="1"/>
  <c r="AH3231" i="1"/>
  <c r="AH3232" i="1"/>
  <c r="AH3212" i="1"/>
  <c r="AH3200" i="1"/>
  <c r="AH3202" i="1"/>
  <c r="AH3201" i="1"/>
  <c r="AH3204" i="1"/>
  <c r="AH3206" i="1"/>
  <c r="AH3205" i="1"/>
  <c r="AH3208" i="1"/>
  <c r="AH3209" i="1"/>
  <c r="AH3210" i="1"/>
  <c r="AH1233" i="1"/>
  <c r="AH1234" i="1"/>
  <c r="AH1127" i="1"/>
  <c r="AH1286" i="1"/>
  <c r="AH1235" i="1"/>
  <c r="AH1287" i="1"/>
  <c r="AH1236" i="1"/>
  <c r="AH1237" i="1"/>
  <c r="AH1238" i="1"/>
  <c r="AH1239" i="1"/>
  <c r="AH1280" i="1"/>
  <c r="AH1284" i="1"/>
  <c r="AH1240" i="1"/>
  <c r="AH850" i="1"/>
  <c r="AH851" i="1"/>
  <c r="AH853" i="1"/>
  <c r="AH1241" i="1"/>
  <c r="AH1492" i="1"/>
  <c r="AH1242" i="1"/>
  <c r="AH1243" i="1"/>
  <c r="AH1244" i="1"/>
  <c r="AH1288" i="1"/>
  <c r="AH1230" i="1"/>
  <c r="AH1285" i="1"/>
  <c r="AH1231" i="1"/>
  <c r="AH1232" i="1"/>
  <c r="AH856" i="1"/>
  <c r="AH932" i="1"/>
  <c r="AH933" i="1"/>
  <c r="AH952" i="1"/>
  <c r="AH934" i="1"/>
  <c r="AH935" i="1"/>
  <c r="AH936" i="1"/>
  <c r="AH937" i="1"/>
  <c r="AH938" i="1"/>
  <c r="AH949" i="1"/>
  <c r="AH939" i="1"/>
  <c r="AH940" i="1"/>
  <c r="AH941" i="1"/>
  <c r="AH948" i="1"/>
  <c r="AH942" i="1"/>
  <c r="AH931" i="1"/>
  <c r="AH943" i="1"/>
  <c r="AH944" i="1"/>
  <c r="AH1093" i="1"/>
  <c r="AH1098" i="1"/>
  <c r="AH930" i="1"/>
  <c r="AH1101" i="1"/>
  <c r="AH1102" i="1"/>
  <c r="AH1498" i="1"/>
  <c r="AH1122" i="1"/>
  <c r="AH1123" i="1"/>
  <c r="AH1124" i="1"/>
  <c r="AH1125" i="1"/>
  <c r="AH1131" i="1"/>
  <c r="AH1132" i="1"/>
  <c r="AH1130" i="1"/>
  <c r="AH849" i="1"/>
  <c r="AH852" i="1"/>
  <c r="AH854" i="1"/>
  <c r="AH855" i="1"/>
  <c r="AH1497" i="1"/>
  <c r="AH1499" i="1"/>
  <c r="AH1082" i="1"/>
  <c r="AH1081" i="1"/>
  <c r="AH1083" i="1"/>
  <c r="AH1085" i="1"/>
  <c r="AH1086" i="1"/>
  <c r="AH1084" i="1"/>
  <c r="AH1440" i="1"/>
  <c r="AH1447" i="1"/>
  <c r="AH1448" i="1"/>
  <c r="AH1452" i="1"/>
  <c r="AH1444" i="1"/>
  <c r="AH1445" i="1"/>
  <c r="AH1446" i="1"/>
  <c r="AH468" i="1"/>
  <c r="AH449" i="1"/>
  <c r="AH465" i="1"/>
  <c r="AH460" i="1"/>
  <c r="AH469" i="1"/>
  <c r="AH466" i="1"/>
  <c r="AH463" i="1"/>
  <c r="AH464" i="1"/>
  <c r="AH462" i="1"/>
  <c r="AH461" i="1"/>
  <c r="AH73" i="1"/>
  <c r="AH74" i="1"/>
  <c r="AH87" i="1"/>
  <c r="AH1604" i="1"/>
  <c r="AH116" i="1"/>
  <c r="AH1603" i="1"/>
  <c r="AH1602" i="1"/>
  <c r="AH1592" i="1"/>
  <c r="AH1591" i="1"/>
  <c r="AH1590" i="1"/>
  <c r="AH1593" i="1"/>
  <c r="AH1588" i="1"/>
  <c r="AH1594" i="1"/>
  <c r="AH1505" i="1"/>
  <c r="AH1527" i="1"/>
  <c r="AH2317" i="1"/>
  <c r="AH2320" i="1"/>
  <c r="AH2322" i="1"/>
  <c r="AH2325" i="1"/>
  <c r="AH108" i="1"/>
  <c r="AH1404" i="1"/>
  <c r="AH2357" i="1"/>
  <c r="AH2366" i="1"/>
  <c r="AH2367" i="1"/>
  <c r="AH2368" i="1"/>
  <c r="AH2371" i="1"/>
  <c r="AH2358" i="1"/>
  <c r="AH2359" i="1"/>
  <c r="AH2360" i="1"/>
  <c r="AH2369" i="1"/>
  <c r="AH2370" i="1"/>
  <c r="AH2361" i="1"/>
  <c r="AH2362" i="1"/>
  <c r="AH2363" i="1"/>
  <c r="AH2364" i="1"/>
  <c r="AH2365" i="1"/>
  <c r="AH344" i="1"/>
  <c r="AH343" i="1"/>
  <c r="AH340" i="1"/>
  <c r="AH783" i="1"/>
  <c r="AH784" i="1"/>
  <c r="AH785" i="1"/>
  <c r="AH786" i="1"/>
  <c r="AH795" i="1"/>
  <c r="AH787" i="1"/>
  <c r="AH788" i="1"/>
  <c r="AH789" i="1"/>
  <c r="AH790" i="1"/>
  <c r="AH794" i="1"/>
  <c r="AH796" i="1"/>
  <c r="AH791" i="1"/>
  <c r="AH793" i="1"/>
  <c r="AH792" i="1"/>
  <c r="AH840" i="1"/>
  <c r="AH810" i="1"/>
  <c r="AH822" i="1"/>
  <c r="AH824" i="1"/>
  <c r="AH830" i="1"/>
  <c r="AH811" i="1"/>
  <c r="AH832" i="1"/>
  <c r="AH812" i="1"/>
  <c r="AH814" i="1"/>
  <c r="AH815" i="1"/>
  <c r="AH829" i="1"/>
  <c r="AH842" i="1"/>
  <c r="AH806" i="1"/>
  <c r="AH838" i="1"/>
  <c r="AH841" i="1"/>
  <c r="AH807" i="1"/>
  <c r="AH837" i="1"/>
  <c r="AH839" i="1"/>
  <c r="AH1457" i="1"/>
  <c r="AH1461" i="1"/>
  <c r="AH1458" i="1"/>
  <c r="AH1459" i="1"/>
  <c r="AH1460" i="1"/>
  <c r="AH647" i="1"/>
  <c r="AH650" i="1"/>
  <c r="AH651" i="1"/>
  <c r="AH646" i="1"/>
  <c r="AH634" i="1"/>
  <c r="AH637" i="1"/>
  <c r="AH638" i="1"/>
  <c r="AH640" i="1"/>
  <c r="AH639" i="1"/>
  <c r="AH641" i="1"/>
  <c r="AH642" i="1"/>
  <c r="AH644" i="1"/>
  <c r="AH645" i="1"/>
  <c r="AH635" i="1"/>
  <c r="AH633" i="1"/>
  <c r="AH636" i="1"/>
  <c r="AH1852" i="1"/>
  <c r="AH1853" i="1"/>
  <c r="AH1867" i="1"/>
  <c r="AH1854" i="1"/>
  <c r="AH1863" i="1"/>
  <c r="AH1866" i="1"/>
  <c r="AH2499" i="1"/>
  <c r="AH2500" i="1"/>
  <c r="AH2501" i="1"/>
  <c r="AH2506" i="1"/>
  <c r="AH2502" i="1"/>
  <c r="AH2503" i="1"/>
  <c r="AH2504" i="1"/>
  <c r="AH2505" i="1"/>
  <c r="AH3027" i="1"/>
  <c r="AH3017" i="1"/>
  <c r="AH3018" i="1"/>
  <c r="AH3019" i="1"/>
  <c r="AH3020" i="1"/>
  <c r="AH3021" i="1"/>
  <c r="AH3026" i="1"/>
  <c r="AH2306" i="1"/>
  <c r="AH2307" i="1"/>
  <c r="AH2318" i="1"/>
  <c r="AH2308" i="1"/>
  <c r="AH2309" i="1"/>
  <c r="AH2319" i="1"/>
  <c r="AH2310" i="1"/>
  <c r="AH2321" i="1"/>
  <c r="AH2311" i="1"/>
  <c r="AH2323" i="1"/>
  <c r="AH2312" i="1"/>
  <c r="AH2313" i="1"/>
  <c r="AH2314" i="1"/>
  <c r="AH2315" i="1"/>
  <c r="AH2324" i="1"/>
  <c r="AH2316" i="1"/>
  <c r="AH2347" i="1"/>
  <c r="AH2348" i="1"/>
  <c r="AH2349" i="1"/>
  <c r="AH2350" i="1"/>
  <c r="AH2351" i="1"/>
  <c r="AH2352" i="1"/>
  <c r="AH2353" i="1"/>
  <c r="AH2354" i="1"/>
  <c r="AH2355" i="1"/>
  <c r="AH2356" i="1"/>
  <c r="AH2705" i="1"/>
  <c r="AH2706" i="1"/>
  <c r="AH2707" i="1"/>
  <c r="AH2708" i="1"/>
  <c r="AH2833" i="1"/>
  <c r="AH2831" i="1"/>
  <c r="AH2709" i="1"/>
  <c r="AH2978" i="1"/>
  <c r="AH2979" i="1"/>
  <c r="AH2974" i="1"/>
  <c r="AH2778" i="1"/>
  <c r="AH2985" i="1"/>
  <c r="AH2984" i="1"/>
  <c r="AH2993" i="1"/>
  <c r="AH2704" i="1"/>
  <c r="AH2981" i="1"/>
  <c r="AH2982" i="1"/>
  <c r="AH2991" i="1"/>
  <c r="AH2986" i="1"/>
  <c r="AH2990" i="1"/>
  <c r="AH2983" i="1"/>
  <c r="AH2992" i="1"/>
  <c r="AH2732" i="1"/>
  <c r="AH2734" i="1"/>
  <c r="AH2733" i="1"/>
  <c r="AH2736" i="1"/>
  <c r="AH2735" i="1"/>
  <c r="AH2742" i="1"/>
  <c r="AH2743" i="1"/>
  <c r="AH2744" i="1"/>
  <c r="AH2745" i="1"/>
  <c r="AH2741" i="1"/>
  <c r="AH2738" i="1"/>
  <c r="AH2739" i="1"/>
  <c r="AH2740" i="1"/>
  <c r="AH392" i="1"/>
  <c r="AH393" i="1"/>
  <c r="AH394" i="1"/>
  <c r="AH395" i="1"/>
  <c r="AH3288" i="1"/>
  <c r="AH1372" i="1"/>
  <c r="AH1373" i="1"/>
  <c r="AH1375" i="1"/>
  <c r="AH1374" i="1"/>
  <c r="AH1423" i="1"/>
  <c r="AH1434" i="1"/>
  <c r="AH1429" i="1"/>
  <c r="AH1430" i="1"/>
  <c r="AH1424" i="1"/>
  <c r="AH1431" i="1"/>
  <c r="AH1425" i="1"/>
  <c r="AH1426" i="1"/>
  <c r="AH1435" i="1"/>
  <c r="AH1427" i="1"/>
  <c r="AH1432" i="1"/>
  <c r="AH1428" i="1"/>
  <c r="AH1433" i="1"/>
  <c r="AH53" i="1"/>
  <c r="AH75" i="1"/>
  <c r="AH1470" i="1"/>
  <c r="AH1648" i="1"/>
  <c r="AH1669" i="1"/>
  <c r="AH1653" i="1"/>
  <c r="AH1654" i="1"/>
  <c r="AH1686" i="1"/>
  <c r="AH1687" i="1"/>
  <c r="AH1655" i="1"/>
  <c r="AH1656" i="1"/>
  <c r="AH1663" i="1"/>
  <c r="AH1683" i="1"/>
  <c r="AH1688" i="1"/>
  <c r="AH1657" i="1"/>
  <c r="AH1689" i="1"/>
  <c r="AH1649" i="1"/>
  <c r="AH1650" i="1"/>
  <c r="AH1670" i="1"/>
  <c r="AH1651" i="1"/>
  <c r="AH1673" i="1"/>
  <c r="AH1652" i="1"/>
  <c r="AH1679" i="1"/>
  <c r="AH1792" i="1"/>
  <c r="AH1793" i="1"/>
  <c r="AH1785" i="1"/>
  <c r="AH1786" i="1"/>
  <c r="AH1794" i="1"/>
  <c r="AH1795" i="1"/>
  <c r="AH1787" i="1"/>
  <c r="AH1788" i="1"/>
  <c r="AH1796" i="1"/>
  <c r="AH1797" i="1"/>
  <c r="AH1798" i="1"/>
  <c r="AH1789" i="1"/>
  <c r="AH1799" i="1"/>
  <c r="AH1790" i="1"/>
  <c r="AH1791" i="1"/>
  <c r="AH1800" i="1"/>
  <c r="AH2397" i="1"/>
  <c r="AH2394" i="1"/>
  <c r="AH2398" i="1"/>
  <c r="AH2393" i="1"/>
  <c r="AH2395" i="1"/>
  <c r="AH2399" i="1"/>
  <c r="AH2396" i="1"/>
  <c r="AH2553" i="1"/>
  <c r="AH2549" i="1"/>
  <c r="AH2550" i="1"/>
  <c r="AH2538" i="1"/>
  <c r="AH2542" i="1"/>
  <c r="AH3164" i="1"/>
  <c r="AH3165" i="1"/>
  <c r="AH3158" i="1"/>
  <c r="AH3161" i="1"/>
  <c r="AH3166" i="1"/>
  <c r="AH3167" i="1"/>
  <c r="AH3162" i="1"/>
  <c r="AH3163" i="1"/>
  <c r="AH3168" i="1"/>
  <c r="AH3159" i="1"/>
  <c r="AH3160" i="1"/>
  <c r="AH1607" i="1"/>
  <c r="AH3284" i="1"/>
  <c r="AH3285" i="1"/>
  <c r="AH3286" i="1"/>
  <c r="AH3287" i="1"/>
  <c r="AH2441" i="1"/>
  <c r="AH2480" i="1"/>
  <c r="AH2416" i="1"/>
  <c r="AH2447" i="1"/>
  <c r="AH2459" i="1"/>
  <c r="AH2477" i="1"/>
  <c r="AH2481" i="1"/>
  <c r="AH2478" i="1"/>
  <c r="AH2442" i="1"/>
  <c r="AH48" i="1"/>
  <c r="AH2449" i="1"/>
  <c r="AH2448" i="1"/>
  <c r="AH2450" i="1"/>
  <c r="AH2451" i="1"/>
  <c r="AH2452" i="1"/>
  <c r="AH2454" i="1"/>
  <c r="AH2453" i="1"/>
  <c r="AH2455" i="1"/>
  <c r="AH63" i="1"/>
  <c r="AH64" i="1"/>
  <c r="AH2410" i="1"/>
  <c r="AH2411" i="1"/>
  <c r="AH2444" i="1"/>
  <c r="AH2446" i="1"/>
  <c r="AH2458" i="1"/>
  <c r="AH2457" i="1"/>
  <c r="AH2412" i="1"/>
  <c r="AH2479" i="1"/>
  <c r="AH2413" i="1"/>
  <c r="AH2414" i="1"/>
  <c r="AH2456" i="1"/>
  <c r="AH2415" i="1"/>
  <c r="AH2460" i="1"/>
  <c r="AH2461" i="1"/>
  <c r="AH2468" i="1"/>
  <c r="AH2469" i="1"/>
  <c r="AH2463" i="1"/>
  <c r="AH2465" i="1"/>
  <c r="AH2466" i="1"/>
  <c r="AH2470" i="1"/>
  <c r="AH2462" i="1"/>
  <c r="AH2464" i="1"/>
  <c r="AH2467" i="1"/>
  <c r="AH2474" i="1"/>
  <c r="AH2473" i="1"/>
  <c r="AH2472" i="1"/>
  <c r="AH2475" i="1"/>
  <c r="AH2476" i="1"/>
  <c r="AH1506" i="1"/>
  <c r="AH1507" i="1"/>
  <c r="AH1508" i="1"/>
  <c r="AH1509" i="1"/>
  <c r="AH1510" i="1"/>
  <c r="AH1511" i="1"/>
  <c r="AH1851" i="1"/>
  <c r="AH1849" i="1"/>
  <c r="AH1845" i="1"/>
  <c r="AH1850" i="1"/>
  <c r="AH1847" i="1"/>
  <c r="AH1848" i="1"/>
  <c r="AH121" i="1"/>
  <c r="AH122" i="1"/>
  <c r="AH123" i="1"/>
  <c r="AH124" i="1"/>
  <c r="AH125" i="1"/>
  <c r="AH126" i="1"/>
  <c r="AH127" i="1"/>
  <c r="AH1225" i="1"/>
  <c r="AH1227" i="1"/>
  <c r="AH1224" i="1"/>
  <c r="AH82" i="1"/>
  <c r="AH83" i="1"/>
  <c r="AH84" i="1"/>
  <c r="AH85" i="1"/>
  <c r="AH86" i="1"/>
  <c r="AH1526" i="1"/>
  <c r="AH2533" i="1"/>
  <c r="AH2536" i="1"/>
  <c r="AH2534" i="1"/>
  <c r="AH2547" i="1"/>
  <c r="AH2548" i="1"/>
  <c r="AH2535" i="1"/>
  <c r="AH2537" i="1"/>
  <c r="AH2539" i="1"/>
  <c r="AH2540" i="1"/>
  <c r="AH2541" i="1"/>
  <c r="AH2543" i="1"/>
  <c r="AH2544" i="1"/>
  <c r="AH2551" i="1"/>
  <c r="AH2552" i="1"/>
  <c r="AH2545" i="1"/>
  <c r="AH2546" i="1"/>
  <c r="AH1360" i="1"/>
  <c r="AH1297" i="1"/>
  <c r="AH1302" i="1"/>
  <c r="AH1303" i="1"/>
  <c r="AH1365" i="1"/>
  <c r="AH1366" i="1"/>
  <c r="AH1367" i="1"/>
  <c r="AH1368" i="1"/>
  <c r="AH1369" i="1"/>
  <c r="AH1370" i="1"/>
  <c r="AH1364" i="1"/>
  <c r="AH1304" i="1"/>
  <c r="AH1305" i="1"/>
  <c r="AH1331" i="1"/>
  <c r="AH1307" i="1"/>
  <c r="AH1308" i="1"/>
  <c r="AH1309" i="1"/>
  <c r="AH1310" i="1"/>
  <c r="AH1311" i="1"/>
  <c r="AH1312" i="1"/>
  <c r="AH1313" i="1"/>
  <c r="AH1314" i="1"/>
  <c r="AH1359" i="1"/>
  <c r="AH1371" i="1"/>
  <c r="AH1315" i="1"/>
  <c r="AH1289" i="1"/>
  <c r="AH1316" i="1"/>
  <c r="AH1328" i="1"/>
  <c r="AH1332" i="1"/>
  <c r="AH1290" i="1"/>
  <c r="AH1344" i="1"/>
  <c r="AH1347" i="1"/>
  <c r="AH1361" i="1"/>
  <c r="AH1306" i="1"/>
  <c r="AH1319" i="1"/>
  <c r="AH1322" i="1"/>
  <c r="AH1325" i="1"/>
  <c r="AH1335" i="1"/>
  <c r="AH1338" i="1"/>
  <c r="AH1341" i="1"/>
  <c r="AH1350" i="1"/>
  <c r="AH1353" i="1"/>
  <c r="AH1356" i="1"/>
  <c r="AH1291" i="1"/>
  <c r="AH1292" i="1"/>
  <c r="AH1293" i="1"/>
  <c r="AH1294" i="1"/>
  <c r="AH1295" i="1"/>
  <c r="AH1362" i="1"/>
  <c r="AH1317" i="1"/>
  <c r="AH1320" i="1"/>
  <c r="AH1323" i="1"/>
  <c r="AH1326" i="1"/>
  <c r="AH1329" i="1"/>
  <c r="AH1298" i="1"/>
  <c r="AH1333" i="1"/>
  <c r="AH1300" i="1"/>
  <c r="AH1336" i="1"/>
  <c r="AH1339" i="1"/>
  <c r="AH1342" i="1"/>
  <c r="AH1345" i="1"/>
  <c r="AH1348" i="1"/>
  <c r="AH1351" i="1"/>
  <c r="AH1354" i="1"/>
  <c r="AH1357" i="1"/>
  <c r="AH1296" i="1"/>
  <c r="AH1363" i="1"/>
  <c r="AH1318" i="1"/>
  <c r="AH1321" i="1"/>
  <c r="AH1324" i="1"/>
  <c r="AH1327" i="1"/>
  <c r="AH1330" i="1"/>
  <c r="AH1299" i="1"/>
  <c r="AH1334" i="1"/>
  <c r="AH1301" i="1"/>
  <c r="AH1337" i="1"/>
  <c r="AH1340" i="1"/>
  <c r="AH1343" i="1"/>
  <c r="AH1346" i="1"/>
  <c r="AH1349" i="1"/>
  <c r="AH1352" i="1"/>
  <c r="AH1355" i="1"/>
  <c r="AH1358" i="1"/>
  <c r="AH1722" i="1"/>
  <c r="AH1723" i="1"/>
  <c r="AH1724" i="1"/>
  <c r="AH1725" i="1"/>
  <c r="AH1726" i="1"/>
  <c r="AH1728" i="1"/>
  <c r="AH1731" i="1"/>
  <c r="AH1744" i="1"/>
  <c r="AH1779" i="1"/>
  <c r="AH1781" i="1"/>
  <c r="AH732" i="1"/>
  <c r="AH733" i="1"/>
  <c r="AH734" i="1"/>
  <c r="AH735" i="1"/>
  <c r="AH736" i="1"/>
  <c r="AH737" i="1"/>
  <c r="AH738" i="1"/>
  <c r="AH739" i="1"/>
  <c r="AH740" i="1"/>
  <c r="AH2675" i="1"/>
  <c r="AH2676" i="1"/>
  <c r="AH1454" i="1"/>
  <c r="AH1455" i="1"/>
  <c r="AH110" i="1"/>
  <c r="AH112" i="1"/>
  <c r="AH1471" i="1"/>
  <c r="AH3280" i="1"/>
  <c r="AH3281" i="1"/>
  <c r="AH3283" i="1"/>
  <c r="AH1135" i="1"/>
  <c r="AH1143" i="1"/>
  <c r="AH1136" i="1"/>
  <c r="AH1139" i="1"/>
  <c r="AH1140" i="1"/>
  <c r="AH1144" i="1"/>
  <c r="AH1146" i="1"/>
  <c r="AH1149" i="1"/>
  <c r="AH1152" i="1"/>
  <c r="AH1137" i="1"/>
  <c r="AH1138" i="1"/>
  <c r="AH1147" i="1"/>
  <c r="AH1148" i="1"/>
  <c r="AH1141" i="1"/>
  <c r="AH1142" i="1"/>
  <c r="AH1150" i="1"/>
  <c r="AH1151" i="1"/>
  <c r="AH1145" i="1"/>
  <c r="AH1153" i="1"/>
  <c r="AH1154" i="1"/>
  <c r="AH1415" i="1"/>
  <c r="AH1416" i="1"/>
  <c r="AH1395" i="1"/>
  <c r="AH1396" i="1"/>
  <c r="AH1397" i="1"/>
  <c r="AH1398" i="1"/>
  <c r="AH1399" i="1"/>
  <c r="AH1400" i="1"/>
  <c r="AH1401" i="1"/>
  <c r="AH1402" i="1"/>
  <c r="AH1403" i="1"/>
  <c r="AH1405" i="1"/>
  <c r="AH1406" i="1"/>
  <c r="AH1407" i="1"/>
  <c r="AH1408" i="1"/>
  <c r="AH1409" i="1"/>
  <c r="AH1410" i="1"/>
  <c r="AH1411" i="1"/>
  <c r="AH1412" i="1"/>
  <c r="AH1413" i="1"/>
  <c r="AH1417" i="1"/>
  <c r="AH1419" i="1"/>
  <c r="AH1421" i="1"/>
  <c r="AH1414" i="1"/>
  <c r="AH1418" i="1"/>
  <c r="AH1420" i="1"/>
  <c r="AH1422" i="1"/>
  <c r="AH1813" i="1"/>
  <c r="AH1825" i="1"/>
  <c r="AH1827" i="1"/>
  <c r="AH1822" i="1"/>
  <c r="AH1823" i="1"/>
  <c r="AH1824" i="1"/>
  <c r="AH1826" i="1"/>
  <c r="AH1828" i="1"/>
  <c r="AH1814" i="1"/>
  <c r="AH1815" i="1"/>
  <c r="AH1816" i="1"/>
  <c r="AH1817" i="1"/>
  <c r="AH1818" i="1"/>
  <c r="AH1819" i="1"/>
  <c r="AH1820" i="1"/>
  <c r="AH1821" i="1"/>
  <c r="AH1843" i="1"/>
  <c r="AH1844" i="1"/>
  <c r="AH1846" i="1"/>
  <c r="AH109" i="1"/>
  <c r="AH156" i="1"/>
  <c r="AH157" i="1"/>
  <c r="AH158" i="1"/>
  <c r="AH159" i="1"/>
  <c r="AH160" i="1"/>
  <c r="AH161" i="1"/>
  <c r="AH162" i="1"/>
  <c r="AH163" i="1"/>
  <c r="AH151" i="1"/>
  <c r="AH152" i="1"/>
  <c r="AH153" i="1"/>
  <c r="AH154" i="1"/>
  <c r="AH155" i="1"/>
  <c r="AH164" i="1"/>
  <c r="AH165" i="1"/>
  <c r="AH166" i="1"/>
  <c r="AH167" i="1"/>
  <c r="AH168" i="1"/>
  <c r="AH169" i="1"/>
  <c r="AH170" i="1"/>
  <c r="AH171" i="1"/>
  <c r="AH172" i="1"/>
  <c r="AH173" i="1"/>
  <c r="AH174" i="1"/>
  <c r="AH630" i="1"/>
  <c r="AH2340" i="1"/>
  <c r="AH2341" i="1"/>
  <c r="AH1164" i="1"/>
  <c r="AH1162" i="1"/>
  <c r="AH1165" i="1"/>
  <c r="AH1163" i="1"/>
  <c r="AH1474" i="1"/>
  <c r="AH1475" i="1"/>
  <c r="AH1476" i="1"/>
  <c r="AH1477" i="1"/>
  <c r="AH1478" i="1"/>
  <c r="AH1479" i="1"/>
  <c r="AH1480" i="1"/>
  <c r="AH1481" i="1"/>
  <c r="AH1801" i="1"/>
  <c r="AH1802" i="1"/>
  <c r="AH1803" i="1"/>
  <c r="AH1804" i="1"/>
  <c r="AH1805" i="1"/>
  <c r="AH1806" i="1"/>
  <c r="AH1807" i="1"/>
  <c r="AH1808" i="1"/>
  <c r="AH107" i="1"/>
  <c r="AH2346" i="1"/>
  <c r="AH2342" i="1"/>
  <c r="AH2343" i="1"/>
  <c r="AH2344" i="1"/>
  <c r="AH2345" i="1"/>
  <c r="AH3275" i="1"/>
  <c r="AH3276" i="1"/>
  <c r="AH3277" i="1"/>
  <c r="AH3278" i="1"/>
  <c r="AH3273" i="1"/>
  <c r="AH3274" i="1"/>
  <c r="AH3279" i="1"/>
  <c r="AH1376" i="1"/>
  <c r="AH1387" i="1"/>
  <c r="AH1388" i="1"/>
  <c r="AH1386" i="1"/>
  <c r="AH1377" i="1"/>
  <c r="AH1378" i="1"/>
  <c r="AH1379" i="1"/>
  <c r="AH1380" i="1"/>
  <c r="AH1381" i="1"/>
  <c r="AH1382" i="1"/>
  <c r="AH1383" i="1"/>
  <c r="AH1384" i="1"/>
  <c r="AH1385" i="1"/>
  <c r="AH1528" i="1"/>
  <c r="AH1529" i="1"/>
  <c r="AH1532" i="1"/>
  <c r="AH1538" i="1"/>
  <c r="AH1533" i="1"/>
  <c r="AH1534" i="1"/>
  <c r="AH1535" i="1"/>
  <c r="AH1536" i="1"/>
  <c r="AH1537" i="1"/>
  <c r="AH1539" i="1"/>
  <c r="AH1530" i="1"/>
  <c r="AH1531" i="1"/>
  <c r="AH78" i="1"/>
  <c r="AH79" i="1"/>
  <c r="AH80" i="1"/>
  <c r="AH81" i="1"/>
  <c r="AH88" i="1"/>
  <c r="AH89" i="1"/>
  <c r="AH90" i="1"/>
  <c r="AH91" i="1"/>
  <c r="AH92" i="1"/>
  <c r="AH93" i="1"/>
  <c r="AH94" i="1"/>
  <c r="AH95" i="1"/>
  <c r="AH97" i="1"/>
  <c r="AH98" i="1"/>
  <c r="AH99" i="1"/>
  <c r="AH100" i="1"/>
  <c r="AH101" i="1"/>
  <c r="AH102" i="1"/>
  <c r="AH103" i="1"/>
  <c r="AH104" i="1"/>
  <c r="AH1836" i="1"/>
  <c r="AH1837" i="1"/>
  <c r="AH1841" i="1"/>
  <c r="AH1838" i="1"/>
  <c r="AH1839" i="1"/>
  <c r="AH1840" i="1"/>
  <c r="AH1842" i="1"/>
  <c r="AH2618" i="1"/>
  <c r="AH2616" i="1"/>
  <c r="AH2619" i="1"/>
  <c r="AH2617" i="1"/>
  <c r="AH225" i="1"/>
  <c r="AH265" i="1"/>
  <c r="AH281" i="1"/>
  <c r="AH283" i="1"/>
  <c r="AH226" i="1"/>
  <c r="AH1389" i="1"/>
  <c r="AH224" i="1"/>
  <c r="AH270" i="1"/>
  <c r="AH275" i="1"/>
  <c r="AH1559" i="1"/>
  <c r="AH235" i="1"/>
  <c r="AH228" i="1"/>
  <c r="AH229" i="1"/>
  <c r="AH239" i="1"/>
  <c r="AH274" i="1"/>
  <c r="AH240" i="1"/>
  <c r="AH241" i="1"/>
  <c r="AH254" i="1"/>
  <c r="AH289" i="1"/>
  <c r="AH223" i="1"/>
  <c r="AH230" i="1"/>
  <c r="AH268" i="1"/>
  <c r="AH269" i="1"/>
  <c r="AH271" i="1"/>
  <c r="AH272" i="1"/>
  <c r="AH273" i="1"/>
  <c r="AH277" i="1"/>
  <c r="AH279" i="1"/>
  <c r="AH280" i="1"/>
  <c r="AH282" i="1"/>
  <c r="AH284" i="1"/>
  <c r="AH288" i="1"/>
  <c r="AH231" i="1"/>
  <c r="AH232" i="1"/>
  <c r="AH227" i="1"/>
  <c r="AH286" i="1"/>
  <c r="AH287" i="1"/>
  <c r="AH255" i="1"/>
  <c r="AH257" i="1"/>
  <c r="AH258" i="1"/>
  <c r="AH259" i="1"/>
  <c r="AH260" i="1"/>
  <c r="AH261" i="1"/>
  <c r="AH262" i="1"/>
  <c r="AH263" i="1"/>
  <c r="AH264" i="1"/>
  <c r="AH256" i="1"/>
  <c r="AH233" i="1"/>
  <c r="AH234" i="1"/>
  <c r="AH50" i="1"/>
  <c r="AH76" i="1"/>
  <c r="AH111" i="1"/>
  <c r="AH128" i="1"/>
  <c r="AH751" i="1"/>
  <c r="AH2482" i="1"/>
  <c r="AH2483" i="1"/>
  <c r="AH2498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1524" i="1"/>
  <c r="AH1525" i="1"/>
  <c r="AH2509" i="1"/>
  <c r="AH2510" i="1"/>
  <c r="AH2511" i="1"/>
  <c r="AH2512" i="1"/>
  <c r="AH2513" i="1"/>
  <c r="AH2519" i="1"/>
  <c r="AH2520" i="1"/>
  <c r="AH2521" i="1"/>
  <c r="AH2517" i="1"/>
  <c r="AH2518" i="1"/>
  <c r="AH2508" i="1"/>
  <c r="AH2514" i="1"/>
  <c r="AH2515" i="1"/>
  <c r="AH2516" i="1"/>
  <c r="AH3272" i="1"/>
  <c r="AH1693" i="1"/>
  <c r="AH1694" i="1"/>
  <c r="AH1695" i="1"/>
  <c r="AH1696" i="1"/>
  <c r="AH1727" i="1"/>
  <c r="AH1730" i="1"/>
  <c r="AH1729" i="1"/>
  <c r="AH1697" i="1"/>
  <c r="AH1778" i="1"/>
  <c r="AH1698" i="1"/>
  <c r="AH1699" i="1"/>
  <c r="AH1784" i="1"/>
  <c r="AH1700" i="1"/>
  <c r="AH1777" i="1"/>
  <c r="AH1780" i="1"/>
  <c r="AH1782" i="1"/>
  <c r="AH1783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13" i="1"/>
  <c r="AH114" i="1"/>
  <c r="AH115" i="1"/>
  <c r="AH1692" i="1"/>
  <c r="AH1701" i="1"/>
  <c r="AH2526" i="1"/>
  <c r="AH2522" i="1"/>
  <c r="AH2527" i="1"/>
  <c r="AH2523" i="1"/>
  <c r="AH2528" i="1"/>
  <c r="AH2529" i="1"/>
  <c r="AH2530" i="1"/>
  <c r="AH2524" i="1"/>
  <c r="AH2531" i="1"/>
  <c r="AH2525" i="1"/>
  <c r="AH2532" i="1"/>
  <c r="AH3127" i="1"/>
  <c r="AH3128" i="1"/>
  <c r="AH3129" i="1"/>
  <c r="AH3130" i="1"/>
  <c r="AH1915" i="1"/>
  <c r="AH1916" i="1"/>
  <c r="AH1955" i="1"/>
  <c r="AH1954" i="1"/>
  <c r="AH1956" i="1"/>
  <c r="AH1969" i="1"/>
  <c r="AH1966" i="1"/>
  <c r="AH1975" i="1"/>
  <c r="AH492" i="1"/>
  <c r="AH491" i="1"/>
  <c r="AH493" i="1"/>
  <c r="AH599" i="1"/>
  <c r="AH583" i="1"/>
  <c r="AH495" i="1"/>
  <c r="AH504" i="1"/>
  <c r="AH508" i="1"/>
  <c r="AH503" i="1"/>
  <c r="AH511" i="1"/>
  <c r="AH505" i="1"/>
  <c r="AH510" i="1"/>
  <c r="AH506" i="1"/>
  <c r="AH507" i="1"/>
  <c r="AH512" i="1"/>
  <c r="AH509" i="1"/>
  <c r="AH521" i="1"/>
  <c r="AH515" i="1"/>
  <c r="AH516" i="1"/>
  <c r="AH517" i="1"/>
  <c r="AH518" i="1"/>
  <c r="AH519" i="1"/>
  <c r="AH520" i="1"/>
  <c r="AH522" i="1"/>
  <c r="AH523" i="1"/>
  <c r="AH535" i="1"/>
  <c r="AH539" i="1"/>
  <c r="AH530" i="1"/>
  <c r="AH531" i="1"/>
  <c r="AH532" i="1"/>
  <c r="AH536" i="1"/>
  <c r="AH537" i="1"/>
  <c r="AH541" i="1"/>
  <c r="AH542" i="1"/>
  <c r="AH543" i="1"/>
  <c r="AH545" i="1"/>
  <c r="AH550" i="1"/>
  <c r="AH552" i="1"/>
  <c r="AH554" i="1"/>
  <c r="AH557" i="1"/>
  <c r="AH553" i="1"/>
  <c r="AH556" i="1"/>
  <c r="AH558" i="1"/>
  <c r="AH559" i="1"/>
  <c r="AH560" i="1"/>
  <c r="AH561" i="1"/>
  <c r="AH562" i="1"/>
  <c r="AH563" i="1"/>
  <c r="AH564" i="1"/>
  <c r="AH566" i="1"/>
  <c r="AH571" i="1"/>
  <c r="AH569" i="1"/>
  <c r="AH570" i="1"/>
  <c r="AH581" i="1"/>
  <c r="AH579" i="1"/>
  <c r="AH578" i="1"/>
  <c r="AH580" i="1"/>
  <c r="AH591" i="1"/>
  <c r="AH586" i="1"/>
  <c r="AH587" i="1"/>
  <c r="AH588" i="1"/>
  <c r="AH589" i="1"/>
  <c r="AH590" i="1"/>
  <c r="AH592" i="1"/>
  <c r="AH593" i="1"/>
  <c r="AH594" i="1"/>
  <c r="AH595" i="1"/>
  <c r="AH596" i="1"/>
  <c r="AH597" i="1"/>
  <c r="AH598" i="1"/>
  <c r="AH584" i="1"/>
  <c r="AH585" i="1"/>
  <c r="AH600" i="1"/>
  <c r="AH601" i="1"/>
  <c r="AH602" i="1"/>
  <c r="AH603" i="1"/>
  <c r="AH604" i="1"/>
  <c r="AH605" i="1"/>
  <c r="AH1195" i="1"/>
  <c r="AH1196" i="1"/>
  <c r="AH1166" i="1"/>
  <c r="AH1167" i="1"/>
  <c r="AH1168" i="1"/>
  <c r="AH1169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173" i="1"/>
  <c r="AH1175" i="1"/>
  <c r="AH1179" i="1"/>
  <c r="AH1181" i="1"/>
  <c r="AH1183" i="1"/>
  <c r="AH1185" i="1"/>
  <c r="AH1187" i="1"/>
  <c r="AH1189" i="1"/>
  <c r="AH1191" i="1"/>
  <c r="AH1193" i="1"/>
  <c r="AH1174" i="1"/>
  <c r="AH1177" i="1"/>
  <c r="AH1178" i="1"/>
  <c r="AH1223" i="1"/>
  <c r="AH1176" i="1"/>
  <c r="AH1180" i="1"/>
  <c r="AH1182" i="1"/>
  <c r="AH1184" i="1"/>
  <c r="AH1186" i="1"/>
  <c r="AH1188" i="1"/>
  <c r="AH1190" i="1"/>
  <c r="AH1192" i="1"/>
  <c r="AH1194" i="1"/>
  <c r="AH1170" i="1"/>
  <c r="AH1171" i="1"/>
  <c r="AH1561" i="1"/>
  <c r="AH1575" i="1"/>
  <c r="AH1809" i="1"/>
  <c r="AH1810" i="1"/>
  <c r="AH1811" i="1"/>
  <c r="AH1812" i="1"/>
  <c r="AH1883" i="1"/>
  <c r="AH1889" i="1"/>
  <c r="AH1890" i="1"/>
  <c r="AH1945" i="1"/>
  <c r="AH1946" i="1"/>
  <c r="AH1947" i="1"/>
  <c r="AH1953" i="1"/>
  <c r="AH2301" i="1"/>
  <c r="AH2018" i="1"/>
  <c r="AH2270" i="1"/>
  <c r="AH1980" i="1"/>
  <c r="AH1965" i="1"/>
  <c r="AH2302" i="1"/>
  <c r="AH1884" i="1"/>
  <c r="AH2070" i="1"/>
  <c r="AH2212" i="1"/>
  <c r="AH2071" i="1"/>
  <c r="AH1885" i="1"/>
  <c r="AH2213" i="1"/>
  <c r="AH497" i="1"/>
  <c r="AH1997" i="1"/>
  <c r="AH1998" i="1"/>
  <c r="AH1999" i="1"/>
  <c r="AH2000" i="1"/>
  <c r="AH2001" i="1"/>
  <c r="AH2002" i="1"/>
  <c r="AH2303" i="1"/>
  <c r="AH2304" i="1"/>
  <c r="AH2305" i="1"/>
  <c r="AH2043" i="1"/>
  <c r="AH2044" i="1"/>
  <c r="AH2045" i="1"/>
  <c r="AH2046" i="1"/>
  <c r="AH2047" i="1"/>
  <c r="AH2048" i="1"/>
  <c r="AH2052" i="1"/>
  <c r="AH2034" i="1"/>
  <c r="AH2035" i="1"/>
  <c r="AH2036" i="1"/>
  <c r="AH2037" i="1"/>
  <c r="AH2038" i="1"/>
  <c r="AH2039" i="1"/>
  <c r="AH2040" i="1"/>
  <c r="AH2041" i="1"/>
  <c r="AH2042" i="1"/>
  <c r="AH2074" i="1"/>
  <c r="AH2114" i="1"/>
  <c r="AH2118" i="1"/>
  <c r="AH2115" i="1"/>
  <c r="AH2116" i="1"/>
  <c r="AH2073" i="1"/>
  <c r="AH2157" i="1"/>
  <c r="AH2087" i="1"/>
  <c r="AH2088" i="1"/>
  <c r="AH2123" i="1"/>
  <c r="AH2143" i="1"/>
  <c r="AH2093" i="1"/>
  <c r="AH2120" i="1"/>
  <c r="AH2094" i="1"/>
  <c r="AH2145" i="1"/>
  <c r="AH2127" i="1"/>
  <c r="AH2128" i="1"/>
  <c r="AH2141" i="1"/>
  <c r="AH2124" i="1"/>
  <c r="AH2125" i="1"/>
  <c r="AH2126" i="1"/>
  <c r="AH2129" i="1"/>
  <c r="AH2130" i="1"/>
  <c r="AH2131" i="1"/>
  <c r="AH2089" i="1"/>
  <c r="AH2139" i="1"/>
  <c r="AH2140" i="1"/>
  <c r="AH2090" i="1"/>
  <c r="AH2142" i="1"/>
  <c r="AH2091" i="1"/>
  <c r="AH2092" i="1"/>
  <c r="AH2144" i="1"/>
  <c r="AH2121" i="1"/>
  <c r="AH2151" i="1"/>
  <c r="AH2122" i="1"/>
  <c r="AH2132" i="1"/>
  <c r="AH2138" i="1"/>
  <c r="AH1891" i="1"/>
  <c r="AH2188" i="1"/>
  <c r="AH2189" i="1"/>
  <c r="AH2187" i="1"/>
  <c r="AH2186" i="1"/>
  <c r="AH2175" i="1"/>
  <c r="AH2176" i="1"/>
  <c r="AH2177" i="1"/>
  <c r="AH2193" i="1"/>
  <c r="AH2200" i="1"/>
  <c r="AH2201" i="1"/>
  <c r="AH2178" i="1"/>
  <c r="AH2194" i="1"/>
  <c r="AH2195" i="1"/>
  <c r="AH2199" i="1"/>
  <c r="AH2179" i="1"/>
  <c r="AH2196" i="1"/>
  <c r="AH2180" i="1"/>
  <c r="AH2181" i="1"/>
  <c r="AH2182" i="1"/>
  <c r="AH2197" i="1"/>
  <c r="AH2183" i="1"/>
  <c r="AH2184" i="1"/>
  <c r="AH2198" i="1"/>
  <c r="AH2185" i="1"/>
  <c r="AH2230" i="1"/>
  <c r="AH2262" i="1"/>
  <c r="AH2263" i="1"/>
  <c r="AH2264" i="1"/>
  <c r="AH2265" i="1"/>
  <c r="AH2231" i="1"/>
  <c r="AH2232" i="1"/>
  <c r="AH2233" i="1"/>
  <c r="AH2234" i="1"/>
  <c r="AH2235" i="1"/>
  <c r="AH2236" i="1"/>
  <c r="AH2250" i="1"/>
  <c r="AH2260" i="1"/>
  <c r="AH2251" i="1"/>
  <c r="AH2252" i="1"/>
  <c r="AH67" i="1"/>
  <c r="AH68" i="1"/>
  <c r="AH69" i="1"/>
  <c r="AH70" i="1"/>
  <c r="AH71" i="1"/>
  <c r="AH72" i="1"/>
  <c r="AH189" i="1"/>
  <c r="AH1390" i="1"/>
  <c r="AH1391" i="1"/>
  <c r="AH1392" i="1"/>
  <c r="AH1393" i="1"/>
  <c r="AH1394" i="1"/>
  <c r="AH1456" i="1"/>
  <c r="AH2326" i="1"/>
  <c r="AH2327" i="1"/>
  <c r="AH55" i="1"/>
  <c r="AH56" i="1"/>
  <c r="AH57" i="1"/>
  <c r="AH58" i="1"/>
  <c r="AH59" i="1"/>
  <c r="AH60" i="1"/>
  <c r="AH61" i="1"/>
  <c r="AH2671" i="1"/>
  <c r="AH2672" i="1"/>
  <c r="AH2673" i="1"/>
  <c r="AH2400" i="1"/>
  <c r="AH2401" i="1"/>
  <c r="AH2402" i="1"/>
  <c r="AH2403" i="1"/>
  <c r="AH2404" i="1"/>
  <c r="AH2405" i="1"/>
  <c r="AH120" i="1"/>
  <c r="AH860" i="1"/>
  <c r="AH861" i="1"/>
  <c r="AH862" i="1"/>
  <c r="AH118" i="1"/>
  <c r="AH2253" i="1"/>
  <c r="AH2254" i="1"/>
  <c r="AH2255" i="1"/>
  <c r="AH2261" i="1"/>
  <c r="AH2256" i="1"/>
  <c r="AH2257" i="1"/>
  <c r="AH2258" i="1"/>
  <c r="AH2259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004" i="1"/>
  <c r="AH2005" i="1"/>
  <c r="AH2975" i="1"/>
  <c r="AH2976" i="1"/>
  <c r="AH2977" i="1"/>
  <c r="AH2980" i="1"/>
  <c r="AH2988" i="1"/>
  <c r="AH2989" i="1"/>
  <c r="AH2834" i="1"/>
  <c r="AH3149" i="1"/>
  <c r="AH3150" i="1"/>
  <c r="AH3151" i="1"/>
  <c r="AH3152" i="1"/>
  <c r="AH3131" i="1"/>
  <c r="AH3141" i="1"/>
  <c r="AH3155" i="1"/>
  <c r="AH3031" i="1"/>
  <c r="AH3032" i="1"/>
  <c r="AH3033" i="1"/>
  <c r="AH3114" i="1"/>
  <c r="AH3115" i="1"/>
  <c r="AH3112" i="1"/>
  <c r="AH3116" i="1"/>
  <c r="AH3118" i="1"/>
  <c r="AH3117" i="1"/>
  <c r="AH3119" i="1"/>
  <c r="AH3113" i="1"/>
  <c r="AH3120" i="1"/>
  <c r="AH3121" i="1"/>
  <c r="AH3122" i="1"/>
  <c r="AH3123" i="1"/>
  <c r="AH3124" i="1"/>
  <c r="AH3125" i="1"/>
  <c r="AH3126" i="1"/>
  <c r="A4" i="5"/>
  <c r="A37" i="5"/>
  <c r="A14" i="5"/>
  <c r="A16" i="5"/>
  <c r="A18" i="5"/>
  <c r="A17" i="5"/>
  <c r="A43" i="5"/>
  <c r="A44" i="5"/>
  <c r="A24" i="5"/>
  <c r="A5" i="5"/>
  <c r="A28" i="5"/>
  <c r="A23" i="5"/>
  <c r="A47" i="5"/>
  <c r="A15" i="5"/>
  <c r="A7" i="5"/>
  <c r="A42" i="5"/>
  <c r="A9" i="5"/>
  <c r="A25" i="5"/>
  <c r="A33" i="5"/>
  <c r="A29" i="5"/>
  <c r="A30" i="5"/>
  <c r="A10" i="5"/>
  <c r="A26" i="5"/>
  <c r="A34" i="5"/>
  <c r="A32" i="5"/>
  <c r="A31" i="5"/>
  <c r="A36" i="5"/>
  <c r="A3" i="5"/>
  <c r="A21" i="5"/>
  <c r="A38" i="5"/>
  <c r="A27" i="5"/>
  <c r="A46" i="5"/>
  <c r="A19" i="5"/>
  <c r="A2" i="5"/>
  <c r="A11" i="5"/>
  <c r="A12" i="5"/>
  <c r="A13" i="5"/>
  <c r="A8" i="5"/>
  <c r="A6" i="5"/>
  <c r="A39" i="5"/>
  <c r="A40" i="5"/>
  <c r="A41" i="5"/>
  <c r="A35" i="5"/>
  <c r="A45" i="5"/>
  <c r="A22" i="5"/>
  <c r="A20" i="5"/>
  <c r="A16" i="3"/>
  <c r="A56" i="3"/>
  <c r="A55" i="3"/>
  <c r="A57" i="3"/>
  <c r="A58" i="3"/>
  <c r="A59" i="3"/>
  <c r="A60" i="3"/>
  <c r="A61" i="3"/>
  <c r="A64" i="3"/>
  <c r="A67" i="3"/>
  <c r="A74" i="3"/>
  <c r="A79" i="3"/>
  <c r="A81" i="3"/>
  <c r="A14" i="3"/>
  <c r="A15" i="3"/>
  <c r="A17" i="3"/>
  <c r="A5" i="3"/>
  <c r="A18" i="3"/>
  <c r="A12" i="3"/>
  <c r="A20" i="3"/>
  <c r="A21" i="3"/>
  <c r="A22" i="3"/>
  <c r="A23" i="3"/>
  <c r="A24" i="3"/>
  <c r="A6" i="3"/>
  <c r="A27" i="3"/>
  <c r="A28" i="3"/>
  <c r="A29" i="3"/>
  <c r="A30" i="3"/>
  <c r="A31" i="3"/>
  <c r="A32" i="3"/>
  <c r="A8" i="3"/>
  <c r="A33" i="3"/>
  <c r="A34" i="3"/>
  <c r="A44" i="3"/>
  <c r="A47" i="3"/>
  <c r="A51" i="3"/>
  <c r="A50" i="3"/>
  <c r="A52" i="3"/>
  <c r="A53" i="3"/>
  <c r="A54" i="3"/>
  <c r="A88" i="3"/>
  <c r="A101" i="3"/>
  <c r="A105" i="3"/>
  <c r="A106" i="3"/>
  <c r="A112" i="3"/>
  <c r="A125" i="3"/>
  <c r="A127" i="3"/>
  <c r="A128" i="3"/>
  <c r="A19" i="3"/>
  <c r="A25" i="3"/>
  <c r="A26" i="3"/>
  <c r="A7" i="3"/>
  <c r="A35" i="3"/>
  <c r="A36" i="3"/>
  <c r="A37" i="3"/>
  <c r="A38" i="3"/>
  <c r="A39" i="3"/>
  <c r="A40" i="3"/>
  <c r="A41" i="3"/>
  <c r="A42" i="3"/>
  <c r="A43" i="3"/>
  <c r="A13" i="3"/>
  <c r="A45" i="3"/>
  <c r="A46" i="3"/>
  <c r="A48" i="3"/>
  <c r="A49" i="3"/>
  <c r="A9" i="3"/>
  <c r="A2" i="3"/>
  <c r="A3" i="3"/>
  <c r="A62" i="3"/>
  <c r="A63" i="3"/>
  <c r="A65" i="3"/>
  <c r="A66" i="3"/>
  <c r="A68" i="3"/>
  <c r="A69" i="3"/>
  <c r="A70" i="3"/>
  <c r="A71" i="3"/>
  <c r="A72" i="3"/>
  <c r="A73" i="3"/>
  <c r="A75" i="3"/>
  <c r="A76" i="3"/>
  <c r="A77" i="3"/>
  <c r="A78" i="3"/>
  <c r="A80" i="3"/>
  <c r="A4" i="3"/>
  <c r="A82" i="3"/>
  <c r="A83" i="3"/>
  <c r="A84" i="3"/>
  <c r="A85" i="3"/>
  <c r="A86" i="3"/>
  <c r="A87" i="3"/>
  <c r="A89" i="3"/>
  <c r="A90" i="3"/>
  <c r="A91" i="3"/>
  <c r="A92" i="3"/>
  <c r="A93" i="3"/>
  <c r="A94" i="3"/>
  <c r="A95" i="3"/>
  <c r="A96" i="3"/>
  <c r="A97" i="3"/>
  <c r="A98" i="3"/>
  <c r="A99" i="3"/>
  <c r="A100" i="3"/>
  <c r="A102" i="3"/>
  <c r="A103" i="3"/>
  <c r="A104" i="3"/>
  <c r="A11" i="3"/>
  <c r="A107" i="3"/>
  <c r="A108" i="3"/>
  <c r="A109" i="3"/>
  <c r="A110" i="3"/>
  <c r="A111" i="3"/>
  <c r="A113" i="3"/>
  <c r="A114" i="3"/>
  <c r="A115" i="3"/>
  <c r="A116" i="3"/>
  <c r="A117" i="3"/>
  <c r="A118" i="3"/>
  <c r="A119" i="3"/>
  <c r="A120" i="3"/>
  <c r="A121" i="3"/>
  <c r="A122" i="3"/>
  <c r="A123" i="3"/>
  <c r="A10" i="3"/>
  <c r="A124" i="3"/>
  <c r="A126" i="3"/>
  <c r="J2629" i="1" l="1"/>
  <c r="J2628" i="1"/>
  <c r="J2630" i="1"/>
  <c r="J2627" i="1"/>
  <c r="J3187" i="1"/>
  <c r="J3186" i="1"/>
  <c r="J3185" i="1"/>
  <c r="J3180" i="1"/>
  <c r="J3179" i="1"/>
  <c r="J3175" i="1"/>
  <c r="J3173" i="1"/>
  <c r="J3170" i="1"/>
  <c r="J1518" i="1"/>
  <c r="J1519" i="1"/>
  <c r="J1520" i="1"/>
  <c r="J1522" i="1"/>
  <c r="J1523" i="1"/>
  <c r="J1517" i="1"/>
  <c r="J1515" i="1"/>
  <c r="J66" i="1"/>
  <c r="J51" i="1"/>
  <c r="J1862" i="1"/>
  <c r="J1861" i="1"/>
  <c r="J312" i="1"/>
  <c r="J307" i="1"/>
  <c r="J305" i="1"/>
  <c r="J216" i="1"/>
  <c r="J196" i="1"/>
  <c r="J188" i="1"/>
  <c r="J182" i="1"/>
  <c r="J181" i="1"/>
  <c r="J187" i="1"/>
  <c r="J178" i="1"/>
  <c r="J179" i="1"/>
  <c r="J180" i="1"/>
  <c r="J614" i="1"/>
  <c r="J625" i="1"/>
  <c r="J620" i="1"/>
  <c r="J617" i="1"/>
  <c r="J613" i="1"/>
  <c r="J362" i="1"/>
  <c r="J2610" i="1"/>
  <c r="J2609" i="1"/>
  <c r="J3282" i="1"/>
  <c r="J658" i="1"/>
  <c r="J643" i="1"/>
  <c r="J656" i="1"/>
  <c r="J655" i="1"/>
  <c r="J653" i="1"/>
  <c r="J654" i="1"/>
  <c r="J648" i="1"/>
  <c r="J652" i="1"/>
  <c r="J649" i="1"/>
  <c r="J657" i="1"/>
  <c r="J632" i="1"/>
  <c r="J2030" i="1"/>
  <c r="J2033" i="1"/>
  <c r="J2031" i="1"/>
  <c r="J2029" i="1"/>
  <c r="J2032" i="1"/>
  <c r="J330" i="1"/>
  <c r="J352" i="1"/>
  <c r="J326" i="1"/>
  <c r="J327" i="1"/>
  <c r="J329" i="1"/>
  <c r="J370" i="1"/>
  <c r="J328" i="1"/>
  <c r="J186" i="1"/>
  <c r="J1278" i="1"/>
  <c r="J1257" i="1"/>
  <c r="J1491" i="1"/>
  <c r="J1281" i="1"/>
  <c r="J1283" i="1"/>
  <c r="J1282" i="1"/>
  <c r="J1261" i="1"/>
  <c r="J1259" i="1"/>
  <c r="J1251" i="1"/>
  <c r="J1258" i="1"/>
  <c r="J1250" i="1"/>
  <c r="J1277" i="1"/>
  <c r="J1256" i="1"/>
  <c r="J1490" i="1"/>
  <c r="J1276" i="1"/>
  <c r="J1255" i="1"/>
  <c r="J1489" i="1"/>
  <c r="J1275" i="1"/>
  <c r="J1254" i="1"/>
  <c r="J1270" i="1"/>
  <c r="J1253" i="1"/>
  <c r="J1264" i="1"/>
  <c r="J1260" i="1"/>
  <c r="J1252" i="1"/>
  <c r="J1488" i="1"/>
  <c r="J378" i="1"/>
  <c r="J1019" i="1"/>
  <c r="J877" i="1"/>
  <c r="J1262" i="1"/>
  <c r="J1245" i="1"/>
  <c r="J1249" i="1"/>
  <c r="J902" i="1"/>
  <c r="J1271" i="1"/>
  <c r="J898" i="1"/>
  <c r="J909" i="1"/>
  <c r="J1265" i="1"/>
  <c r="J1263" i="1"/>
  <c r="J1274" i="1"/>
  <c r="J1246" i="1"/>
  <c r="J1273" i="1"/>
  <c r="J1272" i="1"/>
  <c r="J907" i="1"/>
  <c r="J1267" i="1"/>
  <c r="J1266" i="1"/>
  <c r="J899" i="1"/>
  <c r="J1248" i="1"/>
  <c r="J1247" i="1"/>
  <c r="J1269" i="1"/>
  <c r="J1268" i="1"/>
  <c r="J900" i="1"/>
  <c r="J871" i="1"/>
  <c r="J870" i="1"/>
  <c r="J869" i="1"/>
  <c r="J908" i="1"/>
  <c r="J867" i="1"/>
  <c r="J906" i="1"/>
  <c r="J905" i="1"/>
  <c r="J904" i="1"/>
  <c r="J903" i="1"/>
  <c r="J901" i="1"/>
  <c r="J868" i="1"/>
  <c r="J866" i="1"/>
  <c r="J865" i="1"/>
  <c r="J864" i="1"/>
  <c r="J873" i="1"/>
  <c r="J872" i="1"/>
  <c r="J863" i="1"/>
  <c r="J1623" i="1"/>
  <c r="J2101" i="1"/>
  <c r="J1502" i="1"/>
  <c r="J2119" i="1"/>
  <c r="J1501" i="1"/>
  <c r="J3095" i="1"/>
  <c r="J1765" i="1"/>
  <c r="J2440" i="1"/>
  <c r="J2426" i="1"/>
  <c r="J3090" i="1"/>
  <c r="J3076" i="1"/>
  <c r="J1774" i="1"/>
  <c r="J1760" i="1"/>
  <c r="J1746" i="1"/>
  <c r="J3089" i="1"/>
  <c r="J3075" i="1"/>
  <c r="J1773" i="1"/>
  <c r="J1759" i="1"/>
  <c r="J1745" i="1"/>
  <c r="J3088" i="1"/>
  <c r="J3074" i="1"/>
  <c r="J1772" i="1"/>
  <c r="J1758" i="1"/>
  <c r="J1436" i="1"/>
  <c r="J3084" i="1"/>
  <c r="J3070" i="1"/>
  <c r="J1768" i="1"/>
  <c r="J1754" i="1"/>
  <c r="J1752" i="1"/>
  <c r="J1771" i="1"/>
  <c r="J1757" i="1"/>
  <c r="J3082" i="1"/>
  <c r="J1766" i="1"/>
  <c r="J3092" i="1"/>
  <c r="J3078" i="1"/>
  <c r="J1776" i="1"/>
  <c r="J1762" i="1"/>
  <c r="J1748" i="1"/>
  <c r="J3081" i="1"/>
  <c r="J3091" i="1"/>
  <c r="J3077" i="1"/>
  <c r="J1775" i="1"/>
  <c r="J1761" i="1"/>
  <c r="J1747" i="1"/>
  <c r="J3086" i="1"/>
  <c r="J3072" i="1"/>
  <c r="J1770" i="1"/>
  <c r="J1756" i="1"/>
  <c r="J2438" i="1"/>
  <c r="J2424" i="1"/>
  <c r="J2434" i="1"/>
  <c r="J2420" i="1"/>
  <c r="J3085" i="1"/>
  <c r="J3071" i="1"/>
  <c r="J1769" i="1"/>
  <c r="J1755" i="1"/>
  <c r="J3083" i="1"/>
  <c r="J3069" i="1"/>
  <c r="J1767" i="1"/>
  <c r="J1753" i="1"/>
  <c r="J3068" i="1"/>
  <c r="J3067" i="1"/>
  <c r="J1751" i="1"/>
  <c r="J3094" i="1"/>
  <c r="J3080" i="1"/>
  <c r="J3066" i="1"/>
  <c r="J1764" i="1"/>
  <c r="J1750" i="1"/>
  <c r="J3093" i="1"/>
  <c r="J3079" i="1"/>
  <c r="J3065" i="1"/>
  <c r="J1763" i="1"/>
  <c r="J1749" i="1"/>
  <c r="J2439" i="1"/>
  <c r="J2425" i="1"/>
  <c r="J3087" i="1"/>
  <c r="J3073" i="1"/>
  <c r="J2433" i="1"/>
  <c r="J2419" i="1"/>
  <c r="J2432" i="1"/>
  <c r="J2418" i="1"/>
  <c r="J1079" i="1"/>
  <c r="J2428" i="1"/>
  <c r="J2427" i="1"/>
  <c r="J2431" i="1"/>
  <c r="J2417" i="1"/>
  <c r="J2437" i="1"/>
  <c r="J2423" i="1"/>
  <c r="J2430" i="1"/>
  <c r="J2436" i="1"/>
  <c r="J2422" i="1"/>
  <c r="J2429" i="1"/>
  <c r="J2435" i="1"/>
  <c r="J2421" i="1"/>
  <c r="J1080" i="1"/>
  <c r="J3191" i="1"/>
  <c r="J3190" i="1"/>
  <c r="J3189" i="1"/>
  <c r="J3181" i="1"/>
  <c r="J3183" i="1"/>
  <c r="J3184" i="1"/>
  <c r="J3182" i="1"/>
  <c r="J3188" i="1"/>
  <c r="J1055" i="1"/>
  <c r="J2995" i="1"/>
  <c r="J2620" i="1"/>
  <c r="J2994" i="1"/>
  <c r="J2654" i="1"/>
  <c r="J2712" i="1"/>
  <c r="J2713" i="1"/>
  <c r="J3030" i="1"/>
  <c r="J2647" i="1"/>
  <c r="J2659" i="1"/>
  <c r="J2711" i="1"/>
  <c r="J2987" i="1"/>
  <c r="J2710" i="1"/>
  <c r="J2650" i="1"/>
  <c r="J2668" i="1"/>
  <c r="J2656" i="1"/>
  <c r="J2664" i="1"/>
  <c r="J2670" i="1"/>
  <c r="J2667" i="1"/>
  <c r="J2625" i="1"/>
  <c r="J2666" i="1"/>
  <c r="J2665" i="1"/>
  <c r="J2669" i="1"/>
  <c r="J2651" i="1"/>
  <c r="J2655" i="1"/>
  <c r="J2648" i="1"/>
  <c r="J2632" i="1"/>
  <c r="J2623" i="1"/>
  <c r="J2649" i="1"/>
  <c r="J2658" i="1"/>
  <c r="J2631" i="1"/>
  <c r="J1013" i="1"/>
  <c r="J2657" i="1"/>
  <c r="J2653" i="1"/>
  <c r="J2652" i="1"/>
  <c r="J2635" i="1"/>
  <c r="J2644" i="1"/>
  <c r="J2643" i="1"/>
  <c r="J2636" i="1"/>
  <c r="J2634" i="1"/>
  <c r="J2641" i="1"/>
  <c r="J2639" i="1"/>
  <c r="J2633" i="1"/>
  <c r="J2640" i="1"/>
  <c r="J2645" i="1"/>
  <c r="J2637" i="1"/>
  <c r="J2638" i="1"/>
  <c r="J2642" i="1"/>
  <c r="J2626" i="1"/>
  <c r="J2646" i="1"/>
  <c r="J2622" i="1"/>
  <c r="J2624" i="1"/>
  <c r="J2621" i="1"/>
  <c r="J1017" i="1"/>
  <c r="J1007" i="1"/>
  <c r="J2615" i="1"/>
  <c r="J2611" i="1"/>
  <c r="J2613" i="1"/>
  <c r="J2614" i="1"/>
  <c r="J2612" i="1"/>
  <c r="J1015" i="1"/>
  <c r="J2554" i="1"/>
  <c r="J2555" i="1"/>
  <c r="J1001" i="1"/>
  <c r="J1012" i="1"/>
  <c r="J1010" i="1"/>
  <c r="J1011" i="1"/>
  <c r="J1006" i="1"/>
  <c r="J1016" i="1"/>
  <c r="J1008" i="1"/>
  <c r="J1009" i="1"/>
  <c r="J1005" i="1"/>
  <c r="J1014" i="1"/>
  <c r="J963" i="1"/>
  <c r="J986" i="1"/>
  <c r="J981" i="1"/>
  <c r="J985" i="1"/>
  <c r="J980" i="1"/>
  <c r="J982" i="1"/>
  <c r="J979" i="1"/>
  <c r="J983" i="1"/>
  <c r="J984" i="1"/>
  <c r="J970" i="1"/>
  <c r="J974" i="1"/>
  <c r="J978" i="1"/>
  <c r="J966" i="1"/>
  <c r="J968" i="1"/>
  <c r="J976" i="1"/>
  <c r="J975" i="1"/>
  <c r="J965" i="1"/>
  <c r="J973" i="1"/>
  <c r="J972" i="1"/>
  <c r="J971" i="1"/>
  <c r="J955" i="1"/>
  <c r="J977" i="1"/>
  <c r="J969" i="1"/>
  <c r="J953" i="1"/>
  <c r="J961" i="1"/>
  <c r="J959" i="1"/>
  <c r="J951" i="1"/>
  <c r="J954" i="1"/>
  <c r="J962" i="1"/>
  <c r="J2390" i="1"/>
  <c r="J950" i="1"/>
  <c r="J2386" i="1"/>
  <c r="J958" i="1"/>
  <c r="J956" i="1"/>
  <c r="J960" i="1"/>
  <c r="J957" i="1"/>
  <c r="J2385" i="1"/>
  <c r="J2445" i="1"/>
  <c r="J2443" i="1"/>
  <c r="J2471" i="1"/>
  <c r="J2406" i="1"/>
  <c r="J1637" i="1"/>
  <c r="J1645" i="1"/>
  <c r="J1672" i="1"/>
  <c r="J1680" i="1"/>
  <c r="J1662" i="1"/>
  <c r="J1619" i="1"/>
  <c r="J1644" i="1"/>
  <c r="J1682" i="1"/>
  <c r="J1684" i="1"/>
  <c r="J1643" i="1"/>
  <c r="J1646" i="1"/>
  <c r="J1647" i="1"/>
  <c r="J1638" i="1"/>
  <c r="J1640" i="1"/>
  <c r="J1641" i="1"/>
  <c r="J1642" i="1"/>
  <c r="J1636" i="1"/>
  <c r="J1639" i="1"/>
  <c r="J1628" i="1"/>
  <c r="J1618" i="1"/>
  <c r="J1630" i="1"/>
  <c r="J1634" i="1"/>
  <c r="J1629" i="1"/>
  <c r="J1550" i="1"/>
  <c r="J1544" i="1"/>
  <c r="J1620" i="1"/>
  <c r="J1545" i="1"/>
  <c r="J1627" i="1"/>
  <c r="J1556" i="1"/>
  <c r="J1625" i="1"/>
  <c r="J1557" i="1"/>
  <c r="J1626" i="1"/>
  <c r="J2607" i="1"/>
  <c r="J1548" i="1"/>
  <c r="J1621" i="1"/>
  <c r="J1624" i="1"/>
  <c r="J1552" i="1"/>
  <c r="J1632" i="1"/>
  <c r="J1633" i="1"/>
  <c r="J1541" i="1"/>
  <c r="J1631" i="1"/>
  <c r="J924" i="1"/>
  <c r="J1437" i="1"/>
  <c r="J1554" i="1"/>
  <c r="J920" i="1"/>
  <c r="J1438" i="1"/>
  <c r="J1540" i="1"/>
  <c r="J1546" i="1"/>
  <c r="J2580" i="1"/>
  <c r="J1555" i="1"/>
  <c r="J1542" i="1"/>
  <c r="J2577" i="1"/>
  <c r="J1549" i="1"/>
  <c r="J1547" i="1"/>
  <c r="J1543" i="1"/>
  <c r="J1553" i="1"/>
  <c r="J1551" i="1"/>
  <c r="J2578" i="1"/>
  <c r="J919" i="1"/>
  <c r="J2583" i="1"/>
  <c r="J910" i="1"/>
  <c r="J2596" i="1"/>
  <c r="J1226" i="1"/>
  <c r="J2599" i="1"/>
  <c r="J2603" i="1"/>
  <c r="J2581" i="1"/>
  <c r="J914" i="1"/>
  <c r="J1133" i="1"/>
  <c r="J2579" i="1"/>
  <c r="J2582" i="1"/>
  <c r="J2608" i="1"/>
  <c r="J130" i="1"/>
  <c r="J1229" i="1"/>
  <c r="J1228" i="1"/>
  <c r="J1134" i="1"/>
  <c r="J1439" i="1"/>
  <c r="J915" i="1"/>
  <c r="J922" i="1"/>
  <c r="J911" i="1"/>
  <c r="J913" i="1"/>
  <c r="J918" i="1"/>
  <c r="J917" i="1"/>
  <c r="J916" i="1"/>
  <c r="J912" i="1"/>
  <c r="J923" i="1"/>
  <c r="J844" i="1"/>
  <c r="J699" i="1"/>
  <c r="J797" i="1"/>
  <c r="J803" i="1"/>
  <c r="J801" i="1"/>
  <c r="J802" i="1"/>
  <c r="J700" i="1"/>
  <c r="J698" i="1"/>
  <c r="J701" i="1"/>
  <c r="J1128" i="1"/>
  <c r="J1121" i="1"/>
  <c r="J782" i="1"/>
  <c r="J775" i="1"/>
  <c r="J750" i="1"/>
  <c r="J753" i="1"/>
  <c r="J779" i="1"/>
  <c r="J777" i="1"/>
  <c r="J776" i="1"/>
  <c r="J781" i="1"/>
  <c r="J771" i="1"/>
  <c r="J774" i="1"/>
  <c r="J752" i="1"/>
  <c r="J778" i="1"/>
  <c r="J780" i="1"/>
  <c r="J773" i="1"/>
  <c r="J768" i="1"/>
  <c r="J744" i="1"/>
  <c r="J772" i="1"/>
  <c r="J766" i="1"/>
  <c r="J769" i="1"/>
  <c r="J767" i="1"/>
  <c r="J770" i="1"/>
  <c r="J765" i="1"/>
  <c r="J758" i="1"/>
  <c r="J745" i="1"/>
  <c r="J757" i="1"/>
  <c r="J756" i="1"/>
  <c r="J741" i="1"/>
  <c r="J763" i="1"/>
  <c r="J755" i="1"/>
  <c r="J743" i="1"/>
  <c r="J661" i="1"/>
  <c r="J662" i="1"/>
  <c r="J659" i="1"/>
  <c r="J880" i="1"/>
  <c r="J660" i="1"/>
  <c r="J876" i="1"/>
  <c r="J669" i="1"/>
  <c r="J891" i="1"/>
  <c r="J885" i="1"/>
  <c r="J881" i="1"/>
  <c r="J892" i="1"/>
  <c r="J882" i="1"/>
  <c r="J884" i="1"/>
  <c r="J1068" i="1"/>
  <c r="J1077" i="1"/>
  <c r="J878" i="1"/>
  <c r="J879" i="1"/>
  <c r="J890" i="1"/>
  <c r="J886" i="1"/>
  <c r="J883" i="1"/>
  <c r="J1076" i="1"/>
  <c r="J1075" i="1"/>
  <c r="J1074" i="1"/>
  <c r="J1070" i="1"/>
  <c r="J1073" i="1"/>
  <c r="J1066" i="1"/>
  <c r="J1069" i="1"/>
  <c r="J1067" i="1"/>
  <c r="J1493" i="1"/>
  <c r="J529" i="1"/>
  <c r="J1071" i="1"/>
  <c r="J1057" i="1"/>
  <c r="J2079" i="1"/>
  <c r="J1065" i="1"/>
  <c r="J1072" i="1"/>
  <c r="J1492" i="1"/>
  <c r="J544" i="1"/>
  <c r="J2078" i="1"/>
  <c r="J2077" i="1"/>
  <c r="J1485" i="1"/>
  <c r="J1487" i="1"/>
  <c r="J1484" i="1"/>
  <c r="J1482" i="1"/>
  <c r="J1029" i="1"/>
  <c r="J1027" i="1"/>
  <c r="J1031" i="1"/>
  <c r="J1486" i="1"/>
  <c r="J1483" i="1"/>
  <c r="J1036" i="1"/>
  <c r="J1023" i="1"/>
  <c r="J1034" i="1"/>
  <c r="J1032" i="1"/>
  <c r="J1025" i="1"/>
  <c r="J1022" i="1"/>
  <c r="J1024" i="1"/>
  <c r="J1035" i="1"/>
  <c r="J1021" i="1"/>
  <c r="J1026" i="1"/>
  <c r="J1028" i="1"/>
  <c r="J1030" i="1"/>
  <c r="J1464" i="1"/>
  <c r="J1469" i="1"/>
  <c r="J1468" i="1"/>
  <c r="J1052" i="1"/>
  <c r="J1463" i="1"/>
  <c r="J1467" i="1"/>
  <c r="J1465" i="1"/>
  <c r="J1051" i="1"/>
  <c r="J1466" i="1"/>
  <c r="J1462" i="1"/>
  <c r="J1044" i="1"/>
  <c r="J1045" i="1"/>
  <c r="J1050" i="1"/>
  <c r="J1039" i="1"/>
  <c r="J1041" i="1"/>
  <c r="J1037" i="1"/>
  <c r="J1040" i="1"/>
  <c r="J1054" i="1"/>
  <c r="J1053" i="1"/>
  <c r="J1042" i="1"/>
  <c r="J1043" i="1"/>
  <c r="J1049" i="1"/>
  <c r="J2997" i="1"/>
  <c r="J3015" i="1"/>
  <c r="J3002" i="1"/>
  <c r="J3016" i="1"/>
  <c r="J3003" i="1"/>
  <c r="J3006" i="1"/>
  <c r="J3007" i="1"/>
  <c r="J2996" i="1"/>
  <c r="J3008" i="1"/>
  <c r="J3012" i="1"/>
  <c r="J1871" i="1"/>
  <c r="J1855" i="1"/>
  <c r="J3265" i="1"/>
  <c r="J3263" i="1"/>
  <c r="J3262" i="1"/>
  <c r="J3260" i="1"/>
  <c r="J3254" i="1"/>
  <c r="J3246" i="1"/>
  <c r="J3258" i="1"/>
  <c r="J3269" i="1"/>
  <c r="J3267" i="1"/>
  <c r="J3217" i="1"/>
  <c r="J3226" i="1"/>
  <c r="J3218" i="1"/>
  <c r="J3228" i="1"/>
  <c r="J618" i="1"/>
  <c r="J622" i="1"/>
  <c r="J3222" i="1"/>
  <c r="J609" i="1"/>
  <c r="J615" i="1"/>
  <c r="J396" i="1"/>
  <c r="J611" i="1"/>
  <c r="J610" i="1"/>
  <c r="J616" i="1"/>
  <c r="J608" i="1"/>
  <c r="J624" i="1"/>
  <c r="J623" i="1"/>
  <c r="J621" i="1"/>
  <c r="J619" i="1"/>
  <c r="J607" i="1"/>
  <c r="J612" i="1"/>
  <c r="J606" i="1"/>
  <c r="J471" i="1"/>
  <c r="J470" i="1"/>
  <c r="J454" i="1"/>
  <c r="J467" i="1"/>
  <c r="J447" i="1"/>
  <c r="J448" i="1"/>
  <c r="J459" i="1"/>
  <c r="J397" i="1"/>
  <c r="J410" i="1"/>
  <c r="J445" i="1"/>
  <c r="J446" i="1"/>
  <c r="J354" i="1"/>
  <c r="J358" i="1"/>
  <c r="J365" i="1"/>
  <c r="J715" i="1"/>
  <c r="J314" i="1"/>
  <c r="J315" i="1"/>
  <c r="J349" i="1"/>
  <c r="J724" i="1"/>
  <c r="J722" i="1"/>
  <c r="J730" i="1"/>
  <c r="J714" i="1"/>
  <c r="J146" i="1"/>
  <c r="J136" i="1"/>
  <c r="J140" i="1"/>
  <c r="J143" i="1"/>
  <c r="J149" i="1"/>
  <c r="J214" i="1"/>
  <c r="J201" i="1"/>
  <c r="J206" i="1"/>
  <c r="J198" i="1"/>
  <c r="J194" i="1"/>
  <c r="J207" i="1"/>
  <c r="J183" i="1"/>
  <c r="J177" i="1"/>
  <c r="J185" i="1"/>
  <c r="J175" i="1"/>
  <c r="J184" i="1"/>
  <c r="J2716" i="1"/>
  <c r="J3176" i="1"/>
  <c r="J3172" i="1"/>
  <c r="J3171" i="1"/>
  <c r="J3169" i="1"/>
  <c r="J3174" i="1"/>
  <c r="J2714" i="1"/>
  <c r="J1876" i="1"/>
  <c r="J2715" i="1"/>
  <c r="J2722" i="1"/>
  <c r="J2721" i="1"/>
  <c r="J2720" i="1"/>
  <c r="J2717" i="1"/>
  <c r="J2719" i="1"/>
  <c r="J2718" i="1"/>
  <c r="J1875" i="1"/>
  <c r="J1874" i="1"/>
  <c r="J1877" i="1"/>
  <c r="J1873" i="1"/>
  <c r="J1872" i="1"/>
  <c r="J1513" i="1"/>
  <c r="J1514" i="1"/>
  <c r="J1521" i="1"/>
  <c r="J1516" i="1"/>
  <c r="J1512" i="1"/>
  <c r="J3029" i="1"/>
  <c r="J3024" i="1"/>
  <c r="J3023" i="1"/>
  <c r="J3022" i="1"/>
  <c r="J3010" i="1"/>
  <c r="J3025" i="1"/>
  <c r="J3028" i="1"/>
  <c r="J3005" i="1"/>
  <c r="J2999" i="1"/>
  <c r="J3004" i="1"/>
  <c r="J3014" i="1"/>
  <c r="J3013" i="1"/>
  <c r="J3011" i="1"/>
  <c r="J1865" i="1"/>
  <c r="J2998" i="1"/>
  <c r="J1864" i="1"/>
  <c r="J3009" i="1"/>
  <c r="J1869" i="1"/>
  <c r="J1856" i="1"/>
  <c r="J1860" i="1"/>
  <c r="J1858" i="1"/>
  <c r="J1667" i="1"/>
  <c r="J1659" i="1"/>
  <c r="J1666" i="1"/>
  <c r="J1685" i="1"/>
  <c r="J1668" i="1"/>
  <c r="J1660" i="1"/>
  <c r="J1665" i="1"/>
  <c r="J1664" i="1"/>
  <c r="J2162" i="1"/>
  <c r="J2161" i="1"/>
  <c r="J1442" i="1"/>
  <c r="J1450" i="1"/>
  <c r="J1443" i="1"/>
  <c r="J1441" i="1"/>
  <c r="J1451" i="1"/>
  <c r="J1449" i="1"/>
  <c r="J1453" i="1"/>
  <c r="J413" i="1"/>
  <c r="J418" i="1"/>
  <c r="J359" i="1"/>
  <c r="J323" i="1"/>
  <c r="J336" i="1"/>
  <c r="J366" i="1"/>
  <c r="J348" i="1"/>
  <c r="J337" i="1"/>
  <c r="J385" i="1"/>
  <c r="J339" i="1"/>
  <c r="J325" i="1"/>
  <c r="J338" i="1"/>
  <c r="J387" i="1"/>
  <c r="J357" i="1"/>
  <c r="J324" i="1"/>
  <c r="J303" i="1"/>
  <c r="J304" i="1"/>
  <c r="J311" i="1"/>
  <c r="J306" i="1"/>
  <c r="J299" i="1"/>
  <c r="J310" i="1"/>
  <c r="J302" i="1"/>
  <c r="J309" i="1"/>
  <c r="J308" i="1"/>
  <c r="J3133" i="1"/>
  <c r="J3132" i="1"/>
  <c r="J533" i="1"/>
  <c r="J3154" i="1"/>
  <c r="J3153" i="1"/>
  <c r="J3148" i="1"/>
  <c r="J3144" i="1"/>
  <c r="J3138" i="1"/>
  <c r="J3134" i="1"/>
  <c r="J3142" i="1"/>
  <c r="J546" i="1"/>
  <c r="J540" i="1"/>
  <c r="J549" i="1"/>
  <c r="J551" i="1"/>
  <c r="J538" i="1"/>
  <c r="J534" i="1"/>
  <c r="J547" i="1"/>
  <c r="J1733" i="1"/>
  <c r="J1743" i="1"/>
  <c r="J1741" i="1"/>
  <c r="J1737" i="1"/>
  <c r="J1734" i="1"/>
  <c r="J1742" i="1"/>
  <c r="J1739" i="1"/>
  <c r="J1738" i="1"/>
  <c r="J1736" i="1"/>
  <c r="J1735" i="1"/>
  <c r="J1732" i="1"/>
  <c r="J1740" i="1"/>
  <c r="J3055" i="1"/>
  <c r="J3044" i="1"/>
  <c r="J3111" i="1"/>
  <c r="J3147" i="1"/>
  <c r="J3146" i="1"/>
  <c r="J3103" i="1"/>
  <c r="J3143" i="1"/>
  <c r="J3136" i="1"/>
  <c r="J3046" i="1"/>
  <c r="J3052" i="1"/>
  <c r="J3041" i="1"/>
  <c r="J3050" i="1"/>
  <c r="J3039" i="1"/>
  <c r="J3108" i="1"/>
  <c r="J3105" i="1"/>
  <c r="J3102" i="1"/>
  <c r="J3097" i="1"/>
  <c r="J3101" i="1"/>
  <c r="J3137" i="1"/>
  <c r="J3100" i="1"/>
  <c r="J3096" i="1"/>
  <c r="J3156" i="1"/>
  <c r="J3063" i="1"/>
  <c r="J3048" i="1"/>
  <c r="J3034" i="1"/>
  <c r="J3064" i="1"/>
  <c r="J3062" i="1"/>
  <c r="J3047" i="1"/>
  <c r="J3157" i="1"/>
  <c r="J3106" i="1"/>
  <c r="J3058" i="1"/>
  <c r="J3104" i="1"/>
  <c r="J3061" i="1"/>
  <c r="J3107" i="1"/>
  <c r="J3060" i="1"/>
  <c r="J3109" i="1"/>
  <c r="J3140" i="1"/>
  <c r="J3056" i="1"/>
  <c r="J3099" i="1"/>
  <c r="J3059" i="1"/>
  <c r="J3110" i="1"/>
  <c r="J3098" i="1"/>
  <c r="J3057" i="1"/>
  <c r="J3145" i="1"/>
  <c r="J3038" i="1"/>
  <c r="J3049" i="1"/>
  <c r="J3035" i="1"/>
  <c r="J3045" i="1"/>
  <c r="J3053" i="1"/>
  <c r="J3042" i="1"/>
  <c r="J3051" i="1"/>
  <c r="J3040" i="1"/>
  <c r="J3054" i="1"/>
  <c r="J3043" i="1"/>
  <c r="J3139" i="1"/>
  <c r="J3037" i="1"/>
  <c r="J3135" i="1"/>
  <c r="J3036" i="1"/>
  <c r="J2202" i="1"/>
  <c r="J484" i="1"/>
  <c r="J480" i="1"/>
  <c r="J479" i="1"/>
  <c r="J478" i="1"/>
  <c r="J482" i="1"/>
  <c r="J477" i="1"/>
  <c r="J476" i="1"/>
  <c r="J487" i="1"/>
  <c r="J475" i="1"/>
  <c r="J485" i="1"/>
  <c r="J483" i="1"/>
  <c r="J481" i="1"/>
  <c r="J472" i="1"/>
  <c r="J474" i="1"/>
  <c r="J486" i="1"/>
  <c r="J3289" i="1"/>
  <c r="J1172" i="1"/>
  <c r="J2591" i="1"/>
  <c r="J827" i="1"/>
  <c r="J816" i="1"/>
  <c r="J831" i="1"/>
  <c r="J818" i="1"/>
  <c r="J835" i="1"/>
  <c r="J817" i="1"/>
  <c r="J846" i="1"/>
  <c r="J809" i="1"/>
  <c r="J847" i="1"/>
  <c r="J823" i="1"/>
  <c r="J845" i="1"/>
  <c r="J819" i="1"/>
  <c r="J836" i="1"/>
  <c r="J805" i="1"/>
  <c r="J820" i="1"/>
  <c r="J828" i="1"/>
  <c r="J808" i="1"/>
  <c r="J2588" i="1"/>
  <c r="J821" i="1"/>
  <c r="J798" i="1"/>
  <c r="J826" i="1"/>
  <c r="J834" i="1"/>
  <c r="J800" i="1"/>
  <c r="J833" i="1"/>
  <c r="J843" i="1"/>
  <c r="J825" i="1"/>
  <c r="J1598" i="1"/>
  <c r="J2585" i="1"/>
  <c r="J2587" i="1"/>
  <c r="J2586" i="1"/>
  <c r="J2590" i="1"/>
  <c r="J1597" i="1"/>
  <c r="J251" i="1"/>
  <c r="J250" i="1"/>
  <c r="J285" i="1"/>
  <c r="J252" i="1"/>
  <c r="J278" i="1"/>
  <c r="J243" i="1"/>
  <c r="J249" i="1"/>
  <c r="J276" i="1"/>
  <c r="J245" i="1"/>
  <c r="J237" i="1"/>
  <c r="J291" i="1"/>
  <c r="J248" i="1"/>
  <c r="J267" i="1"/>
  <c r="J244" i="1"/>
  <c r="J236" i="1"/>
  <c r="J290" i="1"/>
  <c r="J247" i="1"/>
  <c r="J266" i="1"/>
  <c r="J246" i="1"/>
  <c r="J238" i="1"/>
  <c r="J242" i="1"/>
  <c r="J253" i="1"/>
  <c r="J1678" i="1"/>
  <c r="J1677" i="1"/>
  <c r="J1676" i="1"/>
  <c r="J1675" i="1"/>
  <c r="J1674" i="1"/>
  <c r="J1681" i="1"/>
  <c r="J1671" i="1"/>
  <c r="J1658" i="1"/>
  <c r="J1661" i="1"/>
  <c r="J1870" i="1"/>
  <c r="J1868" i="1"/>
  <c r="J1857" i="1"/>
  <c r="J1859" i="1"/>
  <c r="J403" i="1"/>
  <c r="J419" i="1"/>
  <c r="J405" i="1"/>
  <c r="J421" i="1"/>
  <c r="J404" i="1"/>
  <c r="J2375" i="1"/>
  <c r="J2374" i="1"/>
  <c r="J2380" i="1"/>
  <c r="J2384" i="1"/>
  <c r="J2332" i="1"/>
  <c r="J2331" i="1"/>
  <c r="J1472" i="1"/>
  <c r="J1473" i="1"/>
  <c r="J455" i="1"/>
  <c r="J456" i="1"/>
  <c r="J450" i="1"/>
  <c r="J452" i="1"/>
  <c r="J451" i="1"/>
  <c r="J457" i="1"/>
  <c r="J458" i="1"/>
  <c r="J453" i="1"/>
  <c r="J320" i="1"/>
  <c r="J346" i="1"/>
  <c r="J322" i="1"/>
  <c r="J321" i="1"/>
  <c r="J341" i="1"/>
  <c r="J368" i="1"/>
  <c r="J350" i="1"/>
  <c r="J335" i="1"/>
  <c r="J342" i="1"/>
  <c r="J334" i="1"/>
  <c r="J375" i="1"/>
  <c r="J376" i="1"/>
  <c r="J374" i="1"/>
  <c r="J373" i="1"/>
  <c r="J372" i="1"/>
  <c r="J371" i="1"/>
  <c r="J369" i="1"/>
  <c r="J351" i="1"/>
  <c r="J204" i="1"/>
  <c r="J197" i="1"/>
  <c r="J139" i="1"/>
  <c r="J137" i="1"/>
  <c r="J133" i="1"/>
  <c r="J145" i="1"/>
  <c r="J144" i="1"/>
  <c r="J142" i="1"/>
  <c r="J132" i="1"/>
  <c r="J135" i="1"/>
  <c r="J727" i="1"/>
  <c r="J726" i="1"/>
  <c r="J2049" i="1"/>
  <c r="J2050" i="1"/>
  <c r="J2051" i="1"/>
  <c r="J1977" i="1"/>
  <c r="J2216" i="1"/>
  <c r="J1878" i="1"/>
  <c r="J2217" i="1"/>
  <c r="J1881" i="1"/>
  <c r="J1897" i="1"/>
  <c r="J1922" i="1"/>
  <c r="J1986" i="1"/>
  <c r="J2218" i="1"/>
  <c r="J2203" i="1"/>
  <c r="J2227" i="1"/>
  <c r="J2015" i="1"/>
  <c r="J2228" i="1"/>
  <c r="J2016" i="1"/>
  <c r="J1989" i="1"/>
  <c r="J2215" i="1"/>
  <c r="J1991" i="1"/>
  <c r="J1993" i="1"/>
  <c r="J1898" i="1"/>
  <c r="J1990" i="1"/>
  <c r="J2229" i="1"/>
  <c r="J2171" i="1"/>
  <c r="J1921" i="1"/>
  <c r="J1579" i="1"/>
  <c r="J1571" i="1"/>
  <c r="J1562" i="1"/>
  <c r="J1912" i="1"/>
  <c r="J54" i="1"/>
  <c r="J1920" i="1"/>
  <c r="J2010" i="1"/>
  <c r="J2300" i="1"/>
  <c r="J1981" i="1"/>
  <c r="J2022" i="1"/>
  <c r="J2168" i="1"/>
  <c r="J1982" i="1"/>
  <c r="J2169" i="1"/>
  <c r="J2299" i="1"/>
  <c r="J1992" i="1"/>
  <c r="J1907" i="1"/>
  <c r="J2167" i="1"/>
  <c r="J2067" i="1"/>
  <c r="J2008" i="1"/>
  <c r="J119" i="1"/>
  <c r="J2192" i="1"/>
  <c r="J2207" i="1"/>
  <c r="J47" i="1"/>
  <c r="J117" i="1"/>
  <c r="J2206" i="1"/>
  <c r="J2012" i="1"/>
  <c r="J1964" i="1"/>
  <c r="J1976" i="1"/>
  <c r="J2205" i="1"/>
  <c r="J129" i="1"/>
  <c r="J2190" i="1"/>
  <c r="J2208" i="1"/>
  <c r="J2021" i="1"/>
  <c r="J1691" i="1"/>
  <c r="J77" i="1"/>
  <c r="J1918" i="1"/>
  <c r="J2204" i="1"/>
  <c r="J2053" i="1"/>
  <c r="J1900" i="1"/>
  <c r="J2279" i="1"/>
  <c r="J65" i="1"/>
  <c r="J2191" i="1"/>
  <c r="J2209" i="1"/>
  <c r="J2107" i="1"/>
  <c r="J1570" i="1"/>
  <c r="J1578" i="1"/>
  <c r="J1574" i="1"/>
  <c r="J1605" i="1"/>
  <c r="J2779" i="1"/>
  <c r="J1563" i="1"/>
  <c r="J2017" i="1"/>
  <c r="J2098" i="1"/>
  <c r="J2108" i="1"/>
  <c r="J2160" i="1"/>
  <c r="J1573" i="1"/>
  <c r="J2737" i="1"/>
  <c r="J2099" i="1"/>
  <c r="J2165" i="1"/>
  <c r="J96" i="1"/>
  <c r="J2829" i="1"/>
  <c r="J2085" i="1"/>
  <c r="J2117" i="1"/>
  <c r="J1576" i="1"/>
  <c r="J2832" i="1"/>
  <c r="J2730" i="1"/>
  <c r="J1572" i="1"/>
  <c r="J2731" i="1"/>
  <c r="J2096" i="1"/>
  <c r="J1908" i="1"/>
  <c r="J2006" i="1"/>
  <c r="J1930" i="1"/>
  <c r="J1935" i="1"/>
  <c r="J2025" i="1"/>
  <c r="J2269" i="1"/>
  <c r="J2293" i="1"/>
  <c r="J2075" i="1"/>
  <c r="J2097" i="1"/>
  <c r="J2076" i="1"/>
  <c r="J2086" i="1"/>
  <c r="J2084" i="1"/>
  <c r="J2083" i="1"/>
  <c r="J1905" i="1"/>
  <c r="J1931" i="1"/>
  <c r="J1938" i="1"/>
  <c r="J2210" i="1"/>
  <c r="J1906" i="1"/>
  <c r="J1923" i="1"/>
  <c r="J1951" i="1"/>
  <c r="J2066" i="1"/>
  <c r="J2214" i="1"/>
  <c r="J1913" i="1"/>
  <c r="J1904" i="1"/>
  <c r="J2069" i="1"/>
  <c r="J1934" i="1"/>
  <c r="J2266" i="1"/>
  <c r="J2221" i="1"/>
  <c r="J1961" i="1"/>
  <c r="J2267" i="1"/>
  <c r="J1968" i="1"/>
  <c r="J1909" i="1"/>
  <c r="J2003" i="1"/>
  <c r="J1962" i="1"/>
  <c r="J106" i="1"/>
  <c r="J1979" i="1"/>
  <c r="J1996" i="1"/>
  <c r="J1987" i="1"/>
  <c r="J1948" i="1"/>
  <c r="J1925" i="1"/>
  <c r="J1985" i="1"/>
  <c r="J2009" i="1"/>
  <c r="J1950" i="1"/>
  <c r="J2220" i="1"/>
  <c r="J1974" i="1"/>
  <c r="J2298" i="1"/>
  <c r="J2164" i="1"/>
  <c r="J1926" i="1"/>
  <c r="J1952" i="1"/>
  <c r="J1949" i="1"/>
  <c r="J1899" i="1"/>
  <c r="J2296" i="1"/>
  <c r="J1911" i="1"/>
  <c r="J2297" i="1"/>
  <c r="J1958" i="1"/>
  <c r="J1967" i="1"/>
  <c r="J1910" i="1"/>
  <c r="J1960" i="1"/>
  <c r="J1957" i="1"/>
  <c r="J2222" i="1"/>
  <c r="J2170" i="1"/>
  <c r="J2024" i="1"/>
  <c r="J2295" i="1"/>
  <c r="J2292" i="1"/>
  <c r="J1971" i="1"/>
  <c r="J1959" i="1"/>
  <c r="J2225" i="1"/>
  <c r="J1970" i="1"/>
  <c r="J1972" i="1"/>
  <c r="J2065" i="1"/>
  <c r="J2226" i="1"/>
  <c r="J1973" i="1"/>
  <c r="J2055" i="1"/>
  <c r="J1896" i="1"/>
  <c r="J2281" i="1"/>
  <c r="J2026" i="1"/>
  <c r="J2158" i="1"/>
  <c r="J2054" i="1"/>
  <c r="J1895" i="1"/>
  <c r="J2280" i="1"/>
  <c r="J2174" i="1"/>
  <c r="J2072" i="1"/>
  <c r="J2013" i="1"/>
  <c r="J1988" i="1"/>
  <c r="J2275" i="1"/>
  <c r="J2014" i="1"/>
  <c r="J2272" i="1"/>
  <c r="J2023" i="1"/>
  <c r="J2172" i="1"/>
  <c r="J2277" i="1"/>
  <c r="J1995" i="1"/>
  <c r="J2173" i="1"/>
  <c r="J2007" i="1"/>
  <c r="J2274" i="1"/>
  <c r="J2224" i="1"/>
  <c r="J2068" i="1"/>
  <c r="J2273" i="1"/>
  <c r="J2027" i="1"/>
  <c r="J2223" i="1"/>
  <c r="J2276" i="1"/>
  <c r="J1690" i="1"/>
  <c r="J1600" i="1"/>
  <c r="J13" i="1"/>
  <c r="J2729" i="1"/>
  <c r="J21" i="1"/>
  <c r="J16" i="1"/>
  <c r="J2723" i="1"/>
  <c r="J5" i="1"/>
  <c r="J45" i="1"/>
  <c r="J40" i="1"/>
  <c r="J33" i="1"/>
  <c r="J2105" i="1"/>
  <c r="J2104" i="1"/>
  <c r="J4" i="1"/>
  <c r="J43" i="1"/>
  <c r="J29" i="1"/>
  <c r="J2727" i="1"/>
  <c r="J36" i="1"/>
  <c r="J28" i="1"/>
  <c r="J1622" i="1"/>
  <c r="J11" i="1"/>
  <c r="J8" i="1"/>
  <c r="J44" i="1"/>
  <c r="J38" i="1"/>
  <c r="J31" i="1"/>
  <c r="J20" i="1"/>
  <c r="J14" i="1"/>
  <c r="J1914" i="1"/>
  <c r="J39" i="1"/>
  <c r="J32" i="1"/>
  <c r="J24" i="1"/>
  <c r="J2103" i="1"/>
  <c r="J3" i="1"/>
  <c r="J2728" i="1"/>
  <c r="J37" i="1"/>
  <c r="J30" i="1"/>
  <c r="J874" i="1"/>
  <c r="J1601" i="1"/>
  <c r="J2830" i="1"/>
  <c r="J489" i="1"/>
  <c r="J18" i="1"/>
  <c r="J1279" i="1"/>
  <c r="J12" i="1"/>
  <c r="J222" i="1"/>
  <c r="J3177" i="1"/>
  <c r="J490" i="1"/>
  <c r="J488" i="1"/>
  <c r="J1635" i="1"/>
  <c r="J19" i="1"/>
  <c r="J9" i="1"/>
  <c r="J34" i="1"/>
  <c r="J26" i="1"/>
  <c r="J1589" i="1"/>
  <c r="J17" i="1"/>
  <c r="J894" i="1"/>
  <c r="J7" i="1"/>
  <c r="J42" i="1"/>
  <c r="J35" i="1"/>
  <c r="J27" i="1"/>
  <c r="J23" i="1"/>
  <c r="J2497" i="1"/>
  <c r="J2102" i="1"/>
  <c r="J46" i="1"/>
  <c r="J41" i="1"/>
  <c r="J1894" i="1"/>
  <c r="J22" i="1"/>
  <c r="J10" i="1"/>
  <c r="J6" i="1"/>
  <c r="J2106" i="1"/>
  <c r="J2725" i="1"/>
  <c r="J15" i="1"/>
  <c r="J1609" i="1"/>
  <c r="J2726" i="1"/>
  <c r="J2219" i="1"/>
  <c r="J25" i="1"/>
  <c r="J528" i="1"/>
  <c r="J2724" i="1"/>
  <c r="J2863" i="1"/>
  <c r="J2856" i="1"/>
  <c r="J2136" i="1"/>
  <c r="J2291" i="1"/>
  <c r="J498" i="1"/>
  <c r="J2939" i="1"/>
  <c r="J2894" i="1"/>
  <c r="J2844" i="1"/>
  <c r="J2828" i="1"/>
  <c r="J2814" i="1"/>
  <c r="J2786" i="1"/>
  <c r="J2763" i="1"/>
  <c r="J2761" i="1"/>
  <c r="J2760" i="1"/>
  <c r="J2758" i="1"/>
  <c r="J2696" i="1"/>
  <c r="J2969" i="1"/>
  <c r="J2948" i="1"/>
  <c r="J1503" i="1"/>
  <c r="J2955" i="1"/>
  <c r="J2864" i="1"/>
  <c r="J2681" i="1"/>
  <c r="J2802" i="1"/>
  <c r="J2788" i="1"/>
  <c r="J2953" i="1"/>
  <c r="J2932" i="1"/>
  <c r="J2887" i="1"/>
  <c r="J2862" i="1"/>
  <c r="J2837" i="1"/>
  <c r="J2679" i="1"/>
  <c r="J2973" i="1"/>
  <c r="J2881" i="1"/>
  <c r="J2908" i="1"/>
  <c r="J1932" i="1"/>
  <c r="J2271" i="1"/>
  <c r="J2020" i="1"/>
  <c r="J2061" i="1"/>
  <c r="J513" i="1"/>
  <c r="J501" i="1"/>
  <c r="J2938" i="1"/>
  <c r="J2893" i="1"/>
  <c r="J2843" i="1"/>
  <c r="J2827" i="1"/>
  <c r="J2813" i="1"/>
  <c r="J2799" i="1"/>
  <c r="J2785" i="1"/>
  <c r="J2770" i="1"/>
  <c r="J2769" i="1"/>
  <c r="J2768" i="1"/>
  <c r="J2767" i="1"/>
  <c r="J1888" i="1"/>
  <c r="J2936" i="1"/>
  <c r="J2891" i="1"/>
  <c r="J2841" i="1"/>
  <c r="J2825" i="1"/>
  <c r="J2811" i="1"/>
  <c r="J2797" i="1"/>
  <c r="J2783" i="1"/>
  <c r="J2963" i="1"/>
  <c r="J2942" i="1"/>
  <c r="J2921" i="1"/>
  <c r="J2897" i="1"/>
  <c r="J2872" i="1"/>
  <c r="J2847" i="1"/>
  <c r="J2689" i="1"/>
  <c r="J2701" i="1"/>
  <c r="J2907" i="1"/>
  <c r="J2880" i="1"/>
  <c r="J1919" i="1"/>
  <c r="J1936" i="1"/>
  <c r="J2113" i="1"/>
  <c r="J2156" i="1"/>
  <c r="J2011" i="1"/>
  <c r="J2288" i="1"/>
  <c r="J2056" i="1"/>
  <c r="J2095" i="1"/>
  <c r="J499" i="1"/>
  <c r="J574" i="1"/>
  <c r="J2954" i="1"/>
  <c r="J2755" i="1"/>
  <c r="J2752" i="1"/>
  <c r="J2700" i="1"/>
  <c r="J1924" i="1"/>
  <c r="J568" i="1"/>
  <c r="J2937" i="1"/>
  <c r="J2842" i="1"/>
  <c r="J2798" i="1"/>
  <c r="J2777" i="1"/>
  <c r="J2773" i="1"/>
  <c r="J2771" i="1"/>
  <c r="J2702" i="1"/>
  <c r="J2905" i="1"/>
  <c r="J2163" i="1"/>
  <c r="J577" i="1"/>
  <c r="J2934" i="1"/>
  <c r="J2889" i="1"/>
  <c r="J2839" i="1"/>
  <c r="J2823" i="1"/>
  <c r="J2809" i="1"/>
  <c r="J2795" i="1"/>
  <c r="J2781" i="1"/>
  <c r="J2961" i="1"/>
  <c r="J2940" i="1"/>
  <c r="J2919" i="1"/>
  <c r="J2895" i="1"/>
  <c r="J2870" i="1"/>
  <c r="J2845" i="1"/>
  <c r="J2687" i="1"/>
  <c r="J2859" i="1"/>
  <c r="J2857" i="1"/>
  <c r="J2904" i="1"/>
  <c r="J1892" i="1"/>
  <c r="J1937" i="1"/>
  <c r="J2111" i="1"/>
  <c r="J2154" i="1"/>
  <c r="J1902" i="1"/>
  <c r="J2286" i="1"/>
  <c r="J525" i="1"/>
  <c r="J473" i="1"/>
  <c r="J2913" i="1"/>
  <c r="J2816" i="1"/>
  <c r="J2852" i="1"/>
  <c r="J2911" i="1"/>
  <c r="J2152" i="1"/>
  <c r="J2912" i="1"/>
  <c r="J2680" i="1"/>
  <c r="J2815" i="1"/>
  <c r="J2801" i="1"/>
  <c r="J2787" i="1"/>
  <c r="J2756" i="1"/>
  <c r="J2754" i="1"/>
  <c r="J2753" i="1"/>
  <c r="J2751" i="1"/>
  <c r="J2750" i="1"/>
  <c r="J2971" i="1"/>
  <c r="J2883" i="1"/>
  <c r="J1929" i="1"/>
  <c r="J1994" i="1"/>
  <c r="J2146" i="1"/>
  <c r="J1928" i="1"/>
  <c r="J575" i="1"/>
  <c r="J2278" i="1"/>
  <c r="J2059" i="1"/>
  <c r="J2082" i="1"/>
  <c r="J567" i="1"/>
  <c r="J2766" i="1"/>
  <c r="J2765" i="1"/>
  <c r="J2764" i="1"/>
  <c r="J2703" i="1"/>
  <c r="J2950" i="1"/>
  <c r="J2927" i="1"/>
  <c r="J2698" i="1"/>
  <c r="J1504" i="1"/>
  <c r="J2268" i="1"/>
  <c r="J2135" i="1"/>
  <c r="J2159" i="1"/>
  <c r="J2290" i="1"/>
  <c r="J2058" i="1"/>
  <c r="J2080" i="1"/>
  <c r="J526" i="1"/>
  <c r="J555" i="1"/>
  <c r="J2137" i="1"/>
  <c r="J2060" i="1"/>
  <c r="J2892" i="1"/>
  <c r="J2826" i="1"/>
  <c r="J2812" i="1"/>
  <c r="J2784" i="1"/>
  <c r="J2776" i="1"/>
  <c r="J2775" i="1"/>
  <c r="J2774" i="1"/>
  <c r="J2772" i="1"/>
  <c r="J2929" i="1"/>
  <c r="J2282" i="1"/>
  <c r="J1880" i="1"/>
  <c r="J2134" i="1"/>
  <c r="J2289" i="1"/>
  <c r="J2057" i="1"/>
  <c r="J2081" i="1"/>
  <c r="J576" i="1"/>
  <c r="J2800" i="1"/>
  <c r="J2762" i="1"/>
  <c r="J2759" i="1"/>
  <c r="J2757" i="1"/>
  <c r="J2858" i="1"/>
  <c r="J1886" i="1"/>
  <c r="J2933" i="1"/>
  <c r="J2888" i="1"/>
  <c r="J2838" i="1"/>
  <c r="J2822" i="1"/>
  <c r="J2808" i="1"/>
  <c r="J2794" i="1"/>
  <c r="J2780" i="1"/>
  <c r="J2965" i="1"/>
  <c r="J2944" i="1"/>
  <c r="J2923" i="1"/>
  <c r="J2899" i="1"/>
  <c r="J2874" i="1"/>
  <c r="J2849" i="1"/>
  <c r="J2691" i="1"/>
  <c r="J2699" i="1"/>
  <c r="J2972" i="1"/>
  <c r="J2879" i="1"/>
  <c r="J2100" i="1"/>
  <c r="J1944" i="1"/>
  <c r="J2110" i="1"/>
  <c r="J2153" i="1"/>
  <c r="J2294" i="1"/>
  <c r="J2285" i="1"/>
  <c r="J548" i="1"/>
  <c r="J2960" i="1"/>
  <c r="J2918" i="1"/>
  <c r="J2869" i="1"/>
  <c r="J2686" i="1"/>
  <c r="J2821" i="1"/>
  <c r="J2807" i="1"/>
  <c r="J2793" i="1"/>
  <c r="J2697" i="1"/>
  <c r="J2964" i="1"/>
  <c r="J2943" i="1"/>
  <c r="J2922" i="1"/>
  <c r="J2898" i="1"/>
  <c r="J2873" i="1"/>
  <c r="J2848" i="1"/>
  <c r="J2690" i="1"/>
  <c r="J2695" i="1"/>
  <c r="J2970" i="1"/>
  <c r="J2854" i="1"/>
  <c r="J2211" i="1"/>
  <c r="J1942" i="1"/>
  <c r="J2109" i="1"/>
  <c r="J2150" i="1"/>
  <c r="J2284" i="1"/>
  <c r="J565" i="1"/>
  <c r="J494" i="1"/>
  <c r="J2958" i="1"/>
  <c r="J2916" i="1"/>
  <c r="J2867" i="1"/>
  <c r="J2684" i="1"/>
  <c r="J2819" i="1"/>
  <c r="J2805" i="1"/>
  <c r="J2791" i="1"/>
  <c r="J2926" i="1"/>
  <c r="J2966" i="1"/>
  <c r="J2945" i="1"/>
  <c r="J2924" i="1"/>
  <c r="J2900" i="1"/>
  <c r="J2875" i="1"/>
  <c r="J2850" i="1"/>
  <c r="J2692" i="1"/>
  <c r="J2903" i="1"/>
  <c r="J2949" i="1"/>
  <c r="J2748" i="1"/>
  <c r="J1917" i="1"/>
  <c r="J1941" i="1"/>
  <c r="J1939" i="1"/>
  <c r="J2148" i="1"/>
  <c r="J2019" i="1"/>
  <c r="J2064" i="1"/>
  <c r="J573" i="1"/>
  <c r="J2935" i="1"/>
  <c r="J2890" i="1"/>
  <c r="J2840" i="1"/>
  <c r="J2824" i="1"/>
  <c r="J2810" i="1"/>
  <c r="J2796" i="1"/>
  <c r="J2782" i="1"/>
  <c r="J2962" i="1"/>
  <c r="J2941" i="1"/>
  <c r="J2920" i="1"/>
  <c r="J2896" i="1"/>
  <c r="J2871" i="1"/>
  <c r="J2846" i="1"/>
  <c r="J2688" i="1"/>
  <c r="J2884" i="1"/>
  <c r="J2882" i="1"/>
  <c r="J2855" i="1"/>
  <c r="J1882" i="1"/>
  <c r="J1879" i="1"/>
  <c r="J2112" i="1"/>
  <c r="J2155" i="1"/>
  <c r="J1901" i="1"/>
  <c r="J2287" i="1"/>
  <c r="J582" i="1"/>
  <c r="J502" i="1"/>
  <c r="J2957" i="1"/>
  <c r="J2915" i="1"/>
  <c r="J2866" i="1"/>
  <c r="J2683" i="1"/>
  <c r="J2818" i="1"/>
  <c r="J2804" i="1"/>
  <c r="J2790" i="1"/>
  <c r="J2902" i="1"/>
  <c r="J2951" i="1"/>
  <c r="J2930" i="1"/>
  <c r="J2909" i="1"/>
  <c r="J2885" i="1"/>
  <c r="J2860" i="1"/>
  <c r="J2835" i="1"/>
  <c r="J2677" i="1"/>
  <c r="J2878" i="1"/>
  <c r="J2928" i="1"/>
  <c r="J2747" i="1"/>
  <c r="J1983" i="1"/>
  <c r="J2166" i="1"/>
  <c r="J1887" i="1"/>
  <c r="J2147" i="1"/>
  <c r="J2028" i="1"/>
  <c r="J2063" i="1"/>
  <c r="J572" i="1"/>
  <c r="J524" i="1"/>
  <c r="J2959" i="1"/>
  <c r="J2917" i="1"/>
  <c r="J2868" i="1"/>
  <c r="J2685" i="1"/>
  <c r="J2820" i="1"/>
  <c r="J2806" i="1"/>
  <c r="J2792" i="1"/>
  <c r="J2947" i="1"/>
  <c r="J2967" i="1"/>
  <c r="J2946" i="1"/>
  <c r="J2925" i="1"/>
  <c r="J2901" i="1"/>
  <c r="J2876" i="1"/>
  <c r="J2851" i="1"/>
  <c r="J2693" i="1"/>
  <c r="J2694" i="1"/>
  <c r="J2968" i="1"/>
  <c r="J2749" i="1"/>
  <c r="J1927" i="1"/>
  <c r="J1943" i="1"/>
  <c r="J1940" i="1"/>
  <c r="J2149" i="1"/>
  <c r="J2283" i="1"/>
  <c r="J496" i="1"/>
  <c r="J2956" i="1"/>
  <c r="J2914" i="1"/>
  <c r="J2865" i="1"/>
  <c r="J2682" i="1"/>
  <c r="J2817" i="1"/>
  <c r="J2803" i="1"/>
  <c r="J2789" i="1"/>
  <c r="J2877" i="1"/>
  <c r="J2952" i="1"/>
  <c r="J2931" i="1"/>
  <c r="J2910" i="1"/>
  <c r="J2886" i="1"/>
  <c r="J2861" i="1"/>
  <c r="J2836" i="1"/>
  <c r="J2678" i="1"/>
  <c r="J2853" i="1"/>
  <c r="J2906" i="1"/>
  <c r="J2746" i="1"/>
  <c r="J1893" i="1"/>
  <c r="J1933" i="1"/>
  <c r="J1978" i="1"/>
  <c r="J2133" i="1"/>
  <c r="J1984" i="1"/>
  <c r="J2062" i="1"/>
  <c r="J514" i="1"/>
  <c r="J527" i="1"/>
  <c r="J2185" i="1"/>
  <c r="J2116" i="1"/>
  <c r="J591" i="1"/>
  <c r="J563" i="1"/>
  <c r="J736" i="1"/>
  <c r="J170" i="1"/>
  <c r="J668" i="1"/>
  <c r="J423" i="1"/>
  <c r="J746" i="1"/>
  <c r="J292" i="1"/>
  <c r="J987" i="1"/>
  <c r="J2988" i="1"/>
  <c r="J2073" i="1"/>
  <c r="J552" i="1"/>
  <c r="J737" i="1"/>
  <c r="J171" i="1"/>
  <c r="J157" i="1"/>
  <c r="J392" i="1"/>
  <c r="J2321" i="1"/>
  <c r="J665" i="1"/>
  <c r="J398" i="1"/>
  <c r="J747" i="1"/>
  <c r="J293" i="1"/>
  <c r="J1018" i="1"/>
  <c r="J1181" i="1"/>
  <c r="J740" i="1"/>
  <c r="J345" i="1"/>
  <c r="J71" i="1"/>
  <c r="J2245" i="1"/>
  <c r="J2199" i="1"/>
  <c r="J2141" i="1"/>
  <c r="J1812" i="1"/>
  <c r="J491" i="1"/>
  <c r="J2344" i="1"/>
  <c r="J1539" i="1"/>
  <c r="J1399" i="1"/>
  <c r="J160" i="1"/>
  <c r="J1432" i="1"/>
  <c r="J3199" i="1"/>
  <c r="J663" i="1"/>
  <c r="J2566" i="1"/>
  <c r="J964" i="1"/>
  <c r="J761" i="1"/>
  <c r="J381" i="1"/>
  <c r="J296" i="1"/>
  <c r="J2038" i="1"/>
  <c r="J120" i="1"/>
  <c r="J3116" i="1"/>
  <c r="J2002" i="1"/>
  <c r="J1811" i="1"/>
  <c r="J602" i="1"/>
  <c r="J535" i="1"/>
  <c r="J492" i="1"/>
  <c r="J1537" i="1"/>
  <c r="J739" i="1"/>
  <c r="J173" i="1"/>
  <c r="J159" i="1"/>
  <c r="J1511" i="1"/>
  <c r="J395" i="1"/>
  <c r="J666" i="1"/>
  <c r="J414" i="1"/>
  <c r="J759" i="1"/>
  <c r="J295" i="1"/>
  <c r="J1033" i="1"/>
  <c r="J875" i="1"/>
  <c r="J3131" i="1"/>
  <c r="J2264" i="1"/>
  <c r="J2140" i="1"/>
  <c r="J2511" i="1"/>
  <c r="J174" i="1"/>
  <c r="J3212" i="1"/>
  <c r="J651" i="1"/>
  <c r="J442" i="1"/>
  <c r="J1614" i="1"/>
  <c r="J1056" i="1"/>
  <c r="J2989" i="1"/>
  <c r="J601" i="1"/>
  <c r="J587" i="1"/>
  <c r="J554" i="1"/>
  <c r="J553" i="1"/>
  <c r="J113" i="1"/>
  <c r="J3272" i="1"/>
  <c r="J1377" i="1"/>
  <c r="J738" i="1"/>
  <c r="J172" i="1"/>
  <c r="J158" i="1"/>
  <c r="J394" i="1"/>
  <c r="J667" i="1"/>
  <c r="J461" i="1"/>
  <c r="J399" i="1"/>
  <c r="J294" i="1"/>
  <c r="J3118" i="1"/>
  <c r="J2255" i="1"/>
  <c r="J1891" i="1"/>
  <c r="J2303" i="1"/>
  <c r="J1189" i="1"/>
  <c r="J603" i="1"/>
  <c r="J2527" i="1"/>
  <c r="J281" i="1"/>
  <c r="J1412" i="1"/>
  <c r="J3288" i="1"/>
  <c r="J393" i="1"/>
  <c r="J2974" i="1"/>
  <c r="J1594" i="1"/>
  <c r="J415" i="1"/>
  <c r="J217" i="1"/>
  <c r="J893" i="1"/>
  <c r="J2327" i="1"/>
  <c r="J68" i="1"/>
  <c r="J3115" i="1"/>
  <c r="J2263" i="1"/>
  <c r="J1183" i="1"/>
  <c r="J2346" i="1"/>
  <c r="J1779" i="1"/>
  <c r="J1376" i="1"/>
  <c r="J2549" i="1"/>
  <c r="J1426" i="1"/>
  <c r="J2365" i="1"/>
  <c r="J1590" i="1"/>
  <c r="J462" i="1"/>
  <c r="J2563" i="1"/>
  <c r="J702" i="1"/>
  <c r="J377" i="1"/>
  <c r="J386" i="1"/>
  <c r="J1379" i="1"/>
  <c r="J70" i="1"/>
  <c r="J2244" i="1"/>
  <c r="J2254" i="1"/>
  <c r="J2139" i="1"/>
  <c r="J1187" i="1"/>
  <c r="J588" i="1"/>
  <c r="J557" i="1"/>
  <c r="J2522" i="1"/>
  <c r="J2510" i="1"/>
  <c r="J858" i="1"/>
  <c r="J2358" i="1"/>
  <c r="J69" i="1"/>
  <c r="J3112" i="1"/>
  <c r="J1810" i="1"/>
  <c r="J1185" i="1"/>
  <c r="J523" i="1"/>
  <c r="J2121" i="1"/>
  <c r="J1575" i="1"/>
  <c r="J585" i="1"/>
  <c r="J2326" i="1"/>
  <c r="J264" i="1"/>
  <c r="J2980" i="1"/>
  <c r="J1744" i="1"/>
  <c r="J2553" i="1"/>
  <c r="J1425" i="1"/>
  <c r="J2371" i="1"/>
  <c r="J2356" i="1"/>
  <c r="J1591" i="1"/>
  <c r="J2576" i="1"/>
  <c r="J2558" i="1"/>
  <c r="J1117" i="1"/>
  <c r="J353" i="1"/>
  <c r="J150" i="1"/>
  <c r="J422" i="1"/>
  <c r="J1708" i="1"/>
  <c r="J169" i="1"/>
  <c r="J3114" i="1"/>
  <c r="J664" i="1"/>
  <c r="J742" i="1"/>
  <c r="J280" i="1"/>
  <c r="J735" i="1"/>
  <c r="J813" i="1"/>
  <c r="J230" i="1"/>
  <c r="J522" i="1"/>
  <c r="J929" i="1"/>
  <c r="J156" i="1"/>
  <c r="J67" i="1"/>
  <c r="J545" i="1"/>
  <c r="J1731" i="1"/>
  <c r="J104" i="1"/>
  <c r="J1431" i="1"/>
  <c r="J148" i="1"/>
  <c r="J562" i="1"/>
  <c r="J1846" i="1"/>
  <c r="J734" i="1"/>
  <c r="J168" i="1"/>
  <c r="J420" i="1"/>
  <c r="J2600" i="1"/>
  <c r="J804" i="1"/>
  <c r="J928" i="1"/>
  <c r="J511" i="1"/>
  <c r="J1778" i="1"/>
  <c r="J2495" i="1"/>
  <c r="J2482" i="1"/>
  <c r="J1312" i="1"/>
  <c r="J1367" i="1"/>
  <c r="J1345" i="1"/>
  <c r="J1329" i="1"/>
  <c r="J1294" i="1"/>
  <c r="J1290" i="1"/>
  <c r="J86" i="1"/>
  <c r="J1791" i="1"/>
  <c r="J430" i="1"/>
  <c r="J1160" i="1"/>
  <c r="J1213" i="1"/>
  <c r="J2474" i="1"/>
  <c r="J2453" i="1"/>
  <c r="J945" i="1"/>
  <c r="J586" i="1"/>
  <c r="J2415" i="1"/>
  <c r="J1567" i="1"/>
  <c r="J1199" i="1"/>
  <c r="J1286" i="1"/>
  <c r="J1214" i="1"/>
  <c r="J1200" i="1"/>
  <c r="J1698" i="1"/>
  <c r="J2496" i="1"/>
  <c r="J2483" i="1"/>
  <c r="J2400" i="1"/>
  <c r="J152" i="1"/>
  <c r="J162" i="1"/>
  <c r="J1725" i="1"/>
  <c r="J2412" i="1"/>
  <c r="J2364" i="1"/>
  <c r="J728" i="1"/>
  <c r="J1832" i="1"/>
  <c r="J155" i="1"/>
  <c r="J165" i="1"/>
  <c r="J79" i="1"/>
  <c r="J417" i="1"/>
  <c r="J1004" i="1"/>
  <c r="J762" i="1"/>
  <c r="J925" i="1"/>
  <c r="J101" i="1"/>
  <c r="J1429" i="1"/>
  <c r="J1285" i="1"/>
  <c r="J426" i="1"/>
  <c r="J2557" i="1"/>
  <c r="J1723" i="1"/>
  <c r="J154" i="1"/>
  <c r="J164" i="1"/>
  <c r="J99" i="1"/>
  <c r="J78" i="1"/>
  <c r="J406" i="1"/>
  <c r="J760" i="1"/>
  <c r="J80" i="1"/>
  <c r="J2477" i="1"/>
  <c r="J63" i="1"/>
  <c r="J2352" i="1"/>
  <c r="J412" i="1"/>
  <c r="J2572" i="1"/>
  <c r="J799" i="1"/>
  <c r="J138" i="1"/>
  <c r="J926" i="1"/>
  <c r="J1722" i="1"/>
  <c r="J153" i="1"/>
  <c r="J98" i="1"/>
  <c r="J1434" i="1"/>
  <c r="J2361" i="1"/>
  <c r="J2349" i="1"/>
  <c r="J1582" i="1"/>
  <c r="J425" i="1"/>
  <c r="J409" i="1"/>
  <c r="J2570" i="1"/>
  <c r="J989" i="1"/>
  <c r="J754" i="1"/>
  <c r="J105" i="1"/>
  <c r="J897" i="1"/>
  <c r="J166" i="1"/>
  <c r="J2466" i="1"/>
  <c r="J1127" i="1"/>
  <c r="J1615" i="1"/>
  <c r="J1305" i="1"/>
  <c r="J1354" i="1"/>
  <c r="J1300" i="1"/>
  <c r="J1317" i="1"/>
  <c r="J1350" i="1"/>
  <c r="J1787" i="1"/>
  <c r="J1602" i="1"/>
  <c r="J1238" i="1"/>
  <c r="J1581" i="1"/>
  <c r="J796" i="1"/>
  <c r="J400" i="1"/>
  <c r="J411" i="1"/>
  <c r="J988" i="1"/>
  <c r="J1089" i="1"/>
  <c r="J749" i="1"/>
  <c r="J1087" i="1"/>
  <c r="J896" i="1"/>
  <c r="J732" i="1"/>
  <c r="J2449" i="1"/>
  <c r="J428" i="1"/>
  <c r="J1211" i="1"/>
  <c r="J277" i="1"/>
  <c r="J1823" i="1"/>
  <c r="J1366" i="1"/>
  <c r="J2414" i="1"/>
  <c r="J1494" i="1"/>
  <c r="J1198" i="1"/>
  <c r="J1566" i="1"/>
  <c r="J1332" i="1"/>
  <c r="J1233" i="1"/>
  <c r="J1159" i="1"/>
  <c r="J1234" i="1"/>
  <c r="J580" i="1"/>
  <c r="J261" i="1"/>
  <c r="J1343" i="1"/>
  <c r="J85" i="1"/>
  <c r="J1101" i="1"/>
  <c r="J2339" i="1"/>
  <c r="J1394" i="1"/>
  <c r="J2301" i="1"/>
  <c r="J50" i="1"/>
  <c r="J1292" i="1"/>
  <c r="J2413" i="1"/>
  <c r="J1232" i="1"/>
  <c r="J431" i="1"/>
  <c r="J578" i="1"/>
  <c r="J260" i="1"/>
  <c r="J2462" i="1"/>
  <c r="J1212" i="1"/>
  <c r="J1197" i="1"/>
  <c r="J1697" i="1"/>
  <c r="J76" i="1"/>
  <c r="J1311" i="1"/>
  <c r="J2464" i="1"/>
  <c r="J2114" i="1"/>
  <c r="J1718" i="1"/>
  <c r="J2493" i="1"/>
  <c r="J1310" i="1"/>
  <c r="J1328" i="1"/>
  <c r="J1799" i="1"/>
  <c r="J2328" i="1"/>
  <c r="J1105" i="1"/>
  <c r="J227" i="1"/>
  <c r="J1454" i="1"/>
  <c r="J1293" i="1"/>
  <c r="J1565" i="1"/>
  <c r="J429" i="1"/>
  <c r="J2602" i="1"/>
  <c r="J503" i="1"/>
  <c r="J1524" i="1"/>
  <c r="J3281" i="1"/>
  <c r="J1342" i="1"/>
  <c r="J84" i="1"/>
  <c r="J2450" i="1"/>
  <c r="J1564" i="1"/>
  <c r="J723" i="1"/>
  <c r="J2382" i="1"/>
  <c r="J1184" i="1"/>
  <c r="J1719" i="1"/>
  <c r="J1525" i="1"/>
  <c r="J1327" i="1"/>
  <c r="J2451" i="1"/>
  <c r="J853" i="1"/>
  <c r="J61" i="1"/>
  <c r="J1729" i="1"/>
  <c r="J275" i="1"/>
  <c r="J1326" i="1"/>
  <c r="J2538" i="1"/>
  <c r="J852" i="1"/>
  <c r="J1455" i="1"/>
  <c r="J1705" i="1"/>
  <c r="J2494" i="1"/>
  <c r="J3283" i="1"/>
  <c r="J1790" i="1"/>
  <c r="J1186" i="1"/>
  <c r="J1704" i="1"/>
  <c r="J274" i="1"/>
  <c r="J1822" i="1"/>
  <c r="J1144" i="1"/>
  <c r="J1365" i="1"/>
  <c r="J1098" i="1"/>
  <c r="J408" i="1"/>
  <c r="J1325" i="1"/>
  <c r="J940" i="1"/>
  <c r="J1302" i="1"/>
  <c r="J1322" i="1"/>
  <c r="J1683" i="1"/>
  <c r="J2310" i="1"/>
  <c r="J645" i="1"/>
  <c r="J1240" i="1"/>
  <c r="J1131" i="1"/>
  <c r="J692" i="1"/>
  <c r="J678" i="1"/>
  <c r="J332" i="1"/>
  <c r="J1180" i="1"/>
  <c r="J2074" i="1"/>
  <c r="J1389" i="1"/>
  <c r="J1813" i="1"/>
  <c r="J1303" i="1"/>
  <c r="J83" i="1"/>
  <c r="J1688" i="1"/>
  <c r="J2311" i="1"/>
  <c r="J851" i="1"/>
  <c r="J1182" i="1"/>
  <c r="J1820" i="1"/>
  <c r="J1140" i="1"/>
  <c r="J1339" i="1"/>
  <c r="J1361" i="1"/>
  <c r="J82" i="1"/>
  <c r="J1650" i="1"/>
  <c r="J939" i="1"/>
  <c r="J850" i="1"/>
  <c r="J786" i="1"/>
  <c r="J3197" i="1"/>
  <c r="J1391" i="1"/>
  <c r="J58" i="1"/>
  <c r="J3121" i="1"/>
  <c r="J2004" i="1"/>
  <c r="J2182" i="1"/>
  <c r="J2175" i="1"/>
  <c r="J2129" i="1"/>
  <c r="J1885" i="1"/>
  <c r="J1946" i="1"/>
  <c r="J1715" i="1"/>
  <c r="J1701" i="1"/>
  <c r="J235" i="1"/>
  <c r="J271" i="1"/>
  <c r="J257" i="1"/>
  <c r="J283" i="1"/>
  <c r="J1819" i="1"/>
  <c r="J1807" i="1"/>
  <c r="J1150" i="1"/>
  <c r="J1139" i="1"/>
  <c r="J3274" i="1"/>
  <c r="J2535" i="1"/>
  <c r="J1848" i="1"/>
  <c r="J1663" i="1"/>
  <c r="J1649" i="1"/>
  <c r="J2320" i="1"/>
  <c r="J644" i="1"/>
  <c r="J949" i="1"/>
  <c r="J1125" i="1"/>
  <c r="J822" i="1"/>
  <c r="J785" i="1"/>
  <c r="J3196" i="1"/>
  <c r="J1495" i="1"/>
  <c r="J1103" i="1"/>
  <c r="J691" i="1"/>
  <c r="J677" i="1"/>
  <c r="J220" i="1"/>
  <c r="J195" i="1"/>
  <c r="J889" i="1"/>
  <c r="J2045" i="1"/>
  <c r="J1730" i="1"/>
  <c r="J1821" i="1"/>
  <c r="J1143" i="1"/>
  <c r="J1309" i="1"/>
  <c r="J1340" i="1"/>
  <c r="J1789" i="1"/>
  <c r="J1231" i="1"/>
  <c r="J407" i="1"/>
  <c r="J993" i="1"/>
  <c r="J1808" i="1"/>
  <c r="J1151" i="1"/>
  <c r="J3279" i="1"/>
  <c r="J1308" i="1"/>
  <c r="J1323" i="1"/>
  <c r="J2536" i="1"/>
  <c r="J1390" i="1"/>
  <c r="J57" i="1"/>
  <c r="J2181" i="1"/>
  <c r="J2186" i="1"/>
  <c r="J1945" i="1"/>
  <c r="J495" i="1"/>
  <c r="J289" i="1"/>
  <c r="J269" i="1"/>
  <c r="J255" i="1"/>
  <c r="J1403" i="1"/>
  <c r="J1142" i="1"/>
  <c r="J1138" i="1"/>
  <c r="J3273" i="1"/>
  <c r="J1847" i="1"/>
  <c r="J2399" i="1"/>
  <c r="J1656" i="1"/>
  <c r="J1648" i="1"/>
  <c r="J3221" i="1"/>
  <c r="J3202" i="1"/>
  <c r="J2709" i="1"/>
  <c r="J2704" i="1"/>
  <c r="J2736" i="1"/>
  <c r="J2506" i="1"/>
  <c r="J1853" i="1"/>
  <c r="J642" i="1"/>
  <c r="J1446" i="1"/>
  <c r="J1288" i="1"/>
  <c r="J938" i="1"/>
  <c r="J1124" i="1"/>
  <c r="J839" i="1"/>
  <c r="J810" i="1"/>
  <c r="J784" i="1"/>
  <c r="J690" i="1"/>
  <c r="J676" i="1"/>
  <c r="J318" i="1"/>
  <c r="J317" i="1"/>
  <c r="J219" i="1"/>
  <c r="J211" i="1"/>
  <c r="J176" i="1"/>
  <c r="J1956" i="1"/>
  <c r="J795" i="1"/>
  <c r="J2180" i="1"/>
  <c r="J2126" i="1"/>
  <c r="J2519" i="1"/>
  <c r="J123" i="1"/>
  <c r="J3166" i="1"/>
  <c r="J2395" i="1"/>
  <c r="J1655" i="1"/>
  <c r="J3207" i="1"/>
  <c r="J3200" i="1"/>
  <c r="J2992" i="1"/>
  <c r="J2993" i="1"/>
  <c r="J2733" i="1"/>
  <c r="J2501" i="1"/>
  <c r="J1852" i="1"/>
  <c r="J641" i="1"/>
  <c r="J1081" i="1"/>
  <c r="J937" i="1"/>
  <c r="J1123" i="1"/>
  <c r="J837" i="1"/>
  <c r="J840" i="1"/>
  <c r="J783" i="1"/>
  <c r="J3256" i="1"/>
  <c r="J3239" i="1"/>
  <c r="J2379" i="1"/>
  <c r="J998" i="1"/>
  <c r="J1116" i="1"/>
  <c r="J1126" i="1"/>
  <c r="J708" i="1"/>
  <c r="J689" i="1"/>
  <c r="J675" i="1"/>
  <c r="J316" i="1"/>
  <c r="J213" i="1"/>
  <c r="J209" i="1"/>
  <c r="J2041" i="1"/>
  <c r="J1954" i="1"/>
  <c r="J1291" i="1"/>
  <c r="J1670" i="1"/>
  <c r="J2381" i="1"/>
  <c r="J56" i="1"/>
  <c r="J3150" i="1"/>
  <c r="J2257" i="1"/>
  <c r="J2187" i="1"/>
  <c r="J1839" i="1"/>
  <c r="J1419" i="1"/>
  <c r="J861" i="1"/>
  <c r="J3119" i="1"/>
  <c r="J2196" i="1"/>
  <c r="J2142" i="1"/>
  <c r="J2125" i="1"/>
  <c r="J2305" i="1"/>
  <c r="J605" i="1"/>
  <c r="J2528" i="1"/>
  <c r="J2513" i="1"/>
  <c r="J1838" i="1"/>
  <c r="J1531" i="1"/>
  <c r="J1417" i="1"/>
  <c r="J1401" i="1"/>
  <c r="J1381" i="1"/>
  <c r="J2552" i="1"/>
  <c r="J122" i="1"/>
  <c r="J3161" i="1"/>
  <c r="J2393" i="1"/>
  <c r="J3203" i="1"/>
  <c r="J3232" i="1"/>
  <c r="J2983" i="1"/>
  <c r="J2984" i="1"/>
  <c r="J2734" i="1"/>
  <c r="J2500" i="1"/>
  <c r="J2360" i="1"/>
  <c r="J1082" i="1"/>
  <c r="J1130" i="1"/>
  <c r="J807" i="1"/>
  <c r="J841" i="1"/>
  <c r="J629" i="1"/>
  <c r="J402" i="1"/>
  <c r="J344" i="1"/>
  <c r="J3255" i="1"/>
  <c r="J3238" i="1"/>
  <c r="J997" i="1"/>
  <c r="J707" i="1"/>
  <c r="J688" i="1"/>
  <c r="J697" i="1"/>
  <c r="J347" i="1"/>
  <c r="J205" i="1"/>
  <c r="J190" i="1"/>
  <c r="J2040" i="1"/>
  <c r="J888" i="1"/>
  <c r="J1955" i="1"/>
  <c r="J1324" i="1"/>
  <c r="J1129" i="1"/>
  <c r="J862" i="1"/>
  <c r="J2248" i="1"/>
  <c r="J2232" i="1"/>
  <c r="J2091" i="1"/>
  <c r="J1890" i="1"/>
  <c r="J2529" i="1"/>
  <c r="J1480" i="1"/>
  <c r="J1402" i="1"/>
  <c r="J3278" i="1"/>
  <c r="J1445" i="1"/>
  <c r="J860" i="1"/>
  <c r="J3141" i="1"/>
  <c r="J2246" i="1"/>
  <c r="J2261" i="1"/>
  <c r="J2265" i="1"/>
  <c r="J2179" i="1"/>
  <c r="J2090" i="1"/>
  <c r="J2124" i="1"/>
  <c r="J2304" i="1"/>
  <c r="J1883" i="1"/>
  <c r="J604" i="1"/>
  <c r="J493" i="1"/>
  <c r="J2523" i="1"/>
  <c r="J2512" i="1"/>
  <c r="J2345" i="1"/>
  <c r="J1841" i="1"/>
  <c r="J1530" i="1"/>
  <c r="J1413" i="1"/>
  <c r="J1400" i="1"/>
  <c r="J1380" i="1"/>
  <c r="J95" i="1"/>
  <c r="J121" i="1"/>
  <c r="J3158" i="1"/>
  <c r="J2398" i="1"/>
  <c r="J3233" i="1"/>
  <c r="J3219" i="1"/>
  <c r="J2831" i="1"/>
  <c r="J2985" i="1"/>
  <c r="J2499" i="1"/>
  <c r="J2359" i="1"/>
  <c r="J806" i="1"/>
  <c r="J838" i="1"/>
  <c r="J628" i="1"/>
  <c r="J401" i="1"/>
  <c r="J444" i="1"/>
  <c r="J1616" i="1"/>
  <c r="J3252" i="1"/>
  <c r="J3237" i="1"/>
  <c r="J2606" i="1"/>
  <c r="J996" i="1"/>
  <c r="J1097" i="1"/>
  <c r="J706" i="1"/>
  <c r="J203" i="1"/>
  <c r="J519" i="1"/>
  <c r="J1153" i="1"/>
  <c r="J1135" i="1"/>
  <c r="J383" i="1"/>
  <c r="J1169" i="1"/>
  <c r="J598" i="1"/>
  <c r="J1224" i="1"/>
  <c r="J1851" i="1"/>
  <c r="J934" i="1"/>
  <c r="J1173" i="1"/>
  <c r="J1301" i="1"/>
  <c r="J1239" i="1"/>
  <c r="J1999" i="1"/>
  <c r="J1353" i="1"/>
  <c r="J1355" i="1"/>
  <c r="J3120" i="1"/>
  <c r="J1318" i="1"/>
  <c r="J2127" i="1"/>
  <c r="J1331" i="1"/>
  <c r="J1289" i="1"/>
  <c r="J1373" i="1"/>
  <c r="J3149" i="1"/>
  <c r="J2247" i="1"/>
  <c r="J2256" i="1"/>
  <c r="J2231" i="1"/>
  <c r="J2537" i="1"/>
  <c r="J3198" i="1"/>
  <c r="J1360" i="1"/>
  <c r="J2465" i="1"/>
  <c r="J1284" i="1"/>
  <c r="J2089" i="1"/>
  <c r="J2411" i="1"/>
  <c r="J1805" i="1"/>
  <c r="J1141" i="1"/>
  <c r="J2547" i="1"/>
  <c r="J2410" i="1"/>
  <c r="J2251" i="1"/>
  <c r="J1804" i="1"/>
  <c r="J2307" i="1"/>
  <c r="J2597" i="1"/>
  <c r="J2122" i="1"/>
  <c r="J2526" i="1"/>
  <c r="J1357" i="1"/>
  <c r="J2376" i="1"/>
  <c r="J2151" i="1"/>
  <c r="J3129" i="1"/>
  <c r="J936" i="1"/>
  <c r="J2392" i="1"/>
  <c r="J1686" i="1"/>
  <c r="J1452" i="1"/>
  <c r="J1175" i="1"/>
  <c r="J1654" i="1"/>
  <c r="J638" i="1"/>
  <c r="J842" i="1"/>
  <c r="J1321" i="1"/>
  <c r="J2442" i="1"/>
  <c r="J2243" i="1"/>
  <c r="J1818" i="1"/>
  <c r="J1306" i="1"/>
  <c r="J2463" i="1"/>
  <c r="J2252" i="1"/>
  <c r="J2000" i="1"/>
  <c r="J550" i="1"/>
  <c r="J2515" i="1"/>
  <c r="J2534" i="1"/>
  <c r="J1456" i="1"/>
  <c r="J640" i="1"/>
  <c r="J829" i="1"/>
  <c r="J331" i="1"/>
  <c r="J2253" i="1"/>
  <c r="J1336" i="1"/>
  <c r="J1830" i="1"/>
  <c r="J2242" i="1"/>
  <c r="J1809" i="1"/>
  <c r="J600" i="1"/>
  <c r="J2241" i="1"/>
  <c r="J1816" i="1"/>
  <c r="J1136" i="1"/>
  <c r="J1114" i="1"/>
  <c r="J1561" i="1"/>
  <c r="J561" i="1"/>
  <c r="J541" i="1"/>
  <c r="J2195" i="1"/>
  <c r="J1319" i="1"/>
  <c r="J520" i="1"/>
  <c r="J1154" i="1"/>
  <c r="J1179" i="1"/>
  <c r="J1478" i="1"/>
  <c r="J3276" i="1"/>
  <c r="J1221" i="1"/>
  <c r="J1207" i="1"/>
  <c r="J570" i="1"/>
  <c r="J1696" i="1"/>
  <c r="J2490" i="1"/>
  <c r="J1535" i="1"/>
  <c r="J1409" i="1"/>
  <c r="J1396" i="1"/>
  <c r="J1509" i="1"/>
  <c r="J3214" i="1"/>
  <c r="J3210" i="1"/>
  <c r="J3021" i="1"/>
  <c r="J2706" i="1"/>
  <c r="J435" i="1"/>
  <c r="J441" i="1"/>
  <c r="J3268" i="1"/>
  <c r="J3248" i="1"/>
  <c r="J3000" i="1"/>
  <c r="J1560" i="1"/>
  <c r="J992" i="1"/>
  <c r="J1113" i="1"/>
  <c r="J2035" i="1"/>
  <c r="J1559" i="1"/>
  <c r="J1358" i="1"/>
  <c r="J2457" i="1"/>
  <c r="J1797" i="1"/>
  <c r="J1230" i="1"/>
  <c r="J2194" i="1"/>
  <c r="J3130" i="1"/>
  <c r="J1316" i="1"/>
  <c r="J2447" i="1"/>
  <c r="J1374" i="1"/>
  <c r="J2178" i="1"/>
  <c r="J1850" i="1"/>
  <c r="J3271" i="1"/>
  <c r="J1099" i="1"/>
  <c r="J639" i="1"/>
  <c r="J2337" i="1"/>
  <c r="J2977" i="1"/>
  <c r="J584" i="1"/>
  <c r="J2071" i="1"/>
  <c r="J1220" i="1"/>
  <c r="J1206" i="1"/>
  <c r="J569" i="1"/>
  <c r="J1783" i="1"/>
  <c r="J1695" i="1"/>
  <c r="J2489" i="1"/>
  <c r="J265" i="1"/>
  <c r="J1534" i="1"/>
  <c r="J1408" i="1"/>
  <c r="J1395" i="1"/>
  <c r="J1163" i="1"/>
  <c r="J1508" i="1"/>
  <c r="J3284" i="1"/>
  <c r="J2456" i="1"/>
  <c r="J2467" i="1"/>
  <c r="J2452" i="1"/>
  <c r="J3213" i="1"/>
  <c r="J3209" i="1"/>
  <c r="J1244" i="1"/>
  <c r="J464" i="1"/>
  <c r="J49" i="1"/>
  <c r="J2604" i="1"/>
  <c r="J1064" i="1"/>
  <c r="J367" i="1"/>
  <c r="J2034" i="1"/>
  <c r="J2262" i="1"/>
  <c r="J1307" i="1"/>
  <c r="J427" i="1"/>
  <c r="J1831" i="1"/>
  <c r="J2001" i="1"/>
  <c r="J2509" i="1"/>
  <c r="J1806" i="1"/>
  <c r="J1320" i="1"/>
  <c r="J2309" i="1"/>
  <c r="J1280" i="1"/>
  <c r="J2123" i="1"/>
  <c r="J1817" i="1"/>
  <c r="J2416" i="1"/>
  <c r="J1788" i="1"/>
  <c r="J343" i="1"/>
  <c r="J1834" i="1"/>
  <c r="J384" i="1"/>
  <c r="J2043" i="1"/>
  <c r="J2088" i="1"/>
  <c r="J3128" i="1"/>
  <c r="J1444" i="1"/>
  <c r="J2144" i="1"/>
  <c r="J935" i="1"/>
  <c r="J674" i="1"/>
  <c r="J2212" i="1"/>
  <c r="J532" i="1"/>
  <c r="J509" i="1"/>
  <c r="J1713" i="1"/>
  <c r="J1782" i="1"/>
  <c r="J1694" i="1"/>
  <c r="J2488" i="1"/>
  <c r="J288" i="1"/>
  <c r="J268" i="1"/>
  <c r="J225" i="1"/>
  <c r="J2340" i="1"/>
  <c r="J1533" i="1"/>
  <c r="J1407" i="1"/>
  <c r="J1388" i="1"/>
  <c r="J1165" i="1"/>
  <c r="J1507" i="1"/>
  <c r="J3227" i="1"/>
  <c r="J2318" i="1"/>
  <c r="J1460" i="1"/>
  <c r="J1243" i="1"/>
  <c r="J463" i="1"/>
  <c r="J1063" i="1"/>
  <c r="J363" i="1"/>
  <c r="J2128" i="1"/>
  <c r="J1337" i="1"/>
  <c r="J1356" i="1"/>
  <c r="J1796" i="1"/>
  <c r="J340" i="1"/>
  <c r="J1980" i="1"/>
  <c r="J2516" i="1"/>
  <c r="J1137" i="1"/>
  <c r="J2469" i="1"/>
  <c r="J1375" i="1"/>
  <c r="J2308" i="1"/>
  <c r="J3194" i="1"/>
  <c r="J2338" i="1"/>
  <c r="J1479" i="1"/>
  <c r="J3277" i="1"/>
  <c r="J1845" i="1"/>
  <c r="J1687" i="1"/>
  <c r="J3192" i="1"/>
  <c r="J1096" i="1"/>
  <c r="J319" i="1"/>
  <c r="J2546" i="1"/>
  <c r="J1122" i="1"/>
  <c r="J687" i="1"/>
  <c r="J55" i="1"/>
  <c r="J2189" i="1"/>
  <c r="J2070" i="1"/>
  <c r="J1889" i="1"/>
  <c r="J1712" i="1"/>
  <c r="J254" i="1"/>
  <c r="J239" i="1"/>
  <c r="J287" i="1"/>
  <c r="J224" i="1"/>
  <c r="J1728" i="1"/>
  <c r="J1387" i="1"/>
  <c r="J1162" i="1"/>
  <c r="J103" i="1"/>
  <c r="J1424" i="1"/>
  <c r="J2367" i="1"/>
  <c r="J2354" i="1"/>
  <c r="J1592" i="1"/>
  <c r="J1242" i="1"/>
  <c r="J731" i="1"/>
  <c r="J466" i="1"/>
  <c r="J3193" i="1"/>
  <c r="J2574" i="1"/>
  <c r="J2561" i="1"/>
  <c r="J1048" i="1"/>
  <c r="J713" i="1"/>
  <c r="J333" i="1"/>
  <c r="J147" i="1"/>
  <c r="J2459" i="1"/>
  <c r="J2377" i="1"/>
  <c r="J1558" i="1"/>
  <c r="J2230" i="1"/>
  <c r="J48" i="1"/>
  <c r="J2533" i="1"/>
  <c r="J1112" i="1"/>
  <c r="J1171" i="1"/>
  <c r="J3117" i="1"/>
  <c r="J2188" i="1"/>
  <c r="J1711" i="1"/>
  <c r="J284" i="1"/>
  <c r="J234" i="1"/>
  <c r="J286" i="1"/>
  <c r="J1844" i="1"/>
  <c r="J1726" i="1"/>
  <c r="J733" i="1"/>
  <c r="J167" i="1"/>
  <c r="J102" i="1"/>
  <c r="J81" i="1"/>
  <c r="J1430" i="1"/>
  <c r="J64" i="1"/>
  <c r="J2366" i="1"/>
  <c r="J2353" i="1"/>
  <c r="J729" i="1"/>
  <c r="J424" i="1"/>
  <c r="J73" i="1"/>
  <c r="J2598" i="1"/>
  <c r="J2573" i="1"/>
  <c r="J2560" i="1"/>
  <c r="J848" i="1"/>
  <c r="J141" i="1"/>
  <c r="J927" i="1"/>
  <c r="J62" i="1"/>
  <c r="J2240" i="1"/>
  <c r="J1304" i="1"/>
  <c r="J1372" i="1"/>
  <c r="J1998" i="1"/>
  <c r="J2115" i="1"/>
  <c r="J1315" i="1"/>
  <c r="J2461" i="1"/>
  <c r="J3178" i="1"/>
  <c r="J1802" i="1"/>
  <c r="J1344" i="1"/>
  <c r="J1794" i="1"/>
  <c r="J2120" i="1"/>
  <c r="J1476" i="1"/>
  <c r="J2778" i="1"/>
  <c r="J2383" i="1"/>
  <c r="J3122" i="1"/>
  <c r="J2176" i="1"/>
  <c r="J1223" i="1"/>
  <c r="J1167" i="1"/>
  <c r="J516" i="1"/>
  <c r="J1475" i="1"/>
  <c r="J1148" i="1"/>
  <c r="J1369" i="1"/>
  <c r="J1338" i="1"/>
  <c r="J1225" i="1"/>
  <c r="J3286" i="1"/>
  <c r="J2444" i="1"/>
  <c r="J2473" i="1"/>
  <c r="J2454" i="1"/>
  <c r="J1669" i="1"/>
  <c r="J2661" i="1"/>
  <c r="J1235" i="1"/>
  <c r="J1568" i="1"/>
  <c r="J943" i="1"/>
  <c r="J933" i="1"/>
  <c r="J439" i="1"/>
  <c r="J721" i="1"/>
  <c r="J1612" i="1"/>
  <c r="J2387" i="1"/>
  <c r="J2329" i="1"/>
  <c r="J1595" i="1"/>
  <c r="J1155" i="1"/>
  <c r="J134" i="1"/>
  <c r="J221" i="1"/>
  <c r="J3127" i="1"/>
  <c r="J1803" i="1"/>
  <c r="J1849" i="1"/>
  <c r="J1577" i="1"/>
  <c r="J301" i="1"/>
  <c r="J1835" i="1"/>
  <c r="J2157" i="1"/>
  <c r="J543" i="1"/>
  <c r="J1814" i="1"/>
  <c r="J440" i="1"/>
  <c r="J1596" i="1"/>
  <c r="J597" i="1"/>
  <c r="J2676" i="1"/>
  <c r="J1341" i="1"/>
  <c r="J1227" i="1"/>
  <c r="J2005" i="1"/>
  <c r="J2197" i="1"/>
  <c r="J2093" i="1"/>
  <c r="J596" i="1"/>
  <c r="J1440" i="1"/>
  <c r="J1178" i="1"/>
  <c r="J1166" i="1"/>
  <c r="J595" i="1"/>
  <c r="J537" i="1"/>
  <c r="J500" i="1"/>
  <c r="J2617" i="1"/>
  <c r="J1474" i="1"/>
  <c r="J91" i="1"/>
  <c r="J1313" i="1"/>
  <c r="J1368" i="1"/>
  <c r="J1346" i="1"/>
  <c r="J1330" i="1"/>
  <c r="J1295" i="1"/>
  <c r="J1335" i="1"/>
  <c r="J1526" i="1"/>
  <c r="J1800" i="1"/>
  <c r="J1793" i="1"/>
  <c r="J1679" i="1"/>
  <c r="J2743" i="1"/>
  <c r="J2663" i="1"/>
  <c r="J636" i="1"/>
  <c r="J1404" i="1"/>
  <c r="J931" i="1"/>
  <c r="J932" i="1"/>
  <c r="J814" i="1"/>
  <c r="J790" i="1"/>
  <c r="J2334" i="1"/>
  <c r="J1161" i="1"/>
  <c r="J1118" i="1"/>
  <c r="J1090" i="1"/>
  <c r="J683" i="1"/>
  <c r="J670" i="1"/>
  <c r="J193" i="1"/>
  <c r="J131" i="1"/>
  <c r="J1969" i="1"/>
  <c r="J2200" i="1"/>
  <c r="J2391" i="1"/>
  <c r="J2184" i="1"/>
  <c r="J2532" i="1"/>
  <c r="J1152" i="1"/>
  <c r="J1351" i="1"/>
  <c r="J1236" i="1"/>
  <c r="J1149" i="1"/>
  <c r="J952" i="1"/>
  <c r="J2673" i="1"/>
  <c r="J3151" i="1"/>
  <c r="J2249" i="1"/>
  <c r="J2258" i="1"/>
  <c r="J2233" i="1"/>
  <c r="J2092" i="1"/>
  <c r="J2145" i="1"/>
  <c r="J1177" i="1"/>
  <c r="J560" i="1"/>
  <c r="J2530" i="1"/>
  <c r="J2520" i="1"/>
  <c r="J1825" i="1"/>
  <c r="J1824" i="1"/>
  <c r="J90" i="1"/>
  <c r="J1607" i="1"/>
  <c r="J2313" i="1"/>
  <c r="J633" i="1"/>
  <c r="J1102" i="1"/>
  <c r="J854" i="1"/>
  <c r="J812" i="1"/>
  <c r="J438" i="1"/>
  <c r="J1617" i="1"/>
  <c r="J695" i="1"/>
  <c r="J682" i="1"/>
  <c r="J191" i="1"/>
  <c r="J1188" i="1"/>
  <c r="J3125" i="1"/>
  <c r="J1352" i="1"/>
  <c r="J2476" i="1"/>
  <c r="J1237" i="1"/>
  <c r="J2250" i="1"/>
  <c r="J2616" i="1"/>
  <c r="J1145" i="1"/>
  <c r="J89" i="1"/>
  <c r="J2542" i="1"/>
  <c r="J3208" i="1"/>
  <c r="J3019" i="1"/>
  <c r="J2990" i="1"/>
  <c r="J2740" i="1"/>
  <c r="J832" i="1"/>
  <c r="J717" i="1"/>
  <c r="J991" i="1"/>
  <c r="J1111" i="1"/>
  <c r="J391" i="1"/>
  <c r="J360" i="1"/>
  <c r="J208" i="1"/>
  <c r="J2052" i="1"/>
  <c r="J2087" i="1"/>
  <c r="J1363" i="1"/>
  <c r="J1088" i="1"/>
  <c r="J1580" i="1"/>
  <c r="J2131" i="1"/>
  <c r="J517" i="1"/>
  <c r="J1801" i="1"/>
  <c r="J2446" i="1"/>
  <c r="J1204" i="1"/>
  <c r="J531" i="1"/>
  <c r="J1693" i="1"/>
  <c r="J2514" i="1"/>
  <c r="J1815" i="1"/>
  <c r="J1347" i="1"/>
  <c r="J2441" i="1"/>
  <c r="J794" i="1"/>
  <c r="J1156" i="1"/>
  <c r="J2193" i="1"/>
  <c r="J1997" i="1"/>
  <c r="J2508" i="1"/>
  <c r="J1333" i="1"/>
  <c r="J1158" i="1"/>
  <c r="J1828" i="1"/>
  <c r="J1287" i="1"/>
  <c r="J1157" i="1"/>
  <c r="J3113" i="1"/>
  <c r="J1219" i="1"/>
  <c r="J1205" i="1"/>
  <c r="J571" i="1"/>
  <c r="J559" i="1"/>
  <c r="J1406" i="1"/>
  <c r="J3159" i="1"/>
  <c r="J1651" i="1"/>
  <c r="J3211" i="1"/>
  <c r="J3018" i="1"/>
  <c r="J2505" i="1"/>
  <c r="J2322" i="1"/>
  <c r="J2405" i="1"/>
  <c r="J72" i="1"/>
  <c r="J1884" i="1"/>
  <c r="J1191" i="1"/>
  <c r="J1217" i="1"/>
  <c r="J1203" i="1"/>
  <c r="J590" i="1"/>
  <c r="J566" i="1"/>
  <c r="J507" i="1"/>
  <c r="J1777" i="1"/>
  <c r="J1692" i="1"/>
  <c r="J2486" i="1"/>
  <c r="J223" i="1"/>
  <c r="J1532" i="1"/>
  <c r="J1420" i="1"/>
  <c r="J1405" i="1"/>
  <c r="J1386" i="1"/>
  <c r="J1164" i="1"/>
  <c r="J3220" i="1"/>
  <c r="J3206" i="1"/>
  <c r="J3017" i="1"/>
  <c r="J2991" i="1"/>
  <c r="J2504" i="1"/>
  <c r="J1587" i="1"/>
  <c r="J647" i="1"/>
  <c r="J1461" i="1"/>
  <c r="J1132" i="1"/>
  <c r="J469" i="1"/>
  <c r="J1110" i="1"/>
  <c r="J710" i="1"/>
  <c r="J693" i="1"/>
  <c r="J679" i="1"/>
  <c r="J382" i="1"/>
  <c r="J313" i="1"/>
  <c r="J356" i="1"/>
  <c r="J199" i="1"/>
  <c r="J2198" i="1"/>
  <c r="J2239" i="1"/>
  <c r="J1371" i="1"/>
  <c r="J1362" i="1"/>
  <c r="J2389" i="1"/>
  <c r="J2183" i="1"/>
  <c r="J1168" i="1"/>
  <c r="J298" i="1"/>
  <c r="J1599" i="1"/>
  <c r="J1218" i="1"/>
  <c r="J1422" i="1"/>
  <c r="J1506" i="1"/>
  <c r="J1657" i="1"/>
  <c r="J3205" i="1"/>
  <c r="J1458" i="1"/>
  <c r="J941" i="1"/>
  <c r="J787" i="1"/>
  <c r="J1000" i="1"/>
  <c r="J189" i="1"/>
  <c r="J564" i="1"/>
  <c r="J539" i="1"/>
  <c r="J506" i="1"/>
  <c r="J1710" i="1"/>
  <c r="J1700" i="1"/>
  <c r="J2485" i="1"/>
  <c r="J241" i="1"/>
  <c r="J233" i="1"/>
  <c r="J232" i="1"/>
  <c r="J1843" i="1"/>
  <c r="J1529" i="1"/>
  <c r="J1418" i="1"/>
  <c r="J1385" i="1"/>
  <c r="J2741" i="1"/>
  <c r="J1585" i="1"/>
  <c r="J824" i="1"/>
  <c r="J460" i="1"/>
  <c r="J1496" i="1"/>
  <c r="J1047" i="1"/>
  <c r="J1058" i="1"/>
  <c r="J712" i="1"/>
  <c r="J215" i="1"/>
  <c r="J2674" i="1"/>
  <c r="J2260" i="1"/>
  <c r="J1334" i="1"/>
  <c r="J2094" i="1"/>
  <c r="J518" i="1"/>
  <c r="J1364" i="1"/>
  <c r="J300" i="1"/>
  <c r="J1370" i="1"/>
  <c r="J1505" i="1"/>
  <c r="J944" i="1"/>
  <c r="J2335" i="1"/>
  <c r="J592" i="1"/>
  <c r="J512" i="1"/>
  <c r="J1780" i="1"/>
  <c r="J2487" i="1"/>
  <c r="J1538" i="1"/>
  <c r="J2539" i="1"/>
  <c r="J75" i="1"/>
  <c r="J2986" i="1"/>
  <c r="J1866" i="1"/>
  <c r="J3253" i="1"/>
  <c r="J3244" i="1"/>
  <c r="J1500" i="1"/>
  <c r="J1062" i="1"/>
  <c r="J390" i="1"/>
  <c r="J2048" i="1"/>
  <c r="J2403" i="1"/>
  <c r="J1965" i="1"/>
  <c r="J556" i="1"/>
  <c r="J1709" i="1"/>
  <c r="J114" i="1"/>
  <c r="J282" i="1"/>
  <c r="J256" i="1"/>
  <c r="J231" i="1"/>
  <c r="J1724" i="1"/>
  <c r="J1384" i="1"/>
  <c r="J100" i="1"/>
  <c r="J125" i="1"/>
  <c r="J3162" i="1"/>
  <c r="J1423" i="1"/>
  <c r="J53" i="1"/>
  <c r="J2363" i="1"/>
  <c r="J2351" i="1"/>
  <c r="J1867" i="1"/>
  <c r="J1584" i="1"/>
  <c r="J1459" i="1"/>
  <c r="J849" i="1"/>
  <c r="J725" i="1"/>
  <c r="J465" i="1"/>
  <c r="J432" i="1"/>
  <c r="J1606" i="1"/>
  <c r="J2594" i="1"/>
  <c r="J2559" i="1"/>
  <c r="J2568" i="1"/>
  <c r="J711" i="1"/>
  <c r="J718" i="1"/>
  <c r="J2592" i="1"/>
  <c r="J921" i="1"/>
  <c r="J1721" i="1"/>
  <c r="J1707" i="1"/>
  <c r="J279" i="1"/>
  <c r="J229" i="1"/>
  <c r="J128" i="1"/>
  <c r="J1382" i="1"/>
  <c r="J1471" i="1"/>
  <c r="J468" i="1"/>
  <c r="J2589" i="1"/>
  <c r="J3126" i="1"/>
  <c r="J2201" i="1"/>
  <c r="J2270" i="1"/>
  <c r="J1720" i="1"/>
  <c r="J1706" i="1"/>
  <c r="J240" i="1"/>
  <c r="J262" i="1"/>
  <c r="J228" i="1"/>
  <c r="J111" i="1"/>
  <c r="J97" i="1"/>
  <c r="J630" i="1"/>
  <c r="J2480" i="1"/>
  <c r="J2478" i="1"/>
  <c r="J2468" i="1"/>
  <c r="J1433" i="1"/>
  <c r="J3270" i="1"/>
  <c r="J2348" i="1"/>
  <c r="J1527" i="1"/>
  <c r="J1610" i="1"/>
  <c r="J2584" i="1"/>
  <c r="J2569" i="1"/>
  <c r="J1829" i="1"/>
  <c r="J631" i="1"/>
  <c r="J2525" i="1"/>
  <c r="J2401" i="1"/>
  <c r="J263" i="1"/>
  <c r="J1586" i="1"/>
  <c r="J3033" i="1"/>
  <c r="J2018" i="1"/>
  <c r="J151" i="1"/>
  <c r="J161" i="1"/>
  <c r="J1795" i="1"/>
  <c r="J1428" i="1"/>
  <c r="J3229" i="1"/>
  <c r="J2732" i="1"/>
  <c r="J2347" i="1"/>
  <c r="J2317" i="1"/>
  <c r="J1603" i="1"/>
  <c r="J646" i="1"/>
  <c r="J1086" i="1"/>
  <c r="J416" i="1"/>
  <c r="J2567" i="1"/>
  <c r="J2330" i="1"/>
  <c r="J967" i="1"/>
  <c r="J764" i="1"/>
  <c r="J218" i="1"/>
  <c r="J297" i="1"/>
  <c r="J1078" i="1"/>
  <c r="J895" i="1"/>
  <c r="J2039" i="1"/>
  <c r="J2132" i="1"/>
  <c r="J1916" i="1"/>
  <c r="J3155" i="1"/>
  <c r="J2235" i="1"/>
  <c r="J2531" i="1"/>
  <c r="J2460" i="1"/>
  <c r="J2177" i="1"/>
  <c r="J1359" i="1"/>
  <c r="J1349" i="1"/>
  <c r="J1299" i="1"/>
  <c r="J1297" i="1"/>
  <c r="J3287" i="1"/>
  <c r="J2472" i="1"/>
  <c r="J2455" i="1"/>
  <c r="J1786" i="1"/>
  <c r="J1569" i="1"/>
  <c r="J856" i="1"/>
  <c r="J1613" i="1"/>
  <c r="J202" i="1"/>
  <c r="J2130" i="1"/>
  <c r="J1314" i="1"/>
  <c r="J2323" i="1"/>
  <c r="J1499" i="1"/>
  <c r="J1119" i="1"/>
  <c r="J1192" i="1"/>
  <c r="J3123" i="1"/>
  <c r="J2675" i="1"/>
  <c r="J1348" i="1"/>
  <c r="J1298" i="1"/>
  <c r="J1785" i="1"/>
  <c r="J3152" i="1"/>
  <c r="J2259" i="1"/>
  <c r="J2234" i="1"/>
  <c r="J2143" i="1"/>
  <c r="J515" i="1"/>
  <c r="J2524" i="1"/>
  <c r="J2521" i="1"/>
  <c r="J1827" i="1"/>
  <c r="J1826" i="1"/>
  <c r="J1147" i="1"/>
  <c r="J109" i="1"/>
  <c r="J2543" i="1"/>
  <c r="J3285" i="1"/>
  <c r="J2369" i="1"/>
  <c r="J2314" i="1"/>
  <c r="J1497" i="1"/>
  <c r="J855" i="1"/>
  <c r="J720" i="1"/>
  <c r="J52" i="1"/>
  <c r="J2593" i="1"/>
  <c r="J2388" i="1"/>
  <c r="J1190" i="1"/>
  <c r="J273" i="1"/>
  <c r="J226" i="1"/>
  <c r="J1427" i="1"/>
  <c r="J60" i="1"/>
  <c r="J1296" i="1"/>
  <c r="J1196" i="1"/>
  <c r="J594" i="1"/>
  <c r="J536" i="1"/>
  <c r="J521" i="1"/>
  <c r="J1714" i="1"/>
  <c r="J2619" i="1"/>
  <c r="J2341" i="1"/>
  <c r="J1146" i="1"/>
  <c r="J107" i="1"/>
  <c r="J1792" i="1"/>
  <c r="J1652" i="1"/>
  <c r="J2742" i="1"/>
  <c r="J2660" i="1"/>
  <c r="J2319" i="1"/>
  <c r="J1498" i="1"/>
  <c r="J942" i="1"/>
  <c r="J789" i="1"/>
  <c r="J719" i="1"/>
  <c r="J2373" i="1"/>
  <c r="J2333" i="1"/>
  <c r="J1115" i="1"/>
  <c r="J1963" i="1"/>
  <c r="J2564" i="1"/>
  <c r="J2213" i="1"/>
  <c r="J1717" i="1"/>
  <c r="J859" i="1"/>
  <c r="J1435" i="1"/>
  <c r="J59" i="1"/>
  <c r="J380" i="1"/>
  <c r="J259" i="1"/>
  <c r="J2672" i="1"/>
  <c r="J2118" i="1"/>
  <c r="J1174" i="1"/>
  <c r="J1195" i="1"/>
  <c r="J593" i="1"/>
  <c r="J583" i="1"/>
  <c r="J2540" i="1"/>
  <c r="J3160" i="1"/>
  <c r="J1689" i="1"/>
  <c r="J1673" i="1"/>
  <c r="J1470" i="1"/>
  <c r="J2662" i="1"/>
  <c r="J2368" i="1"/>
  <c r="J2355" i="1"/>
  <c r="J2312" i="1"/>
  <c r="J1604" i="1"/>
  <c r="J635" i="1"/>
  <c r="J948" i="1"/>
  <c r="J788" i="1"/>
  <c r="J437" i="1"/>
  <c r="J87" i="1"/>
  <c r="J3257" i="1"/>
  <c r="J3245" i="1"/>
  <c r="J2575" i="1"/>
  <c r="J2562" i="1"/>
  <c r="J2372" i="1"/>
  <c r="J696" i="1"/>
  <c r="J681" i="1"/>
  <c r="J716" i="1"/>
  <c r="J2492" i="1"/>
  <c r="J2036" i="1"/>
  <c r="J389" i="1"/>
  <c r="J2357" i="1"/>
  <c r="J1716" i="1"/>
  <c r="J1378" i="1"/>
  <c r="J443" i="1"/>
  <c r="J272" i="1"/>
  <c r="J258" i="1"/>
  <c r="J270" i="1"/>
  <c r="J355" i="1"/>
  <c r="J434" i="1"/>
  <c r="J88" i="1"/>
  <c r="J530" i="1"/>
  <c r="J3280" i="1"/>
  <c r="J2481" i="1"/>
  <c r="J2479" i="1"/>
  <c r="J2470" i="1"/>
  <c r="J2448" i="1"/>
  <c r="J2738" i="1"/>
  <c r="J1863" i="1"/>
  <c r="J1241" i="1"/>
  <c r="J830" i="1"/>
  <c r="J436" i="1"/>
  <c r="J1833" i="1"/>
  <c r="J1061" i="1"/>
  <c r="J2047" i="1"/>
  <c r="J1170" i="1"/>
  <c r="J433" i="1"/>
  <c r="J212" i="1"/>
  <c r="J694" i="1"/>
  <c r="J2404" i="1"/>
  <c r="J2302" i="1"/>
  <c r="J1216" i="1"/>
  <c r="J1202" i="1"/>
  <c r="J589" i="1"/>
  <c r="J558" i="1"/>
  <c r="J115" i="1"/>
  <c r="J1416" i="1"/>
  <c r="J126" i="1"/>
  <c r="J3163" i="1"/>
  <c r="J1798" i="1"/>
  <c r="J2503" i="1"/>
  <c r="J1854" i="1"/>
  <c r="J1457" i="1"/>
  <c r="J3264" i="1"/>
  <c r="J3242" i="1"/>
  <c r="J2378" i="1"/>
  <c r="J1106" i="1"/>
  <c r="J1104" i="1"/>
  <c r="J364" i="1"/>
  <c r="J2046" i="1"/>
  <c r="J210" i="1"/>
  <c r="J887" i="1"/>
  <c r="J1193" i="1"/>
  <c r="J634" i="1"/>
  <c r="J811" i="1"/>
  <c r="J2834" i="1"/>
  <c r="J2138" i="1"/>
  <c r="J1215" i="1"/>
  <c r="J1201" i="1"/>
  <c r="J510" i="1"/>
  <c r="J1784" i="1"/>
  <c r="J2484" i="1"/>
  <c r="J1842" i="1"/>
  <c r="J1528" i="1"/>
  <c r="J1414" i="1"/>
  <c r="J1415" i="1"/>
  <c r="J3223" i="1"/>
  <c r="J3201" i="1"/>
  <c r="J2978" i="1"/>
  <c r="J2981" i="1"/>
  <c r="J2735" i="1"/>
  <c r="J2502" i="1"/>
  <c r="J1085" i="1"/>
  <c r="J3261" i="1"/>
  <c r="J3240" i="1"/>
  <c r="J1038" i="1"/>
  <c r="J1060" i="1"/>
  <c r="J1108" i="1"/>
  <c r="J361" i="1"/>
  <c r="J388" i="1"/>
  <c r="J1176" i="1"/>
  <c r="J3275" i="1"/>
  <c r="J2595" i="1"/>
  <c r="J2324" i="1"/>
  <c r="J815" i="1"/>
  <c r="J672" i="1"/>
  <c r="J192" i="1"/>
  <c r="J673" i="1"/>
  <c r="J2671" i="1"/>
  <c r="J599" i="1"/>
  <c r="J2618" i="1"/>
  <c r="J1109" i="1"/>
  <c r="J680" i="1"/>
  <c r="J200" i="1"/>
  <c r="J2402" i="1"/>
  <c r="J118" i="1"/>
  <c r="J1903" i="1"/>
  <c r="J505" i="1"/>
  <c r="J1699" i="1"/>
  <c r="J2498" i="1"/>
  <c r="J1840" i="1"/>
  <c r="J1421" i="1"/>
  <c r="J1383" i="1"/>
  <c r="J2548" i="1"/>
  <c r="J124" i="1"/>
  <c r="J3167" i="1"/>
  <c r="J2362" i="1"/>
  <c r="J2350" i="1"/>
  <c r="J1583" i="1"/>
  <c r="J1083" i="1"/>
  <c r="J449" i="1"/>
  <c r="J3195" i="1"/>
  <c r="J1611" i="1"/>
  <c r="J3241" i="1"/>
  <c r="J3236" i="1"/>
  <c r="J2571" i="1"/>
  <c r="J2556" i="1"/>
  <c r="J999" i="1"/>
  <c r="J1002" i="1"/>
  <c r="J1059" i="1"/>
  <c r="J1100" i="1"/>
  <c r="J1107" i="1"/>
  <c r="J709" i="1"/>
  <c r="J2042" i="1"/>
  <c r="J2044" i="1"/>
  <c r="J1481" i="1"/>
  <c r="J2739" i="1"/>
  <c r="J127" i="1"/>
  <c r="J3168" i="1"/>
  <c r="J3266" i="1"/>
  <c r="J3243" i="1"/>
  <c r="J1046" i="1"/>
  <c r="J3224" i="1"/>
  <c r="J3204" i="1"/>
  <c r="J2979" i="1"/>
  <c r="J2982" i="1"/>
  <c r="J1608" i="1"/>
  <c r="J3124" i="1"/>
  <c r="J3032" i="1"/>
  <c r="J2976" i="1"/>
  <c r="J1210" i="1"/>
  <c r="J1837" i="1"/>
  <c r="J1477" i="1"/>
  <c r="J94" i="1"/>
  <c r="J2545" i="1"/>
  <c r="J3165" i="1"/>
  <c r="J2458" i="1"/>
  <c r="J2475" i="1"/>
  <c r="J2394" i="1"/>
  <c r="J3225" i="1"/>
  <c r="J2833" i="1"/>
  <c r="J2409" i="1"/>
  <c r="J2325" i="1"/>
  <c r="J2306" i="1"/>
  <c r="J1448" i="1"/>
  <c r="J1084" i="1"/>
  <c r="J1093" i="1"/>
  <c r="J792" i="1"/>
  <c r="J627" i="1"/>
  <c r="J116" i="1"/>
  <c r="J3251" i="1"/>
  <c r="J2336" i="1"/>
  <c r="J1094" i="1"/>
  <c r="J705" i="1"/>
  <c r="J686" i="1"/>
  <c r="J1393" i="1"/>
  <c r="J2238" i="1"/>
  <c r="J579" i="1"/>
  <c r="J542" i="1"/>
  <c r="J508" i="1"/>
  <c r="J1703" i="1"/>
  <c r="J1836" i="1"/>
  <c r="J1411" i="1"/>
  <c r="J2551" i="1"/>
  <c r="J2408" i="1"/>
  <c r="J1588" i="1"/>
  <c r="J650" i="1"/>
  <c r="J793" i="1"/>
  <c r="J626" i="1"/>
  <c r="J2565" i="1"/>
  <c r="J704" i="1"/>
  <c r="J685" i="1"/>
  <c r="J2037" i="1"/>
  <c r="J1392" i="1"/>
  <c r="J2237" i="1"/>
  <c r="J1947" i="1"/>
  <c r="J504" i="1"/>
  <c r="J2517" i="1"/>
  <c r="J751" i="1"/>
  <c r="J2342" i="1"/>
  <c r="J1781" i="1"/>
  <c r="J110" i="1"/>
  <c r="J2744" i="1"/>
  <c r="J2407" i="1"/>
  <c r="J1593" i="1"/>
  <c r="J930" i="1"/>
  <c r="J791" i="1"/>
  <c r="J1091" i="1"/>
  <c r="J857" i="1"/>
  <c r="J748" i="1"/>
  <c r="J703" i="1"/>
  <c r="J1966" i="1"/>
  <c r="J2541" i="1"/>
  <c r="J3020" i="1"/>
  <c r="J2705" i="1"/>
  <c r="J3259" i="1"/>
  <c r="J3247" i="1"/>
  <c r="J990" i="1"/>
  <c r="J163" i="1"/>
  <c r="J3235" i="1"/>
  <c r="J2605" i="1"/>
  <c r="J995" i="1"/>
  <c r="J1095" i="1"/>
  <c r="J1915" i="1"/>
  <c r="J3031" i="1"/>
  <c r="J2975" i="1"/>
  <c r="J2236" i="1"/>
  <c r="J497" i="1"/>
  <c r="J1953" i="1"/>
  <c r="J1209" i="1"/>
  <c r="J2518" i="1"/>
  <c r="J2343" i="1"/>
  <c r="J1398" i="1"/>
  <c r="J112" i="1"/>
  <c r="J93" i="1"/>
  <c r="J3164" i="1"/>
  <c r="J2397" i="1"/>
  <c r="J1653" i="1"/>
  <c r="J3231" i="1"/>
  <c r="J3216" i="1"/>
  <c r="J3027" i="1"/>
  <c r="J2708" i="1"/>
  <c r="J2745" i="1"/>
  <c r="J2316" i="1"/>
  <c r="J1447" i="1"/>
  <c r="J108" i="1"/>
  <c r="J3250" i="1"/>
  <c r="J3234" i="1"/>
  <c r="J2601" i="1"/>
  <c r="J994" i="1"/>
  <c r="J946" i="1"/>
  <c r="J1120" i="1"/>
  <c r="J1092" i="1"/>
  <c r="J1194" i="1"/>
  <c r="J1975" i="1"/>
  <c r="J1222" i="1"/>
  <c r="J1208" i="1"/>
  <c r="J581" i="1"/>
  <c r="J1702" i="1"/>
  <c r="J1727" i="1"/>
  <c r="J2491" i="1"/>
  <c r="J1536" i="1"/>
  <c r="J1410" i="1"/>
  <c r="J1397" i="1"/>
  <c r="J92" i="1"/>
  <c r="J2544" i="1"/>
  <c r="J1510" i="1"/>
  <c r="J2550" i="1"/>
  <c r="J2396" i="1"/>
  <c r="J3230" i="1"/>
  <c r="J3215" i="1"/>
  <c r="J3026" i="1"/>
  <c r="J2707" i="1"/>
  <c r="J2370" i="1"/>
  <c r="J2315" i="1"/>
  <c r="J637" i="1"/>
  <c r="J74" i="1"/>
  <c r="J3249" i="1"/>
  <c r="J3001" i="1"/>
  <c r="J1003" i="1"/>
  <c r="J947" i="1"/>
  <c r="J684" i="1"/>
  <c r="J671" i="1"/>
  <c r="J1020" i="1"/>
  <c r="J379" i="1" l="1"/>
</calcChain>
</file>

<file path=xl/sharedStrings.xml><?xml version="1.0" encoding="utf-8"?>
<sst xmlns="http://schemas.openxmlformats.org/spreadsheetml/2006/main" count="36793" uniqueCount="10241">
  <si>
    <t>paragraph</t>
  </si>
  <si>
    <t>type</t>
  </si>
  <si>
    <t>style_name</t>
  </si>
  <si>
    <t>next_style</t>
  </si>
  <si>
    <t>notes</t>
  </si>
  <si>
    <t>scss_token</t>
  </si>
  <si>
    <t>paragraph--title--document</t>
  </si>
  <si>
    <t>paragraph--body--first</t>
  </si>
  <si>
    <t>Front matter title</t>
  </si>
  <si>
    <t>$paragraph--title--document</t>
  </si>
  <si>
    <t>paragraph--subtitle--document</t>
  </si>
  <si>
    <t>Front matter subtitle</t>
  </si>
  <si>
    <t>$paragraph--subtitle--document</t>
  </si>
  <si>
    <t>paragraph--author</t>
  </si>
  <si>
    <t>paragraph--body--base</t>
  </si>
  <si>
    <t>paragraph--abstract</t>
  </si>
  <si>
    <t>Author metadata</t>
  </si>
  <si>
    <t>$paragraph--author</t>
  </si>
  <si>
    <t>Abstract section</t>
  </si>
  <si>
    <t>$paragraph--abstract</t>
  </si>
  <si>
    <t>paragraph--metadata</t>
  </si>
  <si>
    <t>paragraph--body--small</t>
  </si>
  <si>
    <t>Institutional metadata</t>
  </si>
  <si>
    <t>$paragraph--metadata</t>
  </si>
  <si>
    <t>Top-level heading</t>
  </si>
  <si>
    <t>$paragraph--heading--level-1</t>
  </si>
  <si>
    <t>Section heading</t>
  </si>
  <si>
    <t>$paragraph--heading--level-2</t>
  </si>
  <si>
    <t>Subsection heading</t>
  </si>
  <si>
    <t>$paragraph--heading--level-3</t>
  </si>
  <si>
    <t>Minor heading</t>
  </si>
  <si>
    <t>$paragraph--heading--level-4</t>
  </si>
  <si>
    <t>$paragraph--heading--level-5</t>
  </si>
  <si>
    <t>$paragraph--heading--level-6</t>
  </si>
  <si>
    <t>paragraph--body--indented</t>
  </si>
  <si>
    <t>Primary reading text</t>
  </si>
  <si>
    <t>$paragraph--body--base</t>
  </si>
  <si>
    <t>No indent after heading</t>
  </si>
  <si>
    <t>$paragraph--body--first</t>
  </si>
  <si>
    <t>Indented continuation</t>
  </si>
  <si>
    <t>$paragraph--body--indented</t>
  </si>
  <si>
    <t>Footnote-adjacent text</t>
  </si>
  <si>
    <t>$paragraph--body--small</t>
  </si>
  <si>
    <t>paragraph--list--base</t>
  </si>
  <si>
    <t>Accessible list base</t>
  </si>
  <si>
    <t>$paragraph--list--base</t>
  </si>
  <si>
    <t>paragraph--list--bullet</t>
  </si>
  <si>
    <t>Unordered list</t>
  </si>
  <si>
    <t>$paragraph--list--bullet</t>
  </si>
  <si>
    <t>paragraph--list--numbered</t>
  </si>
  <si>
    <t>Ordered list</t>
  </si>
  <si>
    <t>$paragraph--list--numbered</t>
  </si>
  <si>
    <t>paragraph--list--definition</t>
  </si>
  <si>
    <t>Term-definition list</t>
  </si>
  <si>
    <t>$paragraph--list--definition</t>
  </si>
  <si>
    <t>paragraph--caption--base</t>
  </si>
  <si>
    <t>Caption</t>
  </si>
  <si>
    <t>Caption base</t>
  </si>
  <si>
    <t>$paragraph--caption--base</t>
  </si>
  <si>
    <t>paragraph--caption--figure</t>
  </si>
  <si>
    <t>Figure caption</t>
  </si>
  <si>
    <t>$paragraph--caption--figure</t>
  </si>
  <si>
    <t>paragraph--caption--table</t>
  </si>
  <si>
    <t>Table caption</t>
  </si>
  <si>
    <t>$paragraph--caption--table</t>
  </si>
  <si>
    <t>character</t>
  </si>
  <si>
    <t>character--emphasis--strong</t>
  </si>
  <si>
    <t>&lt;strong&gt;</t>
  </si>
  <si>
    <t>Bold semantic emphasis</t>
  </si>
  <si>
    <t>$character--emphasis--strong</t>
  </si>
  <si>
    <t>emphasis</t>
  </si>
  <si>
    <t>&lt;em&gt;</t>
  </si>
  <si>
    <t>Italic semantic emphasis</t>
  </si>
  <si>
    <t>$character--emphasis--emphasis</t>
  </si>
  <si>
    <t>character--emphasis--smallcaps</t>
  </si>
  <si>
    <t>Small caps</t>
  </si>
  <si>
    <t>$character--emphasis--smallcaps</t>
  </si>
  <si>
    <t>character--link--external</t>
  </si>
  <si>
    <t>&lt;a&gt;</t>
  </si>
  <si>
    <t>External link</t>
  </si>
  <si>
    <t>$character--link--external</t>
  </si>
  <si>
    <t>character--link--internal</t>
  </si>
  <si>
    <t>Internal link</t>
  </si>
  <si>
    <t>$character--link--internal</t>
  </si>
  <si>
    <t>object</t>
  </si>
  <si>
    <t>object--figure--image</t>
  </si>
  <si>
    <t>Standard image</t>
  </si>
  <si>
    <t>$object--figure--image</t>
  </si>
  <si>
    <t>object--figure--image-full</t>
  </si>
  <si>
    <t>Full-width image</t>
  </si>
  <si>
    <t>$object--figure--image-full</t>
  </si>
  <si>
    <t>table</t>
  </si>
  <si>
    <t>table--base</t>
  </si>
  <si>
    <t>Table</t>
  </si>
  <si>
    <t>Base table</t>
  </si>
  <si>
    <t>$table--base</t>
  </si>
  <si>
    <t>table--data</t>
  </si>
  <si>
    <t>Data table</t>
  </si>
  <si>
    <t>$table--data</t>
  </si>
  <si>
    <t>Column1</t>
  </si>
  <si>
    <t>heading</t>
  </si>
  <si>
    <t>Column2</t>
  </si>
  <si>
    <t>Defines a comment</t>
  </si>
  <si>
    <t>Defines the document type</t>
  </si>
  <si>
    <t>Defines a hyperlink</t>
  </si>
  <si>
    <t>&lt;abbr&gt;</t>
  </si>
  <si>
    <t>Defines an abbreviation or an acronym</t>
  </si>
  <si>
    <t>&lt;acronym&gt;</t>
  </si>
  <si>
    <t>Defines an acronym</t>
  </si>
  <si>
    <t>&lt;address&gt;</t>
  </si>
  <si>
    <t>Defines contact information for the author/owner of a document</t>
  </si>
  <si>
    <t>Defines an embedded applet</t>
  </si>
  <si>
    <t>&lt;area&gt;</t>
  </si>
  <si>
    <t>Defines an area inside an image map</t>
  </si>
  <si>
    <t>&lt;article&gt;</t>
  </si>
  <si>
    <t>Defines an article</t>
  </si>
  <si>
    <t>&lt;aside&gt;</t>
  </si>
  <si>
    <t>Defines content aside from the page content</t>
  </si>
  <si>
    <t>&lt;audio&gt;</t>
  </si>
  <si>
    <t>Defines embedded sound content</t>
  </si>
  <si>
    <t>&lt;b&gt;</t>
  </si>
  <si>
    <t>Defines bold text</t>
  </si>
  <si>
    <t>&lt;base&gt;</t>
  </si>
  <si>
    <t>Specifies the base URL/target for all relative URLs in a document</t>
  </si>
  <si>
    <t>Not supported in HTML5. Use CSS instead.</t>
  </si>
  <si>
    <t>Specifies a default color, size, and font for all text in a document</t>
  </si>
  <si>
    <t>&lt;bdi&gt;</t>
  </si>
  <si>
    <t>Isolates a part of text that might be formatted in a different direction from other text outside it</t>
  </si>
  <si>
    <t>&lt;bdo&gt;</t>
  </si>
  <si>
    <t>Overrides the current text direction</t>
  </si>
  <si>
    <t>Defines big text</t>
  </si>
  <si>
    <t>&lt;blockquote&gt;</t>
  </si>
  <si>
    <t>Defines a section that is quoted from another source</t>
  </si>
  <si>
    <t>&lt;body&gt;</t>
  </si>
  <si>
    <t>Defines the document's body</t>
  </si>
  <si>
    <t>&lt;br&gt;</t>
  </si>
  <si>
    <t>Defines a single line break</t>
  </si>
  <si>
    <t>&lt;button&gt;</t>
  </si>
  <si>
    <t>Defines a clickable button</t>
  </si>
  <si>
    <t>&lt;canvas&gt;</t>
  </si>
  <si>
    <t>Used to draw graphics, on the fly, via scripting (usually JavaScript)</t>
  </si>
  <si>
    <t>&lt;caption&gt;</t>
  </si>
  <si>
    <t>Defines a table caption</t>
  </si>
  <si>
    <t>Defines centered text</t>
  </si>
  <si>
    <t>&lt;cite&gt;</t>
  </si>
  <si>
    <t>Defines the title of a work</t>
  </si>
  <si>
    <t>&lt;code&gt;</t>
  </si>
  <si>
    <t>Defines a piece of computer code</t>
  </si>
  <si>
    <t>&lt;col&gt;</t>
  </si>
  <si>
    <t>&lt;colgroup&gt;</t>
  </si>
  <si>
    <t>Specifies a group of one or more columns in a table for formatting</t>
  </si>
  <si>
    <t>&lt;data&gt;</t>
  </si>
  <si>
    <t>Adds a machine-readable translation of a given content</t>
  </si>
  <si>
    <t>&lt;datalist&gt;</t>
  </si>
  <si>
    <t>Specifies a list of pre-defined options for input controls</t>
  </si>
  <si>
    <t>&lt;dd&gt;</t>
  </si>
  <si>
    <t>Defines a description/value of a term in a description list</t>
  </si>
  <si>
    <t>&lt;del&gt;</t>
  </si>
  <si>
    <t>Defines text that has been deleted from a document</t>
  </si>
  <si>
    <t>&lt;details&gt;</t>
  </si>
  <si>
    <t>Defines additional details that the user can view or hide</t>
  </si>
  <si>
    <t>&lt;dfn&gt;</t>
  </si>
  <si>
    <t>Specifies a term that is going to be defined within the content</t>
  </si>
  <si>
    <t>&lt;dialog&gt;</t>
  </si>
  <si>
    <t>Defines a dialog box or window</t>
  </si>
  <si>
    <t>Defines a directory list</t>
  </si>
  <si>
    <t>&lt;div&gt;</t>
  </si>
  <si>
    <t>Defines a section in a document</t>
  </si>
  <si>
    <t>&lt;dl&gt;</t>
  </si>
  <si>
    <t>Defines a description list</t>
  </si>
  <si>
    <t>&lt;dt&gt;</t>
  </si>
  <si>
    <t>Defines a term/name in a description list</t>
  </si>
  <si>
    <t>Defines emphasized text </t>
  </si>
  <si>
    <t>&lt;embed&gt;</t>
  </si>
  <si>
    <t>Defines a container for an external application</t>
  </si>
  <si>
    <t>&lt;fieldset&gt;</t>
  </si>
  <si>
    <t>Groups related elements in a form</t>
  </si>
  <si>
    <t>&lt;figcaption&gt;</t>
  </si>
  <si>
    <t>&lt;figure&gt;</t>
  </si>
  <si>
    <t>Specifies self-contained content</t>
  </si>
  <si>
    <t>Defines font, color, and size for text</t>
  </si>
  <si>
    <t>&lt;footer&gt;</t>
  </si>
  <si>
    <t>Defines a footer for a document or section</t>
  </si>
  <si>
    <t>&lt;form&gt;</t>
  </si>
  <si>
    <t>Defines an HTML form for user input</t>
  </si>
  <si>
    <t>Not supported in HTML5.</t>
  </si>
  <si>
    <t>Defines a window (a frame) in a frameset</t>
  </si>
  <si>
    <t>Defines a set of frames</t>
  </si>
  <si>
    <t>Defines HTML headings</t>
  </si>
  <si>
    <t>Contains metadata/information for the document</t>
  </si>
  <si>
    <t>&lt;header&gt;</t>
  </si>
  <si>
    <t>Defines a header for a document or section</t>
  </si>
  <si>
    <t>&lt;hgroup&gt;</t>
  </si>
  <si>
    <t>Defines a header and related content</t>
  </si>
  <si>
    <t>&lt;hr&gt;</t>
  </si>
  <si>
    <t>Defines a thematic change in the content</t>
  </si>
  <si>
    <t>Defines the root of an HTML document</t>
  </si>
  <si>
    <t>&lt;i&gt;</t>
  </si>
  <si>
    <t>Defines a part of text in an alternate voice or mood</t>
  </si>
  <si>
    <t>&lt;iframe&gt;</t>
  </si>
  <si>
    <t>Defines an inline frame</t>
  </si>
  <si>
    <t>&lt;img&gt;</t>
  </si>
  <si>
    <t>Defines an image</t>
  </si>
  <si>
    <t>&lt;input&gt;</t>
  </si>
  <si>
    <t>Defines an input control</t>
  </si>
  <si>
    <t>&lt;ins&gt;</t>
  </si>
  <si>
    <t>Defines a text that has been inserted into a document</t>
  </si>
  <si>
    <t>&lt;kbd&gt;</t>
  </si>
  <si>
    <t>Defines keyboard input</t>
  </si>
  <si>
    <t>&lt;label&gt;</t>
  </si>
  <si>
    <t>&lt;legend&gt;</t>
  </si>
  <si>
    <t>&lt;li&gt;</t>
  </si>
  <si>
    <t>Defines a list item</t>
  </si>
  <si>
    <t>&lt;link&gt;</t>
  </si>
  <si>
    <t>Defines the relationship between a document and an external resource (most used to link to style sheets)</t>
  </si>
  <si>
    <t>&lt;main&gt;</t>
  </si>
  <si>
    <t>Specifies the main content of a document</t>
  </si>
  <si>
    <t>&lt;map&gt;</t>
  </si>
  <si>
    <t>Defines an image map</t>
  </si>
  <si>
    <t>&lt;mark&gt;</t>
  </si>
  <si>
    <t>Defines marked/highlighted text</t>
  </si>
  <si>
    <t>&lt;menu&gt;</t>
  </si>
  <si>
    <t>Defines an unordered list</t>
  </si>
  <si>
    <t>Defines metadata about an HTML document</t>
  </si>
  <si>
    <t>&lt;meter&gt;</t>
  </si>
  <si>
    <t>Defines a scalar measurement within a known range (a gauge)</t>
  </si>
  <si>
    <t>&lt;nav&gt;</t>
  </si>
  <si>
    <t>Defines navigation links</t>
  </si>
  <si>
    <t>Defines an alternate content for users that do not support frames</t>
  </si>
  <si>
    <t>Defines an alternate content for users that do not support client-side scripts</t>
  </si>
  <si>
    <t>&lt;object&gt;</t>
  </si>
  <si>
    <t>&lt;ol&gt;</t>
  </si>
  <si>
    <t>Defines an ordered list</t>
  </si>
  <si>
    <t>&lt;optgroup&gt;</t>
  </si>
  <si>
    <t>Defines a group of related options in a drop-down list</t>
  </si>
  <si>
    <t>&lt;option&gt;</t>
  </si>
  <si>
    <t>Defines an option in a drop-down list</t>
  </si>
  <si>
    <t>&lt;output&gt;</t>
  </si>
  <si>
    <t>Defines the result of a calculation</t>
  </si>
  <si>
    <t>&lt;p&gt;</t>
  </si>
  <si>
    <t>Defines a paragraph</t>
  </si>
  <si>
    <t>&lt;param&gt;</t>
  </si>
  <si>
    <t>Defines a parameter for an object</t>
  </si>
  <si>
    <t>&lt;picture&gt;</t>
  </si>
  <si>
    <t>Defines a container for multiple image resources</t>
  </si>
  <si>
    <t>&lt;pre&gt;</t>
  </si>
  <si>
    <t>Defines preformatted text</t>
  </si>
  <si>
    <t>&lt;progress&gt;</t>
  </si>
  <si>
    <t>Represents the progress of a task</t>
  </si>
  <si>
    <t>&lt;q&gt;</t>
  </si>
  <si>
    <t>Defines a short quotation</t>
  </si>
  <si>
    <t>&lt;rp&gt;</t>
  </si>
  <si>
    <t>Defines what to show in browsers that do not support ruby annotations</t>
  </si>
  <si>
    <t>&lt;rt&gt;</t>
  </si>
  <si>
    <t>Defines an explanation/pronunciation of characters (for East Asian typography)</t>
  </si>
  <si>
    <t>&lt;ruby&gt;</t>
  </si>
  <si>
    <t>Defines a ruby annotation (for East Asian typography)</t>
  </si>
  <si>
    <t>&lt;s&gt;</t>
  </si>
  <si>
    <t>Defines text that is no longer correct</t>
  </si>
  <si>
    <t>&lt;samp&gt;</t>
  </si>
  <si>
    <t>Defines sample output from a computer program</t>
  </si>
  <si>
    <t>Defines a client-side script</t>
  </si>
  <si>
    <t>&lt;search&gt;</t>
  </si>
  <si>
    <t>Defines a search section</t>
  </si>
  <si>
    <t>&lt;section&gt;</t>
  </si>
  <si>
    <t>&lt;select&gt;</t>
  </si>
  <si>
    <t>Defines a drop-down list</t>
  </si>
  <si>
    <t>&lt;small&gt;</t>
  </si>
  <si>
    <t>Defines smaller text</t>
  </si>
  <si>
    <t>&lt;source&gt;</t>
  </si>
  <si>
    <t>&lt;span&gt;</t>
  </si>
  <si>
    <t>&lt;strike&gt;</t>
  </si>
  <si>
    <t>Defines strikethrough text</t>
  </si>
  <si>
    <t>Defines important text</t>
  </si>
  <si>
    <t>Defines style information for a document</t>
  </si>
  <si>
    <t>&lt;sub&gt;</t>
  </si>
  <si>
    <t>Defines subscripted text</t>
  </si>
  <si>
    <t>&lt;summary&gt;</t>
  </si>
  <si>
    <t>&lt;sup&gt;</t>
  </si>
  <si>
    <t>Defines superscripted text</t>
  </si>
  <si>
    <t>&lt;svg&gt;</t>
  </si>
  <si>
    <t>Defines a container for SVG graphics</t>
  </si>
  <si>
    <t>&lt;table&gt;</t>
  </si>
  <si>
    <t>Defines a table</t>
  </si>
  <si>
    <t>&lt;tbody&gt;</t>
  </si>
  <si>
    <t>Groups the body content in a table</t>
  </si>
  <si>
    <t>&lt;td&gt;</t>
  </si>
  <si>
    <t>Defines a cell in a table</t>
  </si>
  <si>
    <t>&lt;template&gt;</t>
  </si>
  <si>
    <t>Defines a container for content that should be hidden when the page loads</t>
  </si>
  <si>
    <t>&lt;textarea&gt;</t>
  </si>
  <si>
    <t>Defines a multiline input control (text area)</t>
  </si>
  <si>
    <t>&lt;tfoot&gt;</t>
  </si>
  <si>
    <t>Groups the footer content in a table</t>
  </si>
  <si>
    <t>&lt;th&gt;</t>
  </si>
  <si>
    <t>Defines a header cell in a table</t>
  </si>
  <si>
    <t>&lt;thead&gt;</t>
  </si>
  <si>
    <t>Groups the header content in a table</t>
  </si>
  <si>
    <t>&lt;time&gt;</t>
  </si>
  <si>
    <t>Defines a specific time (or datetime)</t>
  </si>
  <si>
    <t>&lt;title&gt;</t>
  </si>
  <si>
    <t>Defines a title for the document</t>
  </si>
  <si>
    <t>&lt;tr&gt;</t>
  </si>
  <si>
    <t>Defines a row in a table</t>
  </si>
  <si>
    <t>&lt;track&gt;</t>
  </si>
  <si>
    <t>&lt;tt&gt;</t>
  </si>
  <si>
    <t>Defines teletype text</t>
  </si>
  <si>
    <t>&lt;u&gt;</t>
  </si>
  <si>
    <t>Defines some text that is unarticulated and styled differently from normal text</t>
  </si>
  <si>
    <t>&lt;ul&gt;</t>
  </si>
  <si>
    <t>&lt;var&gt;</t>
  </si>
  <si>
    <t>Defines a variable</t>
  </si>
  <si>
    <t>&lt;video&gt;</t>
  </si>
  <si>
    <t>Defines embedded video content</t>
  </si>
  <si>
    <t>&lt;wbr&gt;</t>
  </si>
  <si>
    <t>Defines a possible line-break</t>
  </si>
  <si>
    <t>Column3</t>
  </si>
  <si>
    <t>work structure</t>
  </si>
  <si>
    <t>book structure</t>
  </si>
  <si>
    <t>page header</t>
  </si>
  <si>
    <t>page footer</t>
  </si>
  <si>
    <t>page number</t>
  </si>
  <si>
    <t>quote</t>
  </si>
  <si>
    <t>inline</t>
  </si>
  <si>
    <t>block</t>
  </si>
  <si>
    <t>list</t>
  </si>
  <si>
    <t>bullet</t>
  </si>
  <si>
    <t>subhead</t>
  </si>
  <si>
    <t>other</t>
  </si>
  <si>
    <t>caption</t>
  </si>
  <si>
    <t>footnote</t>
  </si>
  <si>
    <t>endnote</t>
  </si>
  <si>
    <t>Column4</t>
  </si>
  <si>
    <t>title</t>
  </si>
  <si>
    <t>author</t>
  </si>
  <si>
    <t>metadata</t>
  </si>
  <si>
    <t>document</t>
  </si>
  <si>
    <t>body</t>
  </si>
  <si>
    <t>base</t>
  </si>
  <si>
    <t>first</t>
  </si>
  <si>
    <t>indented</t>
  </si>
  <si>
    <t>small</t>
  </si>
  <si>
    <t>definition</t>
  </si>
  <si>
    <t>figure</t>
  </si>
  <si>
    <t>tag</t>
  </si>
  <si>
    <t>category</t>
  </si>
  <si>
    <t>status</t>
  </si>
  <si>
    <t>description</t>
  </si>
  <si>
    <t>w3c_reference</t>
  </si>
  <si>
    <t>mdn_reference</t>
  </si>
  <si>
    <t>active</t>
  </si>
  <si>
    <t>HTML comment</t>
  </si>
  <si>
    <t>https://www.w3.org/TR/html52/syntax.html#comments</t>
  </si>
  <si>
    <t>https://developer.mozilla.org/en-US/docs/Web/HTML/Comment</t>
  </si>
  <si>
    <t>Document type declaration</t>
  </si>
  <si>
    <t>https://www.w3.org/TR/html52/syntax.html#the-doctype</t>
  </si>
  <si>
    <t>https://developer.mozilla.org/en-US/docs/Glossary/Doctype</t>
  </si>
  <si>
    <t>a</t>
  </si>
  <si>
    <t>Hyperlink</t>
  </si>
  <si>
    <t>https://www.w3.org/TR/html52/textlevel-semantics.html#the-a-element</t>
  </si>
  <si>
    <t>https://developer.mozilla.org/en-US/docs/Web/HTML/Element/a</t>
  </si>
  <si>
    <t>abbr</t>
  </si>
  <si>
    <t>Abbreviation or acronym</t>
  </si>
  <si>
    <t>https://www.w3.org/TR/html52/textlevel-semantics.html#the-abbr-element</t>
  </si>
  <si>
    <t>https://developer.mozilla.org/en-US/docs/Web/HTML/Element/abbr</t>
  </si>
  <si>
    <t>acronym</t>
  </si>
  <si>
    <t>obsolete</t>
  </si>
  <si>
    <t>Acronym (deprecated)</t>
  </si>
  <si>
    <t>https://www.w3.org/TR/html52/obsolete.html</t>
  </si>
  <si>
    <t>https://developer.mozilla.org/en-US/docs/Web/HTML/Element/acronym</t>
  </si>
  <si>
    <t>address</t>
  </si>
  <si>
    <t>sectioning</t>
  </si>
  <si>
    <t>Contact information</t>
  </si>
  <si>
    <t>https://www.w3.org/TR/html52/sections.html#the-address-element</t>
  </si>
  <si>
    <t>https://developer.mozilla.org/en-US/docs/Web/HTML/Element/address</t>
  </si>
  <si>
    <t>applet</t>
  </si>
  <si>
    <t>embedded</t>
  </si>
  <si>
    <t>Embedded Java applet</t>
  </si>
  <si>
    <t>https://developer.mozilla.org/en-US/docs/Web/HTML/Element/applet</t>
  </si>
  <si>
    <t>article</t>
  </si>
  <si>
    <t>Independent content</t>
  </si>
  <si>
    <t>https://www.w3.org/TR/html52/sections.html#the-article-element</t>
  </si>
  <si>
    <t>https://developer.mozilla.org/en-US/docs/Web/HTML/Element/article</t>
  </si>
  <si>
    <t>aside</t>
  </si>
  <si>
    <t>Tangential content</t>
  </si>
  <si>
    <t>https://www.w3.org/TR/html52/sections.html#the-aside-element</t>
  </si>
  <si>
    <t>https://developer.mozilla.org/en-US/docs/Web/HTML/Element/aside</t>
  </si>
  <si>
    <t>audio</t>
  </si>
  <si>
    <t>media</t>
  </si>
  <si>
    <t>Audio content</t>
  </si>
  <si>
    <t>https://www.w3.org/TR/html52/embedded-content.html#the-audio-element</t>
  </si>
  <si>
    <t>https://developer.mozilla.org/en-US/docs/Web/HTML/Element/audio</t>
  </si>
  <si>
    <t>b</t>
  </si>
  <si>
    <t>Stylistic offset text</t>
  </si>
  <si>
    <t>https://www.w3.org/TR/html52/textlevel-semantics.html#the-b-element</t>
  </si>
  <si>
    <t>https://developer.mozilla.org/en-US/docs/Web/HTML/Element/b</t>
  </si>
  <si>
    <t>Base URL for relative URLs</t>
  </si>
  <si>
    <t>https://www.w3.org/TR/html52/document-metadata.html#the-base-element</t>
  </si>
  <si>
    <t>https://developer.mozilla.org/en-US/docs/Web/HTML/Element/base</t>
  </si>
  <si>
    <t>basefont</t>
  </si>
  <si>
    <t>Base font settings</t>
  </si>
  <si>
    <t>https://developer.mozilla.org/en-US/docs/Web/HTML/Element/basefont</t>
  </si>
  <si>
    <t>blockquote</t>
  </si>
  <si>
    <t>text</t>
  </si>
  <si>
    <t>Block quotation</t>
  </si>
  <si>
    <t>https://www.w3.org/TR/html52/grouping-content.html#the-blockquote-element</t>
  </si>
  <si>
    <t>https://developer.mozilla.org/en-US/docs/Web/HTML/Element/blockquote</t>
  </si>
  <si>
    <t>Document body</t>
  </si>
  <si>
    <t>https://www.w3.org/TR/html52/sections.html#the-body-element</t>
  </si>
  <si>
    <t>https://developer.mozilla.org/en-US/docs/Web/HTML/Element/body</t>
  </si>
  <si>
    <t>br</t>
  </si>
  <si>
    <t>Line break</t>
  </si>
  <si>
    <t>https://www.w3.org/TR/html52/textlevel-semantics.html#the-br-element</t>
  </si>
  <si>
    <t>https://developer.mozilla.org/en-US/docs/Web/HTML/Element/br</t>
  </si>
  <si>
    <t>button</t>
  </si>
  <si>
    <t>form</t>
  </si>
  <si>
    <t>Clickable button</t>
  </si>
  <si>
    <t>https://www.w3.org/TR/html52/forms.html#the-button-element</t>
  </si>
  <si>
    <t>https://developer.mozilla.org/en-US/docs/Web/HTML/Element/button</t>
  </si>
  <si>
    <t>canvas</t>
  </si>
  <si>
    <t>Scriptable bitmap canvas</t>
  </si>
  <si>
    <t>https://www.w3.org/TR/html52/embedded-content.html#the-canvas-element</t>
  </si>
  <si>
    <t>https://developer.mozilla.org/en-US/docs/Web/HTML/Element/canvas</t>
  </si>
  <si>
    <t>https://www.w3.org/TR/html52/tabular-data.html#the-caption-element</t>
  </si>
  <si>
    <t>https://developer.mozilla.org/en-US/docs/Web/HTML/Element/caption</t>
  </si>
  <si>
    <t>center</t>
  </si>
  <si>
    <t>Centered text</t>
  </si>
  <si>
    <t>https://developer.mozilla.org/en-US/docs/Web/HTML/Element/center</t>
  </si>
  <si>
    <t>cite</t>
  </si>
  <si>
    <t>Citation or reference</t>
  </si>
  <si>
    <t>https://www.w3.org/TR/html52/textlevel-semantics.html#the-cite-element</t>
  </si>
  <si>
    <t>https://developer.mozilla.org/en-US/docs/Web/HTML/Element/cite</t>
  </si>
  <si>
    <t>code</t>
  </si>
  <si>
    <t>Code fragment</t>
  </si>
  <si>
    <t>https://www.w3.org/TR/html52/textlevel-semantics.html#the-code-element</t>
  </si>
  <si>
    <t>https://developer.mozilla.org/en-US/docs/Web/HTML/Element/code</t>
  </si>
  <si>
    <t>div</t>
  </si>
  <si>
    <t>grouping</t>
  </si>
  <si>
    <t>Generic block container</t>
  </si>
  <si>
    <t>https://www.w3.org/TR/html52/grouping-content.html#the-div-element</t>
  </si>
  <si>
    <t>https://developer.mozilla.org/en-US/docs/Web/HTML/Element/div</t>
  </si>
  <si>
    <t>em</t>
  </si>
  <si>
    <t>Emphasis</t>
  </si>
  <si>
    <t>https://www.w3.org/TR/html52/textlevel-semantics.html#the-em-element</t>
  </si>
  <si>
    <t>https://developer.mozilla.org/en-US/docs/Web/HTML/Element/em</t>
  </si>
  <si>
    <t>Self-contained media</t>
  </si>
  <si>
    <t>https://www.w3.org/TR/html52/grouping-content.html#the-figure-element</t>
  </si>
  <si>
    <t>https://developer.mozilla.org/en-US/docs/Web/HTML/Element/figure</t>
  </si>
  <si>
    <t>figcaption</t>
  </si>
  <si>
    <t>https://www.w3.org/TR/html52/grouping-content.html#the-figcaption-element</t>
  </si>
  <si>
    <t>https://developer.mozilla.org/en-US/docs/Web/HTML/Element/figcaption</t>
  </si>
  <si>
    <t>footer</t>
  </si>
  <si>
    <t>Footer for section/page</t>
  </si>
  <si>
    <t>https://www.w3.org/TR/html52/sections.html#the-footer-element</t>
  </si>
  <si>
    <t>https://developer.mozilla.org/en-US/docs/Web/HTML/Element/footer</t>
  </si>
  <si>
    <t>Form container</t>
  </si>
  <si>
    <t>https://www.w3.org/TR/html52/forms.html#the-form-element</t>
  </si>
  <si>
    <t>https://developer.mozilla.org/en-US/docs/Web/HTML/Element/form</t>
  </si>
  <si>
    <t>Section headings</t>
  </si>
  <si>
    <t>https://www.w3.org/TR/html52/sections.html#headings-and-sections</t>
  </si>
  <si>
    <t>https://developer.mozilla.org/en-US/docs/Web/HTML/Element/Heading_Elements</t>
  </si>
  <si>
    <t>head</t>
  </si>
  <si>
    <t>Metadata container</t>
  </si>
  <si>
    <t>https://www.w3.org/TR/html52/document-metadata.html#the-head-element</t>
  </si>
  <si>
    <t>https://developer.mozilla.org/en-US/docs/Web/HTML/Element/head</t>
  </si>
  <si>
    <t>header</t>
  </si>
  <si>
    <t>Introductory content</t>
  </si>
  <si>
    <t>https://www.w3.org/TR/html52/sections.html#the-header-element</t>
  </si>
  <si>
    <t>https://developer.mozilla.org/en-US/docs/Web/HTML/Element/header</t>
  </si>
  <si>
    <t>html</t>
  </si>
  <si>
    <t>Root element</t>
  </si>
  <si>
    <t>https://www.w3.org/TR/html52/semantics.html#the-html-element</t>
  </si>
  <si>
    <t>https://developer.mozilla.org/en-US/docs/Web/HTML/Element/html</t>
  </si>
  <si>
    <t>img</t>
  </si>
  <si>
    <t>Embedded image</t>
  </si>
  <si>
    <t>https://www.w3.org/TR/html52/embedded-content.html#the-img-element</t>
  </si>
  <si>
    <t>https://developer.mozilla.org/en-US/docs/Web/HTML/Element/img</t>
  </si>
  <si>
    <t>link</t>
  </si>
  <si>
    <t>External resource link</t>
  </si>
  <si>
    <t>https://www.w3.org/TR/html52/document-metadata.html#the-link-element</t>
  </si>
  <si>
    <t>https://developer.mozilla.org/en-US/docs/Web/HTML/Element/link</t>
  </si>
  <si>
    <t>meta</t>
  </si>
  <si>
    <t>Metadata</t>
  </si>
  <si>
    <t>https://www.w3.org/TR/html52/document-metadata.html#the-meta-element</t>
  </si>
  <si>
    <t>https://developer.mozilla.org/en-US/docs/Web/HTML/Element/meta</t>
  </si>
  <si>
    <t>nav</t>
  </si>
  <si>
    <t>Navigation links</t>
  </si>
  <si>
    <t>https://www.w3.org/TR/html52/sections.html#the-nav-element</t>
  </si>
  <si>
    <t>https://developer.mozilla.org/en-US/docs/Web/HTML/Element/nav</t>
  </si>
  <si>
    <t>p</t>
  </si>
  <si>
    <t>Paragraph</t>
  </si>
  <si>
    <t>https://www.w3.org/TR/html52/grouping-content.html#the-p-element</t>
  </si>
  <si>
    <t>https://developer.mozilla.org/en-US/docs/Web/HTML/Element/p</t>
  </si>
  <si>
    <t>section</t>
  </si>
  <si>
    <t>Thematic grouping</t>
  </si>
  <si>
    <t>https://www.w3.org/TR/html52/sections.html#the-section-element</t>
  </si>
  <si>
    <t>https://developer.mozilla.org/en-US/docs/Web/HTML/Element/section</t>
  </si>
  <si>
    <t>span</t>
  </si>
  <si>
    <t>Generic inline container</t>
  </si>
  <si>
    <t>https://www.w3.org/TR/html52/textlevel-semantics.html#the-span-element</t>
  </si>
  <si>
    <t>https://developer.mozilla.org/en-US/docs/Web/HTML/Element/span</t>
  </si>
  <si>
    <t>strong</t>
  </si>
  <si>
    <t>Strong importance</t>
  </si>
  <si>
    <t>https://www.w3.org/TR/html52/textlevel-semantics.html#the-strong-element</t>
  </si>
  <si>
    <t>https://developer.mozilla.org/en-US/docs/Web/HTML/Element/strong</t>
  </si>
  <si>
    <t>https://www.w3.org/TR/html52/tabular-data.html#the-table-element</t>
  </si>
  <si>
    <t>https://developer.mozilla.org/en-US/docs/Web/HTML/Element/table</t>
  </si>
  <si>
    <t>ul</t>
  </si>
  <si>
    <t>https://www.w3.org/TR/html52/grouping-content.html#the-ul-element</t>
  </si>
  <si>
    <t>https://developer.mozilla.org/en-US/docs/Web/HTML/Element/ul</t>
  </si>
  <si>
    <t>video</t>
  </si>
  <si>
    <t>Video content</t>
  </si>
  <si>
    <t>https://www.w3.org/TR/html52/embedded-content.html#the-video-element</t>
  </si>
  <si>
    <t>https://developer.mozilla.org/en-US/docs/Web/HTML/Element/video</t>
  </si>
  <si>
    <t>wbr</t>
  </si>
  <si>
    <t>Word break opportunity</t>
  </si>
  <si>
    <t>https://www.w3.org/TR/html52/textlevel-semantics.html#the-wbr-element</t>
  </si>
  <si>
    <t>https://developer.mozilla.org/en-US/docs/Web/HTML/Element/wbr</t>
  </si>
  <si>
    <t>Column6</t>
  </si>
  <si>
    <t>!--...--</t>
  </si>
  <si>
    <t>!DOCTYPE</t>
  </si>
  <si>
    <t>Not supported in HTML5. Use abbr instead.</t>
  </si>
  <si>
    <t>Not supported in HTML5. Use embed or object instead.</t>
  </si>
  <si>
    <t>area</t>
  </si>
  <si>
    <t>bdi</t>
  </si>
  <si>
    <t>bdo</t>
  </si>
  <si>
    <t>big</t>
  </si>
  <si>
    <t>col</t>
  </si>
  <si>
    <t>Specifies column properties for each column within a colgroup element </t>
  </si>
  <si>
    <t>colgroup</t>
  </si>
  <si>
    <t>data</t>
  </si>
  <si>
    <t>datalist</t>
  </si>
  <si>
    <t>dd</t>
  </si>
  <si>
    <t>del</t>
  </si>
  <si>
    <t>details</t>
  </si>
  <si>
    <t>dfn</t>
  </si>
  <si>
    <t>dialog</t>
  </si>
  <si>
    <t>dir</t>
  </si>
  <si>
    <t>Not supported in HTML5. Use ul instead.</t>
  </si>
  <si>
    <t>dl</t>
  </si>
  <si>
    <t>dt</t>
  </si>
  <si>
    <t>embed</t>
  </si>
  <si>
    <t>fieldset</t>
  </si>
  <si>
    <t>Defines a caption for a figure element</t>
  </si>
  <si>
    <t>font</t>
  </si>
  <si>
    <t>frame</t>
  </si>
  <si>
    <t>frameset</t>
  </si>
  <si>
    <t>hgroup</t>
  </si>
  <si>
    <t>hr</t>
  </si>
  <si>
    <t>i</t>
  </si>
  <si>
    <t>iframe</t>
  </si>
  <si>
    <t>input</t>
  </si>
  <si>
    <t>ins</t>
  </si>
  <si>
    <t>kbd</t>
  </si>
  <si>
    <t>label</t>
  </si>
  <si>
    <t>Defines a label for an input element</t>
  </si>
  <si>
    <t>legend</t>
  </si>
  <si>
    <t>Defines a caption for a fieldset element</t>
  </si>
  <si>
    <t>li</t>
  </si>
  <si>
    <t>main</t>
  </si>
  <si>
    <t>map</t>
  </si>
  <si>
    <t>mark</t>
  </si>
  <si>
    <t>menu</t>
  </si>
  <si>
    <t>meter</t>
  </si>
  <si>
    <t>noframes</t>
  </si>
  <si>
    <t>noscript</t>
  </si>
  <si>
    <t>ol</t>
  </si>
  <si>
    <t>optgroup</t>
  </si>
  <si>
    <t>option</t>
  </si>
  <si>
    <t>output</t>
  </si>
  <si>
    <t>param</t>
  </si>
  <si>
    <t>picture</t>
  </si>
  <si>
    <t>pre</t>
  </si>
  <si>
    <t>progress</t>
  </si>
  <si>
    <t>q</t>
  </si>
  <si>
    <t>rp</t>
  </si>
  <si>
    <t>rt</t>
  </si>
  <si>
    <t>ruby</t>
  </si>
  <si>
    <t>s</t>
  </si>
  <si>
    <t>samp</t>
  </si>
  <si>
    <t>script</t>
  </si>
  <si>
    <t>search</t>
  </si>
  <si>
    <t>select</t>
  </si>
  <si>
    <t>source</t>
  </si>
  <si>
    <t>Defines multiple media resources for media elements (video and audio)</t>
  </si>
  <si>
    <t>strike</t>
  </si>
  <si>
    <t>Not supported in HTML5. Use del or s instead.</t>
  </si>
  <si>
    <t>style</t>
  </si>
  <si>
    <t>sub</t>
  </si>
  <si>
    <t>summary</t>
  </si>
  <si>
    <t>Defines a visible heading for a details element</t>
  </si>
  <si>
    <t>sup</t>
  </si>
  <si>
    <t>svg</t>
  </si>
  <si>
    <t>tbody</t>
  </si>
  <si>
    <t>td</t>
  </si>
  <si>
    <t>template</t>
  </si>
  <si>
    <t>textarea</t>
  </si>
  <si>
    <t>tfoot</t>
  </si>
  <si>
    <t>th</t>
  </si>
  <si>
    <t>thead</t>
  </si>
  <si>
    <t>time</t>
  </si>
  <si>
    <t>tr</t>
  </si>
  <si>
    <t>track</t>
  </si>
  <si>
    <t>Defines text tracks for media elements (video and audio)</t>
  </si>
  <si>
    <t>tt</t>
  </si>
  <si>
    <t>u</t>
  </si>
  <si>
    <t>var</t>
  </si>
  <si>
    <t>h3</t>
  </si>
  <si>
    <t>h2</t>
  </si>
  <si>
    <t>h4</t>
  </si>
  <si>
    <t>h5</t>
  </si>
  <si>
    <t>h6</t>
  </si>
  <si>
    <t>h1</t>
  </si>
  <si>
    <t>w3c_description</t>
  </si>
  <si>
    <t>row</t>
  </si>
  <si>
    <t>column</t>
  </si>
  <si>
    <t>left</t>
  </si>
  <si>
    <t>right</t>
  </si>
  <si>
    <t>Column42</t>
  </si>
  <si>
    <t>VBA Constant Name</t>
  </si>
  <si>
    <t>#</t>
  </si>
  <si>
    <t>2003</t>
  </si>
  <si>
    <t>2007</t>
  </si>
  <si>
    <t>2010</t>
  </si>
  <si>
    <t>2013</t>
  </si>
  <si>
    <t>2016</t>
  </si>
  <si>
    <t>Style type</t>
  </si>
  <si>
    <t>English style name</t>
  </si>
  <si>
    <t>Local style name</t>
  </si>
  <si>
    <t>Character</t>
  </si>
  <si>
    <t>wdStyleFootnoteReference</t>
  </si>
  <si>
    <t>Yes</t>
  </si>
  <si>
    <t>Footnote Reference</t>
  </si>
  <si>
    <t>wdStyleCommentReference</t>
  </si>
  <si>
    <t>Comment Reference</t>
  </si>
  <si>
    <t>wdStyleLineNumber</t>
  </si>
  <si>
    <t>Line Number</t>
  </si>
  <si>
    <t>wdStylePageNumber</t>
  </si>
  <si>
    <t>Page Number</t>
  </si>
  <si>
    <t>wdStyleEndnoteReference</t>
  </si>
  <si>
    <t>Endnote Reference</t>
  </si>
  <si>
    <t>wdStyleDefaultParagraphFont</t>
  </si>
  <si>
    <t>Default Paragraph Font</t>
  </si>
  <si>
    <t>wdStyleHyperlink</t>
  </si>
  <si>
    <t>wdStyleHyperlinkFollowed</t>
  </si>
  <si>
    <t>FollowedHyperlink</t>
  </si>
  <si>
    <t>wdStyleStrong</t>
  </si>
  <si>
    <t>Strong</t>
  </si>
  <si>
    <t>wdStyleEmphasis</t>
  </si>
  <si>
    <t>wdStyleHtmlAcronym</t>
  </si>
  <si>
    <t>HTML Acronym</t>
  </si>
  <si>
    <t>wdStyleHtmlCite</t>
  </si>
  <si>
    <t>HTML Cite</t>
  </si>
  <si>
    <t>wdStyleHtmlCode</t>
  </si>
  <si>
    <t>HTML Code</t>
  </si>
  <si>
    <t>wdStyleHtmlDfn</t>
  </si>
  <si>
    <t>HTML Definition</t>
  </si>
  <si>
    <t>wdStyleHtmlKbd</t>
  </si>
  <si>
    <t>HTML Keyboard</t>
  </si>
  <si>
    <t>wdStyleHtmlSamp</t>
  </si>
  <si>
    <t>HTML Sample</t>
  </si>
  <si>
    <t>wdStyleHtmlTt</t>
  </si>
  <si>
    <t>HTML Typewriter</t>
  </si>
  <si>
    <t>wdStyleHtmlVar</t>
  </si>
  <si>
    <t>HTML Variable</t>
  </si>
  <si>
    <t>CONSTANT NAME MISSING</t>
  </si>
  <si>
    <t>Placeholder Text</t>
  </si>
  <si>
    <t>wdStyleSubtleEmphasis</t>
  </si>
  <si>
    <t>Subtle Emphasis</t>
  </si>
  <si>
    <t>wdStyleIntenseEmphasis</t>
  </si>
  <si>
    <t>Intense Emphasis</t>
  </si>
  <si>
    <t>wdStyleSubtleReference</t>
  </si>
  <si>
    <t>Subtle Reference</t>
  </si>
  <si>
    <t>wdStyleIntenseReference</t>
  </si>
  <si>
    <t>Intense Reference</t>
  </si>
  <si>
    <t>wdStyleBookTitle</t>
  </si>
  <si>
    <t>Book Title</t>
  </si>
  <si>
    <t>Mention</t>
  </si>
  <si>
    <t>Smart Hyperlink</t>
  </si>
  <si>
    <t>Hashtag</t>
  </si>
  <si>
    <t>Unresolved Mention</t>
  </si>
  <si>
    <t>List</t>
  </si>
  <si>
    <t>No List</t>
  </si>
  <si>
    <t>1 / a / i</t>
  </si>
  <si>
    <t>1 / 1.1 / 1.1.1</t>
  </si>
  <si>
    <t>Article / Section</t>
  </si>
  <si>
    <t>wdStyleNormal</t>
  </si>
  <si>
    <t>Normal</t>
  </si>
  <si>
    <t>wdStyleHeading1</t>
  </si>
  <si>
    <t>Heading 1</t>
  </si>
  <si>
    <t>wdStyleHeading2</t>
  </si>
  <si>
    <t>Heading 2</t>
  </si>
  <si>
    <t>wdStyleHeading3</t>
  </si>
  <si>
    <t>Heading 3</t>
  </si>
  <si>
    <t>wdStyleHeading4</t>
  </si>
  <si>
    <t>Heading 4</t>
  </si>
  <si>
    <t>wdStyleHeading5</t>
  </si>
  <si>
    <t>Heading 5</t>
  </si>
  <si>
    <t>wdStyleHeading6</t>
  </si>
  <si>
    <t>Heading 6</t>
  </si>
  <si>
    <t>wdStyleHeading7</t>
  </si>
  <si>
    <t>Heading 7</t>
  </si>
  <si>
    <t>wdStyleHeading8</t>
  </si>
  <si>
    <t>Heading 8</t>
  </si>
  <si>
    <t>wdStyleHeading9</t>
  </si>
  <si>
    <t>Heading 9</t>
  </si>
  <si>
    <t>wdStyleIndex1</t>
  </si>
  <si>
    <t>Index 1</t>
  </si>
  <si>
    <t>wdStyleIndex2</t>
  </si>
  <si>
    <t>Index 2</t>
  </si>
  <si>
    <t>wdStyleIndex3</t>
  </si>
  <si>
    <t>Index 3</t>
  </si>
  <si>
    <t>wdStyleIndex4</t>
  </si>
  <si>
    <t>Index 4</t>
  </si>
  <si>
    <t>wdStyleIndex5</t>
  </si>
  <si>
    <t>Index 5</t>
  </si>
  <si>
    <t>wdStyleIndex6</t>
  </si>
  <si>
    <t>Index 6</t>
  </si>
  <si>
    <t>wdStyleIndex7</t>
  </si>
  <si>
    <t>Index 7</t>
  </si>
  <si>
    <t>wdStyleIndex8</t>
  </si>
  <si>
    <t>Index 8</t>
  </si>
  <si>
    <t>wdStyleIndex9</t>
  </si>
  <si>
    <t>Index 9</t>
  </si>
  <si>
    <t>wdStyleTOC1</t>
  </si>
  <si>
    <t>TOC 1</t>
  </si>
  <si>
    <t>wdStyleTOC2</t>
  </si>
  <si>
    <t>TOC 2</t>
  </si>
  <si>
    <t>wdStyleTOC3</t>
  </si>
  <si>
    <t>TOC 3</t>
  </si>
  <si>
    <t>wdStyleTOC4</t>
  </si>
  <si>
    <t>TOC 4</t>
  </si>
  <si>
    <t>wdStyleTOC5</t>
  </si>
  <si>
    <t>TOC 5</t>
  </si>
  <si>
    <t>wdStyleTOC6</t>
  </si>
  <si>
    <t>TOC 6</t>
  </si>
  <si>
    <t>wdStyleTOC7</t>
  </si>
  <si>
    <t>TOC 7</t>
  </si>
  <si>
    <t>wdStyleTOC8</t>
  </si>
  <si>
    <t>TOC 8</t>
  </si>
  <si>
    <t>wdStyleTOC9</t>
  </si>
  <si>
    <t>TOC 9</t>
  </si>
  <si>
    <t>wdStyleNormalIndent</t>
  </si>
  <si>
    <t>Normal Indent</t>
  </si>
  <si>
    <t>wdStyleFootnoteText</t>
  </si>
  <si>
    <t>Footnote Text</t>
  </si>
  <si>
    <t>wdStyleCommentText</t>
  </si>
  <si>
    <t>Comment Text</t>
  </si>
  <si>
    <t>wdStyleHeader</t>
  </si>
  <si>
    <t>Header</t>
  </si>
  <si>
    <t>wdStyleFooter</t>
  </si>
  <si>
    <t>Footer</t>
  </si>
  <si>
    <t>wdStyleIndexHeading</t>
  </si>
  <si>
    <t>Index Heading</t>
  </si>
  <si>
    <t>wdStyleCaption</t>
  </si>
  <si>
    <t>wdStyleTableOfFigures</t>
  </si>
  <si>
    <t>Table of Figures</t>
  </si>
  <si>
    <t>wdStyleEnvelopeAddress</t>
  </si>
  <si>
    <t>Envelope Address</t>
  </si>
  <si>
    <t>wdStyleEnvelopeReturn</t>
  </si>
  <si>
    <t>Envelope Return</t>
  </si>
  <si>
    <t>wdStyleEndnoteText</t>
  </si>
  <si>
    <t>Endnote Text</t>
  </si>
  <si>
    <t>wdStyleTableOfAuthorities</t>
  </si>
  <si>
    <t>Table of Authorities</t>
  </si>
  <si>
    <t>wdStyleMacroText</t>
  </si>
  <si>
    <t>Macro Text</t>
  </si>
  <si>
    <t>wdStyleTOAHeading</t>
  </si>
  <si>
    <t>TOA Heading</t>
  </si>
  <si>
    <t>wdStyleList</t>
  </si>
  <si>
    <t>wdStyleListBullet</t>
  </si>
  <si>
    <t>List Bullet</t>
  </si>
  <si>
    <t>wdStyleListNumber</t>
  </si>
  <si>
    <t>List Number</t>
  </si>
  <si>
    <t>wdStyleList2</t>
  </si>
  <si>
    <t>List 2</t>
  </si>
  <si>
    <t>wdStyleList3</t>
  </si>
  <si>
    <t>List 3</t>
  </si>
  <si>
    <t>wdStyleList4</t>
  </si>
  <si>
    <t>List 4</t>
  </si>
  <si>
    <t>List 5</t>
  </si>
  <si>
    <t>wdStyleListBullet2</t>
  </si>
  <si>
    <t>List Bullet 2</t>
  </si>
  <si>
    <t>wdStyleListBullet3</t>
  </si>
  <si>
    <t>List Bullet 3</t>
  </si>
  <si>
    <t>wdStyleListBullet4</t>
  </si>
  <si>
    <t>List Bullet 4</t>
  </si>
  <si>
    <t>wdStyleListBullet5</t>
  </si>
  <si>
    <t>List Bullet 5</t>
  </si>
  <si>
    <t>wdStyleListNumber2</t>
  </si>
  <si>
    <t>List Number 2</t>
  </si>
  <si>
    <t>wdStyleListNumber3</t>
  </si>
  <si>
    <t>List Number 3</t>
  </si>
  <si>
    <t>wdStyleListNumber4</t>
  </si>
  <si>
    <t>List Number 4</t>
  </si>
  <si>
    <t>wdStyleListNumber5</t>
  </si>
  <si>
    <t>List Number 5</t>
  </si>
  <si>
    <t>wdStyleTitle</t>
  </si>
  <si>
    <t>Title</t>
  </si>
  <si>
    <t>wdStyleClosing</t>
  </si>
  <si>
    <t>Closing</t>
  </si>
  <si>
    <t>wdStyleSignature</t>
  </si>
  <si>
    <t>Signature</t>
  </si>
  <si>
    <t>wdStyleBodyText</t>
  </si>
  <si>
    <t>Body Text</t>
  </si>
  <si>
    <t>wdStyleBodyTextIndent</t>
  </si>
  <si>
    <t>Body Text Indent</t>
  </si>
  <si>
    <t>wdStyleListContinue</t>
  </si>
  <si>
    <t>List Continue</t>
  </si>
  <si>
    <t>wdStyleListContinue2</t>
  </si>
  <si>
    <t>List Continue 2</t>
  </si>
  <si>
    <t>wdStyleListContinue3</t>
  </si>
  <si>
    <t>List Continue 3</t>
  </si>
  <si>
    <t>wdStyleListContinue4</t>
  </si>
  <si>
    <t>List Continue 4</t>
  </si>
  <si>
    <t>wdStyleListContinue5</t>
  </si>
  <si>
    <t>List Continue 5</t>
  </si>
  <si>
    <t>wdStyleMessageHeader</t>
  </si>
  <si>
    <t>Message Header</t>
  </si>
  <si>
    <t>wdStyleSubtitle</t>
  </si>
  <si>
    <t>Subtitle</t>
  </si>
  <si>
    <t>wdStyleSalutation</t>
  </si>
  <si>
    <t>Salutation</t>
  </si>
  <si>
    <t>wdStyleDate</t>
  </si>
  <si>
    <t>Date</t>
  </si>
  <si>
    <t>wdStyleBodyTextFirstIndent</t>
  </si>
  <si>
    <t>Body Text First Indent</t>
  </si>
  <si>
    <t>wdStyleBodyTextFirstIndent2</t>
  </si>
  <si>
    <t>Body Text First Indent 2</t>
  </si>
  <si>
    <t>wdStyleNoteHeading</t>
  </si>
  <si>
    <t>Note Heading</t>
  </si>
  <si>
    <t>wdStyleBodyText2</t>
  </si>
  <si>
    <t>Body Text 2</t>
  </si>
  <si>
    <t>wdStyleBodyText3</t>
  </si>
  <si>
    <t>Body Text 3</t>
  </si>
  <si>
    <t>wdStyleBodyTextIndent2</t>
  </si>
  <si>
    <t>Body Text Indent 2</t>
  </si>
  <si>
    <t>wdStyleBodyTextIndent3</t>
  </si>
  <si>
    <t>Body Text Indent 3</t>
  </si>
  <si>
    <t>wdStyleBlockQuotation</t>
  </si>
  <si>
    <t>Block Text</t>
  </si>
  <si>
    <t>wdStyleNavPane</t>
  </si>
  <si>
    <t>Document Map</t>
  </si>
  <si>
    <t>wdStylePlainText</t>
  </si>
  <si>
    <t>Plain Text</t>
  </si>
  <si>
    <t>E-mail Signature</t>
  </si>
  <si>
    <t>z-Top of Form</t>
  </si>
  <si>
    <t>z-Bottom of Form</t>
  </si>
  <si>
    <t>wdStyleHtmlNormal</t>
  </si>
  <si>
    <t>Normal (Web)</t>
  </si>
  <si>
    <t>wdStyleHtmlAddress</t>
  </si>
  <si>
    <t>HTML Address</t>
  </si>
  <si>
    <t>wdStyleHtmlPre</t>
  </si>
  <si>
    <t>HTML Preformatted</t>
  </si>
  <si>
    <t>Comment Subject</t>
  </si>
  <si>
    <t>Balloon Text</t>
  </si>
  <si>
    <t>wdStyleNormalObject</t>
  </si>
  <si>
    <t>No Spacing</t>
  </si>
  <si>
    <t>Revision</t>
  </si>
  <si>
    <t>wdStyleListParagraph</t>
  </si>
  <si>
    <t>List Paragraph</t>
  </si>
  <si>
    <t>wdStyleQuote</t>
  </si>
  <si>
    <t>Quote</t>
  </si>
  <si>
    <t>wdStyleIntenseQuote</t>
  </si>
  <si>
    <t>Intense Quote</t>
  </si>
  <si>
    <t>wdStyleBibliography</t>
  </si>
  <si>
    <t>Bibliography</t>
  </si>
  <si>
    <t>wdStyleTocHeading</t>
  </si>
  <si>
    <t>TOC Heading</t>
  </si>
  <si>
    <t>wdStyleNormalTable</t>
  </si>
  <si>
    <t>Table Normal</t>
  </si>
  <si>
    <t>Table Simple 1</t>
  </si>
  <si>
    <t>Table Simple 2</t>
  </si>
  <si>
    <t>Table Simple 3</t>
  </si>
  <si>
    <t>Table Classic 1</t>
  </si>
  <si>
    <t>Table Classic 2</t>
  </si>
  <si>
    <t>Table Classic 3</t>
  </si>
  <si>
    <t>Table Classic 4</t>
  </si>
  <si>
    <t>Table Colorful 1</t>
  </si>
  <si>
    <t>Table Colorful 2</t>
  </si>
  <si>
    <t>Table Colorful 3</t>
  </si>
  <si>
    <t>Table Columns 1</t>
  </si>
  <si>
    <t>Table Columns 2</t>
  </si>
  <si>
    <t>Table Columns 3</t>
  </si>
  <si>
    <t>Table Columns 4</t>
  </si>
  <si>
    <t>Table Columns 5</t>
  </si>
  <si>
    <t>Table Grid 1</t>
  </si>
  <si>
    <t>Table Grid 2</t>
  </si>
  <si>
    <t>Table Grid 3</t>
  </si>
  <si>
    <t>Table Grid 4</t>
  </si>
  <si>
    <t>Table Grid 5</t>
  </si>
  <si>
    <t>Table Grid 6</t>
  </si>
  <si>
    <t>Table Grid 7</t>
  </si>
  <si>
    <t>Table Grid 8</t>
  </si>
  <si>
    <t>Table List 1</t>
  </si>
  <si>
    <t>Table List 2</t>
  </si>
  <si>
    <t>Table List 3</t>
  </si>
  <si>
    <t>Table List 4</t>
  </si>
  <si>
    <t>Table List 5</t>
  </si>
  <si>
    <t>Table List 6</t>
  </si>
  <si>
    <t>Table List 7</t>
  </si>
  <si>
    <t>Table List 8</t>
  </si>
  <si>
    <t>Table 3D effects 1</t>
  </si>
  <si>
    <t>Table 3D effects 2</t>
  </si>
  <si>
    <t>Table 3D effects 3</t>
  </si>
  <si>
    <t>Table Contemporary</t>
  </si>
  <si>
    <t>Table Elegant</t>
  </si>
  <si>
    <t>Table Professional</t>
  </si>
  <si>
    <t>Table Subtle 1</t>
  </si>
  <si>
    <t>Table Subtle 2</t>
  </si>
  <si>
    <t>Table Web 1</t>
  </si>
  <si>
    <t>Table Web 2</t>
  </si>
  <si>
    <t>Table Web 3</t>
  </si>
  <si>
    <t>Table Grid</t>
  </si>
  <si>
    <t>Table Theme</t>
  </si>
  <si>
    <t>wdStyleTableLightShading</t>
  </si>
  <si>
    <t>Light Shading</t>
  </si>
  <si>
    <t>wdStyleTableLightList</t>
  </si>
  <si>
    <t>Light List</t>
  </si>
  <si>
    <t>wdStyleTableLightGrid</t>
  </si>
  <si>
    <t>Light Grid</t>
  </si>
  <si>
    <t>wdStyleTableMediumShading1</t>
  </si>
  <si>
    <t>Medium Shading 1</t>
  </si>
  <si>
    <t>wdStyleTableMediumShading2</t>
  </si>
  <si>
    <t>Medium Shading 2</t>
  </si>
  <si>
    <t>wdStyleTableMediumList1</t>
  </si>
  <si>
    <t>Medium List 1</t>
  </si>
  <si>
    <t>wdStyleTableMediumList2</t>
  </si>
  <si>
    <t>Medium List 2</t>
  </si>
  <si>
    <t>wdStyleTableMediumGrid1</t>
  </si>
  <si>
    <t>Medium Grid 1</t>
  </si>
  <si>
    <t>wdStyleTableMediumGrid2</t>
  </si>
  <si>
    <t>Medium Grid 2</t>
  </si>
  <si>
    <t>wdStyleTableMediumGrid3</t>
  </si>
  <si>
    <t>Medium Grid 3</t>
  </si>
  <si>
    <t>wdStyleTableDarkList</t>
  </si>
  <si>
    <t>Dark List</t>
  </si>
  <si>
    <t>wdStyleTableColorfulShading</t>
  </si>
  <si>
    <t>Colorful Shading</t>
  </si>
  <si>
    <t>wdStyleTableColorfulList</t>
  </si>
  <si>
    <t>Colorful List</t>
  </si>
  <si>
    <t>wdStyleTableColorfulGrid</t>
  </si>
  <si>
    <t>Colorful Grid</t>
  </si>
  <si>
    <t>wdStyleTableLightShadingAccent1</t>
  </si>
  <si>
    <t>Light Shading - Accent 1</t>
  </si>
  <si>
    <t>wdStyleTableLightListAccent1</t>
  </si>
  <si>
    <t>Light List - Accent 1</t>
  </si>
  <si>
    <t>wdStyleTableLightGridAccent1</t>
  </si>
  <si>
    <t>Light Grid - Accent 1</t>
  </si>
  <si>
    <t>wdStyleTableMediumShading1Accent1</t>
  </si>
  <si>
    <t>Medium Shading 1 - Accent 1</t>
  </si>
  <si>
    <t>wdStyleTableMediumShading2Accent1</t>
  </si>
  <si>
    <t>Medium Shading 2 - Accent 1</t>
  </si>
  <si>
    <t>wdStyleTableMediumList1Accent1</t>
  </si>
  <si>
    <t>Medium List 1 - Accent 1</t>
  </si>
  <si>
    <t>Medium List 2 - Accent 1</t>
  </si>
  <si>
    <t>Medium Grid 1 - Accent 1</t>
  </si>
  <si>
    <t>Medium Grid 2 - Accent 1</t>
  </si>
  <si>
    <t>Medium Grid 3 - Accent 1</t>
  </si>
  <si>
    <t>Dark List - Accent 1</t>
  </si>
  <si>
    <t>Colorful Shading - Accent 1</t>
  </si>
  <si>
    <t>Colorful List - Accent 1</t>
  </si>
  <si>
    <t>Colorful Grid - Accent 1</t>
  </si>
  <si>
    <t>Light Shading - Accent 2</t>
  </si>
  <si>
    <t>Light List - Accent 2</t>
  </si>
  <si>
    <t>Light Grid - Accent 2</t>
  </si>
  <si>
    <t>Medium Shading 1 - Accent 2</t>
  </si>
  <si>
    <t>Medium Shading 2 - Accent 2</t>
  </si>
  <si>
    <t>Medium List 1 - Accent 2</t>
  </si>
  <si>
    <t>Medium List 2 - Accent 2</t>
  </si>
  <si>
    <t>Medium Grid 1 - Accent 2</t>
  </si>
  <si>
    <t>Medium Grid 2 - Accent 2</t>
  </si>
  <si>
    <t>Medium Grid 3 - Accent 2</t>
  </si>
  <si>
    <t>Dark List - Accent 2</t>
  </si>
  <si>
    <t>Colorful Shading - Accent 2</t>
  </si>
  <si>
    <t>Colorful List - Accent 2</t>
  </si>
  <si>
    <t>Colorful Grid - Accent 2</t>
  </si>
  <si>
    <t>Light Shading - Accent 3</t>
  </si>
  <si>
    <t>Light List - Accent 3</t>
  </si>
  <si>
    <t>Light Grid - Accent 3</t>
  </si>
  <si>
    <t>Medium Shading 1 - Accent 3</t>
  </si>
  <si>
    <t>Medium Shading 2 - Accent 3</t>
  </si>
  <si>
    <t>Medium List 1 - Accent 3</t>
  </si>
  <si>
    <t>Medium List 2 - Accent 3</t>
  </si>
  <si>
    <t>Medium Grid 1 - Accent 3</t>
  </si>
  <si>
    <t>Medium Grid 2 - Accent 3</t>
  </si>
  <si>
    <t>Medium Grid 3 - Accent 3</t>
  </si>
  <si>
    <t>Dark List - Accent 3</t>
  </si>
  <si>
    <t>Colorful Shading - Accent 3</t>
  </si>
  <si>
    <t>Colorful List - Accent 3</t>
  </si>
  <si>
    <t>Colorful Grid - Accent 3</t>
  </si>
  <si>
    <t>Light Shading - Accent 4</t>
  </si>
  <si>
    <t>Light List - Accent 4</t>
  </si>
  <si>
    <t>Light Grid - Accent 4</t>
  </si>
  <si>
    <t>Medium Shading 1 - Accent 4</t>
  </si>
  <si>
    <t>Medium Shading 2 - Accent 4</t>
  </si>
  <si>
    <t>Medium List 1 - Accent 4</t>
  </si>
  <si>
    <t>Medium List 2 - Accent 4</t>
  </si>
  <si>
    <t>Medium Grid 1 - Accent 4</t>
  </si>
  <si>
    <t>Medium Grid 2 - Accent 4</t>
  </si>
  <si>
    <t>Medium Grid 3 - Accent 4</t>
  </si>
  <si>
    <t>Dark List - Accent 4</t>
  </si>
  <si>
    <t>Colorful Shading - Accent 4</t>
  </si>
  <si>
    <t>Colorful List - Accent 4</t>
  </si>
  <si>
    <t>Colorful Grid - Accent 4</t>
  </si>
  <si>
    <t>Light Shading - Accent 5</t>
  </si>
  <si>
    <t>Light List - Accent 5</t>
  </si>
  <si>
    <t>Light Grid - Accent 5</t>
  </si>
  <si>
    <t>Medium Shading 1 - Accent 5</t>
  </si>
  <si>
    <t>Medium Shading 2 - Accent 5</t>
  </si>
  <si>
    <t>Medium List 1 - Accent 5</t>
  </si>
  <si>
    <t>Medium List 2 - Accent 5</t>
  </si>
  <si>
    <t>Medium Grid 1 - Accent 5</t>
  </si>
  <si>
    <t>Medium Grid 2 - Accent 5</t>
  </si>
  <si>
    <t>Medium Grid 3 - Accent 5</t>
  </si>
  <si>
    <t>Dark List - Accent 5</t>
  </si>
  <si>
    <t>Colorful Shading - Accent 5</t>
  </si>
  <si>
    <t>Colorful List - Accent 5</t>
  </si>
  <si>
    <t>Colorful Grid - Accent 5</t>
  </si>
  <si>
    <t>Light Shading - Accent 6</t>
  </si>
  <si>
    <t>Light List - Accent 6</t>
  </si>
  <si>
    <t>Light Grid - Accent 6</t>
  </si>
  <si>
    <t>Medium Shading 1 - Accent 6</t>
  </si>
  <si>
    <t>Medium Shading 2 - Accent 6</t>
  </si>
  <si>
    <t>Medium List 1 - Accent 6</t>
  </si>
  <si>
    <t>Medium List 2 - Accent 6</t>
  </si>
  <si>
    <t>Medium Grid 1 - Accent 6</t>
  </si>
  <si>
    <t>Medium Grid 2 - Accent 6</t>
  </si>
  <si>
    <t>Medium Grid 3 - Accent 6</t>
  </si>
  <si>
    <t>Dark List - Accent 6</t>
  </si>
  <si>
    <t>Colorful Shading - Accent 6</t>
  </si>
  <si>
    <t>Colorful List - Accent 6</t>
  </si>
  <si>
    <t>Colorful Grid - Accent 6</t>
  </si>
  <si>
    <t>Plain Table 1</t>
  </si>
  <si>
    <t>Plain Table 2</t>
  </si>
  <si>
    <t>Plain Table 3</t>
  </si>
  <si>
    <t>Plain Table 4</t>
  </si>
  <si>
    <t>Plain Table 5</t>
  </si>
  <si>
    <t>Table Grid Light</t>
  </si>
  <si>
    <t>Grid Table 1 Light</t>
  </si>
  <si>
    <t>Grid Table 2</t>
  </si>
  <si>
    <t>Grid Table 3</t>
  </si>
  <si>
    <t>Grid Table 4</t>
  </si>
  <si>
    <t>Grid Table 5 Dark</t>
  </si>
  <si>
    <t>Grid Table 6 Colorful</t>
  </si>
  <si>
    <t>Grid Table 7 Colorful</t>
  </si>
  <si>
    <t>Grid Table 1 Light - Accent 1</t>
  </si>
  <si>
    <t>Grid Table 2 - Accent 1</t>
  </si>
  <si>
    <t>Grid Table 3 - Accent 1</t>
  </si>
  <si>
    <t>Grid Table 4 - Accent 1</t>
  </si>
  <si>
    <t>Grid Table 5 Dark - Accent 1</t>
  </si>
  <si>
    <t>Grid Table 6 Colorful - Accent 1</t>
  </si>
  <si>
    <t>Grid Table 7 Colorful - Accent 1</t>
  </si>
  <si>
    <t>Grid Table 1 Light - Accent 2</t>
  </si>
  <si>
    <t>Grid Table 2 - Accent 2</t>
  </si>
  <si>
    <t>Grid Table 3 - Accent 2</t>
  </si>
  <si>
    <t>Grid Table 4 - Accent 2</t>
  </si>
  <si>
    <t>Grid Table 5 Dark - Accent 2</t>
  </si>
  <si>
    <t>Grid Table 6 Colorful - Accent 2</t>
  </si>
  <si>
    <t>Grid Table 7 Colorful - Accent 2</t>
  </si>
  <si>
    <t>Grid Table 1 Light - Accent 3</t>
  </si>
  <si>
    <t>Grid Table 2 - Accent 3</t>
  </si>
  <si>
    <t>Grid Table 3 - Accent 3</t>
  </si>
  <si>
    <t>Grid Table 4 - Accent 3</t>
  </si>
  <si>
    <t>Grid Table 5 Dark - Accent 3</t>
  </si>
  <si>
    <t>Grid Table 6 Colorful - Accent 3</t>
  </si>
  <si>
    <t>Grid Table 7 Colorful - Accent 3</t>
  </si>
  <si>
    <t>Grid Table 1 Light - Accent 4</t>
  </si>
  <si>
    <t>Grid Table 2 - Accent 4</t>
  </si>
  <si>
    <t>Grid Table 3 - Accent 4</t>
  </si>
  <si>
    <t>Grid Table 4 - Accent 4</t>
  </si>
  <si>
    <t>Grid Table 5 Dark - Accent 4</t>
  </si>
  <si>
    <t>Grid Table 6 Colorful - Accent 4</t>
  </si>
  <si>
    <t>Grid Table 7 Colorful - Accent 4</t>
  </si>
  <si>
    <t>Grid Table 1 Light - Accent 5</t>
  </si>
  <si>
    <t>Grid Table 2 - Accent 5</t>
  </si>
  <si>
    <t>Grid Table 3 - Accent 5</t>
  </si>
  <si>
    <t>Grid Table 4 - Accent 5</t>
  </si>
  <si>
    <t>Grid Table 5 Dark - Accent 5</t>
  </si>
  <si>
    <t>Grid Table 6 Colorful - Accent 5</t>
  </si>
  <si>
    <t>Grid Table 7 Colorful - Accent 5</t>
  </si>
  <si>
    <t>Grid Table 1 Light - Accent 6</t>
  </si>
  <si>
    <t>Grid Table 2 - Accent 6</t>
  </si>
  <si>
    <t>Grid Table 3 - Accent 6</t>
  </si>
  <si>
    <t>Grid Table 4 - Accent 6</t>
  </si>
  <si>
    <t>Grid Table 5 Dark - Accent 6</t>
  </si>
  <si>
    <t>Grid Table 6 Colorful - Accent 6</t>
  </si>
  <si>
    <t>Grid Table 7 Colorful - Accent 6</t>
  </si>
  <si>
    <t>List Table 1 Light</t>
  </si>
  <si>
    <t>List Table 2</t>
  </si>
  <si>
    <t>List Table 3</t>
  </si>
  <si>
    <t>List Table 4</t>
  </si>
  <si>
    <t>List Table 5 Dark</t>
  </si>
  <si>
    <t>List Table 6 Colorful</t>
  </si>
  <si>
    <t>List Table 7 Colorful</t>
  </si>
  <si>
    <t>List Table 1 Light - Accent 1</t>
  </si>
  <si>
    <t>List Table 2 - Accent 1</t>
  </si>
  <si>
    <t>List Table 3 - Accent 1</t>
  </si>
  <si>
    <t>List Table 4 - Accent 1</t>
  </si>
  <si>
    <t>List Table 5 Dark - Accent 1</t>
  </si>
  <si>
    <t>List Table 6 Colorful - Accent 1</t>
  </si>
  <si>
    <t>List Table 7 Colorful - Accent 1</t>
  </si>
  <si>
    <t>List Table 1 Light - Accent 2</t>
  </si>
  <si>
    <t>List Table 2 - Accent 2</t>
  </si>
  <si>
    <t>List Table 3 - Accent 2</t>
  </si>
  <si>
    <t>List Table 4 - Accent 2</t>
  </si>
  <si>
    <t>List Table 5 Dark - Accent 2</t>
  </si>
  <si>
    <t>List Table 6 Colorful - Accent 2</t>
  </si>
  <si>
    <t>List Table 7 Colorful - Accent 2</t>
  </si>
  <si>
    <t>List Table 1 Light - Accent 3</t>
  </si>
  <si>
    <t>List Table 2 - Accent 3</t>
  </si>
  <si>
    <t>List Table 3 - Accent 3</t>
  </si>
  <si>
    <t>List Table 4 - Accent 3</t>
  </si>
  <si>
    <t>List Table 5 Dark - Accent 3</t>
  </si>
  <si>
    <t>List Table 6 Colorful - Accent 3</t>
  </si>
  <si>
    <t>List Table 7 Colorful - Accent 3</t>
  </si>
  <si>
    <t>List Table 1 Light - Accent 4</t>
  </si>
  <si>
    <t>List Table 2 - Accent 4</t>
  </si>
  <si>
    <t>List Table 3 - Accent 4</t>
  </si>
  <si>
    <t>List Table 4 - Accent 4</t>
  </si>
  <si>
    <t>List Table 5 Dark - Accent 4</t>
  </si>
  <si>
    <t>List Table 6 Colorful - Accent 4</t>
  </si>
  <si>
    <t>List Table 7 Colorful - Accent 4</t>
  </si>
  <si>
    <t>List Table 1 Light - Accent 5</t>
  </si>
  <si>
    <t>List Table 2 - Accent 5</t>
  </si>
  <si>
    <t>List Table 3 - Accent 5</t>
  </si>
  <si>
    <t>List Table 4 - Accent 5</t>
  </si>
  <si>
    <t>List Table 5 Dark - Accent 5</t>
  </si>
  <si>
    <t>List Table 6 Colorful - Accent 5</t>
  </si>
  <si>
    <t>List Table 7 Colorful - Accent 5</t>
  </si>
  <si>
    <t>List Table 1 Light - Accent 6</t>
  </si>
  <si>
    <t>List Table 2 - Accent 6</t>
  </si>
  <si>
    <t>List Table 3 - Accent 6</t>
  </si>
  <si>
    <t>List Table 4 - Accent 6</t>
  </si>
  <si>
    <t>List Table 5 Dark - Accent 6</t>
  </si>
  <si>
    <t>List Table 6 Colorful - Accent 6</t>
  </si>
  <si>
    <t>List Table 7 Colorful - Accent 6</t>
  </si>
  <si>
    <t>&lt;h1&gt;</t>
  </si>
  <si>
    <t>&lt;h2&gt;</t>
  </si>
  <si>
    <t>&lt;h3&gt;</t>
  </si>
  <si>
    <t>&lt;h4&gt;</t>
  </si>
  <si>
    <t>&lt;h5&gt;</t>
  </si>
  <si>
    <t>&lt;h6&gt;</t>
  </si>
  <si>
    <t>Column12</t>
  </si>
  <si>
    <t>accordion--base</t>
  </si>
  <si>
    <t>scss/mixins/body_molecules/content/_accordion.scss</t>
  </si>
  <si>
    <t>accordion--body</t>
  </si>
  <si>
    <t>accordion--button</t>
  </si>
  <si>
    <t>accordion--flush</t>
  </si>
  <si>
    <t>accordion--header</t>
  </si>
  <si>
    <t>accordion--item</t>
  </si>
  <si>
    <t>paragraph_address</t>
  </si>
  <si>
    <t>scss/mixins/soul_type/paragraph/_address.scss</t>
  </si>
  <si>
    <t>alert</t>
  </si>
  <si>
    <t>scss/mixins/body_atoms/display/_alert.scss</t>
  </si>
  <si>
    <t>alert--base</t>
  </si>
  <si>
    <t>alert--error</t>
  </si>
  <si>
    <t>alert--info</t>
  </si>
  <si>
    <t>alert--success</t>
  </si>
  <si>
    <t>alert--variant</t>
  </si>
  <si>
    <t>alert--warning</t>
  </si>
  <si>
    <t>align_content</t>
  </si>
  <si>
    <t>scss/mixins/head_layout/position/_align_content.scss</t>
  </si>
  <si>
    <t>align_content--around</t>
  </si>
  <si>
    <t>align_content--between</t>
  </si>
  <si>
    <t>align_content--center</t>
  </si>
  <si>
    <t>align_content--end</t>
  </si>
  <si>
    <t>align_content--evenly</t>
  </si>
  <si>
    <t>align_content--start</t>
  </si>
  <si>
    <t>align_content--stretch</t>
  </si>
  <si>
    <t>align--baseline</t>
  </si>
  <si>
    <t>scss/mixins/head_layout/position/_align_items.scss</t>
  </si>
  <si>
    <t>align--center</t>
  </si>
  <si>
    <t>align--end</t>
  </si>
  <si>
    <t>align--start</t>
  </si>
  <si>
    <t>align--stretch</t>
  </si>
  <si>
    <t>align_self--auto</t>
  </si>
  <si>
    <t>scss/mixins/head_layout/position/_align_self.scss</t>
  </si>
  <si>
    <t>align_self--baseline</t>
  </si>
  <si>
    <t>align_self--center</t>
  </si>
  <si>
    <t>align_self--end</t>
  </si>
  <si>
    <t>align_self--flex_end</t>
  </si>
  <si>
    <t>align_self--flex_start</t>
  </si>
  <si>
    <t>align_self--normal</t>
  </si>
  <si>
    <t>align_self--self_end</t>
  </si>
  <si>
    <t>align_self--self_start</t>
  </si>
  <si>
    <t>align_self--start</t>
  </si>
  <si>
    <t>align_self--stretch</t>
  </si>
  <si>
    <t>self--auto</t>
  </si>
  <si>
    <t>self--baseline</t>
  </si>
  <si>
    <t>self--center</t>
  </si>
  <si>
    <t>self--end</t>
  </si>
  <si>
    <t>self--start</t>
  </si>
  <si>
    <t>self--stretch</t>
  </si>
  <si>
    <t>badge</t>
  </si>
  <si>
    <t>scss/mixins/body_atoms/status/_badge.scss</t>
  </si>
  <si>
    <t>badge--accent</t>
  </si>
  <si>
    <t>badge--accent-secondary</t>
  </si>
  <si>
    <t>badge--base</t>
  </si>
  <si>
    <t>badge--button-positioned</t>
  </si>
  <si>
    <t>badge--dot</t>
  </si>
  <si>
    <t>badge--error</t>
  </si>
  <si>
    <t>badge--info</t>
  </si>
  <si>
    <t>badge--pill</t>
  </si>
  <si>
    <t>badge--positioned</t>
  </si>
  <si>
    <t>badge--positioned-container</t>
  </si>
  <si>
    <t>badge--positioned-start</t>
  </si>
  <si>
    <t>badge--rounded</t>
  </si>
  <si>
    <t>badge--size</t>
  </si>
  <si>
    <t>badge--size-lg</t>
  </si>
  <si>
    <t>badge--size-md</t>
  </si>
  <si>
    <t>badge--size-sm</t>
  </si>
  <si>
    <t>badge--size-xl</t>
  </si>
  <si>
    <t>badge--size-xs</t>
  </si>
  <si>
    <t>badge--squared</t>
  </si>
  <si>
    <t>badge--success</t>
  </si>
  <si>
    <t>badge--warning</t>
  </si>
  <si>
    <t>banner</t>
  </si>
  <si>
    <t>scss/dev/_banner.scss</t>
  </si>
  <si>
    <t>display_block</t>
  </si>
  <si>
    <t>scss/mixins/head_layout/display/_base.scss</t>
  </si>
  <si>
    <t>display_contents</t>
  </si>
  <si>
    <t>display_flex</t>
  </si>
  <si>
    <t>display_grid</t>
  </si>
  <si>
    <t>display_inline</t>
  </si>
  <si>
    <t>display_inline-block</t>
  </si>
  <si>
    <t>display_inline-flex</t>
  </si>
  <si>
    <t>display_inline-grid</t>
  </si>
  <si>
    <t>display_none</t>
  </si>
  <si>
    <t>display_table</t>
  </si>
  <si>
    <t>display_table-cell</t>
  </si>
  <si>
    <t>flex</t>
  </si>
  <si>
    <t>scss/mixins/head_layout/flex/_base.scss</t>
  </si>
  <si>
    <t>flex--inline</t>
  </si>
  <si>
    <t>grid--base</t>
  </si>
  <si>
    <t>scss/mixins/head_layout/grid/_base.scss</t>
  </si>
  <si>
    <t>grid--base--inline</t>
  </si>
  <si>
    <t>character--default</t>
  </si>
  <si>
    <t>scss/mixins/soul_type/character/_base_default.scss</t>
  </si>
  <si>
    <t>character--normal</t>
  </si>
  <si>
    <t>scss/mixins/soul_type/character/_base_normal.scss</t>
  </si>
  <si>
    <t>border_color</t>
  </si>
  <si>
    <t>scss/mixins/soul_line/_border_color.scss</t>
  </si>
  <si>
    <t>border_color_alert</t>
  </si>
  <si>
    <t>border_color_primary</t>
  </si>
  <si>
    <t>border_color_secondary</t>
  </si>
  <si>
    <t>border_gradient</t>
  </si>
  <si>
    <t>gradient-border</t>
  </si>
  <si>
    <t>border_animated</t>
  </si>
  <si>
    <t>scss/mixins/soul_line/_border_effects.scss</t>
  </si>
  <si>
    <t>border_dotted-animated</t>
  </si>
  <si>
    <t>border_hover_effect</t>
  </si>
  <si>
    <t>vignette</t>
  </si>
  <si>
    <t>border-responsive</t>
  </si>
  <si>
    <t>scss/mixins/soul_line/_border_responsive.scss</t>
  </si>
  <si>
    <t>border_responsive</t>
  </si>
  <si>
    <t>border_responsive_thickness</t>
  </si>
  <si>
    <t>border--bottom</t>
  </si>
  <si>
    <t>scss/mixins/soul_line/_border_side.scss</t>
  </si>
  <si>
    <t>border--horizontal</t>
  </si>
  <si>
    <t>border--left</t>
  </si>
  <si>
    <t>border--right</t>
  </si>
  <si>
    <t>border--top</t>
  </si>
  <si>
    <t>border--vertical</t>
  </si>
  <si>
    <t>border_all</t>
  </si>
  <si>
    <t>border_side</t>
  </si>
  <si>
    <t>border--dashed</t>
  </si>
  <si>
    <t>scss/mixins/soul_line/_border_style.scss</t>
  </si>
  <si>
    <t>border--dotted</t>
  </si>
  <si>
    <t>border--double</t>
  </si>
  <si>
    <t>border--groove</t>
  </si>
  <si>
    <t>border--hidden</t>
  </si>
  <si>
    <t>border--inset</t>
  </si>
  <si>
    <t>border--none</t>
  </si>
  <si>
    <t>border--outset</t>
  </si>
  <si>
    <t>border--ridge</t>
  </si>
  <si>
    <t>border--solid</t>
  </si>
  <si>
    <t>border--transparent</t>
  </si>
  <si>
    <t>border_style</t>
  </si>
  <si>
    <t>border_style_custom</t>
  </si>
  <si>
    <t>border_transparent</t>
  </si>
  <si>
    <t>border_medium</t>
  </si>
  <si>
    <t>scss/mixins/soul_line/_border_width.scss</t>
  </si>
  <si>
    <t>border_thick</t>
  </si>
  <si>
    <t>border_thin</t>
  </si>
  <si>
    <t>border_width_01</t>
  </si>
  <si>
    <t>border_width_02</t>
  </si>
  <si>
    <t>border_width_03</t>
  </si>
  <si>
    <t>border_width_04</t>
  </si>
  <si>
    <t>border_width_05</t>
  </si>
  <si>
    <t>border_width_06</t>
  </si>
  <si>
    <t>border_width_07</t>
  </si>
  <si>
    <t>border_width_08</t>
  </si>
  <si>
    <t>border_width_09</t>
  </si>
  <si>
    <t>border_width_10</t>
  </si>
  <si>
    <t>border_width_multiplier</t>
  </si>
  <si>
    <t>border_width_side</t>
  </si>
  <si>
    <t>no_border--bottom</t>
  </si>
  <si>
    <t>no_border--left</t>
  </si>
  <si>
    <t>no_border--right</t>
  </si>
  <si>
    <t>no_border--top</t>
  </si>
  <si>
    <t>box--size</t>
  </si>
  <si>
    <t>scss/mixins/body_atoms/layout/_box.scss</t>
  </si>
  <si>
    <t>box--size_rect</t>
  </si>
  <si>
    <t>box--surface</t>
  </si>
  <si>
    <t>scss/mixins/body_atoms/layout/_box_surface.scss</t>
  </si>
  <si>
    <t>box--surface_1</t>
  </si>
  <si>
    <t>box--surface_2</t>
  </si>
  <si>
    <t>box--surface_3</t>
  </si>
  <si>
    <t>breadcrumb--base</t>
  </si>
  <si>
    <t>scss/mixins/body_molecules/content/_breadcrumb.scss</t>
  </si>
  <si>
    <t>breadcrumb--item</t>
  </si>
  <si>
    <t>breadcrumb--list</t>
  </si>
  <si>
    <t>scss/mixins/body_atoms/buttons/_button.scss</t>
  </si>
  <si>
    <t>button--accent</t>
  </si>
  <si>
    <t>button--base</t>
  </si>
  <si>
    <t>button--block</t>
  </si>
  <si>
    <t>button--clear</t>
  </si>
  <si>
    <t>button--danger</t>
  </si>
  <si>
    <t>button--disabled</t>
  </si>
  <si>
    <t>button--focus-visible</t>
  </si>
  <si>
    <t>button--ghost</t>
  </si>
  <si>
    <t>button--icon</t>
  </si>
  <si>
    <t>button--info</t>
  </si>
  <si>
    <t>button--link</t>
  </si>
  <si>
    <t>button--loading</t>
  </si>
  <si>
    <t>button--outline</t>
  </si>
  <si>
    <t>button--pill</t>
  </si>
  <si>
    <t>button--primary</t>
  </si>
  <si>
    <t>button--reset</t>
  </si>
  <si>
    <t>button--rounded</t>
  </si>
  <si>
    <t>button--secondary</t>
  </si>
  <si>
    <t>button--size</t>
  </si>
  <si>
    <t>button--size-lg</t>
  </si>
  <si>
    <t>button--size-md</t>
  </si>
  <si>
    <t>button--size-sm</t>
  </si>
  <si>
    <t>button--size-xl</t>
  </si>
  <si>
    <t>button--size-xs</t>
  </si>
  <si>
    <t>button--solid</t>
  </si>
  <si>
    <t>button--spin-keyframes</t>
  </si>
  <si>
    <t>button--square</t>
  </si>
  <si>
    <t>button--success</t>
  </si>
  <si>
    <t>button--warning</t>
  </si>
  <si>
    <t>flipper--down</t>
  </si>
  <si>
    <t>scss/mixins/body_atoms/buttons/_button_flipper.scss</t>
  </si>
  <si>
    <t>flipper--left</t>
  </si>
  <si>
    <t>flipper--right</t>
  </si>
  <si>
    <t>flipper--up</t>
  </si>
  <si>
    <t>flipper_button--base</t>
  </si>
  <si>
    <t>flipper_button--base--horizontal</t>
  </si>
  <si>
    <t>flipper_button--base--vertical</t>
  </si>
  <si>
    <t>button-group--vertical</t>
  </si>
  <si>
    <t>scss/mixins/body_molecules/navigation/_button_group.scss</t>
  </si>
  <si>
    <t>button_group</t>
  </si>
  <si>
    <t>button_group--vertical</t>
  </si>
  <si>
    <t>custom-select</t>
  </si>
  <si>
    <t>scss/mixins/body_atoms/buttons/_button_switch.scss</t>
  </si>
  <si>
    <t>custom-select-select</t>
  </si>
  <si>
    <t>same-as-selected</t>
  </si>
  <si>
    <t>select-hide</t>
  </si>
  <si>
    <t>select-items</t>
  </si>
  <si>
    <t>select-items-div-and-selected</t>
  </si>
  <si>
    <t>select-selected</t>
  </si>
  <si>
    <t>select-selected-after</t>
  </si>
  <si>
    <t>select-selected-arrow-active-after</t>
  </si>
  <si>
    <t>scss/mixins/body_organisms/_canvas.scss</t>
  </si>
  <si>
    <t>canvas--child</t>
  </si>
  <si>
    <t>canvas_color</t>
  </si>
  <si>
    <t>canvas_gradient</t>
  </si>
  <si>
    <t>particles-js</t>
  </si>
  <si>
    <t>scss/mixins/body_atoms/display/_caption.scss</t>
  </si>
  <si>
    <t>card--base</t>
  </si>
  <si>
    <t>scss/mixins/body_molecules/cards/_card.scss</t>
  </si>
  <si>
    <t>card--body</t>
  </si>
  <si>
    <t>card--elevated</t>
  </si>
  <si>
    <t>card--flat</t>
  </si>
  <si>
    <t>card--footer</t>
  </si>
  <si>
    <t>card--header</t>
  </si>
  <si>
    <t>card--horizontal</t>
  </si>
  <si>
    <t>card--hover</t>
  </si>
  <si>
    <t>card--interactive</t>
  </si>
  <si>
    <t>card--outlined</t>
  </si>
  <si>
    <t>card--size-lg</t>
  </si>
  <si>
    <t>card--size-md</t>
  </si>
  <si>
    <t>card--size-sm</t>
  </si>
  <si>
    <t>card-grid</t>
  </si>
  <si>
    <t>card-grid-columns</t>
  </si>
  <si>
    <t>card__actions</t>
  </si>
  <si>
    <t>card__image</t>
  </si>
  <si>
    <t>card__image--top</t>
  </si>
  <si>
    <t>card__subtitle</t>
  </si>
  <si>
    <t>card__text</t>
  </si>
  <si>
    <t>card__title</t>
  </si>
  <si>
    <t>card--danger</t>
  </si>
  <si>
    <t>scss/mixins/body_molecules/cards/_card_extended.scss</t>
  </si>
  <si>
    <t>card--info</t>
  </si>
  <si>
    <t>card--outline-danger</t>
  </si>
  <si>
    <t>card--outline-info</t>
  </si>
  <si>
    <t>card--outline-primary</t>
  </si>
  <si>
    <t>card--outline-success</t>
  </si>
  <si>
    <t>card--outline-warning</t>
  </si>
  <si>
    <t>card--primary</t>
  </si>
  <si>
    <t>card--success</t>
  </si>
  <si>
    <t>card--warning</t>
  </si>
  <si>
    <t>card__img--bottom</t>
  </si>
  <si>
    <t>card__img--top</t>
  </si>
  <si>
    <t>card__img_overlay</t>
  </si>
  <si>
    <t>card_columns</t>
  </si>
  <si>
    <t>card_deck</t>
  </si>
  <si>
    <t>card_extended--horizontal</t>
  </si>
  <si>
    <t>card_extended__footer</t>
  </si>
  <si>
    <t>card_extended__header</t>
  </si>
  <si>
    <t>card_group</t>
  </si>
  <si>
    <t>carousel--base</t>
  </si>
  <si>
    <t>scss/mixins/body_molecules/media/_carousel.scss</t>
  </si>
  <si>
    <t>carousel--slider</t>
  </si>
  <si>
    <t>carousel-fixed-item--base</t>
  </si>
  <si>
    <t>carousel-fixed-item--with-indicators</t>
  </si>
  <si>
    <t>carousel-indicators--base</t>
  </si>
  <si>
    <t>carousel-item--base</t>
  </si>
  <si>
    <t>carousel-item--h2</t>
  </si>
  <si>
    <t>carousel-item--img</t>
  </si>
  <si>
    <t>carousel-item--p</t>
  </si>
  <si>
    <t>carousel-item--slider</t>
  </si>
  <si>
    <t>indicator-item--active</t>
  </si>
  <si>
    <t>indicator-item--base</t>
  </si>
  <si>
    <t>materialboxed--disabled</t>
  </si>
  <si>
    <t>flex--basis</t>
  </si>
  <si>
    <t>scss/mixins/head_layout/flex/_child.scss</t>
  </si>
  <si>
    <t>flex--fill</t>
  </si>
  <si>
    <t>flex--grow</t>
  </si>
  <si>
    <t>flex--keep</t>
  </si>
  <si>
    <t>flex--order</t>
  </si>
  <si>
    <t>flex--shrink</t>
  </si>
  <si>
    <t>flex--size</t>
  </si>
  <si>
    <t>chip--base</t>
  </si>
  <si>
    <t>scss/mixins/body_molecules/content/_chip.scss</t>
  </si>
  <si>
    <t>chips--base</t>
  </si>
  <si>
    <t>chips--empty-label</t>
  </si>
  <si>
    <t>chips--with-prefix</t>
  </si>
  <si>
    <t>paragraph_cite</t>
  </si>
  <si>
    <t>scss/mixins/soul_type/paragraph/_cite.scss</t>
  </si>
  <si>
    <t>clearfix</t>
  </si>
  <si>
    <t>scss/mixins/head_layout/position/_clearfix.scss</t>
  </si>
  <si>
    <t>collapse--base</t>
  </si>
  <si>
    <t>scss/mixins/body_molecules/content/_collapse.scss</t>
  </si>
  <si>
    <t>collapse--card</t>
  </si>
  <si>
    <t>collapse--collapsing</t>
  </si>
  <si>
    <t>collapse--fade</t>
  </si>
  <si>
    <t>collapse--horizontal</t>
  </si>
  <si>
    <t>collapse--slide</t>
  </si>
  <si>
    <t>navbar--collapse</t>
  </si>
  <si>
    <t>navbar--toggler</t>
  </si>
  <si>
    <t>navbar--toggler-icon</t>
  </si>
  <si>
    <t>cookieconsent--base</t>
  </si>
  <si>
    <t>scss/mixins/body_molecules/content/_cookie.scss</t>
  </si>
  <si>
    <t>content_cover_arrow</t>
  </si>
  <si>
    <t>scss/mixins/body_molecules/content/_cover.scss</t>
  </si>
  <si>
    <t>content_cover_base</t>
  </si>
  <si>
    <t>content_cover_full</t>
  </si>
  <si>
    <t>content_cover_image</t>
  </si>
  <si>
    <t>content_cover_semi</t>
  </si>
  <si>
    <t>content_cover_title</t>
  </si>
  <si>
    <t>click</t>
  </si>
  <si>
    <t>scss/mixins/body_atoms/layout/_cursor.scss</t>
  </si>
  <si>
    <t>cursor</t>
  </si>
  <si>
    <t>cursor--all-scroll</t>
  </si>
  <si>
    <t>cursor--auto</t>
  </si>
  <si>
    <t>cursor--click</t>
  </si>
  <si>
    <t>cursor--crosshair</t>
  </si>
  <si>
    <t>cursor--default</t>
  </si>
  <si>
    <t>cursor--grab</t>
  </si>
  <si>
    <t>cursor--grabbing</t>
  </si>
  <si>
    <t>cursor--help</t>
  </si>
  <si>
    <t>cursor--move</t>
  </si>
  <si>
    <t>cursor--no-drop</t>
  </si>
  <si>
    <t>cursor--not-allowed</t>
  </si>
  <si>
    <t>cursor--pointer</t>
  </si>
  <si>
    <t>cursor--progress</t>
  </si>
  <si>
    <t>cursor--resize-e</t>
  </si>
  <si>
    <t>cursor--resize-ew</t>
  </si>
  <si>
    <t>cursor--resize-n</t>
  </si>
  <si>
    <t>cursor--resize-ne</t>
  </si>
  <si>
    <t>cursor--resize-nesw</t>
  </si>
  <si>
    <t>cursor--resize-ns</t>
  </si>
  <si>
    <t>cursor--resize-nw</t>
  </si>
  <si>
    <t>cursor--resize-nwse</t>
  </si>
  <si>
    <t>cursor--resize-s</t>
  </si>
  <si>
    <t>cursor--resize-se</t>
  </si>
  <si>
    <t>cursor--resize-sw</t>
  </si>
  <si>
    <t>cursor--resize-w</t>
  </si>
  <si>
    <t>cursor--text</t>
  </si>
  <si>
    <t>cursor--wait</t>
  </si>
  <si>
    <t>noclick</t>
  </si>
  <si>
    <t>debug</t>
  </si>
  <si>
    <t>scss/dev/_debug.scss</t>
  </si>
  <si>
    <t>paragraph--center</t>
  </si>
  <si>
    <t>scss/mixins/soul_type/paragraph/_default.scss</t>
  </si>
  <si>
    <t>paragraph--default</t>
  </si>
  <si>
    <t>paragraph--justify</t>
  </si>
  <si>
    <t>paragraph--justify--left</t>
  </si>
  <si>
    <t>paragraph--justify--right</t>
  </si>
  <si>
    <t>paragraph--left</t>
  </si>
  <si>
    <t>paragraph--normal</t>
  </si>
  <si>
    <t>paragraph--right</t>
  </si>
  <si>
    <t>deprecate</t>
  </si>
  <si>
    <t>scss/dev/_deprecation.scss</t>
  </si>
  <si>
    <t>dim</t>
  </si>
  <si>
    <t>scss/mixins/body_atoms/layout/_dimensions.scss</t>
  </si>
  <si>
    <t>dim--base</t>
  </si>
  <si>
    <t>dim--overlay</t>
  </si>
  <si>
    <t>dim--selected</t>
  </si>
  <si>
    <t>dim__box</t>
  </si>
  <si>
    <t>dim__box--bottom</t>
  </si>
  <si>
    <t>dim__box--left</t>
  </si>
  <si>
    <t>dim__box--right</t>
  </si>
  <si>
    <t>dim__box--top</t>
  </si>
  <si>
    <t>dim__line--horizontal</t>
  </si>
  <si>
    <t>dim__line--vertical</t>
  </si>
  <si>
    <t>dim__pointer</t>
  </si>
  <si>
    <t>flex--col</t>
  </si>
  <si>
    <t>scss/mixins/head_layout/flex/_direction.scss</t>
  </si>
  <si>
    <t>flex--col--reverse</t>
  </si>
  <si>
    <t>flex--row</t>
  </si>
  <si>
    <t>flex--row--reverse</t>
  </si>
  <si>
    <t>display--1</t>
  </si>
  <si>
    <t>scss/mixins/soul_type/paragraph/_display.scss</t>
  </si>
  <si>
    <t>display--2</t>
  </si>
  <si>
    <t>display--3</t>
  </si>
  <si>
    <t>display--4</t>
  </si>
  <si>
    <t>display--5</t>
  </si>
  <si>
    <t>display--6</t>
  </si>
  <si>
    <t>divider</t>
  </si>
  <si>
    <t>scss/mixins/body_atoms/layout/_divider.scss</t>
  </si>
  <si>
    <t>divider--base</t>
  </si>
  <si>
    <t>divider--base--vertical</t>
  </si>
  <si>
    <t>divider--dotted</t>
  </si>
  <si>
    <t>divider--thick</t>
  </si>
  <si>
    <t>divider--thin</t>
  </si>
  <si>
    <t>divider--vertical</t>
  </si>
  <si>
    <t>divider--vertical--dotted</t>
  </si>
  <si>
    <t>divider--vertical--inline</t>
  </si>
  <si>
    <t>divider--vertical--thick</t>
  </si>
  <si>
    <t>divider--vertical--thin</t>
  </si>
  <si>
    <t>drilldown--auto-height</t>
  </si>
  <si>
    <t>scss/mixins/body_molecules/navigation/_drilldown.scss</t>
  </si>
  <si>
    <t>drilldown--back</t>
  </si>
  <si>
    <t>drilldown--bordered</t>
  </si>
  <si>
    <t>drilldown--compact</t>
  </si>
  <si>
    <t>drilldown--container</t>
  </si>
  <si>
    <t>drilldown--dark</t>
  </si>
  <si>
    <t>drilldown--go-to-level</t>
  </si>
  <si>
    <t>drilldown--has-submenu</t>
  </si>
  <si>
    <t>drilldown--item</t>
  </si>
  <si>
    <t>drilldown--item-active</t>
  </si>
  <si>
    <t>drilldown--item-disabled</t>
  </si>
  <si>
    <t>drilldown--level</t>
  </si>
  <si>
    <t>drilldown--submenu-title</t>
  </si>
  <si>
    <t>drilldown--wrapper</t>
  </si>
  <si>
    <t>dropdown-menu--container</t>
  </si>
  <si>
    <t>scss/mixins/body_molecules/navigation/_dropdown.scss</t>
  </si>
  <si>
    <t>dropdown-menu--content</t>
  </si>
  <si>
    <t>dropdown-menu--content-center</t>
  </si>
  <si>
    <t>dropdown-menu--content-end</t>
  </si>
  <si>
    <t>dropdown-menu--content-right</t>
  </si>
  <si>
    <t>dropdown-menu--content-show</t>
  </si>
  <si>
    <t>dropdown-menu--content-start</t>
  </si>
  <si>
    <t>dropdown-menu--content-up</t>
  </si>
  <si>
    <t>dropdown-menu--dark</t>
  </si>
  <si>
    <t>dropdown-menu--divider</t>
  </si>
  <si>
    <t>dropdown-menu--header</t>
  </si>
  <si>
    <t>dropdown-menu--hover</t>
  </si>
  <si>
    <t>dropdown-menu--item</t>
  </si>
  <si>
    <t>dropdown-menu--item-active</t>
  </si>
  <si>
    <t>dropdown-menu--item-disabled</t>
  </si>
  <si>
    <t>dropdown-menu--item-icon</t>
  </si>
  <si>
    <t>dropdown-menu--text</t>
  </si>
  <si>
    <t>dropdown-menu-button--base</t>
  </si>
  <si>
    <t>character--emphasis</t>
  </si>
  <si>
    <t>scss/mixins/soul_type/character/_emphasis.scss</t>
  </si>
  <si>
    <t>emphasis-circle</t>
  </si>
  <si>
    <t>emphasis-dot</t>
  </si>
  <si>
    <t>emphasis-double-circle</t>
  </si>
  <si>
    <t>emphasis-italic</t>
  </si>
  <si>
    <t>emphasis-sesame</t>
  </si>
  <si>
    <t>emphasis-triangle</t>
  </si>
  <si>
    <t>figure--aspect-16x9</t>
  </si>
  <si>
    <t>scss/mixins/body_molecules/content/_figure.scss</t>
  </si>
  <si>
    <t>figure--aspect-1x1</t>
  </si>
  <si>
    <t>figure--aspect-2x3</t>
  </si>
  <si>
    <t>figure--aspect-3x2</t>
  </si>
  <si>
    <t>figure--aspect-3x4</t>
  </si>
  <si>
    <t>figure--aspect-4x3</t>
  </si>
  <si>
    <t>figure--aspect-base</t>
  </si>
  <si>
    <t>figure--aspect-img</t>
  </si>
  <si>
    <t>figure--base</t>
  </si>
  <si>
    <t>figure--rounded</t>
  </si>
  <si>
    <t>position--fixed</t>
  </si>
  <si>
    <t>scss/mixins/head_layout/position/_fixed.scss</t>
  </si>
  <si>
    <t>position--inherit</t>
  </si>
  <si>
    <t>flex-grow--0</t>
  </si>
  <si>
    <t>scss/mixins/head_layout/flex/_flex_utilities.scss</t>
  </si>
  <si>
    <t>flex-grow--1</t>
  </si>
  <si>
    <t>flex-shrink--0</t>
  </si>
  <si>
    <t>flex-shrink--1</t>
  </si>
  <si>
    <t>float--end</t>
  </si>
  <si>
    <t>scss/mixins/head_layout/position/_float.scss</t>
  </si>
  <si>
    <t>float--none</t>
  </si>
  <si>
    <t>float--start</t>
  </si>
  <si>
    <t>float-responsive</t>
  </si>
  <si>
    <t>form_floating</t>
  </si>
  <si>
    <t>scss/mixins/body_molecules/forms/_floating_label.scss</t>
  </si>
  <si>
    <t>form_floating--in-input-group</t>
  </si>
  <si>
    <t>grid__flow--col</t>
  </si>
  <si>
    <t>scss/mixins/head_layout/grid/_flow.scss</t>
  </si>
  <si>
    <t>grid__flow--col--dense</t>
  </si>
  <si>
    <t>grid__flow--dense</t>
  </si>
  <si>
    <t>grid__flow--row</t>
  </si>
  <si>
    <t>grid__flow--row--dense</t>
  </si>
  <si>
    <t>focus-ring</t>
  </si>
  <si>
    <t>scss/mixins/utilities/_focus_ring.scss</t>
  </si>
  <si>
    <t>focus-ring--danger</t>
  </si>
  <si>
    <t>focus-ring--info</t>
  </si>
  <si>
    <t>focus-ring--primary</t>
  </si>
  <si>
    <t>focus-ring--success</t>
  </si>
  <si>
    <t>focus-ring--warning</t>
  </si>
  <si>
    <t>font--base</t>
  </si>
  <si>
    <t>scss/mixins/soul_type/font/_font_default.scss</t>
  </si>
  <si>
    <t>font--default</t>
  </si>
  <si>
    <t>font--mono</t>
  </si>
  <si>
    <t>font--sans</t>
  </si>
  <si>
    <t>font--serif</t>
  </si>
  <si>
    <t>font--slab</t>
  </si>
  <si>
    <t>letter_spacing_00</t>
  </si>
  <si>
    <t>scss/mixins/soul_type/font/_font_letter_spacing.scss</t>
  </si>
  <si>
    <t>letter_spacing_01</t>
  </si>
  <si>
    <t>letter_spacing_02</t>
  </si>
  <si>
    <t>letter_spacing_03</t>
  </si>
  <si>
    <t>letter_spacing_04</t>
  </si>
  <si>
    <t>letter_spacing_05</t>
  </si>
  <si>
    <t>letter_spacing_06</t>
  </si>
  <si>
    <t>letter_spacing_07</t>
  </si>
  <si>
    <t>letter_spacing_08</t>
  </si>
  <si>
    <t>letter_spacing_09</t>
  </si>
  <si>
    <t>letter_spacing_10</t>
  </si>
  <si>
    <t>letter_spacing_11</t>
  </si>
  <si>
    <t>letter_spacing_12</t>
  </si>
  <si>
    <t>letter_spacing_min_01</t>
  </si>
  <si>
    <t>letter_spacing_min_02</t>
  </si>
  <si>
    <t>letter_spacing_min_03</t>
  </si>
  <si>
    <t>letter_spacing_min_04</t>
  </si>
  <si>
    <t>letter_spacing_min_05</t>
  </si>
  <si>
    <t>letter_spacing_min_06</t>
  </si>
  <si>
    <t>letter_spacing_min_07</t>
  </si>
  <si>
    <t>letter_spacing_min_08</t>
  </si>
  <si>
    <t>letter_spacing_min_09</t>
  </si>
  <si>
    <t>letter_spacing_min_10</t>
  </si>
  <si>
    <t>letter_spacing_min_11</t>
  </si>
  <si>
    <t>letter_spacing_min_12</t>
  </si>
  <si>
    <t>letter_spacings</t>
  </si>
  <si>
    <t>font--size</t>
  </si>
  <si>
    <t>scss/mixins/soul_type/font/_font_size.scss</t>
  </si>
  <si>
    <t>font--size_01</t>
  </si>
  <si>
    <t>font--size_02</t>
  </si>
  <si>
    <t>font--size_03</t>
  </si>
  <si>
    <t>font--size_04</t>
  </si>
  <si>
    <t>font--size_05</t>
  </si>
  <si>
    <t>font--size_06</t>
  </si>
  <si>
    <t>font--size_07</t>
  </si>
  <si>
    <t>font--size_08</t>
  </si>
  <si>
    <t>font--size_09</t>
  </si>
  <si>
    <t>font--size_10</t>
  </si>
  <si>
    <t>font--size_11</t>
  </si>
  <si>
    <t>font--size_12</t>
  </si>
  <si>
    <t>font--size_scale</t>
  </si>
  <si>
    <t>font--weight</t>
  </si>
  <si>
    <t>scss/mixins/soul_type/font/_font_weight.scss</t>
  </si>
  <si>
    <t>font--weight_100</t>
  </si>
  <si>
    <t>font--weight_200</t>
  </si>
  <si>
    <t>font--weight_300</t>
  </si>
  <si>
    <t>font--weight_400</t>
  </si>
  <si>
    <t>font--weight_500</t>
  </si>
  <si>
    <t>font--weight_600</t>
  </si>
  <si>
    <t>font--weight_700</t>
  </si>
  <si>
    <t>font--weight_800</t>
  </si>
  <si>
    <t>font--weight_900</t>
  </si>
  <si>
    <t>generate_font--weight_map</t>
  </si>
  <si>
    <t>scss/mixins/head_content/_footer.scss</t>
  </si>
  <si>
    <t>footer_copyright</t>
  </si>
  <si>
    <t>footer_overlay</t>
  </si>
  <si>
    <t>scss/mixins/body_molecules/forms/_form.scss</t>
  </si>
  <si>
    <t>fieldset__legend</t>
  </si>
  <si>
    <t>form--base</t>
  </si>
  <si>
    <t>form--col</t>
  </si>
  <si>
    <t>form--horizontal</t>
  </si>
  <si>
    <t>form--inline</t>
  </si>
  <si>
    <t>form--row</t>
  </si>
  <si>
    <t>form-actions</t>
  </si>
  <si>
    <t>form-actions--between</t>
  </si>
  <si>
    <t>form-actions--center</t>
  </si>
  <si>
    <t>form-actions--right</t>
  </si>
  <si>
    <t>form-error</t>
  </si>
  <si>
    <t>form-field</t>
  </si>
  <si>
    <t>form-field--inline</t>
  </si>
  <si>
    <t>form-field--required</t>
  </si>
  <si>
    <t>form-help</t>
  </si>
  <si>
    <t>form-label</t>
  </si>
  <si>
    <t>form-label--lg</t>
  </si>
  <si>
    <t>form-label--sm</t>
  </si>
  <si>
    <t>form-row</t>
  </si>
  <si>
    <t>form-row--auto</t>
  </si>
  <si>
    <t>form-row-columns</t>
  </si>
  <si>
    <t>form-success</t>
  </si>
  <si>
    <t>form__control</t>
  </si>
  <si>
    <t>form__field--base</t>
  </si>
  <si>
    <t>form__field--col</t>
  </si>
  <si>
    <t>form__field--row</t>
  </si>
  <si>
    <t>formfield--ordered</t>
  </si>
  <si>
    <t>scss/mixins/body_molecules/forms/_formfield.scss</t>
  </si>
  <si>
    <t>formfield-radio-buttons</t>
  </si>
  <si>
    <t>formfield-radio-buttons__option</t>
  </si>
  <si>
    <t>formfield-radio-buttons__option--hover</t>
  </si>
  <si>
    <t>formfield-radio-buttons__option--selected</t>
  </si>
  <si>
    <t>formfield-radio-buttons__option-badge</t>
  </si>
  <si>
    <t>formfield-radio-buttons__option-input</t>
  </si>
  <si>
    <t>formfield-radio-buttons__option-input-list</t>
  </si>
  <si>
    <t>formfield-radio-buttons__option-input-list-item</t>
  </si>
  <si>
    <t>formfield-radio-buttons__option-input-top</t>
  </si>
  <si>
    <t>formfield-radio-buttons__option-input-wrapper</t>
  </si>
  <si>
    <t>formfield-radio-buttons__option-label</t>
  </si>
  <si>
    <t>formfield-radio-buttons__option-label-highlight</t>
  </si>
  <si>
    <t>formfield-radio-buttons__option-label-right</t>
  </si>
  <si>
    <t>formfield-radio-buttons__option-label-wrapper</t>
  </si>
  <si>
    <t>formfield-radio-buttons__option-subtext</t>
  </si>
  <si>
    <t>formfield-radio-buttons__option-tag</t>
  </si>
  <si>
    <t>formfield-radio-buttons__option-tag--show</t>
  </si>
  <si>
    <t>formfield__error--ordered</t>
  </si>
  <si>
    <t>formfield__help--ordered</t>
  </si>
  <si>
    <t>formfield__image-preview</t>
  </si>
  <si>
    <t>formfield__input--full-width</t>
  </si>
  <si>
    <t>formfield__input--ordered</t>
  </si>
  <si>
    <t>formfield__label--ordered</t>
  </si>
  <si>
    <t>frame_app--base</t>
  </si>
  <si>
    <t>scss/mixins/head_frame/_frame_app.scss</t>
  </si>
  <si>
    <t>frame_main__area__background</t>
  </si>
  <si>
    <t>scss/mixins/head_frame/_frame_background.scss</t>
  </si>
  <si>
    <t>frame--app</t>
  </si>
  <si>
    <t>scss/mixins/head_frame/_frame_base.scss</t>
  </si>
  <si>
    <t>frame--aspect--auto</t>
  </si>
  <si>
    <t>frame--container</t>
  </si>
  <si>
    <t>frame--container--2xl</t>
  </si>
  <si>
    <t>frame--container--lg</t>
  </si>
  <si>
    <t>frame--container--md</t>
  </si>
  <si>
    <t>frame--container--sm</t>
  </si>
  <si>
    <t>frame--container--xl</t>
  </si>
  <si>
    <t>frame--container-base</t>
  </si>
  <si>
    <t>frame--footer</t>
  </si>
  <si>
    <t>frame--full</t>
  </si>
  <si>
    <t>frame--header</t>
  </si>
  <si>
    <t>frame--landscape</t>
  </si>
  <si>
    <t>frame--main</t>
  </si>
  <si>
    <t>frame--portrait</t>
  </si>
  <si>
    <t>frame--sidebar</t>
  </si>
  <si>
    <t>frame--square</t>
  </si>
  <si>
    <t>frame--video</t>
  </si>
  <si>
    <t>frame--viewport</t>
  </si>
  <si>
    <t>frame--viewport--dynamic</t>
  </si>
  <si>
    <t>frame--viewport--large</t>
  </si>
  <si>
    <t>frame--viewport--small</t>
  </si>
  <si>
    <t>frame--widescreen</t>
  </si>
  <si>
    <t>frame__area</t>
  </si>
  <si>
    <t>frame__area--bottom</t>
  </si>
  <si>
    <t>frame__area--center</t>
  </si>
  <si>
    <t>frame__area--left</t>
  </si>
  <si>
    <t>frame__area--middle</t>
  </si>
  <si>
    <t>frame__area--right</t>
  </si>
  <si>
    <t>frame__area--top</t>
  </si>
  <si>
    <t>frame_base</t>
  </si>
  <si>
    <t>frame--inner--screen</t>
  </si>
  <si>
    <t>scss/mixins/head_frame/_frame_canvas.scss</t>
  </si>
  <si>
    <t>frame__area--bottom_center</t>
  </si>
  <si>
    <t>frame__area--bottom_left</t>
  </si>
  <si>
    <t>frame__area--bottom_right</t>
  </si>
  <si>
    <t>frame__area--middle_center</t>
  </si>
  <si>
    <t>frame__area--middle_left</t>
  </si>
  <si>
    <t>frame__area--middle_right</t>
  </si>
  <si>
    <t>frame__area--top_center</t>
  </si>
  <si>
    <t>frame__area--top_left</t>
  </si>
  <si>
    <t>frame__area--top_right</t>
  </si>
  <si>
    <t>frame_center</t>
  </si>
  <si>
    <t>scss/mixins/head_frame/_frame_center.scss</t>
  </si>
  <si>
    <t>frame_center__area</t>
  </si>
  <si>
    <t>frame_login</t>
  </si>
  <si>
    <t>scss/mixins/head_frame/_frame_login.scss</t>
  </si>
  <si>
    <t>frame_login__area</t>
  </si>
  <si>
    <t>frame_main</t>
  </si>
  <si>
    <t>scss/mixins/head_frame/_frame_main.scss</t>
  </si>
  <si>
    <t>frame_main__area--base</t>
  </si>
  <si>
    <t>frame_main__area--bottom</t>
  </si>
  <si>
    <t>frame_main__area--bottom_center</t>
  </si>
  <si>
    <t>frame_main__area--bottom_left</t>
  </si>
  <si>
    <t>frame_main__area--bottom_right</t>
  </si>
  <si>
    <t>frame_main__area--center</t>
  </si>
  <si>
    <t>frame_main__area--flex</t>
  </si>
  <si>
    <t>frame_main__area--left</t>
  </si>
  <si>
    <t>frame_main__area--middle</t>
  </si>
  <si>
    <t>frame_main__area--middle_center</t>
  </si>
  <si>
    <t>frame_main__area--middle_left</t>
  </si>
  <si>
    <t>frame_main__area--middle_right</t>
  </si>
  <si>
    <t>frame_main__area--right</t>
  </si>
  <si>
    <t>frame_main__area--top</t>
  </si>
  <si>
    <t>frame_main__area--top_center</t>
  </si>
  <si>
    <t>frame_main__area--top_left</t>
  </si>
  <si>
    <t>frame_main__area--top_right</t>
  </si>
  <si>
    <t>scss/mixins/head_frame/_frame_main copy.scss</t>
  </si>
  <si>
    <t>gallery</t>
  </si>
  <si>
    <t>scss/mixins/body_organisms/_gallery.scss</t>
  </si>
  <si>
    <t>gallery_border</t>
  </si>
  <si>
    <t>gallery_image</t>
  </si>
  <si>
    <t>gallery_image_img</t>
  </si>
  <si>
    <t>gap</t>
  </si>
  <si>
    <t>scss/mixins/head_layout/spacing/_gap_base.scss</t>
  </si>
  <si>
    <t>gap--col</t>
  </si>
  <si>
    <t>gap--row</t>
  </si>
  <si>
    <t>gap_set</t>
  </si>
  <si>
    <t>gap_00</t>
  </si>
  <si>
    <t>scss/mixins/head_layout/spacing/_gap_sizes.scss</t>
  </si>
  <si>
    <t>gap_01</t>
  </si>
  <si>
    <t>gap_02</t>
  </si>
  <si>
    <t>gap_03</t>
  </si>
  <si>
    <t>gap_04</t>
  </si>
  <si>
    <t>gap_05</t>
  </si>
  <si>
    <t>gap_06</t>
  </si>
  <si>
    <t>gap_07</t>
  </si>
  <si>
    <t>gap_08</t>
  </si>
  <si>
    <t>bg--gradient</t>
  </si>
  <si>
    <t>scss/mixins/utilities/_gradient.scss</t>
  </si>
  <si>
    <t>gradient--danger</t>
  </si>
  <si>
    <t>gradient--info</t>
  </si>
  <si>
    <t>gradient--primary</t>
  </si>
  <si>
    <t>gradient--success</t>
  </si>
  <si>
    <t>gradient--warning</t>
  </si>
  <si>
    <t>graphic--base</t>
  </si>
  <si>
    <t>scss/mixins/body_molecules/content/_graphic.scss</t>
  </si>
  <si>
    <t>graphic--elevate</t>
  </si>
  <si>
    <t>graphic--elevate-responsive</t>
  </si>
  <si>
    <t>graphic--no-margins</t>
  </si>
  <si>
    <t>graphic-image--base</t>
  </si>
  <si>
    <t>heading_01</t>
  </si>
  <si>
    <t>scss/mixins/soul_type/paragraph/_heading.scss</t>
  </si>
  <si>
    <t>heading_01_caps</t>
  </si>
  <si>
    <t>heading_02</t>
  </si>
  <si>
    <t>heading_02_caps</t>
  </si>
  <si>
    <t>heading_03</t>
  </si>
  <si>
    <t>heading_03_caps</t>
  </si>
  <si>
    <t>heading_04</t>
  </si>
  <si>
    <t>heading_04_caps</t>
  </si>
  <si>
    <t>heading_05</t>
  </si>
  <si>
    <t>heading_05_caps</t>
  </si>
  <si>
    <t>heading_06</t>
  </si>
  <si>
    <t>heading_06_caps</t>
  </si>
  <si>
    <t>heading_normal</t>
  </si>
  <si>
    <t>headline_live-story</t>
  </si>
  <si>
    <t>scss/mixins/body_organisms/_headline.scss</t>
  </si>
  <si>
    <t>headline_live-story--has-lowertext</t>
  </si>
  <si>
    <t>headline_live-story__byline-sub-text</t>
  </si>
  <si>
    <t>headline_live-story__kicker-text</t>
  </si>
  <si>
    <t>headline_live-story__kicker-url</t>
  </si>
  <si>
    <t>headline_live-story__live-indicator-text</t>
  </si>
  <si>
    <t>headline_live-story__options--has-more</t>
  </si>
  <si>
    <t>headline_live-story__section-link</t>
  </si>
  <si>
    <t>headline_live-story__sub-container</t>
  </si>
  <si>
    <t>headline_live-story__sub-description</t>
  </si>
  <si>
    <t>headline_live-story__sub-text</t>
  </si>
  <si>
    <t>headline_live-story__teaser</t>
  </si>
  <si>
    <t>headline_live-story__text</t>
  </si>
  <si>
    <t>hero--buttons</t>
  </si>
  <si>
    <t>scss/mixins/body_molecules/hero/_hero.scss</t>
  </si>
  <si>
    <t>hero--color</t>
  </si>
  <si>
    <t>hero--height</t>
  </si>
  <si>
    <t>hero--size</t>
  </si>
  <si>
    <t>hero--video</t>
  </si>
  <si>
    <t>hero-image</t>
  </si>
  <si>
    <t>hero-text</t>
  </si>
  <si>
    <t>icon_bar</t>
  </si>
  <si>
    <t>scss/mixins/body_molecules/navigation/_icon_bar.scss</t>
  </si>
  <si>
    <t>icon_bar--horizontal</t>
  </si>
  <si>
    <t>icon_bar--item</t>
  </si>
  <si>
    <t>icon_bar--item-active</t>
  </si>
  <si>
    <t>icon_bar--vertical</t>
  </si>
  <si>
    <t>icon_link</t>
  </si>
  <si>
    <t>scss/mixins/utilities/_icon_link.scss</t>
  </si>
  <si>
    <t>image--base</t>
  </si>
  <si>
    <t>scss/mixins/body_molecules/media/_image.scss</t>
  </si>
  <si>
    <t>image--border-bottom</t>
  </si>
  <si>
    <t>image--cover</t>
  </si>
  <si>
    <t>scss/mixins/body_atoms/media/_image.scss</t>
  </si>
  <si>
    <t>image--parallax</t>
  </si>
  <si>
    <t>image__caption</t>
  </si>
  <si>
    <t>image__container</t>
  </si>
  <si>
    <t>image__credit</t>
  </si>
  <si>
    <t>image__hide-placeholder</t>
  </si>
  <si>
    <t>image__metadata</t>
  </si>
  <si>
    <t>image__picture</t>
  </si>
  <si>
    <t>image_fix--background</t>
  </si>
  <si>
    <t>profile_identicon</t>
  </si>
  <si>
    <t>image__compare--base</t>
  </si>
  <si>
    <t>scss/mixins/body_molecules/media/_image_slider.scss</t>
  </si>
  <si>
    <t>slider--base</t>
  </si>
  <si>
    <t>checkbox--wrapper</t>
  </si>
  <si>
    <t>scss/mixins/body_atoms/inputs/_input.scss</t>
  </si>
  <si>
    <t>input--base</t>
  </si>
  <si>
    <t>input--base--form</t>
  </si>
  <si>
    <t>input--base--inline</t>
  </si>
  <si>
    <t>input--disabled</t>
  </si>
  <si>
    <t>input--focus</t>
  </si>
  <si>
    <t>input--hover</t>
  </si>
  <si>
    <t>input--lg</t>
  </si>
  <si>
    <t>input--md</t>
  </si>
  <si>
    <t>input--readonly</t>
  </si>
  <si>
    <t>input--size-lg</t>
  </si>
  <si>
    <t>input--size-md</t>
  </si>
  <si>
    <t>input--size-sm</t>
  </si>
  <si>
    <t>input--sm</t>
  </si>
  <si>
    <t>input--style--filled</t>
  </si>
  <si>
    <t>input--style--rounded</t>
  </si>
  <si>
    <t>input--style--straight</t>
  </si>
  <si>
    <t>input--style--underline</t>
  </si>
  <si>
    <t>input--valid</t>
  </si>
  <si>
    <t>input--warning</t>
  </si>
  <si>
    <t>input-addon</t>
  </si>
  <si>
    <t>input-group--atom</t>
  </si>
  <si>
    <t>radio--wrapper</t>
  </si>
  <si>
    <t>textarea--no-resize</t>
  </si>
  <si>
    <t>textarea--resize-both</t>
  </si>
  <si>
    <t>textarea--resize-x</t>
  </si>
  <si>
    <t>checkbox</t>
  </si>
  <si>
    <t>scss/mixins/body_atoms/inputs/_input_checkbox.scss</t>
  </si>
  <si>
    <t>checkbox--square</t>
  </si>
  <si>
    <t>dropdown--collapse</t>
  </si>
  <si>
    <t>scss/mixins/body_atoms/inputs/_input_dropdown.scss</t>
  </si>
  <si>
    <t>dropdown--container</t>
  </si>
  <si>
    <t>dropdown--header</t>
  </si>
  <si>
    <t>dropdown--menu</t>
  </si>
  <si>
    <t>select_dropdown</t>
  </si>
  <si>
    <t>input_group</t>
  </si>
  <si>
    <t>scss/mixins/body_molecules/forms/_input_group.scss</t>
  </si>
  <si>
    <t>input_group--borders</t>
  </si>
  <si>
    <t>input_group--buttons</t>
  </si>
  <si>
    <t>input_group--focus</t>
  </si>
  <si>
    <t>input_group--lg</t>
  </si>
  <si>
    <t>input_group--sm</t>
  </si>
  <si>
    <t>input_group__text</t>
  </si>
  <si>
    <t>label--base</t>
  </si>
  <si>
    <t>scss/mixins/body_atoms/inputs/_input_label.scss</t>
  </si>
  <si>
    <t>label--hidden</t>
  </si>
  <si>
    <t>label--lg</t>
  </si>
  <si>
    <t>label--md</t>
  </si>
  <si>
    <t>label--sm</t>
  </si>
  <si>
    <t>input--list</t>
  </si>
  <si>
    <t>scss/mixins/body_atoms/inputs/_input_list.scss</t>
  </si>
  <si>
    <t>input_placeholder</t>
  </si>
  <si>
    <t>scss/mixins/body_atoms/inputs/_input_placeholder.scss</t>
  </si>
  <si>
    <t>input_placeholder_focus</t>
  </si>
  <si>
    <t>input--radio</t>
  </si>
  <si>
    <t>scss/mixins/body_atoms/inputs/_input_radio.scss</t>
  </si>
  <si>
    <t>radio</t>
  </si>
  <si>
    <t>input--range</t>
  </si>
  <si>
    <t>scss/mixins/body_atoms/inputs/_input_range.scss</t>
  </si>
  <si>
    <t>input--range--filled</t>
  </si>
  <si>
    <t>input--number-spin-buttons</t>
  </si>
  <si>
    <t>scss/mixins/body_atoms/inputs/_input_searchbox.scss</t>
  </si>
  <si>
    <t>input--search</t>
  </si>
  <si>
    <t>input--search-decoration</t>
  </si>
  <si>
    <t>scss/mixins/body_atoms/inputs/_input_select.scss</t>
  </si>
  <si>
    <t>select--base</t>
  </si>
  <si>
    <t>select--with-arrow</t>
  </si>
  <si>
    <t>select__optgroup</t>
  </si>
  <si>
    <t>select__option</t>
  </si>
  <si>
    <t>input--state--disabled</t>
  </si>
  <si>
    <t>scss/mixins/body_atoms/inputs/_input_state.scss</t>
  </si>
  <si>
    <t>input--state--focus</t>
  </si>
  <si>
    <t>input--state--invalid</t>
  </si>
  <si>
    <t>input--state--is_error</t>
  </si>
  <si>
    <t>input--state--is_info</t>
  </si>
  <si>
    <t>input--state--is_success</t>
  </si>
  <si>
    <t>input--state--is_warning</t>
  </si>
  <si>
    <t>input--state--optional</t>
  </si>
  <si>
    <t>input--state--readonly</t>
  </si>
  <si>
    <t>input--state--required</t>
  </si>
  <si>
    <t>input--state--visible</t>
  </si>
  <si>
    <t>toggle_panel</t>
  </si>
  <si>
    <t>scss/mixins/body_atoms/inputs/_input_toggle.scss</t>
  </si>
  <si>
    <t>toggle_panel__body</t>
  </si>
  <si>
    <t>toggle_panel__gap</t>
  </si>
  <si>
    <t>toggle_panel__heading</t>
  </si>
  <si>
    <t>toggle_panel__heading__icon</t>
  </si>
  <si>
    <t>toggle_panel__title</t>
  </si>
  <si>
    <t>toggle_panel__title--float</t>
  </si>
  <si>
    <t>textarea--base</t>
  </si>
  <si>
    <t>scss/mixins/body_atoms/inputs/_input_type_textarea.scss</t>
  </si>
  <si>
    <t>cover_arrow--up</t>
  </si>
  <si>
    <t>scss/mixins/body_organisms/_interface.scss</t>
  </si>
  <si>
    <t>interface</t>
  </si>
  <si>
    <t>interface_header</t>
  </si>
  <si>
    <t>justify</t>
  </si>
  <si>
    <t>scss/mixins/head_layout/position/_justify_content.scss</t>
  </si>
  <si>
    <t>justify--around</t>
  </si>
  <si>
    <t>justify--between</t>
  </si>
  <si>
    <t>justify--center</t>
  </si>
  <si>
    <t>justify--end</t>
  </si>
  <si>
    <t>justify--evenly</t>
  </si>
  <si>
    <t>justify--start</t>
  </si>
  <si>
    <t>justify--stretch</t>
  </si>
  <si>
    <t>grid__frame--clean</t>
  </si>
  <si>
    <t>scss/mixins/head_layout/grid/_layout.scss</t>
  </si>
  <si>
    <t>grid__frame--flex</t>
  </si>
  <si>
    <t>grid__frame--inline</t>
  </si>
  <si>
    <t>grid__layout</t>
  </si>
  <si>
    <t>layout--card-grid</t>
  </si>
  <si>
    <t>scss/mixins/body_skeletons/_layout.scss</t>
  </si>
  <si>
    <t>layout--holy-grail</t>
  </si>
  <si>
    <t>layout--masonry</t>
  </si>
  <si>
    <t>layout--split</t>
  </si>
  <si>
    <t>layout--three-column</t>
  </si>
  <si>
    <t>layout--two-column</t>
  </si>
  <si>
    <t>scss/mixins/soul_type/list/_list_base.scss</t>
  </si>
  <si>
    <t>list--custom-indicator</t>
  </si>
  <si>
    <t>list--nested</t>
  </si>
  <si>
    <t>list-base</t>
  </si>
  <si>
    <t>list-elevate</t>
  </si>
  <si>
    <t>list__item</t>
  </si>
  <si>
    <t>list__item-link</t>
  </si>
  <si>
    <t>list__item-link-active</t>
  </si>
  <si>
    <t>list__item-link-focus</t>
  </si>
  <si>
    <t>list__item-link-hover</t>
  </si>
  <si>
    <t>list__items</t>
  </si>
  <si>
    <t>list_live-story-link</t>
  </si>
  <si>
    <t>list_live-story-link-hover</t>
  </si>
  <si>
    <t>list_live-story__item</t>
  </si>
  <si>
    <t>list_live-story__items</t>
  </si>
  <si>
    <t>scss/mixins/soul_type/list/_list_definition.scss</t>
  </si>
  <si>
    <t>list_group</t>
  </si>
  <si>
    <t>scss/mixins/body_molecules/navigation/_list_group.scss</t>
  </si>
  <si>
    <t>list_group--flush</t>
  </si>
  <si>
    <t>list_group--horizontal</t>
  </si>
  <si>
    <t>list_group--numbered</t>
  </si>
  <si>
    <t>list_group__item</t>
  </si>
  <si>
    <t>list_group__item--action</t>
  </si>
  <si>
    <t>list_group__item--active</t>
  </si>
  <si>
    <t>list_group__item--danger</t>
  </si>
  <si>
    <t>list_group__item--disabled</t>
  </si>
  <si>
    <t>list_group__item--info</t>
  </si>
  <si>
    <t>list_group__item--primary</t>
  </si>
  <si>
    <t>list_group__item--success</t>
  </si>
  <si>
    <t>list_group__item--warning</t>
  </si>
  <si>
    <t>list_group__item__heading</t>
  </si>
  <si>
    <t>list_group__item__input</t>
  </si>
  <si>
    <t>list_group__item__text</t>
  </si>
  <si>
    <t>scss/mixins/soul_type/list/_list_ordered.scss</t>
  </si>
  <si>
    <t>ol--custom-numbered</t>
  </si>
  <si>
    <t>custom-marker</t>
  </si>
  <si>
    <t>scss/mixins/soul_type/list/_list_style.scss</t>
  </si>
  <si>
    <t>list_alpha_lower</t>
  </si>
  <si>
    <t>list_alpha_upper</t>
  </si>
  <si>
    <t>list_circle</t>
  </si>
  <si>
    <t>list_decimal</t>
  </si>
  <si>
    <t>list_decimal_cjk</t>
  </si>
  <si>
    <t>list_decimal_leading_zero</t>
  </si>
  <si>
    <t>list_greek_lower</t>
  </si>
  <si>
    <t>list_latin_lower</t>
  </si>
  <si>
    <t>list_latin_upper</t>
  </si>
  <si>
    <t>list_none</t>
  </si>
  <si>
    <t>list_roman_lower</t>
  </si>
  <si>
    <t>list_roman_upper</t>
  </si>
  <si>
    <t>list_square</t>
  </si>
  <si>
    <t>list_style_image</t>
  </si>
  <si>
    <t>list_style_position</t>
  </si>
  <si>
    <t>list_style_type</t>
  </si>
  <si>
    <t>scss/mixins/soul_type/list/_list_unordered.scss</t>
  </si>
  <si>
    <t>ul--nested-list-style</t>
  </si>
  <si>
    <t>main_content</t>
  </si>
  <si>
    <t>scss/mixins/head_content/_main_content.scss</t>
  </si>
  <si>
    <t>main_content_section_footer</t>
  </si>
  <si>
    <t>main_content_section_header</t>
  </si>
  <si>
    <t>main_content_section_main</t>
  </si>
  <si>
    <t>main_footer</t>
  </si>
  <si>
    <t>main_header</t>
  </si>
  <si>
    <t>layer_control--base</t>
  </si>
  <si>
    <t>scss/mixins/body_molecules/media/_map.scss</t>
  </si>
  <si>
    <t>map_canvas--base</t>
  </si>
  <si>
    <t>margin</t>
  </si>
  <si>
    <t>scss/mixins/head_layout/spacing/_margin.scss</t>
  </si>
  <si>
    <t>margin--auto</t>
  </si>
  <si>
    <t>margin--bottom</t>
  </si>
  <si>
    <t>margin--horizontal</t>
  </si>
  <si>
    <t>margin--left</t>
  </si>
  <si>
    <t>margin--left--auto</t>
  </si>
  <si>
    <t>margin--right</t>
  </si>
  <si>
    <t>margin--right--auto</t>
  </si>
  <si>
    <t>margin--top</t>
  </si>
  <si>
    <t>margin--vertical</t>
  </si>
  <si>
    <t>margin--x--auto</t>
  </si>
  <si>
    <t>margin--y--auto</t>
  </si>
  <si>
    <t>modal</t>
  </si>
  <si>
    <t>scss/mixins/body_organisms/_modal.scss</t>
  </si>
  <si>
    <t>modal--centered</t>
  </si>
  <si>
    <t>modal--fade</t>
  </si>
  <si>
    <t>modal--fullscreen</t>
  </si>
  <si>
    <t>modal--lg</t>
  </si>
  <si>
    <t>modal--md</t>
  </si>
  <si>
    <t>modal--scale</t>
  </si>
  <si>
    <t>modal--scrollable</t>
  </si>
  <si>
    <t>modal--slide-bottom</t>
  </si>
  <si>
    <t>modal--slide-top</t>
  </si>
  <si>
    <t>modal--sm</t>
  </si>
  <si>
    <t>modal--static</t>
  </si>
  <si>
    <t>modal--xl</t>
  </si>
  <si>
    <t>modal_backdrop</t>
  </si>
  <si>
    <t>modal_content</t>
  </si>
  <si>
    <t>modal_dialog</t>
  </si>
  <si>
    <t>modal_fieldset</t>
  </si>
  <si>
    <t>modal_footer</t>
  </si>
  <si>
    <t>modal_form</t>
  </si>
  <si>
    <t>modal_header</t>
  </si>
  <si>
    <t>m--n-01</t>
  </si>
  <si>
    <t>scss/mixins/head_layout/spacing/_negative_margin.scss</t>
  </si>
  <si>
    <t>m--n-02</t>
  </si>
  <si>
    <t>m--n-04</t>
  </si>
  <si>
    <t>m--n-08</t>
  </si>
  <si>
    <t>mb--n-01</t>
  </si>
  <si>
    <t>mb--n-02</t>
  </si>
  <si>
    <t>mb--n-04</t>
  </si>
  <si>
    <t>mb--n-08</t>
  </si>
  <si>
    <t>me--n-01</t>
  </si>
  <si>
    <t>me--n-02</t>
  </si>
  <si>
    <t>me--n-04</t>
  </si>
  <si>
    <t>me--n-08</t>
  </si>
  <si>
    <t>ms--n-01</t>
  </si>
  <si>
    <t>ms--n-02</t>
  </si>
  <si>
    <t>ms--n-04</t>
  </si>
  <si>
    <t>ms--n-08</t>
  </si>
  <si>
    <t>mt--n-01</t>
  </si>
  <si>
    <t>mt--n-02</t>
  </si>
  <si>
    <t>mt--n-04</t>
  </si>
  <si>
    <t>mt--n-08</t>
  </si>
  <si>
    <t>object-fit--contain</t>
  </si>
  <si>
    <t>scss/mixins/head_layout/_object_fit.scss</t>
  </si>
  <si>
    <t>object-fit--cover</t>
  </si>
  <si>
    <t>object-fit--fill</t>
  </si>
  <si>
    <t>object-fit--none</t>
  </si>
  <si>
    <t>object-fit--scale-down</t>
  </si>
  <si>
    <t>object-position--bottom</t>
  </si>
  <si>
    <t>object-position--center</t>
  </si>
  <si>
    <t>object-position--end</t>
  </si>
  <si>
    <t>object-position--start</t>
  </si>
  <si>
    <t>object-position--top</t>
  </si>
  <si>
    <t>character--oblique</t>
  </si>
  <si>
    <t>scss/mixins/soul_type/character/_oblique.scss</t>
  </si>
  <si>
    <t>character-oblique</t>
  </si>
  <si>
    <t>offcanvas--backdrop</t>
  </si>
  <si>
    <t>scss/mixins/body_organisms/_offcanvas.scss</t>
  </si>
  <si>
    <t>offcanvas--base</t>
  </si>
  <si>
    <t>offcanvas--body</t>
  </si>
  <si>
    <t>offcanvas--bottom</t>
  </si>
  <si>
    <t>offcanvas--close</t>
  </si>
  <si>
    <t>offcanvas--dark</t>
  </si>
  <si>
    <t>offcanvas--end</t>
  </si>
  <si>
    <t>offcanvas--header</t>
  </si>
  <si>
    <t>offcanvas--lg</t>
  </si>
  <si>
    <t>offcanvas--responsive</t>
  </si>
  <si>
    <t>offcanvas--sm</t>
  </si>
  <si>
    <t>offcanvas--start</t>
  </si>
  <si>
    <t>offcanvas--static</t>
  </si>
  <si>
    <t>offcanvas--title</t>
  </si>
  <si>
    <t>offcanvas--top</t>
  </si>
  <si>
    <t>offcanvas--xl</t>
  </si>
  <si>
    <t>order--0</t>
  </si>
  <si>
    <t>scss/mixins/head_layout/position/_order.scss</t>
  </si>
  <si>
    <t>order--1</t>
  </si>
  <si>
    <t>order--2</t>
  </si>
  <si>
    <t>order--3</t>
  </si>
  <si>
    <t>order--4</t>
  </si>
  <si>
    <t>order--5</t>
  </si>
  <si>
    <t>order--first</t>
  </si>
  <si>
    <t>order--last</t>
  </si>
  <si>
    <t>overflow</t>
  </si>
  <si>
    <t>scss/mixins/head_layout/overflow/_overflow.scss</t>
  </si>
  <si>
    <t>overflow-auto</t>
  </si>
  <si>
    <t>overflow-hidden</t>
  </si>
  <si>
    <t>overflow-hidden-visible</t>
  </si>
  <si>
    <t>overflow-scroll</t>
  </si>
  <si>
    <t>overflow-visible</t>
  </si>
  <si>
    <t>overflow_auto</t>
  </si>
  <si>
    <t>overflow_clip</t>
  </si>
  <si>
    <t>overflow_hidden</t>
  </si>
  <si>
    <t>overflow_important</t>
  </si>
  <si>
    <t>overflow_scroll</t>
  </si>
  <si>
    <t>overflow_visible</t>
  </si>
  <si>
    <t>overflow_x_auto</t>
  </si>
  <si>
    <t>overflow_x_hidden</t>
  </si>
  <si>
    <t>overflow_x_scroll</t>
  </si>
  <si>
    <t>overflow_x_visible</t>
  </si>
  <si>
    <t>overflow_y_auto</t>
  </si>
  <si>
    <t>overflow_y_hidden</t>
  </si>
  <si>
    <t>overflow_y_scroll</t>
  </si>
  <si>
    <t>overflow_y_visible</t>
  </si>
  <si>
    <t>overlay--absolute</t>
  </si>
  <si>
    <t>scss/mixins/body_atoms/display/_overlay.scss</t>
  </si>
  <si>
    <t>overlay--base</t>
  </si>
  <si>
    <t>overlay--dark</t>
  </si>
  <si>
    <t>overlay--fixed</t>
  </si>
  <si>
    <t>overlay--light</t>
  </si>
  <si>
    <t>overlay--visible</t>
  </si>
  <si>
    <t>overlay__container</t>
  </si>
  <si>
    <t>padding</t>
  </si>
  <si>
    <t>scss/mixins/head_layout/spacing/_padding.scss</t>
  </si>
  <si>
    <t>padding--bottom</t>
  </si>
  <si>
    <t>padding--horizontal</t>
  </si>
  <si>
    <t>padding--left</t>
  </si>
  <si>
    <t>padding--right</t>
  </si>
  <si>
    <t>padding--top</t>
  </si>
  <si>
    <t>padding--vertical</t>
  </si>
  <si>
    <t>page--base</t>
  </si>
  <si>
    <t>scss/mixins/body_skeletons/_page.scss</t>
  </si>
  <si>
    <t>page--centered</t>
  </si>
  <si>
    <t>page--dashboard</t>
  </si>
  <si>
    <t>page--fixed-header</t>
  </si>
  <si>
    <t>page--fullscreen</t>
  </si>
  <si>
    <t>page--sidebar</t>
  </si>
  <si>
    <t>pagination--base</t>
  </si>
  <si>
    <t>scss/mixins/body_molecules/navigation/_pagination.scss</t>
  </si>
  <si>
    <t>pagination--center</t>
  </si>
  <si>
    <t>pagination--horizontal</t>
  </si>
  <si>
    <t>pagination--left</t>
  </si>
  <si>
    <t>pagination--neighbor</t>
  </si>
  <si>
    <t>pagination--right</t>
  </si>
  <si>
    <t>page</t>
  </si>
  <si>
    <t>scss/mixins/head_layout/paper/_paper.scss</t>
  </si>
  <si>
    <t>page--contained</t>
  </si>
  <si>
    <t>page--full</t>
  </si>
  <si>
    <t>q-page</t>
  </si>
  <si>
    <t>place--items</t>
  </si>
  <si>
    <t>scss/mixins/head_layout/position/_place.scss</t>
  </si>
  <si>
    <t>placeholder</t>
  </si>
  <si>
    <t>scss/mixins/body_molecules/preloader/_placeholder.scss</t>
  </si>
  <si>
    <t>placeholder--base</t>
  </si>
  <si>
    <t>scss/mixins/body_molecules/media/_placeholder.scss</t>
  </si>
  <si>
    <t>placeholder--button</t>
  </si>
  <si>
    <t>placeholder--danger</t>
  </si>
  <si>
    <t>placeholder--dark</t>
  </si>
  <si>
    <t>placeholder--glow</t>
  </si>
  <si>
    <t>placeholder--info</t>
  </si>
  <si>
    <t>placeholder--lg</t>
  </si>
  <si>
    <t>placeholder--light</t>
  </si>
  <si>
    <t>placeholder--primary</t>
  </si>
  <si>
    <t>placeholder--secondary</t>
  </si>
  <si>
    <t>placeholder--sm</t>
  </si>
  <si>
    <t>placeholder--success</t>
  </si>
  <si>
    <t>placeholder--w-100</t>
  </si>
  <si>
    <t>placeholder--w-25</t>
  </si>
  <si>
    <t>placeholder--w-50</t>
  </si>
  <si>
    <t>placeholder--w-75</t>
  </si>
  <si>
    <t>placeholder--warning</t>
  </si>
  <si>
    <t>placeholder--wave</t>
  </si>
  <si>
    <t>placeholder--xs</t>
  </si>
  <si>
    <t>pointer-events--auto</t>
  </si>
  <si>
    <t>scss/mixins/utilities/_pointer_events.scss</t>
  </si>
  <si>
    <t>pointer-events--none</t>
  </si>
  <si>
    <t>popover--arrow</t>
  </si>
  <si>
    <t>scss/mixins/body_atoms/display/_popover.scss</t>
  </si>
  <si>
    <t>popover--base</t>
  </si>
  <si>
    <t>popover--body</t>
  </si>
  <si>
    <t>popover--bottom</t>
  </si>
  <si>
    <t>popover--dark</t>
  </si>
  <si>
    <t>popover--end</t>
  </si>
  <si>
    <t>popover--header</t>
  </si>
  <si>
    <t>popover--no-arrow</t>
  </si>
  <si>
    <t>popover--start</t>
  </si>
  <si>
    <t>popover--top</t>
  </si>
  <si>
    <t>portfolio--base</t>
  </si>
  <si>
    <t>scss/mixins/body_molecules/media/_portfolio.scss</t>
  </si>
  <si>
    <t>paragraph_code</t>
  </si>
  <si>
    <t>scss/mixins/soul_type/paragraph/_preformatted.scss</t>
  </si>
  <si>
    <t>preloader</t>
  </si>
  <si>
    <t>scss/mixins/body_molecules/preloader/_preloader_base.scss</t>
  </si>
  <si>
    <t>preloader_hidden</t>
  </si>
  <si>
    <t>preloader_line</t>
  </si>
  <si>
    <t>scss/mixins/body_molecules/preloader/_preloader_lines.scss</t>
  </si>
  <si>
    <t>preloader_line_1</t>
  </si>
  <si>
    <t>preloader_line_2</t>
  </si>
  <si>
    <t>preloader_line_3</t>
  </si>
  <si>
    <t>preloader_line_4</t>
  </si>
  <si>
    <t>preloader_line_5</t>
  </si>
  <si>
    <t>preloader_lines</t>
  </si>
  <si>
    <t>preloader_pulse</t>
  </si>
  <si>
    <t>scss/mixins/body_molecules/preloader/_preloader_pulse.scss</t>
  </si>
  <si>
    <t>grid--placeholder</t>
  </si>
  <si>
    <t>scss/mixins/body_molecules/media/_preview.scss</t>
  </si>
  <si>
    <t>preview_box</t>
  </si>
  <si>
    <t>preview_box--horizontal</t>
  </si>
  <si>
    <t>preview_box--horizontal__code</t>
  </si>
  <si>
    <t>preview_box--horizontal__live</t>
  </si>
  <si>
    <t>preview_box--vertical</t>
  </si>
  <si>
    <t>preview_box__code</t>
  </si>
  <si>
    <t>preview_box__copy_button</t>
  </si>
  <si>
    <t>preview_box__element</t>
  </si>
  <si>
    <t>preview_box__info</t>
  </si>
  <si>
    <t>preview_box__info--styled</t>
  </si>
  <si>
    <t>preview_box__live</t>
  </si>
  <si>
    <t>preview_box__swatch</t>
  </si>
  <si>
    <t>preview_box__swatch__code</t>
  </si>
  <si>
    <t>preview_box__swatch__color</t>
  </si>
  <si>
    <t>preview_grid</t>
  </si>
  <si>
    <t>d--print-block</t>
  </si>
  <si>
    <t>scss/mixins/utilities/_print.scss</t>
  </si>
  <si>
    <t>d--print-flex</t>
  </si>
  <si>
    <t>d--print-grid</t>
  </si>
  <si>
    <t>d--print-inline</t>
  </si>
  <si>
    <t>d--print-inline-block</t>
  </si>
  <si>
    <t>d--print-inline-flex</t>
  </si>
  <si>
    <t>d--print-none</t>
  </si>
  <si>
    <t>d--print-table</t>
  </si>
  <si>
    <t>d--print-table-cell</t>
  </si>
  <si>
    <t>d--print-table-row</t>
  </si>
  <si>
    <t>paragraph_quote_block</t>
  </si>
  <si>
    <t>scss/mixins/soul_type/paragraph/_quote_block.scss</t>
  </si>
  <si>
    <t>pull-quote</t>
  </si>
  <si>
    <t>scss/mixins/soul_type/paragraph/_quote_pull.scss</t>
  </si>
  <si>
    <t>pull-quote-elevate</t>
  </si>
  <si>
    <t>pull-quote-elevate__attribution</t>
  </si>
  <si>
    <t>pull-quote-elevate__text</t>
  </si>
  <si>
    <t>pull-quote__attribution</t>
  </si>
  <si>
    <t>pull-quote__icon</t>
  </si>
  <si>
    <t>pull-quote__text</t>
  </si>
  <si>
    <t>pull-quote__text-link</t>
  </si>
  <si>
    <t>pull-quote__text-link-hover</t>
  </si>
  <si>
    <t>pull-quote_block-quote</t>
  </si>
  <si>
    <t>pull-quote_block-quote-elevate</t>
  </si>
  <si>
    <t>pull-quote_block-quote-elevate__text</t>
  </si>
  <si>
    <t>pull-quote_block-quote__text</t>
  </si>
  <si>
    <t>pull-quote_block-quote__text-link</t>
  </si>
  <si>
    <t>pull-quote_block-quote__text-link-hover</t>
  </si>
  <si>
    <t>pull-quote_full-width</t>
  </si>
  <si>
    <t>pull-quote_full-width__attribution</t>
  </si>
  <si>
    <t>pull-quote_full-width__icon</t>
  </si>
  <si>
    <t>pull-quote_full-width__text</t>
  </si>
  <si>
    <t>rail--base</t>
  </si>
  <si>
    <t>scss/mixins/body_organisms/_rail.scss</t>
  </si>
  <si>
    <t>rail--bottom</t>
  </si>
  <si>
    <t>rail--horizontal</t>
  </si>
  <si>
    <t>rail--inverted</t>
  </si>
  <si>
    <t>rail--top</t>
  </si>
  <si>
    <t>rail--vertical</t>
  </si>
  <si>
    <t>rail_base</t>
  </si>
  <si>
    <t>ratio</t>
  </si>
  <si>
    <t>scss/mixins/utilities/_ratio.scss</t>
  </si>
  <si>
    <t>ratio--16x9</t>
  </si>
  <si>
    <t>ratio--1x1</t>
  </si>
  <si>
    <t>ratio--21x9</t>
  </si>
  <si>
    <t>ratio--4x3</t>
  </si>
  <si>
    <t>ratio--custom</t>
  </si>
  <si>
    <t>hide-above</t>
  </si>
  <si>
    <t>scss/mixins/head_layout/display/_responsive.scss</t>
  </si>
  <si>
    <t>hide-below</t>
  </si>
  <si>
    <t>responsive-display</t>
  </si>
  <si>
    <t>show-between</t>
  </si>
  <si>
    <t>ribbon--bottom</t>
  </si>
  <si>
    <t>scss/mixins/body_organisms/ribbon/_ribbon_base.scss</t>
  </si>
  <si>
    <t>ribbon--horizontal</t>
  </si>
  <si>
    <t>ribbon--inverted</t>
  </si>
  <si>
    <t>ribbon--left</t>
  </si>
  <si>
    <t>ribbon--right</t>
  </si>
  <si>
    <t>ribbon--top</t>
  </si>
  <si>
    <t>ribbon--vertical</t>
  </si>
  <si>
    <t>ribbon_base</t>
  </si>
  <si>
    <t>ribbon__button</t>
  </si>
  <si>
    <t>scss/mixins/body_organisms/ribbon/_ribbon_button.scss</t>
  </si>
  <si>
    <t>app_launcher_indicator</t>
  </si>
  <si>
    <t>scss/mixins/body_organisms/ribbon/_ribbon_menu.scss</t>
  </si>
  <si>
    <t>ribbon__menu</t>
  </si>
  <si>
    <t>ribbon__menu__item</t>
  </si>
  <si>
    <t>ribbon__nav</t>
  </si>
  <si>
    <t>scss/mixins/body_organisms/ribbon/_ribbon_nav.scss</t>
  </si>
  <si>
    <t>ribbon__nav__list</t>
  </si>
  <si>
    <t>ribbon__nav__list__item</t>
  </si>
  <si>
    <t>ribbon__nav__list__item--in-ribbon</t>
  </si>
  <si>
    <t>ribbon__nav__list__item__text</t>
  </si>
  <si>
    <t>ribbon__nav_button</t>
  </si>
  <si>
    <t>details_base</t>
  </si>
  <si>
    <t>scss/mixins/body_organisms/ribbon/_ribbon_panel.scss</t>
  </si>
  <si>
    <t>details_open_summary</t>
  </si>
  <si>
    <t>ribbon_launcher_item_icon</t>
  </si>
  <si>
    <t>ribbon_panel</t>
  </si>
  <si>
    <t>ribbon_panel--center</t>
  </si>
  <si>
    <t>ribbon_panel--left</t>
  </si>
  <si>
    <t>ribbon_panel--right</t>
  </si>
  <si>
    <t>ribbon_panel_header</t>
  </si>
  <si>
    <t>ribbon_panel_icon_grid</t>
  </si>
  <si>
    <t>ribbon_panel_item_base</t>
  </si>
  <si>
    <t>ribbon_panel_line</t>
  </si>
  <si>
    <t>ribbon_panel_section</t>
  </si>
  <si>
    <t>ribbon_panel_section_header</t>
  </si>
  <si>
    <t>ribbon_panel_section_item</t>
  </si>
  <si>
    <t>ribbon__search__form</t>
  </si>
  <si>
    <t>scss/mixins/body_organisms/ribbon/_ribbon_search.scss</t>
  </si>
  <si>
    <t>ribbon__search_button</t>
  </si>
  <si>
    <t>ribbon__slot--base</t>
  </si>
  <si>
    <t>scss/mixins/body_organisms/ribbon/_ribbon_slot.scss</t>
  </si>
  <si>
    <t>ribbon__slot--horizontal</t>
  </si>
  <si>
    <t>ribbon__slot--horizontal_center</t>
  </si>
  <si>
    <t>ribbon__slot--horizontal_left</t>
  </si>
  <si>
    <t>ribbon__slot--horizontal_right</t>
  </si>
  <si>
    <t>ribbon__slot--vertical</t>
  </si>
  <si>
    <t>ribbon__slot--vertical_bottom</t>
  </si>
  <si>
    <t>ribbon__slot--vertical_center</t>
  </si>
  <si>
    <t>ribbon__slot--vertical_top</t>
  </si>
  <si>
    <t>ribbon__title</t>
  </si>
  <si>
    <t>scss/mixins/body_organisms/ribbon/_ribbon_title.scss</t>
  </si>
  <si>
    <t>ribbon__title__image</t>
  </si>
  <si>
    <t>ribbon__title__logo</t>
  </si>
  <si>
    <t>ribbon__title__logo--icon</t>
  </si>
  <si>
    <t>ribbon__title__text</t>
  </si>
  <si>
    <t>divider-full</t>
  </si>
  <si>
    <t>scss/mixins/soul_line/_rule.scss</t>
  </si>
  <si>
    <t>hr--accent</t>
  </si>
  <si>
    <t>hr--accent-secondary</t>
  </si>
  <si>
    <t>hr--base</t>
  </si>
  <si>
    <t>hr--colored</t>
  </si>
  <si>
    <t>hr--compact</t>
  </si>
  <si>
    <t>hr--dashed</t>
  </si>
  <si>
    <t>hr--dotted</t>
  </si>
  <si>
    <t>hr--double</t>
  </si>
  <si>
    <t>hr--faded</t>
  </si>
  <si>
    <t>hr--flush</t>
  </si>
  <si>
    <t>hr--gradient</t>
  </si>
  <si>
    <t>hr--gradient-accent</t>
  </si>
  <si>
    <t>hr--responsive</t>
  </si>
  <si>
    <t>hr--spacious</t>
  </si>
  <si>
    <t>hr--subtle</t>
  </si>
  <si>
    <t>hr--thick</t>
  </si>
  <si>
    <t>line_footer</t>
  </si>
  <si>
    <t>line_main</t>
  </si>
  <si>
    <t>separator-line-horizontal-full</t>
  </si>
  <si>
    <t>separator-line-horizontal-medium-light</t>
  </si>
  <si>
    <t>separator-line-horizontal-medium-light2</t>
  </si>
  <si>
    <t>separator-line-horizontal-medium-light3</t>
  </si>
  <si>
    <t>separator-line-horizontal-medium-thick</t>
  </si>
  <si>
    <t>separator-line-verticle-extra-large</t>
  </si>
  <si>
    <t>separator-line-verticle-extra-large2</t>
  </si>
  <si>
    <t>separator-line-verticle-extra-small</t>
  </si>
  <si>
    <t>separator-line-verticle-large</t>
  </si>
  <si>
    <t>separator-line-verticle-large-thick</t>
  </si>
  <si>
    <t>separator-line-verticle-medium-thick-full</t>
  </si>
  <si>
    <t>separator-line-verticle-small</t>
  </si>
  <si>
    <t>separator-line-verticle-small-thick</t>
  </si>
  <si>
    <t>separator-line-verticle-small-thick2</t>
  </si>
  <si>
    <t>scroll-padding</t>
  </si>
  <si>
    <t>scss/mixins/body_molecules/navigation/_scrollspy.scss</t>
  </si>
  <si>
    <t>scroll-progress--bar</t>
  </si>
  <si>
    <t>scroll-progress--dots</t>
  </si>
  <si>
    <t>scrollspy--container</t>
  </si>
  <si>
    <t>scrollspy--list-nav</t>
  </si>
  <si>
    <t>scrollspy--nav</t>
  </si>
  <si>
    <t>scrollspy--nested</t>
  </si>
  <si>
    <t>smooth-scroll</t>
  </si>
  <si>
    <t>abbreviation_base</t>
  </si>
  <si>
    <t>scss/mixins/soul_type/character/_semantic_abbreviation.scss</t>
  </si>
  <si>
    <t>abbreviation_tooltip</t>
  </si>
  <si>
    <t>abbreviation_touchscreen</t>
  </si>
  <si>
    <t>character--code</t>
  </si>
  <si>
    <t>scss/mixins/soul_type/character/_semantic_code.scss</t>
  </si>
  <si>
    <t>dropcap</t>
  </si>
  <si>
    <t>scss/mixins/soul_type/character/_semantic_dropcap.scss</t>
  </si>
  <si>
    <t>dropcap__base</t>
  </si>
  <si>
    <t>dropcap__block</t>
  </si>
  <si>
    <t>dropcap__block-round</t>
  </si>
  <si>
    <t>dropcap__block__class</t>
  </si>
  <si>
    <t>dropcap__block__rounded</t>
  </si>
  <si>
    <t>dropcap__circular</t>
  </si>
  <si>
    <t>dropcap__round</t>
  </si>
  <si>
    <t>dropcap__standard</t>
  </si>
  <si>
    <t>dropcap__style</t>
  </si>
  <si>
    <t>dropcap__underline__large</t>
  </si>
  <si>
    <t>dropcap_large</t>
  </si>
  <si>
    <t>character--hyperlink--base</t>
  </si>
  <si>
    <t>scss/mixins/soul_type/character/_semantic_hyperlink.scss</t>
  </si>
  <si>
    <t>character--hyperlink--clean</t>
  </si>
  <si>
    <t>character--hyperlink--line</t>
  </si>
  <si>
    <t>character--hyperlink--line_alt</t>
  </si>
  <si>
    <t>character--hyperlink--normal</t>
  </si>
  <si>
    <t>character--line</t>
  </si>
  <si>
    <t>scss/mixins/soul_type/character/_semantic_lined.scss</t>
  </si>
  <si>
    <t>character--line--over</t>
  </si>
  <si>
    <t>character--line--over_alt</t>
  </si>
  <si>
    <t>character--line--through</t>
  </si>
  <si>
    <t>character--line--through_alt</t>
  </si>
  <si>
    <t>character--line--under</t>
  </si>
  <si>
    <t>character--line--under_alt</t>
  </si>
  <si>
    <t>character--line_alt</t>
  </si>
  <si>
    <t>text_decoration_advanced</t>
  </si>
  <si>
    <t>text_decoration_base</t>
  </si>
  <si>
    <t>mark_style</t>
  </si>
  <si>
    <t>scss/mixins/soul_type/character/_semantic_mark.scss</t>
  </si>
  <si>
    <t>character--quote_base</t>
  </si>
  <si>
    <t>scss/mixins/soul_type/character/_semantic_quote.scss</t>
  </si>
  <si>
    <t>character--quote_inline</t>
  </si>
  <si>
    <t>character--quote_symbols</t>
  </si>
  <si>
    <t>object--corner</t>
  </si>
  <si>
    <t>scss/mixins/soul_object/_shape_corner.scss</t>
  </si>
  <si>
    <t>object--corner--0</t>
  </si>
  <si>
    <t>object--corner--100</t>
  </si>
  <si>
    <t>object--corner--50</t>
  </si>
  <si>
    <t>object--corner--bottom</t>
  </si>
  <si>
    <t>object--corner--bottom-end</t>
  </si>
  <si>
    <t>object--corner--bottom-start</t>
  </si>
  <si>
    <t>object--corner--custom</t>
  </si>
  <si>
    <t>object--corner--end</t>
  </si>
  <si>
    <t>object--corner--pill</t>
  </si>
  <si>
    <t>object--corner--radius</t>
  </si>
  <si>
    <t>object--corner--rounded</t>
  </si>
  <si>
    <t>object--corner--squared</t>
  </si>
  <si>
    <t>object--corner--start</t>
  </si>
  <si>
    <t>object--corner--top</t>
  </si>
  <si>
    <t>object--corner--top-end</t>
  </si>
  <si>
    <t>object--corner--top-start</t>
  </si>
  <si>
    <t>sidebar--base</t>
  </si>
  <si>
    <t>scss/mixins/body_organisms/_sidebar.scss</t>
  </si>
  <si>
    <t>sidebar--left</t>
  </si>
  <si>
    <t>sidebar--right</t>
  </si>
  <si>
    <t>sidebar__control</t>
  </si>
  <si>
    <t>sidebar__menu</t>
  </si>
  <si>
    <t>sidebar__accordion</t>
  </si>
  <si>
    <t>scss/mixins/head_content/_sidebar_section.scss</t>
  </si>
  <si>
    <t>sidebar__accordion--nested</t>
  </si>
  <si>
    <t>sidebar__accordion__content</t>
  </si>
  <si>
    <t>sidebar__accordion__header</t>
  </si>
  <si>
    <t>sidebar__accordion__header--nested</t>
  </si>
  <si>
    <t>sidebar__accordion__icon</t>
  </si>
  <si>
    <t>sidebar__content</t>
  </si>
  <si>
    <t>sidebar__list</t>
  </si>
  <si>
    <t>sidebar__list-link</t>
  </si>
  <si>
    <t>sidebar__list-meta</t>
  </si>
  <si>
    <t>sidebar__search-input</t>
  </si>
  <si>
    <t>sidebar__section</t>
  </si>
  <si>
    <t>sidebar__section-header</t>
  </si>
  <si>
    <t>sidebar__subsection-header</t>
  </si>
  <si>
    <t>sidebar__subsection__description</t>
  </si>
  <si>
    <t>sidebar__subsection__list</t>
  </si>
  <si>
    <t>grid--size--col</t>
  </si>
  <si>
    <t>scss/mixins/head_layout/grid/_size.scss</t>
  </si>
  <si>
    <t>grid--size--col--auto</t>
  </si>
  <si>
    <t>grid--size--col--auto-fill</t>
  </si>
  <si>
    <t>grid--size--col--auto-fit</t>
  </si>
  <si>
    <t>grid--size--row</t>
  </si>
  <si>
    <t>grid--size--row--auto</t>
  </si>
  <si>
    <t>grid--size--row--max</t>
  </si>
  <si>
    <t>grid--size--row--min</t>
  </si>
  <si>
    <t>sizing--border</t>
  </si>
  <si>
    <t>scss/mixins/soul_object/_size.scss</t>
  </si>
  <si>
    <t>sizing--content</t>
  </si>
  <si>
    <t>sizing--padding</t>
  </si>
  <si>
    <t>object--height</t>
  </si>
  <si>
    <t>scss/mixins/soul_object/_size_height.scss</t>
  </si>
  <si>
    <t>object--height--fixed</t>
  </si>
  <si>
    <t>object--height--full_height</t>
  </si>
  <si>
    <t>object--height--full_height--max</t>
  </si>
  <si>
    <t>object--height--full_height--min</t>
  </si>
  <si>
    <t>object--height--full_screen</t>
  </si>
  <si>
    <t>object--height--full_screen--max</t>
  </si>
  <si>
    <t>object--height--full_screen--min</t>
  </si>
  <si>
    <t>object--height--max</t>
  </si>
  <si>
    <t>object--height--min</t>
  </si>
  <si>
    <t>object--width</t>
  </si>
  <si>
    <t>scss/mixins/soul_object/_size_width.scss</t>
  </si>
  <si>
    <t>object--width--fixed</t>
  </si>
  <si>
    <t>object--width--full_screen</t>
  </si>
  <si>
    <t>object--width--full_screen--max</t>
  </si>
  <si>
    <t>object--width--full_screen--min</t>
  </si>
  <si>
    <t>object--width--full_width</t>
  </si>
  <si>
    <t>object--width--full_width--max</t>
  </si>
  <si>
    <t>object--width--full_width--min</t>
  </si>
  <si>
    <t>object--width--max</t>
  </si>
  <si>
    <t>object--width--min</t>
  </si>
  <si>
    <t>spacer_divider</t>
  </si>
  <si>
    <t>scss/mixins/body_atoms/layout/_spacer.scss</t>
  </si>
  <si>
    <t>spacer_divider--vertical</t>
  </si>
  <si>
    <t>spacer_flex</t>
  </si>
  <si>
    <t>spacer_horizontal</t>
  </si>
  <si>
    <t>spacer_horizontal--2xl</t>
  </si>
  <si>
    <t>spacer_horizontal--3xl</t>
  </si>
  <si>
    <t>spacer_horizontal--default</t>
  </si>
  <si>
    <t>spacer_horizontal--lg</t>
  </si>
  <si>
    <t>spacer_horizontal--md</t>
  </si>
  <si>
    <t>spacer_horizontal--sm</t>
  </si>
  <si>
    <t>spacer_horizontal--xl</t>
  </si>
  <si>
    <t>spacer_horizontal--xs</t>
  </si>
  <si>
    <t>spacer_vertical</t>
  </si>
  <si>
    <t>spacer_vertical--2xl</t>
  </si>
  <si>
    <t>spacer_vertical--3xl</t>
  </si>
  <si>
    <t>spacer_vertical--default</t>
  </si>
  <si>
    <t>spacer_vertical--lg</t>
  </si>
  <si>
    <t>spacer_vertical--md</t>
  </si>
  <si>
    <t>spacer_vertical--sm</t>
  </si>
  <si>
    <t>spacer_vertical--xl</t>
  </si>
  <si>
    <t>spacer_vertical--xs</t>
  </si>
  <si>
    <t>grid--span--col</t>
  </si>
  <si>
    <t>scss/mixins/head_layout/grid/_span.scss</t>
  </si>
  <si>
    <t>grid--span--col--lg</t>
  </si>
  <si>
    <t>grid--span--col--md</t>
  </si>
  <si>
    <t>grid--span--col--sm</t>
  </si>
  <si>
    <t>grid--span--row</t>
  </si>
  <si>
    <t>grid--span--row--lg</t>
  </si>
  <si>
    <t>grid--span--row--md</t>
  </si>
  <si>
    <t>grid--span--row--sm</t>
  </si>
  <si>
    <t>special-char-extra-large</t>
  </si>
  <si>
    <t>scss/mixins/soul_type/character/_special.scss</t>
  </si>
  <si>
    <t>special-char-large</t>
  </si>
  <si>
    <t>special-char-medium</t>
  </si>
  <si>
    <t>special-char-small</t>
  </si>
  <si>
    <t>stack--horizontal</t>
  </si>
  <si>
    <t>scss/mixins/head_layout/stacks/_stacks.scss</t>
  </si>
  <si>
    <t>stack--horizontal--gap</t>
  </si>
  <si>
    <t>stack--vertical</t>
  </si>
  <si>
    <t>stack--vertical--gap</t>
  </si>
  <si>
    <t>scss/mixins/body_atoms/status/_status_progress.scss</t>
  </si>
  <si>
    <t>progress--animated</t>
  </si>
  <si>
    <t>progress--label</t>
  </si>
  <si>
    <t>progress--lg</t>
  </si>
  <si>
    <t>progress--sm</t>
  </si>
  <si>
    <t>progress--striped</t>
  </si>
  <si>
    <t>progress-bar--danger</t>
  </si>
  <si>
    <t>progress-bar--info</t>
  </si>
  <si>
    <t>progress-bar--primary</t>
  </si>
  <si>
    <t>progress-bar--secondary</t>
  </si>
  <si>
    <t>progress-bar--success</t>
  </si>
  <si>
    <t>progress-bar--warning</t>
  </si>
  <si>
    <t>progress_bar</t>
  </si>
  <si>
    <t>progress_base</t>
  </si>
  <si>
    <t>spinner</t>
  </si>
  <si>
    <t>scss/mixins/body_atoms/status/_status_spinner.scss</t>
  </si>
  <si>
    <t>spinner--base</t>
  </si>
  <si>
    <t>spinner--danger</t>
  </si>
  <si>
    <t>spinner--dark</t>
  </si>
  <si>
    <t>spinner--info</t>
  </si>
  <si>
    <t>spinner--lg</t>
  </si>
  <si>
    <t>spinner--light</t>
  </si>
  <si>
    <t>spinner--md</t>
  </si>
  <si>
    <t>spinner--primary</t>
  </si>
  <si>
    <t>spinner--secondary</t>
  </si>
  <si>
    <t>spinner--sm</t>
  </si>
  <si>
    <t>spinner--success</t>
  </si>
  <si>
    <t>spinner--warning</t>
  </si>
  <si>
    <t>spinner_grow</t>
  </si>
  <si>
    <t>position--sticky--base</t>
  </si>
  <si>
    <t>scss/mixins/head_layout/position/_sticky.scss</t>
  </si>
  <si>
    <t>position--sticky--bottom</t>
  </si>
  <si>
    <t>position--sticky--left</t>
  </si>
  <si>
    <t>position--sticky--right</t>
  </si>
  <si>
    <t>position--sticky--top</t>
  </si>
  <si>
    <t>stretched_link</t>
  </si>
  <si>
    <t>scss/mixins/utilities/_stretched_link.scss</t>
  </si>
  <si>
    <t>character--bold</t>
  </si>
  <si>
    <t>scss/mixins/soul_type/character/_style_bold.scss</t>
  </si>
  <si>
    <t>object--color</t>
  </si>
  <si>
    <t>scss/mixins/soul_object/_style_color.scss</t>
  </si>
  <si>
    <t>object--fill</t>
  </si>
  <si>
    <t>scss/mixins/soul_object/_style_fill.scss</t>
  </si>
  <si>
    <t>character--italic</t>
  </si>
  <si>
    <t>scss/mixins/soul_type/character/_style_italic.scss</t>
  </si>
  <si>
    <t>shadow--2xl</t>
  </si>
  <si>
    <t>scss/mixins/soul_object/_style_shadow.scss</t>
  </si>
  <si>
    <t>shadow--bottom</t>
  </si>
  <si>
    <t>shadow--inset</t>
  </si>
  <si>
    <t>shadow--left</t>
  </si>
  <si>
    <t>shadow--lg</t>
  </si>
  <si>
    <t>shadow--md</t>
  </si>
  <si>
    <t>shadow--none</t>
  </si>
  <si>
    <t>shadow--right</t>
  </si>
  <si>
    <t>shadow--sm</t>
  </si>
  <si>
    <t>shadow--top</t>
  </si>
  <si>
    <t>shadow--xl</t>
  </si>
  <si>
    <t>text_shadow--lg</t>
  </si>
  <si>
    <t>text_shadow--md</t>
  </si>
  <si>
    <t>text_shadow--none</t>
  </si>
  <si>
    <t>text_shadow--sm</t>
  </si>
  <si>
    <t>subheader</t>
  </si>
  <si>
    <t>scss/mixins/soul_type/paragraph/_subheader.scss</t>
  </si>
  <si>
    <t>subheader--lite</t>
  </si>
  <si>
    <t>subheader--size-h2</t>
  </si>
  <si>
    <t>subheader--size-h3</t>
  </si>
  <si>
    <t>subheader--size-h4</t>
  </si>
  <si>
    <t>subheader--size-h5</t>
  </si>
  <si>
    <t>subheader--size-h6</t>
  </si>
  <si>
    <t>subheader-elevate</t>
  </si>
  <si>
    <t>subheader__link</t>
  </si>
  <si>
    <t>subheader__link-active</t>
  </si>
  <si>
    <t>subheader__link-focus</t>
  </si>
  <si>
    <t>subheader__link-hover</t>
  </si>
  <si>
    <t>subheader_allcaps</t>
  </si>
  <si>
    <t>subheader_allcaps--size-h3</t>
  </si>
  <si>
    <t>subheader_allcaps--size-h4</t>
  </si>
  <si>
    <t>subheader_allcaps--size-h5</t>
  </si>
  <si>
    <t>subheader_allcaps--size-h6</t>
  </si>
  <si>
    <t>subheader_allcaps__link</t>
  </si>
  <si>
    <t>subheader_centered</t>
  </si>
  <si>
    <t>subheader_centered--size-h3</t>
  </si>
  <si>
    <t>subheader_centered--size-h4</t>
  </si>
  <si>
    <t>subheader_centered--size-h5</t>
  </si>
  <si>
    <t>subheader_centered--size-h6</t>
  </si>
  <si>
    <t>subheader_centered-allcaps</t>
  </si>
  <si>
    <t>subheader_centered-allcaps--size-h3</t>
  </si>
  <si>
    <t>subheader_centered-allcaps--size-h4</t>
  </si>
  <si>
    <t>subheader_centered-allcaps--size-h5</t>
  </si>
  <si>
    <t>subheader_centered-allcaps--size-h6</t>
  </si>
  <si>
    <t>subheader_centered-allcaps__link</t>
  </si>
  <si>
    <t>subheader_centered__link</t>
  </si>
  <si>
    <t>subheader_regular</t>
  </si>
  <si>
    <t>subheader_regular--size-h3</t>
  </si>
  <si>
    <t>subheader_regular--size-h4</t>
  </si>
  <si>
    <t>subheader_regular--size-h5</t>
  </si>
  <si>
    <t>subheader_regular--size-h6</t>
  </si>
  <si>
    <t>subheader_regular__link</t>
  </si>
  <si>
    <t>summary--base</t>
  </si>
  <si>
    <t>scss/mixins/body_molecules/content/_summary.scss</t>
  </si>
  <si>
    <t>summary--details</t>
  </si>
  <si>
    <t>summary--hide-default-icon</t>
  </si>
  <si>
    <t>summary--widget</t>
  </si>
  <si>
    <t>svg--container</t>
  </si>
  <si>
    <t>scss/mixins/body_atoms/media/_svg.scss</t>
  </si>
  <si>
    <t>svg--responsive</t>
  </si>
  <si>
    <t>tab</t>
  </si>
  <si>
    <t>scss/mixins/body_atoms/display/_tab.scss</t>
  </si>
  <si>
    <t>tabcontent</t>
  </si>
  <si>
    <t>collapsible_table--base</t>
  </si>
  <si>
    <t>scss/mixins/body_molecules/table/_table.scss</t>
  </si>
  <si>
    <t>data_table--base</t>
  </si>
  <si>
    <t>table--hover--combined</t>
  </si>
  <si>
    <t>table--hover--horizontal</t>
  </si>
  <si>
    <t>table--hover--vertical</t>
  </si>
  <si>
    <t>table--lined--all</t>
  </si>
  <si>
    <t>table--lined--horizontal</t>
  </si>
  <si>
    <t>table--lined--horizontal--consistent</t>
  </si>
  <si>
    <t>table--lined--vertical</t>
  </si>
  <si>
    <t>table--size--lg</t>
  </si>
  <si>
    <t>table--size--sm</t>
  </si>
  <si>
    <t>table--striped--horizontal</t>
  </si>
  <si>
    <t>table--striped--vertical</t>
  </si>
  <si>
    <t>table__caption</t>
  </si>
  <si>
    <t>table__caption--bottom</t>
  </si>
  <si>
    <t>table__caption--bottom--styled</t>
  </si>
  <si>
    <t>table__caption--top</t>
  </si>
  <si>
    <t>table__caption--top--styled</t>
  </si>
  <si>
    <t>table__cell--size__base</t>
  </si>
  <si>
    <t>table__cell--size__lg</t>
  </si>
  <si>
    <t>table__cell--size__md</t>
  </si>
  <si>
    <t>table__cell--size__sm</t>
  </si>
  <si>
    <t>table__cell__base</t>
  </si>
  <si>
    <t>table__cell__body</t>
  </si>
  <si>
    <t>table__cell__footer</t>
  </si>
  <si>
    <t>table__cell__header</t>
  </si>
  <si>
    <t>table--stacked</t>
  </si>
  <si>
    <t>scss/mixins/body_molecules/table/_table_responsive.scss</t>
  </si>
  <si>
    <t>table--stacked-block</t>
  </si>
  <si>
    <t>table--stacked-comfortable</t>
  </si>
  <si>
    <t>table--stacked-compact</t>
  </si>
  <si>
    <t>table--stacked-header</t>
  </si>
  <si>
    <t>table--stacked-left</t>
  </si>
  <si>
    <t>table--with-scroll-indicator</t>
  </si>
  <si>
    <t>table-scroll-container</t>
  </si>
  <si>
    <t>table-scroll-container--minimal</t>
  </si>
  <si>
    <t>tags--base</t>
  </si>
  <si>
    <t>scss/mixins/body_molecules/navigation/_tags__list.scss</t>
  </si>
  <si>
    <t>tags__link</t>
  </si>
  <si>
    <t>tags__list</t>
  </si>
  <si>
    <t>tags__list-item</t>
  </si>
  <si>
    <t>tags__list-item--hidden</t>
  </si>
  <si>
    <t>tags__more-link</t>
  </si>
  <si>
    <t>tags__title</t>
  </si>
  <si>
    <t>template--auth</t>
  </si>
  <si>
    <t>scss/mixins/body_skeletons/_template.scss</t>
  </si>
  <si>
    <t>template--blog-post</t>
  </si>
  <si>
    <t>template--dashboard</t>
  </si>
  <si>
    <t>template--documentation</t>
  </si>
  <si>
    <t>template--landing</t>
  </si>
  <si>
    <t>template--portfolio</t>
  </si>
  <si>
    <t>template--product-listing</t>
  </si>
  <si>
    <t>text-align</t>
  </si>
  <si>
    <t>scss/mixins/soul_type/text/_text_align.scss</t>
  </si>
  <si>
    <t>text_align--center</t>
  </si>
  <si>
    <t>text_align--center_flex</t>
  </si>
  <si>
    <t>text_align--justify</t>
  </si>
  <si>
    <t>text_align--justify--left</t>
  </si>
  <si>
    <t>text_align--justify--right</t>
  </si>
  <si>
    <t>text_align--left</t>
  </si>
  <si>
    <t>text_align--right</t>
  </si>
  <si>
    <t>text_indent</t>
  </si>
  <si>
    <t>scss/mixins/soul_type/text/_text_indent.scss</t>
  </si>
  <si>
    <t>text_indent--lg</t>
  </si>
  <si>
    <t>text_indent--md</t>
  </si>
  <si>
    <t>text_indent--none</t>
  </si>
  <si>
    <t>text_indent--sm</t>
  </si>
  <si>
    <t>text_indent--xl</t>
  </si>
  <si>
    <t>text_indent--xs</t>
  </si>
  <si>
    <t>text--truncate</t>
  </si>
  <si>
    <t>scss/mixins/soul_type/text/_text_truncate.scss</t>
  </si>
  <si>
    <t>text--truncate-2</t>
  </si>
  <si>
    <t>text--truncate-3</t>
  </si>
  <si>
    <t>text--truncate-lines</t>
  </si>
  <si>
    <t>text--break</t>
  </si>
  <si>
    <t>scss/mixins/soul_type/text/_text_wrap.scss</t>
  </si>
  <si>
    <t>text--nowrap</t>
  </si>
  <si>
    <t>text--wrap</t>
  </si>
  <si>
    <t>word-break--break-all</t>
  </si>
  <si>
    <t>word-break--keep-all</t>
  </si>
  <si>
    <t>word-break--normal</t>
  </si>
  <si>
    <t>ticker--base</t>
  </si>
  <si>
    <t>scss/mixins/body_organisms/_ticker.scss</t>
  </si>
  <si>
    <t>ticker--horizontal</t>
  </si>
  <si>
    <t>ticker--horizontal--bottom</t>
  </si>
  <si>
    <t>ticker--horizontal--top</t>
  </si>
  <si>
    <t>ticker--inverted</t>
  </si>
  <si>
    <t>ticker--loop</t>
  </si>
  <si>
    <t>ticker--track-horizontal</t>
  </si>
  <si>
    <t>ticker--track-vertical</t>
  </si>
  <si>
    <t>ticker--vertical</t>
  </si>
  <si>
    <t>ticker--vertical--left</t>
  </si>
  <si>
    <t>ticker--vertical--right</t>
  </si>
  <si>
    <t>timeline</t>
  </si>
  <si>
    <t>scss/mixins/body_molecules/content/_timeline.scss</t>
  </si>
  <si>
    <t>timestamp</t>
  </si>
  <si>
    <t>scss/mixins/body_molecules/content/_timestamp.scss</t>
  </si>
  <si>
    <t>timestamp--active</t>
  </si>
  <si>
    <t>timestamp--container</t>
  </si>
  <si>
    <t>timestamp--details</t>
  </si>
  <si>
    <t>timestamp--elevate</t>
  </si>
  <si>
    <t>timestamp--expand-button</t>
  </si>
  <si>
    <t>timestamp--hover</t>
  </si>
  <si>
    <t>toast--action</t>
  </si>
  <si>
    <t>scss/mixins/body_molecules/feedback/_toast.scss</t>
  </si>
  <si>
    <t>toast--base</t>
  </si>
  <si>
    <t>toast--body</t>
  </si>
  <si>
    <t>toast--close</t>
  </si>
  <si>
    <t>toast--container</t>
  </si>
  <si>
    <t>toast--container-placement</t>
  </si>
  <si>
    <t>toast--dark</t>
  </si>
  <si>
    <t>toast--error</t>
  </si>
  <si>
    <t>toast--fade</t>
  </si>
  <si>
    <t>toast--fixed-container</t>
  </si>
  <si>
    <t>toast--header</t>
  </si>
  <si>
    <t>toast--info</t>
  </si>
  <si>
    <t>toast--rounded</t>
  </si>
  <si>
    <t>toast--slide-right</t>
  </si>
  <si>
    <t>toast--slide-top</t>
  </si>
  <si>
    <t>toast--success</t>
  </si>
  <si>
    <t>toast--timer-indicator</t>
  </si>
  <si>
    <t>toast--translucent</t>
  </si>
  <si>
    <t>toast--warning</t>
  </si>
  <si>
    <t>toast--with-icon</t>
  </si>
  <si>
    <t>toast_container--bottom-center</t>
  </si>
  <si>
    <t>toast_container--bottom-end</t>
  </si>
  <si>
    <t>toast_container--bottom-start</t>
  </si>
  <si>
    <t>toast_container--middle-center</t>
  </si>
  <si>
    <t>toast_container--middle-end</t>
  </si>
  <si>
    <t>toast_container--middle-start</t>
  </si>
  <si>
    <t>toast_container--top-center</t>
  </si>
  <si>
    <t>toast_container--top-end</t>
  </si>
  <si>
    <t>toast_container--top-start</t>
  </si>
  <si>
    <t>aside-toc--base</t>
  </si>
  <si>
    <t>scss/mixins/body_molecules/content/_toc.scss</t>
  </si>
  <si>
    <t>toc</t>
  </si>
  <si>
    <t>tooltip</t>
  </si>
  <si>
    <t>scss/mixins/body_atoms/display/_tooltip.scss</t>
  </si>
  <si>
    <t>tooltip--base</t>
  </si>
  <si>
    <t>tooltip--bottom</t>
  </si>
  <si>
    <t>tooltip--box</t>
  </si>
  <si>
    <t>tooltip--left</t>
  </si>
  <si>
    <t>tooltip--right</t>
  </si>
  <si>
    <t>tooltip--static</t>
  </si>
  <si>
    <t>tooltip--themed-accent</t>
  </si>
  <si>
    <t>tooltip--themed-dark</t>
  </si>
  <si>
    <t>tooltip--themed-hover</t>
  </si>
  <si>
    <t>tooltip--top</t>
  </si>
  <si>
    <t>tooltip__arrow</t>
  </si>
  <si>
    <t>tooltip__arrow--bottom</t>
  </si>
  <si>
    <t>tooltip__arrow--left</t>
  </si>
  <si>
    <t>tooltip__arrow--right</t>
  </si>
  <si>
    <t>tooltip__arrow--right-themed</t>
  </si>
  <si>
    <t>tooltip__arrow--top</t>
  </si>
  <si>
    <t>tooltip__box--bottom</t>
  </si>
  <si>
    <t>tooltip__box--left</t>
  </si>
  <si>
    <t>tooltip__box--right</t>
  </si>
  <si>
    <t>tooltip__box--top</t>
  </si>
  <si>
    <t>tooltip__popup</t>
  </si>
  <si>
    <t>tooltip__popup--bottom</t>
  </si>
  <si>
    <t>tooltip__popup--left</t>
  </si>
  <si>
    <t>tooltip__popup--right</t>
  </si>
  <si>
    <t>tooltip__popup--top</t>
  </si>
  <si>
    <t>tooltip__popup--visible</t>
  </si>
  <si>
    <t>user-select--all</t>
  </si>
  <si>
    <t>scss/mixins/utilities/_user_select.scss</t>
  </si>
  <si>
    <t>user-select--auto</t>
  </si>
  <si>
    <t>user-select--none</t>
  </si>
  <si>
    <t>form--validated</t>
  </si>
  <si>
    <t>scss/mixins/body_molecules/forms/_validation.scss</t>
  </si>
  <si>
    <t>form-field--native-validation</t>
  </si>
  <si>
    <t>form-field--validated</t>
  </si>
  <si>
    <t>form-field--with-icon</t>
  </si>
  <si>
    <t>label--optional</t>
  </si>
  <si>
    <t>label--required</t>
  </si>
  <si>
    <t>validation-error</t>
  </si>
  <si>
    <t>validation-error--visible</t>
  </si>
  <si>
    <t>validation-input--invalid</t>
  </si>
  <si>
    <t>validation-input--valid</t>
  </si>
  <si>
    <t>validation-input--warning</t>
  </si>
  <si>
    <t>validation-success</t>
  </si>
  <si>
    <t>character--all_petite_caps</t>
  </si>
  <si>
    <t>scss/mixins/soul_type/character/_variant_case.scss</t>
  </si>
  <si>
    <t>character--capitalize</t>
  </si>
  <si>
    <t>character--inherit</t>
  </si>
  <si>
    <t>character--initial</t>
  </si>
  <si>
    <t>character--lowercase</t>
  </si>
  <si>
    <t>character--petite_caps</t>
  </si>
  <si>
    <t>character--smallcaps</t>
  </si>
  <si>
    <t>character--smallcaps_all</t>
  </si>
  <si>
    <t>character--style</t>
  </si>
  <si>
    <t>character--titling_caps</t>
  </si>
  <si>
    <t>character--unicase</t>
  </si>
  <si>
    <t>character--unset</t>
  </si>
  <si>
    <t>character--uppercase</t>
  </si>
  <si>
    <t>font--variant_caps</t>
  </si>
  <si>
    <t>text_transform</t>
  </si>
  <si>
    <t>character--script_base</t>
  </si>
  <si>
    <t>scss/mixins/soul_type/character/_variant_script.scss</t>
  </si>
  <si>
    <t>character--script_sub</t>
  </si>
  <si>
    <t>character--script_super</t>
  </si>
  <si>
    <t>character--small</t>
  </si>
  <si>
    <t>scss/mixins/soul_type/character/_variant_small.scss</t>
  </si>
  <si>
    <t>character--small_bold</t>
  </si>
  <si>
    <t>character--small_italic</t>
  </si>
  <si>
    <t>vcard--base</t>
  </si>
  <si>
    <t>scss/mixins/body_molecules/content/_vcard.scss</t>
  </si>
  <si>
    <t>vcard--org</t>
  </si>
  <si>
    <t>vertical</t>
  </si>
  <si>
    <t>scss/mixins/head_layout/position/_vertical.scss</t>
  </si>
  <si>
    <t>vertical--baseline</t>
  </si>
  <si>
    <t>vertical--bottom</t>
  </si>
  <si>
    <t>vertical--middle</t>
  </si>
  <si>
    <t>vertical--text-bottom</t>
  </si>
  <si>
    <t>vertical--text-top</t>
  </si>
  <si>
    <t>vertical--top</t>
  </si>
  <si>
    <t>vertical-rule</t>
  </si>
  <si>
    <t>scss/mixins/soul_line/_vertical_rule.scss</t>
  </si>
  <si>
    <t>custom-controls</t>
  </si>
  <si>
    <t>scss/mixins/body_atoms/media/_video.scss</t>
  </si>
  <si>
    <t>embed-responsive</t>
  </si>
  <si>
    <t>htms-video</t>
  </si>
  <si>
    <t>video-aspect-ratio</t>
  </si>
  <si>
    <t>video-background</t>
  </si>
  <si>
    <t>video-container</t>
  </si>
  <si>
    <t>video-overlay</t>
  </si>
  <si>
    <t>video-wrapper-iframe</t>
  </si>
  <si>
    <t>video_wrapper</t>
  </si>
  <si>
    <t>video-button</t>
  </si>
  <si>
    <t>scss/mixins/body_organisms/_video_button.scss</t>
  </si>
  <si>
    <t>invisible</t>
  </si>
  <si>
    <t>scss/mixins/head_layout/display/_visibility.scss</t>
  </si>
  <si>
    <t>visible</t>
  </si>
  <si>
    <t>visually-hidden</t>
  </si>
  <si>
    <t>visually-hidden--reset</t>
  </si>
  <si>
    <t>sr-only-focusable</t>
  </si>
  <si>
    <t>scss/mixins/utilities/_visually_hidden.scss</t>
  </si>
  <si>
    <t>widget--base</t>
  </si>
  <si>
    <t>scss/mixins/body_organisms/_widget.scss</t>
  </si>
  <si>
    <t>widget--pill</t>
  </si>
  <si>
    <t>widget--rounded</t>
  </si>
  <si>
    <t>widget--squared</t>
  </si>
  <si>
    <t>flex--nowrap</t>
  </si>
  <si>
    <t>scss/mixins/head_layout/flex/_wrap.scss</t>
  </si>
  <si>
    <t>flex--wrap</t>
  </si>
  <si>
    <t>flex--wrap--reverse</t>
  </si>
  <si>
    <t>line_numbers</t>
  </si>
  <si>
    <t>scss/mixins/soul_type/paragraph/line_number.scss</t>
  </si>
  <si>
    <t>file</t>
  </si>
  <si>
    <t>Column8</t>
  </si>
  <si>
    <t>Column9</t>
  </si>
  <si>
    <t>atoms</t>
  </si>
  <si>
    <t>molecules</t>
  </si>
  <si>
    <t>organisms</t>
  </si>
  <si>
    <t>skeletons</t>
  </si>
  <si>
    <t>content</t>
  </si>
  <si>
    <t>layout</t>
  </si>
  <si>
    <t>soul</t>
  </si>
  <si>
    <t>line</t>
  </si>
  <si>
    <t>utilities</t>
  </si>
  <si>
    <t>hyperlink</t>
  </si>
  <si>
    <t>smallcaps</t>
  </si>
  <si>
    <t>abbreviation</t>
  </si>
  <si>
    <t>oblique</t>
  </si>
  <si>
    <t>special</t>
  </si>
  <si>
    <t>bold</t>
  </si>
  <si>
    <t>italic</t>
  </si>
  <si>
    <t>variant</t>
  </si>
  <si>
    <t>case</t>
  </si>
  <si>
    <t>default</t>
  </si>
  <si>
    <t>letter</t>
  </si>
  <si>
    <t>spacing</t>
  </si>
  <si>
    <t>ordered</t>
  </si>
  <si>
    <t>size</t>
  </si>
  <si>
    <t>display</t>
  </si>
  <si>
    <t>html_tag</t>
  </si>
  <si>
    <t>html_modifier</t>
  </si>
  <si>
    <t>:link</t>
  </si>
  <si>
    <t>:visited</t>
  </si>
  <si>
    <t>:hover</t>
  </si>
  <si>
    <t>:active</t>
  </si>
  <si>
    <t>:focus</t>
  </si>
  <si>
    <t>:focus-visible</t>
  </si>
  <si>
    <t>visited</t>
  </si>
  <si>
    <t>hover</t>
  </si>
  <si>
    <t>focus</t>
  </si>
  <si>
    <t>focus-visible</t>
  </si>
  <si>
    <t>focus-within</t>
  </si>
  <si>
    <t>Link &amp; user-action states</t>
  </si>
  <si>
    <t>:disabled</t>
  </si>
  <si>
    <t>:read-only</t>
  </si>
  <si>
    <t>:required</t>
  </si>
  <si>
    <t>:optional</t>
  </si>
  <si>
    <t>:valid</t>
  </si>
  <si>
    <t>:invalid</t>
  </si>
  <si>
    <t>Form &amp; input states</t>
  </si>
  <si>
    <t>enabled</t>
  </si>
  <si>
    <t>disabled</t>
  </si>
  <si>
    <t>read-only</t>
  </si>
  <si>
    <t>read-write</t>
  </si>
  <si>
    <t>required</t>
  </si>
  <si>
    <t>optional</t>
  </si>
  <si>
    <t>valid</t>
  </si>
  <si>
    <t>invalid</t>
  </si>
  <si>
    <t>in-range</t>
  </si>
  <si>
    <t>out-of-range</t>
  </si>
  <si>
    <t>checked</t>
  </si>
  <si>
    <t>indeterminate</t>
  </si>
  <si>
    <t>placeholder-shown</t>
  </si>
  <si>
    <t>first-child</t>
  </si>
  <si>
    <t>Structural / document tree logic</t>
  </si>
  <si>
    <t>last-child</t>
  </si>
  <si>
    <t>only-child</t>
  </si>
  <si>
    <t>nth-child()</t>
  </si>
  <si>
    <t>nth-last-child()</t>
  </si>
  <si>
    <t>first-of-type</t>
  </si>
  <si>
    <t>last-of-type</t>
  </si>
  <si>
    <t>only-of-type</t>
  </si>
  <si>
    <t>nth-of-type()</t>
  </si>
  <si>
    <t>nth-last-of-type()</t>
  </si>
  <si>
    <t>Empty &amp; root</t>
  </si>
  <si>
    <t>empty</t>
  </si>
  <si>
    <t>root</t>
  </si>
  <si>
    <t>Content &amp; logic selectors</t>
  </si>
  <si>
    <t>Language &amp; direction</t>
  </si>
  <si>
    <t>Targeting &amp; stateful navigation</t>
  </si>
  <si>
    <t>not()</t>
  </si>
  <si>
    <t>is()</t>
  </si>
  <si>
    <t>where()</t>
  </si>
  <si>
    <t>has()</t>
  </si>
  <si>
    <t>dir()</t>
  </si>
  <si>
    <t>lang()</t>
  </si>
  <si>
    <t>target</t>
  </si>
  <si>
    <t>target-within</t>
  </si>
  <si>
    <t>Shadow DOM &amp; component scope</t>
  </si>
  <si>
    <t>host</t>
  </si>
  <si>
    <t>host()</t>
  </si>
  <si>
    <t>host-context()</t>
  </si>
  <si>
    <t>Media &amp; resource states</t>
  </si>
  <si>
    <t>fullscreen</t>
  </si>
  <si>
    <t>picture-in-picture</t>
  </si>
  <si>
    <t>Deprecated / historical pseudo-classes</t>
  </si>
  <si>
    <t>clean</t>
  </si>
  <si>
    <t>line_alt</t>
  </si>
  <si>
    <t>normal</t>
  </si>
  <si>
    <t>-</t>
  </si>
  <si>
    <t>align</t>
  </si>
  <si>
    <t>card</t>
  </si>
  <si>
    <t>color</t>
  </si>
  <si>
    <t>date</t>
  </si>
  <si>
    <t>datetime-local</t>
  </si>
  <si>
    <t>email</t>
  </si>
  <si>
    <t>hidden</t>
  </si>
  <si>
    <t>image</t>
  </si>
  <si>
    <t>month</t>
  </si>
  <si>
    <t>number</t>
  </si>
  <si>
    <t>password</t>
  </si>
  <si>
    <t>range</t>
  </si>
  <si>
    <t>reset</t>
  </si>
  <si>
    <t>submit</t>
  </si>
  <si>
    <t>tel</t>
  </si>
  <si>
    <t>url</t>
  </si>
  <si>
    <t>week</t>
  </si>
  <si>
    <t>readonly</t>
  </si>
  <si>
    <t>field</t>
  </si>
  <si>
    <t>pagination</t>
  </si>
  <si>
    <t>icon</t>
  </si>
  <si>
    <t>bar</t>
  </si>
  <si>
    <t>accordion</t>
  </si>
  <si>
    <t>breadcrumb</t>
  </si>
  <si>
    <t>chip</t>
  </si>
  <si>
    <t>flipper</t>
  </si>
  <si>
    <t>overlay</t>
  </si>
  <si>
    <t>popover</t>
  </si>
  <si>
    <t>dropdown</t>
  </si>
  <si>
    <t>toggle</t>
  </si>
  <si>
    <t>filled</t>
  </si>
  <si>
    <t>straight</t>
  </si>
  <si>
    <t>underline</t>
  </si>
  <si>
    <t>lg</t>
  </si>
  <si>
    <t>md</t>
  </si>
  <si>
    <t>sm</t>
  </si>
  <si>
    <t>error</t>
  </si>
  <si>
    <t>help</t>
  </si>
  <si>
    <t>info</t>
  </si>
  <si>
    <t>success</t>
  </si>
  <si>
    <t>warning</t>
  </si>
  <si>
    <t>square</t>
  </si>
  <si>
    <t>wrapper</t>
  </si>
  <si>
    <t>background</t>
  </si>
  <si>
    <t>border</t>
  </si>
  <si>
    <t>xl</t>
  </si>
  <si>
    <t>xs</t>
  </si>
  <si>
    <t>carousel</t>
  </si>
  <si>
    <t>drilldown</t>
  </si>
  <si>
    <t>float</t>
  </si>
  <si>
    <t>gradient</t>
  </si>
  <si>
    <t>graphic</t>
  </si>
  <si>
    <t>grid</t>
  </si>
  <si>
    <t>headline</t>
  </si>
  <si>
    <t>hero</t>
  </si>
  <si>
    <t>hide</t>
  </si>
  <si>
    <t>rule</t>
  </si>
  <si>
    <t>layer</t>
  </si>
  <si>
    <t>ribbon</t>
  </si>
  <si>
    <t>separator</t>
  </si>
  <si>
    <t>shadow</t>
  </si>
  <si>
    <t>ticker</t>
  </si>
  <si>
    <t>toast</t>
  </si>
  <si>
    <t>validation</t>
  </si>
  <si>
    <t>text_shadow</t>
  </si>
  <si>
    <t>sidebar</t>
  </si>
  <si>
    <t>scroll</t>
  </si>
  <si>
    <t>rail</t>
  </si>
  <si>
    <t>preview</t>
  </si>
  <si>
    <t>x</t>
  </si>
  <si>
    <t>order</t>
  </si>
  <si>
    <t>Column10</t>
  </si>
  <si>
    <t>Column92</t>
  </si>
  <si>
    <t>Column11</t>
  </si>
  <si>
    <t>collapse</t>
  </si>
  <si>
    <t>cover</t>
  </si>
  <si>
    <t>offcanvas</t>
  </si>
  <si>
    <t>position</t>
  </si>
  <si>
    <t>spacer</t>
  </si>
  <si>
    <t>stack</t>
  </si>
  <si>
    <t>2xl</t>
  </si>
  <si>
    <t>3xl</t>
  </si>
  <si>
    <t>danger</t>
  </si>
  <si>
    <t>primary</t>
  </si>
  <si>
    <t>cell</t>
  </si>
  <si>
    <t>widget</t>
  </si>
  <si>
    <t>flush</t>
  </si>
  <si>
    <t>item</t>
  </si>
  <si>
    <t>subtype</t>
  </si>
  <si>
    <t>vcard</t>
  </si>
  <si>
    <t>mod_state</t>
  </si>
  <si>
    <t>mod_size</t>
  </si>
  <si>
    <t>align_self</t>
  </si>
  <si>
    <t>text_align</t>
  </si>
  <si>
    <t>mod</t>
  </si>
  <si>
    <t>mod_base</t>
  </si>
  <si>
    <t>Column13</t>
  </si>
  <si>
    <t>cell_body</t>
  </si>
  <si>
    <t>cell_footer</t>
  </si>
  <si>
    <t>cell_header</t>
  </si>
  <si>
    <t>mod_position</t>
  </si>
  <si>
    <t>top</t>
  </si>
  <si>
    <t>top_center</t>
  </si>
  <si>
    <t>top_left</t>
  </si>
  <si>
    <t>top_right</t>
  </si>
  <si>
    <t>bottom</t>
  </si>
  <si>
    <t>bottom_center</t>
  </si>
  <si>
    <t>bottom_left</t>
  </si>
  <si>
    <t>bottom_right</t>
  </si>
  <si>
    <t>middle_left</t>
  </si>
  <si>
    <t>middle_center</t>
  </si>
  <si>
    <t>middle_right</t>
  </si>
  <si>
    <t>start</t>
  </si>
  <si>
    <t>end</t>
  </si>
  <si>
    <t>touchscreen</t>
  </si>
  <si>
    <t>around</t>
  </si>
  <si>
    <t>between</t>
  </si>
  <si>
    <t>evenly</t>
  </si>
  <si>
    <t>stretch</t>
  </si>
  <si>
    <t>mod_style</t>
  </si>
  <si>
    <t>baseline</t>
  </si>
  <si>
    <t>auto</t>
  </si>
  <si>
    <t>squared</t>
  </si>
  <si>
    <t>round</t>
  </si>
  <si>
    <t>horizontal</t>
  </si>
  <si>
    <t>box</t>
  </si>
  <si>
    <t>viewport</t>
  </si>
  <si>
    <t>loading</t>
  </si>
  <si>
    <t>none</t>
  </si>
  <si>
    <t>Column122</t>
  </si>
  <si>
    <t>neighbor</t>
  </si>
  <si>
    <t>slot</t>
  </si>
  <si>
    <t>word</t>
  </si>
  <si>
    <t>index</t>
  </si>
  <si>
    <t>Core text &amp; emphasis</t>
  </si>
  <si>
    <r>
      <t xml:space="preserve">&lt;tt&gt; </t>
    </r>
    <r>
      <rPr>
        <i/>
        <sz val="12"/>
        <color theme="1"/>
        <rFont val="Aptos Narrow"/>
        <family val="2"/>
        <scheme val="minor"/>
      </rPr>
      <t>(deprecated)</t>
    </r>
    <r>
      <rPr>
        <sz val="12"/>
        <color theme="1"/>
        <rFont val="Aptos Narrow"/>
        <family val="2"/>
        <scheme val="minor"/>
      </rPr>
      <t xml:space="preserve"> → </t>
    </r>
    <r>
      <rPr>
        <b/>
        <sz val="12"/>
        <color theme="1"/>
        <rFont val="Aptos Narrow"/>
        <family val="2"/>
        <scheme val="minor"/>
      </rPr>
      <t>use</t>
    </r>
    <r>
      <rPr>
        <sz val="12"/>
        <color theme="1"/>
        <rFont val="Aptos Narrow"/>
        <family val="2"/>
        <scheme val="minor"/>
      </rPr>
      <t xml:space="preserve"> &lt;code class="typewriter"&gt;</t>
    </r>
  </si>
  <si>
    <t>&lt;strong&gt;&lt;em&gt; (semantic stacking)</t>
  </si>
  <si>
    <t>&lt;em class="subtle"&gt;</t>
  </si>
  <si>
    <t>&lt;span class="placeholder"&gt; or &lt;input placeholder=""&gt;</t>
  </si>
  <si>
    <t>&lt;sup class="comment-ref"&gt; + link</t>
  </si>
  <si>
    <t>References &amp; citations</t>
  </si>
  <si>
    <t>&lt;sup class="footnote-ref"&gt;&lt;a href="#fn1"&gt;1&lt;/a&gt;&lt;/sup&gt;</t>
  </si>
  <si>
    <t>&lt;sup class="endnote-ref"&gt;&lt;a href="#en1"&gt;1&lt;/a&gt;&lt;/sup&gt;</t>
  </si>
  <si>
    <t>&lt;strong&gt;&lt;a href="…"&gt;</t>
  </si>
  <si>
    <t>&lt;a class="subtle"&gt;</t>
  </si>
  <si>
    <t>Hyperlinks</t>
  </si>
  <si>
    <t>&lt;a href="…"&gt;</t>
  </si>
  <si>
    <r>
      <t xml:space="preserve">&lt;a href="…" class="visited"&gt; </t>
    </r>
    <r>
      <rPr>
        <i/>
        <sz val="12"/>
        <color theme="1"/>
        <rFont val="Aptos Narrow"/>
        <family val="2"/>
        <scheme val="minor"/>
      </rPr>
      <t>(CSS :visited usually)</t>
    </r>
  </si>
  <si>
    <r>
      <t xml:space="preserve">&lt;a href="…" data-smart="true"&gt; </t>
    </r>
    <r>
      <rPr>
        <i/>
        <sz val="12"/>
        <color theme="1"/>
        <rFont val="Aptos Narrow"/>
        <family val="2"/>
        <scheme val="minor"/>
      </rPr>
      <t>(JS-enhanced)</t>
    </r>
  </si>
  <si>
    <t>Metadata / structural markers</t>
  </si>
  <si>
    <t>&lt;span class="line-number"&gt;</t>
  </si>
  <si>
    <t>&lt;span class="page-number"&gt;</t>
  </si>
  <si>
    <t>&lt;a href="/tags/foo" class="hashtag"&gt;#foo&lt;/a&gt;</t>
  </si>
  <si>
    <t>Mentions &amp; social-style semantics</t>
  </si>
  <si>
    <t>&lt;a href="/user/…" class="mention"&gt;@name&lt;/a&gt;</t>
  </si>
  <si>
    <t>&lt;span class="mention unresolved"&gt;@name&lt;/span&gt;</t>
  </si>
  <si>
    <t>reference</t>
  </si>
  <si>
    <t>comment</t>
  </si>
  <si>
    <t>word_cat</t>
  </si>
  <si>
    <t>&lt;h6 class="h7|h8|h9"&gt;</t>
  </si>
  <si>
    <t>&lt;h1&gt; … &lt;h6&gt;</t>
  </si>
  <si>
    <t>Headings &amp; titles</t>
  </si>
  <si>
    <r>
      <t xml:space="preserve">&lt;p&gt; </t>
    </r>
    <r>
      <rPr>
        <i/>
        <sz val="12"/>
        <color theme="1"/>
        <rFont val="Aptos Narrow"/>
        <family val="2"/>
        <scheme val="minor"/>
      </rPr>
      <t>(web-optimized CSS)</t>
    </r>
  </si>
  <si>
    <t>&lt;p class="no-spacing"&gt;</t>
  </si>
  <si>
    <t>&lt;p class="block"&gt;</t>
  </si>
  <si>
    <t>&lt;p class="body-2"&gt;, &lt;p class="body-3"&gt;</t>
  </si>
  <si>
    <t>&lt;p class="indent"&gt;</t>
  </si>
  <si>
    <t>&lt;p class="indent-1|2|3"&gt;</t>
  </si>
  <si>
    <t>&lt;p class="first-indent"&gt;</t>
  </si>
  <si>
    <t>&lt;h2 class="index-heading"&gt;</t>
  </si>
  <si>
    <t>&lt;h2 class="toc-heading"&gt;</t>
  </si>
  <si>
    <t>&lt;h3 class="note-heading"&gt;</t>
  </si>
  <si>
    <t>Quotes &amp; emphasis blocks</t>
  </si>
  <si>
    <t>&lt;blockquote class="intense"&gt;</t>
  </si>
  <si>
    <t>&lt;p class="closing"&gt;</t>
  </si>
  <si>
    <t>Lists (Word-style levels)</t>
  </si>
  <si>
    <t>&lt;ul class="list level-1|2|3|4|5"&gt;</t>
  </si>
  <si>
    <t>&lt;ul class="bullet level-x"&gt;</t>
  </si>
  <si>
    <t>&lt;ol class="number level-x"&gt;</t>
  </si>
  <si>
    <t>&lt;li class="continue"&gt;</t>
  </si>
  <si>
    <t>&lt;p class="list-paragraph"&gt;</t>
  </si>
  <si>
    <t>Captions &amp; figures</t>
  </si>
  <si>
    <t>&lt;section class="table-of-figures"&gt;</t>
  </si>
  <si>
    <t>Footnotes, endnotes, references</t>
  </si>
  <si>
    <t>&lt;aside class="footnote"&gt;</t>
  </si>
  <si>
    <t>&lt;aside class="endnote"&gt;</t>
  </si>
  <si>
    <t>&lt;section class="bibliography"&gt;</t>
  </si>
  <si>
    <t>&lt;section class="table-of-authorities"&gt;</t>
  </si>
  <si>
    <t>&lt;li class="toc-level-1"&gt; … &lt;li class="toc-level-9"&gt;</t>
  </si>
  <si>
    <t>&lt;li class="index-level-1"&gt; … &lt;li class="index-level-9"&gt;</t>
  </si>
  <si>
    <t>Structural document parts</t>
  </si>
  <si>
    <t>&lt;nav aria-label="Document outline"&gt;</t>
  </si>
  <si>
    <t>&lt;header class="message-header"&gt;</t>
  </si>
  <si>
    <t>&lt;del&gt; / &lt;ins&gt; or &lt;span class="revision"&gt;</t>
  </si>
  <si>
    <t>&lt;span data-macro&gt;</t>
  </si>
  <si>
    <t>Front matter / correspondence</t>
  </si>
  <si>
    <t>&lt;p class="salutation"&gt;</t>
  </si>
  <si>
    <t>&lt;p class="signature"&gt;</t>
  </si>
  <si>
    <t>&lt;footer class="email-signature"&gt;</t>
  </si>
  <si>
    <t>&lt;time datetime="YYYY-MM-DD"&gt;</t>
  </si>
  <si>
    <t>&lt;address class="envelope-address"&gt;</t>
  </si>
  <si>
    <t>&lt;address class="return-address"&gt;</t>
  </si>
  <si>
    <t>&lt;aside class="comment-balloon"&gt;</t>
  </si>
  <si>
    <t>Comments &amp; annotations</t>
  </si>
  <si>
    <t>&lt;h4 class="comment-subject"&gt;</t>
  </si>
  <si>
    <t>&lt;p class="comment-text"&gt;</t>
  </si>
  <si>
    <t>HTML-specific legacy styles</t>
  </si>
  <si>
    <t>Misc / layout control</t>
  </si>
  <si>
    <t>&lt;div class="z-top"&gt;</t>
  </si>
  <si>
    <t>&lt;div class="z-bottom"&gt;</t>
  </si>
  <si>
    <t>Publisher imprint</t>
  </si>
  <si>
    <t>Publisher location</t>
  </si>
  <si>
    <t>Copyright notice</t>
  </si>
  <si>
    <t>ISBN line</t>
  </si>
  <si>
    <t>Legal disclaimer</t>
  </si>
  <si>
    <t>Edition statement</t>
  </si>
  <si>
    <t>Printing history</t>
  </si>
  <si>
    <t>Dedication</t>
  </si>
  <si>
    <t>Front Matter</t>
  </si>
  <si>
    <t>Table list entry</t>
  </si>
  <si>
    <t>Glossary term</t>
  </si>
  <si>
    <t>Glossary definition</t>
  </si>
  <si>
    <t>Index main entry</t>
  </si>
  <si>
    <t>Index subentry</t>
  </si>
  <si>
    <t>Part introduction</t>
  </si>
  <si>
    <t>Chapter number</t>
  </si>
  <si>
    <t>Run-in heading</t>
  </si>
  <si>
    <t>Pull-quote intro</t>
  </si>
  <si>
    <t>Checklist item</t>
  </si>
  <si>
    <t>Procedural step</t>
  </si>
  <si>
    <t>Legal clause list item</t>
  </si>
  <si>
    <t>Policy list item</t>
  </si>
  <si>
    <t>Requirements list item</t>
  </si>
  <si>
    <t>Feature list item</t>
  </si>
  <si>
    <t>Pros list item</t>
  </si>
  <si>
    <t>Cons list item</t>
  </si>
  <si>
    <t>Lists</t>
  </si>
  <si>
    <t>Media source line</t>
  </si>
  <si>
    <t>Photo credit</t>
  </si>
  <si>
    <t>Figures, Tables &amp; Media</t>
  </si>
  <si>
    <t>Reference entry – book</t>
  </si>
  <si>
    <t>Reference entry – journal</t>
  </si>
  <si>
    <t>Reference entry – website</t>
  </si>
  <si>
    <t>Reference entry – report</t>
  </si>
  <si>
    <t>Reference entry – dataset</t>
  </si>
  <si>
    <t>Quotation short</t>
  </si>
  <si>
    <t>Quotation long (block quote)</t>
  </si>
  <si>
    <t>Quotation attribution</t>
  </si>
  <si>
    <t>Source note</t>
  </si>
  <si>
    <t>Credit line</t>
  </si>
  <si>
    <t>Legal citation</t>
  </si>
  <si>
    <t>Case citation</t>
  </si>
  <si>
    <t>Statute citation</t>
  </si>
  <si>
    <t>DOI line</t>
  </si>
  <si>
    <t>URL reference</t>
  </si>
  <si>
    <t>Access date line</t>
  </si>
  <si>
    <t>Archive reference</t>
  </si>
  <si>
    <t>Research note</t>
  </si>
  <si>
    <t>Notes, References &amp; Citations</t>
  </si>
  <si>
    <t>Editor’s note</t>
  </si>
  <si>
    <t>Translator’s note</t>
  </si>
  <si>
    <t>Production credits</t>
  </si>
  <si>
    <t>Funding acknowledgement</t>
  </si>
  <si>
    <t>Sponsor acknowledgement</t>
  </si>
  <si>
    <t>Publication note</t>
  </si>
  <si>
    <t>Revision note</t>
  </si>
  <si>
    <t>Update notice</t>
  </si>
  <si>
    <t>Editorial &amp; Meta Content</t>
  </si>
  <si>
    <t>Back Matter &amp; Utility</t>
  </si>
  <si>
    <t>Call to action</t>
  </si>
  <si>
    <t>narrow</t>
  </si>
  <si>
    <t>wide</t>
  </si>
  <si>
    <t>sans</t>
  </si>
  <si>
    <t>serif</t>
  </si>
  <si>
    <t>level</t>
  </si>
  <si>
    <t>glossary</t>
  </si>
  <si>
    <t>term</t>
  </si>
  <si>
    <t>epigraph</t>
  </si>
  <si>
    <t>subtitle</t>
  </si>
  <si>
    <t>chapter</t>
  </si>
  <si>
    <t>head row</t>
  </si>
  <si>
    <t>Headings &amp; Structural Text</t>
  </si>
  <si>
    <t>html_type</t>
  </si>
  <si>
    <t>html_wrap</t>
  </si>
  <si>
    <t>Column112</t>
  </si>
  <si>
    <t>Column113</t>
  </si>
  <si>
    <t>Column114</t>
  </si>
  <si>
    <t>Column123</t>
  </si>
  <si>
    <t>html_tag_def</t>
  </si>
  <si>
    <t>html_use</t>
  </si>
  <si>
    <t>colophon</t>
  </si>
  <si>
    <t>continued</t>
  </si>
  <si>
    <t>callout</t>
  </si>
  <si>
    <t>entry</t>
  </si>
  <si>
    <t>Navigation Elements</t>
  </si>
  <si>
    <t>Reference Structures</t>
  </si>
  <si>
    <t>Structural Elements</t>
  </si>
  <si>
    <t>book</t>
  </si>
  <si>
    <t>revision</t>
  </si>
  <si>
    <t>toa</t>
  </si>
  <si>
    <t>acknowledgements</t>
  </si>
  <si>
    <t>alphabetical</t>
  </si>
  <si>
    <t>bibliography</t>
  </si>
  <si>
    <t>balloon</t>
  </si>
  <si>
    <t>extended</t>
  </si>
  <si>
    <t>afterword</t>
  </si>
  <si>
    <t>errata</t>
  </si>
  <si>
    <t>interlude</t>
  </si>
  <si>
    <t>lot</t>
  </si>
  <si>
    <t>runin</t>
  </si>
  <si>
    <t>note</t>
  </si>
  <si>
    <t>subsubsection</t>
  </si>
  <si>
    <t>subsection</t>
  </si>
  <si>
    <t>caps</t>
  </si>
  <si>
    <t>appendix</t>
  </si>
  <si>
    <t>cover_back</t>
  </si>
  <si>
    <t>Code &amp; Technical Semantics</t>
  </si>
  <si>
    <t>tof</t>
  </si>
  <si>
    <t>spine</t>
  </si>
  <si>
    <t>series</t>
  </si>
  <si>
    <t>part</t>
  </si>
  <si>
    <t>title_page</t>
  </si>
  <si>
    <t>translator</t>
  </si>
  <si>
    <t>affiliation</t>
  </si>
  <si>
    <t>half_title</t>
  </si>
  <si>
    <t>biography</t>
  </si>
  <si>
    <t>foreword</t>
  </si>
  <si>
    <t>introduction</t>
  </si>
  <si>
    <t>preface</t>
  </si>
  <si>
    <t>fixed</t>
  </si>
  <si>
    <t>panel</t>
  </si>
  <si>
    <t>nested</t>
  </si>
  <si>
    <t>stacked</t>
  </si>
  <si>
    <t>sample</t>
  </si>
  <si>
    <t>break</t>
  </si>
  <si>
    <t>macro</t>
  </si>
  <si>
    <t>nowrap</t>
  </si>
  <si>
    <t>truncate</t>
  </si>
  <si>
    <t>truncate-2</t>
  </si>
  <si>
    <t>truncate-3</t>
  </si>
  <si>
    <t>truncate-lines</t>
  </si>
  <si>
    <t>wrap</t>
  </si>
  <si>
    <t>credits</t>
  </si>
  <si>
    <t>editors_note</t>
  </si>
  <si>
    <t>analytical</t>
  </si>
  <si>
    <t>argument</t>
  </si>
  <si>
    <t>closing</t>
  </si>
  <si>
    <t>concluding</t>
  </si>
  <si>
    <t>continuation</t>
  </si>
  <si>
    <t>descriptive</t>
  </si>
  <si>
    <t>explanatory</t>
  </si>
  <si>
    <t>lead</t>
  </si>
  <si>
    <t>narrative</t>
  </si>
  <si>
    <t>after</t>
  </si>
  <si>
    <t>reflective</t>
  </si>
  <si>
    <t>transitional</t>
  </si>
  <si>
    <t>media_reference</t>
  </si>
  <si>
    <t>bridge</t>
  </si>
  <si>
    <t>running_foot</t>
  </si>
  <si>
    <t>running_head</t>
  </si>
  <si>
    <t>reader_note</t>
  </si>
  <si>
    <t>contact_information</t>
  </si>
  <si>
    <t>frontispiece</t>
  </si>
  <si>
    <t>full</t>
  </si>
  <si>
    <t>container</t>
  </si>
  <si>
    <t>compare</t>
  </si>
  <si>
    <t>arrow</t>
  </si>
  <si>
    <t>static</t>
  </si>
  <si>
    <t>popup</t>
  </si>
  <si>
    <t>middle</t>
  </si>
  <si>
    <t>version_history</t>
  </si>
  <si>
    <t>org</t>
  </si>
  <si>
    <t>pill</t>
  </si>
  <si>
    <t>submenu</t>
  </si>
  <si>
    <t>visually_hidden</t>
  </si>
  <si>
    <t>classic</t>
  </si>
  <si>
    <t>interactive</t>
  </si>
  <si>
    <t>outline</t>
  </si>
  <si>
    <t>colorful_grid</t>
  </si>
  <si>
    <t>colorful_list</t>
  </si>
  <si>
    <t>colorful_shading</t>
  </si>
  <si>
    <t>accent_01</t>
  </si>
  <si>
    <t>chips</t>
  </si>
  <si>
    <t>empty_label</t>
  </si>
  <si>
    <t>with_prefix</t>
  </si>
  <si>
    <t>citation</t>
  </si>
  <si>
    <t>accent_02</t>
  </si>
  <si>
    <t>accent_03</t>
  </si>
  <si>
    <t>accent_04</t>
  </si>
  <si>
    <t>accent_05</t>
  </si>
  <si>
    <t>accent_06</t>
  </si>
  <si>
    <t>dark_list</t>
  </si>
  <si>
    <t>pointer</t>
  </si>
  <si>
    <t>selected</t>
  </si>
  <si>
    <t>dotted</t>
  </si>
  <si>
    <t>thick</t>
  </si>
  <si>
    <t>thin</t>
  </si>
  <si>
    <t>Accordion</t>
  </si>
  <si>
    <t>.accordion-body</t>
  </si>
  <si>
    <t>.accordion-button</t>
  </si>
  <si>
    <t>.accordion-collapse</t>
  </si>
  <si>
    <t>.accordion-flush</t>
  </si>
  <si>
    <t>.accordion-header</t>
  </si>
  <si>
    <t>.accordion-item</t>
  </si>
  <si>
    <t>.collapsed</t>
  </si>
  <si>
    <t>collapsed</t>
  </si>
  <si>
    <t>Alerts</t>
  </si>
  <si>
    <t>.alert-danger</t>
  </si>
  <si>
    <t>.alert-dark</t>
  </si>
  <si>
    <t>.alert-dismissible</t>
  </si>
  <si>
    <t>.alert-heading</t>
  </si>
  <si>
    <t>.alert-info</t>
  </si>
  <si>
    <t>.alert-light</t>
  </si>
  <si>
    <t>.alert-link</t>
  </si>
  <si>
    <t>.alert-primary</t>
  </si>
  <si>
    <t>.alert-secondary</t>
  </si>
  <si>
    <t>.alert-success</t>
  </si>
  <si>
    <t>.alert-warning</t>
  </si>
  <si>
    <t>.fade</t>
  </si>
  <si>
    <t>bootstrap_class</t>
  </si>
  <si>
    <t>dark</t>
  </si>
  <si>
    <t>secondary</t>
  </si>
  <si>
    <t>light</t>
  </si>
  <si>
    <t>dismissible</t>
  </si>
  <si>
    <t>fade</t>
  </si>
  <si>
    <t>Badges</t>
  </si>
  <si>
    <t>Borders</t>
  </si>
  <si>
    <t>.badge</t>
  </si>
  <si>
    <t>.badge-danger</t>
  </si>
  <si>
    <t>.badge-dark</t>
  </si>
  <si>
    <t>.badge-info</t>
  </si>
  <si>
    <t>.badge-light</t>
  </si>
  <si>
    <t>.badge-pill</t>
  </si>
  <si>
    <t>.badge-primary</t>
  </si>
  <si>
    <t>.badge-secondary</t>
  </si>
  <si>
    <t>.badge-success</t>
  </si>
  <si>
    <t>.badge-warning</t>
  </si>
  <si>
    <t>Breadcrumbs</t>
  </si>
  <si>
    <t>Button Groups</t>
  </si>
  <si>
    <t>Button Modifiers</t>
  </si>
  <si>
    <t>Buttons</t>
  </si>
  <si>
    <t>Cards</t>
  </si>
  <si>
    <t>Carousel</t>
  </si>
  <si>
    <t>Collapse</t>
  </si>
  <si>
    <t>.accordion.collapse</t>
  </si>
  <si>
    <t>Colors</t>
  </si>
  <si>
    <t>Custom Forms</t>
  </si>
  <si>
    <t>Display</t>
  </si>
  <si>
    <t>.d-*-block.d-*-flex.d-*-inline.d-*-inline-block.d-*-inline-flex.d-*-none.d-*-table.d-*-table-cell.d-grid.d-lg-grid.d-lg-table-row.d-md-grid.d-md-table-row.d-print-....d-print-flex.d-print-grid.d-print-inline-flex.d-print-table.d-print-table-cell.d-print-table-row.d-sm-grid.d-sm-table-row.d-table-row.d-xl-grid.d-xl-table-row.d-xxl-block.d-xxl-flex.d-xxl-grid.d-xxl-inline.d-xxl-inline-block.d-xxl-inline-flex.d-xxl-none.d-xxl-table.d-xxl-table-cell.d-xxl-table-row</t>
  </si>
  <si>
    <t>Dropdowns</t>
  </si>
  <si>
    <t>Figure</t>
  </si>
  <si>
    <t>Flexbox</t>
  </si>
  <si>
    <t>Form Input Groups</t>
  </si>
  <si>
    <t>Forms</t>
  </si>
  <si>
    <t>Grid</t>
  </si>
  <si>
    <t>.col.col-*.col-# (&lt;576px).col-1.col-10.col-11.col-12.col-2.col-3.col-4.col-5.col-6.col-7.col-8.col-9.col-auto.col-lg-# (≥992px).col-lg-1.col-md-# (≥768px).col-md-1.col-sm-# (≥576px).col-sm-1.col-xl-# (≥1200px).col-xl-1.col-xxl-1.container.container-fluid.container-sm.contanier-lg.contanier-md.contanier-xl.contanier-xxl.g-0.g-lg-0.g-md-0.g-sm-0.g-xl-0.g-xxl-0.gap-0.gap-lg-0.gap-md-0.gap-sm-0.gap-xl-0.gap-xxl-0.gx-0.gx-0.gx-lg-0.gx-lg-0.gx-md-0.gx-md-0.gx-sm-0.gx-sm-0.gx-xl-0.gx-xl-0.gx-xxl-0.gy-xxl-0.nested columns.no-gutters.offset-*-#.offset-0.offset-lg-0.offset-md-0.offset-xxl-0.order-#.row.row-cols-1.row-cols-auto.row-cols-lg-1.row-cols-lg-auto.row-cols-md-1.row-cols-md-auto.row-cols-sm-1.row-cols-sm-auto.row-cols-xl-1.row-cols-xl-auto.row-cols-xxl-1.row-cols-xxl-auto</t>
  </si>
  <si>
    <t>Images</t>
  </si>
  <si>
    <t>Jumbotron</t>
  </si>
  <si>
    <t>List Group</t>
  </si>
  <si>
    <t>Media Objects</t>
  </si>
  <si>
    <t>.d-flex align-self-center.d-flex align-self-end.d-flex align-self-start.media.nested media.right aligned media</t>
  </si>
  <si>
    <t>Misc</t>
  </si>
  <si>
    <t>Modal</t>
  </si>
  <si>
    <t>Modals</t>
  </si>
  <si>
    <t>Navbar</t>
  </si>
  <si>
    <t>.collapse navbar-collapse.nav-item.nav-link.navbar.navbar fixed-bottom.navbar fixed-top.navbar sticky-top.navbar with form.navbar-brand.navbar-collapse.navbar-dark.navbar-dark bg-dark.navbar-expand-*.navbar-expand-lg.navbar-expand-md.navbar-expand-sm.navbar-expand-xl.navbar-expand-xxl.navbar-light.navbar-nav.navbar-text.navbar-toggler.navbar-toggler-icon</t>
  </si>
  <si>
    <t>Navs</t>
  </si>
  <si>
    <t>.nav flex-column.nav justify-content-*.nav with flex utils.nav-fill.nav-justified.nav-pills.nav-pills with dropdown.nav-tabs.nav-tabs with dropdown.nav.nav.tab-content.tab-pane.ul.nav</t>
  </si>
  <si>
    <t>Pagination</t>
  </si>
  <si>
    <t>Popover</t>
  </si>
  <si>
    <t>Positioning</t>
  </si>
  <si>
    <t>.align-*.bottom-0.bottom-100.bottom-50.clearfix.end-0.end-100.end-50.fixed-bottom.fixed-top.float-*-left.float-*-none.float-*-right.float-end.float-lg-end.float-lg-none.float-lg-start.float-md-end.float-md-none.float-md-start.float-none.float-sm-end.float-sm-none.float-sm-start.float-start.float-xl-end.float-xl-none.float-xl-start.float-xxl-end.float-xxl-none.float-xxl-start.position-absolute.position-relative.position-static.start-0.start-100.start-50.sticky-lg-top.sticky-md-top.sticky-sm-top.sticky-top.sticky-xl-top.top-0.top-100.top-50.translate-middle</t>
  </si>
  <si>
    <t>Progress</t>
  </si>
  <si>
    <t>Scrollspy</t>
  </si>
  <si>
    <t>.data-spy</t>
  </si>
  <si>
    <t>Sizing</t>
  </si>
  <si>
    <t>.h-100.h-25.h-50.h-75.h-auto.mh-100.min-vw-100.mw-100.w-100.w-100.w-25.w-50.w-75.w-auto</t>
  </si>
  <si>
    <t>Spacing</t>
  </si>
  <si>
    <t>.m-1 / m-*-#.m-auto.m-lg-0.m-lg-auto.m-md-0.m-md-auto.m-n1 / m-*-n#.m-sm-0.m-sm-auto.m-xl-0.m-xl-auto.m-xxl-0.m-xxl-auto.mb-1 / mb-*-#.mb-auto.mb-lg-0.mb-lg-auto.mb-md-0.mb-md-auto.mb-sm-0.mb-sm-auto.mb-xl-0.mb-xl-auto.mb-xxl-0.mb-xxl-auto.me-auto.me-lg-0.me-lg-auto.me-md-0.me-md-auto.me-sm-0.me-sm-auto.me-xl-0.me-xl-auto.me-xxl-0.me-xxl-auto.ml-1 / ml-*-#.mr-1 / mr-*-#.ms-auto.ms-lg-0.ms-lg-auto.ms-md-0.ms-md-auto.ms-sm-0.ms-sm-auto.ms-xl-0.ms-xl-auto.ms-xxl-0.ms-xxl-auto.mt-1 / mt-*-#.mt-auto.mt-lg-0.mt-lg-auto.mt-md-0.mt-md-auto.mt-sm-0.mt-sm-auto.mt-xl-0.mt-xl-auto.mt-xxl-0.mt-xxl-auto.mx-1 / mx-*-#.mx-auto.mx-lg-0.mx-lg-auto.mx-md-0.mx-md-auto.mx-sm-0.mx-sm-auto.mx-xl-0.mx-xl-auto.mx-xxl-0.mx-xxl-auto.my-1 / my-*-#.my-auto.my-lg-0.my-lg-auto.my-md-0.my-md-auto.my-sm-0.my-sm-auto.my-xl-0.my-xl-auto.my-xxl-0.my-xxl-auto.p-1 / p-*-#.p-lg-0.p-md-0.p-sm-0.p-xl-0.p-xxl-0.pb-0.pb-1 / pb-*-#.pb-lg-0.pb-md-0.pb-sm-0.pb-xl-0.pb-xxl-0.pe-0.pe-lg-0.pe-md-0.pe-sm-0.pe-xl-0.pe-xxl-0.pl-1 / pl-*-#.pr-1 / pr-*-#.ps-0.ps-lg-0.ps-md-0.ps-sm-0.ps-xl-0.ps-xxl-0.pt-0.pt-1 / pt-*-#.pt-lg-0.pt-md-0.pt-sm-0.pt-xl-0.pt-xxl-0.px-0.px-1 / px-*-#.px-lg-0.px-md-0.px-sm-0.px-xl-0.px-xxl-0.py-0.py-1 / py-*-#.py-lg-0.py-md-0.py-sm-0.py-xl-0.py-xxl-0</t>
  </si>
  <si>
    <t>Spinner</t>
  </si>
  <si>
    <t>Tables</t>
  </si>
  <si>
    <t>Text</t>
  </si>
  <si>
    <t>Toast</t>
  </si>
  <si>
    <t>.toast</t>
  </si>
  <si>
    <t>Tooltips</t>
  </si>
  <si>
    <t>.tooltip</t>
  </si>
  <si>
    <t>Typography</t>
  </si>
  <si>
    <t>.breadcrumb</t>
  </si>
  <si>
    <t>.breadcrumb-item</t>
  </si>
  <si>
    <t>.btn</t>
  </si>
  <si>
    <t>.btn-close</t>
  </si>
  <si>
    <t>.btn-close-white</t>
  </si>
  <si>
    <t>.btn-danger</t>
  </si>
  <si>
    <t>.btn-dark</t>
  </si>
  <si>
    <t>.btn-info</t>
  </si>
  <si>
    <t>.btn-light</t>
  </si>
  <si>
    <t>.btn-link</t>
  </si>
  <si>
    <t>.btn-outline-danger</t>
  </si>
  <si>
    <t>.btn-outline-dark</t>
  </si>
  <si>
    <t>.btn-outline-info</t>
  </si>
  <si>
    <t>.btn-outline-light</t>
  </si>
  <si>
    <t>.btn-outline-primary</t>
  </si>
  <si>
    <t>.btn-outline-secondary</t>
  </si>
  <si>
    <t>.btn-outline-success</t>
  </si>
  <si>
    <t>.btn-outline-warning</t>
  </si>
  <si>
    <t>.btn-primary</t>
  </si>
  <si>
    <t>.btn-secondary</t>
  </si>
  <si>
    <t>.btn-success</t>
  </si>
  <si>
    <t>.btn-warning</t>
  </si>
  <si>
    <t>close</t>
  </si>
  <si>
    <t>white</t>
  </si>
  <si>
    <t>.btn-group</t>
  </si>
  <si>
    <t>.btn-group (nested)</t>
  </si>
  <si>
    <t>.btn-group-lg</t>
  </si>
  <si>
    <t>.btn-group-sm</t>
  </si>
  <si>
    <t>.btn-group-vertical</t>
  </si>
  <si>
    <t>.btn-toolbar</t>
  </si>
  <si>
    <t>.active button</t>
  </si>
  <si>
    <t>.btn-block</t>
  </si>
  <si>
    <t>.btn-lg</t>
  </si>
  <si>
    <t>.btn-sm</t>
  </si>
  <si>
    <t>.checkbox as button</t>
  </si>
  <si>
    <t>.disabled button</t>
  </si>
  <si>
    <t>.radio as button</t>
  </si>
  <si>
    <t>.carousel slide</t>
  </si>
  <si>
    <t>.carousel-caption</t>
  </si>
  <si>
    <t>.carousel-control-next</t>
  </si>
  <si>
    <t>.carousel-control-next-icon</t>
  </si>
  <si>
    <t>.carousel-control-prev</t>
  </si>
  <si>
    <t>.carousel-control-prev-icon</t>
  </si>
  <si>
    <t>.carousel-dark.carousel-fade</t>
  </si>
  <si>
    <t>.carousel-indicators</t>
  </si>
  <si>
    <t>.carousel-inner</t>
  </si>
  <si>
    <t>.carousel-item</t>
  </si>
  <si>
    <t>solid</t>
  </si>
  <si>
    <t>control</t>
  </si>
  <si>
    <t>next</t>
  </si>
  <si>
    <t>.jumbotron</t>
  </si>
  <si>
    <t>.jumbotron-fluid</t>
  </si>
  <si>
    <t>jumbotron</t>
  </si>
  <si>
    <t>fluid</t>
  </si>
  <si>
    <t>.toast-body</t>
  </si>
  <si>
    <t>.toast-header</t>
  </si>
  <si>
    <t>slide</t>
  </si>
  <si>
    <t>placement</t>
  </si>
  <si>
    <t>.dismissible popover</t>
  </si>
  <si>
    <t>.popovers</t>
  </si>
  <si>
    <t>.multiple progress-bar</t>
  </si>
  <si>
    <t>.progress</t>
  </si>
  <si>
    <t>.progress-bar</t>
  </si>
  <si>
    <t>.progress-bar bg-*</t>
  </si>
  <si>
    <t>.progress-bar with height</t>
  </si>
  <si>
    <t>.progress-bar with label</t>
  </si>
  <si>
    <t>.progress-bar-animated</t>
  </si>
  <si>
    <t>.progress-bar-striped</t>
  </si>
  <si>
    <t>.progress-bar-striped bg-*</t>
  </si>
  <si>
    <t>striped</t>
  </si>
  <si>
    <t>animated</t>
  </si>
  <si>
    <t>multiple</t>
  </si>
  <si>
    <t>.modal</t>
  </si>
  <si>
    <t>.modal fade</t>
  </si>
  <si>
    <t>.modal-dialog-centered</t>
  </si>
  <si>
    <t>.modal-lg</t>
  </si>
  <si>
    <t>.modal-sm</t>
  </si>
  <si>
    <t>.modal-xl</t>
  </si>
  <si>
    <t>.card</t>
  </si>
  <si>
    <t>.card-columns</t>
  </si>
  <si>
    <t>.card-deck</t>
  </si>
  <si>
    <t>.card-footer</t>
  </si>
  <si>
    <t>.card-group</t>
  </si>
  <si>
    <t>.card-header</t>
  </si>
  <si>
    <t>.card-header-pills</t>
  </si>
  <si>
    <t>.card-header-tabs</t>
  </si>
  <si>
    <t>.card-img-bottom</t>
  </si>
  <si>
    <t>.card-img-overlay</t>
  </si>
  <si>
    <t>.card-img-top</t>
  </si>
  <si>
    <t>.card-link</t>
  </si>
  <si>
    <t>.card-subtitle</t>
  </si>
  <si>
    <t>.card bg-... text-…</t>
  </si>
  <si>
    <t>.card-body</t>
  </si>
  <si>
    <t>.card-title.h*</t>
  </si>
  <si>
    <t>.list-group.middle image.stretched-link</t>
  </si>
  <si>
    <t>.card-text</t>
  </si>
  <si>
    <t>.page-item active</t>
  </si>
  <si>
    <t>.page-item disabled</t>
  </si>
  <si>
    <t>.pagination</t>
  </si>
  <si>
    <t>.pagination-lg</t>
  </si>
  <si>
    <t>.pagination-sm</t>
  </si>
  <si>
    <t>.modal-body</t>
  </si>
  <si>
    <t>.modal-content</t>
  </si>
  <si>
    <t>.modal-dialog</t>
  </si>
  <si>
    <t>.modal-dialog-scrollable</t>
  </si>
  <si>
    <t>.modal-footer</t>
  </si>
  <si>
    <t>.modal-fullscreen</t>
  </si>
  <si>
    <t>.modal-fullscreen-lg-down</t>
  </si>
  <si>
    <t>.modal-fullscreen-md-down</t>
  </si>
  <si>
    <t>.modal-fullscreen-sm-down</t>
  </si>
  <si>
    <t>.modal-fullscreen-xl-down</t>
  </si>
  <si>
    <t>.modal-fullscreen-xxl-down</t>
  </si>
  <si>
    <t>.modal-title</t>
  </si>
  <si>
    <t>.modal-header</t>
  </si>
  <si>
    <t>.modal-static</t>
  </si>
  <si>
    <t>.border</t>
  </si>
  <si>
    <t>.border-*-0</t>
  </si>
  <si>
    <t>.border-1</t>
  </si>
  <si>
    <t>.border-danger</t>
  </si>
  <si>
    <t>.border-dark</t>
  </si>
  <si>
    <t>.border-info</t>
  </si>
  <si>
    <t>.border-light</t>
  </si>
  <si>
    <t>.border-primary</t>
  </si>
  <si>
    <t>.border-secondary</t>
  </si>
  <si>
    <t>.border-success</t>
  </si>
  <si>
    <t>.border-warning</t>
  </si>
  <si>
    <t>.border-white</t>
  </si>
  <si>
    <t>.rounded</t>
  </si>
  <si>
    <t>.rounded-*</t>
  </si>
  <si>
    <t>.rounded-0</t>
  </si>
  <si>
    <t>.rounded-1</t>
  </si>
  <si>
    <t>.rounded-2</t>
  </si>
  <si>
    <t>.rounded-3</t>
  </si>
  <si>
    <t>.rounded-bottom</t>
  </si>
  <si>
    <t>.rounded-circle</t>
  </si>
  <si>
    <t>.rounded-end</t>
  </si>
  <si>
    <t>.rounded-pill</t>
  </si>
  <si>
    <t>.rounded-start</t>
  </si>
  <si>
    <t>.rounded-top</t>
  </si>
  <si>
    <t>transparant</t>
  </si>
  <si>
    <t>dashed</t>
  </si>
  <si>
    <t>double</t>
  </si>
  <si>
    <t>groove</t>
  </si>
  <si>
    <t>inset</t>
  </si>
  <si>
    <t>outset</t>
  </si>
  <si>
    <t>ridge</t>
  </si>
  <si>
    <t>rounded</t>
  </si>
  <si>
    <t>.img-fluid</t>
  </si>
  <si>
    <t>.img-thumbnail</t>
  </si>
  <si>
    <t>.spinner-border</t>
  </si>
  <si>
    <t>.spinner-border text-*</t>
  </si>
  <si>
    <t>.spinner-border-sm</t>
  </si>
  <si>
    <t>.spinner-grow</t>
  </si>
  <si>
    <t>.spinner-grow text-*</t>
  </si>
  <si>
    <t>.spinner-grow-sm</t>
  </si>
  <si>
    <t>grow</t>
  </si>
  <si>
    <t>.dropdown</t>
  </si>
  <si>
    <t>.dropdown (split)</t>
  </si>
  <si>
    <t>.dropdown-divider</t>
  </si>
  <si>
    <t>.dropdown-header</t>
  </si>
  <si>
    <t>.dropdown-item</t>
  </si>
  <si>
    <t>.dropdown-item disabled</t>
  </si>
  <si>
    <t>.dropdown-item-text</t>
  </si>
  <si>
    <t>.dropdown-menu</t>
  </si>
  <si>
    <t>.dropdown-menu-dark</t>
  </si>
  <si>
    <t>.dropdown-menu-end</t>
  </si>
  <si>
    <t>.dropdown-menu-lg-end</t>
  </si>
  <si>
    <t>.dropdown-menu-lg-start</t>
  </si>
  <si>
    <t>.dropdown-menu-md-end</t>
  </si>
  <si>
    <t>.dropdown-menu-md-start</t>
  </si>
  <si>
    <t>.dropdown-menu-right</t>
  </si>
  <si>
    <t>.dropdown-menu-sm-end</t>
  </si>
  <si>
    <t>.dropdown-menu-sm-start</t>
  </si>
  <si>
    <t>.dropdown-menu-start</t>
  </si>
  <si>
    <t>.dropdown-menu-xl-end</t>
  </si>
  <si>
    <t>.dropdown-menu-xl-start</t>
  </si>
  <si>
    <t>.dropdown-toggle</t>
  </si>
  <si>
    <t>.dropdown-toggle-split</t>
  </si>
  <si>
    <t>.dropleft</t>
  </si>
  <si>
    <t>.dropright</t>
  </si>
  <si>
    <t>.dropup</t>
  </si>
  <si>
    <t>.dropup (split)</t>
  </si>
  <si>
    <t>.figure</t>
  </si>
  <si>
    <t>.figure-caption</t>
  </si>
  <si>
    <t>.figure-img</t>
  </si>
  <si>
    <t>.font-italic</t>
  </si>
  <si>
    <t>.font-weight-bold</t>
  </si>
  <si>
    <t>.font-weight-bolder</t>
  </si>
  <si>
    <t>.font-weight-light</t>
  </si>
  <si>
    <t>.font-weight-normal</t>
  </si>
  <si>
    <t>.text-*-center</t>
  </si>
  <si>
    <t>.text-*-left</t>
  </si>
  <si>
    <t>.text-*-right</t>
  </si>
  <si>
    <t>.text-black-50</t>
  </si>
  <si>
    <t>.text-body</t>
  </si>
  <si>
    <t>.text-capitalize</t>
  </si>
  <si>
    <t>.text-decoration-none</t>
  </si>
  <si>
    <t>.text-hide</t>
  </si>
  <si>
    <t>.text-justify</t>
  </si>
  <si>
    <t>.text-lowercase</t>
  </si>
  <si>
    <t>.text-monospace</t>
  </si>
  <si>
    <t>.text-muted</t>
  </si>
  <si>
    <t>.text-nowrap</t>
  </si>
  <si>
    <t>.text-truncate</t>
  </si>
  <si>
    <t>.text-uppercase</t>
  </si>
  <si>
    <t>.text-white-50</t>
  </si>
  <si>
    <t>.blockquote</t>
  </si>
  <si>
    <t>.blockquote-footer</t>
  </si>
  <si>
    <t>.blockquote-reverse</t>
  </si>
  <si>
    <t>.display-# (1-4)</t>
  </si>
  <si>
    <t>.display-1</t>
  </si>
  <si>
    <t>.display-2</t>
  </si>
  <si>
    <t>.display-3</t>
  </si>
  <si>
    <t>.display-4</t>
  </si>
  <si>
    <t>.display-5</t>
  </si>
  <si>
    <t>.display-6</t>
  </si>
  <si>
    <t>.dl-horizontal</t>
  </si>
  <si>
    <t>.font-monospace</t>
  </si>
  <si>
    <t>.fs-1</t>
  </si>
  <si>
    <t>.fs-2</t>
  </si>
  <si>
    <t>.fs-3</t>
  </si>
  <si>
    <t>.fs-4</t>
  </si>
  <si>
    <t>.fs-5</t>
  </si>
  <si>
    <t>.fs-6</t>
  </si>
  <si>
    <t>.fs-lg-1</t>
  </si>
  <si>
    <t>.fs-md-1</t>
  </si>
  <si>
    <t>.fs-sm-1</t>
  </si>
  <si>
    <t>.fst-italic</t>
  </si>
  <si>
    <t>.fst-normal</t>
  </si>
  <si>
    <t>.fw-bolder</t>
  </si>
  <si>
    <t>.fw-light</t>
  </si>
  <si>
    <t>.fw-lighter</t>
  </si>
  <si>
    <t>.fw-normal</t>
  </si>
  <si>
    <t>.h1</t>
  </si>
  <si>
    <t>.h2</t>
  </si>
  <si>
    <t>.h3</t>
  </si>
  <si>
    <t>.h4</t>
  </si>
  <si>
    <t>.h5</t>
  </si>
  <si>
    <t>.h6</t>
  </si>
  <si>
    <t>.lead</t>
  </si>
  <si>
    <t>.lh-1</t>
  </si>
  <si>
    <t>.lh-base</t>
  </si>
  <si>
    <t>.lh-lg</t>
  </si>
  <si>
    <t>.lh-sm</t>
  </si>
  <si>
    <t>.list-inline</t>
  </si>
  <si>
    <t>.text-break</t>
  </si>
  <si>
    <t>.text-center</t>
  </si>
  <si>
    <t>.text-decoration-line-through</t>
  </si>
  <si>
    <t>.text-decoration-underline</t>
  </si>
  <si>
    <t>.text-end</t>
  </si>
  <si>
    <t>.text-lg-center</t>
  </si>
  <si>
    <t>.text-lg-end</t>
  </si>
  <si>
    <t>.text-lg-start</t>
  </si>
  <si>
    <t>.text-md-center</t>
  </si>
  <si>
    <t>.text-md-end</t>
  </si>
  <si>
    <t>.text-md-start</t>
  </si>
  <si>
    <t>.text-reset</t>
  </si>
  <si>
    <t>.text-sm-center</t>
  </si>
  <si>
    <t>.text-sm-end</t>
  </si>
  <si>
    <t>.text-sm-start</t>
  </si>
  <si>
    <t>.text-start</t>
  </si>
  <si>
    <t>.text-wrap</t>
  </si>
  <si>
    <t>.text-xl-center</t>
  </si>
  <si>
    <t>.text-xl-end</t>
  </si>
  <si>
    <t>.text-xl-start</t>
  </si>
  <si>
    <t>.text-xxl-center</t>
  </si>
  <si>
    <t>.text-xxl-end</t>
  </si>
  <si>
    <t>.text-xxl-start</t>
  </si>
  <si>
    <t>reverse</t>
  </si>
  <si>
    <t>.bg-body</t>
  </si>
  <si>
    <t>.bg-danger</t>
  </si>
  <si>
    <t>.bg-dark</t>
  </si>
  <si>
    <t>.bg-gradient</t>
  </si>
  <si>
    <t>.bg-info</t>
  </si>
  <si>
    <t>.bg-light</t>
  </si>
  <si>
    <t>.bg-primary</t>
  </si>
  <si>
    <t>.bg-secondary</t>
  </si>
  <si>
    <t>.bg-success</t>
  </si>
  <si>
    <t>.bg-transparent</t>
  </si>
  <si>
    <t>.bg-warning</t>
  </si>
  <si>
    <t>.bg-white</t>
  </si>
  <si>
    <t>.link-danger</t>
  </si>
  <si>
    <t>.link-dark</t>
  </si>
  <si>
    <t>.link-info</t>
  </si>
  <si>
    <t>.link-light</t>
  </si>
  <si>
    <t>.link-primary</t>
  </si>
  <si>
    <t>.link-secondary</t>
  </si>
  <si>
    <t>.link-success</t>
  </si>
  <si>
    <t>.link-warning</t>
  </si>
  <si>
    <t>.text-danger</t>
  </si>
  <si>
    <t>.text-dark</t>
  </si>
  <si>
    <t>.text-info</t>
  </si>
  <si>
    <t>.text-light</t>
  </si>
  <si>
    <t>.text-primary</t>
  </si>
  <si>
    <t>.text-secondary</t>
  </si>
  <si>
    <t>.text-success</t>
  </si>
  <si>
    <t>.text-warning</t>
  </si>
  <si>
    <t>.text-white</t>
  </si>
  <si>
    <t>smart</t>
  </si>
  <si>
    <t>internal</t>
  </si>
  <si>
    <t>external</t>
  </si>
  <si>
    <t>xxl</t>
  </si>
  <si>
    <t>.checkbox</t>
  </si>
  <si>
    <t>.input-group</t>
  </si>
  <si>
    <t>.input-group-append</t>
  </si>
  <si>
    <t>.input-group-lg</t>
  </si>
  <si>
    <t>.input-group-prepend</t>
  </si>
  <si>
    <t>.input-group-sm</t>
  </si>
  <si>
    <t>.radio</t>
  </si>
  <si>
    <t>.segmented buttons</t>
  </si>
  <si>
    <t>.custom-checkbox</t>
  </si>
  <si>
    <t>.custom-file</t>
  </si>
  <si>
    <t>.custom-radio</t>
  </si>
  <si>
    <t>.custom-range</t>
  </si>
  <si>
    <t>.custom-select</t>
  </si>
  <si>
    <t>.custom-switch</t>
  </si>
  <si>
    <t>Breadcrumb</t>
  </si>
  <si>
    <t>.breadcrumb.has-arrow-separator</t>
  </si>
  <si>
    <t>.breadcrumb.has-bullet-separator</t>
  </si>
  <si>
    <t>.breadcrumb.has-dot-separator</t>
  </si>
  <si>
    <t>.breadcrumb.has-succeeds-separator</t>
  </si>
  <si>
    <t>.breadcrumb.is-centered</t>
  </si>
  <si>
    <t>.breadcrumb.is-large</t>
  </si>
  <si>
    <t>.breadcrumb.is-medium</t>
  </si>
  <si>
    <t>.breadcrumb.is-right</t>
  </si>
  <si>
    <t>.breadcrumb.is-small</t>
  </si>
  <si>
    <t>.has-succeeds-separator</t>
  </si>
  <si>
    <t>Button</t>
  </si>
  <si>
    <t>.button</t>
  </si>
  <si>
    <t>.button.is-black</t>
  </si>
  <si>
    <t>.button.is-danger</t>
  </si>
  <si>
    <t>.button.is-dark</t>
  </si>
  <si>
    <t>.button.is-fullwidth</t>
  </si>
  <si>
    <t>.button.is-info</t>
  </si>
  <si>
    <t>.button.is-large</t>
  </si>
  <si>
    <t>.button.is-light</t>
  </si>
  <si>
    <t>.button.is-link</t>
  </si>
  <si>
    <t>.button.is-loading</t>
  </si>
  <si>
    <t>.button.is-medium</t>
  </si>
  <si>
    <t>.button.is-normal</t>
  </si>
  <si>
    <t>.button.is-primary</t>
  </si>
  <si>
    <t>.button.is-rounded</t>
  </si>
  <si>
    <t>.button.is-small</t>
  </si>
  <si>
    <t>.button.is-static</t>
  </si>
  <si>
    <t>.button.is-success</t>
  </si>
  <si>
    <t>.button.is-text</t>
  </si>
  <si>
    <t>.button.is-warning</t>
  </si>
  <si>
    <t>.button.is-white</t>
  </si>
  <si>
    <t>.buttons</t>
  </si>
  <si>
    <t>.buttons.has-addons</t>
  </si>
  <si>
    <t>.buttons.is-centered</t>
  </si>
  <si>
    <t>.buttons.is-right</t>
  </si>
  <si>
    <t>.is-hovered</t>
  </si>
  <si>
    <t>.is-outlined</t>
  </si>
  <si>
    <t>Card</t>
  </si>
  <si>
    <t>.card-content</t>
  </si>
  <si>
    <t>.card-footer-item</t>
  </si>
  <si>
    <t>.card-header-icon</t>
  </si>
  <si>
    <t>.card-header-title</t>
  </si>
  <si>
    <t>.card-header-title.is-centered</t>
  </si>
  <si>
    <t>.card-image</t>
  </si>
  <si>
    <t>.has-background-black</t>
  </si>
  <si>
    <t>.has-background-black-bis</t>
  </si>
  <si>
    <t>.has-background-black-ter</t>
  </si>
  <si>
    <t>.has-background-danger</t>
  </si>
  <si>
    <t>.has-background-danger-dark</t>
  </si>
  <si>
    <t>.has-background-danger-light</t>
  </si>
  <si>
    <t>.has-background-dark</t>
  </si>
  <si>
    <t>.has-background-grey</t>
  </si>
  <si>
    <t>.has-background-grey-dark</t>
  </si>
  <si>
    <t>.has-background-grey-darker</t>
  </si>
  <si>
    <t>.has-background-grey-light</t>
  </si>
  <si>
    <t>.has-background-grey-lighter</t>
  </si>
  <si>
    <t>.has-background-info</t>
  </si>
  <si>
    <t>.has-background-info-dark</t>
  </si>
  <si>
    <t>.has-background-info-light</t>
  </si>
  <si>
    <t>.has-background-light</t>
  </si>
  <si>
    <t>.has-background-link</t>
  </si>
  <si>
    <t>.has-background-link-dark</t>
  </si>
  <si>
    <t>.has-background-link-light</t>
  </si>
  <si>
    <t>.has-background-primary</t>
  </si>
  <si>
    <t>.has-background-primary-dark</t>
  </si>
  <si>
    <t>.has-background-primary-light</t>
  </si>
  <si>
    <t>.has-background-success</t>
  </si>
  <si>
    <t>.has-background-success-dark</t>
  </si>
  <si>
    <t>.has-background-success-light</t>
  </si>
  <si>
    <t>.has-background-warning</t>
  </si>
  <si>
    <t>.has-background-warning-dark</t>
  </si>
  <si>
    <t>.has-background-warning-light</t>
  </si>
  <si>
    <t>.has-background-white</t>
  </si>
  <si>
    <t>.has-background-white-bis</t>
  </si>
  <si>
    <t>.has-background-white-ter</t>
  </si>
  <si>
    <t>.has-text-black</t>
  </si>
  <si>
    <t>.has-text-black-bis</t>
  </si>
  <si>
    <t>.has-text-black-ter</t>
  </si>
  <si>
    <t>.has-text-danger</t>
  </si>
  <si>
    <t>.has-text-danger-dark</t>
  </si>
  <si>
    <t>.has-text-danger-light</t>
  </si>
  <si>
    <t>.has-text-dark</t>
  </si>
  <si>
    <t>.has-text-grey</t>
  </si>
  <si>
    <t>.has-text-grey-dark</t>
  </si>
  <si>
    <t>.has-text-grey-darker</t>
  </si>
  <si>
    <t>.has-text-grey-light</t>
  </si>
  <si>
    <t>.has-text-grey-lighter</t>
  </si>
  <si>
    <t>.has-text-info</t>
  </si>
  <si>
    <t>.has-text-info-dark</t>
  </si>
  <si>
    <t>.has-text-info-light</t>
  </si>
  <si>
    <t>.has-text-light</t>
  </si>
  <si>
    <t>.has-text-link</t>
  </si>
  <si>
    <t>.has-text-link-dark</t>
  </si>
  <si>
    <t>.has-text-link-light</t>
  </si>
  <si>
    <t>.has-text-primary</t>
  </si>
  <si>
    <t>.has-text-primary-dark</t>
  </si>
  <si>
    <t>.has-text-primary-light</t>
  </si>
  <si>
    <t>.has-text-success</t>
  </si>
  <si>
    <t>.has-text-success-dark</t>
  </si>
  <si>
    <t>.has-text-success-light</t>
  </si>
  <si>
    <t>.has-text-warning</t>
  </si>
  <si>
    <t>.has-text-warning-dark</t>
  </si>
  <si>
    <t>.has-text-warning-light</t>
  </si>
  <si>
    <t>.has-text-white</t>
  </si>
  <si>
    <t>.has-text-white-bis</t>
  </si>
  <si>
    <t>.has-text-white-ter</t>
  </si>
  <si>
    <t>.is-info</t>
  </si>
  <si>
    <t>.is-inverted</t>
  </si>
  <si>
    <t>.is-transparent</t>
  </si>
  <si>
    <t>Column</t>
  </si>
  <si>
    <t>.column</t>
  </si>
  <si>
    <t>.columns</t>
  </si>
  <si>
    <t>.columns.is-centered</t>
  </si>
  <si>
    <t>.columns.is-gapless</t>
  </si>
  <si>
    <t>.columns.is-mobile</t>
  </si>
  <si>
    <t>.columns.is-multiline</t>
  </si>
  <si>
    <t>.columns.is-variable</t>
  </si>
  <si>
    <t>.columns.is-vcentered</t>
  </si>
  <si>
    <t>Container</t>
  </si>
  <si>
    <t>.is-fluid</t>
  </si>
  <si>
    <t>Containers</t>
  </si>
  <si>
    <t>.box</t>
  </si>
  <si>
    <t>.container</t>
  </si>
  <si>
    <t>.content</t>
  </si>
  <si>
    <t>.footer</t>
  </si>
  <si>
    <t>.section</t>
  </si>
  <si>
    <t>Delete</t>
  </si>
  <si>
    <t>.delete</t>
  </si>
  <si>
    <t>.block</t>
  </si>
  <si>
    <t>.is-block-desktop</t>
  </si>
  <si>
    <t>.is-block-desktop-only</t>
  </si>
  <si>
    <t>.is-block-fullhd</t>
  </si>
  <si>
    <t>.is-block-mobile</t>
  </si>
  <si>
    <t>.is-block-tablet</t>
  </si>
  <si>
    <t>.is-block-tablet-only</t>
  </si>
  <si>
    <t>.is-block-touch</t>
  </si>
  <si>
    <t>.is-block-widescreen</t>
  </si>
  <si>
    <t>.is-block-widescreen-only</t>
  </si>
  <si>
    <t>.is-flex-desktop</t>
  </si>
  <si>
    <t>.is-flex-desktop-only</t>
  </si>
  <si>
    <t>.is-flex-fullhd</t>
  </si>
  <si>
    <t>.is-flex-mobile</t>
  </si>
  <si>
    <t>.is-flex-tablet</t>
  </si>
  <si>
    <t>.is-flex-tablet-only</t>
  </si>
  <si>
    <t>.is-flex-touch</t>
  </si>
  <si>
    <t>.is-flex-widescreen</t>
  </si>
  <si>
    <t>.is-flex-widescreen-only</t>
  </si>
  <si>
    <t>.is-hidden-desktop</t>
  </si>
  <si>
    <t>.is-hidden-desktop-only</t>
  </si>
  <si>
    <t>.is-hidden-fullhd</t>
  </si>
  <si>
    <t>.is-hidden-mobile</t>
  </si>
  <si>
    <t>.is-hidden-tablet</t>
  </si>
  <si>
    <t>.is-hidden-tablet-only</t>
  </si>
  <si>
    <t>.is-hidden-touch</t>
  </si>
  <si>
    <t>.is-hidden-widescreen</t>
  </si>
  <si>
    <t>.is-hidden-widescreen-only</t>
  </si>
  <si>
    <t>.is-inline-block-desktop</t>
  </si>
  <si>
    <t>.is-inline-block-desktop-only</t>
  </si>
  <si>
    <t>.is-inline-block-fullhd</t>
  </si>
  <si>
    <t>.is-inline-block-mobile</t>
  </si>
  <si>
    <t>.is-inline-block-tablet</t>
  </si>
  <si>
    <t>.is-inline-block-tablet-only</t>
  </si>
  <si>
    <t>.is-inline-block-touch</t>
  </si>
  <si>
    <t>.is-inline-block-widescreen</t>
  </si>
  <si>
    <t>.is-inline-block-widescreen-only</t>
  </si>
  <si>
    <t>.is-inline-desktop</t>
  </si>
  <si>
    <t>.is-inline-desktop-only</t>
  </si>
  <si>
    <t>.is-inline-flex-desktop</t>
  </si>
  <si>
    <t>.is-inline-flex-desktop-only</t>
  </si>
  <si>
    <t>.is-inline-flex-fullhd</t>
  </si>
  <si>
    <t>.is-inline-flex-mobile</t>
  </si>
  <si>
    <t>.is-inline-flex-tablet</t>
  </si>
  <si>
    <t>.is-inline-flex-tablet-only</t>
  </si>
  <si>
    <t>.is-inline-flex-touch</t>
  </si>
  <si>
    <t>.is-inline-flex-widescreen</t>
  </si>
  <si>
    <t>.is-inline-flex-widescreen-only</t>
  </si>
  <si>
    <t>.is-inline-fullhd</t>
  </si>
  <si>
    <t>.is-inline-mobile</t>
  </si>
  <si>
    <t>.is-inline-tablet</t>
  </si>
  <si>
    <t>.is-inline-tablet-only</t>
  </si>
  <si>
    <t>.is-inline-touch</t>
  </si>
  <si>
    <t>.is-inline-widescreen</t>
  </si>
  <si>
    <t>.is-inline-widescreen-only</t>
  </si>
  <si>
    <t>.is-invisible-desktop</t>
  </si>
  <si>
    <t>.is-invisible-desktop-only</t>
  </si>
  <si>
    <t>.is-invisible-fullhd</t>
  </si>
  <si>
    <t>.is-invisible-mobile</t>
  </si>
  <si>
    <t>.is-invisible-tablet</t>
  </si>
  <si>
    <t>.is-invisible-tablet-only</t>
  </si>
  <si>
    <t>.is-invisible-touch</t>
  </si>
  <si>
    <t>.is-invisible-widescreen</t>
  </si>
  <si>
    <t>.is-invisible-widescreen-only</t>
  </si>
  <si>
    <t>Dropdown</t>
  </si>
  <si>
    <t>.dropdown-content</t>
  </si>
  <si>
    <t>.dropdown.is-active</t>
  </si>
  <si>
    <t>.dropdown.is-right</t>
  </si>
  <si>
    <t>.dropdown.is-up</t>
  </si>
  <si>
    <t>.is-hoverable</t>
  </si>
  <si>
    <t>Field</t>
  </si>
  <si>
    <t>.field</t>
  </si>
  <si>
    <t>.field-body</t>
  </si>
  <si>
    <t>.field-label</t>
  </si>
  <si>
    <t>.field.has-addons</t>
  </si>
  <si>
    <t>.field.has-addons.has-addons-centered</t>
  </si>
  <si>
    <t>.field.has-addons.has-addons-fullwidth</t>
  </si>
  <si>
    <t>.field.has-addons.has-addons-right</t>
  </si>
  <si>
    <t>.field.is-grouped</t>
  </si>
  <si>
    <t>.field.is-grouped.is-grouped-centered</t>
  </si>
  <si>
    <t>.field.is-grouped.is-grouped-multiline</t>
  </si>
  <si>
    <t>.field.is-grouped.is-grouped-right</t>
  </si>
  <si>
    <t>File</t>
  </si>
  <si>
    <t>.file</t>
  </si>
  <si>
    <t>.file-cta</t>
  </si>
  <si>
    <t>.file-icon</t>
  </si>
  <si>
    <t>.file-input</t>
  </si>
  <si>
    <t>.file-label</t>
  </si>
  <si>
    <t>.file-name</t>
  </si>
  <si>
    <t>.file.has-name</t>
  </si>
  <si>
    <t>.file.has-name.is-empty</t>
  </si>
  <si>
    <t>.file.is-boxed</t>
  </si>
  <si>
    <t>.file.is-boxed.has-name</t>
  </si>
  <si>
    <t>.file.is-centered</t>
  </si>
  <si>
    <t>.file.is-fullwidth</t>
  </si>
  <si>
    <t>.file.is-right</t>
  </si>
  <si>
    <t>.control</t>
  </si>
  <si>
    <t>.control.has-icons-left</t>
  </si>
  <si>
    <t>.control.has-icons-right</t>
  </si>
  <si>
    <t>.control.is-loading</t>
  </si>
  <si>
    <t>.has-name</t>
  </si>
  <si>
    <t>.input</t>
  </si>
  <si>
    <t>.input.is-rounded</t>
  </si>
  <si>
    <t>.input.is-static</t>
  </si>
  <si>
    <t>.is-expanded</t>
  </si>
  <si>
    <t>.is-focused</t>
  </si>
  <si>
    <t>.is-horizontal</t>
  </si>
  <si>
    <t>.is-left</t>
  </si>
  <si>
    <t>.is-multiple</t>
  </si>
  <si>
    <t>.is-normal</t>
  </si>
  <si>
    <t>.is-right</t>
  </si>
  <si>
    <t>.select</t>
  </si>
  <si>
    <t>.textarea</t>
  </si>
  <si>
    <t>.textarea.has-fixed-size</t>
  </si>
  <si>
    <t>.is-0</t>
  </si>
  <si>
    <t>.is-0-desktop</t>
  </si>
  <si>
    <t>.is-0-desktop-only</t>
  </si>
  <si>
    <t>.is-0-fullhd</t>
  </si>
  <si>
    <t>.is-0-mobile</t>
  </si>
  <si>
    <t>.is-0-tablet</t>
  </si>
  <si>
    <t>.is-0-tablet-only</t>
  </si>
  <si>
    <t>.is-0-touch</t>
  </si>
  <si>
    <t>.is-0-widescreen</t>
  </si>
  <si>
    <t>.is-0-widescreen-only</t>
  </si>
  <si>
    <t>.is-desktop</t>
  </si>
  <si>
    <t>.is-four-fifths</t>
  </si>
  <si>
    <t>.is-four-fifths-desktop</t>
  </si>
  <si>
    <t>.is-four-fifths-fullhd</t>
  </si>
  <si>
    <t>.is-four-fifths-mobile</t>
  </si>
  <si>
    <t>.is-four-fifths-touch</t>
  </si>
  <si>
    <t>.is-four-fifths-widescreen</t>
  </si>
  <si>
    <t>.is-full</t>
  </si>
  <si>
    <t>.is-full-desktop</t>
  </si>
  <si>
    <t>.is-full-mobile</t>
  </si>
  <si>
    <t>.is-full-tablet</t>
  </si>
  <si>
    <t>.is-full-touch</t>
  </si>
  <si>
    <t>.is-full-widescreen</t>
  </si>
  <si>
    <t>.is-half</t>
  </si>
  <si>
    <t>.is-half-desktop</t>
  </si>
  <si>
    <t>.is-half-fullhd</t>
  </si>
  <si>
    <t>.is-half-mobile</t>
  </si>
  <si>
    <t>.is-half-tablet</t>
  </si>
  <si>
    <t>.is-half-touch</t>
  </si>
  <si>
    <t>.is-half-widescreen</t>
  </si>
  <si>
    <t>.is-narrow</t>
  </si>
  <si>
    <t>.is-narrow-desktop</t>
  </si>
  <si>
    <t>.is-narrow-fullhd</t>
  </si>
  <si>
    <t>.is-narrow-mobile</t>
  </si>
  <si>
    <t>.is-narrow-tablet</t>
  </si>
  <si>
    <t>.is-narrow-touch</t>
  </si>
  <si>
    <t>.is-narrow-widescreen</t>
  </si>
  <si>
    <t>.is-offset-0</t>
  </si>
  <si>
    <t>.is-offset-0-desktop</t>
  </si>
  <si>
    <t>.is-offset-0-fullhd</t>
  </si>
  <si>
    <t>.is-offset-0-mobile</t>
  </si>
  <si>
    <t>.is-offset-0-tablet</t>
  </si>
  <si>
    <t>.is-offset-0-touch</t>
  </si>
  <si>
    <t>.is-offset-0-widescreen</t>
  </si>
  <si>
    <t>.is-offset-1</t>
  </si>
  <si>
    <t>.is-offset-1-desktop</t>
  </si>
  <si>
    <t>.is-offset-1-mobile</t>
  </si>
  <si>
    <t>.is-offset-1-tablet</t>
  </si>
  <si>
    <t>.is-offset-1-touch</t>
  </si>
  <si>
    <t>.is-offset-1-widescreen</t>
  </si>
  <si>
    <t>.is-offset-four-fifths</t>
  </si>
  <si>
    <t>.is-offset-four-fifths-desktop</t>
  </si>
  <si>
    <t>.is-offset-four-fifths-fullhd</t>
  </si>
  <si>
    <t>.is-offset-four-fifths-mobile</t>
  </si>
  <si>
    <t>.is-offset-four-fifths-tablet</t>
  </si>
  <si>
    <t>.is-offset-four-fifths-touch</t>
  </si>
  <si>
    <t>.is-offset-four-fifths-widescreen</t>
  </si>
  <si>
    <t>.is-offset-half</t>
  </si>
  <si>
    <t>.is-offset-half-desktop</t>
  </si>
  <si>
    <t>.is-offset-half-fullhd</t>
  </si>
  <si>
    <t>.is-offset-half-mobile</t>
  </si>
  <si>
    <t>.is-offset-half-tablet</t>
  </si>
  <si>
    <t>.is-offset-half-touch</t>
  </si>
  <si>
    <t>.is-offset-half-widescreen</t>
  </si>
  <si>
    <t>.is-offset-one-fifth</t>
  </si>
  <si>
    <t>.is-offset-one-fifth-desktop</t>
  </si>
  <si>
    <t>.is-offset-one-fifth-fullhd</t>
  </si>
  <si>
    <t>.is-offset-one-fifth-mobile</t>
  </si>
  <si>
    <t>.is-offset-one-fifth-tablet</t>
  </si>
  <si>
    <t>.is-offset-one-fifth-touch</t>
  </si>
  <si>
    <t>.is-offset-one-fifth-widescreen</t>
  </si>
  <si>
    <t>.is-offset-one-quarter</t>
  </si>
  <si>
    <t>.is-offset-one-quarter-desktop</t>
  </si>
  <si>
    <t>.is-offset-one-quarter-fullhd</t>
  </si>
  <si>
    <t>.is-offset-one-quarter-mobile</t>
  </si>
  <si>
    <t>.is-offset-one-quarter-tablet</t>
  </si>
  <si>
    <t>.is-offset-one-quarter-touch</t>
  </si>
  <si>
    <t>.is-offset-one-quarter-widescreen</t>
  </si>
  <si>
    <t>.is-offset-one-third</t>
  </si>
  <si>
    <t>.is-offset-one-third-desktop</t>
  </si>
  <si>
    <t>.is-offset-one-third-fullhd</t>
  </si>
  <si>
    <t>.is-offset-one-third-mobile</t>
  </si>
  <si>
    <t>.is-offset-one-third-tablet</t>
  </si>
  <si>
    <t>.is-offset-one-third-touch</t>
  </si>
  <si>
    <t>.is-offset-one-third-widescreen</t>
  </si>
  <si>
    <t>.is-offset-three-fifths</t>
  </si>
  <si>
    <t>.is-offset-three-fifths-desktop</t>
  </si>
  <si>
    <t>.is-offset-three-fifths-fullhd</t>
  </si>
  <si>
    <t>.is-offset-three-fifths-mobile</t>
  </si>
  <si>
    <t>.is-offset-three-fifths-tablet</t>
  </si>
  <si>
    <t>.is-offset-three-fifths-touch</t>
  </si>
  <si>
    <t>.is-offset-three-fifths-widescreen</t>
  </si>
  <si>
    <t>.is-offset-three-quarters</t>
  </si>
  <si>
    <t>.is-offset-three-quarters-desktop</t>
  </si>
  <si>
    <t>.is-offset-three-quarters-fullhd</t>
  </si>
  <si>
    <t>.is-offset-three-quarters-mobile</t>
  </si>
  <si>
    <t>.is-offset-three-quarters-tablet</t>
  </si>
  <si>
    <t>.is-offset-three-quarters-touch</t>
  </si>
  <si>
    <t>.is-offset-three-quarters-widescreen</t>
  </si>
  <si>
    <t>.is-offset-two-fifths</t>
  </si>
  <si>
    <t>.is-offset-two-fifths-desktop</t>
  </si>
  <si>
    <t>.is-offset-two-fifths-fullhd</t>
  </si>
  <si>
    <t>.is-offset-two-fifths-mobile</t>
  </si>
  <si>
    <t>.is-offset-two-fifths-tablet</t>
  </si>
  <si>
    <t>.is-offset-two-fifths-touch</t>
  </si>
  <si>
    <t>.is-offset-two-fifths-widescreen</t>
  </si>
  <si>
    <t>.is-offset-two-thirds</t>
  </si>
  <si>
    <t>.is-offset-two-thirds-desktop</t>
  </si>
  <si>
    <t>.is-offset-two-thirds-desktop-mobile</t>
  </si>
  <si>
    <t>.is-offset-two-thirds-desktop-tablet</t>
  </si>
  <si>
    <t>.is-offset-two-thirds-desktop-touch</t>
  </si>
  <si>
    <t>.is-offset-two-thirds-desktop-widescreen</t>
  </si>
  <si>
    <t>.is-offset-two-thirds-fullhd</t>
  </si>
  <si>
    <t>.is-one-fifth</t>
  </si>
  <si>
    <t>.is-one-fifth-desktop</t>
  </si>
  <si>
    <t>.is-one-fifth-fullhd</t>
  </si>
  <si>
    <t>.is-one-fifth-mobile</t>
  </si>
  <si>
    <t>.is-one-fifth-tablet</t>
  </si>
  <si>
    <t>.is-one-fifth-touch</t>
  </si>
  <si>
    <t>.is-one-fifth-widescreen</t>
  </si>
  <si>
    <t>.is-one-quarter</t>
  </si>
  <si>
    <t>.is-one-quarter-desktop</t>
  </si>
  <si>
    <t>.is-one-quarter-fullhd</t>
  </si>
  <si>
    <t>.is-one-quarter-mobile</t>
  </si>
  <si>
    <t>.is-one-quarter-tablet</t>
  </si>
  <si>
    <t>.is-one-quarter-touch</t>
  </si>
  <si>
    <t>.is-one-quarter-widescreen</t>
  </si>
  <si>
    <t>.is-one-third</t>
  </si>
  <si>
    <t>.is-one-third-desktop</t>
  </si>
  <si>
    <t>.is-one-third-fullhd</t>
  </si>
  <si>
    <t>.is-one-third-mobile</t>
  </si>
  <si>
    <t>.is-one-third-tablet</t>
  </si>
  <si>
    <t>.is-one-third-touch</t>
  </si>
  <si>
    <t>.is-one-third-widescreen</t>
  </si>
  <si>
    <t>.is-three-fifths</t>
  </si>
  <si>
    <t>.is-three-fifths-desktop</t>
  </si>
  <si>
    <t>.is-three-fifths-fullhd</t>
  </si>
  <si>
    <t>.is-three-fifths-mobile</t>
  </si>
  <si>
    <t>.is-three-fifths-tablet</t>
  </si>
  <si>
    <t>.is-three-fifths-touch</t>
  </si>
  <si>
    <t>.is-three-fifths-widescreen</t>
  </si>
  <si>
    <t>.is-three-quarters</t>
  </si>
  <si>
    <t>.is-three-quarters-desktop</t>
  </si>
  <si>
    <t>.is-three-quarters-fullhd</t>
  </si>
  <si>
    <t>.is-three-quarters-mobile</t>
  </si>
  <si>
    <t>.is-three-quarters-tablet</t>
  </si>
  <si>
    <t>.is-three-quarters-touch</t>
  </si>
  <si>
    <t>.is-three-quarters-widescreen</t>
  </si>
  <si>
    <t>.is-two-fifths</t>
  </si>
  <si>
    <t>.is-two-fifths-desktop</t>
  </si>
  <si>
    <t>.is-two-fifths-fullhd</t>
  </si>
  <si>
    <t>.is-two-fifths-mobile</t>
  </si>
  <si>
    <t>.is-two-fifths-tablet</t>
  </si>
  <si>
    <t>.is-two-fifths-touch</t>
  </si>
  <si>
    <t>.is-two-fifths-widescreen</t>
  </si>
  <si>
    <t>.is-two-thirds</t>
  </si>
  <si>
    <t>.is-two-thirds-desktop</t>
  </si>
  <si>
    <t>.is-two-thirds-fullhd</t>
  </si>
  <si>
    <t>.is-two-thirds-mobile</t>
  </si>
  <si>
    <t>.is-two-thirds-tablet</t>
  </si>
  <si>
    <t>.is-two-thirds-touch</t>
  </si>
  <si>
    <t>.is-two-thirds-widescreen</t>
  </si>
  <si>
    <t>.is-variable</t>
  </si>
  <si>
    <t>.is-widescreen</t>
  </si>
  <si>
    <t>Help</t>
  </si>
  <si>
    <t>.help</t>
  </si>
  <si>
    <t>Helpers</t>
  </si>
  <si>
    <t>.is-clearfix</t>
  </si>
  <si>
    <t>.is-clipped</t>
  </si>
  <si>
    <t>.is-hidden</t>
  </si>
  <si>
    <t>.is-invisible</t>
  </si>
  <si>
    <t>.is-marginless</t>
  </si>
  <si>
    <t>.is-overlay</t>
  </si>
  <si>
    <t>.is-paddingless</t>
  </si>
  <si>
    <t>.is-pulled-left</t>
  </si>
  <si>
    <t>.is-pulled-right</t>
  </si>
  <si>
    <t>.is-radiusless</t>
  </si>
  <si>
    <t>.is-relative</t>
  </si>
  <si>
    <t>.is-shadowless</t>
  </si>
  <si>
    <t>.is-sr-only</t>
  </si>
  <si>
    <t>.is-unselectable</t>
  </si>
  <si>
    <t>Hero</t>
  </si>
  <si>
    <t>.hero</t>
  </si>
  <si>
    <t>.hero-body</t>
  </si>
  <si>
    <t>.hero-foot</t>
  </si>
  <si>
    <t>.hero-head</t>
  </si>
  <si>
    <t>.hero-video</t>
  </si>
  <si>
    <t>.hero.is-fullheight</t>
  </si>
  <si>
    <t>.hero.is-fullheight-with-navbar</t>
  </si>
  <si>
    <t>.hero.is-halfheight</t>
  </si>
  <si>
    <t>.hero.is-small</t>
  </si>
  <si>
    <t>Icon</t>
  </si>
  <si>
    <t>.has-icons-left</t>
  </si>
  <si>
    <t>.has-icons-right</t>
  </si>
  <si>
    <t>.icon</t>
  </si>
  <si>
    <t>.has-ratio</t>
  </si>
  <si>
    <t>.image</t>
  </si>
  <si>
    <t>.image.is-128x128</t>
  </si>
  <si>
    <t>.image.is-16by9</t>
  </si>
  <si>
    <t>.image.is-16x16</t>
  </si>
  <si>
    <t>.image.is-1by1</t>
  </si>
  <si>
    <t>.image.is-1by2</t>
  </si>
  <si>
    <t>.image.is-1by3</t>
  </si>
  <si>
    <t>.image.is-24x24</t>
  </si>
  <si>
    <t>.image.is-2by1</t>
  </si>
  <si>
    <t>.image.is-2by3</t>
  </si>
  <si>
    <t>.image.is-32x32</t>
  </si>
  <si>
    <t>.image.is-3by1</t>
  </si>
  <si>
    <t>.image.is-3by2</t>
  </si>
  <si>
    <t>.image.is-3by4</t>
  </si>
  <si>
    <t>.image.is-3by5</t>
  </si>
  <si>
    <t>.image.is-48x48</t>
  </si>
  <si>
    <t>.image.is-4by3</t>
  </si>
  <si>
    <t>.image.is-4by5</t>
  </si>
  <si>
    <t>.image.is-5by3</t>
  </si>
  <si>
    <t>.image.is-5by4</t>
  </si>
  <si>
    <t>.image.is-64x64</t>
  </si>
  <si>
    <t>.image.is-96x96</t>
  </si>
  <si>
    <t>.image.is-9by16</t>
  </si>
  <si>
    <t>.image.is-square</t>
  </si>
  <si>
    <t>Label</t>
  </si>
  <si>
    <t>.label</t>
  </si>
  <si>
    <t>.label.is-large</t>
  </si>
  <si>
    <t>.label.is-medium</t>
  </si>
  <si>
    <t>.label.is-small</t>
  </si>
  <si>
    <t>Level</t>
  </si>
  <si>
    <t>.level</t>
  </si>
  <si>
    <t>.level-item</t>
  </si>
  <si>
    <t>.level-left</t>
  </si>
  <si>
    <t>.level-right</t>
  </si>
  <si>
    <t>.level.is-mobile</t>
  </si>
  <si>
    <t>.is-lower-alpha</t>
  </si>
  <si>
    <t>.is-lower-roman</t>
  </si>
  <si>
    <t>.is-upper-alpha</t>
  </si>
  <si>
    <t>.is-upper-roman</t>
  </si>
  <si>
    <t>.list</t>
  </si>
  <si>
    <t>.list-item</t>
  </si>
  <si>
    <t>.list-item.is-active</t>
  </si>
  <si>
    <t>Loader</t>
  </si>
  <si>
    <t>.loader</t>
  </si>
  <si>
    <t>Media</t>
  </si>
  <si>
    <t>.media</t>
  </si>
  <si>
    <t>.media-content</t>
  </si>
  <si>
    <t>.media-left</t>
  </si>
  <si>
    <t>.media-right</t>
  </si>
  <si>
    <t>.media.is-large</t>
  </si>
  <si>
    <t>Menu</t>
  </si>
  <si>
    <t>.menu</t>
  </si>
  <si>
    <t>.menu-label</t>
  </si>
  <si>
    <t>.menu-list</t>
  </si>
  <si>
    <t>.menu.is-large</t>
  </si>
  <si>
    <t>.menu.is-medium</t>
  </si>
  <si>
    <t>.menu.is-small</t>
  </si>
  <si>
    <t>Message</t>
  </si>
  <si>
    <t>.message</t>
  </si>
  <si>
    <t>.message-body</t>
  </si>
  <si>
    <t>.message-header</t>
  </si>
  <si>
    <t>.modal-background</t>
  </si>
  <si>
    <t>.modal-card</t>
  </si>
  <si>
    <t>.modal-card-body</t>
  </si>
  <si>
    <t>.modal-card-foot</t>
  </si>
  <si>
    <t>.modal-card-head</t>
  </si>
  <si>
    <t>.modal-card-title</t>
  </si>
  <si>
    <t>.modal-close</t>
  </si>
  <si>
    <t>.modal.is-active</t>
  </si>
  <si>
    <t>.is-arrowless</t>
  </si>
  <si>
    <t>.navbar</t>
  </si>
  <si>
    <t>.navbar-brand</t>
  </si>
  <si>
    <t>.navbar-burger</t>
  </si>
  <si>
    <t>.navbar-divider</t>
  </si>
  <si>
    <t>.navbar-dropdown</t>
  </si>
  <si>
    <t>.navbar-end</t>
  </si>
  <si>
    <t>.navbar-item</t>
  </si>
  <si>
    <t>.navbar-link</t>
  </si>
  <si>
    <t>.navbar-menu</t>
  </si>
  <si>
    <t>.navbar-start</t>
  </si>
  <si>
    <t>.navbar.has-shadow</t>
  </si>
  <si>
    <t>.navbar.is-black</t>
  </si>
  <si>
    <t>.navbar.is-danger</t>
  </si>
  <si>
    <t>.navbar.is-dark</t>
  </si>
  <si>
    <t>.navbar.is-fixed-bottom</t>
  </si>
  <si>
    <t>.navbar.is-fixed-top</t>
  </si>
  <si>
    <t>.navbar.is-info</t>
  </si>
  <si>
    <t>.navbar.is-light</t>
  </si>
  <si>
    <t>.navbar.is-link</t>
  </si>
  <si>
    <t>.navbar.is-primary</t>
  </si>
  <si>
    <t>.navbar.is-success</t>
  </si>
  <si>
    <t>.navbar.is-warning</t>
  </si>
  <si>
    <t>.navbar.is-white</t>
  </si>
  <si>
    <t>Notification</t>
  </si>
  <si>
    <t>.notification</t>
  </si>
  <si>
    <t>.pagination-ellipsis</t>
  </si>
  <si>
    <t>.pagination-link</t>
  </si>
  <si>
    <t>.pagination-link.is-current</t>
  </si>
  <si>
    <t>.pagination-list</t>
  </si>
  <si>
    <t>.pagination-next</t>
  </si>
  <si>
    <t>.pagination-previous</t>
  </si>
  <si>
    <t>.pagination.is-rounded</t>
  </si>
  <si>
    <t>Panel</t>
  </si>
  <si>
    <t>.panel</t>
  </si>
  <si>
    <t>.panel-block</t>
  </si>
  <si>
    <t>.panel-heading</t>
  </si>
  <si>
    <t>.panel-icon</t>
  </si>
  <si>
    <t>.panel-list</t>
  </si>
  <si>
    <t>.panel-tabs</t>
  </si>
  <si>
    <t>Progress bar</t>
  </si>
  <si>
    <t>Responsive helpers</t>
  </si>
  <si>
    <t>.is-block</t>
  </si>
  <si>
    <t>.is-flex</t>
  </si>
  <si>
    <t>.is-inline</t>
  </si>
  <si>
    <t>.is-inline-block</t>
  </si>
  <si>
    <t>.is-inline-flex</t>
  </si>
  <si>
    <t>.are-large</t>
  </si>
  <si>
    <t>.are-medium</t>
  </si>
  <si>
    <t>.are-small</t>
  </si>
  <si>
    <t>.is-fullheight</t>
  </si>
  <si>
    <t>.is-fullheight-with-navbar</t>
  </si>
  <si>
    <t>.is-fullwidth</t>
  </si>
  <si>
    <t>.is-small</t>
  </si>
  <si>
    <t>.is-size-1</t>
  </si>
  <si>
    <t>.mb-0</t>
  </si>
  <si>
    <t>.ml-0</t>
  </si>
  <si>
    <t>.mr-0</t>
  </si>
  <si>
    <t>.mt-0</t>
  </si>
  <si>
    <t>.mx-0</t>
  </si>
  <si>
    <t>.my-0</t>
  </si>
  <si>
    <t>.pb-0</t>
  </si>
  <si>
    <t>.pl-0</t>
  </si>
  <si>
    <t>.pr-0</t>
  </si>
  <si>
    <t>.pt-0</t>
  </si>
  <si>
    <t>.py-0</t>
  </si>
  <si>
    <t>.is-selected</t>
  </si>
  <si>
    <t>.table</t>
  </si>
  <si>
    <t>.table-container</t>
  </si>
  <si>
    <t>.table.is-bordered</t>
  </si>
  <si>
    <t>.table.is-fullwidth</t>
  </si>
  <si>
    <t>.table.is-hoverable</t>
  </si>
  <si>
    <t>.table.is-hoverable.is-striped</t>
  </si>
  <si>
    <t>.table.is-narrow</t>
  </si>
  <si>
    <t>.table.is-striped</t>
  </si>
  <si>
    <t>Tabs</t>
  </si>
  <si>
    <t>.tabs</t>
  </si>
  <si>
    <t>.tabs.is-boxed</t>
  </si>
  <si>
    <t>.tabs.is-centered</t>
  </si>
  <si>
    <t>.tabs.is-fullwidth</t>
  </si>
  <si>
    <t>.tabs.is-large</t>
  </si>
  <si>
    <t>.tabs.is-medium</t>
  </si>
  <si>
    <t>.tabs.is-right</t>
  </si>
  <si>
    <t>.tabs.is-small</t>
  </si>
  <si>
    <t>.tabs.is-toggle</t>
  </si>
  <si>
    <t>.tabs.is-toggle.is-toggle-rounded</t>
  </si>
  <si>
    <t>Tags</t>
  </si>
  <si>
    <t>.tag</t>
  </si>
  <si>
    <t>.tags</t>
  </si>
  <si>
    <t>.tags.are-large</t>
  </si>
  <si>
    <t>.tags.are-medium</t>
  </si>
  <si>
    <t>.tags.has-addons</t>
  </si>
  <si>
    <t>.tags.is-centered</t>
  </si>
  <si>
    <t>.tags.is-right</t>
  </si>
  <si>
    <t>Text utilities</t>
  </si>
  <si>
    <t>.has-text-centered</t>
  </si>
  <si>
    <t>.has-text-centered-desktop</t>
  </si>
  <si>
    <t>.has-text-centered-desktop-only</t>
  </si>
  <si>
    <t>.has-text-centered-fullhd</t>
  </si>
  <si>
    <t>.has-text-centered-mobile</t>
  </si>
  <si>
    <t>.has-text-centered-tablet</t>
  </si>
  <si>
    <t>.has-text-centered-tablet-only</t>
  </si>
  <si>
    <t>.has-text-centered-tablet-widescreen</t>
  </si>
  <si>
    <t>.has-text-centered-tablet-widescreen-only</t>
  </si>
  <si>
    <t>.has-text-centered-touch</t>
  </si>
  <si>
    <t>.has-text-justified</t>
  </si>
  <si>
    <t>.has-text-justified-desktop</t>
  </si>
  <si>
    <t>.has-text-justified-desktop-only</t>
  </si>
  <si>
    <t>.has-text-justified-fullhd</t>
  </si>
  <si>
    <t>.has-text-justified-mobile</t>
  </si>
  <si>
    <t>.has-text-justified-tablet</t>
  </si>
  <si>
    <t>.has-text-justified-tablet-only</t>
  </si>
  <si>
    <t>.has-text-justified-touch</t>
  </si>
  <si>
    <t>.has-text-justified-widescreen</t>
  </si>
  <si>
    <t>.has-text-justified-widescreen-only</t>
  </si>
  <si>
    <t>.has-text-left</t>
  </si>
  <si>
    <t>.has-text-left-desktop</t>
  </si>
  <si>
    <t>.has-text-left-desktop-only</t>
  </si>
  <si>
    <t>.has-text-left-fullhd</t>
  </si>
  <si>
    <t>.has-text-left-mobile</t>
  </si>
  <si>
    <t>.has-text-left-tablet-only</t>
  </si>
  <si>
    <t>.has-text-left-touch</t>
  </si>
  <si>
    <t>.has-text-left-widescreen</t>
  </si>
  <si>
    <t>.has-text-left-widescreen-only</t>
  </si>
  <si>
    <t>.has-text-right</t>
  </si>
  <si>
    <t>.has-text-right-desktop</t>
  </si>
  <si>
    <t>.has-text-right-desktop-only</t>
  </si>
  <si>
    <t>.has-text-right-fullhd</t>
  </si>
  <si>
    <t>.has-text-right-mobile</t>
  </si>
  <si>
    <t>.has-text-right-tablet</t>
  </si>
  <si>
    <t>.has-text-right-tablet-only</t>
  </si>
  <si>
    <t>.has-text-right-touch</t>
  </si>
  <si>
    <t>.has-text-right-widescreen</t>
  </si>
  <si>
    <t>.has-text-right-widescreen-only</t>
  </si>
  <si>
    <t>.has-text-weight-bold</t>
  </si>
  <si>
    <t>.has-text-weight-light</t>
  </si>
  <si>
    <t>.has-text-weight-medium</t>
  </si>
  <si>
    <t>.has-text-weight-normal</t>
  </si>
  <si>
    <t>.has-text-weight-semibold</t>
  </si>
  <si>
    <t>.heading</t>
  </si>
  <si>
    <t>.highlight</t>
  </si>
  <si>
    <t>.is-capitalized</t>
  </si>
  <si>
    <t>.is-family-code</t>
  </si>
  <si>
    <t>.is-family-monospace</t>
  </si>
  <si>
    <t>.is-family-primary</t>
  </si>
  <si>
    <t>.is-family-sans-serif</t>
  </si>
  <si>
    <t>.is-family-secondary</t>
  </si>
  <si>
    <t>.is-italic</t>
  </si>
  <si>
    <t>.is-lowercase</t>
  </si>
  <si>
    <t>.is-size-*</t>
  </si>
  <si>
    <t>.is-size-1-desktop</t>
  </si>
  <si>
    <t>.is-size-1-fullhd</t>
  </si>
  <si>
    <t>.is-size-1-mobile</t>
  </si>
  <si>
    <t>.is-size-1-tablet</t>
  </si>
  <si>
    <t>.is-size-1-touch</t>
  </si>
  <si>
    <t>.is-size-1-widescreen</t>
  </si>
  <si>
    <t>.is-spaced</t>
  </si>
  <si>
    <t>.is-uppercase</t>
  </si>
  <si>
    <t>.number</t>
  </si>
  <si>
    <t>Tile</t>
  </si>
  <si>
    <t>.tile</t>
  </si>
  <si>
    <t>.tile.is-ancestor</t>
  </si>
  <si>
    <t>.tile.is-child</t>
  </si>
  <si>
    <t>.tile.is-parent</t>
  </si>
  <si>
    <t>.tile.is-vertical</t>
  </si>
  <si>
    <t>Title and Subtitle</t>
  </si>
  <si>
    <t>.subtitle</t>
  </si>
  <si>
    <t>.subtitle.is-*</t>
  </si>
  <si>
    <t>.title</t>
  </si>
  <si>
    <t>.title.is-*</t>
  </si>
  <si>
    <t>bulma</t>
  </si>
  <si>
    <t>black</t>
  </si>
  <si>
    <t>fullwidth</t>
  </si>
  <si>
    <t>half</t>
  </si>
  <si>
    <t>message</t>
  </si>
  <si>
    <t>tabs</t>
  </si>
  <si>
    <t>boxed</t>
  </si>
  <si>
    <t>/* v5.1.0 - August 2021 */</t>
  </si>
  <si>
    <t>.active</t>
  </si>
  <si>
    <t>.alert</t>
  </si>
  <si>
    <t>.align-baseline</t>
  </si>
  <si>
    <t>.align-bottom</t>
  </si>
  <si>
    <t>.align-content-around</t>
  </si>
  <si>
    <t>.align-content-between</t>
  </si>
  <si>
    <t>.align-content-center</t>
  </si>
  <si>
    <t>.align-content-end</t>
  </si>
  <si>
    <t>.align-content-lg-around</t>
  </si>
  <si>
    <t>.align-content-lg-between</t>
  </si>
  <si>
    <t>.align-content-lg-center</t>
  </si>
  <si>
    <t>.align-content-lg-end</t>
  </si>
  <si>
    <t>.align-content-lg-start</t>
  </si>
  <si>
    <t>.align-content-lg-stretch</t>
  </si>
  <si>
    <t>.align-content-md-around</t>
  </si>
  <si>
    <t>.align-content-md-between</t>
  </si>
  <si>
    <t>.align-content-md-center</t>
  </si>
  <si>
    <t>.align-content-md-end</t>
  </si>
  <si>
    <t>.align-content-md-start</t>
  </si>
  <si>
    <t>.align-content-md-stretch</t>
  </si>
  <si>
    <t>.align-content-sm-around</t>
  </si>
  <si>
    <t>.align-content-sm-between</t>
  </si>
  <si>
    <t>.align-content-sm-center</t>
  </si>
  <si>
    <t>.align-content-sm-end</t>
  </si>
  <si>
    <t>.align-content-sm-start</t>
  </si>
  <si>
    <t>.align-content-sm-stretch</t>
  </si>
  <si>
    <t>.align-content-start</t>
  </si>
  <si>
    <t>.align-content-stretch</t>
  </si>
  <si>
    <t>.align-content-xl-around</t>
  </si>
  <si>
    <t>.align-content-xl-between</t>
  </si>
  <si>
    <t>.align-content-xl-center</t>
  </si>
  <si>
    <t>.align-content-xl-end</t>
  </si>
  <si>
    <t>.align-content-xl-start</t>
  </si>
  <si>
    <t>.align-content-xl-stretch</t>
  </si>
  <si>
    <t>.align-content-xxl-around</t>
  </si>
  <si>
    <t>.align-content-xxl-between</t>
  </si>
  <si>
    <t>.align-content-xxl-center</t>
  </si>
  <si>
    <t>.align-content-xxl-end</t>
  </si>
  <si>
    <t>.align-content-xxl-start</t>
  </si>
  <si>
    <t>.align-content-xxl-stretch</t>
  </si>
  <si>
    <t>.align-items-baseline</t>
  </si>
  <si>
    <t>.align-items-center</t>
  </si>
  <si>
    <t>.align-items-end</t>
  </si>
  <si>
    <t>.align-items-lg-baseline</t>
  </si>
  <si>
    <t>.align-items-lg-center</t>
  </si>
  <si>
    <t>.align-items-lg-end</t>
  </si>
  <si>
    <t>.align-items-lg-start</t>
  </si>
  <si>
    <t>.align-items-lg-stretch</t>
  </si>
  <si>
    <t>.align-items-md-baseline</t>
  </si>
  <si>
    <t>.align-items-md-center</t>
  </si>
  <si>
    <t>.align-items-md-end</t>
  </si>
  <si>
    <t>.align-items-md-start</t>
  </si>
  <si>
    <t>.align-items-md-stretch</t>
  </si>
  <si>
    <t>.align-items-sm-baseline</t>
  </si>
  <si>
    <t>.align-items-sm-center</t>
  </si>
  <si>
    <t>.align-items-sm-end</t>
  </si>
  <si>
    <t>.align-items-sm-start</t>
  </si>
  <si>
    <t>.align-items-sm-stretch</t>
  </si>
  <si>
    <t>.align-items-start</t>
  </si>
  <si>
    <t>.align-items-stretch</t>
  </si>
  <si>
    <t>.align-items-xl-baseline</t>
  </si>
  <si>
    <t>.align-items-xl-center</t>
  </si>
  <si>
    <t>.align-items-xl-end</t>
  </si>
  <si>
    <t>.align-items-xl-start</t>
  </si>
  <si>
    <t>.align-items-xl-stretch</t>
  </si>
  <si>
    <t>.align-items-xxl-baseline</t>
  </si>
  <si>
    <t>.align-items-xxl-center</t>
  </si>
  <si>
    <t>.align-items-xxl-end</t>
  </si>
  <si>
    <t>.align-items-xxl-start</t>
  </si>
  <si>
    <t>.align-items-xxl-stretch</t>
  </si>
  <si>
    <t>.align-middle</t>
  </si>
  <si>
    <t>.align-self-auto</t>
  </si>
  <si>
    <t>.align-self-baseline</t>
  </si>
  <si>
    <t>.align-self-center</t>
  </si>
  <si>
    <t>.align-self-end</t>
  </si>
  <si>
    <t>.align-self-lg-auto</t>
  </si>
  <si>
    <t>.align-self-lg-baseline</t>
  </si>
  <si>
    <t>.align-self-lg-center</t>
  </si>
  <si>
    <t>.align-self-lg-end</t>
  </si>
  <si>
    <t>.align-self-lg-start</t>
  </si>
  <si>
    <t>.align-self-lg-stretch</t>
  </si>
  <si>
    <t>.align-self-md-auto</t>
  </si>
  <si>
    <t>.align-self-md-baseline</t>
  </si>
  <si>
    <t>.align-self-md-center</t>
  </si>
  <si>
    <t>.align-self-md-end</t>
  </si>
  <si>
    <t>.align-self-md-start</t>
  </si>
  <si>
    <t>.align-self-md-stretch</t>
  </si>
  <si>
    <t>.align-self-sm-auto</t>
  </si>
  <si>
    <t>.align-self-sm-baseline</t>
  </si>
  <si>
    <t>.align-self-sm-center</t>
  </si>
  <si>
    <t>.align-self-sm-end</t>
  </si>
  <si>
    <t>.align-self-sm-start</t>
  </si>
  <si>
    <t>.align-self-sm-stretch</t>
  </si>
  <si>
    <t>.align-self-start</t>
  </si>
  <si>
    <t>.align-self-stretch</t>
  </si>
  <si>
    <t>.align-self-xl-auto</t>
  </si>
  <si>
    <t>.align-self-xl-baseline</t>
  </si>
  <si>
    <t>.align-self-xl-center</t>
  </si>
  <si>
    <t>.align-self-xl-end</t>
  </si>
  <si>
    <t>.align-self-xl-start</t>
  </si>
  <si>
    <t>.align-self-xl-stretch</t>
  </si>
  <si>
    <t>.align-self-xxl-auto</t>
  </si>
  <si>
    <t>.align-self-xxl-baseline</t>
  </si>
  <si>
    <t>.align-self-xxl-center</t>
  </si>
  <si>
    <t>.align-self-xxl-end</t>
  </si>
  <si>
    <t>.align-self-xxl-start</t>
  </si>
  <si>
    <t>.align-self-xxl-stretch</t>
  </si>
  <si>
    <t>.align-text-bottom</t>
  </si>
  <si>
    <t>.align-text-top</t>
  </si>
  <si>
    <t>.align-top</t>
  </si>
  <si>
    <t>.bg-black</t>
  </si>
  <si>
    <t>.bg-opacity-10</t>
  </si>
  <si>
    <t>.bg-opacity-100</t>
  </si>
  <si>
    <t>.bg-opacity-25</t>
  </si>
  <si>
    <t>.bg-opacity-50</t>
  </si>
  <si>
    <t>.bg-opacity-75</t>
  </si>
  <si>
    <t>.border-0</t>
  </si>
  <si>
    <t>.border-2</t>
  </si>
  <si>
    <t>.border-3</t>
  </si>
  <si>
    <t>.border-4</t>
  </si>
  <si>
    <t>.border-5</t>
  </si>
  <si>
    <t>.border-bottom</t>
  </si>
  <si>
    <t>.border-bottom-0</t>
  </si>
  <si>
    <t>.border-end</t>
  </si>
  <si>
    <t>.border-end-0</t>
  </si>
  <si>
    <t>.border-start</t>
  </si>
  <si>
    <t>.border-start-0</t>
  </si>
  <si>
    <t>.border-top</t>
  </si>
  <si>
    <t>.border-top-0</t>
  </si>
  <si>
    <t>.bottom-0</t>
  </si>
  <si>
    <t>.bottom-100</t>
  </si>
  <si>
    <t>.bottom-50</t>
  </si>
  <si>
    <t>.bs-popover-auto</t>
  </si>
  <si>
    <t>.bs-popover-bottom</t>
  </si>
  <si>
    <t>.bs-popover-end</t>
  </si>
  <si>
    <t>.bs-popover-start</t>
  </si>
  <si>
    <t>.bs-popover-top</t>
  </si>
  <si>
    <t>.bs-tooltip-auto</t>
  </si>
  <si>
    <t>.bs-tooltip-bottom</t>
  </si>
  <si>
    <t>.bs-tooltip-end</t>
  </si>
  <si>
    <t>.bs-tooltip-start</t>
  </si>
  <si>
    <t>.bs-tooltip-top</t>
  </si>
  <si>
    <t>.btn-check</t>
  </si>
  <si>
    <t>.caption-top</t>
  </si>
  <si>
    <t>.card-img</t>
  </si>
  <si>
    <t>.card-title</t>
  </si>
  <si>
    <t>.carousel</t>
  </si>
  <si>
    <t>.carousel-dark</t>
  </si>
  <si>
    <t>.carousel-fade</t>
  </si>
  <si>
    <t>.carousel-item-end</t>
  </si>
  <si>
    <t>.carousel-item-next</t>
  </si>
  <si>
    <t>.carousel-item-prev</t>
  </si>
  <si>
    <t>.carousel-item-start</t>
  </si>
  <si>
    <t>.clearfix</t>
  </si>
  <si>
    <t>.col</t>
  </si>
  <si>
    <t>.col-1</t>
  </si>
  <si>
    <t>.col-10</t>
  </si>
  <si>
    <t>.col-11</t>
  </si>
  <si>
    <t>.col-12</t>
  </si>
  <si>
    <t>.col-2</t>
  </si>
  <si>
    <t>.col-3</t>
  </si>
  <si>
    <t>.col-4</t>
  </si>
  <si>
    <t>.col-5</t>
  </si>
  <si>
    <t>.col-6</t>
  </si>
  <si>
    <t>.col-7</t>
  </si>
  <si>
    <t>.col-8</t>
  </si>
  <si>
    <t>.col-9</t>
  </si>
  <si>
    <t>.col-auto</t>
  </si>
  <si>
    <t>.col-form-label</t>
  </si>
  <si>
    <t>.col-form-label-lg</t>
  </si>
  <si>
    <t>.col-form-label-sm</t>
  </si>
  <si>
    <t>.col-lg</t>
  </si>
  <si>
    <t>.col-lg-1</t>
  </si>
  <si>
    <t>.col-lg-10</t>
  </si>
  <si>
    <t>.col-lg-11</t>
  </si>
  <si>
    <t>.col-lg-12</t>
  </si>
  <si>
    <t>.col-lg-2</t>
  </si>
  <si>
    <t>.col-lg-3</t>
  </si>
  <si>
    <t>.col-lg-4</t>
  </si>
  <si>
    <t>.col-lg-5</t>
  </si>
  <si>
    <t>.col-lg-6</t>
  </si>
  <si>
    <t>.col-lg-7</t>
  </si>
  <si>
    <t>.col-lg-8</t>
  </si>
  <si>
    <t>.col-lg-9</t>
  </si>
  <si>
    <t>.col-lg-auto</t>
  </si>
  <si>
    <t>.col-md</t>
  </si>
  <si>
    <t>.col-md-1</t>
  </si>
  <si>
    <t>.col-md-10</t>
  </si>
  <si>
    <t>.col-md-11</t>
  </si>
  <si>
    <t>.col-md-12</t>
  </si>
  <si>
    <t>.col-md-2</t>
  </si>
  <si>
    <t>.col-md-3</t>
  </si>
  <si>
    <t>.col-md-4</t>
  </si>
  <si>
    <t>.col-md-5</t>
  </si>
  <si>
    <t>.col-md-6</t>
  </si>
  <si>
    <t>.col-md-7</t>
  </si>
  <si>
    <t>.col-md-8</t>
  </si>
  <si>
    <t>.col-md-9</t>
  </si>
  <si>
    <t>.col-md-auto</t>
  </si>
  <si>
    <t>.col-sm</t>
  </si>
  <si>
    <t>.col-sm-1</t>
  </si>
  <si>
    <t>.col-sm-10</t>
  </si>
  <si>
    <t>.col-sm-11</t>
  </si>
  <si>
    <t>.col-sm-12</t>
  </si>
  <si>
    <t>.col-sm-2</t>
  </si>
  <si>
    <t>.col-sm-3</t>
  </si>
  <si>
    <t>.col-sm-4</t>
  </si>
  <si>
    <t>.col-sm-5</t>
  </si>
  <si>
    <t>.col-sm-6</t>
  </si>
  <si>
    <t>.col-sm-7</t>
  </si>
  <si>
    <t>.col-sm-8</t>
  </si>
  <si>
    <t>.col-sm-9</t>
  </si>
  <si>
    <t>.col-sm-auto</t>
  </si>
  <si>
    <t>.col-xl</t>
  </si>
  <si>
    <t>.col-xl-1</t>
  </si>
  <si>
    <t>.col-xl-10</t>
  </si>
  <si>
    <t>.col-xl-11</t>
  </si>
  <si>
    <t>.col-xl-12</t>
  </si>
  <si>
    <t>.col-xl-2</t>
  </si>
  <si>
    <t>.col-xl-3</t>
  </si>
  <si>
    <t>.col-xl-4</t>
  </si>
  <si>
    <t>.col-xl-5</t>
  </si>
  <si>
    <t>.col-xl-6</t>
  </si>
  <si>
    <t>.col-xl-7</t>
  </si>
  <si>
    <t>.col-xl-8</t>
  </si>
  <si>
    <t>.col-xl-9</t>
  </si>
  <si>
    <t>.col-xl-auto</t>
  </si>
  <si>
    <t>.col-xxl</t>
  </si>
  <si>
    <t>.col-xxl-1</t>
  </si>
  <si>
    <t>.col-xxl-10</t>
  </si>
  <si>
    <t>.col-xxl-11</t>
  </si>
  <si>
    <t>.col-xxl-12</t>
  </si>
  <si>
    <t>.col-xxl-2</t>
  </si>
  <si>
    <t>.col-xxl-3</t>
  </si>
  <si>
    <t>.col-xxl-4</t>
  </si>
  <si>
    <t>.col-xxl-5</t>
  </si>
  <si>
    <t>.col-xxl-6</t>
  </si>
  <si>
    <t>.col-xxl-7</t>
  </si>
  <si>
    <t>.col-xxl-8</t>
  </si>
  <si>
    <t>.col-xxl-9</t>
  </si>
  <si>
    <t>.col-xxl-auto</t>
  </si>
  <si>
    <t>.collapse</t>
  </si>
  <si>
    <t>.collapse-horizontal</t>
  </si>
  <si>
    <t>.collapsing</t>
  </si>
  <si>
    <t>.container-fluid</t>
  </si>
  <si>
    <t>.container-lg</t>
  </si>
  <si>
    <t>.container-md</t>
  </si>
  <si>
    <t>.container-sm</t>
  </si>
  <si>
    <t>.container-xl</t>
  </si>
  <si>
    <t>.container-xxl</t>
  </si>
  <si>
    <t>.d-block</t>
  </si>
  <si>
    <t>.d-flex</t>
  </si>
  <si>
    <t>.d-grid</t>
  </si>
  <si>
    <t>.d-inline</t>
  </si>
  <si>
    <t>.d-inline-block</t>
  </si>
  <si>
    <t>.d-inline-flex</t>
  </si>
  <si>
    <t>.d-lg-block</t>
  </si>
  <si>
    <t>.d-lg-flex</t>
  </si>
  <si>
    <t>.d-lg-grid</t>
  </si>
  <si>
    <t>.d-lg-inline</t>
  </si>
  <si>
    <t>.d-lg-inline-block</t>
  </si>
  <si>
    <t>.d-lg-inline-flex</t>
  </si>
  <si>
    <t>.d-lg-none</t>
  </si>
  <si>
    <t>.d-lg-table</t>
  </si>
  <si>
    <t>.d-lg-table-cell</t>
  </si>
  <si>
    <t>.d-lg-table-row</t>
  </si>
  <si>
    <t>.d-md-block</t>
  </si>
  <si>
    <t>.d-md-flex</t>
  </si>
  <si>
    <t>.d-md-grid</t>
  </si>
  <si>
    <t>.d-md-inline</t>
  </si>
  <si>
    <t>.d-md-inline-block</t>
  </si>
  <si>
    <t>.d-md-inline-flex</t>
  </si>
  <si>
    <t>.d-md-none</t>
  </si>
  <si>
    <t>.d-md-table</t>
  </si>
  <si>
    <t>.d-md-table-cell</t>
  </si>
  <si>
    <t>.d-md-table-row</t>
  </si>
  <si>
    <t>.d-none</t>
  </si>
  <si>
    <t>.d-print-block</t>
  </si>
  <si>
    <t>.d-print-flex</t>
  </si>
  <si>
    <t>.d-print-grid</t>
  </si>
  <si>
    <t>.d-print-inline</t>
  </si>
  <si>
    <t>.d-print-inline-block</t>
  </si>
  <si>
    <t>.d-print-inline-flex</t>
  </si>
  <si>
    <t>.d-print-none</t>
  </si>
  <si>
    <t>.d-print-table</t>
  </si>
  <si>
    <t>.d-print-table-cell</t>
  </si>
  <si>
    <t>.d-print-table-row</t>
  </si>
  <si>
    <t>.d-sm-block</t>
  </si>
  <si>
    <t>.d-sm-flex</t>
  </si>
  <si>
    <t>.d-sm-grid</t>
  </si>
  <si>
    <t>.d-sm-inline</t>
  </si>
  <si>
    <t>.d-sm-inline-block</t>
  </si>
  <si>
    <t>.d-sm-inline-flex</t>
  </si>
  <si>
    <t>.d-sm-none</t>
  </si>
  <si>
    <t>.d-sm-table</t>
  </si>
  <si>
    <t>.d-sm-table-cell</t>
  </si>
  <si>
    <t>.d-sm-table-row</t>
  </si>
  <si>
    <t>.d-table</t>
  </si>
  <si>
    <t>.d-table-cell</t>
  </si>
  <si>
    <t>.d-table-row</t>
  </si>
  <si>
    <t>.d-xl-block</t>
  </si>
  <si>
    <t>.d-xl-flex</t>
  </si>
  <si>
    <t>.d-xl-grid</t>
  </si>
  <si>
    <t>.d-xl-inline</t>
  </si>
  <si>
    <t>.d-xl-inline-block</t>
  </si>
  <si>
    <t>.d-xl-inline-flex</t>
  </si>
  <si>
    <t>.d-xl-none</t>
  </si>
  <si>
    <t>.d-xl-table</t>
  </si>
  <si>
    <t>.d-xl-table-cell</t>
  </si>
  <si>
    <t>.d-xl-table-row</t>
  </si>
  <si>
    <t>.d-xxl-block</t>
  </si>
  <si>
    <t>.d-xxl-flex</t>
  </si>
  <si>
    <t>.d-xxl-grid</t>
  </si>
  <si>
    <t>.d-xxl-inline</t>
  </si>
  <si>
    <t>.d-xxl-inline-block</t>
  </si>
  <si>
    <t>.d-xxl-inline-flex</t>
  </si>
  <si>
    <t>.d-xxl-none</t>
  </si>
  <si>
    <t>.d-xxl-table</t>
  </si>
  <si>
    <t>.d-xxl-table-cell</t>
  </si>
  <si>
    <t>.d-xxl-table-row</t>
  </si>
  <si>
    <t>.disabled</t>
  </si>
  <si>
    <t>.dropdown-menu-xxl-end</t>
  </si>
  <si>
    <t>.dropdown-menu-xxl-start</t>
  </si>
  <si>
    <t>.dropend</t>
  </si>
  <si>
    <t>.dropstart</t>
  </si>
  <si>
    <t>.end-0</t>
  </si>
  <si>
    <t>.end-100</t>
  </si>
  <si>
    <t>.end-50</t>
  </si>
  <si>
    <t>.fixed-bottom</t>
  </si>
  <si>
    <t>.fixed-top</t>
  </si>
  <si>
    <t>.flex-column</t>
  </si>
  <si>
    <t>.flex-column-reverse</t>
  </si>
  <si>
    <t>.flex-fill</t>
  </si>
  <si>
    <t>.flex-grow-0</t>
  </si>
  <si>
    <t>.flex-grow-1</t>
  </si>
  <si>
    <t>.flex-lg-column</t>
  </si>
  <si>
    <t>.flex-lg-column-reverse</t>
  </si>
  <si>
    <t>.flex-lg-fill</t>
  </si>
  <si>
    <t>.flex-lg-grow-0</t>
  </si>
  <si>
    <t>.flex-lg-grow-1</t>
  </si>
  <si>
    <t>.flex-lg-nowrap</t>
  </si>
  <si>
    <t>.flex-lg-row</t>
  </si>
  <si>
    <t>.flex-lg-row-reverse</t>
  </si>
  <si>
    <t>.flex-lg-shrink-0</t>
  </si>
  <si>
    <t>.flex-lg-shrink-1</t>
  </si>
  <si>
    <t>.flex-lg-wrap</t>
  </si>
  <si>
    <t>.flex-lg-wrap-reverse</t>
  </si>
  <si>
    <t>.flex-md-column</t>
  </si>
  <si>
    <t>.flex-md-column-reverse</t>
  </si>
  <si>
    <t>.flex-md-fill</t>
  </si>
  <si>
    <t>.flex-md-grow-0</t>
  </si>
  <si>
    <t>.flex-md-grow-1</t>
  </si>
  <si>
    <t>.flex-md-nowrap</t>
  </si>
  <si>
    <t>.flex-md-row</t>
  </si>
  <si>
    <t>.flex-md-row-reverse</t>
  </si>
  <si>
    <t>.flex-md-shrink-0</t>
  </si>
  <si>
    <t>.flex-md-shrink-1</t>
  </si>
  <si>
    <t>.flex-md-wrap</t>
  </si>
  <si>
    <t>.flex-md-wrap-reverse</t>
  </si>
  <si>
    <t>.flex-nowrap</t>
  </si>
  <si>
    <t>.flex-row</t>
  </si>
  <si>
    <t>.flex-row-reverse</t>
  </si>
  <si>
    <t>.flex-shrink-0</t>
  </si>
  <si>
    <t>.flex-shrink-1</t>
  </si>
  <si>
    <t>.flex-sm-column</t>
  </si>
  <si>
    <t>.flex-sm-column-reverse</t>
  </si>
  <si>
    <t>.flex-sm-fill</t>
  </si>
  <si>
    <t>.flex-sm-grow-0</t>
  </si>
  <si>
    <t>.flex-sm-grow-1</t>
  </si>
  <si>
    <t>.flex-sm-nowrap</t>
  </si>
  <si>
    <t>.flex-sm-row</t>
  </si>
  <si>
    <t>.flex-sm-row-reverse</t>
  </si>
  <si>
    <t>.flex-sm-shrink-0</t>
  </si>
  <si>
    <t>.flex-sm-shrink-1</t>
  </si>
  <si>
    <t>.flex-sm-wrap</t>
  </si>
  <si>
    <t>.flex-sm-wrap-reverse</t>
  </si>
  <si>
    <t>.flex-wrap</t>
  </si>
  <si>
    <t>.flex-wrap-reverse</t>
  </si>
  <si>
    <t>.flex-xl-column</t>
  </si>
  <si>
    <t>.flex-xl-column-reverse</t>
  </si>
  <si>
    <t>.flex-xl-fill</t>
  </si>
  <si>
    <t>.flex-xl-grow-0</t>
  </si>
  <si>
    <t>.flex-xl-grow-1</t>
  </si>
  <si>
    <t>.flex-xl-nowrap</t>
  </si>
  <si>
    <t>.flex-xl-row</t>
  </si>
  <si>
    <t>.flex-xl-row-reverse</t>
  </si>
  <si>
    <t>.flex-xl-shrink-0</t>
  </si>
  <si>
    <t>.flex-xl-shrink-1</t>
  </si>
  <si>
    <t>.flex-xl-wrap</t>
  </si>
  <si>
    <t>.flex-xl-wrap-reverse</t>
  </si>
  <si>
    <t>.flex-xxl-column</t>
  </si>
  <si>
    <t>.flex-xxl-column-reverse</t>
  </si>
  <si>
    <t>.flex-xxl-fill</t>
  </si>
  <si>
    <t>.flex-xxl-grow-0</t>
  </si>
  <si>
    <t>.flex-xxl-grow-1</t>
  </si>
  <si>
    <t>.flex-xxl-nowrap</t>
  </si>
  <si>
    <t>.flex-xxl-row</t>
  </si>
  <si>
    <t>.flex-xxl-row-reverse</t>
  </si>
  <si>
    <t>.flex-xxl-shrink-0</t>
  </si>
  <si>
    <t>.flex-xxl-shrink-1</t>
  </si>
  <si>
    <t>.flex-xxl-wrap</t>
  </si>
  <si>
    <t>.flex-xxl-wrap-reverse</t>
  </si>
  <si>
    <t>.float-end</t>
  </si>
  <si>
    <t>.float-lg-end</t>
  </si>
  <si>
    <t>.float-lg-none</t>
  </si>
  <si>
    <t>.float-lg-start</t>
  </si>
  <si>
    <t>.float-md-end</t>
  </si>
  <si>
    <t>.float-md-none</t>
  </si>
  <si>
    <t>.float-md-start</t>
  </si>
  <si>
    <t>.float-none</t>
  </si>
  <si>
    <t>.float-sm-end</t>
  </si>
  <si>
    <t>.float-sm-none</t>
  </si>
  <si>
    <t>.float-sm-start</t>
  </si>
  <si>
    <t>.float-start</t>
  </si>
  <si>
    <t>.float-xl-end</t>
  </si>
  <si>
    <t>.float-xl-none</t>
  </si>
  <si>
    <t>.float-xl-start</t>
  </si>
  <si>
    <t>.float-xxl-end</t>
  </si>
  <si>
    <t>.float-xxl-none</t>
  </si>
  <si>
    <t>.float-xxl-start</t>
  </si>
  <si>
    <t>.form-check</t>
  </si>
  <si>
    <t>.form-check-inline</t>
  </si>
  <si>
    <t>.form-check-input</t>
  </si>
  <si>
    <t>.form-check-label</t>
  </si>
  <si>
    <t>.form-control</t>
  </si>
  <si>
    <t>.form-control-color</t>
  </si>
  <si>
    <t>.form-control-lg</t>
  </si>
  <si>
    <t>.form-control-plaintext</t>
  </si>
  <si>
    <t>.form-control-sm</t>
  </si>
  <si>
    <t>.form-floating</t>
  </si>
  <si>
    <t>.form-label</t>
  </si>
  <si>
    <t>.form-range</t>
  </si>
  <si>
    <t>.form-select</t>
  </si>
  <si>
    <t>.form-select-lg</t>
  </si>
  <si>
    <t>.form-select-sm</t>
  </si>
  <si>
    <t>.form-switch</t>
  </si>
  <si>
    <t>.form-text</t>
  </si>
  <si>
    <t>.fw-bold</t>
  </si>
  <si>
    <t>.g-0</t>
  </si>
  <si>
    <t>.g-1</t>
  </si>
  <si>
    <t>.g-2</t>
  </si>
  <si>
    <t>.g-3</t>
  </si>
  <si>
    <t>.g-4</t>
  </si>
  <si>
    <t>.g-5</t>
  </si>
  <si>
    <t>.g-lg-0</t>
  </si>
  <si>
    <t>.g-lg-1</t>
  </si>
  <si>
    <t>.g-lg-2</t>
  </si>
  <si>
    <t>.g-lg-3</t>
  </si>
  <si>
    <t>.g-lg-4</t>
  </si>
  <si>
    <t>.g-lg-5</t>
  </si>
  <si>
    <t>.g-md-0</t>
  </si>
  <si>
    <t>.g-md-1</t>
  </si>
  <si>
    <t>.g-md-2</t>
  </si>
  <si>
    <t>.g-md-3</t>
  </si>
  <si>
    <t>.g-md-4</t>
  </si>
  <si>
    <t>.g-md-5</t>
  </si>
  <si>
    <t>.g-sm-0</t>
  </si>
  <si>
    <t>.g-sm-1</t>
  </si>
  <si>
    <t>.g-sm-2</t>
  </si>
  <si>
    <t>.g-sm-3</t>
  </si>
  <si>
    <t>.g-sm-4</t>
  </si>
  <si>
    <t>.g-sm-5</t>
  </si>
  <si>
    <t>.g-xl-0</t>
  </si>
  <si>
    <t>.g-xl-1</t>
  </si>
  <si>
    <t>.g-xl-2</t>
  </si>
  <si>
    <t>.g-xl-3</t>
  </si>
  <si>
    <t>.g-xl-4</t>
  </si>
  <si>
    <t>.g-xl-5</t>
  </si>
  <si>
    <t>.g-xxl-0</t>
  </si>
  <si>
    <t>.g-xxl-1</t>
  </si>
  <si>
    <t>.g-xxl-2</t>
  </si>
  <si>
    <t>.g-xxl-3</t>
  </si>
  <si>
    <t>.g-xxl-4</t>
  </si>
  <si>
    <t>.g-xxl-5</t>
  </si>
  <si>
    <t>.gap-0</t>
  </si>
  <si>
    <t>.gap-1</t>
  </si>
  <si>
    <t>.gap-2</t>
  </si>
  <si>
    <t>.gap-3</t>
  </si>
  <si>
    <t>.gap-4</t>
  </si>
  <si>
    <t>.gap-5</t>
  </si>
  <si>
    <t>.gap-lg-0</t>
  </si>
  <si>
    <t>.gap-lg-1</t>
  </si>
  <si>
    <t>.gap-lg-2</t>
  </si>
  <si>
    <t>.gap-lg-3</t>
  </si>
  <si>
    <t>.gap-lg-4</t>
  </si>
  <si>
    <t>.gap-lg-5</t>
  </si>
  <si>
    <t>.gap-md-0</t>
  </si>
  <si>
    <t>.gap-md-1</t>
  </si>
  <si>
    <t>.gap-md-2</t>
  </si>
  <si>
    <t>.gap-md-3</t>
  </si>
  <si>
    <t>.gap-md-4</t>
  </si>
  <si>
    <t>.gap-md-5</t>
  </si>
  <si>
    <t>.gap-sm-0</t>
  </si>
  <si>
    <t>.gap-sm-1</t>
  </si>
  <si>
    <t>.gap-sm-2</t>
  </si>
  <si>
    <t>.gap-sm-3</t>
  </si>
  <si>
    <t>.gap-sm-4</t>
  </si>
  <si>
    <t>.gap-sm-5</t>
  </si>
  <si>
    <t>.gap-xl-0</t>
  </si>
  <si>
    <t>.gap-xl-1</t>
  </si>
  <si>
    <t>.gap-xl-2</t>
  </si>
  <si>
    <t>.gap-xl-3</t>
  </si>
  <si>
    <t>.gap-xl-4</t>
  </si>
  <si>
    <t>.gap-xl-5</t>
  </si>
  <si>
    <t>.gap-xxl-0</t>
  </si>
  <si>
    <t>.gap-xxl-1</t>
  </si>
  <si>
    <t>.gap-xxl-2</t>
  </si>
  <si>
    <t>.gap-xxl-3</t>
  </si>
  <si>
    <t>.gap-xxl-4</t>
  </si>
  <si>
    <t>.gap-xxl-5</t>
  </si>
  <si>
    <t>.gx-0</t>
  </si>
  <si>
    <t>.gx-1</t>
  </si>
  <si>
    <t>.gx-2</t>
  </si>
  <si>
    <t>.gx-3</t>
  </si>
  <si>
    <t>.gx-4</t>
  </si>
  <si>
    <t>.gx-5</t>
  </si>
  <si>
    <t>.gx-lg-0</t>
  </si>
  <si>
    <t>.gx-lg-1</t>
  </si>
  <si>
    <t>.gx-lg-2</t>
  </si>
  <si>
    <t>.gx-lg-3</t>
  </si>
  <si>
    <t>.gx-lg-4</t>
  </si>
  <si>
    <t>.gx-lg-5</t>
  </si>
  <si>
    <t>.gx-md-0</t>
  </si>
  <si>
    <t>.gx-md-1</t>
  </si>
  <si>
    <t>.gx-md-2</t>
  </si>
  <si>
    <t>.gx-md-3</t>
  </si>
  <si>
    <t>.gx-md-4</t>
  </si>
  <si>
    <t>.gx-md-5</t>
  </si>
  <si>
    <t>.gx-sm-0</t>
  </si>
  <si>
    <t>.gx-sm-1</t>
  </si>
  <si>
    <t>.gx-sm-2</t>
  </si>
  <si>
    <t>.gx-sm-3</t>
  </si>
  <si>
    <t>.gx-sm-4</t>
  </si>
  <si>
    <t>.gx-sm-5</t>
  </si>
  <si>
    <t>.gx-xl-0</t>
  </si>
  <si>
    <t>.gx-xl-1</t>
  </si>
  <si>
    <t>.gx-xl-2</t>
  </si>
  <si>
    <t>.gx-xl-3</t>
  </si>
  <si>
    <t>.gx-xl-4</t>
  </si>
  <si>
    <t>.gx-xl-5</t>
  </si>
  <si>
    <t>.gx-xxl-0</t>
  </si>
  <si>
    <t>.gx-xxl-1</t>
  </si>
  <si>
    <t>.gx-xxl-2</t>
  </si>
  <si>
    <t>.gx-xxl-3</t>
  </si>
  <si>
    <t>.gx-xxl-4</t>
  </si>
  <si>
    <t>.gx-xxl-5</t>
  </si>
  <si>
    <t>.gy-0</t>
  </si>
  <si>
    <t>.gy-1</t>
  </si>
  <si>
    <t>.gy-2</t>
  </si>
  <si>
    <t>.gy-3</t>
  </si>
  <si>
    <t>.gy-4</t>
  </si>
  <si>
    <t>.gy-5</t>
  </si>
  <si>
    <t>.gy-lg-0</t>
  </si>
  <si>
    <t>.gy-lg-1</t>
  </si>
  <si>
    <t>.gy-lg-2</t>
  </si>
  <si>
    <t>.gy-lg-3</t>
  </si>
  <si>
    <t>.gy-lg-4</t>
  </si>
  <si>
    <t>.gy-lg-5</t>
  </si>
  <si>
    <t>.gy-md-0</t>
  </si>
  <si>
    <t>.gy-md-1</t>
  </si>
  <si>
    <t>.gy-md-2</t>
  </si>
  <si>
    <t>.gy-md-3</t>
  </si>
  <si>
    <t>.gy-md-4</t>
  </si>
  <si>
    <t>.gy-md-5</t>
  </si>
  <si>
    <t>.gy-sm-0</t>
  </si>
  <si>
    <t>.gy-sm-1</t>
  </si>
  <si>
    <t>.gy-sm-2</t>
  </si>
  <si>
    <t>.gy-sm-3</t>
  </si>
  <si>
    <t>.gy-sm-4</t>
  </si>
  <si>
    <t>.gy-sm-5</t>
  </si>
  <si>
    <t>.gy-xl-0</t>
  </si>
  <si>
    <t>.gy-xl-1</t>
  </si>
  <si>
    <t>.gy-xl-2</t>
  </si>
  <si>
    <t>.gy-xl-3</t>
  </si>
  <si>
    <t>.gy-xl-4</t>
  </si>
  <si>
    <t>.gy-xl-5</t>
  </si>
  <si>
    <t>.gy-xxl-0</t>
  </si>
  <si>
    <t>.gy-xxl-1</t>
  </si>
  <si>
    <t>.gy-xxl-2</t>
  </si>
  <si>
    <t>.gy-xxl-3</t>
  </si>
  <si>
    <t>.gy-xxl-4</t>
  </si>
  <si>
    <t>.gy-xxl-5</t>
  </si>
  <si>
    <t>.h-100</t>
  </si>
  <si>
    <t>.h-25</t>
  </si>
  <si>
    <t>.h-50</t>
  </si>
  <si>
    <t>.h-75</t>
  </si>
  <si>
    <t>.h-auto</t>
  </si>
  <si>
    <t>.has-validation</t>
  </si>
  <si>
    <t>.hstack</t>
  </si>
  <si>
    <t>.initialism</t>
  </si>
  <si>
    <t>.input-group-text</t>
  </si>
  <si>
    <t>.invalid-feedback</t>
  </si>
  <si>
    <t>.invalid-tooltip</t>
  </si>
  <si>
    <t>.invisible</t>
  </si>
  <si>
    <t>.is-invalid</t>
  </si>
  <si>
    <t>.is-valid</t>
  </si>
  <si>
    <t>.justify-content-around</t>
  </si>
  <si>
    <t>.justify-content-between</t>
  </si>
  <si>
    <t>.justify-content-center</t>
  </si>
  <si>
    <t>.justify-content-end</t>
  </si>
  <si>
    <t>.justify-content-evenly</t>
  </si>
  <si>
    <t>.justify-content-lg-around</t>
  </si>
  <si>
    <t>.justify-content-lg-between</t>
  </si>
  <si>
    <t>.justify-content-lg-center</t>
  </si>
  <si>
    <t>.justify-content-lg-end</t>
  </si>
  <si>
    <t>.justify-content-lg-evenly</t>
  </si>
  <si>
    <t>.justify-content-lg-start</t>
  </si>
  <si>
    <t>.justify-content-md-around</t>
  </si>
  <si>
    <t>.justify-content-md-between</t>
  </si>
  <si>
    <t>.justify-content-md-center</t>
  </si>
  <si>
    <t>.justify-content-md-end</t>
  </si>
  <si>
    <t>.justify-content-md-evenly</t>
  </si>
  <si>
    <t>.justify-content-md-start</t>
  </si>
  <si>
    <t>.justify-content-sm-around</t>
  </si>
  <si>
    <t>.justify-content-sm-between</t>
  </si>
  <si>
    <t>.justify-content-sm-center</t>
  </si>
  <si>
    <t>.justify-content-sm-end</t>
  </si>
  <si>
    <t>.justify-content-sm-evenly</t>
  </si>
  <si>
    <t>.justify-content-sm-start</t>
  </si>
  <si>
    <t>.justify-content-start</t>
  </si>
  <si>
    <t>.justify-content-xl-around</t>
  </si>
  <si>
    <t>.justify-content-xl-between</t>
  </si>
  <si>
    <t>.justify-content-xl-center</t>
  </si>
  <si>
    <t>.justify-content-xl-end</t>
  </si>
  <si>
    <t>.justify-content-xl-evenly</t>
  </si>
  <si>
    <t>.justify-content-xl-start</t>
  </si>
  <si>
    <t>.justify-content-xxl-around</t>
  </si>
  <si>
    <t>.justify-content-xxl-between</t>
  </si>
  <si>
    <t>.justify-content-xxl-center</t>
  </si>
  <si>
    <t>.justify-content-xxl-end</t>
  </si>
  <si>
    <t>.justify-content-xxl-evenly</t>
  </si>
  <si>
    <t>.justify-content-xxl-start</t>
  </si>
  <si>
    <t>.list-group</t>
  </si>
  <si>
    <t>.list-group-flush</t>
  </si>
  <si>
    <t>.list-group-horizontal</t>
  </si>
  <si>
    <t>.list-group-horizontal-lg</t>
  </si>
  <si>
    <t>.list-group-horizontal-md</t>
  </si>
  <si>
    <t>.list-group-horizontal-sm</t>
  </si>
  <si>
    <t>.list-group-horizontal-xl</t>
  </si>
  <si>
    <t>.list-group-horizontal-xxl</t>
  </si>
  <si>
    <t>.list-group-item</t>
  </si>
  <si>
    <t>.list-group-item-action</t>
  </si>
  <si>
    <t>.list-group-item-danger</t>
  </si>
  <si>
    <t>.list-group-item-dark</t>
  </si>
  <si>
    <t>.list-group-item-info</t>
  </si>
  <si>
    <t>.list-group-item-light</t>
  </si>
  <si>
    <t>.list-group-item-primary</t>
  </si>
  <si>
    <t>.list-group-item-secondary</t>
  </si>
  <si>
    <t>.list-group-item-success</t>
  </si>
  <si>
    <t>.list-group-item-warning</t>
  </si>
  <si>
    <t>.list-group-numbered</t>
  </si>
  <si>
    <t>.list-inline-item</t>
  </si>
  <si>
    <t>.list-unstyled</t>
  </si>
  <si>
    <t>.m-0</t>
  </si>
  <si>
    <t>.m-1</t>
  </si>
  <si>
    <t>.m-2</t>
  </si>
  <si>
    <t>.m-3</t>
  </si>
  <si>
    <t>.m-4</t>
  </si>
  <si>
    <t>.m-5</t>
  </si>
  <si>
    <t>.m-auto</t>
  </si>
  <si>
    <t>.m-lg-0</t>
  </si>
  <si>
    <t>.m-lg-1</t>
  </si>
  <si>
    <t>.m-lg-2</t>
  </si>
  <si>
    <t>.m-lg-3</t>
  </si>
  <si>
    <t>.m-lg-4</t>
  </si>
  <si>
    <t>.m-lg-5</t>
  </si>
  <si>
    <t>.m-lg-auto</t>
  </si>
  <si>
    <t>.m-md-0</t>
  </si>
  <si>
    <t>.m-md-1</t>
  </si>
  <si>
    <t>.m-md-2</t>
  </si>
  <si>
    <t>.m-md-3</t>
  </si>
  <si>
    <t>.m-md-4</t>
  </si>
  <si>
    <t>.m-md-5</t>
  </si>
  <si>
    <t>.m-md-auto</t>
  </si>
  <si>
    <t>.m-sm-0</t>
  </si>
  <si>
    <t>.m-sm-1</t>
  </si>
  <si>
    <t>.m-sm-2</t>
  </si>
  <si>
    <t>.m-sm-3</t>
  </si>
  <si>
    <t>.m-sm-4</t>
  </si>
  <si>
    <t>.m-sm-5</t>
  </si>
  <si>
    <t>.m-sm-auto</t>
  </si>
  <si>
    <t>.m-xl-0</t>
  </si>
  <si>
    <t>.m-xl-1</t>
  </si>
  <si>
    <t>.m-xl-2</t>
  </si>
  <si>
    <t>.m-xl-3</t>
  </si>
  <si>
    <t>.m-xl-4</t>
  </si>
  <si>
    <t>.m-xl-5</t>
  </si>
  <si>
    <t>.m-xl-auto</t>
  </si>
  <si>
    <t>.m-xxl-0</t>
  </si>
  <si>
    <t>.m-xxl-1</t>
  </si>
  <si>
    <t>.m-xxl-2</t>
  </si>
  <si>
    <t>.m-xxl-3</t>
  </si>
  <si>
    <t>.m-xxl-4</t>
  </si>
  <si>
    <t>.m-xxl-5</t>
  </si>
  <si>
    <t>.m-xxl-auto</t>
  </si>
  <si>
    <t>.mark</t>
  </si>
  <si>
    <t>.mb-1</t>
  </si>
  <si>
    <t>.mb-2</t>
  </si>
  <si>
    <t>.mb-3</t>
  </si>
  <si>
    <t>.mb-4</t>
  </si>
  <si>
    <t>.mb-5</t>
  </si>
  <si>
    <t>.mb-auto</t>
  </si>
  <si>
    <t>.mb-lg-0</t>
  </si>
  <si>
    <t>.mb-lg-1</t>
  </si>
  <si>
    <t>.mb-lg-2</t>
  </si>
  <si>
    <t>.mb-lg-3</t>
  </si>
  <si>
    <t>.mb-lg-4</t>
  </si>
  <si>
    <t>.mb-lg-5</t>
  </si>
  <si>
    <t>.mb-lg-auto</t>
  </si>
  <si>
    <t>.mb-md-0</t>
  </si>
  <si>
    <t>.mb-md-1</t>
  </si>
  <si>
    <t>.mb-md-2</t>
  </si>
  <si>
    <t>.mb-md-3</t>
  </si>
  <si>
    <t>.mb-md-4</t>
  </si>
  <si>
    <t>.mb-md-5</t>
  </si>
  <si>
    <t>.mb-md-auto</t>
  </si>
  <si>
    <t>.mb-sm-0</t>
  </si>
  <si>
    <t>.mb-sm-1</t>
  </si>
  <si>
    <t>.mb-sm-2</t>
  </si>
  <si>
    <t>.mb-sm-3</t>
  </si>
  <si>
    <t>.mb-sm-4</t>
  </si>
  <si>
    <t>.mb-sm-5</t>
  </si>
  <si>
    <t>.mb-sm-auto</t>
  </si>
  <si>
    <t>.mb-xl-0</t>
  </si>
  <si>
    <t>.mb-xl-1</t>
  </si>
  <si>
    <t>.mb-xl-2</t>
  </si>
  <si>
    <t>.mb-xl-3</t>
  </si>
  <si>
    <t>.mb-xl-4</t>
  </si>
  <si>
    <t>.mb-xl-5</t>
  </si>
  <si>
    <t>.mb-xl-auto</t>
  </si>
  <si>
    <t>.mb-xxl-0</t>
  </si>
  <si>
    <t>.mb-xxl-1</t>
  </si>
  <si>
    <t>.mb-xxl-2</t>
  </si>
  <si>
    <t>.mb-xxl-3</t>
  </si>
  <si>
    <t>.mb-xxl-4</t>
  </si>
  <si>
    <t>.mb-xxl-5</t>
  </si>
  <si>
    <t>.mb-xxl-auto</t>
  </si>
  <si>
    <t>.me-0</t>
  </si>
  <si>
    <t>.me-1</t>
  </si>
  <si>
    <t>.me-2</t>
  </si>
  <si>
    <t>.me-3</t>
  </si>
  <si>
    <t>.me-4</t>
  </si>
  <si>
    <t>.me-5</t>
  </si>
  <si>
    <t>.me-auto</t>
  </si>
  <si>
    <t>.me-lg-0</t>
  </si>
  <si>
    <t>.me-lg-1</t>
  </si>
  <si>
    <t>.me-lg-2</t>
  </si>
  <si>
    <t>.me-lg-3</t>
  </si>
  <si>
    <t>.me-lg-4</t>
  </si>
  <si>
    <t>.me-lg-5</t>
  </si>
  <si>
    <t>.me-lg-auto</t>
  </si>
  <si>
    <t>.me-md-0</t>
  </si>
  <si>
    <t>.me-md-1</t>
  </si>
  <si>
    <t>.me-md-2</t>
  </si>
  <si>
    <t>.me-md-3</t>
  </si>
  <si>
    <t>.me-md-4</t>
  </si>
  <si>
    <t>.me-md-5</t>
  </si>
  <si>
    <t>.me-md-auto</t>
  </si>
  <si>
    <t>.me-sm-0</t>
  </si>
  <si>
    <t>.me-sm-1</t>
  </si>
  <si>
    <t>.me-sm-2</t>
  </si>
  <si>
    <t>.me-sm-3</t>
  </si>
  <si>
    <t>.me-sm-4</t>
  </si>
  <si>
    <t>.me-sm-5</t>
  </si>
  <si>
    <t>.me-sm-auto</t>
  </si>
  <si>
    <t>.me-xl-0</t>
  </si>
  <si>
    <t>.me-xl-1</t>
  </si>
  <si>
    <t>.me-xl-2</t>
  </si>
  <si>
    <t>.me-xl-3</t>
  </si>
  <si>
    <t>.me-xl-4</t>
  </si>
  <si>
    <t>.me-xl-5</t>
  </si>
  <si>
    <t>.me-xl-auto</t>
  </si>
  <si>
    <t>.me-xxl-0</t>
  </si>
  <si>
    <t>.me-xxl-1</t>
  </si>
  <si>
    <t>.me-xxl-2</t>
  </si>
  <si>
    <t>.me-xxl-3</t>
  </si>
  <si>
    <t>.me-xxl-4</t>
  </si>
  <si>
    <t>.me-xxl-5</t>
  </si>
  <si>
    <t>.me-xxl-auto</t>
  </si>
  <si>
    <t>.mh-100</t>
  </si>
  <si>
    <t>.min-vh-100</t>
  </si>
  <si>
    <t>.min-vw-100</t>
  </si>
  <si>
    <t>.modal-backdrop</t>
  </si>
  <si>
    <t>.ms-0</t>
  </si>
  <si>
    <t>.ms-1</t>
  </si>
  <si>
    <t>.ms-2</t>
  </si>
  <si>
    <t>.ms-3</t>
  </si>
  <si>
    <t>.ms-4</t>
  </si>
  <si>
    <t>.ms-5</t>
  </si>
  <si>
    <t>.ms-auto</t>
  </si>
  <si>
    <t>.ms-lg-0</t>
  </si>
  <si>
    <t>.ms-lg-1</t>
  </si>
  <si>
    <t>.ms-lg-2</t>
  </si>
  <si>
    <t>.ms-lg-3</t>
  </si>
  <si>
    <t>.ms-lg-4</t>
  </si>
  <si>
    <t>.ms-lg-5</t>
  </si>
  <si>
    <t>.ms-lg-auto</t>
  </si>
  <si>
    <t>.ms-md-0</t>
  </si>
  <si>
    <t>.ms-md-1</t>
  </si>
  <si>
    <t>.ms-md-2</t>
  </si>
  <si>
    <t>.ms-md-3</t>
  </si>
  <si>
    <t>.ms-md-4</t>
  </si>
  <si>
    <t>.ms-md-5</t>
  </si>
  <si>
    <t>.ms-md-auto</t>
  </si>
  <si>
    <t>.ms-sm-0</t>
  </si>
  <si>
    <t>.ms-sm-1</t>
  </si>
  <si>
    <t>.ms-sm-2</t>
  </si>
  <si>
    <t>.ms-sm-3</t>
  </si>
  <si>
    <t>.ms-sm-4</t>
  </si>
  <si>
    <t>.ms-sm-5</t>
  </si>
  <si>
    <t>.ms-sm-auto</t>
  </si>
  <si>
    <t>.ms-xl-0</t>
  </si>
  <si>
    <t>.ms-xl-1</t>
  </si>
  <si>
    <t>.ms-xl-2</t>
  </si>
  <si>
    <t>.ms-xl-3</t>
  </si>
  <si>
    <t>.ms-xl-4</t>
  </si>
  <si>
    <t>.ms-xl-5</t>
  </si>
  <si>
    <t>.ms-xl-auto</t>
  </si>
  <si>
    <t>.ms-xxl-0</t>
  </si>
  <si>
    <t>.ms-xxl-1</t>
  </si>
  <si>
    <t>.ms-xxl-2</t>
  </si>
  <si>
    <t>.ms-xxl-3</t>
  </si>
  <si>
    <t>.ms-xxl-4</t>
  </si>
  <si>
    <t>.ms-xxl-5</t>
  </si>
  <si>
    <t>.ms-xxl-auto</t>
  </si>
  <si>
    <t>.mt-1</t>
  </si>
  <si>
    <t>.mt-2</t>
  </si>
  <si>
    <t>.mt-3</t>
  </si>
  <si>
    <t>.mt-4</t>
  </si>
  <si>
    <t>.mt-5</t>
  </si>
  <si>
    <t>.mt-auto</t>
  </si>
  <si>
    <t>.mt-lg-0</t>
  </si>
  <si>
    <t>.mt-lg-1</t>
  </si>
  <si>
    <t>.mt-lg-2</t>
  </si>
  <si>
    <t>.mt-lg-3</t>
  </si>
  <si>
    <t>.mt-lg-4</t>
  </si>
  <si>
    <t>.mt-lg-5</t>
  </si>
  <si>
    <t>.mt-lg-auto</t>
  </si>
  <si>
    <t>.mt-md-0</t>
  </si>
  <si>
    <t>.mt-md-1</t>
  </si>
  <si>
    <t>.mt-md-2</t>
  </si>
  <si>
    <t>.mt-md-3</t>
  </si>
  <si>
    <t>.mt-md-4</t>
  </si>
  <si>
    <t>.mt-md-5</t>
  </si>
  <si>
    <t>.mt-md-auto</t>
  </si>
  <si>
    <t>.mt-sm-0</t>
  </si>
  <si>
    <t>.mt-sm-1</t>
  </si>
  <si>
    <t>.mt-sm-2</t>
  </si>
  <si>
    <t>.mt-sm-3</t>
  </si>
  <si>
    <t>.mt-sm-4</t>
  </si>
  <si>
    <t>.mt-sm-5</t>
  </si>
  <si>
    <t>.mt-sm-auto</t>
  </si>
  <si>
    <t>.mt-xl-0</t>
  </si>
  <si>
    <t>.mt-xl-1</t>
  </si>
  <si>
    <t>.mt-xl-2</t>
  </si>
  <si>
    <t>.mt-xl-3</t>
  </si>
  <si>
    <t>.mt-xl-4</t>
  </si>
  <si>
    <t>.mt-xl-5</t>
  </si>
  <si>
    <t>.mt-xl-auto</t>
  </si>
  <si>
    <t>.mt-xxl-0</t>
  </si>
  <si>
    <t>.mt-xxl-1</t>
  </si>
  <si>
    <t>.mt-xxl-2</t>
  </si>
  <si>
    <t>.mt-xxl-3</t>
  </si>
  <si>
    <t>.mt-xxl-4</t>
  </si>
  <si>
    <t>.mt-xxl-5</t>
  </si>
  <si>
    <t>.mt-xxl-auto</t>
  </si>
  <si>
    <t>.mw-100</t>
  </si>
  <si>
    <t>.mx-1</t>
  </si>
  <si>
    <t>.mx-2</t>
  </si>
  <si>
    <t>.mx-3</t>
  </si>
  <si>
    <t>.mx-4</t>
  </si>
  <si>
    <t>.mx-5</t>
  </si>
  <si>
    <t>.mx-auto</t>
  </si>
  <si>
    <t>.mx-lg-0</t>
  </si>
  <si>
    <t>.mx-lg-1</t>
  </si>
  <si>
    <t>.mx-lg-2</t>
  </si>
  <si>
    <t>.mx-lg-3</t>
  </si>
  <si>
    <t>.mx-lg-4</t>
  </si>
  <si>
    <t>.mx-lg-5</t>
  </si>
  <si>
    <t>.mx-lg-auto</t>
  </si>
  <si>
    <t>.mx-md-0</t>
  </si>
  <si>
    <t>.mx-md-1</t>
  </si>
  <si>
    <t>.mx-md-2</t>
  </si>
  <si>
    <t>.mx-md-3</t>
  </si>
  <si>
    <t>.mx-md-4</t>
  </si>
  <si>
    <t>.mx-md-5</t>
  </si>
  <si>
    <t>.mx-md-auto</t>
  </si>
  <si>
    <t>.mx-sm-0</t>
  </si>
  <si>
    <t>.mx-sm-1</t>
  </si>
  <si>
    <t>.mx-sm-2</t>
  </si>
  <si>
    <t>.mx-sm-3</t>
  </si>
  <si>
    <t>.mx-sm-4</t>
  </si>
  <si>
    <t>.mx-sm-5</t>
  </si>
  <si>
    <t>.mx-sm-auto</t>
  </si>
  <si>
    <t>.mx-xl-0</t>
  </si>
  <si>
    <t>.mx-xl-1</t>
  </si>
  <si>
    <t>.mx-xl-2</t>
  </si>
  <si>
    <t>.mx-xl-3</t>
  </si>
  <si>
    <t>.mx-xl-4</t>
  </si>
  <si>
    <t>.mx-xl-5</t>
  </si>
  <si>
    <t>.mx-xl-auto</t>
  </si>
  <si>
    <t>.mx-xxl-0</t>
  </si>
  <si>
    <t>.mx-xxl-1</t>
  </si>
  <si>
    <t>.mx-xxl-2</t>
  </si>
  <si>
    <t>.mx-xxl-3</t>
  </si>
  <si>
    <t>.mx-xxl-4</t>
  </si>
  <si>
    <t>.mx-xxl-5</t>
  </si>
  <si>
    <t>.mx-xxl-auto</t>
  </si>
  <si>
    <t>.my-1</t>
  </si>
  <si>
    <t>.my-2</t>
  </si>
  <si>
    <t>.my-3</t>
  </si>
  <si>
    <t>.my-4</t>
  </si>
  <si>
    <t>.my-5</t>
  </si>
  <si>
    <t>.my-auto</t>
  </si>
  <si>
    <t>.my-lg-0</t>
  </si>
  <si>
    <t>.my-lg-1</t>
  </si>
  <si>
    <t>.my-lg-2</t>
  </si>
  <si>
    <t>.my-lg-3</t>
  </si>
  <si>
    <t>.my-lg-4</t>
  </si>
  <si>
    <t>.my-lg-5</t>
  </si>
  <si>
    <t>.my-lg-auto</t>
  </si>
  <si>
    <t>.my-md-0</t>
  </si>
  <si>
    <t>.my-md-1</t>
  </si>
  <si>
    <t>.my-md-2</t>
  </si>
  <si>
    <t>.my-md-3</t>
  </si>
  <si>
    <t>.my-md-4</t>
  </si>
  <si>
    <t>.my-md-5</t>
  </si>
  <si>
    <t>.my-md-auto</t>
  </si>
  <si>
    <t>.my-sm-0</t>
  </si>
  <si>
    <t>.my-sm-1</t>
  </si>
  <si>
    <t>.my-sm-2</t>
  </si>
  <si>
    <t>.my-sm-3</t>
  </si>
  <si>
    <t>.my-sm-4</t>
  </si>
  <si>
    <t>.my-sm-5</t>
  </si>
  <si>
    <t>.my-sm-auto</t>
  </si>
  <si>
    <t>.my-xl-0</t>
  </si>
  <si>
    <t>.my-xl-1</t>
  </si>
  <si>
    <t>.my-xl-2</t>
  </si>
  <si>
    <t>.my-xl-3</t>
  </si>
  <si>
    <t>.my-xl-4</t>
  </si>
  <si>
    <t>.my-xl-5</t>
  </si>
  <si>
    <t>.my-xl-auto</t>
  </si>
  <si>
    <t>.my-xxl-0</t>
  </si>
  <si>
    <t>.my-xxl-1</t>
  </si>
  <si>
    <t>.my-xxl-2</t>
  </si>
  <si>
    <t>.my-xxl-3</t>
  </si>
  <si>
    <t>.my-xxl-4</t>
  </si>
  <si>
    <t>.my-xxl-5</t>
  </si>
  <si>
    <t>.my-xxl-auto</t>
  </si>
  <si>
    <t>.nav</t>
  </si>
  <si>
    <t>.nav-fill</t>
  </si>
  <si>
    <t>.nav-item</t>
  </si>
  <si>
    <t>.nav-justified</t>
  </si>
  <si>
    <t>.nav-link</t>
  </si>
  <si>
    <t>.nav-pills</t>
  </si>
  <si>
    <t>.nav-tabs</t>
  </si>
  <si>
    <t>.navbar-collapse</t>
  </si>
  <si>
    <t>.navbar-dark</t>
  </si>
  <si>
    <t>.navbar-expand</t>
  </si>
  <si>
    <t>.navbar-expand-lg</t>
  </si>
  <si>
    <t>.navbar-expand-md</t>
  </si>
  <si>
    <t>.navbar-expand-sm</t>
  </si>
  <si>
    <t>.navbar-expand-xl</t>
  </si>
  <si>
    <t>.navbar-expand-xxl</t>
  </si>
  <si>
    <t>.navbar-light</t>
  </si>
  <si>
    <t>.navbar-nav</t>
  </si>
  <si>
    <t>.navbar-nav-scroll</t>
  </si>
  <si>
    <t>.navbar-text</t>
  </si>
  <si>
    <t>.navbar-toggler</t>
  </si>
  <si>
    <t>.navbar-toggler-icon</t>
  </si>
  <si>
    <t>.offcanvas</t>
  </si>
  <si>
    <t>.offcanvas-backdrop</t>
  </si>
  <si>
    <t>.offcanvas-body</t>
  </si>
  <si>
    <t>.offcanvas-bottom</t>
  </si>
  <si>
    <t>.offcanvas-end</t>
  </si>
  <si>
    <t>.offcanvas-header</t>
  </si>
  <si>
    <t>.offcanvas-start</t>
  </si>
  <si>
    <t>.offcanvas-title</t>
  </si>
  <si>
    <t>.offcanvas-top</t>
  </si>
  <si>
    <t>.offset-1</t>
  </si>
  <si>
    <t>.offset-10</t>
  </si>
  <si>
    <t>.offset-11</t>
  </si>
  <si>
    <t>.offset-2</t>
  </si>
  <si>
    <t>.offset-3</t>
  </si>
  <si>
    <t>.offset-4</t>
  </si>
  <si>
    <t>.offset-5</t>
  </si>
  <si>
    <t>.offset-6</t>
  </si>
  <si>
    <t>.offset-7</t>
  </si>
  <si>
    <t>.offset-8</t>
  </si>
  <si>
    <t>.offset-9</t>
  </si>
  <si>
    <t>.offset-lg-0</t>
  </si>
  <si>
    <t>.offset-lg-1</t>
  </si>
  <si>
    <t>.offset-lg-10</t>
  </si>
  <si>
    <t>.offset-lg-11</t>
  </si>
  <si>
    <t>.offset-lg-2</t>
  </si>
  <si>
    <t>.offset-lg-3</t>
  </si>
  <si>
    <t>.offset-lg-4</t>
  </si>
  <si>
    <t>.offset-lg-5</t>
  </si>
  <si>
    <t>.offset-lg-6</t>
  </si>
  <si>
    <t>.offset-lg-7</t>
  </si>
  <si>
    <t>.offset-lg-8</t>
  </si>
  <si>
    <t>.offset-lg-9</t>
  </si>
  <si>
    <t>.offset-md-0</t>
  </si>
  <si>
    <t>.offset-md-1</t>
  </si>
  <si>
    <t>.offset-md-10</t>
  </si>
  <si>
    <t>.offset-md-11</t>
  </si>
  <si>
    <t>.offset-md-2</t>
  </si>
  <si>
    <t>.offset-md-3</t>
  </si>
  <si>
    <t>.offset-md-4</t>
  </si>
  <si>
    <t>.offset-md-5</t>
  </si>
  <si>
    <t>.offset-md-6</t>
  </si>
  <si>
    <t>.offset-md-7</t>
  </si>
  <si>
    <t>.offset-md-8</t>
  </si>
  <si>
    <t>.offset-md-9</t>
  </si>
  <si>
    <t>.offset-sm-0</t>
  </si>
  <si>
    <t>.offset-sm-1</t>
  </si>
  <si>
    <t>.offset-sm-10</t>
  </si>
  <si>
    <t>.offset-sm-11</t>
  </si>
  <si>
    <t>.offset-sm-2</t>
  </si>
  <si>
    <t>.offset-sm-3</t>
  </si>
  <si>
    <t>.offset-sm-4</t>
  </si>
  <si>
    <t>.offset-sm-5</t>
  </si>
  <si>
    <t>.offset-sm-6</t>
  </si>
  <si>
    <t>.offset-sm-7</t>
  </si>
  <si>
    <t>.offset-sm-8</t>
  </si>
  <si>
    <t>.offset-sm-9</t>
  </si>
  <si>
    <t>.offset-xl-0</t>
  </si>
  <si>
    <t>.offset-xl-1</t>
  </si>
  <si>
    <t>.offset-xl-10</t>
  </si>
  <si>
    <t>.offset-xl-11</t>
  </si>
  <si>
    <t>.offset-xl-2</t>
  </si>
  <si>
    <t>.offset-xl-3</t>
  </si>
  <si>
    <t>.offset-xl-4</t>
  </si>
  <si>
    <t>.offset-xl-5</t>
  </si>
  <si>
    <t>.offset-xl-6</t>
  </si>
  <si>
    <t>.offset-xl-7</t>
  </si>
  <si>
    <t>.offset-xl-8</t>
  </si>
  <si>
    <t>.offset-xl-9</t>
  </si>
  <si>
    <t>.offset-xxl-0</t>
  </si>
  <si>
    <t>.offset-xxl-1</t>
  </si>
  <si>
    <t>.offset-xxl-10</t>
  </si>
  <si>
    <t>.offset-xxl-11</t>
  </si>
  <si>
    <t>.offset-xxl-2</t>
  </si>
  <si>
    <t>.offset-xxl-3</t>
  </si>
  <si>
    <t>.offset-xxl-4</t>
  </si>
  <si>
    <t>.offset-xxl-5</t>
  </si>
  <si>
    <t>.offset-xxl-6</t>
  </si>
  <si>
    <t>.offset-xxl-7</t>
  </si>
  <si>
    <t>.offset-xxl-8</t>
  </si>
  <si>
    <t>.offset-xxl-9</t>
  </si>
  <si>
    <t>.opacity-0</t>
  </si>
  <si>
    <t>.opacity-100</t>
  </si>
  <si>
    <t>.opacity-25</t>
  </si>
  <si>
    <t>.opacity-50</t>
  </si>
  <si>
    <t>.opacity-75</t>
  </si>
  <si>
    <t>.order-0</t>
  </si>
  <si>
    <t>.order-1</t>
  </si>
  <si>
    <t>.order-2</t>
  </si>
  <si>
    <t>.order-3</t>
  </si>
  <si>
    <t>.order-4</t>
  </si>
  <si>
    <t>.order-5</t>
  </si>
  <si>
    <t>.order-first</t>
  </si>
  <si>
    <t>.order-last</t>
  </si>
  <si>
    <t>.order-lg-0</t>
  </si>
  <si>
    <t>.order-lg-1</t>
  </si>
  <si>
    <t>.order-lg-2</t>
  </si>
  <si>
    <t>.order-lg-3</t>
  </si>
  <si>
    <t>.order-lg-4</t>
  </si>
  <si>
    <t>.order-lg-5</t>
  </si>
  <si>
    <t>.order-lg-first</t>
  </si>
  <si>
    <t>.order-lg-last</t>
  </si>
  <si>
    <t>.order-md-0</t>
  </si>
  <si>
    <t>.order-md-1</t>
  </si>
  <si>
    <t>.order-md-2</t>
  </si>
  <si>
    <t>.order-md-3</t>
  </si>
  <si>
    <t>.order-md-4</t>
  </si>
  <si>
    <t>.order-md-5</t>
  </si>
  <si>
    <t>.order-md-first</t>
  </si>
  <si>
    <t>.order-md-last</t>
  </si>
  <si>
    <t>.order-sm-0</t>
  </si>
  <si>
    <t>.order-sm-1</t>
  </si>
  <si>
    <t>.order-sm-2</t>
  </si>
  <si>
    <t>.order-sm-3</t>
  </si>
  <si>
    <t>.order-sm-4</t>
  </si>
  <si>
    <t>.order-sm-5</t>
  </si>
  <si>
    <t>.order-sm-first</t>
  </si>
  <si>
    <t>.order-sm-last</t>
  </si>
  <si>
    <t>.order-xl-0</t>
  </si>
  <si>
    <t>.order-xl-1</t>
  </si>
  <si>
    <t>.order-xl-2</t>
  </si>
  <si>
    <t>.order-xl-3</t>
  </si>
  <si>
    <t>.order-xl-4</t>
  </si>
  <si>
    <t>.order-xl-5</t>
  </si>
  <si>
    <t>.order-xl-first</t>
  </si>
  <si>
    <t>.order-xl-last</t>
  </si>
  <si>
    <t>.order-xxl-0</t>
  </si>
  <si>
    <t>.order-xxl-1</t>
  </si>
  <si>
    <t>.order-xxl-2</t>
  </si>
  <si>
    <t>.order-xxl-3</t>
  </si>
  <si>
    <t>.order-xxl-4</t>
  </si>
  <si>
    <t>.order-xxl-5</t>
  </si>
  <si>
    <t>.order-xxl-first</t>
  </si>
  <si>
    <t>.order-xxl-last</t>
  </si>
  <si>
    <t>.overflow-auto</t>
  </si>
  <si>
    <t>.overflow-hidden</t>
  </si>
  <si>
    <t>.overflow-scroll</t>
  </si>
  <si>
    <t>.overflow-visible</t>
  </si>
  <si>
    <t>.p-0</t>
  </si>
  <si>
    <t>.p-1</t>
  </si>
  <si>
    <t>.p-2</t>
  </si>
  <si>
    <t>.p-3</t>
  </si>
  <si>
    <t>.p-4</t>
  </si>
  <si>
    <t>.p-5</t>
  </si>
  <si>
    <t>.p-lg-0</t>
  </si>
  <si>
    <t>.p-lg-1</t>
  </si>
  <si>
    <t>.p-lg-2</t>
  </si>
  <si>
    <t>.p-lg-3</t>
  </si>
  <si>
    <t>.p-lg-4</t>
  </si>
  <si>
    <t>.p-lg-5</t>
  </si>
  <si>
    <t>.p-md-0</t>
  </si>
  <si>
    <t>.p-md-1</t>
  </si>
  <si>
    <t>.p-md-2</t>
  </si>
  <si>
    <t>.p-md-3</t>
  </si>
  <si>
    <t>.p-md-4</t>
  </si>
  <si>
    <t>.p-md-5</t>
  </si>
  <si>
    <t>.p-sm-0</t>
  </si>
  <si>
    <t>.p-sm-1</t>
  </si>
  <si>
    <t>.p-sm-2</t>
  </si>
  <si>
    <t>.p-sm-3</t>
  </si>
  <si>
    <t>.p-sm-4</t>
  </si>
  <si>
    <t>.p-sm-5</t>
  </si>
  <si>
    <t>.p-xl-0</t>
  </si>
  <si>
    <t>.p-xl-1</t>
  </si>
  <si>
    <t>.p-xl-2</t>
  </si>
  <si>
    <t>.p-xl-3</t>
  </si>
  <si>
    <t>.p-xl-4</t>
  </si>
  <si>
    <t>.p-xl-5</t>
  </si>
  <si>
    <t>.p-xxl-0</t>
  </si>
  <si>
    <t>.p-xxl-1</t>
  </si>
  <si>
    <t>.p-xxl-2</t>
  </si>
  <si>
    <t>.p-xxl-3</t>
  </si>
  <si>
    <t>.p-xxl-4</t>
  </si>
  <si>
    <t>.p-xxl-5</t>
  </si>
  <si>
    <t>.page-item</t>
  </si>
  <si>
    <t>.page-link</t>
  </si>
  <si>
    <t>.pb-1</t>
  </si>
  <si>
    <t>.pb-2</t>
  </si>
  <si>
    <t>.pb-3</t>
  </si>
  <si>
    <t>.pb-4</t>
  </si>
  <si>
    <t>.pb-5</t>
  </si>
  <si>
    <t>.pb-lg-0</t>
  </si>
  <si>
    <t>.pb-lg-1</t>
  </si>
  <si>
    <t>.pb-lg-2</t>
  </si>
  <si>
    <t>.pb-lg-3</t>
  </si>
  <si>
    <t>.pb-lg-4</t>
  </si>
  <si>
    <t>.pb-lg-5</t>
  </si>
  <si>
    <t>.pb-md-0</t>
  </si>
  <si>
    <t>.pb-md-1</t>
  </si>
  <si>
    <t>.pb-md-2</t>
  </si>
  <si>
    <t>.pb-md-3</t>
  </si>
  <si>
    <t>.pb-md-4</t>
  </si>
  <si>
    <t>.pb-md-5</t>
  </si>
  <si>
    <t>.pb-sm-0</t>
  </si>
  <si>
    <t>.pb-sm-1</t>
  </si>
  <si>
    <t>.pb-sm-2</t>
  </si>
  <si>
    <t>.pb-sm-3</t>
  </si>
  <si>
    <t>.pb-sm-4</t>
  </si>
  <si>
    <t>.pb-sm-5</t>
  </si>
  <si>
    <t>.pb-xl-0</t>
  </si>
  <si>
    <t>.pb-xl-1</t>
  </si>
  <si>
    <t>.pb-xl-2</t>
  </si>
  <si>
    <t>.pb-xl-3</t>
  </si>
  <si>
    <t>.pb-xl-4</t>
  </si>
  <si>
    <t>.pb-xl-5</t>
  </si>
  <si>
    <t>.pb-xxl-0</t>
  </si>
  <si>
    <t>.pb-xxl-1</t>
  </si>
  <si>
    <t>.pb-xxl-2</t>
  </si>
  <si>
    <t>.pb-xxl-3</t>
  </si>
  <si>
    <t>.pb-xxl-4</t>
  </si>
  <si>
    <t>.pb-xxl-5</t>
  </si>
  <si>
    <t>.pe-0</t>
  </si>
  <si>
    <t>.pe-1</t>
  </si>
  <si>
    <t>.pe-2</t>
  </si>
  <si>
    <t>.pe-3</t>
  </si>
  <si>
    <t>.pe-4</t>
  </si>
  <si>
    <t>.pe-5</t>
  </si>
  <si>
    <t>.pe-auto</t>
  </si>
  <si>
    <t>.pe-lg-0</t>
  </si>
  <si>
    <t>.pe-lg-1</t>
  </si>
  <si>
    <t>.pe-lg-2</t>
  </si>
  <si>
    <t>.pe-lg-3</t>
  </si>
  <si>
    <t>.pe-lg-4</t>
  </si>
  <si>
    <t>.pe-lg-5</t>
  </si>
  <si>
    <t>.pe-md-0</t>
  </si>
  <si>
    <t>.pe-md-1</t>
  </si>
  <si>
    <t>.pe-md-2</t>
  </si>
  <si>
    <t>.pe-md-3</t>
  </si>
  <si>
    <t>.pe-md-4</t>
  </si>
  <si>
    <t>.pe-md-5</t>
  </si>
  <si>
    <t>.pe-none</t>
  </si>
  <si>
    <t>.pe-sm-0</t>
  </si>
  <si>
    <t>.pe-sm-1</t>
  </si>
  <si>
    <t>.pe-sm-2</t>
  </si>
  <si>
    <t>.pe-sm-3</t>
  </si>
  <si>
    <t>.pe-sm-4</t>
  </si>
  <si>
    <t>.pe-sm-5</t>
  </si>
  <si>
    <t>.pe-xl-0</t>
  </si>
  <si>
    <t>.pe-xl-1</t>
  </si>
  <si>
    <t>.pe-xl-2</t>
  </si>
  <si>
    <t>.pe-xl-3</t>
  </si>
  <si>
    <t>.pe-xl-4</t>
  </si>
  <si>
    <t>.pe-xl-5</t>
  </si>
  <si>
    <t>.pe-xxl-0</t>
  </si>
  <si>
    <t>.pe-xxl-1</t>
  </si>
  <si>
    <t>.pe-xxl-2</t>
  </si>
  <si>
    <t>.pe-xxl-3</t>
  </si>
  <si>
    <t>.pe-xxl-4</t>
  </si>
  <si>
    <t>.pe-xxl-5</t>
  </si>
  <si>
    <t>.placeholder</t>
  </si>
  <si>
    <t>.placeholder-glow</t>
  </si>
  <si>
    <t>.placeholder-lg</t>
  </si>
  <si>
    <t>.placeholder-sm</t>
  </si>
  <si>
    <t>.placeholder-wave</t>
  </si>
  <si>
    <t>.placeholder-xs</t>
  </si>
  <si>
    <t>.pointer-event</t>
  </si>
  <si>
    <t>.popover</t>
  </si>
  <si>
    <t>.popover-arrow</t>
  </si>
  <si>
    <t>.popover-body</t>
  </si>
  <si>
    <t>.popover-header</t>
  </si>
  <si>
    <t>.position-absolute</t>
  </si>
  <si>
    <t>.position-fixed</t>
  </si>
  <si>
    <t>.position-relative</t>
  </si>
  <si>
    <t>.position-static</t>
  </si>
  <si>
    <t>.position-sticky</t>
  </si>
  <si>
    <t>.ps-0</t>
  </si>
  <si>
    <t>.ps-1</t>
  </si>
  <si>
    <t>.ps-2</t>
  </si>
  <si>
    <t>.ps-3</t>
  </si>
  <si>
    <t>.ps-4</t>
  </si>
  <si>
    <t>.ps-5</t>
  </si>
  <si>
    <t>.ps-lg-0</t>
  </si>
  <si>
    <t>.ps-lg-1</t>
  </si>
  <si>
    <t>.ps-lg-2</t>
  </si>
  <si>
    <t>.ps-lg-3</t>
  </si>
  <si>
    <t>.ps-lg-4</t>
  </si>
  <si>
    <t>.ps-lg-5</t>
  </si>
  <si>
    <t>.ps-md-0</t>
  </si>
  <si>
    <t>.ps-md-1</t>
  </si>
  <si>
    <t>.ps-md-2</t>
  </si>
  <si>
    <t>.ps-md-3</t>
  </si>
  <si>
    <t>.ps-md-4</t>
  </si>
  <si>
    <t>.ps-md-5</t>
  </si>
  <si>
    <t>.ps-sm-0</t>
  </si>
  <si>
    <t>.ps-sm-1</t>
  </si>
  <si>
    <t>.ps-sm-2</t>
  </si>
  <si>
    <t>.ps-sm-3</t>
  </si>
  <si>
    <t>.ps-sm-4</t>
  </si>
  <si>
    <t>.ps-sm-5</t>
  </si>
  <si>
    <t>.ps-xl-0</t>
  </si>
  <si>
    <t>.ps-xl-1</t>
  </si>
  <si>
    <t>.ps-xl-2</t>
  </si>
  <si>
    <t>.ps-xl-3</t>
  </si>
  <si>
    <t>.ps-xl-4</t>
  </si>
  <si>
    <t>.ps-xl-5</t>
  </si>
  <si>
    <t>.ps-xxl-0</t>
  </si>
  <si>
    <t>.ps-xxl-1</t>
  </si>
  <si>
    <t>.ps-xxl-2</t>
  </si>
  <si>
    <t>.ps-xxl-3</t>
  </si>
  <si>
    <t>.ps-xxl-4</t>
  </si>
  <si>
    <t>.ps-xxl-5</t>
  </si>
  <si>
    <t>.pt-1</t>
  </si>
  <si>
    <t>.pt-2</t>
  </si>
  <si>
    <t>.pt-3</t>
  </si>
  <si>
    <t>.pt-4</t>
  </si>
  <si>
    <t>.pt-5</t>
  </si>
  <si>
    <t>.pt-lg-0</t>
  </si>
  <si>
    <t>.pt-lg-1</t>
  </si>
  <si>
    <t>.pt-lg-2</t>
  </si>
  <si>
    <t>.pt-lg-3</t>
  </si>
  <si>
    <t>.pt-lg-4</t>
  </si>
  <si>
    <t>.pt-lg-5</t>
  </si>
  <si>
    <t>.pt-md-0</t>
  </si>
  <si>
    <t>.pt-md-1</t>
  </si>
  <si>
    <t>.pt-md-2</t>
  </si>
  <si>
    <t>.pt-md-3</t>
  </si>
  <si>
    <t>.pt-md-4</t>
  </si>
  <si>
    <t>.pt-md-5</t>
  </si>
  <si>
    <t>.pt-sm-0</t>
  </si>
  <si>
    <t>.pt-sm-1</t>
  </si>
  <si>
    <t>.pt-sm-2</t>
  </si>
  <si>
    <t>.pt-sm-3</t>
  </si>
  <si>
    <t>.pt-sm-4</t>
  </si>
  <si>
    <t>.pt-sm-5</t>
  </si>
  <si>
    <t>.pt-xl-0</t>
  </si>
  <si>
    <t>.pt-xl-1</t>
  </si>
  <si>
    <t>.pt-xl-2</t>
  </si>
  <si>
    <t>.pt-xl-3</t>
  </si>
  <si>
    <t>.pt-xl-4</t>
  </si>
  <si>
    <t>.pt-xl-5</t>
  </si>
  <si>
    <t>.pt-xxl-0</t>
  </si>
  <si>
    <t>.pt-xxl-1</t>
  </si>
  <si>
    <t>.pt-xxl-2</t>
  </si>
  <si>
    <t>.pt-xxl-3</t>
  </si>
  <si>
    <t>.pt-xxl-4</t>
  </si>
  <si>
    <t>.pt-xxl-5</t>
  </si>
  <si>
    <t>.px-0</t>
  </si>
  <si>
    <t>.px-1</t>
  </si>
  <si>
    <t>.px-2</t>
  </si>
  <si>
    <t>.px-3</t>
  </si>
  <si>
    <t>.px-4</t>
  </si>
  <si>
    <t>.px-5</t>
  </si>
  <si>
    <t>.px-lg-0</t>
  </si>
  <si>
    <t>.px-lg-1</t>
  </si>
  <si>
    <t>.px-lg-2</t>
  </si>
  <si>
    <t>.px-lg-3</t>
  </si>
  <si>
    <t>.px-lg-4</t>
  </si>
  <si>
    <t>.px-lg-5</t>
  </si>
  <si>
    <t>.px-md-0</t>
  </si>
  <si>
    <t>.px-md-1</t>
  </si>
  <si>
    <t>.px-md-2</t>
  </si>
  <si>
    <t>.px-md-3</t>
  </si>
  <si>
    <t>.px-md-4</t>
  </si>
  <si>
    <t>.px-md-5</t>
  </si>
  <si>
    <t>.px-sm-0</t>
  </si>
  <si>
    <t>.px-sm-1</t>
  </si>
  <si>
    <t>.px-sm-2</t>
  </si>
  <si>
    <t>.px-sm-3</t>
  </si>
  <si>
    <t>.px-sm-4</t>
  </si>
  <si>
    <t>.px-sm-5</t>
  </si>
  <si>
    <t>.px-xl-0</t>
  </si>
  <si>
    <t>.px-xl-1</t>
  </si>
  <si>
    <t>.px-xl-2</t>
  </si>
  <si>
    <t>.px-xl-3</t>
  </si>
  <si>
    <t>.px-xl-4</t>
  </si>
  <si>
    <t>.px-xl-5</t>
  </si>
  <si>
    <t>.px-xxl-0</t>
  </si>
  <si>
    <t>.px-xxl-1</t>
  </si>
  <si>
    <t>.px-xxl-2</t>
  </si>
  <si>
    <t>.px-xxl-3</t>
  </si>
  <si>
    <t>.px-xxl-4</t>
  </si>
  <si>
    <t>.px-xxl-5</t>
  </si>
  <si>
    <t>.py-1</t>
  </si>
  <si>
    <t>.py-2</t>
  </si>
  <si>
    <t>.py-3</t>
  </si>
  <si>
    <t>.py-4</t>
  </si>
  <si>
    <t>.py-5</t>
  </si>
  <si>
    <t>.py-lg-0</t>
  </si>
  <si>
    <t>.py-lg-1</t>
  </si>
  <si>
    <t>.py-lg-2</t>
  </si>
  <si>
    <t>.py-lg-3</t>
  </si>
  <si>
    <t>.py-lg-4</t>
  </si>
  <si>
    <t>.py-lg-5</t>
  </si>
  <si>
    <t>.py-md-0</t>
  </si>
  <si>
    <t>.py-md-1</t>
  </si>
  <si>
    <t>.py-md-2</t>
  </si>
  <si>
    <t>.py-md-3</t>
  </si>
  <si>
    <t>.py-md-4</t>
  </si>
  <si>
    <t>.py-md-5</t>
  </si>
  <si>
    <t>.py-sm-0</t>
  </si>
  <si>
    <t>.py-sm-1</t>
  </si>
  <si>
    <t>.py-sm-2</t>
  </si>
  <si>
    <t>.py-sm-3</t>
  </si>
  <si>
    <t>.py-sm-4</t>
  </si>
  <si>
    <t>.py-sm-5</t>
  </si>
  <si>
    <t>.py-xl-0</t>
  </si>
  <si>
    <t>.py-xl-1</t>
  </si>
  <si>
    <t>.py-xl-2</t>
  </si>
  <si>
    <t>.py-xl-3</t>
  </si>
  <si>
    <t>.py-xl-4</t>
  </si>
  <si>
    <t>.py-xl-5</t>
  </si>
  <si>
    <t>.py-xxl-0</t>
  </si>
  <si>
    <t>.py-xxl-1</t>
  </si>
  <si>
    <t>.py-xxl-2</t>
  </si>
  <si>
    <t>.py-xxl-3</t>
  </si>
  <si>
    <t>.py-xxl-4</t>
  </si>
  <si>
    <t>.py-xxl-5</t>
  </si>
  <si>
    <t>.ratio</t>
  </si>
  <si>
    <t>.ratio-16x9</t>
  </si>
  <si>
    <t>.ratio-1x1</t>
  </si>
  <si>
    <t>.ratio-21x9</t>
  </si>
  <si>
    <t>.ratio-4x3</t>
  </si>
  <si>
    <t>.row</t>
  </si>
  <si>
    <t>.row-cols-1</t>
  </si>
  <si>
    <t>.row-cols-2</t>
  </si>
  <si>
    <t>.row-cols-3</t>
  </si>
  <si>
    <t>.row-cols-4</t>
  </si>
  <si>
    <t>.row-cols-5</t>
  </si>
  <si>
    <t>.row-cols-6</t>
  </si>
  <si>
    <t>.row-cols-auto</t>
  </si>
  <si>
    <t>.row-cols-lg-1</t>
  </si>
  <si>
    <t>.row-cols-lg-2</t>
  </si>
  <si>
    <t>.row-cols-lg-3</t>
  </si>
  <si>
    <t>.row-cols-lg-4</t>
  </si>
  <si>
    <t>.row-cols-lg-5</t>
  </si>
  <si>
    <t>.row-cols-lg-6</t>
  </si>
  <si>
    <t>.row-cols-lg-auto</t>
  </si>
  <si>
    <t>.row-cols-md-1</t>
  </si>
  <si>
    <t>.row-cols-md-2</t>
  </si>
  <si>
    <t>.row-cols-md-3</t>
  </si>
  <si>
    <t>.row-cols-md-4</t>
  </si>
  <si>
    <t>.row-cols-md-5</t>
  </si>
  <si>
    <t>.row-cols-md-6</t>
  </si>
  <si>
    <t>.row-cols-md-auto</t>
  </si>
  <si>
    <t>.row-cols-sm-1</t>
  </si>
  <si>
    <t>.row-cols-sm-2</t>
  </si>
  <si>
    <t>.row-cols-sm-3</t>
  </si>
  <si>
    <t>.row-cols-sm-4</t>
  </si>
  <si>
    <t>.row-cols-sm-5</t>
  </si>
  <si>
    <t>.row-cols-sm-6</t>
  </si>
  <si>
    <t>.row-cols-sm-auto</t>
  </si>
  <si>
    <t>.row-cols-xl-1</t>
  </si>
  <si>
    <t>.row-cols-xl-2</t>
  </si>
  <si>
    <t>.row-cols-xl-3</t>
  </si>
  <si>
    <t>.row-cols-xl-4</t>
  </si>
  <si>
    <t>.row-cols-xl-5</t>
  </si>
  <si>
    <t>.row-cols-xl-6</t>
  </si>
  <si>
    <t>.row-cols-xl-auto</t>
  </si>
  <si>
    <t>.row-cols-xxl-1</t>
  </si>
  <si>
    <t>.row-cols-xxl-2</t>
  </si>
  <si>
    <t>.row-cols-xxl-3</t>
  </si>
  <si>
    <t>.row-cols-xxl-4</t>
  </si>
  <si>
    <t>.row-cols-xxl-5</t>
  </si>
  <si>
    <t>.row-cols-xxl-6</t>
  </si>
  <si>
    <t>.row-cols-xxl-auto</t>
  </si>
  <si>
    <t>.shadow</t>
  </si>
  <si>
    <t>.shadow-lg</t>
  </si>
  <si>
    <t>.shadow-none</t>
  </si>
  <si>
    <t>.shadow-sm</t>
  </si>
  <si>
    <t>.show</t>
  </si>
  <si>
    <t>.showing</t>
  </si>
  <si>
    <t>.small</t>
  </si>
  <si>
    <t>.start-0</t>
  </si>
  <si>
    <t>.start-100</t>
  </si>
  <si>
    <t>.start-50</t>
  </si>
  <si>
    <t>.sticky-lg-top</t>
  </si>
  <si>
    <t>.sticky-md-top</t>
  </si>
  <si>
    <t>.sticky-sm-top</t>
  </si>
  <si>
    <t>.sticky-top</t>
  </si>
  <si>
    <t>.sticky-xl-top</t>
  </si>
  <si>
    <t>.sticky-xxl-top</t>
  </si>
  <si>
    <t>.stretched-link</t>
  </si>
  <si>
    <t>.tab-content</t>
  </si>
  <si>
    <t>.tab-pane</t>
  </si>
  <si>
    <t>.table-active</t>
  </si>
  <si>
    <t>.table-bordered</t>
  </si>
  <si>
    <t>.table-borderless</t>
  </si>
  <si>
    <t>.table-danger</t>
  </si>
  <si>
    <t>.table-dark</t>
  </si>
  <si>
    <t>.table-hover</t>
  </si>
  <si>
    <t>.table-info</t>
  </si>
  <si>
    <t>.table-light</t>
  </si>
  <si>
    <t>.table-primary</t>
  </si>
  <si>
    <t>.table-responsive</t>
  </si>
  <si>
    <t>.table-responsive-lg</t>
  </si>
  <si>
    <t>.table-responsive-md</t>
  </si>
  <si>
    <t>.table-responsive-sm</t>
  </si>
  <si>
    <t>.table-responsive-xl</t>
  </si>
  <si>
    <t>.table-responsive-xxl</t>
  </si>
  <si>
    <t>.table-secondary</t>
  </si>
  <si>
    <t>.table-sm</t>
  </si>
  <si>
    <t>.table-striped</t>
  </si>
  <si>
    <t>.table-success</t>
  </si>
  <si>
    <t>.table-warning</t>
  </si>
  <si>
    <t>.text-black</t>
  </si>
  <si>
    <t>.text-opacity-100</t>
  </si>
  <si>
    <t>.text-opacity-25</t>
  </si>
  <si>
    <t>.text-opacity-50</t>
  </si>
  <si>
    <t>.text-opacity-75</t>
  </si>
  <si>
    <t>.toast-container</t>
  </si>
  <si>
    <t>.tooltip-arrow</t>
  </si>
  <si>
    <t>.tooltip-inner</t>
  </si>
  <si>
    <t>.top-0</t>
  </si>
  <si>
    <t>.top-100</t>
  </si>
  <si>
    <t>.top-50</t>
  </si>
  <si>
    <t>.translate-middle</t>
  </si>
  <si>
    <t>.translate-middle-x</t>
  </si>
  <si>
    <t>.translate-middle-y</t>
  </si>
  <si>
    <t>.user-select-all</t>
  </si>
  <si>
    <t>.user-select-auto</t>
  </si>
  <si>
    <t>.user-select-none</t>
  </si>
  <si>
    <t>.valid-feedback</t>
  </si>
  <si>
    <t>.valid-tooltip</t>
  </si>
  <si>
    <t>.vh-100</t>
  </si>
  <si>
    <t>.visible</t>
  </si>
  <si>
    <t>.visually-hidden</t>
  </si>
  <si>
    <t>.visually-hidden-focusable</t>
  </si>
  <si>
    <t>.vr</t>
  </si>
  <si>
    <t>.vstack</t>
  </si>
  <si>
    <t>.vw-100</t>
  </si>
  <si>
    <t>.w-100</t>
  </si>
  <si>
    <t>.w-25</t>
  </si>
  <si>
    <t>.w-50</t>
  </si>
  <si>
    <t>.w-75</t>
  </si>
  <si>
    <t>.w-auto</t>
  </si>
  <si>
    <t>.was-validated</t>
  </si>
  <si>
    <r>
      <t>How it works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Features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Components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Pricing</t>
    </r>
  </si>
  <si>
    <r>
      <t>Log in</t>
    </r>
    <r>
      <rPr>
        <sz val="12"/>
        <color theme="1"/>
        <rFont val="Aptos Narrow"/>
        <family val="2"/>
        <scheme val="minor"/>
      </rPr>
      <t> </t>
    </r>
    <r>
      <rPr>
        <sz val="12"/>
        <color rgb="FFFFFFFF"/>
        <rFont val="Aptos Narrow"/>
        <family val="2"/>
        <scheme val="minor"/>
      </rPr>
      <t>Try Demo</t>
    </r>
  </si>
  <si>
    <t>Tailwind CSS classes</t>
  </si>
  <si>
    <t>Search</t>
  </si>
  <si>
    <t>Animation</t>
  </si>
  <si>
    <t>.ease-linear / .ease-*.duration-75.duration-100.duration-150.duration-200.duration-300.duration-500.duration-700.duration-1000.delay-75.delay-100.delay-150.delay-200.delay-300.delay-500.delay-700.delay-1000.transition / .transition-*</t>
  </si>
  <si>
    <t>Animations</t>
  </si>
  <si>
    <t>.animate-bounce.animate-none.animate-ping.animate-pulse.animate-spin</t>
  </si>
  <si>
    <t>Background</t>
  </si>
  <si>
    <t>.bg-auto.bg-cover.bg-contain.bg-bottom.bg-top.bg-center.bg-left.bg-left-bottom.bg-left-top.bg-right.bg-right-bottom.bg-right-top.bg-fixed.bg-local.bg-scroll.bg-no-repeat.bg-repeat.bg-repeat-x.bg-repeat-y.bg-repeat-round.bg-repeat-space.bg-opacity-0.bg-opacity-25.bg-opacity-50.bg-opacity-75.bg-opacity-100.bg-none</t>
  </si>
  <si>
    <t>Background clip</t>
  </si>
  <si>
    <t>.bg-clip-border.bg-clip-content.bg-clip-padding.bg-clip-text</t>
  </si>
  <si>
    <t>Background color</t>
  </si>
  <si>
    <t>.bg-transparent.bg-current.bg-black.bg-white.bg-gray-100.bg-gray-200.bg-gray-300.bg-gray-400.bg-gray-500.bg-gray-600.bg-gray-700.bg-gray-800.bg-gray-900.bg-red-100.bg-red-200.bg-red-300.bg-red-400.bg-red-500.bg-red-600.bg-red-700.bg-red-800.bg-red-900.bg-orange-100.bg-orange-200.bg-orange-300.bg-orange-400.bg-orange-500.bg-orange-600.bg-orange-700.bg-orange-800.bg-orange-900.bg-yellow-100.bg-yellow-200.bg-yellow-300.bg-yellow-400.bg-yellow-500.bg-yellow-600.bg-yellow-700.bg-yellow-800.bg-yellow-900.bg-green-100.bg-green-200.bg-green-300.bg-green-400.bg-green-500.bg-green-600.bg-green-700.bg-green-800.bg-green-900.bg-teal-100.bg-teal-200.bg-teal-300.bg-teal-400.bg-teal-500.bg-teal-600.bg-teal-700.bg-teal-800.bg-teal-900.bg-blue-100.bg-blue-200.bg-blue-300.bg-blue-400.bg-blue-500.bg-blue-600.bg-blue-700.bg-blue-800.bg-blue-900.bg-indigo-100.bg-indigo-200.bg-indigo-300.bg-indigo-400.bg-indigo-500.bg-indigo-600.bg-indigo-700.bg-indigo-800.bg-indigo-900.bg-purple-100.bg-purple-200.bg-purple-300.bg-purple-400.bg-purple-500.bg-purple-600.bg-purple-700.bg-purple-800.bg-purple-900.bg-pink-100.bg-pink-200.bg-pink-300.bg-pink-400.bg-pink-500.bg-pink-600.bg-pink-700.bg-pink-800.bg-pink-900</t>
  </si>
  <si>
    <t>Background gradient</t>
  </si>
  <si>
    <t>.bg-gradient-to-b.bg-gradient-to-bl.bg-gradient-to-br.bg-gradient-to-l.bg-gradient-to-r.bg-gradient-to-t.bg-gradient-to-tl.bg-gradient-to-tr.from-blue-100.from-current.from-gray-100.from-indigo-100.from-pink-100.from-purple-100.from-red-100.from-transparent.from-white.from-yellow-100.from-transparent.to-black.to-blue-100.to-current.to-gray-100.to-green-100.to-indigo-100.to-pink-100.to-purple-100.to-red-100.to-transparent.to-white.to-yellow-100.top-1.via-black.via-blue-100.via-current.via-gray-100.via-green-100.via-indigo-100.via-pink-100.via-purple-100.via-red-100.via-transparent.via-white.via-yellow-100</t>
  </si>
  <si>
    <t>Border color</t>
  </si>
  <si>
    <t>.border-transparent.border-current.border-black.border-white.border-gray-100.border-gray-200.border-gray-300.border-gray-400.border-gray-500.border-gray-600.border-gray-700.border-gray-800.border-gray-900.border-red-100.border-red-200.border-red-300.border-red-400.border-red-500.border-red-600.border-red-700.border-red-800.border-red-900.border-orange-100.border-orange-200.border-orange-300.border-orange-400.border-orange-500.border-orange-600.border-orange-700.border-orange-800.border-orange-900.border-yellow-100.border-yellow-200.border-yellow-300.border-yellow-400.border-yellow-500.border-yellow-600.border-yellow-700.border-yellow-800.border-yellow-900.border-green-100.border-green-200.border-green-300.border-green-400.border-green-500.border-green-600.border-green-700.border-green-800.border-green-900.border-teal-100.border-teal-200.border-teal-300.border-teal-400.border-teal-500.border-teal-600.border-teal-700.border-teal-800.border-teal-900.border-blue-100.border-blue-200.border-blue-300.border-blue-400.border-blue-500.border-blue-600.border-blue-700.border-blue-800.border-blue-900.border-indigo-100.border-indigo-200.border-indigo-300.border-indigo-400.border-indigo-500.border-indigo-600.border-indigo-700.border-indigo-800.border-indigo-900.border-purple-100.border-purple-200.border-purple-300.border-purple-400.border-purple-500.border-purple-600.border-purple-700.border-purple-800.border-purple-900.border-pink-100.border-pink-200.border-pink-300.border-pink-400.border-pink-500.border-pink-600.border-pink-700.border-pink-800.border-pink-900</t>
  </si>
  <si>
    <t>.border-solid.border-dashed.border-dotted.border-double.border-none.border.border-0.border-2.border-4.border-8.border-*-# / .border-t-2.border-opacity-25 / border-*-#.divide-x.divide-x-0.divide-x-2.divide-x-4.divide-x-8.divide-y.divide-y-0.divide-y-2.divide-y-4.divide-y-8.divide-gray-100 / .divide-*-#.divide-x-reverse / .divide-*-reverse.divide-opacity-25 / .divide-opacity-*.border-collapse.border-separate.rounded / .rounded-*.border-b.border-b-0.border-blue-50.border-gray-50.border-green-50.border-indigo-50.border-l.border-l-0.border-opacity-0.border-pink-50.border-purple-50.border-r.border-r-0.border-red-50.border-t.border-t-0.border-yellow-50.rounded-2xl.rounded-3xl.rounded-b-2xl.rounded-b-3xl.rounded-b-xl.rounded-bl-2xl.rounded-bl-3xl.rounded-bl-xl.rounded-br-2xl.rounded-br-3xl.rounded-br-xl.rounded-l-2xl.rounded-l-xl.rounded-r-2xl.rounded-r-3xl.rounded-r-xl.rounded-t-2xl.rounded-t-3xl.rounded-t-xl.rounded-tl-2xl.rounded-tl-3xl.rounded-tl-xl.rounded-tr-2xl.rounded-tr-3xl.rounded-tr-xl.rounded-xl</t>
  </si>
  <si>
    <t>Box</t>
  </si>
  <si>
    <t>.box-border.box-content</t>
  </si>
  <si>
    <t>.bg-blue-50.bg-gray-50.bg-green-50.bg-indigo-50.bg-opacity-10.bg-pink-50.bg-purple-50.bg-red-50.bg-yellow-50</t>
  </si>
  <si>
    <t>.block.hidden.inline.inline-block.inline-flex.inline-grid.flex.grid.flow-root</t>
  </si>
  <si>
    <t>Divide</t>
  </si>
  <si>
    <t>.divide-black.divide-blue-100.divide-current.divide-dashed.divide-dotted.divide-doubble.divide-gray-100.divide-green-100.divide-indigo-100.divide-none.divide-opacity-0.divide-pink-100.divide-purple-100.divide-red-100.divide-solid.divide-transparent.divide-white.divide-x-reverse.divide-y-reverse.divide-yellow-100</t>
  </si>
  <si>
    <t>Flex</t>
  </si>
  <si>
    <t>.flex-row.flex-row-reverse.flex-col.flex-col-reverse.flex-initial.flex-1.flex-auto.flex-none.flex-no-wrap.flex-wrap.flex-wrap-reverse.items-stretch / .items-*.content-start / .content-*.justify-start / .justify-*.self-start / .self-*.flex-grow / .flex-grow-0.flex-shrink / .flex-shrink-0.order-1 / .order-*</t>
  </si>
  <si>
    <t>.content-around.content-between.content-center.content-end.content-evenly.content-start.contents.flex-nowrap.justify-items-auto.justify-items-center.justify-items-end.justify-items-start.justify-items-stretch.justify-self-auto.justify-self-center.justify-self-end.justify-self-start.justify-self-stretch.space-x-7.space-x-px.space-x-reverse.space-y-px.space-y-reverse</t>
  </si>
  <si>
    <t>.focus-within.from-black</t>
  </si>
  <si>
    <t>.col-auto.col-span-1 / .col-span-*.col-start-1 / .col-start-*.col-end-1 / .col-end-*.gap-0 / .gap-*.row-gap-0 / .row-gap-*.col-gap-0 / .col-gap-*.grid-rows-1 / .grid-rows-*.grid-cols-1 / .grid-cols-*.grid-flow-row.grid-flow-row-dense.grid-flow-col.grid-flow-col-dense.row-span-1 / .row-span-*.row-start-auto.row-start-1.row-start-2.row-start-3.row-start-4.row-start-5.row-start-6.row-start-7.row-end-auto.row-end-1.row-end-2.row-end-3.row-end-4.row-end-5.row-end-6.row-end-7.auto-cols-auto.auto-cols-fr.auto-cols-max.auto-cols-min.auto-rows-auto.auto-rows-fr.auto-rows-max.auto-rows-min.auto-rows-min.col-end-1.col-end-auto.col-span-1.col-span-full.col-start-1.col-start-auto.gap-0.gap-px.gap-x-0.gap-x-px.gap-y-0.gap-y-px.place-content-around.place-content-between.place-content-center.place-content-end.place-content-evenly.place-content-start.place-content-stretch.place-items-auto.place-items-center.place-items-end.place-items-start.place-items-stretch.place-self-auto.place-self-end.place-self-start.place-self-stretch.row-auto.row-span-1.row-span-full</t>
  </si>
  <si>
    <t>Group hover</t>
  </si>
  <si>
    <t>.group-hover.group-hover</t>
  </si>
  <si>
    <t>Height</t>
  </si>
  <si>
    <t>.h-0.h-1.h-2.h-3.h-4.h-5.h-6.h-8.h-10.h-12.h-16.h-20.h-24.h-32.h-40.h-48.h-56.h-64.h-auto.h-px.h-full.h-screen.max-h-full.max-h-screen.min-h-0.min-h-full.min-h-screen.max-h-px</t>
  </si>
  <si>
    <t>.list-disc / .list-*.list-inside / .list-outside</t>
  </si>
  <si>
    <t>Margins</t>
  </si>
  <si>
    <t>.m-0.m-1.m-2.m-3.m-4.m-5.m-6.m-8.m-10.m-12.m-16.m-20.m-24.m-32.m-40.m-48.m-56.m-64.m-auto.m-px.mb-0.mb-1.mb-2.mb-3.mb-4.mb-5.mb-6.mb-8.mb-10.mb-12.mb-16.mb-20.mb-24.mb-32.mb-40.mb-48.mb-56.mb-64.mb-auto.mb-px.mr-0.mr-1.mr-2.mr-3.mr-4.mr-5.mr-6.mr-8.mr-10.mr-12.mr-16.mr-20.mr-24.mr-32.mr-40.mr-48.mr-56.mr-64.mr-auto.mr-px.mt-0.mt-1.mt-2.mt-3.mt-4.mt-5.mt-6.mt-8.mt-10.mt-12.mt-16.mt-20.mt-24.mt-32.mt-40.mt-48.mt-56.mt-64.mt-auto.mt-px.ml-0.ml-1.ml-2.ml-3.ml-4.ml-5.ml-6.ml-8.ml-10.ml-12.ml-16.ml-20.ml-24.ml-32.ml-40.ml-48.ml-56.ml-64.ml-auto.ml-px.mx-0.mx-1.mx-2.mx-3.mx-4.mx-5.mx-6.mx-8.mx-10.mx-12.mx-16.mx-20.mx-24.mx-32.mx-40.mx-48.mx-56.mx-64.mx-auto.mx-px.my-0.my-1.my-2.my-3.my-4.my-5.my-6.my-8.my-10.my-12.my-16.my-20.my-24.my-32.my-40.my-48.my-56.my-64.my-auto.my-px.-m-1.-m-2.-m-3.-m-4.-m-5.-m-6.-m-8.-m-10.-m-12.-m-16.-m-20.-m-24.-m-32.-m-40.-m-48.-m-56.-m-64.-m-px.-mb-1.-mb-2.-mb-3.-mb-4.-mb-5.-mb-6.-mb-8.-mb-10.-mb-12.-mb-16.-mb-20.-mb-24.-mb-32.-mb-40.-mb-48.-mb-56.-mb-64.-mb-px.-mr-1.-mr-2.-mr-3.-mr-4.-mr-5.-mr-6.-mr-8.-mr-10.-mr-12.-mr-16.-mr-20.-mr-24.-mr-32.-mr-40.-mr-48.-mr-56.-mr-64.-mr-px.-mt-1.-mt-2.-mt-3.-mt-4.-mt-5.-mt-6.-mt-8.-mt-10.-mt-12.-mt-16.-mt-20.-mt-24.-mt-32.-mt-40.-mt-48.-mt-56.-mt-64.-mt-px.-ml-1.-ml-2.-ml-3.-ml-4.-ml-5.-ml-6.-ml-8.-ml-10.-ml-12.-ml-16.-ml-20.-ml-24.-ml-32.-ml-40.-ml-48.-ml-56.-ml-64.-ml-px.-mx-1.-mx-2.-mx-3.-mx-4.-mx-5.-mx-6.-mx-8.-mx-10.-mx-12.-mx-16.-mx-20.-mx-24.-mx-32.-mx-40.-mx-48.-mx-56.-mx-64.-mx-px.-my-1.-my-2.-my-3.-my-4.-my-5.-my-6.-my-8.-my-10.-my-12.-my-16.-my-20.-my-24.-my-32.-my-40.-my-48.-my-56.-my-64.-my-px.mt-11.mb-11.ml-11.mr-11.mt-11.mx-11.my-11</t>
  </si>
  <si>
    <t>Nums</t>
  </si>
  <si>
    <t>.lining-nums.normal-nums.oldstyle-nums.stacked-fractions</t>
  </si>
  <si>
    <t>Opacity</t>
  </si>
  <si>
    <t>.opacity-10</t>
  </si>
  <si>
    <t>Outline</t>
  </si>
  <si>
    <t>.outline-black.outline-white</t>
  </si>
  <si>
    <t>Paddings</t>
  </si>
  <si>
    <t>.p-0.p-1.p-2.p-3.p-4.p-5.p-6.p-8.p-10.p-12.p-16.p-20.p-24.p-32.p-40.p-48.p-56.p-64.p-px.pb-0.pb-1.pb-2.pb-3.pb-4.pb-5.pb-6.pb-8.pb-10.pb-12.pb-16.pb-20.pb-24.pb-32.pb-40.pb-48.pb-56.pb-64.pb-px.pr-0.pr-1.pr-2.pr-3.pr-4.pr-5.pr-6.pr-8.pr-10.pr-12.pr-16.pr-20.pr-24.pr-32.pr-40.pr-48.pr-56.pr-64.pr-px.pt-0.pt-1.pt-2.pt-3.pt-4.pt-5.pt-6.pt-8.pt-10.pt-12.pt-16.pt-20.pt-24.pt-32.pt-40.pt-48.pt-56.pt-64.pt-px.pl-0.pl-1.pl-2.pl-3.pl-4.pl-5.pl-6.pl-8.pl-10.pl-12.pl-16.pl-20.pl-24.pl-32.pl-40.pl-48.pl-56.pl-64.pl-px.px-0.px-1.px-2.px-3.px-4.px-5.px-6.px-8.px-10.px-12.px-16.px-20.px-24.px-32.px-40.px-48.px-56.px-64.px-px.py-0.py-1.py-2.py-3.py-4.py-5.py-6.py-8.py-10.py-12.py-16.py-20.py-24.py-32.py-40.py-48.py-56.py-64.py-px.p-11.pb-11.pl-11.pr-11.pt-11.px-11.py-11</t>
  </si>
  <si>
    <t>.align-*.clear-left.clear-right.clear-both.clear-none.clearfix.float-*.inset-y-0 / .inset-*-#.top-0 / .top-*.left-0 / .left-*.right-0 / .right-*.bottom-0 / .bottom-*.object-center.object-bottom.object-left.object-left-bottom.object-left-top.object-right.object-right-bottom.object-right-top.object-top.object-contain / .object-*.z-10 / .z-*.static.relative.absolute.fixed.sticky.-bottom-1.-bottom-px.-inset-0.-inset-px.-inset-x-0.-inset-y-0.-inset-y-full.-inset-y-px.-left-0.-left-full.-left-px.-m-0.-m-px.-mb-0.-mb-px.-ml-0.-ml-px.-mr-0.-mr-px.-mt-0.-mt-px.-mx-0.-mx-px.-my-0.-my-px.-right-0.-right-full.-right-px.-rotate-1.-skew-x-1.-skew-y-1.-space-x-0.-space-x-px.-space-y-0.-space-y-px.-top-0.-top-px.-translate-x-0.-translate-x-full.-translate-x-px.-translate-y-0.-translate-y-px.absolute.align-baseline.align-bottom.align-middle.align-text-bottom.align-text-top.align-top.bottom-0.bottom-auto.bottom-full.bottom-px.inset-1.inset-full.inset-px.inset-x-1.inset-x-full.inset-x-px.inset-y-1.inset-y-full.inset-y-px.left-1.left-full.left-px.right-1.right-auto.right-full.right-px.top-full.top-px</t>
  </si>
  <si>
    <t>Pseudo class</t>
  </si>
  <si>
    <t>.hover.focus</t>
  </si>
  <si>
    <t>Responsive</t>
  </si>
  <si>
    <t>.container.sm:.md:.lg:.xl:</t>
  </si>
  <si>
    <t>Ring</t>
  </si>
  <si>
    <t>.ring.ring-0.ring-black.ring-blue-100.ring-current.ring-gray-100.ring-green-100.ring-inding-100.ring-inset.ring-offset-0.ring-offset-black.ring-offset-blue-100.ring-offset-current.ring-offset-gray-100.ring-offset-green-100.ring-offset-indigo-100.ring-offset-pink-100.ring-offset-purple-100.ring-offset-red-100.ring-offset-transparent.ring-offset-white.ring-offset-yellow-100.ring-opacity-0.ring-pink-100.ring-purple-100.ring-red-100.ring-transparent.ring-white.ring-yellow-100</t>
  </si>
  <si>
    <t>Scroll</t>
  </si>
  <si>
    <t>.overscroll-contain.overscroll-x-auto.overscroll-x-contain.overscroll-x-none.overscroll-y-auto.overscroll-y-contain.overscroll-y-none</t>
  </si>
  <si>
    <t>Shadows</t>
  </si>
  <si>
    <t>.shadow-xs.shadow-sm.shadow.shadow-md.shadow-lg.shadow-xl.shadow-2xl.shadow-inner.shadow-outline.shadow-none</t>
  </si>
  <si>
    <t>.h-11</t>
  </si>
  <si>
    <t>.space-x-1 / .space-x-*.space-y-1 / .space-y-*.-space-x-1 / .-space-x-*.-space-y-1 / .-space-y-*.space-x-reverse / .space-y-reverse</t>
  </si>
  <si>
    <t>Svg</t>
  </si>
  <si>
    <t>.fill-current.stroke-current.stroke-0 / .stroke-*</t>
  </si>
  <si>
    <t>.table.table-caption.table-cell.table-column.table-column-group.table-footer-group.table-header-group.table-row-group.table-row.table-auto / .table-fixed</t>
  </si>
  <si>
    <t>.antialiased.subpixel-antialiased.text-opacity-*.break-normal.break-words.break-all.truncate.uppercase.lowercase.capitalize.normal-case.leading-none.leading-tight.leading-snug.leading-normal.leading-relaxed.leading-loose.leading-3.leading-4.leading-5.leading-6.leading-7.leading-8.leading-9.leading-10.underline.line-through.no-underline.font-hairline.font-thin.font-light.font-normal.font-medium.font-semibold.font-bold.font-extrabold.font-black.text-xs.text-sm.text-base.text-lg.text-xl.text-2xl.text-3xl.text-4xl.text-5xl.text-6xl.font-sans.font-serif.font-mono.text-left.text-center.text-right.text-justify.italic.not-italic.whitespace-normal / .whitespace-*.tracking-tighter.tracking-tight.tracking-normal.tracking-wide.tracking-wider.tracking-widest</t>
  </si>
  <si>
    <t>Text color</t>
  </si>
  <si>
    <t>.text-transparent.text-current.text-black.text-white.text-gray-100.text-gray-200.text-gray-300.text-gray-400.text-gray-500.text-gray-600.text-gray-700.text-gray-800.text-gray-900.text-red-100.text-red-200.text-red-300.text-red-400.text-red-500.text-red-600.text-red-700.text-red-800.text-red-900.text-orange-100.text-orange-200.text-orange-300.text-orange-400.text-orange-500.text-orange-600.text-orange-700.text-orange-800.text-orange-900.text-yellow-100.text-yellow-200.text-yellow-300.text-yellow-400.text-yellow-500.text-yellow-600.text-yellow-700.text-yellow-800.text-yellow-900.text-green-100.text-green-200.text-green-300.text-green-400.text-green-500.text-green-600.text-green-700.text-green-800.text-green-900.text-teal-100.text-teal-200.text-teal-300.text-teal-400.text-teal-500.text-teal-600.text-teal-700.text-teal-800.text-teal-900.text-blue-100.text-blue-200.text-blue-300.text-blue-400.text-blue-500.text-blue-600.text-blue-700.text-blue-800.text-blue-900.text-indigo-100.text-indigo-200.text-indigo-300.text-indigo-400.text-indigo-500.text-indigo-600.text-indigo-700.text-indigo-800.text-indigo-900.text-purple-100.text-purple-200.text-purple-300.text-purple-400.text-purple-500.text-purple-600.text-purple-700.text-purple-800.text-purple-900.text-pink-100.text-pink-200.text-pink-300.text-pink-400.text-pink-500.text-pink-600.text-pink-700.text-pink-900.text-pink-800.text-blue-50.text-gray-50.text-green-50.text-indigo-50.text-opacity-10.text-pink-50.text-purple-50.text-red-50.text-yellow-50</t>
  </si>
  <si>
    <t>Transform</t>
  </si>
  <si>
    <t>.transform / .transform-none.origin-center / .origin-*.translate-x-0.translate-x-1.translate-x-2.translate-x-3.translate-x-4.translate-x-5.translate-x-6.translate-x-8.translate-x-10.translate-x-12.translate-x-16.translate-x-20.translate-x-24.translate-x-32.translate-x-40.translate-x-48.translate-x-56.translate-x-64.translate-x-px.translate-x-1/2.translate-x-full.translate-y-0.translate-y-1.translate-y-2.translate-y-3.translate-y-4.translate-y-5.translate-y-6.translate-y-8.translate-y-10.translate-y-12.translate-y-16.translate-y-20.translate-y-24.translate-y-32.translate-y-40.translate-y-48.translate-y-56.translate-y-64.translate-y-px.translate-y-1/2.translate-y-full.-translate-x-1.-translate-x-2.-translate-x-3.-translate-x-4.-translate-x-5.-translate-x-6.-translate-x-8.-translate-x-10.-translate-x-12.-translate-x-16.-translate-x-20.-translate-x-24.-translate-x-32.-translate-x-40.-translate-x-48.-translate-x-56.-translate-x-64.-translate-x-px.-translate-x-1/2.-translate-x-full.-translate-y-1.-translate-y-2.-translate-y-3.-translate-y-4.-translate-y-5.-translate-y-6.-translate-y-8.-translate-y-10.-translate-y-12.-translate-y-16.-translate-y-20.-translate-y-24.-translate-y-32.-translate-y-40.-translate-y-48.-translate-y-56.-translate-y-64.-translate-y-px.-translate-y-1/2.-translate-y-full.scale-0 / .scale-*.scale-x-0.scale-x-50.scale-x-75.scale-x-90.scale-x-95.scale-x-100.scale-x-105.scale-x-110.scale-x-125.scale-x-150.scale-y-0.scale-y-50.scale-y-75.scale-y-90.scale-y-95.scale-y-100.scale-y-105.scale-y-110.scale-y-125.scale-y-150.rotate-0.rotate-45.rotate-90.rotate-180.-rotate-45.-rotate-90.-rotate-180.skew-x-0.skew-x-3.skew-x-6.skew-x-12.skew-y-0.skew-y-3.skew-y-6.skew-y-12.-skew-x-3.-skew-x-6.-skew-x-12.-skew-y-3.-skew-y-6.-skew-y-12.diagonal-fractions.rotate-1.skew-x-1.skew-x-2.skew-y-1.skew-y-2.transform-gpu.translate-x-11.translate-y-11</t>
  </si>
  <si>
    <t>.font-extralight.text-7xl.text-8xl.text-9xl</t>
  </si>
  <si>
    <t>Utilities</t>
  </si>
  <si>
    <t>.cursor-auto.cursor-default.cursor-move.cursor-pointer.cursor-text.cursor-wait.cursor-not-allowed.appearance-none.placeholder-transparent::placeholder.placeholder-current::placeholder.placeholder-black::placeholder.placeholder-white::placeholder.placeholder-gray-600::placeholder.placeholder-red-600::placeholder.placeholder-orange-600::placeholder.placeholder-yellow-600::placeholder.placeholder-green-600::placeholder.placeholder-teal-600::placeholder.placeholder-blue-600::placeholder.placeholder-indigo-600::placeholder.placeholder-purple-600::placeholder.placeholder-pink-600::placeholder.placeholder-gray-100::placeholder.placeholder-gray-200::placeholder.placeholder-gray-300::placeholder.placeholder-gray-400::placeholder.placeholder-gray-500::placeholder.placeholder-gray-600::placeholder.placeholder-gray-700::placeholder.placeholder-gray-800::placeholder.placeholder-gray-900::placeholder.placeholder-opacity-0.placeholder-opacity-25.placeholder-opacity-50.placeholder-opacity-75.placeholder-opacity-100.outline-none.overflow-hidden / .overflow-*.scrolling-touch / .scrolling-auto.pointer-events-none.pointer-events-auto.resize.resize-none.resize-y.resize-x.select-none.select-text.select-all.select-auto.placeholder-blue-100.placeholder-current.placeholder-gray-100.placeholder-green-100.placeholder-indigo-100.placeholder-opacity-10.placeholder-pink-100.placeholder-purple-100.placeholder-red-100.placeholder-transparent.placeholder-white.placeholder-yellow-100</t>
  </si>
  <si>
    <t>Visibility</t>
  </si>
  <si>
    <t>.opacity-100.opacity-75.opacity-50.opacity-25.opacity-0.visible.invisible.sr-only / .not-sr-only</t>
  </si>
  <si>
    <t>Width</t>
  </si>
  <si>
    <t>.w-0.w-1.w-2.w-3.w-4.w-5.w-6.w-8.w-10.w-12.w-16.w-20.w-24.w-32.w-40.w-48.w-56.w-64.w-auto.w-px.w-full.w-screen.w-1/2.w-1/3.w-2/3.w-1/4.w-2/4.w-3/4.w-1/5.w-2/5.w-3/5.w-4/5.w-1/6.w-2/6.w-3/6.w-4/6.w-5/6.w-1/12.w-2/12.w-3/12.w-4/12.w-5/12.w-6/12.w-7/12.w-8/12.w-9/12.w-10/12.w-11/12.max-w-xs.max-w-sm.max-w-md.max-w-lg.max-w-xl.max-w-2xl.max-w-3xl.max-w-4xl.max-w-5xl.max-w-6xl.max-w-full.max-w-screen-sm.max-w-screen-md.max-w-screen-lg.max-w-screen-xl.max-w-none.min-w-0.min-w-full.max-h-0.max-w-0.max-w-7xl.max-w-max.max-w-min.max-w-prose.max-w-screen-2xl.min-w-max.min-w-min.w-11</t>
  </si>
  <si>
    <t>tile</t>
  </si>
  <si>
    <t>Component</t>
  </si>
  <si>
    <t>collapse-title</t>
  </si>
  <si>
    <t>Part</t>
  </si>
  <si>
    <t>Title part</t>
  </si>
  <si>
    <t>collapse-content</t>
  </si>
  <si>
    <t>Content part</t>
  </si>
  <si>
    <t>collapse-arrow</t>
  </si>
  <si>
    <t>Modifier</t>
  </si>
  <si>
    <t>Adds arrow icon</t>
  </si>
  <si>
    <t>collapse-plus</t>
  </si>
  <si>
    <t>Adds plus/minus icon</t>
  </si>
  <si>
    <t>collapse-open</t>
  </si>
  <si>
    <t>Force open</t>
  </si>
  <si>
    <t>collapse-close</t>
  </si>
  <si>
    <t>Force close</t>
  </si>
  <si>
    <t>Container element</t>
  </si>
  <si>
    <t>alert-outline</t>
  </si>
  <si>
    <t>Style</t>
  </si>
  <si>
    <t>outline style</t>
  </si>
  <si>
    <t>alert-dash</t>
  </si>
  <si>
    <t>dash outline style</t>
  </si>
  <si>
    <t>alert-soft</t>
  </si>
  <si>
    <t>soft style</t>
  </si>
  <si>
    <t>alert-info</t>
  </si>
  <si>
    <t>Color</t>
  </si>
  <si>
    <t>info color</t>
  </si>
  <si>
    <t>alert-success</t>
  </si>
  <si>
    <t>success color</t>
  </si>
  <si>
    <t>alert-warning</t>
  </si>
  <si>
    <t>warning color</t>
  </si>
  <si>
    <t>alert-error</t>
  </si>
  <si>
    <t>error color</t>
  </si>
  <si>
    <t>alert-vertical</t>
  </si>
  <si>
    <t>direction</t>
  </si>
  <si>
    <t>Vertical layout, good for mobile</t>
  </si>
  <si>
    <t>alert-horizontal</t>
  </si>
  <si>
    <t>Horizontal layout, good for desktop</t>
  </si>
  <si>
    <t>Alert</t>
  </si>
  <si>
    <t>Type</t>
  </si>
  <si>
    <t>Class name</t>
  </si>
  <si>
    <t>avatar</t>
  </si>
  <si>
    <t>Avatar</t>
  </si>
  <si>
    <t>avatar-group</t>
  </si>
  <si>
    <t>Container for multiple avatars</t>
  </si>
  <si>
    <t>avatar-online</t>
  </si>
  <si>
    <t>shows a green dot as online indicator</t>
  </si>
  <si>
    <t>avatar-offline</t>
  </si>
  <si>
    <t>shows a gray dot as offline indicator</t>
  </si>
  <si>
    <t>avatar-placeholder</t>
  </si>
  <si>
    <t>To show letters as avatar placeholder</t>
  </si>
  <si>
    <t>daisy</t>
  </si>
  <si>
    <t>.avatar</t>
  </si>
  <si>
    <t>.avatar-group</t>
  </si>
  <si>
    <t>.avatar-online</t>
  </si>
  <si>
    <t>.avatar-offline</t>
  </si>
  <si>
    <t>.avatar-placeholder</t>
  </si>
  <si>
    <t>badge-outline</t>
  </si>
  <si>
    <t>badge-dash</t>
  </si>
  <si>
    <t>badge-soft</t>
  </si>
  <si>
    <t>badge-ghost</t>
  </si>
  <si>
    <t>ghost style</t>
  </si>
  <si>
    <t>badge-neutral</t>
  </si>
  <si>
    <t>neutral color</t>
  </si>
  <si>
    <t>badge-primary</t>
  </si>
  <si>
    <t>primary color</t>
  </si>
  <si>
    <t>badge-secondary</t>
  </si>
  <si>
    <t>secondary color</t>
  </si>
  <si>
    <t>badge-accent</t>
  </si>
  <si>
    <t>accent color</t>
  </si>
  <si>
    <t>badge-info</t>
  </si>
  <si>
    <t>badge-success</t>
  </si>
  <si>
    <t>badge-warning</t>
  </si>
  <si>
    <t>badge-error</t>
  </si>
  <si>
    <t>badge-xs</t>
  </si>
  <si>
    <t>Size</t>
  </si>
  <si>
    <t>extra small size</t>
  </si>
  <si>
    <t>badge-sm</t>
  </si>
  <si>
    <t>small size</t>
  </si>
  <si>
    <t>badge-md</t>
  </si>
  <si>
    <t>medium size (default)</t>
  </si>
  <si>
    <t>badge-lg</t>
  </si>
  <si>
    <t>large size</t>
  </si>
  <si>
    <t>badge-xl</t>
  </si>
  <si>
    <t>extra large size</t>
  </si>
  <si>
    <t>.badge-outline</t>
  </si>
  <si>
    <t>.badge-dash</t>
  </si>
  <si>
    <t>.badge-soft</t>
  </si>
  <si>
    <t>.badge-ghost</t>
  </si>
  <si>
    <t>.badge-neutral</t>
  </si>
  <si>
    <t>.badge-accent</t>
  </si>
  <si>
    <t>.badge-error</t>
  </si>
  <si>
    <t>.badge-xs</t>
  </si>
  <si>
    <t>.badge-sm</t>
  </si>
  <si>
    <t>.badge-md</t>
  </si>
  <si>
    <t>.badge-lg</t>
  </si>
  <si>
    <t>.badge-xl</t>
  </si>
  <si>
    <t>.alert-outline</t>
  </si>
  <si>
    <t>.alert-dash</t>
  </si>
  <si>
    <t>.alert-soft</t>
  </si>
  <si>
    <t>.alert-error</t>
  </si>
  <si>
    <t>.alert-vertical</t>
  </si>
  <si>
    <t>.alert-horizontal</t>
  </si>
  <si>
    <t>.collapse-title</t>
  </si>
  <si>
    <t>.collapse-content</t>
  </si>
  <si>
    <t>.collapse-arrow</t>
  </si>
  <si>
    <t>.collapse-plus</t>
  </si>
  <si>
    <t>.collapse-open</t>
  </si>
  <si>
    <t>.collapse-close</t>
  </si>
  <si>
    <t>Badge</t>
  </si>
  <si>
    <t>breadcrumbs</t>
  </si>
  <si>
    <t>Wrapper around a &lt;ul&gt;</t>
  </si>
  <si>
    <t>.breadcrumbs</t>
  </si>
  <si>
    <t>btn-neutral</t>
  </si>
  <si>
    <t>btn-primary</t>
  </si>
  <si>
    <t>btn-secondary</t>
  </si>
  <si>
    <t>btn-accent</t>
  </si>
  <si>
    <t>btn-info</t>
  </si>
  <si>
    <t>btn-success</t>
  </si>
  <si>
    <t>btn-warning</t>
  </si>
  <si>
    <t>btn-error</t>
  </si>
  <si>
    <t>btn-outline</t>
  </si>
  <si>
    <t>btn-dash</t>
  </si>
  <si>
    <t>dash style</t>
  </si>
  <si>
    <t>btn-soft</t>
  </si>
  <si>
    <t>btn-ghost</t>
  </si>
  <si>
    <t>btn-link</t>
  </si>
  <si>
    <t>looks like a link</t>
  </si>
  <si>
    <t>btn-active</t>
  </si>
  <si>
    <t>Behavior</t>
  </si>
  <si>
    <t>looks active</t>
  </si>
  <si>
    <t>btn-disabled</t>
  </si>
  <si>
    <t>looks disabled</t>
  </si>
  <si>
    <t>btn-xs</t>
  </si>
  <si>
    <t>Extra small size</t>
  </si>
  <si>
    <t>btn-sm</t>
  </si>
  <si>
    <t>Small size</t>
  </si>
  <si>
    <t>btn-md</t>
  </si>
  <si>
    <t>Medium size (default)</t>
  </si>
  <si>
    <t>btn-lg</t>
  </si>
  <si>
    <t>Large size</t>
  </si>
  <si>
    <t>btn-xl</t>
  </si>
  <si>
    <t>Extra large size</t>
  </si>
  <si>
    <t>btn-wide</t>
  </si>
  <si>
    <t>more horizontal padding</t>
  </si>
  <si>
    <t>btn-block</t>
  </si>
  <si>
    <t>Full width</t>
  </si>
  <si>
    <t>btn-square</t>
  </si>
  <si>
    <t>1:1 ratio</t>
  </si>
  <si>
    <t>btn-circle</t>
  </si>
  <si>
    <t>1:1 ratio with rounded corners</t>
  </si>
  <si>
    <t>.btn-neutral</t>
  </si>
  <si>
    <t>.btn-accent</t>
  </si>
  <si>
    <t>.btn-error</t>
  </si>
  <si>
    <t>.btn-outline</t>
  </si>
  <si>
    <t>.btn-dash</t>
  </si>
  <si>
    <t>.btn-soft</t>
  </si>
  <si>
    <t>.btn-ghost</t>
  </si>
  <si>
    <t>.btn-active</t>
  </si>
  <si>
    <t>.btn-disabled</t>
  </si>
  <si>
    <t>.btn-xs</t>
  </si>
  <si>
    <t>.btn-md</t>
  </si>
  <si>
    <t>.btn-xl</t>
  </si>
  <si>
    <t>.btn-wide</t>
  </si>
  <si>
    <t>.btn-square</t>
  </si>
  <si>
    <t>.btn-circle</t>
  </si>
  <si>
    <t>cally</t>
  </si>
  <si>
    <t>for Cally web component</t>
  </si>
  <si>
    <t>pika-single</t>
  </si>
  <si>
    <t>for the input field that opens Pikaday calendar</t>
  </si>
  <si>
    <t>react-day-picker</t>
  </si>
  <si>
    <t>for the DayPicker component</t>
  </si>
  <si>
    <t>Calendar</t>
  </si>
  <si>
    <t>card-title</t>
  </si>
  <si>
    <t>card-body</t>
  </si>
  <si>
    <t>Body part (content)</t>
  </si>
  <si>
    <t>card-actions</t>
  </si>
  <si>
    <t>Actions part (buttons, etc.)</t>
  </si>
  <si>
    <t>card-border</t>
  </si>
  <si>
    <t>Adds border to &lt;card&gt;</t>
  </si>
  <si>
    <t>card-dash</t>
  </si>
  <si>
    <t>card-side</t>
  </si>
  <si>
    <t>The image in &lt;figure&gt; will be on to the side</t>
  </si>
  <si>
    <t>image-full</t>
  </si>
  <si>
    <t>The image in &lt;figure&gt; element will be the background</t>
  </si>
  <si>
    <t>card-xs</t>
  </si>
  <si>
    <t>card-sm</t>
  </si>
  <si>
    <t>card-md</t>
  </si>
  <si>
    <t>card-lg</t>
  </si>
  <si>
    <t>card-xl</t>
  </si>
  <si>
    <t>.card-actions</t>
  </si>
  <si>
    <t>.card-border</t>
  </si>
  <si>
    <t>.card-dash</t>
  </si>
  <si>
    <t>.card-side</t>
  </si>
  <si>
    <t>.image-full</t>
  </si>
  <si>
    <t>.card-xs</t>
  </si>
  <si>
    <t>.card-sm</t>
  </si>
  <si>
    <t>.card-md</t>
  </si>
  <si>
    <t>.card-lg</t>
  </si>
  <si>
    <t>.card-xl</t>
  </si>
  <si>
    <t>Carousel container</t>
  </si>
  <si>
    <t>carousel-item</t>
  </si>
  <si>
    <t>Carousel item</t>
  </si>
  <si>
    <t>carousel-start</t>
  </si>
  <si>
    <t>Snap elements to start [Default]</t>
  </si>
  <si>
    <t>carousel-center</t>
  </si>
  <si>
    <t>Snap elements to center</t>
  </si>
  <si>
    <t>carousel-end</t>
  </si>
  <si>
    <t>Snap elements to end</t>
  </si>
  <si>
    <t>carousel-horizontal</t>
  </si>
  <si>
    <t>Horizontal layout (default)</t>
  </si>
  <si>
    <t>carousel-vertical</t>
  </si>
  <si>
    <t>Vertical layout</t>
  </si>
  <si>
    <t>.carousel-start</t>
  </si>
  <si>
    <t>.carousel-center</t>
  </si>
  <si>
    <t>.carousel-end</t>
  </si>
  <si>
    <t>.carousel-horizontal</t>
  </si>
  <si>
    <t>.carousel-vertical</t>
  </si>
  <si>
    <t>chat</t>
  </si>
  <si>
    <t>Container for one line of conversation and its data</t>
  </si>
  <si>
    <t>chat-image</t>
  </si>
  <si>
    <t>Author image</t>
  </si>
  <si>
    <t>chat-header</t>
  </si>
  <si>
    <t>Text above the chat bubble</t>
  </si>
  <si>
    <t>chat-footer</t>
  </si>
  <si>
    <t>Text below the chat bubble</t>
  </si>
  <si>
    <t>chat-bubble</t>
  </si>
  <si>
    <t>Chat bubble</t>
  </si>
  <si>
    <t>chat-start</t>
  </si>
  <si>
    <t>Placement</t>
  </si>
  <si>
    <t>Aligns chat to start horizontally (required)</t>
  </si>
  <si>
    <t>chat-end</t>
  </si>
  <si>
    <t>Aligns chat to end horizontally (required)</t>
  </si>
  <si>
    <t>chat-bubble-neutral</t>
  </si>
  <si>
    <t>neutral color for chat-bubble</t>
  </si>
  <si>
    <t>chat-bubble-primary</t>
  </si>
  <si>
    <t>primary color for chat-bubble</t>
  </si>
  <si>
    <t>chat-bubble-secondary</t>
  </si>
  <si>
    <t>secondary color for chat-bubble</t>
  </si>
  <si>
    <t>chat-bubble-accent</t>
  </si>
  <si>
    <t>accent color for chat-bubble</t>
  </si>
  <si>
    <t>chat-bubble-info</t>
  </si>
  <si>
    <t>info color for chat-bubble</t>
  </si>
  <si>
    <t>chat-bubble-success</t>
  </si>
  <si>
    <t>success color for chat-bubble</t>
  </si>
  <si>
    <t>chat-bubble-warning</t>
  </si>
  <si>
    <t>warning color for chat-bubble</t>
  </si>
  <si>
    <t>chat-bubble-error</t>
  </si>
  <si>
    <t>error color for chat-bubble</t>
  </si>
  <si>
    <t>Chat</t>
  </si>
  <si>
    <t>.chat</t>
  </si>
  <si>
    <t>.chat-image</t>
  </si>
  <si>
    <t>.chat-header</t>
  </si>
  <si>
    <t>.chat-footer</t>
  </si>
  <si>
    <t>.chat-bubble</t>
  </si>
  <si>
    <t>.chat-start</t>
  </si>
  <si>
    <t>.chat-end</t>
  </si>
  <si>
    <t>.chat-bubble-neutral</t>
  </si>
  <si>
    <t>.chat-bubble-primary</t>
  </si>
  <si>
    <t>.chat-bubble-secondary</t>
  </si>
  <si>
    <t>.chat-bubble-accent</t>
  </si>
  <si>
    <t>.chat-bubble-info</t>
  </si>
  <si>
    <t>.chat-bubble-success</t>
  </si>
  <si>
    <t>.chat-bubble-warning</t>
  </si>
  <si>
    <t>.chat-bubble-error</t>
  </si>
  <si>
    <t>checkbox-primary</t>
  </si>
  <si>
    <t>checkbox-secondary</t>
  </si>
  <si>
    <t>checkbox-accent</t>
  </si>
  <si>
    <t>checkbox-neutral</t>
  </si>
  <si>
    <t>checkbox-success</t>
  </si>
  <si>
    <t>checkbox-warning</t>
  </si>
  <si>
    <t>checkbox-info</t>
  </si>
  <si>
    <t>checkbox-error</t>
  </si>
  <si>
    <t>checkbox-xs</t>
  </si>
  <si>
    <t>checkbox-sm</t>
  </si>
  <si>
    <t>checkbox-md</t>
  </si>
  <si>
    <t>Medium size [Default]</t>
  </si>
  <si>
    <t>checkbox-lg</t>
  </si>
  <si>
    <t>checkbox-xl</t>
  </si>
  <si>
    <t>Checkbox</t>
  </si>
  <si>
    <t>countdown</t>
  </si>
  <si>
    <t>Countdown wrapper</t>
  </si>
  <si>
    <t>Countdown</t>
  </si>
  <si>
    <t>diff</t>
  </si>
  <si>
    <t>diff-item-1</t>
  </si>
  <si>
    <t>First item</t>
  </si>
  <si>
    <t>diff-item-2</t>
  </si>
  <si>
    <t>Second item</t>
  </si>
  <si>
    <t>diff-resizer</t>
  </si>
  <si>
    <t>The resizer control</t>
  </si>
  <si>
    <t>Diff</t>
  </si>
  <si>
    <t>A divider line between two elements</t>
  </si>
  <si>
    <t>divider-neutral</t>
  </si>
  <si>
    <t>divider-primary</t>
  </si>
  <si>
    <t>divider-secondary</t>
  </si>
  <si>
    <t>divider-accent</t>
  </si>
  <si>
    <t>divider-success</t>
  </si>
  <si>
    <t>divider-warning</t>
  </si>
  <si>
    <t>divider-info</t>
  </si>
  <si>
    <t>divider-error</t>
  </si>
  <si>
    <t>divider-vertical</t>
  </si>
  <si>
    <t>Divide vertical elements (on top of each other) [Default]</t>
  </si>
  <si>
    <t>divider-horizontal</t>
  </si>
  <si>
    <t>Divide horizontal elements (next to each other)</t>
  </si>
  <si>
    <t>divider-start</t>
  </si>
  <si>
    <t>Pushes the divider text to the start</t>
  </si>
  <si>
    <t>divider-end</t>
  </si>
  <si>
    <t>Pushes the divider text to the end</t>
  </si>
  <si>
    <t>Divider</t>
  </si>
  <si>
    <t>dock</t>
  </si>
  <si>
    <t>Dock</t>
  </si>
  <si>
    <t>dock-label</t>
  </si>
  <si>
    <t>Text label for Dock Item</t>
  </si>
  <si>
    <t>dock-active</t>
  </si>
  <si>
    <t>Makes the Dock Item look active</t>
  </si>
  <si>
    <t>dock-xs</t>
  </si>
  <si>
    <t>Extra Small Dock</t>
  </si>
  <si>
    <t>dock-sm</t>
  </si>
  <si>
    <t>Small Dock</t>
  </si>
  <si>
    <t>dock-md</t>
  </si>
  <si>
    <t>Medium Dock [Default]</t>
  </si>
  <si>
    <t>dock-lg</t>
  </si>
  <si>
    <t>Large Dock</t>
  </si>
  <si>
    <t>dock-xl</t>
  </si>
  <si>
    <t>Extra Large Dock</t>
  </si>
  <si>
    <t>drawer</t>
  </si>
  <si>
    <t>The wrapper for sidebar and content</t>
  </si>
  <si>
    <t>drawer-toggle</t>
  </si>
  <si>
    <t>The hidden checkbox that controls the state of drawer</t>
  </si>
  <si>
    <t>drawer-content</t>
  </si>
  <si>
    <t>drawer-side</t>
  </si>
  <si>
    <t>Sidebar part</t>
  </si>
  <si>
    <t>drawer-overlay</t>
  </si>
  <si>
    <t>Label that covers the page when drawer is open</t>
  </si>
  <si>
    <t>drawer-end</t>
  </si>
  <si>
    <t>puts drawer to the other side</t>
  </si>
  <si>
    <t>drawer-open</t>
  </si>
  <si>
    <t>Forces the drawer to be open</t>
  </si>
  <si>
    <t>is-drawer-open:</t>
  </si>
  <si>
    <t>Variant</t>
  </si>
  <si>
    <t>Applies styles when the drawer is open</t>
  </si>
  <si>
    <t>is-drawer-close:</t>
  </si>
  <si>
    <t>Applies styles when the drawer is closed</t>
  </si>
  <si>
    <t>Drawer sidebar</t>
  </si>
  <si>
    <t>Dropdown container</t>
  </si>
  <si>
    <t>dropdown-content</t>
  </si>
  <si>
    <t>dropdown-start</t>
  </si>
  <si>
    <t>Align horizontally to start of button [Default]</t>
  </si>
  <si>
    <t>dropdown-center</t>
  </si>
  <si>
    <t>Align horizontally to center of button</t>
  </si>
  <si>
    <t>dropdown-end</t>
  </si>
  <si>
    <t>Align horizontally to end of button</t>
  </si>
  <si>
    <t>dropdown-top</t>
  </si>
  <si>
    <t>Open from top</t>
  </si>
  <si>
    <t>dropdown-bottom</t>
  </si>
  <si>
    <t>Open from bottom [Default]</t>
  </si>
  <si>
    <t>dropdown-left</t>
  </si>
  <si>
    <t>Open from left</t>
  </si>
  <si>
    <t>dropdown-right</t>
  </si>
  <si>
    <t>Open from right</t>
  </si>
  <si>
    <t>dropdown-hover</t>
  </si>
  <si>
    <t>Opens on hover too</t>
  </si>
  <si>
    <t>dropdown-open</t>
  </si>
  <si>
    <t>dropdown-close</t>
  </si>
  <si>
    <t>fab</t>
  </si>
  <si>
    <t>Container element. It includes a focusable div like &lt;div tabindex="0" role="button" class="btn btn-circle"&gt;A&lt;/div&gt; and when it gets clicked of focused, it shows more floating buttons</t>
  </si>
  <si>
    <t>fab-close</t>
  </si>
  <si>
    <t>Optional class for a close button (or a wrapper of a close button)</t>
  </si>
  <si>
    <t>fab-main-action</t>
  </si>
  <si>
    <t>Optional class for the main action button (or a wrapper of the main action button). Either use fab-close or fab-main-action, not both</t>
  </si>
  <si>
    <t>fab-flower</t>
  </si>
  <si>
    <t>Modifier class for fab to make it open in a quarter circle arrangement instead of vertical</t>
  </si>
  <si>
    <t>FAB / Speed Dial</t>
  </si>
  <si>
    <t>for the fieldset container</t>
  </si>
  <si>
    <t>label for inputs</t>
  </si>
  <si>
    <t>fieldset-legend</t>
  </si>
  <si>
    <t>for the title of the fieldset</t>
  </si>
  <si>
    <t>Fieldset</t>
  </si>
  <si>
    <t>file-input</t>
  </si>
  <si>
    <t>For &lt;input type="file"&gt; element</t>
  </si>
  <si>
    <t>file-input-ghost</t>
  </si>
  <si>
    <t>file-input-neutral</t>
  </si>
  <si>
    <t>file-input-primary</t>
  </si>
  <si>
    <t>file-input-secondary</t>
  </si>
  <si>
    <t>file-input-accent</t>
  </si>
  <si>
    <t>file-input-info</t>
  </si>
  <si>
    <t>file-input-success</t>
  </si>
  <si>
    <t>file-input-warning</t>
  </si>
  <si>
    <t>file-input-error</t>
  </si>
  <si>
    <t>file-input-xs</t>
  </si>
  <si>
    <t>file-input-sm</t>
  </si>
  <si>
    <t>file-input-md</t>
  </si>
  <si>
    <t>file-input-lg</t>
  </si>
  <si>
    <t>file-input-xl</t>
  </si>
  <si>
    <t>File Input</t>
  </si>
  <si>
    <t>filter</t>
  </si>
  <si>
    <t>For a HTML &lt;form&gt; or a &lt;div&gt; element that includes radio buttons for filtering items</t>
  </si>
  <si>
    <t>filter-reset</t>
  </si>
  <si>
    <t>An alternative to the reset button if you can't use a HTML form</t>
  </si>
  <si>
    <t>Filter</t>
  </si>
  <si>
    <t>footer-title</t>
  </si>
  <si>
    <t>Title of a footer column</t>
  </si>
  <si>
    <t>footer-center</t>
  </si>
  <si>
    <t>Aligns footer content to center</t>
  </si>
  <si>
    <t>footer-horizontal</t>
  </si>
  <si>
    <t>Puts footer columns next to each other horizontally</t>
  </si>
  <si>
    <t>footer-vertical</t>
  </si>
  <si>
    <t>Puts footer columns under each other vertically [Default]</t>
  </si>
  <si>
    <t>Hero container</t>
  </si>
  <si>
    <t>hero-content</t>
  </si>
  <si>
    <t>content part</t>
  </si>
  <si>
    <t>hero-overlay</t>
  </si>
  <si>
    <t>Overlay that covers the background image</t>
  </si>
  <si>
    <t>Container element that sticks to the corner of page</t>
  </si>
  <si>
    <t>toast-start</t>
  </si>
  <si>
    <t>align horizontally to the left</t>
  </si>
  <si>
    <t>toast-center</t>
  </si>
  <si>
    <t>align horizontally to the center</t>
  </si>
  <si>
    <t>toast-end</t>
  </si>
  <si>
    <t>align horizontally to the right [Default]</t>
  </si>
  <si>
    <t>toast-top</t>
  </si>
  <si>
    <t>align vertically to top</t>
  </si>
  <si>
    <t>toast-middle</t>
  </si>
  <si>
    <t>align vertically to middle</t>
  </si>
  <si>
    <t>toast-bottom</t>
  </si>
  <si>
    <t>align vertically to bottom [Default]</t>
  </si>
  <si>
    <t>.toast-start</t>
  </si>
  <si>
    <t>.toast-center</t>
  </si>
  <si>
    <t>.toast-end</t>
  </si>
  <si>
    <t>.toast-top</t>
  </si>
  <si>
    <t>.toast-middle</t>
  </si>
  <si>
    <t>.toast-bottom</t>
  </si>
  <si>
    <t>For &lt;input type="checkbox"&gt;</t>
  </si>
  <si>
    <t>toggle-primary</t>
  </si>
  <si>
    <t>toggle-secondary</t>
  </si>
  <si>
    <t>toggle-accent</t>
  </si>
  <si>
    <t>toggle-neutral</t>
  </si>
  <si>
    <t>toggle-success</t>
  </si>
  <si>
    <t>toggle-warning</t>
  </si>
  <si>
    <t>toggle-info</t>
  </si>
  <si>
    <t>toggle-error</t>
  </si>
  <si>
    <t>toggle-xs</t>
  </si>
  <si>
    <t>toggle-sm</t>
  </si>
  <si>
    <t>toggle-md</t>
  </si>
  <si>
    <t>toggle-lg</t>
  </si>
  <si>
    <t>toggle-xl</t>
  </si>
  <si>
    <t>Toggle</t>
  </si>
  <si>
    <t>tooltip-content</t>
  </si>
  <si>
    <t>Optional. Setting a div as the content of the tooltip instead of the `data-tip` text</t>
  </si>
  <si>
    <t>tooltip-top</t>
  </si>
  <si>
    <t>Put tooltip on top [Default]</t>
  </si>
  <si>
    <t>tooltip-bottom</t>
  </si>
  <si>
    <t>Put tooltip on bottom</t>
  </si>
  <si>
    <t>tooltip-left</t>
  </si>
  <si>
    <t>Put tooltip on left</t>
  </si>
  <si>
    <t>tooltip-right</t>
  </si>
  <si>
    <t>Put tooltip on right</t>
  </si>
  <si>
    <t>tooltip-open</t>
  </si>
  <si>
    <t>Force open tooltip</t>
  </si>
  <si>
    <t>tooltip-neutral</t>
  </si>
  <si>
    <t>tooltip-primary</t>
  </si>
  <si>
    <t>tooltip-secondary</t>
  </si>
  <si>
    <t>tooltip-accent</t>
  </si>
  <si>
    <t>tooltip-info</t>
  </si>
  <si>
    <t>tooltip-success</t>
  </si>
  <si>
    <t>tooltip-warning</t>
  </si>
  <si>
    <t>tooltip-error</t>
  </si>
  <si>
    <t>Tooltip</t>
  </si>
  <si>
    <t>.tooltip-content</t>
  </si>
  <si>
    <t>.tooltip-top</t>
  </si>
  <si>
    <t>.tooltip-bottom</t>
  </si>
  <si>
    <t>.tooltip-left</t>
  </si>
  <si>
    <t>.tooltip-right</t>
  </si>
  <si>
    <t>.tooltip-open</t>
  </si>
  <si>
    <t>.tooltip-neutral</t>
  </si>
  <si>
    <t>.tooltip-primary</t>
  </si>
  <si>
    <t>.tooltip-secondary</t>
  </si>
  <si>
    <t>.tooltip-accent</t>
  </si>
  <si>
    <t>.tooltip-info</t>
  </si>
  <si>
    <t>.tooltip-success</t>
  </si>
  <si>
    <t>.tooltip-warning</t>
  </si>
  <si>
    <t>.tooltip-error</t>
  </si>
  <si>
    <t>validator</t>
  </si>
  <si>
    <t>For input, select, textarea</t>
  </si>
  <si>
    <t>validator-hint</t>
  </si>
  <si>
    <t>for the hint text that appears after the input if it's invalid</t>
  </si>
  <si>
    <t>Validator</t>
  </si>
  <si>
    <t>join</t>
  </si>
  <si>
    <t>For grouping multiple items</t>
  </si>
  <si>
    <t>join-item</t>
  </si>
  <si>
    <t>Item inside join. Can be a button, input, etc.</t>
  </si>
  <si>
    <t>join-vertical</t>
  </si>
  <si>
    <t>Show items vertically</t>
  </si>
  <si>
    <t>join-horizontal</t>
  </si>
  <si>
    <t>Show items horizontally</t>
  </si>
  <si>
    <t>.join</t>
  </si>
  <si>
    <t>.join-item</t>
  </si>
  <si>
    <t>.join-vertical</t>
  </si>
  <si>
    <t>.join-horizontal</t>
  </si>
  <si>
    <t>Container of multiple tab items</t>
  </si>
  <si>
    <t>A single tab button (can be button, link, div, radio input, etc)</t>
  </si>
  <si>
    <t>tab-content</t>
  </si>
  <si>
    <t>Tab content that comes immediately after a tab</t>
  </si>
  <si>
    <t>tabs-box</t>
  </si>
  <si>
    <t>box style</t>
  </si>
  <si>
    <t>tabs-border</t>
  </si>
  <si>
    <t>bottom border style</t>
  </si>
  <si>
    <t>tabs-lift</t>
  </si>
  <si>
    <t>lift style</t>
  </si>
  <si>
    <t>tab-active</t>
  </si>
  <si>
    <t>Makes a single tab look active</t>
  </si>
  <si>
    <t>tab-disabled</t>
  </si>
  <si>
    <t>Makes a single tab look disabled</t>
  </si>
  <si>
    <t>tabs-top</t>
  </si>
  <si>
    <t>Puts tab buttons on top of the tab-content (default)</t>
  </si>
  <si>
    <t>tabs-bottom</t>
  </si>
  <si>
    <t>Puts tabs on under the tab-content</t>
  </si>
  <si>
    <t>tabs-xs</t>
  </si>
  <si>
    <t>tabs-sm</t>
  </si>
  <si>
    <t>tabs-md</t>
  </si>
  <si>
    <t>tabs-lg</t>
  </si>
  <si>
    <t>tabs-xl</t>
  </si>
  <si>
    <t>.tab</t>
  </si>
  <si>
    <t>.tabs-box</t>
  </si>
  <si>
    <t>.tabs-border</t>
  </si>
  <si>
    <t>.tabs-lift</t>
  </si>
  <si>
    <t>.tab-active</t>
  </si>
  <si>
    <t>.tab-disabled</t>
  </si>
  <si>
    <t>.tabs-top</t>
  </si>
  <si>
    <t>.tabs-bottom</t>
  </si>
  <si>
    <t>.tabs-xs</t>
  </si>
  <si>
    <t>.tabs-sm</t>
  </si>
  <si>
    <t>.tabs-md</t>
  </si>
  <si>
    <t>.tabs-lg</t>
  </si>
  <si>
    <t>.tabs-xl</t>
  </si>
  <si>
    <t>For &lt;textarea&gt; element</t>
  </si>
  <si>
    <t>textarea-ghost</t>
  </si>
  <si>
    <t>textarea-neutral</t>
  </si>
  <si>
    <t>textarea-primary</t>
  </si>
  <si>
    <t>textarea-secondary</t>
  </si>
  <si>
    <t>textarea-accent</t>
  </si>
  <si>
    <t>textarea-info</t>
  </si>
  <si>
    <t>textarea-success</t>
  </si>
  <si>
    <t>textarea-warning</t>
  </si>
  <si>
    <t>textarea-error</t>
  </si>
  <si>
    <t>textarea-xs</t>
  </si>
  <si>
    <t>textarea-sm</t>
  </si>
  <si>
    <t>textarea-md</t>
  </si>
  <si>
    <t>textarea-lg</t>
  </si>
  <si>
    <t>textarea-xl</t>
  </si>
  <si>
    <t>Textarea</t>
  </si>
  <si>
    <t>.textarea-ghost</t>
  </si>
  <si>
    <t>.textarea-neutral</t>
  </si>
  <si>
    <t>.textarea-primary</t>
  </si>
  <si>
    <t>.textarea-secondary</t>
  </si>
  <si>
    <t>.textarea-accent</t>
  </si>
  <si>
    <t>.textarea-info</t>
  </si>
  <si>
    <t>.textarea-success</t>
  </si>
  <si>
    <t>.textarea-warning</t>
  </si>
  <si>
    <t>.textarea-error</t>
  </si>
  <si>
    <t>.textarea-xs</t>
  </si>
  <si>
    <t>.textarea-sm</t>
  </si>
  <si>
    <t>.textarea-md</t>
  </si>
  <si>
    <t>.textarea-lg</t>
  </si>
  <si>
    <t>.textarea-xl</t>
  </si>
  <si>
    <t>hover-3d</t>
  </si>
  <si>
    <t>Hover 3D wrapper component</t>
  </si>
  <si>
    <t>Hover 3D Card</t>
  </si>
  <si>
    <t>hover-gallery</t>
  </si>
  <si>
    <t>Container &lt;div&gt; or &lt;figure&gt; that includes images</t>
  </si>
  <si>
    <t>Hover Gallery</t>
  </si>
  <si>
    <t>indicator</t>
  </si>
  <si>
    <t>indicator-item</t>
  </si>
  <si>
    <t>will be placed on the corner of sibling</t>
  </si>
  <si>
    <t>indicator-start</t>
  </si>
  <si>
    <t>align horizontally to the start</t>
  </si>
  <si>
    <t>indicator-center</t>
  </si>
  <si>
    <t>indicator-end</t>
  </si>
  <si>
    <t>align horizontally to the end [Default]</t>
  </si>
  <si>
    <t>indicator-top</t>
  </si>
  <si>
    <t>align vertically to top [Default]</t>
  </si>
  <si>
    <t>indicator-middle</t>
  </si>
  <si>
    <t>indicator-bottom</t>
  </si>
  <si>
    <t>align vertically to bottom</t>
  </si>
  <si>
    <t>Indicator</t>
  </si>
  <si>
    <t>.indicator</t>
  </si>
  <si>
    <t>.indicator-item</t>
  </si>
  <si>
    <t>.indicator-start</t>
  </si>
  <si>
    <t>.indicator-center</t>
  </si>
  <si>
    <t>.indicator-end</t>
  </si>
  <si>
    <t>.indicator-top</t>
  </si>
  <si>
    <t>.indicator-middle</t>
  </si>
  <si>
    <t>.indicator-bottom</t>
  </si>
  <si>
    <t>For &lt;input type="text"&gt; tag or a wrapper of &lt;input type="text"&gt; tag</t>
  </si>
  <si>
    <t>input-ghost</t>
  </si>
  <si>
    <t>input-neutral</t>
  </si>
  <si>
    <t>input-primary</t>
  </si>
  <si>
    <t>input-secondary</t>
  </si>
  <si>
    <t>input-accent</t>
  </si>
  <si>
    <t>input-info</t>
  </si>
  <si>
    <t>input-success</t>
  </si>
  <si>
    <t>input-warning</t>
  </si>
  <si>
    <t>input-error</t>
  </si>
  <si>
    <t>input-xs</t>
  </si>
  <si>
    <t>input-sm</t>
  </si>
  <si>
    <t>input-md</t>
  </si>
  <si>
    <t>input-lg</t>
  </si>
  <si>
    <t>input-xl</t>
  </si>
  <si>
    <t>Text Input</t>
  </si>
  <si>
    <t>.input-ghost</t>
  </si>
  <si>
    <t>.input-neutral</t>
  </si>
  <si>
    <t>.input-primary</t>
  </si>
  <si>
    <t>.input-secondary</t>
  </si>
  <si>
    <t>.input-accent</t>
  </si>
  <si>
    <t>.input-info</t>
  </si>
  <si>
    <t>.input-success</t>
  </si>
  <si>
    <t>.input-warning</t>
  </si>
  <si>
    <t>.input-error</t>
  </si>
  <si>
    <t>.input-xs</t>
  </si>
  <si>
    <t>.input-sm</t>
  </si>
  <si>
    <t>.input-md</t>
  </si>
  <si>
    <t>.input-lg</t>
  </si>
  <si>
    <t>.input-xl</t>
  </si>
  <si>
    <t>Do show a keyboard key or a shortcut key</t>
  </si>
  <si>
    <t>kbd-xs</t>
  </si>
  <si>
    <t>kbd-sm</t>
  </si>
  <si>
    <t>kbd-md</t>
  </si>
  <si>
    <t>kbd-lg</t>
  </si>
  <si>
    <t>kbd-xl</t>
  </si>
  <si>
    <t>Kbd</t>
  </si>
  <si>
    <t>.kbd</t>
  </si>
  <si>
    <t>.kbd-xs</t>
  </si>
  <si>
    <t>.kbd-sm</t>
  </si>
  <si>
    <t>.kbd-md</t>
  </si>
  <si>
    <t>.kbd-lg</t>
  </si>
  <si>
    <t>.kbd-xl</t>
  </si>
  <si>
    <t>For styling the text next to an input field (or select)</t>
  </si>
  <si>
    <t>floating-label</t>
  </si>
  <si>
    <t>For the parent of an input field (or select) and a span that floats above the input field when the field is focused</t>
  </si>
  <si>
    <t>.floating-label</t>
  </si>
  <si>
    <t>Adds underline</t>
  </si>
  <si>
    <t>link-hover</t>
  </si>
  <si>
    <t>Only shows underline on hover</t>
  </si>
  <si>
    <t>link-neutral</t>
  </si>
  <si>
    <t>link-primary</t>
  </si>
  <si>
    <t>link-secondary</t>
  </si>
  <si>
    <t>link-accent</t>
  </si>
  <si>
    <t>link-success</t>
  </si>
  <si>
    <t>link-info</t>
  </si>
  <si>
    <t>link-warning</t>
  </si>
  <si>
    <t>link-error</t>
  </si>
  <si>
    <t>Link</t>
  </si>
  <si>
    <t>.link</t>
  </si>
  <si>
    <t>.link-hover</t>
  </si>
  <si>
    <t>.link-neutral</t>
  </si>
  <si>
    <t>.link-accent</t>
  </si>
  <si>
    <t>.link-error</t>
  </si>
  <si>
    <t>A vertical flex layout to include list rows</t>
  </si>
  <si>
    <t>list-row</t>
  </si>
  <si>
    <t>The item inside list. A horizontal grid layout to include data</t>
  </si>
  <si>
    <t>list-col-wrap</t>
  </si>
  <si>
    <t>For one of direct children of list-row to push it to the next line</t>
  </si>
  <si>
    <t>list-col-grow</t>
  </si>
  <si>
    <t>For one of direct children of list-row to make it fill the remaining space</t>
  </si>
  <si>
    <t>.list-row</t>
  </si>
  <si>
    <t>.list-col-wrap</t>
  </si>
  <si>
    <t>.list-col-grow</t>
  </si>
  <si>
    <t>.toggle</t>
  </si>
  <si>
    <t>.toggle-primary</t>
  </si>
  <si>
    <t>.toggle-secondary</t>
  </si>
  <si>
    <t>.toggle-accent</t>
  </si>
  <si>
    <t>.toggle-neutral</t>
  </si>
  <si>
    <t>.toggle-success</t>
  </si>
  <si>
    <t>.toggle-warning</t>
  </si>
  <si>
    <t>.toggle-info</t>
  </si>
  <si>
    <t>.toggle-error</t>
  </si>
  <si>
    <t>.toggle-xs</t>
  </si>
  <si>
    <t>.toggle-sm</t>
  </si>
  <si>
    <t>.toggle-md</t>
  </si>
  <si>
    <t>.toggle-lg</t>
  </si>
  <si>
    <t>.toggle-xl</t>
  </si>
  <si>
    <t>.checkbox-primary</t>
  </si>
  <si>
    <t>.checkbox-secondary</t>
  </si>
  <si>
    <t>.checkbox-accent</t>
  </si>
  <si>
    <t>.checkbox-neutral</t>
  </si>
  <si>
    <t>.checkbox-success</t>
  </si>
  <si>
    <t>.checkbox-warning</t>
  </si>
  <si>
    <t>.checkbox-info</t>
  </si>
  <si>
    <t>.checkbox-error</t>
  </si>
  <si>
    <t>.checkbox-xs</t>
  </si>
  <si>
    <t>.checkbox-sm</t>
  </si>
  <si>
    <t>.checkbox-md</t>
  </si>
  <si>
    <t>.checkbox-lg</t>
  </si>
  <si>
    <t>.checkbox-xl</t>
  </si>
  <si>
    <t>.countdown</t>
  </si>
  <si>
    <t>.diff</t>
  </si>
  <si>
    <t>.diff-item-1</t>
  </si>
  <si>
    <t>.diff-item-2</t>
  </si>
  <si>
    <t>.diff-resizer</t>
  </si>
  <si>
    <t>.divider</t>
  </si>
  <si>
    <t>.divider-neutral</t>
  </si>
  <si>
    <t>.divider-primary</t>
  </si>
  <si>
    <t>.divider-secondary</t>
  </si>
  <si>
    <t>.divider-accent</t>
  </si>
  <si>
    <t>.divider-success</t>
  </si>
  <si>
    <t>.divider-warning</t>
  </si>
  <si>
    <t>.divider-info</t>
  </si>
  <si>
    <t>.divider-error</t>
  </si>
  <si>
    <t>.divider-vertical</t>
  </si>
  <si>
    <t>.divider-horizontal</t>
  </si>
  <si>
    <t>.divider-start</t>
  </si>
  <si>
    <t>.divider-end</t>
  </si>
  <si>
    <t>.dock</t>
  </si>
  <si>
    <t>.dock-label</t>
  </si>
  <si>
    <t>.dock-active</t>
  </si>
  <si>
    <t>.dock-xs</t>
  </si>
  <si>
    <t>.dock-sm</t>
  </si>
  <si>
    <t>.dock-md</t>
  </si>
  <si>
    <t>.dock-lg</t>
  </si>
  <si>
    <t>.dock-xl</t>
  </si>
  <si>
    <t>.drawer</t>
  </si>
  <si>
    <t>.drawer-toggle</t>
  </si>
  <si>
    <t>.drawer-content</t>
  </si>
  <si>
    <t>.drawer-side</t>
  </si>
  <si>
    <t>.drawer-overlay</t>
  </si>
  <si>
    <t>.drawer-end</t>
  </si>
  <si>
    <t>.drawer-open</t>
  </si>
  <si>
    <t>.is-drawer-open:</t>
  </si>
  <si>
    <t>.is-drawer-close:</t>
  </si>
  <si>
    <t>.dropdown-start</t>
  </si>
  <si>
    <t>.dropdown-center</t>
  </si>
  <si>
    <t>.dropdown-end</t>
  </si>
  <si>
    <t>.dropdown-top</t>
  </si>
  <si>
    <t>.dropdown-bottom</t>
  </si>
  <si>
    <t>.dropdown-left</t>
  </si>
  <si>
    <t>.dropdown-right</t>
  </si>
  <si>
    <t>.dropdown-hover</t>
  </si>
  <si>
    <t>.dropdown-open</t>
  </si>
  <si>
    <t>.dropdown-close</t>
  </si>
  <si>
    <t>.fab</t>
  </si>
  <si>
    <t>.fab-close</t>
  </si>
  <si>
    <t>.fab-main-action</t>
  </si>
  <si>
    <t>.fab-flower</t>
  </si>
  <si>
    <t>dial</t>
  </si>
  <si>
    <t>.fieldset</t>
  </si>
  <si>
    <t>.fieldset-legend</t>
  </si>
  <si>
    <t>.file-input-ghost</t>
  </si>
  <si>
    <t>.file-input-neutral</t>
  </si>
  <si>
    <t>.file-input-primary</t>
  </si>
  <si>
    <t>.file-input-secondary</t>
  </si>
  <si>
    <t>.file-input-accent</t>
  </si>
  <si>
    <t>.file-input-info</t>
  </si>
  <si>
    <t>.file-input-success</t>
  </si>
  <si>
    <t>.file-input-warning</t>
  </si>
  <si>
    <t>.file-input-error</t>
  </si>
  <si>
    <t>.file-input-xs</t>
  </si>
  <si>
    <t>.file-input-sm</t>
  </si>
  <si>
    <t>.file-input-md</t>
  </si>
  <si>
    <t>.file-input-lg</t>
  </si>
  <si>
    <t>.file-input-xl</t>
  </si>
  <si>
    <t>.filter</t>
  </si>
  <si>
    <t>.filter-reset</t>
  </si>
  <si>
    <t>.footer-title</t>
  </si>
  <si>
    <t>.footer-center</t>
  </si>
  <si>
    <t>.footer-horizontal</t>
  </si>
  <si>
    <t>.footer-vertical</t>
  </si>
  <si>
    <t>.hero-content</t>
  </si>
  <si>
    <t>.hero-overlay</t>
  </si>
  <si>
    <t>Loading element</t>
  </si>
  <si>
    <t>loading-spinner</t>
  </si>
  <si>
    <t>spinner animation</t>
  </si>
  <si>
    <t>loading-dots</t>
  </si>
  <si>
    <t>dots animation</t>
  </si>
  <si>
    <t>loading-ring</t>
  </si>
  <si>
    <t>ring animation</t>
  </si>
  <si>
    <t>loading-ball</t>
  </si>
  <si>
    <t>ball animation</t>
  </si>
  <si>
    <t>loading-bars</t>
  </si>
  <si>
    <t>bars animation</t>
  </si>
  <si>
    <t>loading-infinity</t>
  </si>
  <si>
    <t>infinity animation</t>
  </si>
  <si>
    <t>loading-xs</t>
  </si>
  <si>
    <t>loading-sm</t>
  </si>
  <si>
    <t>loading-md</t>
  </si>
  <si>
    <t>loading-lg</t>
  </si>
  <si>
    <t>loading-xl</t>
  </si>
  <si>
    <t>Loading</t>
  </si>
  <si>
    <t>.loading</t>
  </si>
  <si>
    <t>.loading-spinner</t>
  </si>
  <si>
    <t>.loading-dots</t>
  </si>
  <si>
    <t>.loading-ring</t>
  </si>
  <si>
    <t>.loading-ball</t>
  </si>
  <si>
    <t>.loading-bars</t>
  </si>
  <si>
    <t>.loading-infinity</t>
  </si>
  <si>
    <t>.loading-xs</t>
  </si>
  <si>
    <t>.loading-sm</t>
  </si>
  <si>
    <t>.loading-md</t>
  </si>
  <si>
    <t>.loading-lg</t>
  </si>
  <si>
    <t>.loading-xl</t>
  </si>
  <si>
    <t>mask</t>
  </si>
  <si>
    <t>Masks the content with shape</t>
  </si>
  <si>
    <t>mask-squircle</t>
  </si>
  <si>
    <t>squircle</t>
  </si>
  <si>
    <t>mask-heart</t>
  </si>
  <si>
    <t>heart</t>
  </si>
  <si>
    <t>mask-hexagon</t>
  </si>
  <si>
    <t>hexagon vertical</t>
  </si>
  <si>
    <t>mask-hexagon-2</t>
  </si>
  <si>
    <t>hexagon horizontal</t>
  </si>
  <si>
    <t>mask-decagon</t>
  </si>
  <si>
    <t>decagon</t>
  </si>
  <si>
    <t>mask-pentagon</t>
  </si>
  <si>
    <t>pentagon</t>
  </si>
  <si>
    <t>mask-diamond</t>
  </si>
  <si>
    <t>diamond</t>
  </si>
  <si>
    <t>mask-square</t>
  </si>
  <si>
    <t>mask-circle</t>
  </si>
  <si>
    <t>circle</t>
  </si>
  <si>
    <t>mask-star</t>
  </si>
  <si>
    <t>star</t>
  </si>
  <si>
    <t>mask-star-2</t>
  </si>
  <si>
    <t>star (bold)</t>
  </si>
  <si>
    <t>mask-triangle</t>
  </si>
  <si>
    <t>triangle pointing top</t>
  </si>
  <si>
    <t>mask-triangle-2</t>
  </si>
  <si>
    <t>triangle pointing down</t>
  </si>
  <si>
    <t>mask-triangle-3</t>
  </si>
  <si>
    <t>triangle pointing left</t>
  </si>
  <si>
    <t>mask-triangle-4</t>
  </si>
  <si>
    <t>triangle pointing right</t>
  </si>
  <si>
    <t>mask-half-1</t>
  </si>
  <si>
    <t>Crops only the first half of mask</t>
  </si>
  <si>
    <t>mask-half-2</t>
  </si>
  <si>
    <t>Crops only the second half of mask</t>
  </si>
  <si>
    <t>Mask</t>
  </si>
  <si>
    <t>For &lt;ul&gt; tag</t>
  </si>
  <si>
    <t>menu-title</t>
  </si>
  <si>
    <t>styles a &lt;li&gt; as title</t>
  </si>
  <si>
    <t>menu-dropdown</t>
  </si>
  <si>
    <t>For the collapsible &lt;ul&gt; if you want to show it using JS</t>
  </si>
  <si>
    <t>menu-dropdown-toggle</t>
  </si>
  <si>
    <t>For the toggle to show/hide the menu-dropdown using JS</t>
  </si>
  <si>
    <t>menu-disabled</t>
  </si>
  <si>
    <t>For the element inside &lt;li&gt; to look disabled</t>
  </si>
  <si>
    <t>menu-active</t>
  </si>
  <si>
    <t>For the element inside &lt;li&gt; to look active</t>
  </si>
  <si>
    <t>menu-focus</t>
  </si>
  <si>
    <t>For the element inside &lt;li&gt; to look focused</t>
  </si>
  <si>
    <t>menu-dropdown-show</t>
  </si>
  <si>
    <t>Shows the menu-dropdown-toggle and menu-dropdown collapsible submenu using JS</t>
  </si>
  <si>
    <t>menu-xs</t>
  </si>
  <si>
    <t>menu-sm</t>
  </si>
  <si>
    <t>menu-md</t>
  </si>
  <si>
    <t>menu-lg</t>
  </si>
  <si>
    <t>menu-xl</t>
  </si>
  <si>
    <t>menu-vertical</t>
  </si>
  <si>
    <t>Vertical menu (default)</t>
  </si>
  <si>
    <t>menu-horizontal</t>
  </si>
  <si>
    <t>Horizontal menu</t>
  </si>
  <si>
    <t>.menu-title</t>
  </si>
  <si>
    <t>.menu-dropdown</t>
  </si>
  <si>
    <t>.menu-dropdown-toggle</t>
  </si>
  <si>
    <t>.menu-disabled</t>
  </si>
  <si>
    <t>.menu-active</t>
  </si>
  <si>
    <t>.menu-focus</t>
  </si>
  <si>
    <t>.menu-dropdown-show</t>
  </si>
  <si>
    <t>.menu-xs</t>
  </si>
  <si>
    <t>.menu-sm</t>
  </si>
  <si>
    <t>.menu-md</t>
  </si>
  <si>
    <t>.menu-lg</t>
  </si>
  <si>
    <t>.menu-xl</t>
  </si>
  <si>
    <t>.menu-vertical</t>
  </si>
  <si>
    <t>.menu-horizontal</t>
  </si>
  <si>
    <t>mockup-browser</t>
  </si>
  <si>
    <t>Browser mockup</t>
  </si>
  <si>
    <t>mockup-browser-toolbar</t>
  </si>
  <si>
    <t>Toolbar part which can include addressbar, etc</t>
  </si>
  <si>
    <t>mockup-code	Component	Code terminal mockup</t>
  </si>
  <si>
    <t>Code mockup</t>
  </si>
  <si>
    <t>mockup-phone</t>
  </si>
  <si>
    <t>Phone mockup</t>
  </si>
  <si>
    <t>mockup-phone-camera</t>
  </si>
  <si>
    <t>Camera part</t>
  </si>
  <si>
    <t>mockup-phone-display</t>
  </si>
  <si>
    <t>Display part</t>
  </si>
  <si>
    <t>mockup-window</t>
  </si>
  <si>
    <t>OS window mockup</t>
  </si>
  <si>
    <t>Window mockup</t>
  </si>
  <si>
    <t>.mockup-browser</t>
  </si>
  <si>
    <t>.mockup-browser-toolbar</t>
  </si>
  <si>
    <t>.mockup-code	Component	Code terminal mockup</t>
  </si>
  <si>
    <t>.mockup-phone</t>
  </si>
  <si>
    <t>.mockup-phone-camera</t>
  </si>
  <si>
    <t>.mockup-phone-display</t>
  </si>
  <si>
    <t>.mockup-window</t>
  </si>
  <si>
    <t>mockup</t>
  </si>
  <si>
    <t>modal-box</t>
  </si>
  <si>
    <t>The content part</t>
  </si>
  <si>
    <t>modal-action</t>
  </si>
  <si>
    <t>modal-backdrop</t>
  </si>
  <si>
    <t>Label that covers the page when modal is open so we can close the modal by clicking outside</t>
  </si>
  <si>
    <t>modal-toggle</t>
  </si>
  <si>
    <t>Hidden checkbox that controls the state of modal</t>
  </si>
  <si>
    <t>modal-open</t>
  </si>
  <si>
    <t>Keeps the modal open (you can add this class using JS)</t>
  </si>
  <si>
    <t>modal-top</t>
  </si>
  <si>
    <t>Moves the modal to top</t>
  </si>
  <si>
    <t>modal-middle</t>
  </si>
  <si>
    <t>Moves the modal to middle [Default]</t>
  </si>
  <si>
    <t>modal-bottom</t>
  </si>
  <si>
    <t>Moves the modal to bottom</t>
  </si>
  <si>
    <t>modal-start</t>
  </si>
  <si>
    <t>Moves the modal to start horizontally</t>
  </si>
  <si>
    <t>modal-end</t>
  </si>
  <si>
    <t>Moves the modal to end horizontally</t>
  </si>
  <si>
    <t>.modal-box</t>
  </si>
  <si>
    <t>.modal-action</t>
  </si>
  <si>
    <t>.modal-toggle</t>
  </si>
  <si>
    <t>.modal-open</t>
  </si>
  <si>
    <t>.modal-top</t>
  </si>
  <si>
    <t>.modal-middle</t>
  </si>
  <si>
    <t>.modal-bottom</t>
  </si>
  <si>
    <t>.modal-start</t>
  </si>
  <si>
    <t>.modal-end</t>
  </si>
  <si>
    <t>navbar</t>
  </si>
  <si>
    <t>Navigation bar</t>
  </si>
  <si>
    <t>navbar-start</t>
  </si>
  <si>
    <t>For the div inside navbar, to fill 50% of width</t>
  </si>
  <si>
    <t>navbar-center</t>
  </si>
  <si>
    <t>For the div inside navbar, to be at center horizontally</t>
  </si>
  <si>
    <t>navbar-end</t>
  </si>
  <si>
    <t>For the div inside navbar, to fill second 50% of width</t>
  </si>
  <si>
    <t>.navbar-center</t>
  </si>
  <si>
    <t>For &lt;progress&gt; tag</t>
  </si>
  <si>
    <t>progress-neutral</t>
  </si>
  <si>
    <t>progress-primary</t>
  </si>
  <si>
    <t>progress-secondary</t>
  </si>
  <si>
    <t>progress-accent</t>
  </si>
  <si>
    <t>progress-info</t>
  </si>
  <si>
    <t>progress-success</t>
  </si>
  <si>
    <t>progress-warning</t>
  </si>
  <si>
    <t>progress-error</t>
  </si>
  <si>
    <t>.progress-neutral</t>
  </si>
  <si>
    <t>.progress-primary</t>
  </si>
  <si>
    <t>.progress-secondary</t>
  </si>
  <si>
    <t>.progress-accent</t>
  </si>
  <si>
    <t>.progress-info</t>
  </si>
  <si>
    <t>.progress-success</t>
  </si>
  <si>
    <t>.progress-warning</t>
  </si>
  <si>
    <t>.progress-error</t>
  </si>
  <si>
    <t>radial-progress</t>
  </si>
  <si>
    <t>Shows a radial progress</t>
  </si>
  <si>
    <t>Radial Progress</t>
  </si>
  <si>
    <t>.radial-progress</t>
  </si>
  <si>
    <t>radial</t>
  </si>
  <si>
    <t>For radio input</t>
  </si>
  <si>
    <t>radio-neutral</t>
  </si>
  <si>
    <t>radio-primary</t>
  </si>
  <si>
    <t>radio-secondary</t>
  </si>
  <si>
    <t>radio-accent</t>
  </si>
  <si>
    <t>radio-success</t>
  </si>
  <si>
    <t>radio-warning</t>
  </si>
  <si>
    <t>radio-info</t>
  </si>
  <si>
    <t>radio-error</t>
  </si>
  <si>
    <t>radio-xs</t>
  </si>
  <si>
    <t>radio-sm</t>
  </si>
  <si>
    <t>radio-md</t>
  </si>
  <si>
    <t>radio-lg</t>
  </si>
  <si>
    <t>radio-xl</t>
  </si>
  <si>
    <t>Radio</t>
  </si>
  <si>
    <t>.radio-neutral</t>
  </si>
  <si>
    <t>.radio-primary</t>
  </si>
  <si>
    <t>.radio-secondary</t>
  </si>
  <si>
    <t>.radio-accent</t>
  </si>
  <si>
    <t>.radio-success</t>
  </si>
  <si>
    <t>.radio-warning</t>
  </si>
  <si>
    <t>.radio-info</t>
  </si>
  <si>
    <t>.radio-error</t>
  </si>
  <si>
    <t>.radio-xs</t>
  </si>
  <si>
    <t>.radio-sm</t>
  </si>
  <si>
    <t>.radio-md</t>
  </si>
  <si>
    <t>.radio-lg</t>
  </si>
  <si>
    <t>.radio-xl</t>
  </si>
  <si>
    <t>For &lt;input type="range"&gt; tag</t>
  </si>
  <si>
    <t>range-neutral</t>
  </si>
  <si>
    <t>range-primary</t>
  </si>
  <si>
    <t>range-secondary</t>
  </si>
  <si>
    <t>range-accent</t>
  </si>
  <si>
    <t>range-success</t>
  </si>
  <si>
    <t>range-warning</t>
  </si>
  <si>
    <t>range-info</t>
  </si>
  <si>
    <t>range-error</t>
  </si>
  <si>
    <t>range-xs</t>
  </si>
  <si>
    <t>range-sm</t>
  </si>
  <si>
    <t>range-md</t>
  </si>
  <si>
    <t>range-lg</t>
  </si>
  <si>
    <t>range-xl</t>
  </si>
  <si>
    <t>Range</t>
  </si>
  <si>
    <t>.range</t>
  </si>
  <si>
    <t>.range-neutral</t>
  </si>
  <si>
    <t>.range-primary</t>
  </si>
  <si>
    <t>.range-secondary</t>
  </si>
  <si>
    <t>.range-accent</t>
  </si>
  <si>
    <t>.range-success</t>
  </si>
  <si>
    <t>.range-warning</t>
  </si>
  <si>
    <t>.range-info</t>
  </si>
  <si>
    <t>.range-error</t>
  </si>
  <si>
    <t>.range-xs</t>
  </si>
  <si>
    <t>.range-sm</t>
  </si>
  <si>
    <t>.range-md</t>
  </si>
  <si>
    <t>.range-lg</t>
  </si>
  <si>
    <t>.range-xl</t>
  </si>
  <si>
    <t>rating</t>
  </si>
  <si>
    <t>For a div containing radio inputs</t>
  </si>
  <si>
    <t>rating-half</t>
  </si>
  <si>
    <t>To shows half of the shapes. Useful for half star ratings</t>
  </si>
  <si>
    <t>rating-hidden</t>
  </si>
  <si>
    <t>For the first radio to make it hidden so user can clear the rating</t>
  </si>
  <si>
    <t>rating-xs</t>
  </si>
  <si>
    <t>rating-sm</t>
  </si>
  <si>
    <t>rating-md</t>
  </si>
  <si>
    <t>rating-lg</t>
  </si>
  <si>
    <t>rating-xl</t>
  </si>
  <si>
    <t>Rating</t>
  </si>
  <si>
    <t>.rating</t>
  </si>
  <si>
    <t>.rating-half</t>
  </si>
  <si>
    <t>.rating-hidden</t>
  </si>
  <si>
    <t>.rating-xs</t>
  </si>
  <si>
    <t>.rating-sm</t>
  </si>
  <si>
    <t>.rating-md</t>
  </si>
  <si>
    <t>.rating-lg</t>
  </si>
  <si>
    <t>.rating-xl</t>
  </si>
  <si>
    <t>For &lt;select&gt; element</t>
  </si>
  <si>
    <t>select-ghost</t>
  </si>
  <si>
    <t>select-neutral</t>
  </si>
  <si>
    <t>select-primary</t>
  </si>
  <si>
    <t>select-secondary</t>
  </si>
  <si>
    <t>select-accent</t>
  </si>
  <si>
    <t>select-info</t>
  </si>
  <si>
    <t>select-success</t>
  </si>
  <si>
    <t>select-warning</t>
  </si>
  <si>
    <t>select-error</t>
  </si>
  <si>
    <t>select-xs</t>
  </si>
  <si>
    <t>select-sm</t>
  </si>
  <si>
    <t>select-md</t>
  </si>
  <si>
    <t>select-lg</t>
  </si>
  <si>
    <t>select-xl</t>
  </si>
  <si>
    <t>Select</t>
  </si>
  <si>
    <t>.select-ghost</t>
  </si>
  <si>
    <t>.select-neutral</t>
  </si>
  <si>
    <t>.select-primary</t>
  </si>
  <si>
    <t>.select-secondary</t>
  </si>
  <si>
    <t>.select-accent</t>
  </si>
  <si>
    <t>.select-info</t>
  </si>
  <si>
    <t>.select-success</t>
  </si>
  <si>
    <t>.select-warning</t>
  </si>
  <si>
    <t>.select-error</t>
  </si>
  <si>
    <t>.select-xs</t>
  </si>
  <si>
    <t>.select-sm</t>
  </si>
  <si>
    <t>.select-md</t>
  </si>
  <si>
    <t>.select-lg</t>
  </si>
  <si>
    <t>.select-xl</t>
  </si>
  <si>
    <t>skeleton</t>
  </si>
  <si>
    <t>A placeholder div with loading animation</t>
  </si>
  <si>
    <t>skeleton-text</t>
  </si>
  <si>
    <t>Animates the text color instead of background color</t>
  </si>
  <si>
    <t>Skeleton</t>
  </si>
  <si>
    <t>.skeleton</t>
  </si>
  <si>
    <t>.skeleton-text</t>
  </si>
  <si>
    <t>Puts the children elements on top of each other</t>
  </si>
  <si>
    <t>stack-top</t>
  </si>
  <si>
    <t>Aligns the children elements to the top</t>
  </si>
  <si>
    <t>stack-bottom</t>
  </si>
  <si>
    <t>Aligns the children elements to the bottom [Default]</t>
  </si>
  <si>
    <t>stack-start</t>
  </si>
  <si>
    <t>Aligns the children elements to the start (horizontally)</t>
  </si>
  <si>
    <t>stack-end</t>
  </si>
  <si>
    <t>Aligns the children elements to the end (horizontally)</t>
  </si>
  <si>
    <t>Stack</t>
  </si>
  <si>
    <t>.stack</t>
  </si>
  <si>
    <t>.stack-top</t>
  </si>
  <si>
    <t>.stack-bottom</t>
  </si>
  <si>
    <t>.stack-start</t>
  </si>
  <si>
    <t>.stack-end</t>
  </si>
  <si>
    <t>stats</t>
  </si>
  <si>
    <t>Container of multiple stat items</t>
  </si>
  <si>
    <t>stat</t>
  </si>
  <si>
    <t>A block to display stat data about a topic</t>
  </si>
  <si>
    <t>stat-title</t>
  </si>
  <si>
    <t>stat-value</t>
  </si>
  <si>
    <t>Value part</t>
  </si>
  <si>
    <t>stat-desc</t>
  </si>
  <si>
    <t>Description part</t>
  </si>
  <si>
    <t>stat-figure</t>
  </si>
  <si>
    <t>Figure part for icon, etc</t>
  </si>
  <si>
    <t>stat-actions</t>
  </si>
  <si>
    <t>Actions part for button, etc</t>
  </si>
  <si>
    <t>stats-horizontal</t>
  </si>
  <si>
    <t>Makes stats horizontal (default)</t>
  </si>
  <si>
    <t>stats-vertical</t>
  </si>
  <si>
    <t>Makes stats vertical</t>
  </si>
  <si>
    <t>Stat</t>
  </si>
  <si>
    <t>.stats</t>
  </si>
  <si>
    <t>.stat</t>
  </si>
  <si>
    <t>.stat-title</t>
  </si>
  <si>
    <t>.stat-value</t>
  </si>
  <si>
    <t>.stat-desc</t>
  </si>
  <si>
    <t>.stat-figure</t>
  </si>
  <si>
    <t>.stat-actions</t>
  </si>
  <si>
    <t>.stats-horizontal</t>
  </si>
  <si>
    <t>.stats-vertical</t>
  </si>
  <si>
    <t>Status icon</t>
  </si>
  <si>
    <t>status-neutral</t>
  </si>
  <si>
    <t>status-primary</t>
  </si>
  <si>
    <t>status-secondary</t>
  </si>
  <si>
    <t>status-accent</t>
  </si>
  <si>
    <t>status-info</t>
  </si>
  <si>
    <t>status-success</t>
  </si>
  <si>
    <t>status-warning</t>
  </si>
  <si>
    <t>status-error</t>
  </si>
  <si>
    <t>status-xs</t>
  </si>
  <si>
    <t>status-sm</t>
  </si>
  <si>
    <t>status-md</t>
  </si>
  <si>
    <t>medium size [Default]</t>
  </si>
  <si>
    <t>status-lg</t>
  </si>
  <si>
    <t>status-xl</t>
  </si>
  <si>
    <t>Status</t>
  </si>
  <si>
    <t>.status</t>
  </si>
  <si>
    <t>.status-neutral</t>
  </si>
  <si>
    <t>.status-primary</t>
  </si>
  <si>
    <t>.status-secondary</t>
  </si>
  <si>
    <t>.status-accent</t>
  </si>
  <si>
    <t>.status-info</t>
  </si>
  <si>
    <t>.status-success</t>
  </si>
  <si>
    <t>.status-warning</t>
  </si>
  <si>
    <t>.status-error</t>
  </si>
  <si>
    <t>.status-xs</t>
  </si>
  <si>
    <t>.status-sm</t>
  </si>
  <si>
    <t>.status-md</t>
  </si>
  <si>
    <t>.status-lg</t>
  </si>
  <si>
    <t>.status-xl</t>
  </si>
  <si>
    <t>steps</t>
  </si>
  <si>
    <t>Container of multiple step nodes</t>
  </si>
  <si>
    <t>step</t>
  </si>
  <si>
    <t>A single step node</t>
  </si>
  <si>
    <t>step-icon</t>
  </si>
  <si>
    <t>For custom icon inside step</t>
  </si>
  <si>
    <t>step-neutral</t>
  </si>
  <si>
    <t>step-primary</t>
  </si>
  <si>
    <t>step-secondary</t>
  </si>
  <si>
    <t>step-accent</t>
  </si>
  <si>
    <t>step-info</t>
  </si>
  <si>
    <t>step-success</t>
  </si>
  <si>
    <t>step-warning</t>
  </si>
  <si>
    <t>step-error</t>
  </si>
  <si>
    <t>steps-vertical</t>
  </si>
  <si>
    <t>Makes steps vertical (default)</t>
  </si>
  <si>
    <t>steps-horizontal</t>
  </si>
  <si>
    <t>Makes steps horizontal</t>
  </si>
  <si>
    <t>Steps</t>
  </si>
  <si>
    <t>.steps</t>
  </si>
  <si>
    <t>.step</t>
  </si>
  <si>
    <t>.step-icon</t>
  </si>
  <si>
    <t>.step-neutral</t>
  </si>
  <si>
    <t>.step-primary</t>
  </si>
  <si>
    <t>.step-secondary</t>
  </si>
  <si>
    <t>.step-accent</t>
  </si>
  <si>
    <t>.step-info</t>
  </si>
  <si>
    <t>.step-success</t>
  </si>
  <si>
    <t>.step-warning</t>
  </si>
  <si>
    <t>.step-error</t>
  </si>
  <si>
    <t>.steps-vertical</t>
  </si>
  <si>
    <t>.steps-horizontal</t>
  </si>
  <si>
    <t>swap</t>
  </si>
  <si>
    <t>Swap container</t>
  </si>
  <si>
    <t>swap-on</t>
  </si>
  <si>
    <t>The child element that should be visible when checkbox is checked or when swap is active</t>
  </si>
  <si>
    <t>swap-off</t>
  </si>
  <si>
    <t>The child element that should be visible when checkbox is not checked or when swap is not active</t>
  </si>
  <si>
    <t>swap-indeterminate</t>
  </si>
  <si>
    <t>The child element that should be visible when checkbox is indeterminate</t>
  </si>
  <si>
    <t>swap-active</t>
  </si>
  <si>
    <t>Activates the swap (no need for checkbox)</t>
  </si>
  <si>
    <t>swap-rotate</t>
  </si>
  <si>
    <t>Adds rotate effect to swap</t>
  </si>
  <si>
    <t>swap-flip</t>
  </si>
  <si>
    <t>Adds flip effect to swap</t>
  </si>
  <si>
    <t>Swap</t>
  </si>
  <si>
    <t>.swap</t>
  </si>
  <si>
    <t>.swap-on</t>
  </si>
  <si>
    <t>.swap-off</t>
  </si>
  <si>
    <t>.swap-indeterminate</t>
  </si>
  <si>
    <t>.swap-active</t>
  </si>
  <si>
    <t>.swap-rotate</t>
  </si>
  <si>
    <t>.swap-flip</t>
  </si>
  <si>
    <t>For &lt;table&gt; tag</t>
  </si>
  <si>
    <t>table-zebra</t>
  </si>
  <si>
    <t>For &lt;table&gt; to show zebra stripe rows</t>
  </si>
  <si>
    <t>table-pin-rows</t>
  </si>
  <si>
    <t>For &lt;table&gt; to make all the rows inside &lt;thead&gt; and &lt;tfoot&gt; sticky</t>
  </si>
  <si>
    <t>table-pin-cols</t>
  </si>
  <si>
    <t>For &lt;table&gt; to make all the &lt;th&gt; columns sticky</t>
  </si>
  <si>
    <t>table-xs</t>
  </si>
  <si>
    <t>table-sm</t>
  </si>
  <si>
    <t>table-md</t>
  </si>
  <si>
    <t>table-lg</t>
  </si>
  <si>
    <t>table-xl</t>
  </si>
  <si>
    <t>.table-zebra</t>
  </si>
  <si>
    <t>.table-pin-rows</t>
  </si>
  <si>
    <t>.table-pin-cols</t>
  </si>
  <si>
    <t>.table-xs</t>
  </si>
  <si>
    <t>.table-md</t>
  </si>
  <si>
    <t>.table-lg</t>
  </si>
  <si>
    <t>.table-xl</t>
  </si>
  <si>
    <t>text-rotate</t>
  </si>
  <si>
    <t>Wrapper for texts</t>
  </si>
  <si>
    <t>Tekst Rotate</t>
  </si>
  <si>
    <t>.text-rotate</t>
  </si>
  <si>
    <t>theme-controller</t>
  </si>
  <si>
    <t>For a checkbox or radio input that must change the page theme</t>
  </si>
  <si>
    <t>Theme Controller</t>
  </si>
  <si>
    <t>.theme-controller</t>
  </si>
  <si>
    <t>theme</t>
  </si>
  <si>
    <t>Timeline container</t>
  </si>
  <si>
    <t>timeline-start</t>
  </si>
  <si>
    <t>The content inside &lt;li&gt; that will be at the start direction</t>
  </si>
  <si>
    <t>timeline-middle</t>
  </si>
  <si>
    <t>The content inside &lt;li&gt; that will be at the middle</t>
  </si>
  <si>
    <t>timeline-end</t>
  </si>
  <si>
    <t>The content inside &lt;li&gt; that will be at the end direction</t>
  </si>
  <si>
    <t>timeline-snap-icon</t>
  </si>
  <si>
    <t>snaps the icon to the start instead of middle</t>
  </si>
  <si>
    <t>timeline-box</t>
  </si>
  <si>
    <t>Applies a box style to timeline-start or timeline-end</t>
  </si>
  <si>
    <t>timeline-compact</t>
  </si>
  <si>
    <t>forces all items on one side</t>
  </si>
  <si>
    <t>timeline-horizontal</t>
  </si>
  <si>
    <t>horizontal layout (default)</t>
  </si>
  <si>
    <t>timeline-vertical</t>
  </si>
  <si>
    <t>vertical layout</t>
  </si>
  <si>
    <t>Timeline</t>
  </si>
  <si>
    <t>.timeline</t>
  </si>
  <si>
    <t>.timeline-start</t>
  </si>
  <si>
    <t>.timeline-middle</t>
  </si>
  <si>
    <t>.timeline-end</t>
  </si>
  <si>
    <t>.timeline-snap-icon</t>
  </si>
  <si>
    <t>.timeline-box</t>
  </si>
  <si>
    <t>.timeline-compact</t>
  </si>
  <si>
    <t>.timeline-horizontal</t>
  </si>
  <si>
    <t>.timeline-vertical</t>
  </si>
  <si>
    <t>.validator</t>
  </si>
  <si>
    <t>.validator-hint</t>
  </si>
  <si>
    <t>fill</t>
  </si>
  <si>
    <t>helper</t>
  </si>
  <si>
    <t>mod-orient</t>
  </si>
  <si>
    <t>neutral</t>
  </si>
  <si>
    <t>accent</t>
  </si>
  <si>
    <t>ghost</t>
  </si>
  <si>
    <t>dash</t>
  </si>
  <si>
    <t>floating</t>
  </si>
  <si>
    <t>Column7</t>
  </si>
  <si>
    <t>Column72</t>
  </si>
  <si>
    <t>unordered</t>
  </si>
  <si>
    <t>alpha</t>
  </si>
  <si>
    <t>lower</t>
  </si>
  <si>
    <t>upper</t>
  </si>
  <si>
    <t>greek</t>
  </si>
  <si>
    <t>latin</t>
  </si>
  <si>
    <t>roman</t>
  </si>
  <si>
    <t>Column73</t>
  </si>
  <si>
    <t>custom</t>
  </si>
  <si>
    <t>hint</t>
  </si>
  <si>
    <t>.disabled items</t>
  </si>
  <si>
    <t>.form using the grid</t>
  </si>
  <si>
    <t>switch</t>
  </si>
  <si>
    <t>research</t>
  </si>
  <si>
    <t>https://developer.mozilla.org/en-US/docs/Web/HTML/Reference/Elements/search</t>
  </si>
  <si>
    <t>decoration</t>
  </si>
  <si>
    <t>soft</t>
  </si>
  <si>
    <t>htms</t>
  </si>
  <si>
    <t>aspect-ratio</t>
  </si>
  <si>
    <t>backdrop</t>
  </si>
  <si>
    <t>responsive</t>
  </si>
  <si>
    <t>child</t>
  </si>
  <si>
    <t>.form-control-file</t>
  </si>
  <si>
    <t>.form-control-range</t>
  </si>
  <si>
    <t>.form-group</t>
  </si>
  <si>
    <t>.form-inline</t>
  </si>
  <si>
    <t>.input-group-tekst</t>
  </si>
  <si>
    <t>.readonly</t>
  </si>
  <si>
    <t>resize_x</t>
  </si>
  <si>
    <t>resize_both</t>
  </si>
  <si>
    <t>resize_none</t>
  </si>
  <si>
    <t>illustration</t>
  </si>
  <si>
    <t>Primer Cheatsheet</t>
  </si>
  <si>
    <r>
      <t>A single-page reference for all the utility classes in </t>
    </r>
    <r>
      <rPr>
        <sz val="20"/>
        <color rgb="FF0366D6"/>
        <rFont val="Helvetica"/>
        <family val="2"/>
      </rPr>
      <t>@primer/css</t>
    </r>
    <r>
      <rPr>
        <sz val="20"/>
        <color rgb="FF24292E"/>
        <rFont val="Helvetica"/>
        <family val="2"/>
      </rPr>
      <t> </t>
    </r>
    <r>
      <rPr>
        <sz val="20"/>
        <color rgb="FF6A737D"/>
        <rFont val="Helvetica"/>
        <family val="2"/>
      </rPr>
      <t>v14.0.0</t>
    </r>
    <r>
      <rPr>
        <sz val="20"/>
        <color rgb="FF24292E"/>
        <rFont val="Helvetica"/>
        <family val="2"/>
      </rPr>
      <t> </t>
    </r>
    <r>
      <rPr>
        <sz val="20"/>
        <color rgb="FF0366D6"/>
        <rFont val="Helvetica"/>
        <family val="2"/>
      </rPr>
      <t>(Source code)</t>
    </r>
  </si>
  <si>
    <t>.anim-fade-down</t>
  </si>
  <si>
    <t>animation-name: fade-down;</t>
  </si>
  <si>
    <t>animation-duration: 0.3s;</t>
  </si>
  <si>
    <t>animation-fill-mode: forwards;</t>
  </si>
  <si>
    <t>animation-timing-function: ease-in;</t>
  </si>
  <si>
    <t>.anim-fade-in</t>
  </si>
  <si>
    <t>animation-name: fade-in;</t>
  </si>
  <si>
    <t>animation-duration: 1s;</t>
  </si>
  <si>
    <t>animation-timing-function: ease-in-out;</t>
  </si>
  <si>
    <t>.anim-fade-in.fast</t>
  </si>
  <si>
    <t>animation-duration: 300ms;</t>
  </si>
  <si>
    <t>.anim-fade-out</t>
  </si>
  <si>
    <t>animation-name: fade-out;</t>
  </si>
  <si>
    <t>animation-timing-function: ease-out;</t>
  </si>
  <si>
    <t>.anim-fade-out.fast</t>
  </si>
  <si>
    <t>.anim-fade-up</t>
  </si>
  <si>
    <t>opacity: 0;</t>
  </si>
  <si>
    <t>animation-name: fade-up;</t>
  </si>
  <si>
    <t>animation-delay: 1s;</t>
  </si>
  <si>
    <t>.anim-grow-x</t>
  </si>
  <si>
    <t>width: 0%;</t>
  </si>
  <si>
    <t>animation-name: grow-x;</t>
  </si>
  <si>
    <t>animation-timing-function: ease;</t>
  </si>
  <si>
    <t>animation-delay: 0.5s;</t>
  </si>
  <si>
    <t>.anim-pulse</t>
  </si>
  <si>
    <t>animation-name: pulse;</t>
  </si>
  <si>
    <t>animation-duration: 2s;</t>
  </si>
  <si>
    <t>animation-timing-function: linear;</t>
  </si>
  <si>
    <t>animation-iteration-count: infinite;</t>
  </si>
  <si>
    <t>.anim-pulse-in</t>
  </si>
  <si>
    <t>animation-name: pulse-in;</t>
  </si>
  <si>
    <t>animation-duration: 0.5s;</t>
  </si>
  <si>
    <t>.anim-scale-in</t>
  </si>
  <si>
    <t>animation-name: scale-in;</t>
  </si>
  <si>
    <t>animation-duration: 0.15s;</t>
  </si>
  <si>
    <t>animation-timing-function: cubic-bezier(0.2, 0, 0.13, 1.5);</t>
  </si>
  <si>
    <t>.anim-shrink-x</t>
  </si>
  <si>
    <t>animation-name: shrink-x;</t>
  </si>
  <si>
    <t>.AnimatedEllipsis</t>
  </si>
  <si>
    <t>display: inline-block;</t>
  </si>
  <si>
    <t>overflow: hidden;</t>
  </si>
  <si>
    <t>vertical-align: bottom;</t>
  </si>
  <si>
    <t>.AnimatedEllipsis::after</t>
  </si>
  <si>
    <t>content: "...";</t>
  </si>
  <si>
    <t>animation: AnimatedEllipsis-keyframes 1.2s steps(4, jump-none) infinite;</t>
  </si>
  <si>
    <t>.autocomplete-item</t>
  </si>
  <si>
    <t>display: block;</t>
  </si>
  <si>
    <t>padding: 4px 8px;</t>
  </si>
  <si>
    <t>font-weight: 600;</t>
  </si>
  <si>
    <t>text-decoration: none;</t>
  </si>
  <si>
    <t>text-overflow: ellipsis;</t>
  </si>
  <si>
    <t>white-space: nowrap;</t>
  </si>
  <si>
    <t>cursor: pointer;</t>
  </si>
  <si>
    <t>.autocomplete-item:hover.autocomplete-item[aria-selected="true"].autocomplete-item.selected.autocomplete-item.navigation-focus</t>
  </si>
  <si>
    <t>color: #fff;</t>
  </si>
  <si>
    <t>background-color: #0366d6;</t>
  </si>
  <si>
    <t>.autocomplete-item:hover *.autocomplete-item[aria-selected="true"] *.autocomplete-item.selected *.autocomplete-item.navigation-focus *</t>
  </si>
  <si>
    <t>color: inherit !important;</t>
  </si>
  <si>
    <t>.autocomplete-results</t>
  </si>
  <si>
    <t>position: absolute;</t>
  </si>
  <si>
    <t>z-index: 99;</t>
  </si>
  <si>
    <t>width: 100%;</t>
  </si>
  <si>
    <t>max-height: 20em;</t>
  </si>
  <si>
    <t>overflow-y: auto;</t>
  </si>
  <si>
    <t>font-size: 13px;</t>
  </si>
  <si>
    <t>list-style: none;</t>
  </si>
  <si>
    <t>background: #fff;</t>
  </si>
  <si>
    <t>border-radius: 3px;</t>
  </si>
  <si>
    <t>box-shadow: 0 0 5px rgba(27,31,35,0.3);</t>
  </si>
  <si>
    <t>line-height: 1;</t>
  </si>
  <si>
    <t>vertical-align: middle;</t>
  </si>
  <si>
    <t>.avatar-child</t>
  </si>
  <si>
    <t>right: -15%;</t>
  </si>
  <si>
    <t>bottom: -9%;</t>
  </si>
  <si>
    <t>background-color: #fff;</t>
  </si>
  <si>
    <t>border-radius: 2px;</t>
  </si>
  <si>
    <t>box-shadow: -2px -2px 0 rgba(255,255,255,0.8);</t>
  </si>
  <si>
    <t>.avatar-group-item</t>
  </si>
  <si>
    <t>margin-bottom: 3px;</t>
  </si>
  <si>
    <t>.avatar-link</t>
  </si>
  <si>
    <t>float: left;</t>
  </si>
  <si>
    <t>.avatar-parent-child</t>
  </si>
  <si>
    <t>position: relative;</t>
  </si>
  <si>
    <t>.avatar-small</t>
  </si>
  <si>
    <t>.avatar.avatar-more</t>
  </si>
  <si>
    <t>z-index: 1;</t>
  </si>
  <si>
    <t>margin-right: 0;</t>
  </si>
  <si>
    <t>background: #f6f8fa;</t>
  </si>
  <si>
    <t>.avatar.avatar-more::after</t>
  </si>
  <si>
    <t>width: 14px;</t>
  </si>
  <si>
    <t>background: #d1d5da;</t>
  </si>
  <si>
    <t>.avatar.avatar-more::before.avatar.avatar-more::after</t>
  </si>
  <si>
    <t>height: 20px;</t>
  </si>
  <si>
    <t>content: "";</t>
  </si>
  <si>
    <t>outline: 1px solid #fff;</t>
  </si>
  <si>
    <t>.avatar.avatar-more::before</t>
  </si>
  <si>
    <t>width: 17px;</t>
  </si>
  <si>
    <t>background: #e1e4e8;</t>
  </si>
  <si>
    <t>.AvatarStack</t>
  </si>
  <si>
    <t>min-width: 26px;</t>
  </si>
  <si>
    <t>.AvatarStack .AvatarStack-body</t>
  </si>
  <si>
    <t>.AvatarStack--right .avatar</t>
  </si>
  <si>
    <t>margin-left: -11px;</t>
  </si>
  <si>
    <t>border-right: 0;</t>
  </si>
  <si>
    <t>border-left: 1px solid #fff;</t>
  </si>
  <si>
    <t>.AvatarStack--right .avatar.avatar-more</t>
  </si>
  <si>
    <t>.AvatarStack--right .avatar.avatar-more::after</t>
  </si>
  <si>
    <t>width: 2px;</t>
  </si>
  <si>
    <t>.AvatarStack--right .avatar.avatar-more::before</t>
  </si>
  <si>
    <t>width: 5px;</t>
  </si>
  <si>
    <t>.AvatarStack--right .AvatarStack-body</t>
  </si>
  <si>
    <t>right: 0;</t>
  </si>
  <si>
    <t>flex-direction: row-reverse;</t>
  </si>
  <si>
    <t>.AvatarStack--right .AvatarStack-body:hover .avatar</t>
  </si>
  <si>
    <t>margin-left: 3px;</t>
  </si>
  <si>
    <t>.AvatarStack-body</t>
  </si>
  <si>
    <t>display: flex;</t>
  </si>
  <si>
    <t>.AvatarStack-body .avatar</t>
  </si>
  <si>
    <t>z-index: 2;</t>
  </si>
  <si>
    <t>width: 20px;</t>
  </si>
  <si>
    <t>box-sizing: content-box;</t>
  </si>
  <si>
    <t>margin-right: -11px;</t>
  </si>
  <si>
    <t>border-right: 1px solid #fff;</t>
  </si>
  <si>
    <t>transition: margin 0.1s ease-in-out;</t>
  </si>
  <si>
    <t>.AvatarStack-body .avatar img</t>
  </si>
  <si>
    <t>.AvatarStack-body .avatar:first-child</t>
  </si>
  <si>
    <t>z-index: 3;</t>
  </si>
  <si>
    <t>.AvatarStack-body .avatar:last-child</t>
  </si>
  <si>
    <t>.AvatarStack-body .avatar:nth-child(n+4)</t>
  </si>
  <si>
    <t>display: none;</t>
  </si>
  <si>
    <t>.AvatarStack-body:hover .avatar</t>
  </si>
  <si>
    <t>margin-right: 3px;</t>
  </si>
  <si>
    <t>.AvatarStack-body:hover .avatar-more</t>
  </si>
  <si>
    <t>display: none !important;</t>
  </si>
  <si>
    <t>.AvatarStack-body:hover .avatar:nth-child(n+4)</t>
  </si>
  <si>
    <t>opacity: 1;</t>
  </si>
  <si>
    <t>.AvatarStack.AvatarStack--three-plus</t>
  </si>
  <si>
    <t>min-width: 46px;</t>
  </si>
  <si>
    <t>.AvatarStack.AvatarStack--two</t>
  </si>
  <si>
    <t>min-width: 36px;</t>
  </si>
  <si>
    <t>.bg-blue</t>
  </si>
  <si>
    <t>background-color: #0366d6 !important;</t>
  </si>
  <si>
    <t>.bg-blue-0</t>
  </si>
  <si>
    <t>background-color: #f1f8ff !important;</t>
  </si>
  <si>
    <t>.bg-blue-1</t>
  </si>
  <si>
    <t>background-color: #dbedff !important;</t>
  </si>
  <si>
    <t>.bg-blue-2</t>
  </si>
  <si>
    <t>background-color: #c8e1ff !important;</t>
  </si>
  <si>
    <t>.bg-blue-3</t>
  </si>
  <si>
    <t>background-color: #79b8ff !important;</t>
  </si>
  <si>
    <t>.bg-blue-4</t>
  </si>
  <si>
    <t>background-color: #2188ff !important;</t>
  </si>
  <si>
    <t>.bg-blue-5</t>
  </si>
  <si>
    <t>.bg-blue-6</t>
  </si>
  <si>
    <t>background-color: #005cc5 !important;</t>
  </si>
  <si>
    <t>.bg-blue-7</t>
  </si>
  <si>
    <t>background-color: #044289 !important;</t>
  </si>
  <si>
    <t>.bg-blue-8</t>
  </si>
  <si>
    <t>background-color: #032f62 !important;</t>
  </si>
  <si>
    <t>.bg-blue-9</t>
  </si>
  <si>
    <t>background-color: #05264c !important;</t>
  </si>
  <si>
    <t>.bg-blue-light</t>
  </si>
  <si>
    <t>.bg-gray</t>
  </si>
  <si>
    <t>background-color: #f6f8fa !important;</t>
  </si>
  <si>
    <t>.bg-gray-0</t>
  </si>
  <si>
    <t>background-color: #fafbfc !important;</t>
  </si>
  <si>
    <t>.bg-gray-1</t>
  </si>
  <si>
    <t>.bg-gray-2</t>
  </si>
  <si>
    <t>background-color: #e1e4e8 !important;</t>
  </si>
  <si>
    <t>.bg-gray-3</t>
  </si>
  <si>
    <t>background-color: #d1d5da !important;</t>
  </si>
  <si>
    <t>.bg-gray-4</t>
  </si>
  <si>
    <t>background-color: #959da5 !important;</t>
  </si>
  <si>
    <t>.bg-gray-5</t>
  </si>
  <si>
    <t>background-color: #6a737d !important;</t>
  </si>
  <si>
    <t>.bg-gray-6</t>
  </si>
  <si>
    <t>background-color: #586069 !important;</t>
  </si>
  <si>
    <t>.bg-gray-7</t>
  </si>
  <si>
    <t>background-color: #444d56 !important;</t>
  </si>
  <si>
    <t>.bg-gray-8</t>
  </si>
  <si>
    <t>background-color: #2f363d !important;</t>
  </si>
  <si>
    <t>.bg-gray-9</t>
  </si>
  <si>
    <t>background-color: #24292e !important;</t>
  </si>
  <si>
    <t>.bg-gray-dark</t>
  </si>
  <si>
    <t>.bg-gray-light</t>
  </si>
  <si>
    <t>.bg-green</t>
  </si>
  <si>
    <t>background-color: #28a745 !important;</t>
  </si>
  <si>
    <t>.bg-green-0</t>
  </si>
  <si>
    <t>background-color: #f0fff4 !important;</t>
  </si>
  <si>
    <t>.bg-green-1</t>
  </si>
  <si>
    <t>background-color: #dcffe4 !important;</t>
  </si>
  <si>
    <t>.bg-green-2</t>
  </si>
  <si>
    <t>background-color: #bef5cb !important;</t>
  </si>
  <si>
    <t>.bg-green-3</t>
  </si>
  <si>
    <t>background-color: #85e89d !important;</t>
  </si>
  <si>
    <t>.bg-green-4</t>
  </si>
  <si>
    <t>background-color: #34d058 !important;</t>
  </si>
  <si>
    <t>.bg-green-5</t>
  </si>
  <si>
    <t>.bg-green-6</t>
  </si>
  <si>
    <t>background-color: #22863a !important;</t>
  </si>
  <si>
    <t>.bg-green-7</t>
  </si>
  <si>
    <t>background-color: #176f2c !important;</t>
  </si>
  <si>
    <t>.bg-green-8</t>
  </si>
  <si>
    <t>background-color: #165c26 !important;</t>
  </si>
  <si>
    <t>.bg-green-9</t>
  </si>
  <si>
    <t>background-color: #144620 !important;</t>
  </si>
  <si>
    <t>.bg-green-light</t>
  </si>
  <si>
    <t>.bg-orange-0</t>
  </si>
  <si>
    <t>background-color: #fff8f2 !important;</t>
  </si>
  <si>
    <t>.bg-orange-1</t>
  </si>
  <si>
    <t>background-color: #ffebda !important;</t>
  </si>
  <si>
    <t>.bg-orange-2</t>
  </si>
  <si>
    <t>background-color: #ffd1ac !important;</t>
  </si>
  <si>
    <t>.bg-orange-3</t>
  </si>
  <si>
    <t>background-color: #ffab70 !important;</t>
  </si>
  <si>
    <t>.bg-orange-4</t>
  </si>
  <si>
    <t>background-color: #fb8532 !important;</t>
  </si>
  <si>
    <t>.bg-orange-5</t>
  </si>
  <si>
    <t>background-color: #f66a0a !important;</t>
  </si>
  <si>
    <t>.bg-orange-6</t>
  </si>
  <si>
    <t>background-color: #e36209 !important;</t>
  </si>
  <si>
    <t>.bg-orange-7</t>
  </si>
  <si>
    <t>background-color: #d15704 !important;</t>
  </si>
  <si>
    <t>.bg-orange-8</t>
  </si>
  <si>
    <t>background-color: #c24e00 !important;</t>
  </si>
  <si>
    <t>.bg-orange-9</t>
  </si>
  <si>
    <t>background-color: #a04100 !important;</t>
  </si>
  <si>
    <t>.bg-pink</t>
  </si>
  <si>
    <t>background-color: #ea4aaa !important;</t>
  </si>
  <si>
    <t>.bg-pink-0</t>
  </si>
  <si>
    <t>background-color: #ffeef8 !important;</t>
  </si>
  <si>
    <t>.bg-pink-1</t>
  </si>
  <si>
    <t>background-color: #fedbf0 !important;</t>
  </si>
  <si>
    <t>.bg-pink-2</t>
  </si>
  <si>
    <t>background-color: #f9b3dd !important;</t>
  </si>
  <si>
    <t>.bg-pink-3</t>
  </si>
  <si>
    <t>background-color: #f692ce !important;</t>
  </si>
  <si>
    <t>.bg-pink-4</t>
  </si>
  <si>
    <t>background-color: #ec6cb9 !important;</t>
  </si>
  <si>
    <t>.bg-pink-5</t>
  </si>
  <si>
    <t>.bg-pink-6</t>
  </si>
  <si>
    <t>background-color: #d03592 !important;</t>
  </si>
  <si>
    <t>.bg-pink-7</t>
  </si>
  <si>
    <t>background-color: #b93a86 !important;</t>
  </si>
  <si>
    <t>.bg-pink-8</t>
  </si>
  <si>
    <t>background-color: #99306f !important;</t>
  </si>
  <si>
    <t>.bg-pink-9</t>
  </si>
  <si>
    <t>background-color: #6d224f !important;</t>
  </si>
  <si>
    <t>.bg-purple</t>
  </si>
  <si>
    <t>background-color: #6f42c1 !important;</t>
  </si>
  <si>
    <t>.bg-purple-0</t>
  </si>
  <si>
    <t>background-color: #f5f0ff !important;</t>
  </si>
  <si>
    <t>.bg-purple-1</t>
  </si>
  <si>
    <t>background-color: #e6dcfd !important;</t>
  </si>
  <si>
    <t>.bg-purple-2</t>
  </si>
  <si>
    <t>background-color: #d1bcf9 !important;</t>
  </si>
  <si>
    <t>.bg-purple-3</t>
  </si>
  <si>
    <t>background-color: #b392f0 !important;</t>
  </si>
  <si>
    <t>.bg-purple-4</t>
  </si>
  <si>
    <t>background-color: #8a63d2 !important;</t>
  </si>
  <si>
    <t>.bg-purple-5</t>
  </si>
  <si>
    <t>.bg-purple-6</t>
  </si>
  <si>
    <t>background-color: #5a32a3 !important;</t>
  </si>
  <si>
    <t>.bg-purple-7</t>
  </si>
  <si>
    <t>background-color: #4c2889 !important;</t>
  </si>
  <si>
    <t>.bg-purple-8</t>
  </si>
  <si>
    <t>background-color: #3a1d6e !important;</t>
  </si>
  <si>
    <t>.bg-purple-9</t>
  </si>
  <si>
    <t>background-color: #29134e !important;</t>
  </si>
  <si>
    <t>.bg-purple-light</t>
  </si>
  <si>
    <t>.bg-red</t>
  </si>
  <si>
    <t>background-color: #d73a49 !important;</t>
  </si>
  <si>
    <t>.bg-red-0</t>
  </si>
  <si>
    <t>background-color: #ffeef0 !important;</t>
  </si>
  <si>
    <t>.bg-red-1</t>
  </si>
  <si>
    <t>background-color: #ffdce0 !important;</t>
  </si>
  <si>
    <t>.bg-red-2</t>
  </si>
  <si>
    <t>background-color: #fdaeb7 !important;</t>
  </si>
  <si>
    <t>.bg-red-3</t>
  </si>
  <si>
    <t>background-color: #f97583 !important;</t>
  </si>
  <si>
    <t>.bg-red-4</t>
  </si>
  <si>
    <t>background-color: #ea4a5a !important;</t>
  </si>
  <si>
    <t>.bg-red-5</t>
  </si>
  <si>
    <t>.bg-red-6</t>
  </si>
  <si>
    <t>background-color: #cb2431 !important;</t>
  </si>
  <si>
    <t>.bg-red-7</t>
  </si>
  <si>
    <t>background-color: #b31d28 !important;</t>
  </si>
  <si>
    <t>.bg-red-8</t>
  </si>
  <si>
    <t>background-color: #9e1c23 !important;</t>
  </si>
  <si>
    <t>.bg-red-9</t>
  </si>
  <si>
    <t>background-color: #86181d !important;</t>
  </si>
  <si>
    <t>.bg-red-light</t>
  </si>
  <si>
    <t>.bg-shade-gradient</t>
  </si>
  <si>
    <t>background-image: linear-gradient(180deg, rgba(27,31,35,0.065), rgba(27,31,35,0)) !important;</t>
  </si>
  <si>
    <t>background-repeat: no-repeat !important;</t>
  </si>
  <si>
    <t>background-size: 100% 200px !important;</t>
  </si>
  <si>
    <t>background-color: #fff !important;</t>
  </si>
  <si>
    <t>.bg-yellow</t>
  </si>
  <si>
    <t>background-color: #ffd33d !important;</t>
  </si>
  <si>
    <t>.bg-yellow-0</t>
  </si>
  <si>
    <t>background-color: #fffdef !important;</t>
  </si>
  <si>
    <t>.bg-yellow-1</t>
  </si>
  <si>
    <t>background-color: #fffbdd !important;</t>
  </si>
  <si>
    <t>.bg-yellow-2</t>
  </si>
  <si>
    <t>background-color: #fff5b1 !important;</t>
  </si>
  <si>
    <t>.bg-yellow-3</t>
  </si>
  <si>
    <t>background-color: #ffea7f !important;</t>
  </si>
  <si>
    <t>.bg-yellow-4</t>
  </si>
  <si>
    <t>background-color: #ffdf5d !important;</t>
  </si>
  <si>
    <t>.bg-yellow-5</t>
  </si>
  <si>
    <t>.bg-yellow-6</t>
  </si>
  <si>
    <t>background-color: #f9c513 !important;</t>
  </si>
  <si>
    <t>.bg-yellow-7</t>
  </si>
  <si>
    <t>background-color: #dbab09 !important;</t>
  </si>
  <si>
    <t>.bg-yellow-8</t>
  </si>
  <si>
    <t>background-color: #b08800 !important;</t>
  </si>
  <si>
    <t>.bg-yellow-9</t>
  </si>
  <si>
    <t>background-color: #735c0f !important;</t>
  </si>
  <si>
    <t>.bg-yellow-dark</t>
  </si>
  <si>
    <t>.bg-yellow-light</t>
  </si>
  <si>
    <t>.blankslate</t>
  </si>
  <si>
    <t>padding: 32px;</t>
  </si>
  <si>
    <t>text-align: center;</t>
  </si>
  <si>
    <t>.blankslate code</t>
  </si>
  <si>
    <t>padding: 2px 5px 3px;</t>
  </si>
  <si>
    <t>font-size: 14px;</t>
  </si>
  <si>
    <t>border: 1px solid #eaecef;</t>
  </si>
  <si>
    <t>.blankslate img</t>
  </si>
  <si>
    <t>width: 56px;</t>
  </si>
  <si>
    <t>height: 56px;</t>
  </si>
  <si>
    <t>.blankslate-capped</t>
  </si>
  <si>
    <t>border-radius: 0 0 3px 3px;</t>
  </si>
  <si>
    <t>.blankslate-clean-background</t>
  </si>
  <si>
    <t>border: 0;</t>
  </si>
  <si>
    <t>.blankslate-icon</t>
  </si>
  <si>
    <t>margin-right: 4px;</t>
  </si>
  <si>
    <t>margin-bottom: 8px;</t>
  </si>
  <si>
    <t>margin-left: 4px;</t>
  </si>
  <si>
    <t>color: #a3aab1;</t>
  </si>
  <si>
    <t>.blankslate-large h3</t>
  </si>
  <si>
    <t>margin: 16px 0;</t>
  </si>
  <si>
    <t>font-size: 24px;</t>
  </si>
  <si>
    <t>.blankslate-large img</t>
  </si>
  <si>
    <t>width: 80px;</t>
  </si>
  <si>
    <t>height: 80px;</t>
  </si>
  <si>
    <t>.blankslate-large p</t>
  </si>
  <si>
    <t>font-size: 16px;</t>
  </si>
  <si>
    <t>.blankslate-narrow</t>
  </si>
  <si>
    <t>max-width: 485px;</t>
  </si>
  <si>
    <t>margin: 0 auto;</t>
  </si>
  <si>
    <t>.blankslate-spacious</t>
  </si>
  <si>
    <t>padding: 80px 40px;</t>
  </si>
  <si>
    <t>border: 1px #e1e4e8 solid !important;</t>
  </si>
  <si>
    <t>border: 0 !important;</t>
  </si>
  <si>
    <t>.border-black-fade</t>
  </si>
  <si>
    <t>border-color: rgba(27,31,35,0.15) !important;</t>
  </si>
  <si>
    <t>.border-blue</t>
  </si>
  <si>
    <t>border-color: #0366d6 !important;</t>
  </si>
  <si>
    <t>.border-blue-light</t>
  </si>
  <si>
    <t>border-color: #c8e1ff !important;</t>
  </si>
  <si>
    <t>border-bottom: 1px #e1e4e8 solid !important;</t>
  </si>
  <si>
    <t>border-bottom: 0 !important;</t>
  </si>
  <si>
    <t>.border-dashed</t>
  </si>
  <si>
    <t>border-style: dashed !important;</t>
  </si>
  <si>
    <t>.border-gray-dark</t>
  </si>
  <si>
    <t>border-color: #d1d5da !important;</t>
  </si>
  <si>
    <t>.border-gray-light</t>
  </si>
  <si>
    <t>border-color: #eaecef !important;</t>
  </si>
  <si>
    <t>.border-green</t>
  </si>
  <si>
    <t>border-color: #34d058 !important;</t>
  </si>
  <si>
    <t>.border-green-light</t>
  </si>
  <si>
    <t>border-color: #a2cbac !important;</t>
  </si>
  <si>
    <t>.border-left</t>
  </si>
  <si>
    <t>border-left: 1px #e1e4e8 solid !important;</t>
  </si>
  <si>
    <t>.border-left-0</t>
  </si>
  <si>
    <t>border-left: 0 !important;</t>
  </si>
  <si>
    <t>.border-purple</t>
  </si>
  <si>
    <t>border-color: #6f42c1 !important;</t>
  </si>
  <si>
    <t>.border-red</t>
  </si>
  <si>
    <t>border-color: #d73a49 !important;</t>
  </si>
  <si>
    <t>.border-red-light</t>
  </si>
  <si>
    <t>border-color: #cea0a5 !important;</t>
  </si>
  <si>
    <t>.border-right</t>
  </si>
  <si>
    <t>border-right: 1px #e1e4e8 solid !important;</t>
  </si>
  <si>
    <t>.border-right-0</t>
  </si>
  <si>
    <t>border-right: 0 !important;</t>
  </si>
  <si>
    <t>border-top: 1px #e1e4e8 solid !important;</t>
  </si>
  <si>
    <t>border-top: 0 !important;</t>
  </si>
  <si>
    <t>.border-white-fade</t>
  </si>
  <si>
    <t>border-color: rgba(255,255,255,0.15) !important;</t>
  </si>
  <si>
    <t>.border-white-fade-15</t>
  </si>
  <si>
    <t>.border-white-fade-30</t>
  </si>
  <si>
    <t>border-color: rgba(255,255,255,0.3) !important;</t>
  </si>
  <si>
    <t>.border-white-fade-50</t>
  </si>
  <si>
    <t>border-color: rgba(255,255,255,0.5) !important;</t>
  </si>
  <si>
    <t>.border-white-fade-70</t>
  </si>
  <si>
    <t>border-color: rgba(255,255,255,0.7) !important;</t>
  </si>
  <si>
    <t>.border-white-fade-85</t>
  </si>
  <si>
    <t>border-color: rgba(255,255,255,0.85) !important;</t>
  </si>
  <si>
    <t>.border-x</t>
  </si>
  <si>
    <t>.border-y</t>
  </si>
  <si>
    <t>.border-yellow</t>
  </si>
  <si>
    <t>border-color: #d9d0a5 !important;</t>
  </si>
  <si>
    <t>bottom: 0 !important;</t>
  </si>
  <si>
    <t>.bottom-1</t>
  </si>
  <si>
    <t>bottom: 4px !important;</t>
  </si>
  <si>
    <t>.bottom-10</t>
  </si>
  <si>
    <t>bottom: 96px !important;</t>
  </si>
  <si>
    <t>.bottom-11</t>
  </si>
  <si>
    <t>bottom: 112px !important;</t>
  </si>
  <si>
    <t>.bottom-12</t>
  </si>
  <si>
    <t>bottom: 128px !important;</t>
  </si>
  <si>
    <t>.bottom-2</t>
  </si>
  <si>
    <t>bottom: 8px !important;</t>
  </si>
  <si>
    <t>.bottom-3</t>
  </si>
  <si>
    <t>bottom: 16px !important;</t>
  </si>
  <si>
    <t>.bottom-4</t>
  </si>
  <si>
    <t>bottom: 24px !important;</t>
  </si>
  <si>
    <t>.bottom-5</t>
  </si>
  <si>
    <t>bottom: 32px !important;</t>
  </si>
  <si>
    <t>.bottom-6</t>
  </si>
  <si>
    <t>bottom: 40px !important;</t>
  </si>
  <si>
    <t>.bottom-7</t>
  </si>
  <si>
    <t>bottom: 48px !important;</t>
  </si>
  <si>
    <t>.bottom-8</t>
  </si>
  <si>
    <t>bottom: 64px !important;</t>
  </si>
  <si>
    <t>.bottom-9</t>
  </si>
  <si>
    <t>bottom: 80px !important;</t>
  </si>
  <si>
    <t>.bottom-n0</t>
  </si>
  <si>
    <t>.bottom-n1</t>
  </si>
  <si>
    <t>bottom: -4px !important;</t>
  </si>
  <si>
    <t>.bottom-n10</t>
  </si>
  <si>
    <t>bottom: -96px !important;</t>
  </si>
  <si>
    <t>.bottom-n11</t>
  </si>
  <si>
    <t>bottom: -112px !important;</t>
  </si>
  <si>
    <t>.bottom-n12</t>
  </si>
  <si>
    <t>bottom: -128px !important;</t>
  </si>
  <si>
    <t>.bottom-n2</t>
  </si>
  <si>
    <t>bottom: -8px !important;</t>
  </si>
  <si>
    <t>.bottom-n3</t>
  </si>
  <si>
    <t>bottom: -16px !important;</t>
  </si>
  <si>
    <t>.bottom-n4</t>
  </si>
  <si>
    <t>bottom: -24px !important;</t>
  </si>
  <si>
    <t>.bottom-n5</t>
  </si>
  <si>
    <t>bottom: -32px !important;</t>
  </si>
  <si>
    <t>.bottom-n6</t>
  </si>
  <si>
    <t>bottom: -40px !important;</t>
  </si>
  <si>
    <t>.bottom-n7</t>
  </si>
  <si>
    <t>bottom: -48px !important;</t>
  </si>
  <si>
    <t>.bottom-n8</t>
  </si>
  <si>
    <t>bottom: -64px !important;</t>
  </si>
  <si>
    <t>.bottom-n9</t>
  </si>
  <si>
    <t>bottom: -80px !important;</t>
  </si>
  <si>
    <t>.Box</t>
  </si>
  <si>
    <t>border: 1px solid #d1d5da;</t>
  </si>
  <si>
    <t>.Box--blue</t>
  </si>
  <si>
    <t>border-color: #c8e1ff;</t>
  </si>
  <si>
    <t>.Box--blue .Box-body</t>
  </si>
  <si>
    <t>.Box--blue .Box-footer</t>
  </si>
  <si>
    <t>.Box--blue .Box-header</t>
  </si>
  <si>
    <t>background-color: #f1f8ff;</t>
  </si>
  <si>
    <t>.Box--blue .Box-row</t>
  </si>
  <si>
    <t>.Box--condensed</t>
  </si>
  <si>
    <t>line-height: 1.25;</t>
  </si>
  <si>
    <t>.Box--condensed .Box-body</t>
  </si>
  <si>
    <t>padding: 8px 16px;</t>
  </si>
  <si>
    <t>.Box--condensed .Box-btn-octicon.btn-octicon</t>
  </si>
  <si>
    <t>margin: -8px -16px;</t>
  </si>
  <si>
    <t>.Box--condensed .Box-footer</t>
  </si>
  <si>
    <t>.Box--condensed .Box-header</t>
  </si>
  <si>
    <t>.Box--condensed .Box-row</t>
  </si>
  <si>
    <t>.Box--danger</t>
  </si>
  <si>
    <t>border-color: #d73a49;</t>
  </si>
  <si>
    <t>.Box--danger .Box-body:last-of-type</t>
  </si>
  <si>
    <t>.Box--danger .Box-row:first-of-type</t>
  </si>
  <si>
    <t>.Box--scrollable</t>
  </si>
  <si>
    <t>max-height: 324px;</t>
  </si>
  <si>
    <t>overflow: scroll;</t>
  </si>
  <si>
    <t>.Box--spacious .Box-body</t>
  </si>
  <si>
    <t>padding: 24px;</t>
  </si>
  <si>
    <t>.Box--spacious .Box-btn-octicon.btn-octicon</t>
  </si>
  <si>
    <t>margin: -24px -24px;</t>
  </si>
  <si>
    <t>.Box--spacious .Box-footer</t>
  </si>
  <si>
    <t>.Box--spacious .Box-header</t>
  </si>
  <si>
    <t>.Box--spacious .Box-row</t>
  </si>
  <si>
    <t>.Box--spacious .Box-title</t>
  </si>
  <si>
    <t>font-size: 20px;</t>
  </si>
  <si>
    <t>.Box-body</t>
  </si>
  <si>
    <t>padding: 16px;</t>
  </si>
  <si>
    <t>border-bottom: 1px solid #e1e4e8;</t>
  </si>
  <si>
    <t>.Box-body:last-of-type</t>
  </si>
  <si>
    <t>margin-bottom: -1px;</t>
  </si>
  <si>
    <t>border-bottom-right-radius: 2px;</t>
  </si>
  <si>
    <t>border-bottom-left-radius: 2px;</t>
  </si>
  <si>
    <t>.Box-btn-octicon.btn-octicon</t>
  </si>
  <si>
    <t>padding: 16px 16px;</t>
  </si>
  <si>
    <t>margin: -16px -16px;</t>
  </si>
  <si>
    <t>line-height: 1.5;</t>
  </si>
  <si>
    <t>.Box-footer</t>
  </si>
  <si>
    <t>margin-top: -1px;</t>
  </si>
  <si>
    <t>border-top: 1px solid #e1e4e8;</t>
  </si>
  <si>
    <t>.Box-header</t>
  </si>
  <si>
    <t>margin: -1px -1px 0;</t>
  </si>
  <si>
    <t>background-color: #f6f8fa;</t>
  </si>
  <si>
    <t>border-color: #d1d5da;</t>
  </si>
  <si>
    <t>border-style: solid;</t>
  </si>
  <si>
    <t>border-width: 1px;</t>
  </si>
  <si>
    <t>border-top-left-radius: 3px;</t>
  </si>
  <si>
    <t>border-top-right-radius: 3px;</t>
  </si>
  <si>
    <t>.Box-header--blue</t>
  </si>
  <si>
    <t>.Box-row</t>
  </si>
  <si>
    <t>list-style-type: none;</t>
  </si>
  <si>
    <t>.Box-row--blue</t>
  </si>
  <si>
    <t>.Box-row--drag-button</t>
  </si>
  <si>
    <t>.Box-row--focus-blue.navigation-focus</t>
  </si>
  <si>
    <t>.Box-row--focus-gray.navigation-focus</t>
  </si>
  <si>
    <t>.Box-row--gray</t>
  </si>
  <si>
    <t>.Box-row--hover-blue:hover</t>
  </si>
  <si>
    <t>.Box-row--hover-gray:hover</t>
  </si>
  <si>
    <t>.Box-row--yellow</t>
  </si>
  <si>
    <t>background-color: #fffbdd;</t>
  </si>
  <si>
    <t>.Box-row:first-of-type</t>
  </si>
  <si>
    <t>border-top-color: transparent;</t>
  </si>
  <si>
    <t>border-top-left-radius: 2px;</t>
  </si>
  <si>
    <t>border-top-right-radius: 2px;</t>
  </si>
  <si>
    <t>.Box-row:last-of-type</t>
  </si>
  <si>
    <t>.Box-row.Box-row--unread.Box-row.unread</t>
  </si>
  <si>
    <t>box-shadow: 2px 0 0 #0366d6 inset;</t>
  </si>
  <si>
    <t>.Box-row.navigation-focus .Box-row--drag-button</t>
  </si>
  <si>
    <t>color: #0366d6;</t>
  </si>
  <si>
    <t>cursor: grab;</t>
  </si>
  <si>
    <t>opacity: 100;</t>
  </si>
  <si>
    <t>.Box-row.navigation-focus.is-dragging .Box-row--drag-button</t>
  </si>
  <si>
    <t>cursor: grabbing;</t>
  </si>
  <si>
    <t>.Box-row.navigation-focus.sortable-chosen</t>
  </si>
  <si>
    <t>background-color: #fafbfc;</t>
  </si>
  <si>
    <t>.Box-row.navigation-focus.sortable-ghost</t>
  </si>
  <si>
    <t>.Box-row.navigation-focus.sortable-ghost .Box-row--drag-hide</t>
  </si>
  <si>
    <t>.box-shadow</t>
  </si>
  <si>
    <t>box-shadow: 0 1px 1px rgba(27,31,35,0.1) !important;</t>
  </si>
  <si>
    <t>.box-shadow-extra-large</t>
  </si>
  <si>
    <t>box-shadow: 0 10px 50px rgba(27,31,35,0.07) !important;</t>
  </si>
  <si>
    <t>.box-shadow-large</t>
  </si>
  <si>
    <t>box-shadow: 0 1px 15px rgba(27,31,35,0.15) !important;</t>
  </si>
  <si>
    <t>.box-shadow-medium</t>
  </si>
  <si>
    <t>box-shadow: 0 1px 5px rgba(27,31,35,0.15) !important;</t>
  </si>
  <si>
    <t>.box-shadow-none</t>
  </si>
  <si>
    <t>box-shadow: none !important;</t>
  </si>
  <si>
    <t>.Box-title</t>
  </si>
  <si>
    <t>.branch-name</t>
  </si>
  <si>
    <t>padding: 2px 6px;</t>
  </si>
  <si>
    <t>font: 12px "SFMono-Regular",Consolas,"Liberation Mono",Menlo,monospace;</t>
  </si>
  <si>
    <t>color: rgba(27,31,35,0.6);</t>
  </si>
  <si>
    <t>background-color: #eaf5ff;</t>
  </si>
  <si>
    <t>.branch-name .octicon</t>
  </si>
  <si>
    <t>margin: 1px -2px 0 0;</t>
  </si>
  <si>
    <t>color: #a8bbd0;</t>
  </si>
  <si>
    <t>margin-left: -0.35em;</t>
  </si>
  <si>
    <t>.breadcrumb-item-selected::after</t>
  </si>
  <si>
    <t>content: none;</t>
  </si>
  <si>
    <t>.breadcrumb-item::after</t>
  </si>
  <si>
    <t>padding-right: .5em;</t>
  </si>
  <si>
    <t>padding-left: .5em;</t>
  </si>
  <si>
    <t>color: #e1e4e8;</t>
  </si>
  <si>
    <t>content: "/";</t>
  </si>
  <si>
    <t>.breadcrumb-item:first-child</t>
  </si>
  <si>
    <t>margin-left: 0;</t>
  </si>
  <si>
    <t>.break-word</t>
  </si>
  <si>
    <t>word-break: break-word !important;</t>
  </si>
  <si>
    <t>word-wrap: break-word !important;</t>
  </si>
  <si>
    <t>overflow-wrap: break-word !important;</t>
  </si>
  <si>
    <t>padding: 6px 12px;</t>
  </si>
  <si>
    <t>line-height: 20px;</t>
  </si>
  <si>
    <t>-webkit-user-select: none;</t>
  </si>
  <si>
    <t>-moz-user-select: none;</t>
  </si>
  <si>
    <t>-ms-user-select: none;</t>
  </si>
  <si>
    <t>user-select: none;</t>
  </si>
  <si>
    <t>background-repeat: repeat-x;</t>
  </si>
  <si>
    <t>background-position: -1px -1px;</t>
  </si>
  <si>
    <t>background-size: 110% 110%;</t>
  </si>
  <si>
    <t>border: 1px solid rgba(27,31,35,0.2);</t>
  </si>
  <si>
    <t>border-radius: 0.25em;</t>
  </si>
  <si>
    <t>-webkit-appearance: none;</t>
  </si>
  <si>
    <t>-moz-appearance: none;</t>
  </si>
  <si>
    <t>appearance: none;</t>
  </si>
  <si>
    <t>color: #24292e;</t>
  </si>
  <si>
    <t>background-color: #eff3f6;</t>
  </si>
  <si>
    <t>background-image: linear-gradient(-180deg, #fafbfc 0%, #eff3f6 90%);</t>
  </si>
  <si>
    <t>.btn .Counter</t>
  </si>
  <si>
    <t>color: #586069;</t>
  </si>
  <si>
    <t>text-shadow: none;</t>
  </si>
  <si>
    <t>background-color: rgba(27,31,35,0.1);</t>
  </si>
  <si>
    <t>.btn .manual-file-chooser</t>
  </si>
  <si>
    <t>top: 0;</t>
  </si>
  <si>
    <t>padding: 0;</t>
  </si>
  <si>
    <t>line-height: 34px;</t>
  </si>
  <si>
    <t>.btn .octicon</t>
  </si>
  <si>
    <t>vertical-align: text-top;</t>
  </si>
  <si>
    <t>.btn i</t>
  </si>
  <si>
    <t>font-style: normal;</t>
  </si>
  <si>
    <t>font-weight: 500;</t>
  </si>
  <si>
    <t>opacity: 0.75;</t>
  </si>
  <si>
    <t>.btn-blue</t>
  </si>
  <si>
    <t>background-color: #0361cc;</t>
  </si>
  <si>
    <t>background-image: linear-gradient(-180deg, #0679fc 0%, #0361cc 90%);</t>
  </si>
  <si>
    <t>.btn-blue .Counter</t>
  </si>
  <si>
    <t>.btn-blue:active.btn-blue.selected[open]&gt;.btn-blue</t>
  </si>
  <si>
    <t>background-color: #045cc1;</t>
  </si>
  <si>
    <t>background-image: none;</t>
  </si>
  <si>
    <t>border-color: rgba(27,31,35,0.5);</t>
  </si>
  <si>
    <t>box-shadow: inset 0 0.15em 0.3em rgba(27,31,35,0.15);</t>
  </si>
  <si>
    <t>.btn-blue:disabled.btn-blue.disabled</t>
  </si>
  <si>
    <t>color: rgba(255,255,255,0.75);</t>
  </si>
  <si>
    <t>background-color: #81b0e5;</t>
  </si>
  <si>
    <t>border-color: rgba(27,31,35,0.2);</t>
  </si>
  <si>
    <t>box-shadow: none;</t>
  </si>
  <si>
    <t>.btn-blue:focus.btn-blue.focus</t>
  </si>
  <si>
    <t>box-shadow: 0 0 0 0.2em rgba(6,121,252,0.4);</t>
  </si>
  <si>
    <t>.btn-blue:hover.btn-blue.hover</t>
  </si>
  <si>
    <t>background-color: #035cc2;</t>
  </si>
  <si>
    <t>background-image: linear-gradient(-180deg, #0374f4 0%, #035cc2 90%);</t>
  </si>
  <si>
    <t>background-position: -.5em;</t>
  </si>
  <si>
    <t>color: #cb2431;</t>
  </si>
  <si>
    <t>.btn-danger:active.btn-danger.selected[open]&gt;.btn-danger</t>
  </si>
  <si>
    <t>background-color: #b5202c;</t>
  </si>
  <si>
    <t>.btn-danger:disabled.btn-danger.disabled</t>
  </si>
  <si>
    <t>color: rgba(203,36,49,0.4);</t>
  </si>
  <si>
    <t>.btn-danger:focus</t>
  </si>
  <si>
    <t>box-shadow: 0 0 0 0.2em rgba(203,36,49,0.4);</t>
  </si>
  <si>
    <t>.btn-danger:hover</t>
  </si>
  <si>
    <t>background-color: #cb2431;</t>
  </si>
  <si>
    <t>background-image: linear-gradient(-180deg, #de4450 0%, #cb2431 90%);</t>
  </si>
  <si>
    <t>.btn-danger:hover .Counter</t>
  </si>
  <si>
    <t>.btn-invisible</t>
  </si>
  <si>
    <t>.btn-invisible:hover.btn-invisible:active.btn-invisible:focus.btn-invisible.selected.btn-invisible.zeroclipboard-is-hover.btn-invisible.zeroclipboard-is-active</t>
  </si>
  <si>
    <t>background: none;</t>
  </si>
  <si>
    <t>outline: none;</t>
  </si>
  <si>
    <t>.btn-large</t>
  </si>
  <si>
    <t>padding: .75em 1.25em;</t>
  </si>
  <si>
    <t>font-size: inherit;</t>
  </si>
  <si>
    <t>border-radius: 6px;</t>
  </si>
  <si>
    <t>.btn-large-mktg</t>
  </si>
  <si>
    <t>padding: 20px 32px;</t>
  </si>
  <si>
    <t>background-color: transparent;</t>
  </si>
  <si>
    <t>.btn-link:disabled.btn-link:disabled:hover</t>
  </si>
  <si>
    <t>color: rgba(88,96,105,0.5);</t>
  </si>
  <si>
    <t>cursor: default;</t>
  </si>
  <si>
    <t>.btn-link:hover</t>
  </si>
  <si>
    <t>text-decoration: underline;</t>
  </si>
  <si>
    <t>.btn-mktg</t>
  </si>
  <si>
    <t>padding: 16px 24px;</t>
  </si>
  <si>
    <t>background-color: #1074e7;</t>
  </si>
  <si>
    <t>border: 1px solid #1074e7;</t>
  </si>
  <si>
    <t>transition: .2s;</t>
  </si>
  <si>
    <t>.btn-mktg:disabled.btn-mktg.disabled</t>
  </si>
  <si>
    <t>pointer-events: none;</t>
  </si>
  <si>
    <t>opacity: 0.65;</t>
  </si>
  <si>
    <t>.btn-mktg:focus</t>
  </si>
  <si>
    <t>outline: 0;</t>
  </si>
  <si>
    <t>box-shadow: 0 0 0 0.2em rgba(3,102,214,0.3);</t>
  </si>
  <si>
    <t>.btn-mktg:hover</t>
  </si>
  <si>
    <t>border-color: #0366d6;</t>
  </si>
  <si>
    <t>.btn-octicon</t>
  </si>
  <si>
    <t>padding: 5px;</t>
  </si>
  <si>
    <t>margin-left: 5px;</t>
  </si>
  <si>
    <t>background: transparent;</t>
  </si>
  <si>
    <t>.btn-octicon-danger:hover</t>
  </si>
  <si>
    <t>.btn-octicon:hover</t>
  </si>
  <si>
    <t>.btn-octicon.disabled</t>
  </si>
  <si>
    <t>color: #959da5;</t>
  </si>
  <si>
    <t>.btn-octicon.disabled:hover</t>
  </si>
  <si>
    <t>.btn-outline .Counter</t>
  </si>
  <si>
    <t>background-color: rgba(27,31,35,0.07);</t>
  </si>
  <si>
    <t>.btn-outline-mktg</t>
  </si>
  <si>
    <t>color: #1074e7;</t>
  </si>
  <si>
    <t>background-color: rgba(255,255,255,0);</t>
  </si>
  <si>
    <t>border-color: rgba(16,116,231,0.5);</t>
  </si>
  <si>
    <t>.btn-outline-mktg:hover</t>
  </si>
  <si>
    <t>border-color: #1074e7;</t>
  </si>
  <si>
    <t>.btn-outline:disabled.btn-outline.disabled</t>
  </si>
  <si>
    <t>color: rgba(27,31,35,0.3);</t>
  </si>
  <si>
    <t>border-color: rgba(27,31,35,0.15);</t>
  </si>
  <si>
    <t>.btn-outline:focus</t>
  </si>
  <si>
    <t>box-shadow: 0 0 0 0.2em rgba(3,102,214,0.4);</t>
  </si>
  <si>
    <t>.btn-outline:hover.btn-outline:active.btn-outline.selected[open]&gt;.btn-outline</t>
  </si>
  <si>
    <t>.btn-outline:hover .Counter.btn-outline:active .Counter.btn-outline.selected .Counter[open]&gt;.btn-outline .Counter</t>
  </si>
  <si>
    <t>background-color: #28a745;</t>
  </si>
  <si>
    <t>background-image: linear-gradient(-180deg, #34d058 0%, #28a745 90%);</t>
  </si>
  <si>
    <t>.btn-primary .Counter</t>
  </si>
  <si>
    <t>color: #29b249;</t>
  </si>
  <si>
    <t>.btn-primary-mktg</t>
  </si>
  <si>
    <t>background-color: #2ebc4f;</t>
  </si>
  <si>
    <t>border-color: #2ebc4f;</t>
  </si>
  <si>
    <t>.btn-primary-mktg:focus</t>
  </si>
  <si>
    <t>box-shadow: 0 0 0 0.2em rgba(40,167,69,0.3);</t>
  </si>
  <si>
    <t>.btn-primary-mktg:hover</t>
  </si>
  <si>
    <t>border-color: #28a745;</t>
  </si>
  <si>
    <t>.btn-primary:active.btn-primary.selected[open]&gt;.btn-primary</t>
  </si>
  <si>
    <t>background-color: #279f43;</t>
  </si>
  <si>
    <t>.btn-primary:disabled.btn-primary.disabled</t>
  </si>
  <si>
    <t>background-color: #94d3a2;</t>
  </si>
  <si>
    <t>.btn-primary:focus.btn-primary.focus</t>
  </si>
  <si>
    <t>box-shadow: 0 0 0 0.2em rgba(52,208,88,0.4);</t>
  </si>
  <si>
    <t>.btn-primary:hover.btn-primary.hover</t>
  </si>
  <si>
    <t>background-color: #269f42;</t>
  </si>
  <si>
    <t>background-image: linear-gradient(-180deg, #2fcb53 0%, #269f42 90%);</t>
  </si>
  <si>
    <t>padding: 3px 10px;</t>
  </si>
  <si>
    <t>font-size: 12px;</t>
  </si>
  <si>
    <t>.btn-transparent</t>
  </si>
  <si>
    <t>border: 1px solid rgba(255,255,255,0.5);</t>
  </si>
  <si>
    <t>.btn-transparent:hover.btn-transparent:active</t>
  </si>
  <si>
    <t>color: #2f363d;</t>
  </si>
  <si>
    <t>border-color: #fff;</t>
  </si>
  <si>
    <t>.btn-with-count</t>
  </si>
  <si>
    <t>border-top-right-radius: 0;</t>
  </si>
  <si>
    <t>border-bottom-right-radius: 0;</t>
  </si>
  <si>
    <t>.btn:active.btn.selected</t>
  </si>
  <si>
    <t>.btn:active.btn.selected[open]&gt;.btn</t>
  </si>
  <si>
    <t>background-color: #e9ecef;</t>
  </si>
  <si>
    <t>border-color: rgba(27,31,35,0.35);</t>
  </si>
  <si>
    <t>.btn:disabled.btn.disabled</t>
  </si>
  <si>
    <t>background-position: 0 0;</t>
  </si>
  <si>
    <t>color: rgba(36,41,46,0.4);</t>
  </si>
  <si>
    <t>.btn:focus</t>
  </si>
  <si>
    <t>.btn:focus.btn.focus</t>
  </si>
  <si>
    <t>.btn:hover</t>
  </si>
  <si>
    <t>.btn:hover.btn.hover</t>
  </si>
  <si>
    <t>background-color: #e6ebf1;</t>
  </si>
  <si>
    <t>background-image: linear-gradient(-180deg, #f0f3f6 0%, #e6ebf1 90%);</t>
  </si>
  <si>
    <t>.BtnGroup</t>
  </si>
  <si>
    <t>.BtnGroup-item</t>
  </si>
  <si>
    <t>border-right-width: 0;</t>
  </si>
  <si>
    <t>border-radius: 0;</t>
  </si>
  <si>
    <t>.BtnGroup-item:first-child</t>
  </si>
  <si>
    <t>border-bottom-left-radius: 3px;</t>
  </si>
  <si>
    <t>.BtnGroup-item:focus.BtnGroup-item:active.BtnGroup-parent:focus.BtnGroup-parent:active</t>
  </si>
  <si>
    <t>.BtnGroup-item:last-child</t>
  </si>
  <si>
    <t>border-right-width: 1px;</t>
  </si>
  <si>
    <t>border-bottom-right-radius: 3px;</t>
  </si>
  <si>
    <t>.BtnGroup-item.selected.BtnGroup-item:focus.BtnGroup-item:active.BtnGroup-item:hover</t>
  </si>
  <si>
    <t>.BtnGroup-item.selected+.BtnGroup-item.BtnGroup-item.selected+.BtnGroup-parent .BtnGroup-item.BtnGroup-item:focus+.BtnGroup-item.BtnGroup-item:focus+.BtnGroup-parent .BtnGroup-item.BtnGroup-item:active+.BtnGroup-item.BtnGroup-item:active+.BtnGroup-parent .BtnGroup-item.BtnGroup-item:hover+.BtnGroup-item.BtnGroup-item:hover+.BtnGroup-parent .BtnGroup-item</t>
  </si>
  <si>
    <t>border-left-width: 0;</t>
  </si>
  <si>
    <t>.BtnGroup-parent</t>
  </si>
  <si>
    <t>.BtnGroup-parent .BtnGroup-item</t>
  </si>
  <si>
    <t>.BtnGroup-parent:first-child .BtnGroup-item</t>
  </si>
  <si>
    <t>.BtnGroup-parent:last-child .BtnGroup-item</t>
  </si>
  <si>
    <t>.BtnGroup-parent.selected .BtnGroup-item.BtnGroup-parent:focus .BtnGroup-item.BtnGroup-parent:active .BtnGroup-item.BtnGroup-parent:hover .BtnGroup-item</t>
  </si>
  <si>
    <t>.BtnGroup-parent.selected+.BtnGroup-item.BtnGroup-parent.selected+.BtnGroup-parent .BtnGroup-item.BtnGroup-parent:focus+.BtnGroup-item.BtnGroup-parent:focus+.BtnGroup-parent .BtnGroup-item.BtnGroup-parent:active+.BtnGroup-item.BtnGroup-parent:active+.BtnGroup-parent .BtnGroup-item.BtnGroup-parent:hover+.BtnGroup-item.BtnGroup-parent:hover+.BtnGroup-parent .BtnGroup-item</t>
  </si>
  <si>
    <t>.BtnGroup::after</t>
  </si>
  <si>
    <t>display: table;</t>
  </si>
  <si>
    <t>clear: both;</t>
  </si>
  <si>
    <t>.BtnGroup::before</t>
  </si>
  <si>
    <t>.BtnGroup+.BtnGroup.BtnGroup+.btn</t>
  </si>
  <si>
    <t>.circle</t>
  </si>
  <si>
    <t>border-radius: 50% !important;</t>
  </si>
  <si>
    <t>.CircleBadge</t>
  </si>
  <si>
    <t>align-items: center;</t>
  </si>
  <si>
    <t>justify-content: center;</t>
  </si>
  <si>
    <t>border-radius: 50%;</t>
  </si>
  <si>
    <t>box-shadow: 0 1px 5px rgba(27,31,35,0.15);</t>
  </si>
  <si>
    <t>.CircleBadge--large</t>
  </si>
  <si>
    <t>width: 128px;</t>
  </si>
  <si>
    <t>height: 128px;</t>
  </si>
  <si>
    <t>.CircleBadge--medium</t>
  </si>
  <si>
    <t>width: 96px;</t>
  </si>
  <si>
    <t>height: 96px;</t>
  </si>
  <si>
    <t>.CircleBadge--small</t>
  </si>
  <si>
    <t>.CircleBadge-icon</t>
  </si>
  <si>
    <t>max-width: 60% !important;</t>
  </si>
  <si>
    <t>height: auto !important;</t>
  </si>
  <si>
    <t>max-height: 55% !important;</t>
  </si>
  <si>
    <t>.clearfix::after</t>
  </si>
  <si>
    <t>.clearfix::before</t>
  </si>
  <si>
    <t>.close-button</t>
  </si>
  <si>
    <t>width: 8.33333%;</t>
  </si>
  <si>
    <t>width: 83.33333%;</t>
  </si>
  <si>
    <t>width: 91.66667%;</t>
  </si>
  <si>
    <t>width: 16.66667%;</t>
  </si>
  <si>
    <t>width: 25%;</t>
  </si>
  <si>
    <t>width: 33.33333%;</t>
  </si>
  <si>
    <t>width: 41.66667%;</t>
  </si>
  <si>
    <t>width: 50%;</t>
  </si>
  <si>
    <t>width: 58.33333%;</t>
  </si>
  <si>
    <t>width: 66.66667%;</t>
  </si>
  <si>
    <t>width: 75%;</t>
  </si>
  <si>
    <t>.color-blue-0</t>
  </si>
  <si>
    <t>color: #f1f8ff !important;</t>
  </si>
  <si>
    <t>.color-blue-1</t>
  </si>
  <si>
    <t>color: #dbedff !important;</t>
  </si>
  <si>
    <t>.color-blue-2</t>
  </si>
  <si>
    <t>color: #c8e1ff !important;</t>
  </si>
  <si>
    <t>.color-blue-3</t>
  </si>
  <si>
    <t>color: #79b8ff !important;</t>
  </si>
  <si>
    <t>.color-blue-4</t>
  </si>
  <si>
    <t>color: #2188ff !important;</t>
  </si>
  <si>
    <t>.color-blue-5</t>
  </si>
  <si>
    <t>color: #0366d6 !important;</t>
  </si>
  <si>
    <t>.color-blue-6</t>
  </si>
  <si>
    <t>color: #005cc5 !important;</t>
  </si>
  <si>
    <t>.color-blue-7</t>
  </si>
  <si>
    <t>color: #044289 !important;</t>
  </si>
  <si>
    <t>.color-blue-8</t>
  </si>
  <si>
    <t>color: #032f62 !important;</t>
  </si>
  <si>
    <t>.color-blue-9</t>
  </si>
  <si>
    <t>color: #05264c !important;</t>
  </si>
  <si>
    <t>.color-gray-0</t>
  </si>
  <si>
    <t>color: #fafbfc !important;</t>
  </si>
  <si>
    <t>.color-gray-1</t>
  </si>
  <si>
    <t>color: #f6f8fa !important;</t>
  </si>
  <si>
    <t>.color-gray-2</t>
  </si>
  <si>
    <t>color: #e1e4e8 !important;</t>
  </si>
  <si>
    <t>.color-gray-3</t>
  </si>
  <si>
    <t>color: #d1d5da !important;</t>
  </si>
  <si>
    <t>.color-gray-4</t>
  </si>
  <si>
    <t>color: #959da5 !important;</t>
  </si>
  <si>
    <t>.color-gray-5</t>
  </si>
  <si>
    <t>color: #6a737d !important;</t>
  </si>
  <si>
    <t>.color-gray-6</t>
  </si>
  <si>
    <t>color: #586069 !important;</t>
  </si>
  <si>
    <t>.color-gray-7</t>
  </si>
  <si>
    <t>color: #444d56 !important;</t>
  </si>
  <si>
    <t>.color-gray-8</t>
  </si>
  <si>
    <t>color: #2f363d !important;</t>
  </si>
  <si>
    <t>.color-gray-9</t>
  </si>
  <si>
    <t>color: #24292e !important;</t>
  </si>
  <si>
    <t>.color-green-0</t>
  </si>
  <si>
    <t>color: #f0fff4 !important;</t>
  </si>
  <si>
    <t>.color-green-1</t>
  </si>
  <si>
    <t>color: #dcffe4 !important;</t>
  </si>
  <si>
    <t>.color-green-2</t>
  </si>
  <si>
    <t>color: #bef5cb !important;</t>
  </si>
  <si>
    <t>.color-green-3</t>
  </si>
  <si>
    <t>color: #85e89d !important;</t>
  </si>
  <si>
    <t>.color-green-4</t>
  </si>
  <si>
    <t>color: #34d058 !important;</t>
  </si>
  <si>
    <t>.color-green-5</t>
  </si>
  <si>
    <t>color: #28a745 !important;</t>
  </si>
  <si>
    <t>.color-green-6</t>
  </si>
  <si>
    <t>color: #22863a !important;</t>
  </si>
  <si>
    <t>.color-green-7</t>
  </si>
  <si>
    <t>color: #176f2c !important;</t>
  </si>
  <si>
    <t>.color-green-8</t>
  </si>
  <si>
    <t>color: #165c26 !important;</t>
  </si>
  <si>
    <t>.color-green-9</t>
  </si>
  <si>
    <t>color: #144620 !important;</t>
  </si>
  <si>
    <t>.color-orange-0</t>
  </si>
  <si>
    <t>color: #fff8f2 !important;</t>
  </si>
  <si>
    <t>.color-orange-1</t>
  </si>
  <si>
    <t>color: #ffebda !important;</t>
  </si>
  <si>
    <t>.color-orange-2</t>
  </si>
  <si>
    <t>color: #ffd1ac !important;</t>
  </si>
  <si>
    <t>.color-orange-3</t>
  </si>
  <si>
    <t>color: #ffab70 !important;</t>
  </si>
  <si>
    <t>.color-orange-4</t>
  </si>
  <si>
    <t>color: #fb8532 !important;</t>
  </si>
  <si>
    <t>.color-orange-5</t>
  </si>
  <si>
    <t>color: #f66a0a !important;</t>
  </si>
  <si>
    <t>.color-orange-6</t>
  </si>
  <si>
    <t>color: #e36209 !important;</t>
  </si>
  <si>
    <t>.color-orange-7</t>
  </si>
  <si>
    <t>color: #d15704 !important;</t>
  </si>
  <si>
    <t>.color-orange-8</t>
  </si>
  <si>
    <t>color: #c24e00 !important;</t>
  </si>
  <si>
    <t>.color-orange-9</t>
  </si>
  <si>
    <t>color: #a04100 !important;</t>
  </si>
  <si>
    <t>.color-pink-0</t>
  </si>
  <si>
    <t>color: #ffeef8 !important;</t>
  </si>
  <si>
    <t>.color-pink-1</t>
  </si>
  <si>
    <t>color: #fedbf0 !important;</t>
  </si>
  <si>
    <t>.color-pink-2</t>
  </si>
  <si>
    <t>color: #f9b3dd !important;</t>
  </si>
  <si>
    <t>.color-pink-3</t>
  </si>
  <si>
    <t>color: #f692ce !important;</t>
  </si>
  <si>
    <t>.color-pink-4</t>
  </si>
  <si>
    <t>color: #ec6cb9 !important;</t>
  </si>
  <si>
    <t>.color-pink-5</t>
  </si>
  <si>
    <t>color: #ea4aaa !important;</t>
  </si>
  <si>
    <t>.color-pink-6</t>
  </si>
  <si>
    <t>color: #d03592 !important;</t>
  </si>
  <si>
    <t>.color-pink-7</t>
  </si>
  <si>
    <t>color: #b93a86 !important;</t>
  </si>
  <si>
    <t>.color-pink-8</t>
  </si>
  <si>
    <t>color: #99306f !important;</t>
  </si>
  <si>
    <t>.color-pink-9</t>
  </si>
  <si>
    <t>color: #6d224f !important;</t>
  </si>
  <si>
    <t>.color-purple-0</t>
  </si>
  <si>
    <t>color: #f5f0ff !important;</t>
  </si>
  <si>
    <t>.color-purple-1</t>
  </si>
  <si>
    <t>color: #e6dcfd !important;</t>
  </si>
  <si>
    <t>.color-purple-2</t>
  </si>
  <si>
    <t>color: #d1bcf9 !important;</t>
  </si>
  <si>
    <t>.color-purple-3</t>
  </si>
  <si>
    <t>color: #b392f0 !important;</t>
  </si>
  <si>
    <t>.color-purple-4</t>
  </si>
  <si>
    <t>color: #8a63d2 !important;</t>
  </si>
  <si>
    <t>.color-purple-5</t>
  </si>
  <si>
    <t>color: #6f42c1 !important;</t>
  </si>
  <si>
    <t>.color-purple-6</t>
  </si>
  <si>
    <t>color: #5a32a3 !important;</t>
  </si>
  <si>
    <t>.color-purple-7</t>
  </si>
  <si>
    <t>color: #4c2889 !important;</t>
  </si>
  <si>
    <t>.color-purple-8</t>
  </si>
  <si>
    <t>color: #3a1d6e !important;</t>
  </si>
  <si>
    <t>.color-purple-9</t>
  </si>
  <si>
    <t>color: #29134e !important;</t>
  </si>
  <si>
    <t>.color-red-0</t>
  </si>
  <si>
    <t>color: #ffeef0 !important;</t>
  </si>
  <si>
    <t>.color-red-1</t>
  </si>
  <si>
    <t>color: #ffdce0 !important;</t>
  </si>
  <si>
    <t>.color-red-2</t>
  </si>
  <si>
    <t>color: #fdaeb7 !important;</t>
  </si>
  <si>
    <t>.color-red-3</t>
  </si>
  <si>
    <t>color: #f97583 !important;</t>
  </si>
  <si>
    <t>.color-red-4</t>
  </si>
  <si>
    <t>color: #ea4a5a !important;</t>
  </si>
  <si>
    <t>.color-red-5</t>
  </si>
  <si>
    <t>color: #d73a49 !important;</t>
  </si>
  <si>
    <t>.color-red-6</t>
  </si>
  <si>
    <t>color: #cb2431 !important;</t>
  </si>
  <si>
    <t>.color-red-7</t>
  </si>
  <si>
    <t>color: #b31d28 !important;</t>
  </si>
  <si>
    <t>.color-red-8</t>
  </si>
  <si>
    <t>color: #9e1c23 !important;</t>
  </si>
  <si>
    <t>.color-red-9</t>
  </si>
  <si>
    <t>color: #86181d !important;</t>
  </si>
  <si>
    <t>.color-yellow-0</t>
  </si>
  <si>
    <t>color: #fffdef !important;</t>
  </si>
  <si>
    <t>.color-yellow-1</t>
  </si>
  <si>
    <t>color: #fffbdd !important;</t>
  </si>
  <si>
    <t>.color-yellow-2</t>
  </si>
  <si>
    <t>color: #fff5b1 !important;</t>
  </si>
  <si>
    <t>.color-yellow-3</t>
  </si>
  <si>
    <t>color: #ffea7f !important;</t>
  </si>
  <si>
    <t>.color-yellow-4</t>
  </si>
  <si>
    <t>color: #ffdf5d !important;</t>
  </si>
  <si>
    <t>.color-yellow-5</t>
  </si>
  <si>
    <t>color: #ffd33d !important;</t>
  </si>
  <si>
    <t>.color-yellow-6</t>
  </si>
  <si>
    <t>color: #f9c513 !important;</t>
  </si>
  <si>
    <t>.color-yellow-7</t>
  </si>
  <si>
    <t>color: #dbab09 !important;</t>
  </si>
  <si>
    <t>.color-yellow-8</t>
  </si>
  <si>
    <t>color: #b08800 !important;</t>
  </si>
  <si>
    <t>.color-yellow-9</t>
  </si>
  <si>
    <t>color: #735c0f !important;</t>
  </si>
  <si>
    <t>.composer .comment-form-textarea</t>
  </si>
  <si>
    <t>height: 200px;</t>
  </si>
  <si>
    <t>min-height: 200px;</t>
  </si>
  <si>
    <t>.composer .tabnav</t>
  </si>
  <si>
    <t>margin: 0 0 10px;</t>
  </si>
  <si>
    <t>max-width: 1012px;</t>
  </si>
  <si>
    <t>margin-right: auto;</t>
  </si>
  <si>
    <t>margin-left: auto;</t>
  </si>
  <si>
    <t>max-width: 768px;</t>
  </si>
  <si>
    <t>max-width: 544px;</t>
  </si>
  <si>
    <t>max-width: 1280px;</t>
  </si>
  <si>
    <t>.Counter</t>
  </si>
  <si>
    <t>padding: 2px 5px;</t>
  </si>
  <si>
    <t>background-color: rgba(27,31,35,0.08);</t>
  </si>
  <si>
    <t>border-radius: 20px;</t>
  </si>
  <si>
    <t>.Counter--gray</t>
  </si>
  <si>
    <t>background-color: #6a737d;</t>
  </si>
  <si>
    <t>.Counter--gray-light</t>
  </si>
  <si>
    <t>background-color: rgba(27,31,35,0.15);</t>
  </si>
  <si>
    <t>.Counter:empty</t>
  </si>
  <si>
    <t>visibility: hidden;</t>
  </si>
  <si>
    <t>.css-truncate.css-truncate-overflow.css-truncate .css-truncate-overflow.css-truncate.css-truncate-target.css-truncate .css-truncate-target</t>
  </si>
  <si>
    <t>.css-truncate.css-truncate-target.css-truncate .css-truncate-target</t>
  </si>
  <si>
    <t>max-width: 125px;</t>
  </si>
  <si>
    <t>vertical-align: top;</t>
  </si>
  <si>
    <t>.css-truncate.expandable.zeroclipboard-is-hover .css-truncate-target.css-truncate.expandable.zeroclipboard-is-hover.css-truncate-target.css-truncate.expandable:hover .css-truncate-target.css-truncate.expandable:hover.css-truncate-target</t>
  </si>
  <si>
    <t>max-width: 10000px !important;</t>
  </si>
  <si>
    <t>display: block !important;</t>
  </si>
  <si>
    <t>display: flex !important;</t>
  </si>
  <si>
    <t>display: inline !important;</t>
  </si>
  <si>
    <t>display: inline-block !important;</t>
  </si>
  <si>
    <t>display: inline-flex !important;</t>
  </si>
  <si>
    <t>display: table !important;</t>
  </si>
  <si>
    <t>display: table-cell !important;</t>
  </si>
  <si>
    <t>.DashedConnection</t>
  </si>
  <si>
    <t>.DashedConnection .CircleBadge</t>
  </si>
  <si>
    <t>.DashedConnection::before</t>
  </si>
  <si>
    <t>top: 50%;</t>
  </si>
  <si>
    <t>left: 0;</t>
  </si>
  <si>
    <t>border-bottom: 2px dashed #e1e4e8;</t>
  </si>
  <si>
    <t>.details-overlay-dark[open]&gt;summary::before</t>
  </si>
  <si>
    <t>background: rgba(27,31,35,0.5);</t>
  </si>
  <si>
    <t>.details-overlay[open]&gt;summary::before</t>
  </si>
  <si>
    <t>position: fixed;</t>
  </si>
  <si>
    <t>bottom: 0;</t>
  </si>
  <si>
    <t>z-index: 80;</t>
  </si>
  <si>
    <t>content: " ";</t>
  </si>
  <si>
    <t>.details-reset&gt;summary</t>
  </si>
  <si>
    <t>.details-reset&gt;summary::-webkit-details-marker</t>
  </si>
  <si>
    <t>.details-reset&gt;summary::before</t>
  </si>
  <si>
    <t>.diffstat</t>
  </si>
  <si>
    <t>.diffstat-block-added</t>
  </si>
  <si>
    <t>background-color: #2cbe4e;</t>
  </si>
  <si>
    <t>.diffstat-block-deleted.diffstat-block-added.diffstat-block-neutral</t>
  </si>
  <si>
    <t>width: 8px;</t>
  </si>
  <si>
    <t>height: 8px;</t>
  </si>
  <si>
    <t>margin-left: 1px;</t>
  </si>
  <si>
    <t>.diffstat-block-deleted</t>
  </si>
  <si>
    <t>.diffstat-block-neutral</t>
  </si>
  <si>
    <t>background-color: #d1d5da;</t>
  </si>
  <si>
    <t>.direction-ltr</t>
  </si>
  <si>
    <t>direction: ltr !important;</t>
  </si>
  <si>
    <t>.direction-rtl</t>
  </si>
  <si>
    <t>direction: rtl !important;</t>
  </si>
  <si>
    <t>.drag-and-drop</t>
  </si>
  <si>
    <t>padding: 7px 10px;</t>
  </si>
  <si>
    <t>margin: 0;</t>
  </si>
  <si>
    <t>line-height: 16px;</t>
  </si>
  <si>
    <t>border: 1px solid #c3c8cf;</t>
  </si>
  <si>
    <t>border-top: 0;</t>
  </si>
  <si>
    <t>.drag-and-drop .default.drag-and-drop .loading.drag-and-drop .error</t>
  </si>
  <si>
    <t>.drag-and-drop .error</t>
  </si>
  <si>
    <t>.drag-and-drop img</t>
  </si>
  <si>
    <t>.drag-and-drop-error-info</t>
  </si>
  <si>
    <t>font-weight: 400;</t>
  </si>
  <si>
    <t>.drag-and-drop-error-info a</t>
  </si>
  <si>
    <t>.dragover textarea.dragover .drag-and-drop</t>
  </si>
  <si>
    <t>box-shadow: #c9ff00 0 0 3px;</t>
  </si>
  <si>
    <t>.dropdown-caret</t>
  </si>
  <si>
    <t>width: 0;</t>
  </si>
  <si>
    <t>height: 0;</t>
  </si>
  <si>
    <t>border-width: 4px 4px 0;</t>
  </si>
  <si>
    <t>border-right-color: transparent;</t>
  </si>
  <si>
    <t>border-bottom-color: transparent;</t>
  </si>
  <si>
    <t>border-left-color: transparent;</t>
  </si>
  <si>
    <t>margin: 8px 0;</t>
  </si>
  <si>
    <t>border-top: 1px #e1e4e8 solid;</t>
  </si>
  <si>
    <t>padding: 4px 16px;</t>
  </si>
  <si>
    <t>padding: 4px 8px 4px 16px;</t>
  </si>
  <si>
    <t>.dropdown-item:focus.dropdown-item:hover</t>
  </si>
  <si>
    <t>.dropdown-item:focus&gt;.octicon.dropdown-item:hover&gt;.octicon</t>
  </si>
  <si>
    <t>color: inherit;</t>
  </si>
  <si>
    <t>.dropdown-item.btn-link</t>
  </si>
  <si>
    <t>text-align: left;</t>
  </si>
  <si>
    <t>.dropdown-item[aria-checked="false"] .octicon-check</t>
  </si>
  <si>
    <t>top: 100%;</t>
  </si>
  <si>
    <t>z-index: 100;</t>
  </si>
  <si>
    <t>width: 160px;</t>
  </si>
  <si>
    <t>padding-top: 4px;</t>
  </si>
  <si>
    <t>padding-bottom: 4px;</t>
  </si>
  <si>
    <t>margin-top: 2px;</t>
  </si>
  <si>
    <t>background-clip: padding-box;</t>
  </si>
  <si>
    <t>border: 1px solid rgba(27,31,35,0.15);</t>
  </si>
  <si>
    <t>border-radius: 4px;</t>
  </si>
  <si>
    <t>box-shadow: 0 1px 15px rgba(27,31,35,0.15);</t>
  </si>
  <si>
    <t>background: #2f363d;</t>
  </si>
  <si>
    <t>border-color: #444d56;</t>
  </si>
  <si>
    <t>.dropdown-menu-dark .dropdown-divider</t>
  </si>
  <si>
    <t>border-top-color: #444d56;</t>
  </si>
  <si>
    <t>.dropdown-menu-dark .dropdown-header</t>
  </si>
  <si>
    <t>color: #d1d5da;</t>
  </si>
  <si>
    <t>.dropdown-menu-dark .dropdown-item</t>
  </si>
  <si>
    <t>.dropdown-menu-dark::after</t>
  </si>
  <si>
    <t>border-bottom-color: #2f363d;</t>
  </si>
  <si>
    <t>.dropdown-menu-dark::before</t>
  </si>
  <si>
    <t>border-bottom-color: #444d56;</t>
  </si>
  <si>
    <t>.dropdown-menu-dark.dropdown-menu-e::after</t>
  </si>
  <si>
    <t>border-color: transparent #2f363d transparent transparent;</t>
  </si>
  <si>
    <t>.dropdown-menu-dark.dropdown-menu-e::before</t>
  </si>
  <si>
    <t>border-color: transparent #444d56 transparent transparent;</t>
  </si>
  <si>
    <t>.dropdown-menu-dark.dropdown-menu-ne::after</t>
  </si>
  <si>
    <t>border-color: #2f363d transparent transparent transparent;</t>
  </si>
  <si>
    <t>.dropdown-menu-dark.dropdown-menu-ne::before</t>
  </si>
  <si>
    <t>border-color: #444d56 transparent transparent transparent;</t>
  </si>
  <si>
    <t>.dropdown-menu-dark.dropdown-menu-w::after</t>
  </si>
  <si>
    <t>border-color: transparent transparent transparent #2f363d;</t>
  </si>
  <si>
    <t>.dropdown-menu-dark.dropdown-menu-w::before</t>
  </si>
  <si>
    <t>border-color: transparent transparent transparent #444d56;</t>
  </si>
  <si>
    <t>.dropdown-menu-e</t>
  </si>
  <si>
    <t>left: 100%;</t>
  </si>
  <si>
    <t>width: auto;</t>
  </si>
  <si>
    <t>margin-top: 0;</t>
  </si>
  <si>
    <t>margin-left: 8px;</t>
  </si>
  <si>
    <t>.dropdown-menu-e::after</t>
  </si>
  <si>
    <t>top: 11px;</t>
  </si>
  <si>
    <t>left: -14px;</t>
  </si>
  <si>
    <t>border-color: transparent;</t>
  </si>
  <si>
    <t>border-right-color: #fff;</t>
  </si>
  <si>
    <t>.dropdown-menu-e::before</t>
  </si>
  <si>
    <t>top: 8px;</t>
  </si>
  <si>
    <t>left: -16px;</t>
  </si>
  <si>
    <t>border-right-color: rgba(27,31,35,0.15);</t>
  </si>
  <si>
    <t>.dropdown-menu-ne</t>
  </si>
  <si>
    <t>top: auto;</t>
  </si>
  <si>
    <t>bottom: 100%;</t>
  </si>
  <si>
    <t>.dropdown-menu-ne::after</t>
  </si>
  <si>
    <t>bottom: -7px;</t>
  </si>
  <si>
    <t>left: 10px;</t>
  </si>
  <si>
    <t>border-top: 7px solid #fff;</t>
  </si>
  <si>
    <t>border-right: 7px solid transparent;</t>
  </si>
  <si>
    <t>border-bottom: 0;</t>
  </si>
  <si>
    <t>border-left: 7px solid transparent;</t>
  </si>
  <si>
    <t>.dropdown-menu-ne::before.dropdown-menu-ne::after</t>
  </si>
  <si>
    <t>right: auto;</t>
  </si>
  <si>
    <t>.dropdown-menu-ne::before</t>
  </si>
  <si>
    <t>bottom: -8px;</t>
  </si>
  <si>
    <t>left: 9px;</t>
  </si>
  <si>
    <t>border-top: 8px solid rgba(27,31,35,0.15);</t>
  </si>
  <si>
    <t>border-right: 8px solid transparent;</t>
  </si>
  <si>
    <t>border-left: 8px solid transparent;</t>
  </si>
  <si>
    <t>.dropdown-menu-no-overflow</t>
  </si>
  <si>
    <t>.dropdown-menu-no-overflow .dropdown-item</t>
  </si>
  <si>
    <t>overflow: visible;</t>
  </si>
  <si>
    <t>text-overflow: inherit;</t>
  </si>
  <si>
    <t>.dropdown-menu-s</t>
  </si>
  <si>
    <t>right: 50%;</t>
  </si>
  <si>
    <t>left: auto;</t>
  </si>
  <si>
    <t>transform: translateX(50%);</t>
  </si>
  <si>
    <t>.dropdown-menu-s::after</t>
  </si>
  <si>
    <t>top: -14px;</t>
  </si>
  <si>
    <t>.dropdown-menu-s::before</t>
  </si>
  <si>
    <t>top: -16px;</t>
  </si>
  <si>
    <t>.dropdown-menu-se::after</t>
  </si>
  <si>
    <t>.dropdown-menu-se::before</t>
  </si>
  <si>
    <t>.dropdown-menu-sw</t>
  </si>
  <si>
    <t>.dropdown-menu-sw::after</t>
  </si>
  <si>
    <t>right: 10px;</t>
  </si>
  <si>
    <t>.dropdown-menu-sw::before</t>
  </si>
  <si>
    <t>right: 9px;</t>
  </si>
  <si>
    <t>.dropdown-menu-w</t>
  </si>
  <si>
    <t>right: 100%;</t>
  </si>
  <si>
    <t>margin-right: 8px;</t>
  </si>
  <si>
    <t>.dropdown-menu-w::after</t>
  </si>
  <si>
    <t>right: -14px;</t>
  </si>
  <si>
    <t>border-left-color: #fff;</t>
  </si>
  <si>
    <t>.dropdown-menu-w::before</t>
  </si>
  <si>
    <t>top: 10px;</t>
  </si>
  <si>
    <t>right: -16px;</t>
  </si>
  <si>
    <t>border-left-color: rgba(27,31,35,0.15);</t>
  </si>
  <si>
    <t>.dropdown-menu::after</t>
  </si>
  <si>
    <t>border: 7px solid transparent;</t>
  </si>
  <si>
    <t>border-bottom-color: #fff;</t>
  </si>
  <si>
    <t>.dropdown-menu::before.dropdown-menu::after</t>
  </si>
  <si>
    <t>.dropdown-menu::before</t>
  </si>
  <si>
    <t>border: 8px solid transparent;</t>
  </si>
  <si>
    <t>border-bottom-color: rgba(27,31,35,0.15);</t>
  </si>
  <si>
    <t>.dropdown-menu&gt;ul</t>
  </si>
  <si>
    <t>.dropdown-signout</t>
  </si>
  <si>
    <t>.f0-light</t>
  </si>
  <si>
    <t>font-size: 32px !important;</t>
  </si>
  <si>
    <t>font-weight: 300 !important;</t>
  </si>
  <si>
    <t>.f00-light</t>
  </si>
  <si>
    <t>font-size: 40px !important;</t>
  </si>
  <si>
    <t>.f1</t>
  </si>
  <si>
    <t>font-size: 26px !important;</t>
  </si>
  <si>
    <t>.f1-light</t>
  </si>
  <si>
    <t>.f2</t>
  </si>
  <si>
    <t>font-size: 22px !important;</t>
  </si>
  <si>
    <t>.f2-light</t>
  </si>
  <si>
    <t>.f3</t>
  </si>
  <si>
    <t>font-size: 18px !important;</t>
  </si>
  <si>
    <t>.f3-light</t>
  </si>
  <si>
    <t>.f4</t>
  </si>
  <si>
    <t>font-size: 16px !important;</t>
  </si>
  <si>
    <t>.f5</t>
  </si>
  <si>
    <t>font-size: 14px !important;</t>
  </si>
  <si>
    <t>.f6</t>
  </si>
  <si>
    <t>font-size: 12px !important;</t>
  </si>
  <si>
    <t>.filter-item</t>
  </si>
  <si>
    <t>padding: 8px 10px;</t>
  </si>
  <si>
    <t>margin-bottom: 5px;</t>
  </si>
  <si>
    <t>.filter-item .bar</t>
  </si>
  <si>
    <t>top: 2px;</t>
  </si>
  <si>
    <t>bottom: 2px;</t>
  </si>
  <si>
    <t>z-index: -1;</t>
  </si>
  <si>
    <t>.filter-item .count</t>
  </si>
  <si>
    <t>float: right;</t>
  </si>
  <si>
    <t>.filter-item:hover</t>
  </si>
  <si>
    <t>background-color: #eaecef;</t>
  </si>
  <si>
    <t>.filter-item.selected</t>
  </si>
  <si>
    <t>.filter-list</t>
  </si>
  <si>
    <t>.filter-list.pjax-active .filter-item</t>
  </si>
  <si>
    <t>.filter-list.pjax-active .filter-item.pjax-active</t>
  </si>
  <si>
    <t>.filter-list.small .filter-item</t>
  </si>
  <si>
    <t>padding: 4px 10px;</t>
  </si>
  <si>
    <t>margin: 0 0 2px;</t>
  </si>
  <si>
    <t>.flash</t>
  </si>
  <si>
    <t>color: #032f62;</t>
  </si>
  <si>
    <t>background-color: #dbedff;</t>
  </si>
  <si>
    <t>.flash p:last-child</t>
  </si>
  <si>
    <t>margin-bottom: 0;</t>
  </si>
  <si>
    <t>.flash-action</t>
  </si>
  <si>
    <t>margin-top: -3px;</t>
  </si>
  <si>
    <t>margin-left: 24px;</t>
  </si>
  <si>
    <t>.flash-banner</t>
  </si>
  <si>
    <t>z-index: 90;</t>
  </si>
  <si>
    <t>border-left: 0;</t>
  </si>
  <si>
    <t>.flash-close</t>
  </si>
  <si>
    <t>margin: -16px;</t>
  </si>
  <si>
    <t>opacity: 0.6;</t>
  </si>
  <si>
    <t>.flash-close:hover</t>
  </si>
  <si>
    <t>.flash-error</t>
  </si>
  <si>
    <t>color: #86181d;</t>
  </si>
  <si>
    <t>background-color: #ffdce0;</t>
  </si>
  <si>
    <t>.flash-full</t>
  </si>
  <si>
    <t>border-width: 1px 0;</t>
  </si>
  <si>
    <t>.flash-messages</t>
  </si>
  <si>
    <t>margin-bottom: 24px;</t>
  </si>
  <si>
    <t>.flash-success</t>
  </si>
  <si>
    <t>color: #165c26;</t>
  </si>
  <si>
    <t>background-color: #dcffe4;</t>
  </si>
  <si>
    <t>.flash-warn</t>
  </si>
  <si>
    <t>color: #735c0f;</t>
  </si>
  <si>
    <t>.flex-1</t>
  </si>
  <si>
    <t>flex: 1 !important;</t>
  </si>
  <si>
    <t>.flex-auto</t>
  </si>
  <si>
    <t>flex: auto !important;</t>
  </si>
  <si>
    <t>flex-direction: column !important;</t>
  </si>
  <si>
    <t>flex-direction: column-reverse !important;</t>
  </si>
  <si>
    <t>.flex-content-around</t>
  </si>
  <si>
    <t>align-content: space-around !important;</t>
  </si>
  <si>
    <t>.flex-content-between</t>
  </si>
  <si>
    <t>align-content: space-between !important;</t>
  </si>
  <si>
    <t>.flex-content-center</t>
  </si>
  <si>
    <t>align-content: center !important;</t>
  </si>
  <si>
    <t>.flex-content-end</t>
  </si>
  <si>
    <t>align-content: flex-end !important;</t>
  </si>
  <si>
    <t>.flex-content-start</t>
  </si>
  <si>
    <t>align-content: flex-start !important;</t>
  </si>
  <si>
    <t>.flex-content-stretch</t>
  </si>
  <si>
    <t>align-content: stretch !important;</t>
  </si>
  <si>
    <t>flex-grow: 0 !important;</t>
  </si>
  <si>
    <t>.flex-items-baseline</t>
  </si>
  <si>
    <t>align-items: baseline !important;</t>
  </si>
  <si>
    <t>.flex-items-center</t>
  </si>
  <si>
    <t>align-items: center !important;</t>
  </si>
  <si>
    <t>.flex-items-end</t>
  </si>
  <si>
    <t>align-items: flex-end !important;</t>
  </si>
  <si>
    <t>.flex-items-start</t>
  </si>
  <si>
    <t>align-items: flex-start !important;</t>
  </si>
  <si>
    <t>.flex-items-stretch</t>
  </si>
  <si>
    <t>align-items: stretch !important;</t>
  </si>
  <si>
    <t>.flex-justify-around</t>
  </si>
  <si>
    <t>justify-content: space-around !important;</t>
  </si>
  <si>
    <t>.flex-justify-between</t>
  </si>
  <si>
    <t>justify-content: space-between !important;</t>
  </si>
  <si>
    <t>.flex-justify-center</t>
  </si>
  <si>
    <t>justify-content: center !important;</t>
  </si>
  <si>
    <t>.flex-justify-end</t>
  </si>
  <si>
    <t>justify-content: flex-end !important;</t>
  </si>
  <si>
    <t>.flex-justify-start</t>
  </si>
  <si>
    <t>justify-content: flex-start !important;</t>
  </si>
  <si>
    <t>flex-wrap: nowrap !important;</t>
  </si>
  <si>
    <t>.flex-order-1</t>
  </si>
  <si>
    <t>order: 1 !important;</t>
  </si>
  <si>
    <t>.flex-order-2</t>
  </si>
  <si>
    <t>order: 2 !important;</t>
  </si>
  <si>
    <t>.flex-order-none</t>
  </si>
  <si>
    <t>order: inherit !important;</t>
  </si>
  <si>
    <t>flex-direction: row !important;</t>
  </si>
  <si>
    <t>flex-direction: row-reverse !important;</t>
  </si>
  <si>
    <t>.flex-self-auto</t>
  </si>
  <si>
    <t>align-self: auto !important;</t>
  </si>
  <si>
    <t>.flex-self-baseline</t>
  </si>
  <si>
    <t>align-self: baseline !important;</t>
  </si>
  <si>
    <t>.flex-self-center</t>
  </si>
  <si>
    <t>align-self: center !important;</t>
  </si>
  <si>
    <t>.flex-self-end</t>
  </si>
  <si>
    <t>align-self: flex-end !important;</t>
  </si>
  <si>
    <t>.flex-self-start</t>
  </si>
  <si>
    <t>align-self: flex-start !important;</t>
  </si>
  <si>
    <t>.flex-self-stretch</t>
  </si>
  <si>
    <t>align-self: stretch !important;</t>
  </si>
  <si>
    <t>flex-shrink: 0 !important;</t>
  </si>
  <si>
    <t>flex-wrap: wrap !important;</t>
  </si>
  <si>
    <t>.float-left</t>
  </si>
  <si>
    <t>float: left !important;</t>
  </si>
  <si>
    <t>float: none !important;</t>
  </si>
  <si>
    <t>.float-right</t>
  </si>
  <si>
    <t>float: right !important;</t>
  </si>
  <si>
    <t>.form-action-spacious</t>
  </si>
  <si>
    <t>margin-top: 10px;</t>
  </si>
  <si>
    <t>.form-actions .btn</t>
  </si>
  <si>
    <t>.form-actions .btn+.btn</t>
  </si>
  <si>
    <t>margin-right: 5px;</t>
  </si>
  <si>
    <t>.form-actions::after</t>
  </si>
  <si>
    <t>.form-actions::before</t>
  </si>
  <si>
    <t>.form-checkbox</t>
  </si>
  <si>
    <t>padding-left: 20px;</t>
  </si>
  <si>
    <t>margin: 15px 0;</t>
  </si>
  <si>
    <t>.form-checkbox .note</t>
  </si>
  <si>
    <t>.form-checkbox input[type=checkbox].form-checkbox input[type=radio]</t>
  </si>
  <si>
    <t>margin: 5px 0 0 -20px;</t>
  </si>
  <si>
    <t>.form-checkbox label em.highlight</t>
  </si>
  <si>
    <t>left: -4px;</t>
  </si>
  <si>
    <t>padding: 2px 4px;</t>
  </si>
  <si>
    <t>background: #fffbdd;</t>
  </si>
  <si>
    <t>.form-checkbox-details</t>
  </si>
  <si>
    <t>.form-checkbox-details-trigger:checked ~ * .form-checkbox-details.form-checkbox-details-trigger:checked ~ .form-checkbox-details</t>
  </si>
  <si>
    <t>.form-control.form-select</t>
  </si>
  <si>
    <t>min-height: 34px;</t>
  </si>
  <si>
    <t>padding: 6px 8px;</t>
  </si>
  <si>
    <t>background-repeat: no-repeat;</t>
  </si>
  <si>
    <t>background-position: right 8px center;</t>
  </si>
  <si>
    <t>box-shadow: inset 0 1px 2px rgba(27,31,35,0.075);</t>
  </si>
  <si>
    <t>.form-control.focus.form-control:focus.form-select.focus.form-select:focus</t>
  </si>
  <si>
    <t>border-color: #2188ff;</t>
  </si>
  <si>
    <t>box-shadow: inset 0 1px 2px rgba(27,31,35,0.075),0 0 0 0.2em rgba(3,102,214,0.3);</t>
  </si>
  <si>
    <t>.form-group .form-control</t>
  </si>
  <si>
    <t>width: 440px;</t>
  </si>
  <si>
    <t>max-width: 100%;</t>
  </si>
  <si>
    <t>.form-group .form-control:focus</t>
  </si>
  <si>
    <t>.form-group .form-control.long</t>
  </si>
  <si>
    <t>.form-group .form-control.short</t>
  </si>
  <si>
    <t>width: 250px;</t>
  </si>
  <si>
    <t>.form-group .form-control.shorter</t>
  </si>
  <si>
    <t>width: 130px;</t>
  </si>
  <si>
    <t>.form-group .success.form-group .error.form-group .indicator</t>
  </si>
  <si>
    <t>.form-group dd h4</t>
  </si>
  <si>
    <t>margin: 4px 0 0;</t>
  </si>
  <si>
    <t>.form-group dd h4.is-error</t>
  </si>
  <si>
    <t>.form-group dd h4.is-success</t>
  </si>
  <si>
    <t>color: #28a745;</t>
  </si>
  <si>
    <t>.form-group dd h4+.note</t>
  </si>
  <si>
    <t>.form-group dt</t>
  </si>
  <si>
    <t>margin: 0 0 6px;</t>
  </si>
  <si>
    <t>.form-group label</t>
  </si>
  <si>
    <t>position: static;</t>
  </si>
  <si>
    <t>.form-group textarea.form-control</t>
  </si>
  <si>
    <t>.form-group textarea.form-control.short</t>
  </si>
  <si>
    <t>height: 50px;</t>
  </si>
  <si>
    <t>min-height: 50px;</t>
  </si>
  <si>
    <t>.form-group.errored .error</t>
  </si>
  <si>
    <t>border-color: #cea0a5;</t>
  </si>
  <si>
    <t>.form-group.errored .error::after</t>
  </si>
  <si>
    <t>border-bottom-color: #ffdce0;</t>
  </si>
  <si>
    <t>.form-group.errored .error::before</t>
  </si>
  <si>
    <t>border-bottom-color: #cea0a5;</t>
  </si>
  <si>
    <t>.form-group.errored label</t>
  </si>
  <si>
    <t>.form-group.flattened dd</t>
  </si>
  <si>
    <t>line-height: 32px;</t>
  </si>
  <si>
    <t>.form-group.flattened dt</t>
  </si>
  <si>
    <t>.form-group.loading</t>
  </si>
  <si>
    <t>opacity: 0.5;</t>
  </si>
  <si>
    <t>.form-group.loading .indicator</t>
  </si>
  <si>
    <t>display: inline;</t>
  </si>
  <si>
    <t>.form-group.loading .spinner</t>
  </si>
  <si>
    <t>.form-group.required dt label::after</t>
  </si>
  <si>
    <t>padding-left: 5px;</t>
  </si>
  <si>
    <t>content: "*";</t>
  </si>
  <si>
    <t>.form-group.successful .success</t>
  </si>
  <si>
    <t>.form-group.warn .warning.form-group.warn .error.form-group.errored .warning.form-group.errored .error</t>
  </si>
  <si>
    <t>z-index: 10;</t>
  </si>
  <si>
    <t>max-width: 450px;</t>
  </si>
  <si>
    <t>padding: 5px 8px;</t>
  </si>
  <si>
    <t>.form-group.warn .warning</t>
  </si>
  <si>
    <t>border-color: #d9d0a5;</t>
  </si>
  <si>
    <t>.form-group.warn .warning::after.form-group.warn .warning::before.form-group.warn .error::after.form-group.warn .error::before.form-group.errored .warning::after.form-group.errored .warning::before.form-group.errored .error::after.form-group.errored .error::before</t>
  </si>
  <si>
    <t>z-index: 15;</t>
  </si>
  <si>
    <t>border: solid transparent;</t>
  </si>
  <si>
    <t>.form-group.warn .warning::after.form-group.warn .error::after.form-group.errored .warning::after.form-group.errored .error::after</t>
  </si>
  <si>
    <t>border-width: 5px;</t>
  </si>
  <si>
    <t>.form-group.warn .warning::after</t>
  </si>
  <si>
    <t>border-bottom-color: #fffbdd;</t>
  </si>
  <si>
    <t>.form-group.warn .warning::before.form-group.warn .error::before.form-group.errored .warning::before.form-group.errored .error::before</t>
  </si>
  <si>
    <t>margin-left: -1px;</t>
  </si>
  <si>
    <t>border-width: 6px;</t>
  </si>
  <si>
    <t>.form-group.warn .warning::before</t>
  </si>
  <si>
    <t>border-bottom-color: #d9d0a5;</t>
  </si>
  <si>
    <t>height: 34px;</t>
  </si>
  <si>
    <t>padding-right: 24px;</t>
  </si>
  <si>
    <t>background-image: url("data:image/png;base64,iVBORw0KGgoAAAANSUhEUgAAABAAAAAUCAMAAACzvE1FAAAADFBMVEUzMzMzMzMzMzMzMzMKAG/3AAAAA3RSTlMAf4C/aSLHAAAAPElEQVR42q3NMQ4AIAgEQTn//2cLdRKppSGzBYwzVXvznNWs8C58CiussPJj8h6NwgorrKRdTvuV9v16Afn0AYFOB7aYAAAAAElFTkSuQmCC");</t>
  </si>
  <si>
    <t>background-size: 8px 10px;</t>
  </si>
  <si>
    <t>.form-select::-ms-expand</t>
  </si>
  <si>
    <t>.form-select[multiple]</t>
  </si>
  <si>
    <t>height: auto;</t>
  </si>
  <si>
    <t>.form-warning</t>
  </si>
  <si>
    <t>margin: 10px 0;</t>
  </si>
  <si>
    <t>border: 1px solid #d9d0a5;</t>
  </si>
  <si>
    <t>.form-warning a</t>
  </si>
  <si>
    <t>.form-warning p</t>
  </si>
  <si>
    <t>.grayscale</t>
  </si>
  <si>
    <t>filter: grayscale(100%);</t>
  </si>
  <si>
    <t>.gutter</t>
  </si>
  <si>
    <t>margin-right: -16px;</t>
  </si>
  <si>
    <t>margin-left: -16px;</t>
  </si>
  <si>
    <t>.gutter-condensed</t>
  </si>
  <si>
    <t>margin-right: -8px;</t>
  </si>
  <si>
    <t>margin-left: -8px;</t>
  </si>
  <si>
    <t>.gutter-condensed&gt;[class*="col-"]</t>
  </si>
  <si>
    <t>padding-right: 8px !important;</t>
  </si>
  <si>
    <t>padding-left: 8px !important;</t>
  </si>
  <si>
    <t>.gutter-spacious</t>
  </si>
  <si>
    <t>margin-right: -24px;</t>
  </si>
  <si>
    <t>margin-left: -24px;</t>
  </si>
  <si>
    <t>.gutter-spacious&gt;[class*="col-"]</t>
  </si>
  <si>
    <t>padding-right: 24px !important;</t>
  </si>
  <si>
    <t>padding-left: 24px !important;</t>
  </si>
  <si>
    <t>.gutter&gt;[class*="col-"]</t>
  </si>
  <si>
    <t>padding-right: 16px !important;</t>
  </si>
  <si>
    <t>padding-left: 16px !important;</t>
  </si>
  <si>
    <t>.h0-mktg</t>
  </si>
  <si>
    <t>.h00-mktg</t>
  </si>
  <si>
    <t>.h000-mktg.h00-mktg.h0-mktg.h1-mktg.h2-mktg.h3-mktg.h4-mktg.h5-mktg.h6-mktg.lead-mktg</t>
  </si>
  <si>
    <t>font-family: Inter,-apple-system,BlinkMacSystemFont,"Segoe UI",Helvetica,Arial,sans-serif,"Apple Color Emoji","Segoe UI Emoji","Segoe UI Symbol";</t>
  </si>
  <si>
    <t>.h000-mktg</t>
  </si>
  <si>
    <t>font-size: 48px !important;</t>
  </si>
  <si>
    <t>.h1.h2.h3.h4.h5.h6</t>
  </si>
  <si>
    <t>font-weight: 600 !important;</t>
  </si>
  <si>
    <t>.h1-mktg</t>
  </si>
  <si>
    <t>.h2-mktg</t>
  </si>
  <si>
    <t>.h3-mktg</t>
  </si>
  <si>
    <t>.h4-mktg</t>
  </si>
  <si>
    <t>.h5-mktg</t>
  </si>
  <si>
    <t>.h6-mktg</t>
  </si>
  <si>
    <t>.Header</t>
  </si>
  <si>
    <t>z-index: 32;</t>
  </si>
  <si>
    <t>color: rgba(255,255,255,0.7);</t>
  </si>
  <si>
    <t>background-color: #24292e;</t>
  </si>
  <si>
    <t>flex-wrap: nowrap;</t>
  </si>
  <si>
    <t>.Header-item</t>
  </si>
  <si>
    <t>margin-right: 16px;</t>
  </si>
  <si>
    <t>align-self: stretch;</t>
  </si>
  <si>
    <t>.Header-item--full</t>
  </si>
  <si>
    <t>flex: auto;</t>
  </si>
  <si>
    <t>.Header-link</t>
  </si>
  <si>
    <t>.Header-link:hover.Header-link:focus</t>
  </si>
  <si>
    <t>.height-fit</t>
  </si>
  <si>
    <t>max-height: 100% !important;</t>
  </si>
  <si>
    <t>.height-full</t>
  </si>
  <si>
    <t>height: 100% !important;</t>
  </si>
  <si>
    <t>.hfields</t>
  </si>
  <si>
    <t>.hfields .btn</t>
  </si>
  <si>
    <t>margin: 28px 25px 0 -20px;</t>
  </si>
  <si>
    <t>.hfields .form-group</t>
  </si>
  <si>
    <t>margin: 0 30px 0 0;</t>
  </si>
  <si>
    <t>.hfields .form-group dt img</t>
  </si>
  <si>
    <t>top: -2px;</t>
  </si>
  <si>
    <t>.hfields .form-group dt label</t>
  </si>
  <si>
    <t>margin: 5px 0 0;</t>
  </si>
  <si>
    <t>.hfields .form-select</t>
  </si>
  <si>
    <t>margin-top: 5px;</t>
  </si>
  <si>
    <t>.hfields::after</t>
  </si>
  <si>
    <t>.hfields::before</t>
  </si>
  <si>
    <t>.hidden-text-expander</t>
  </si>
  <si>
    <t>.hidden-text-expander a.ellipsis-expander</t>
  </si>
  <si>
    <t>height: 12px;</t>
  </si>
  <si>
    <t>padding: 0 5px 5px;</t>
  </si>
  <si>
    <t>line-height: 6px;</t>
  </si>
  <si>
    <t>color: #444d56;</t>
  </si>
  <si>
    <t>background: #dfe2e5;</t>
  </si>
  <si>
    <t>border-radius: 1px;</t>
  </si>
  <si>
    <t>.hidden-text-expander a:active.ellipsis-expander:active</t>
  </si>
  <si>
    <t>background-color: #2188ff;</t>
  </si>
  <si>
    <t>.hidden-text-expander a:hover.ellipsis-expander:hover</t>
  </si>
  <si>
    <t>background-color: #c6cbd1;</t>
  </si>
  <si>
    <t>.hidden-text-expander.inline</t>
  </si>
  <si>
    <t>top: -1px;</t>
  </si>
  <si>
    <t>line-height: 0;</t>
  </si>
  <si>
    <t>.hover-grow</t>
  </si>
  <si>
    <t>transition: transform 0.3s;</t>
  </si>
  <si>
    <t>-webkit-backface-visibility: hidden;</t>
  </si>
  <si>
    <t>backface-visibility: hidden;</t>
  </si>
  <si>
    <t>.hover-grow:hover</t>
  </si>
  <si>
    <t>transform: scale(1.025);</t>
  </si>
  <si>
    <t>.inline-form</t>
  </si>
  <si>
    <t>.inline-form .btn-plain</t>
  </si>
  <si>
    <t>.input-block</t>
  </si>
  <si>
    <t>.input-contrast</t>
  </si>
  <si>
    <t>.input-contrast:focus</t>
  </si>
  <si>
    <t>.input-dark</t>
  </si>
  <si>
    <t>background-color: rgba(255,255,255,0.15);</t>
  </si>
  <si>
    <t>.input-dark:-ms-input-placeholder</t>
  </si>
  <si>
    <t>.input-dark::-ms-input-placeholder</t>
  </si>
  <si>
    <t>.input-dark::placeholder</t>
  </si>
  <si>
    <t>.input-dark.focus.input-dark:focus</t>
  </si>
  <si>
    <t>border-color: rgba(27,31,35,0.3);</t>
  </si>
  <si>
    <t>box-shadow: 0 0 0 0.2em rgba(121,184,255,0.4);</t>
  </si>
  <si>
    <t>.input-group .form-control</t>
  </si>
  <si>
    <t>.input-group .form-control.input-group-button</t>
  </si>
  <si>
    <t>display: table-cell;</t>
  </si>
  <si>
    <t>.input-group .form-control:first-child.input-group-button:first-child .btn</t>
  </si>
  <si>
    <t>.input-group .form-control:focus</t>
  </si>
  <si>
    <t>.input-group .form-control:last-child.input-group-button:last-child .btn</t>
  </si>
  <si>
    <t>border-top-left-radius: 0;</t>
  </si>
  <si>
    <t>border-bottom-left-radius: 0;</t>
  </si>
  <si>
    <t>.input-group .form-control+.btn</t>
  </si>
  <si>
    <t>.input-group-button</t>
  </si>
  <si>
    <t>width: 1%;</t>
  </si>
  <si>
    <t>.input-group-button:first-child .btn</t>
  </si>
  <si>
    <t>margin-right: -1px;</t>
  </si>
  <si>
    <t>.input-group-button:last-child .btn</t>
  </si>
  <si>
    <t>.input-group.inline</t>
  </si>
  <si>
    <t>display: inline-table;</t>
  </si>
  <si>
    <t>.input-hide-webkit-autofill::-webkit-contacts-auto-fill-button</t>
  </si>
  <si>
    <t>.input-monospace</t>
  </si>
  <si>
    <t>font-family: "SFMono-Regular",Consolas,"Liberation Mono",Menlo,monospace;</t>
  </si>
  <si>
    <t>min-height: 28px;</t>
  </si>
  <si>
    <t>padding-top: 3px;</t>
  </si>
  <si>
    <t>padding-bottom: 3px;</t>
  </si>
  <si>
    <t>.is-bad-file .drag-and-drop .bad-file</t>
  </si>
  <si>
    <t>.is-bad-permissions .drag-and-drop .bad-permissions</t>
  </si>
  <si>
    <t>.is-default .drag-and-drop .default</t>
  </si>
  <si>
    <t>.is-duplicate-filename .drag-and-drop .duplicate-filename</t>
  </si>
  <si>
    <t>.is-empty .drag-and-drop .empty</t>
  </si>
  <si>
    <t>.is-failed .drag-and-drop .failed-request</t>
  </si>
  <si>
    <t>.is-hidden-file .drag-and-drop .hidden-file</t>
  </si>
  <si>
    <t>.is-repository-required .drag-and-drop .repository-required</t>
  </si>
  <si>
    <t>.is-too-big .drag-and-drop .too-big</t>
  </si>
  <si>
    <t>.is-uploading .drag-and-drop .loading</t>
  </si>
  <si>
    <t>.IssueLabel</t>
  </si>
  <si>
    <t>padding: 0.15em 4px;</t>
  </si>
  <si>
    <t>line-height: 15px;</t>
  </si>
  <si>
    <t>box-shadow: inset 0 -1px 0 rgba(27,31,35,0.12);</t>
  </si>
  <si>
    <t>.IssueLabel .g-emoji</t>
  </si>
  <si>
    <t>top: -0.05em;</t>
  </si>
  <si>
    <t>font-size: 1em;</t>
  </si>
  <si>
    <t>.IssueLabel--big</t>
  </si>
  <si>
    <t>transition: opacity 0.2s linear;</t>
  </si>
  <si>
    <t>.IssueLabel--big .g-emoji</t>
  </si>
  <si>
    <t>.IssueLabel--big:hover</t>
  </si>
  <si>
    <t>opacity: 0.85;</t>
  </si>
  <si>
    <t>.IssueLabel:hover</t>
  </si>
  <si>
    <t>.label.Label</t>
  </si>
  <si>
    <t>padding: 3px 4px;</t>
  </si>
  <si>
    <t>.Label--gray</t>
  </si>
  <si>
    <t>.Label--gray-darker</t>
  </si>
  <si>
    <t>.Label--orange</t>
  </si>
  <si>
    <t>background-color: #d15704;</t>
  </si>
  <si>
    <t>.Label--outline</t>
  </si>
  <si>
    <t>.Label--outline-green</t>
  </si>
  <si>
    <t>border: 1px solid #34d058;</t>
  </si>
  <si>
    <t>.label:hover.Label:hover</t>
  </si>
  <si>
    <t>.labels</t>
  </si>
  <si>
    <t>margin-bottom: 30px;</t>
  </si>
  <si>
    <t>font-weight: 300;</t>
  </si>
  <si>
    <t>.lead-mktg</t>
  </si>
  <si>
    <t>.left-0</t>
  </si>
  <si>
    <t>left: 0 !important;</t>
  </si>
  <si>
    <t>.left-1</t>
  </si>
  <si>
    <t>left: 4px !important;</t>
  </si>
  <si>
    <t>.left-10</t>
  </si>
  <si>
    <t>left: 96px !important;</t>
  </si>
  <si>
    <t>.left-11</t>
  </si>
  <si>
    <t>left: 112px !important;</t>
  </si>
  <si>
    <t>.left-12</t>
  </si>
  <si>
    <t>left: 128px !important;</t>
  </si>
  <si>
    <t>.left-2</t>
  </si>
  <si>
    <t>left: 8px !important;</t>
  </si>
  <si>
    <t>.left-3</t>
  </si>
  <si>
    <t>left: 16px !important;</t>
  </si>
  <si>
    <t>.left-4</t>
  </si>
  <si>
    <t>left: 24px !important;</t>
  </si>
  <si>
    <t>.left-5</t>
  </si>
  <si>
    <t>left: 32px !important;</t>
  </si>
  <si>
    <t>.left-6</t>
  </si>
  <si>
    <t>left: 40px !important;</t>
  </si>
  <si>
    <t>.left-7</t>
  </si>
  <si>
    <t>left: 48px !important;</t>
  </si>
  <si>
    <t>.left-8</t>
  </si>
  <si>
    <t>left: 64px !important;</t>
  </si>
  <si>
    <t>.left-9</t>
  </si>
  <si>
    <t>left: 80px !important;</t>
  </si>
  <si>
    <t>.left-n0</t>
  </si>
  <si>
    <t>.left-n1</t>
  </si>
  <si>
    <t>left: -4px !important;</t>
  </si>
  <si>
    <t>.left-n10</t>
  </si>
  <si>
    <t>left: -96px !important;</t>
  </si>
  <si>
    <t>.left-n11</t>
  </si>
  <si>
    <t>left: -112px !important;</t>
  </si>
  <si>
    <t>.left-n12</t>
  </si>
  <si>
    <t>left: -128px !important;</t>
  </si>
  <si>
    <t>.left-n2</t>
  </si>
  <si>
    <t>left: -8px !important;</t>
  </si>
  <si>
    <t>.left-n3</t>
  </si>
  <si>
    <t>left: -16px !important;</t>
  </si>
  <si>
    <t>.left-n4</t>
  </si>
  <si>
    <t>left: -24px !important;</t>
  </si>
  <si>
    <t>.left-n5</t>
  </si>
  <si>
    <t>left: -32px !important;</t>
  </si>
  <si>
    <t>.left-n6</t>
  </si>
  <si>
    <t>left: -40px !important;</t>
  </si>
  <si>
    <t>.left-n7</t>
  </si>
  <si>
    <t>left: -48px !important;</t>
  </si>
  <si>
    <t>.left-n8</t>
  </si>
  <si>
    <t>left: -64px !important;</t>
  </si>
  <si>
    <t>.left-n9</t>
  </si>
  <si>
    <t>left: -80px !important;</t>
  </si>
  <si>
    <t>.lh-0</t>
  </si>
  <si>
    <t>line-height: 0 !important;</t>
  </si>
  <si>
    <t>.lh-condensed</t>
  </si>
  <si>
    <t>line-height: 1.25 !important;</t>
  </si>
  <si>
    <t>.lh-condensed-ultra</t>
  </si>
  <si>
    <t>line-height: 1 !important;</t>
  </si>
  <si>
    <t>.lh-default</t>
  </si>
  <si>
    <t>line-height: 1.5 !important;</t>
  </si>
  <si>
    <t>.link-gray</t>
  </si>
  <si>
    <t>.link-gray-dark</t>
  </si>
  <si>
    <t>.link-gray-dark:hover</t>
  </si>
  <si>
    <t>.link-gray:hover</t>
  </si>
  <si>
    <t>.link-hover-blue:hover</t>
  </si>
  <si>
    <t>.list-style-none</t>
  </si>
  <si>
    <t>list-style: none !important;</t>
  </si>
  <si>
    <t>margin: 0 !important;</t>
  </si>
  <si>
    <t>margin: 4px !important;</t>
  </si>
  <si>
    <t>margin: 8px !important;</t>
  </si>
  <si>
    <t>margin: 16px !important;</t>
  </si>
  <si>
    <t>margin: 24px !important;</t>
  </si>
  <si>
    <t>margin: 32px !important;</t>
  </si>
  <si>
    <t>.m-6</t>
  </si>
  <si>
    <t>margin: 40px !important;</t>
  </si>
  <si>
    <t>.manual-file-chooser</t>
  </si>
  <si>
    <t>width: 240px;</t>
  </si>
  <si>
    <t>margin-left: -80px;</t>
  </si>
  <si>
    <t>opacity: 0.0001;</t>
  </si>
  <si>
    <t>.manual-file-chooser:hover+.manual-file-chooser-text</t>
  </si>
  <si>
    <t>.markdown-body</t>
  </si>
  <si>
    <t>font-family: -apple-system,BlinkMacSystemFont,"Segoe UI",Helvetica,Arial,sans-serif,"Apple Color Emoji","Segoe UI Emoji";</t>
  </si>
  <si>
    <t>word-wrap: break-word;</t>
  </si>
  <si>
    <t>.markdown-body .absent</t>
  </si>
  <si>
    <t>.markdown-body .anchor</t>
  </si>
  <si>
    <t>padding-right: 4px;</t>
  </si>
  <si>
    <t>margin-left: -20px;</t>
  </si>
  <si>
    <t>.markdown-body .anchor:focus</t>
  </si>
  <si>
    <t>.markdown-body .csv-data .blob-num</t>
  </si>
  <si>
    <t>padding: 10px 8px 9px;</t>
  </si>
  <si>
    <t>text-align: right;</t>
  </si>
  <si>
    <t>.markdown-body .csv-data td.markdown-body .csv-data th</t>
  </si>
  <si>
    <t>.markdown-body .csv-data th</t>
  </si>
  <si>
    <t>.markdown-body .csv-data tr</t>
  </si>
  <si>
    <t>.markdown-body .emoji</t>
  </si>
  <si>
    <t>max-width: none;</t>
  </si>
  <si>
    <t>.markdown-body .highlight</t>
  </si>
  <si>
    <t>margin-bottom: 16px;</t>
  </si>
  <si>
    <t>.markdown-body .highlight pre</t>
  </si>
  <si>
    <t>word-break: normal;</t>
  </si>
  <si>
    <t>.markdown-body .highlight pre.markdown-body pre</t>
  </si>
  <si>
    <t>overflow: auto;</t>
  </si>
  <si>
    <t>font-size: 85%;</t>
  </si>
  <si>
    <t>line-height: 1.45;</t>
  </si>
  <si>
    <t>.markdown-body a:not([href])</t>
  </si>
  <si>
    <t>.markdown-body blockquote</t>
  </si>
  <si>
    <t>padding: 0 1em;</t>
  </si>
  <si>
    <t>color: #6a737d;</t>
  </si>
  <si>
    <t>border-left: 0.25em solid #dfe2e5;</t>
  </si>
  <si>
    <t>.markdown-body blockquote&gt;:first-child</t>
  </si>
  <si>
    <t>.markdown-body blockquote&gt;:last-child</t>
  </si>
  <si>
    <t>.markdown-body code.markdown-body tt</t>
  </si>
  <si>
    <t>padding: 0.2em 0.4em;</t>
  </si>
  <si>
    <t>background-color: rgba(27,31,35,0.05);</t>
  </si>
  <si>
    <t>.markdown-body code br.markdown-body tt br</t>
  </si>
  <si>
    <t>.markdown-body del code</t>
  </si>
  <si>
    <t>text-decoration: inherit;</t>
  </si>
  <si>
    <t>.markdown-body dl</t>
  </si>
  <si>
    <t>.markdown-body dl dd</t>
  </si>
  <si>
    <t>padding: 0 16px;</t>
  </si>
  <si>
    <t>.markdown-body dl dt</t>
  </si>
  <si>
    <t>margin-top: 16px;</t>
  </si>
  <si>
    <t>font-style: italic;</t>
  </si>
  <si>
    <t>.markdown-body h1.markdown-body h2.markdown-body h3.markdown-body h4.markdown-body h5.markdown-body h6</t>
  </si>
  <si>
    <t>margin-top: 24px;</t>
  </si>
  <si>
    <t>.markdown-body h1</t>
  </si>
  <si>
    <t>padding-bottom: 0.3em;</t>
  </si>
  <si>
    <t>font-size: 2em;</t>
  </si>
  <si>
    <t>border-bottom: 1px solid #eaecef;</t>
  </si>
  <si>
    <t>.markdown-body h1 .octicon-link.markdown-body h2 .octicon-link.markdown-body h3 .octicon-link.markdown-body h4 .octicon-link.markdown-body h5 .octicon-link.markdown-body h6 .octicon-link</t>
  </si>
  <si>
    <t>color: #1b1f23;</t>
  </si>
  <si>
    <t>.markdown-body h1 tt.markdown-body h1 code.markdown-body h2 tt.markdown-body h2 code.markdown-body h3 tt.markdown-body h3 code.markdown-body h4 tt.markdown-body h4 code.markdown-body h5 tt.markdown-body h5 code.markdown-body h6 tt.markdown-body h6 code</t>
  </si>
  <si>
    <t>.markdown-body h1:hover .anchor.markdown-body h2:hover .anchor.markdown-body h3:hover .anchor.markdown-body h4:hover .anchor.markdown-body h5:hover .anchor.markdown-body h6:hover .anchor</t>
  </si>
  <si>
    <t>.markdown-body h1:hover .anchor .octicon-link.markdown-body h2:hover .anchor .octicon-link.markdown-body h3:hover .anchor .octicon-link.markdown-body h4:hover .anchor .octicon-link.markdown-body h5:hover .anchor .octicon-link.markdown-body h6:hover .anchor .octicon-link</t>
  </si>
  <si>
    <t>visibility: visible;</t>
  </si>
  <si>
    <t>.markdown-body h2</t>
  </si>
  <si>
    <t>font-size: 1.5em;</t>
  </si>
  <si>
    <t>.markdown-body h3</t>
  </si>
  <si>
    <t>font-size: 1.25em;</t>
  </si>
  <si>
    <t>.markdown-body h4</t>
  </si>
  <si>
    <t>.markdown-body h5</t>
  </si>
  <si>
    <t>font-size: 0.875em;</t>
  </si>
  <si>
    <t>.markdown-body h6</t>
  </si>
  <si>
    <t>font-size: 0.85em;</t>
  </si>
  <si>
    <t>.markdown-body hr</t>
  </si>
  <si>
    <t>height: .25em;</t>
  </si>
  <si>
    <t>margin: 24px 0;</t>
  </si>
  <si>
    <t>background-color: #e1e4e8;</t>
  </si>
  <si>
    <t>.markdown-body img</t>
  </si>
  <si>
    <t>.markdown-body img[align=left]</t>
  </si>
  <si>
    <t>padding-right: 20px;</t>
  </si>
  <si>
    <t>.markdown-body img[align=right]</t>
  </si>
  <si>
    <t>.markdown-body kbd</t>
  </si>
  <si>
    <t>padding: 3px 5px;</t>
  </si>
  <si>
    <t>font: 11px "SFMono-Regular",Consolas,"Liberation Mono",Menlo,monospace;</t>
  </si>
  <si>
    <t>line-height: 10px;</t>
  </si>
  <si>
    <t>border: solid 1px #d1d5da;</t>
  </si>
  <si>
    <t>border-bottom-color: #d1d5da;</t>
  </si>
  <si>
    <t>box-shadow: inset 0 -1px 0 #d1d5da;</t>
  </si>
  <si>
    <t>.markdown-body li</t>
  </si>
  <si>
    <t>word-wrap: break-all;</t>
  </si>
  <si>
    <t>.markdown-body li+li</t>
  </si>
  <si>
    <t>margin-top: .25em;</t>
  </si>
  <si>
    <t>.markdown-body li&gt;p</t>
  </si>
  <si>
    <t>.markdown-body p.markdown-body blockquote.markdown-body ul.markdown-body ol.markdown-body dl.markdown-body table.markdown-body pre.markdown-body details</t>
  </si>
  <si>
    <t>.markdown-body pre</t>
  </si>
  <si>
    <t>word-wrap: normal;</t>
  </si>
  <si>
    <t>.markdown-body pre code.markdown-body pre tt</t>
  </si>
  <si>
    <t>max-width: auto;</t>
  </si>
  <si>
    <t>line-height: inherit;</t>
  </si>
  <si>
    <t>.markdown-body pre&gt;code</t>
  </si>
  <si>
    <t>font-size: 100%;</t>
  </si>
  <si>
    <t>white-space: pre;</t>
  </si>
  <si>
    <t>.markdown-body span.align-center</t>
  </si>
  <si>
    <t>.markdown-body span.align-center span img</t>
  </si>
  <si>
    <t>.markdown-body span.align-center&gt;span</t>
  </si>
  <si>
    <t>margin: 13px auto 0;</t>
  </si>
  <si>
    <t>.markdown-body span.align-right</t>
  </si>
  <si>
    <t>.markdown-body span.align-right span img</t>
  </si>
  <si>
    <t>.markdown-body span.align-right&gt;span</t>
  </si>
  <si>
    <t>margin: 13px 0 0;</t>
  </si>
  <si>
    <t>.markdown-body span.float-left</t>
  </si>
  <si>
    <t>margin-right: 13px;</t>
  </si>
  <si>
    <t>.markdown-body span.float-left span</t>
  </si>
  <si>
    <t>.markdown-body span.float-right</t>
  </si>
  <si>
    <t>margin-left: 13px;</t>
  </si>
  <si>
    <t>.markdown-body span.float-right&gt;span</t>
  </si>
  <si>
    <t>.markdown-body span.frame</t>
  </si>
  <si>
    <t>.markdown-body span.frame span img</t>
  </si>
  <si>
    <t>.markdown-body span.frame span span</t>
  </si>
  <si>
    <t>padding: 5px 0 0;</t>
  </si>
  <si>
    <t>.markdown-body span.frame&gt;span</t>
  </si>
  <si>
    <t>padding: 7px;</t>
  </si>
  <si>
    <t>border: 1px solid #dfe2e5;</t>
  </si>
  <si>
    <t>.markdown-body table</t>
  </si>
  <si>
    <t>.markdown-body table img</t>
  </si>
  <si>
    <t>.markdown-body table th</t>
  </si>
  <si>
    <t>.markdown-body table th.markdown-body table td</t>
  </si>
  <si>
    <t>padding: 6px 13px;</t>
  </si>
  <si>
    <t>.markdown-body table tr</t>
  </si>
  <si>
    <t>border-top: 1px solid #c6cbd1;</t>
  </si>
  <si>
    <t>.markdown-body table tr:nth-child(2n)</t>
  </si>
  <si>
    <t>.markdown-body ul.markdown-body ol</t>
  </si>
  <si>
    <t>padding-left: 2em;</t>
  </si>
  <si>
    <t>.markdown-body ul ul.markdown-body ul ol.markdown-body ol ol.markdown-body ol ul</t>
  </si>
  <si>
    <t>.markdown-body ul.no-list.markdown-body ol.no-list</t>
  </si>
  <si>
    <t>.markdown-body::after</t>
  </si>
  <si>
    <t>.markdown-body::before</t>
  </si>
  <si>
    <t>.markdown-body&gt;*:first-child</t>
  </si>
  <si>
    <t>margin-top: 0 !important;</t>
  </si>
  <si>
    <t>.markdown-body&gt;*:last-child</t>
  </si>
  <si>
    <t>margin-bottom: 0 !important;</t>
  </si>
  <si>
    <t>margin-bottom: 4px !important;</t>
  </si>
  <si>
    <t>.mb-10</t>
  </si>
  <si>
    <t>margin-bottom: 96px !important;</t>
  </si>
  <si>
    <t>.mb-11</t>
  </si>
  <si>
    <t>margin-bottom: 112px !important;</t>
  </si>
  <si>
    <t>.mb-12</t>
  </si>
  <si>
    <t>margin-bottom: 128px !important;</t>
  </si>
  <si>
    <t>margin-bottom: 8px !important;</t>
  </si>
  <si>
    <t>margin-bottom: 16px !important;</t>
  </si>
  <si>
    <t>margin-bottom: 24px !important;</t>
  </si>
  <si>
    <t>margin-bottom: 32px !important;</t>
  </si>
  <si>
    <t>.mb-6</t>
  </si>
  <si>
    <t>margin-bottom: 40px !important;</t>
  </si>
  <si>
    <t>.mb-7</t>
  </si>
  <si>
    <t>margin-bottom: 48px !important;</t>
  </si>
  <si>
    <t>.mb-8</t>
  </si>
  <si>
    <t>margin-bottom: 64px !important;</t>
  </si>
  <si>
    <t>.mb-9</t>
  </si>
  <si>
    <t>margin-bottom: 80px !important;</t>
  </si>
  <si>
    <t>.mb-n1</t>
  </si>
  <si>
    <t>margin-bottom: -4px !important;</t>
  </si>
  <si>
    <t>.mb-n2</t>
  </si>
  <si>
    <t>margin-bottom: -8px !important;</t>
  </si>
  <si>
    <t>.mb-n3</t>
  </si>
  <si>
    <t>margin-bottom: -16px !important;</t>
  </si>
  <si>
    <t>.mb-n4</t>
  </si>
  <si>
    <t>margin-bottom: -24px !important;</t>
  </si>
  <si>
    <t>.mb-n5</t>
  </si>
  <si>
    <t>margin-bottom: -32px !important;</t>
  </si>
  <si>
    <t>.mb-n6</t>
  </si>
  <si>
    <t>margin-bottom: -40px !important;</t>
  </si>
  <si>
    <t>margin-bottom: 15px;</t>
  </si>
  <si>
    <t>.menu-heading</t>
  </si>
  <si>
    <t>background-color: #f3f5f8;</t>
  </si>
  <si>
    <t>border-bottom: 1px #e1e4e8 solid;</t>
  </si>
  <si>
    <t>.menu-heading:first-child</t>
  </si>
  <si>
    <t>.menu-heading:hover</t>
  </si>
  <si>
    <t>.menu-heading:last-child</t>
  </si>
  <si>
    <t>.menu-item</t>
  </si>
  <si>
    <t>.menu-item .avatar</t>
  </si>
  <si>
    <t>.menu-item .Counter</t>
  </si>
  <si>
    <t>.menu-item .menu-warning</t>
  </si>
  <si>
    <t>.menu-item .octicon</t>
  </si>
  <si>
    <t>width: 16px;</t>
  </si>
  <si>
    <t>.menu-item:first-child</t>
  </si>
  <si>
    <t>.menu-item:first-child::before</t>
  </si>
  <si>
    <t>.menu-item:hover</t>
  </si>
  <si>
    <t>.menu-item:last-child</t>
  </si>
  <si>
    <t>.menu-item:last-child::before</t>
  </si>
  <si>
    <t>.menu-item.alert .Counter</t>
  </si>
  <si>
    <t>.menu-item.selected</t>
  </si>
  <si>
    <t>.menu-item.selected::before</t>
  </si>
  <si>
    <t>background-color: #e36209;</t>
  </si>
  <si>
    <t>.min-width-0</t>
  </si>
  <si>
    <t>min-width: 0 !important;</t>
  </si>
  <si>
    <t>margin-left: 0 !important;</t>
  </si>
  <si>
    <t>.ml-1</t>
  </si>
  <si>
    <t>margin-left: 4px !important;</t>
  </si>
  <si>
    <t>.ml-2</t>
  </si>
  <si>
    <t>margin-left: 8px !important;</t>
  </si>
  <si>
    <t>.ml-3</t>
  </si>
  <si>
    <t>margin-left: 16px !important;</t>
  </si>
  <si>
    <t>.ml-4</t>
  </si>
  <si>
    <t>margin-left: 24px !important;</t>
  </si>
  <si>
    <t>.ml-5</t>
  </si>
  <si>
    <t>margin-left: 32px !important;</t>
  </si>
  <si>
    <t>.ml-6</t>
  </si>
  <si>
    <t>margin-left: 40px !important;</t>
  </si>
  <si>
    <t>.ml-n1</t>
  </si>
  <si>
    <t>margin-left: -4px !important;</t>
  </si>
  <si>
    <t>.ml-n2</t>
  </si>
  <si>
    <t>margin-left: -8px !important;</t>
  </si>
  <si>
    <t>.ml-n3</t>
  </si>
  <si>
    <t>margin-left: -16px !important;</t>
  </si>
  <si>
    <t>.ml-n4</t>
  </si>
  <si>
    <t>margin-left: -24px !important;</t>
  </si>
  <si>
    <t>.ml-n5</t>
  </si>
  <si>
    <t>margin-left: -32px !important;</t>
  </si>
  <si>
    <t>.ml-n6</t>
  </si>
  <si>
    <t>margin-left: -40px !important;</t>
  </si>
  <si>
    <t>margin-right: 0 !important;</t>
  </si>
  <si>
    <t>.mr-1</t>
  </si>
  <si>
    <t>margin-right: 4px !important;</t>
  </si>
  <si>
    <t>.mr-2</t>
  </si>
  <si>
    <t>margin-right: 8px !important;</t>
  </si>
  <si>
    <t>.mr-3</t>
  </si>
  <si>
    <t>margin-right: 16px !important;</t>
  </si>
  <si>
    <t>.mr-4</t>
  </si>
  <si>
    <t>margin-right: 24px !important;</t>
  </si>
  <si>
    <t>.mr-5</t>
  </si>
  <si>
    <t>margin-right: 32px !important;</t>
  </si>
  <si>
    <t>.mr-6</t>
  </si>
  <si>
    <t>margin-right: 40px !important;</t>
  </si>
  <si>
    <t>.mr-n1</t>
  </si>
  <si>
    <t>margin-right: -4px !important;</t>
  </si>
  <si>
    <t>.mr-n2</t>
  </si>
  <si>
    <t>margin-right: -8px !important;</t>
  </si>
  <si>
    <t>.mr-n3</t>
  </si>
  <si>
    <t>margin-right: -16px !important;</t>
  </si>
  <si>
    <t>.mr-n4</t>
  </si>
  <si>
    <t>margin-right: -24px !important;</t>
  </si>
  <si>
    <t>.mr-n5</t>
  </si>
  <si>
    <t>margin-right: -32px !important;</t>
  </si>
  <si>
    <t>.mr-n6</t>
  </si>
  <si>
    <t>margin-right: -40px !important;</t>
  </si>
  <si>
    <t>margin-top: 4px !important;</t>
  </si>
  <si>
    <t>.mt-10</t>
  </si>
  <si>
    <t>margin-top: 96px !important;</t>
  </si>
  <si>
    <t>.mt-11</t>
  </si>
  <si>
    <t>margin-top: 112px !important;</t>
  </si>
  <si>
    <t>.mt-12</t>
  </si>
  <si>
    <t>margin-top: 128px !important;</t>
  </si>
  <si>
    <t>margin-top: 8px !important;</t>
  </si>
  <si>
    <t>margin-top: 16px !important;</t>
  </si>
  <si>
    <t>margin-top: 24px !important;</t>
  </si>
  <si>
    <t>margin-top: 32px !important;</t>
  </si>
  <si>
    <t>.mt-6</t>
  </si>
  <si>
    <t>margin-top: 40px !important;</t>
  </si>
  <si>
    <t>.mt-7</t>
  </si>
  <si>
    <t>margin-top: 48px !important;</t>
  </si>
  <si>
    <t>.mt-8</t>
  </si>
  <si>
    <t>margin-top: 64px !important;</t>
  </si>
  <si>
    <t>.mt-9</t>
  </si>
  <si>
    <t>margin-top: 80px !important;</t>
  </si>
  <si>
    <t>.mt-n1</t>
  </si>
  <si>
    <t>margin-top: -4px !important;</t>
  </si>
  <si>
    <t>.mt-n2</t>
  </si>
  <si>
    <t>margin-top: -8px !important;</t>
  </si>
  <si>
    <t>.mt-n3</t>
  </si>
  <si>
    <t>margin-top: -16px !important;</t>
  </si>
  <si>
    <t>.mt-n4</t>
  </si>
  <si>
    <t>margin-top: -24px !important;</t>
  </si>
  <si>
    <t>.mt-n5</t>
  </si>
  <si>
    <t>margin-top: -32px !important;</t>
  </si>
  <si>
    <t>.mt-n6</t>
  </si>
  <si>
    <t>margin-top: -40px !important;</t>
  </si>
  <si>
    <t>.muted-link</t>
  </si>
  <si>
    <t>.muted-link:hover</t>
  </si>
  <si>
    <t>.mx-6</t>
  </si>
  <si>
    <t>margin-right: auto !important;</t>
  </si>
  <si>
    <t>margin-left: auto !important;</t>
  </si>
  <si>
    <t>.my-10</t>
  </si>
  <si>
    <t>.my-11</t>
  </si>
  <si>
    <t>.my-12</t>
  </si>
  <si>
    <t>.my-6</t>
  </si>
  <si>
    <t>.my-7</t>
  </si>
  <si>
    <t>.my-8</t>
  </si>
  <si>
    <t>.my-9</t>
  </si>
  <si>
    <t>.no-underline</t>
  </si>
  <si>
    <t>text-decoration: none !important;</t>
  </si>
  <si>
    <t>.no-wrap</t>
  </si>
  <si>
    <t>white-space: nowrap !important;</t>
  </si>
  <si>
    <t>.note</t>
  </si>
  <si>
    <t>min-height: 17px;</t>
  </si>
  <si>
    <t>margin: 4px 0 2px;</t>
  </si>
  <si>
    <t>.note .spinner</t>
  </si>
  <si>
    <t>.octicon</t>
  </si>
  <si>
    <t>fill: currentColor;</t>
  </si>
  <si>
    <t>vertical-align: text-bottom;</t>
  </si>
  <si>
    <t>margin-left: 8.33333% !important;</t>
  </si>
  <si>
    <t>margin-left: 83.33333% !important;</t>
  </si>
  <si>
    <t>margin-left: 91.66667% !important;</t>
  </si>
  <si>
    <t>margin-left: 16.66667% !important;</t>
  </si>
  <si>
    <t>margin-left: 25% !important;</t>
  </si>
  <si>
    <t>margin-left: 33.33333% !important;</t>
  </si>
  <si>
    <t>margin-left: 41.66667% !important;</t>
  </si>
  <si>
    <t>margin-left: 50% !important;</t>
  </si>
  <si>
    <t>margin-left: 58.33333% !important;</t>
  </si>
  <si>
    <t>margin-left: 66.66667% !important;</t>
  </si>
  <si>
    <t>margin-left: 75% !important;</t>
  </si>
  <si>
    <t>.offset-n1</t>
  </si>
  <si>
    <t>margin-left: -8.33333%;</t>
  </si>
  <si>
    <t>.offset-n2</t>
  </si>
  <si>
    <t>margin-left: -16.66667%;</t>
  </si>
  <si>
    <t>.offset-n3</t>
  </si>
  <si>
    <t>margin-left: -25%;</t>
  </si>
  <si>
    <t>.offset-n4</t>
  </si>
  <si>
    <t>margin-left: -33.33333%;</t>
  </si>
  <si>
    <t>.offset-n5</t>
  </si>
  <si>
    <t>margin-left: -41.66667%;</t>
  </si>
  <si>
    <t>.offset-n6</t>
  </si>
  <si>
    <t>margin-left: -50%;</t>
  </si>
  <si>
    <t>.offset-n7</t>
  </si>
  <si>
    <t>margin-left: -58.33333%;</t>
  </si>
  <si>
    <t>overflow: auto !important;</t>
  </si>
  <si>
    <t>overflow: hidden !important;</t>
  </si>
  <si>
    <t>overflow: scroll !important;</t>
  </si>
  <si>
    <t>overflow: visible !important;</t>
  </si>
  <si>
    <t>.overflow-x-auto</t>
  </si>
  <si>
    <t>overflow-x: auto !important;</t>
  </si>
  <si>
    <t>.overflow-x-hidden</t>
  </si>
  <si>
    <t>overflow-x: hidden !important;</t>
  </si>
  <si>
    <t>.overflow-x-scroll</t>
  </si>
  <si>
    <t>overflow-x: scroll !important;</t>
  </si>
  <si>
    <t>.overflow-x-visible</t>
  </si>
  <si>
    <t>overflow-x: visible !important;</t>
  </si>
  <si>
    <t>.overflow-y-auto</t>
  </si>
  <si>
    <t>overflow-y: auto !important;</t>
  </si>
  <si>
    <t>.overflow-y-hidden</t>
  </si>
  <si>
    <t>overflow-y: hidden !important;</t>
  </si>
  <si>
    <t>.overflow-y-scroll</t>
  </si>
  <si>
    <t>overflow-y: scroll !important;</t>
  </si>
  <si>
    <t>.overflow-y-visible</t>
  </si>
  <si>
    <t>overflow-y: visible !important;</t>
  </si>
  <si>
    <t>padding: 0 !important;</t>
  </si>
  <si>
    <t>padding: 4px !important;</t>
  </si>
  <si>
    <t>.p-10</t>
  </si>
  <si>
    <t>padding: 96px !important;</t>
  </si>
  <si>
    <t>.p-11</t>
  </si>
  <si>
    <t>padding: 112px !important;</t>
  </si>
  <si>
    <t>.p-12</t>
  </si>
  <si>
    <t>padding: 128px !important;</t>
  </si>
  <si>
    <t>padding: 8px !important;</t>
  </si>
  <si>
    <t>padding: 16px !important;</t>
  </si>
  <si>
    <t>padding: 24px !important;</t>
  </si>
  <si>
    <t>padding: 32px !important;</t>
  </si>
  <si>
    <t>.p-6</t>
  </si>
  <si>
    <t>padding: 40px !important;</t>
  </si>
  <si>
    <t>.p-7</t>
  </si>
  <si>
    <t>padding: 48px !important;</t>
  </si>
  <si>
    <t>.p-8</t>
  </si>
  <si>
    <t>padding: 64px !important;</t>
  </si>
  <si>
    <t>.p-9</t>
  </si>
  <si>
    <t>padding: 80px !important;</t>
  </si>
  <si>
    <t>.p-responsive</t>
  </si>
  <si>
    <t>.paginate-container</t>
  </si>
  <si>
    <t>margin-top: 20px;</t>
  </si>
  <si>
    <t>.paginate-container .pagination</t>
  </si>
  <si>
    <t>.pagination .current.pagination .current:hover</t>
  </si>
  <si>
    <t>.pagination .gap.pagination .disabled.pagination .gap:hover.pagination .disabled:hover</t>
  </si>
  <si>
    <t>.pagination .selected</t>
  </si>
  <si>
    <t>.pagination a.pagination span.pagination em</t>
  </si>
  <si>
    <t>padding: 7px 12px;</t>
  </si>
  <si>
    <t>border: 1px solid #e1e4e8;</t>
  </si>
  <si>
    <t>.pagination a:first-child.pagination span:first-child.pagination em:first-child</t>
  </si>
  <si>
    <t>.pagination a:hover.pagination a:focus.pagination span:hover.pagination span:focus.pagination em:hover.pagination em:focus</t>
  </si>
  <si>
    <t>border-color: #e1e4e8;</t>
  </si>
  <si>
    <t>.pagination a:last-child.pagination span:last-child.pagination em:last-child</t>
  </si>
  <si>
    <t>.pagination::after</t>
  </si>
  <si>
    <t>.pagination::before</t>
  </si>
  <si>
    <t>padding-bottom: 0 !important;</t>
  </si>
  <si>
    <t>padding-bottom: 4px !important;</t>
  </si>
  <si>
    <t>.pb-10</t>
  </si>
  <si>
    <t>padding-bottom: 96px !important;</t>
  </si>
  <si>
    <t>.pb-11</t>
  </si>
  <si>
    <t>padding-bottom: 112px !important;</t>
  </si>
  <si>
    <t>.pb-12</t>
  </si>
  <si>
    <t>padding-bottom: 128px !important;</t>
  </si>
  <si>
    <t>padding-bottom: 8px !important;</t>
  </si>
  <si>
    <t>padding-bottom: 16px !important;</t>
  </si>
  <si>
    <t>padding-bottom: 24px !important;</t>
  </si>
  <si>
    <t>padding-bottom: 32px !important;</t>
  </si>
  <si>
    <t>.pb-6</t>
  </si>
  <si>
    <t>padding-bottom: 40px !important;</t>
  </si>
  <si>
    <t>.pb-7</t>
  </si>
  <si>
    <t>padding-bottom: 48px !important;</t>
  </si>
  <si>
    <t>.pb-8</t>
  </si>
  <si>
    <t>padding-bottom: 64px !important;</t>
  </si>
  <si>
    <t>.pb-9</t>
  </si>
  <si>
    <t>padding-bottom: 80px !important;</t>
  </si>
  <si>
    <t>padding-left: 0 !important;</t>
  </si>
  <si>
    <t>.pl-1</t>
  </si>
  <si>
    <t>padding-left: 4px !important;</t>
  </si>
  <si>
    <t>.pl-10</t>
  </si>
  <si>
    <t>padding-left: 96px !important;</t>
  </si>
  <si>
    <t>.pl-11</t>
  </si>
  <si>
    <t>padding-left: 112px !important;</t>
  </si>
  <si>
    <t>.pl-12</t>
  </si>
  <si>
    <t>padding-left: 128px !important;</t>
  </si>
  <si>
    <t>.pl-2</t>
  </si>
  <si>
    <t>.pl-3</t>
  </si>
  <si>
    <t>.pl-4</t>
  </si>
  <si>
    <t>.pl-5</t>
  </si>
  <si>
    <t>padding-left: 32px !important;</t>
  </si>
  <si>
    <t>.pl-6</t>
  </si>
  <si>
    <t>padding-left: 40px !important;</t>
  </si>
  <si>
    <t>.pl-7</t>
  </si>
  <si>
    <t>padding-left: 48px !important;</t>
  </si>
  <si>
    <t>.pl-8</t>
  </si>
  <si>
    <t>padding-left: 64px !important;</t>
  </si>
  <si>
    <t>.pl-9</t>
  </si>
  <si>
    <t>padding-left: 80px !important;</t>
  </si>
  <si>
    <t>.Popover</t>
  </si>
  <si>
    <t>.Popover-message</t>
  </si>
  <si>
    <t>width: 232px;</t>
  </si>
  <si>
    <t>.Popover-message--bottom::after.Popover-message--bottom-right::after.Popover-message--bottom-left::after</t>
  </si>
  <si>
    <t>bottom: -14px;</t>
  </si>
  <si>
    <t>border-top-color: #fff;</t>
  </si>
  <si>
    <t>.Popover-message--bottom::before.Popover-message--bottom::after.Popover-message--bottom-right::before.Popover-message--bottom-right::after.Popover-message--bottom-left::before.Popover-message--bottom-left::after</t>
  </si>
  <si>
    <t>.Popover-message--bottom::before.Popover-message--bottom-right::before.Popover-message--bottom-left::before</t>
  </si>
  <si>
    <t>bottom: -16px;</t>
  </si>
  <si>
    <t>border-top-color: rgba(27,31,35,0.15);</t>
  </si>
  <si>
    <t>.Popover-message--left::after.Popover-message--left-top::after.Popover-message--left-bottom::after</t>
  </si>
  <si>
    <t>.Popover-message--left::before.Popover-message--left-top::before.Popover-message--left-bottom::before</t>
  </si>
  <si>
    <t>.Popover-message--right-bottom::after.Popover-message--left-bottom::after</t>
  </si>
  <si>
    <t>bottom: 17px;</t>
  </si>
  <si>
    <t>.Popover-message--right-bottom::before.Popover-message--right-bottom::after.Popover-message--left-bottom::before.Popover-message--left-bottom::after</t>
  </si>
  <si>
    <t>.Popover-message--right-bottom::before.Popover-message--left-bottom::before</t>
  </si>
  <si>
    <t>bottom: 16px;</t>
  </si>
  <si>
    <t>.Popover-message--right-top::before.Popover-message--right-top::after.Popover-message--left-top::before.Popover-message--left-top::after</t>
  </si>
  <si>
    <t>top: 24px;</t>
  </si>
  <si>
    <t>.Popover-message--right::after.Popover-message--right-top::after.Popover-message--right-bottom::after.Popover-message--left::after.Popover-message--left-top::after.Popover-message--left-bottom::after</t>
  </si>
  <si>
    <t>margin-top: -8px;</t>
  </si>
  <si>
    <t>.Popover-message--right::after.Popover-message--right-top::after.Popover-message--right-bottom::after</t>
  </si>
  <si>
    <t>.Popover-message--right::before.Popover-message--right::after.Popover-message--right-top::before.Popover-message--right-top::after.Popover-message--right-bottom::before.Popover-message--right-bottom::after.Popover-message--left::before.Popover-message--left::after.Popover-message--left-top::before.Popover-message--left-top::after.Popover-message--left-bottom::before.Popover-message--left-bottom::after</t>
  </si>
  <si>
    <t>.Popover-message--right::before.Popover-message--right-top::before.Popover-message--right-bottom::before.Popover-message--left::before.Popover-message--left-top::before.Popover-message--left-bottom::before</t>
  </si>
  <si>
    <t>margin-top: -9px;</t>
  </si>
  <si>
    <t>.Popover-message--right::before.Popover-message--right-top::before.Popover-message--right-bottom::before</t>
  </si>
  <si>
    <t>.Popover-message--top-left.Popover-message--bottom-left</t>
  </si>
  <si>
    <t>left: -9px;</t>
  </si>
  <si>
    <t>.Popover-message--top-left::after.Popover-message--bottom-left::after</t>
  </si>
  <si>
    <t>left: 25px;</t>
  </si>
  <si>
    <t>.Popover-message--top-left::before.Popover-message--top-left::after.Popover-message--bottom-left::before.Popover-message--bottom-left::after</t>
  </si>
  <si>
    <t>left: 24px;</t>
  </si>
  <si>
    <t>.Popover-message--top-right.Popover-message--bottom-right</t>
  </si>
  <si>
    <t>right: -9px;</t>
  </si>
  <si>
    <t>.Popover-message--top-right::after.Popover-message--bottom-right::after</t>
  </si>
  <si>
    <t>right: 21px;</t>
  </si>
  <si>
    <t>.Popover-message--top-right::before.Popover-message--top-right::after.Popover-message--bottom-right::before.Popover-message--bottom-right::after</t>
  </si>
  <si>
    <t>.Popover-message--top-right::before.Popover-message--bottom-right::before</t>
  </si>
  <si>
    <t>right: 20px;</t>
  </si>
  <si>
    <t>.Popover-message::after</t>
  </si>
  <si>
    <t>.Popover-message::before.Popover-message::after</t>
  </si>
  <si>
    <t>left: 50%;</t>
  </si>
  <si>
    <t>.Popover-message::before</t>
  </si>
  <si>
    <t>margin-left: -9px;</t>
  </si>
  <si>
    <t>position: absolute !important;</t>
  </si>
  <si>
    <t>position: fixed !important;</t>
  </si>
  <si>
    <t>position: relative !important;</t>
  </si>
  <si>
    <t>position: static !important;</t>
  </si>
  <si>
    <t>position: -webkit-sticky !important;</t>
  </si>
  <si>
    <t>position: sticky !important;</t>
  </si>
  <si>
    <t>padding-right: 0 !important;</t>
  </si>
  <si>
    <t>.pr-1</t>
  </si>
  <si>
    <t>padding-right: 4px !important;</t>
  </si>
  <si>
    <t>.pr-10</t>
  </si>
  <si>
    <t>padding-right: 96px !important;</t>
  </si>
  <si>
    <t>.pr-11</t>
  </si>
  <si>
    <t>padding-right: 112px !important;</t>
  </si>
  <si>
    <t>.pr-12</t>
  </si>
  <si>
    <t>padding-right: 128px !important;</t>
  </si>
  <si>
    <t>.pr-2</t>
  </si>
  <si>
    <t>.pr-3</t>
  </si>
  <si>
    <t>.pr-4</t>
  </si>
  <si>
    <t>.pr-5</t>
  </si>
  <si>
    <t>padding-right: 32px !important;</t>
  </si>
  <si>
    <t>.pr-6</t>
  </si>
  <si>
    <t>padding-right: 40px !important;</t>
  </si>
  <si>
    <t>.pr-7</t>
  </si>
  <si>
    <t>padding-right: 48px !important;</t>
  </si>
  <si>
    <t>.pr-8</t>
  </si>
  <si>
    <t>padding-right: 64px !important;</t>
  </si>
  <si>
    <t>.pr-9</t>
  </si>
  <si>
    <t>padding-right: 80px !important;</t>
  </si>
  <si>
    <t>.previewable-comment-form</t>
  </si>
  <si>
    <t>.previewable-comment-form .comment</t>
  </si>
  <si>
    <t>.previewable-comment-form .comment-form-error</t>
  </si>
  <si>
    <t>.previewable-comment-form .tabnav</t>
  </si>
  <si>
    <t>padding: 8px 8px 0;</t>
  </si>
  <si>
    <t>.previewable-comment-form .write-content.previewable-comment-form .preview-content</t>
  </si>
  <si>
    <t>margin: 0 8px 8px;</t>
  </si>
  <si>
    <t>.previewable-comment-form textarea</t>
  </si>
  <si>
    <t>min-height: 100px;</t>
  </si>
  <si>
    <t>max-height: 500px;</t>
  </si>
  <si>
    <t>padding: 8px;</t>
  </si>
  <si>
    <t>resize: vertical;</t>
  </si>
  <si>
    <t>.previewable-comment-form.write-selected .write-content.previewable-comment-form.preview-selected .preview-content</t>
  </si>
  <si>
    <t>.Progress</t>
  </si>
  <si>
    <t>.Progress--large</t>
  </si>
  <si>
    <t>height: 10px;</t>
  </si>
  <si>
    <t>.Progress--small</t>
  </si>
  <si>
    <t>height: 5px;</t>
  </si>
  <si>
    <t>padding-top: 0 !important;</t>
  </si>
  <si>
    <t>padding-top: 4px !important;</t>
  </si>
  <si>
    <t>.pt-10</t>
  </si>
  <si>
    <t>padding-top: 96px !important;</t>
  </si>
  <si>
    <t>.pt-11</t>
  </si>
  <si>
    <t>padding-top: 112px !important;</t>
  </si>
  <si>
    <t>.pt-12</t>
  </si>
  <si>
    <t>padding-top: 128px !important;</t>
  </si>
  <si>
    <t>padding-top: 8px !important;</t>
  </si>
  <si>
    <t>padding-top: 16px !important;</t>
  </si>
  <si>
    <t>padding-top: 24px !important;</t>
  </si>
  <si>
    <t>padding-top: 32px !important;</t>
  </si>
  <si>
    <t>.pt-6</t>
  </si>
  <si>
    <t>padding-top: 40px !important;</t>
  </si>
  <si>
    <t>.pt-7</t>
  </si>
  <si>
    <t>padding-top: 48px !important;</t>
  </si>
  <si>
    <t>.pt-8</t>
  </si>
  <si>
    <t>padding-top: 64px !important;</t>
  </si>
  <si>
    <t>.pt-9</t>
  </si>
  <si>
    <t>padding-top: 80px !important;</t>
  </si>
  <si>
    <t>.pullquote</t>
  </si>
  <si>
    <t>padding-top: 0;</t>
  </si>
  <si>
    <t>padding-bottom: 0;</t>
  </si>
  <si>
    <t>padding-left: 8px;</t>
  </si>
  <si>
    <t>line-height: 1.4;</t>
  </si>
  <si>
    <t>border-left: 3px solid #e1e4e8;</t>
  </si>
  <si>
    <t>.px-6</t>
  </si>
  <si>
    <t>.py-10</t>
  </si>
  <si>
    <t>.py-11</t>
  </si>
  <si>
    <t>.py-12</t>
  </si>
  <si>
    <t>.py-6</t>
  </si>
  <si>
    <t>.py-7</t>
  </si>
  <si>
    <t>.py-8</t>
  </si>
  <si>
    <t>.py-9</t>
  </si>
  <si>
    <t>.radio-group::after</t>
  </si>
  <si>
    <t>.radio-group::before</t>
  </si>
  <si>
    <t>.radio-input</t>
  </si>
  <si>
    <t>margin: 10px -32px 0 16px;</t>
  </si>
  <si>
    <t>.radio-label</t>
  </si>
  <si>
    <t>padding: 6px 16px 6px 36px;</t>
  </si>
  <si>
    <t>.radio-label:first-of-type</t>
  </si>
  <si>
    <t>.radio-label:last-of-type</t>
  </si>
  <si>
    <t>.right-0</t>
  </si>
  <si>
    <t>right: 0 !important;</t>
  </si>
  <si>
    <t>.right-1</t>
  </si>
  <si>
    <t>right: 4px !important;</t>
  </si>
  <si>
    <t>.right-10</t>
  </si>
  <si>
    <t>right: 96px !important;</t>
  </si>
  <si>
    <t>.right-11</t>
  </si>
  <si>
    <t>right: 112px !important;</t>
  </si>
  <si>
    <t>.right-12</t>
  </si>
  <si>
    <t>right: 128px !important;</t>
  </si>
  <si>
    <t>.right-2</t>
  </si>
  <si>
    <t>right: 8px !important;</t>
  </si>
  <si>
    <t>.right-3</t>
  </si>
  <si>
    <t>right: 16px !important;</t>
  </si>
  <si>
    <t>.right-4</t>
  </si>
  <si>
    <t>right: 24px !important;</t>
  </si>
  <si>
    <t>.right-5</t>
  </si>
  <si>
    <t>right: 32px !important;</t>
  </si>
  <si>
    <t>.right-6</t>
  </si>
  <si>
    <t>right: 40px !important;</t>
  </si>
  <si>
    <t>.right-7</t>
  </si>
  <si>
    <t>right: 48px !important;</t>
  </si>
  <si>
    <t>.right-8</t>
  </si>
  <si>
    <t>right: 64px !important;</t>
  </si>
  <si>
    <t>.right-9</t>
  </si>
  <si>
    <t>right: 80px !important;</t>
  </si>
  <si>
    <t>.right-n0</t>
  </si>
  <si>
    <t>.right-n1</t>
  </si>
  <si>
    <t>right: -4px !important;</t>
  </si>
  <si>
    <t>.right-n10</t>
  </si>
  <si>
    <t>right: -96px !important;</t>
  </si>
  <si>
    <t>.right-n11</t>
  </si>
  <si>
    <t>right: -112px !important;</t>
  </si>
  <si>
    <t>.right-n12</t>
  </si>
  <si>
    <t>right: -128px !important;</t>
  </si>
  <si>
    <t>.right-n2</t>
  </si>
  <si>
    <t>right: -8px !important;</t>
  </si>
  <si>
    <t>.right-n3</t>
  </si>
  <si>
    <t>right: -16px !important;</t>
  </si>
  <si>
    <t>.right-n4</t>
  </si>
  <si>
    <t>right: -24px !important;</t>
  </si>
  <si>
    <t>.right-n5</t>
  </si>
  <si>
    <t>right: -32px !important;</t>
  </si>
  <si>
    <t>.right-n6</t>
  </si>
  <si>
    <t>right: -40px !important;</t>
  </si>
  <si>
    <t>.right-n7</t>
  </si>
  <si>
    <t>right: -48px !important;</t>
  </si>
  <si>
    <t>.right-n8</t>
  </si>
  <si>
    <t>right: -64px !important;</t>
  </si>
  <si>
    <t>.right-n9</t>
  </si>
  <si>
    <t>right: -80px !important;</t>
  </si>
  <si>
    <t>border-radius: 0 !important;</t>
  </si>
  <si>
    <t>border-radius: 3px !important;</t>
  </si>
  <si>
    <t>border-radius: 6px !important;</t>
  </si>
  <si>
    <t>.rounded-bottom-0</t>
  </si>
  <si>
    <t>border-bottom-right-radius: 0 !important;</t>
  </si>
  <si>
    <t>border-bottom-left-radius: 0 !important;</t>
  </si>
  <si>
    <t>.rounded-bottom-1</t>
  </si>
  <si>
    <t>border-bottom-right-radius: 3px !important;</t>
  </si>
  <si>
    <t>border-bottom-left-radius: 3px !important;</t>
  </si>
  <si>
    <t>.rounded-bottom-2</t>
  </si>
  <si>
    <t>border-bottom-right-radius: 6px !important;</t>
  </si>
  <si>
    <t>border-bottom-left-radius: 6px !important;</t>
  </si>
  <si>
    <t>.rounded-left-0</t>
  </si>
  <si>
    <t>border-top-left-radius: 0 !important;</t>
  </si>
  <si>
    <t>.rounded-left-1</t>
  </si>
  <si>
    <t>border-top-left-radius: 3px !important;</t>
  </si>
  <si>
    <t>.rounded-left-2</t>
  </si>
  <si>
    <t>border-top-left-radius: 6px !important;</t>
  </si>
  <si>
    <t>.rounded-right-0</t>
  </si>
  <si>
    <t>border-top-right-radius: 0 !important;</t>
  </si>
  <si>
    <t>.rounded-right-1</t>
  </si>
  <si>
    <t>border-top-right-radius: 3px !important;</t>
  </si>
  <si>
    <t>.rounded-right-2</t>
  </si>
  <si>
    <t>border-top-right-radius: 6px !important;</t>
  </si>
  <si>
    <t>.rounded-top-0</t>
  </si>
  <si>
    <t>.rounded-top-1</t>
  </si>
  <si>
    <t>.rounded-top-2</t>
  </si>
  <si>
    <t>height: 28px;</t>
  </si>
  <si>
    <t>.select-sm[multiple]</t>
  </si>
  <si>
    <t>min-height: 0;</t>
  </si>
  <si>
    <t>.SelectMenu</t>
  </si>
  <si>
    <t>flex-direction: column;</t>
  </si>
  <si>
    <t>.SelectMenu--hasFilter .SelectMenu-modal</t>
  </si>
  <si>
    <t>height: 80%;</t>
  </si>
  <si>
    <t>max-height: none;</t>
  </si>
  <si>
    <t>.SelectMenu-closeButton</t>
  </si>
  <si>
    <t>.SelectMenu-divider</t>
  </si>
  <si>
    <t>.SelectMenu-filter</t>
  </si>
  <si>
    <t>.SelectMenu-footer</t>
  </si>
  <si>
    <t>z-index: 0;</t>
  </si>
  <si>
    <t>.SelectMenu-header</t>
  </si>
  <si>
    <t>flex: none;</t>
  </si>
  <si>
    <t>.SelectMenu-icon</t>
  </si>
  <si>
    <t>flex-shrink: 0;</t>
  </si>
  <si>
    <t>.SelectMenu-icon--check</t>
  </si>
  <si>
    <t>transition: transform 0.12s cubic-bezier(0.5, 0.1, 1, 0.5),visibility 0s 0.12s linear;</t>
  </si>
  <si>
    <t>transform: scale(0);</t>
  </si>
  <si>
    <t>.SelectMenu-input</t>
  </si>
  <si>
    <t>.SelectMenu-item</t>
  </si>
  <si>
    <t>.SelectMenu-item:hover</t>
  </si>
  <si>
    <t>.SelectMenu-item[aria-checked="true"]</t>
  </si>
  <si>
    <t>.SelectMenu-item[aria-checked="true"] .SelectMenu-icon--check</t>
  </si>
  <si>
    <t>transition: transform 0.12s cubic-bezier(0, 0, 0.2, 1),visibility 0s linear;</t>
  </si>
  <si>
    <t>transform: scale(1);</t>
  </si>
  <si>
    <t>.SelectMenu-list</t>
  </si>
  <si>
    <t>overflow-x: hidden;</t>
  </si>
  <si>
    <t>-webkit-overflow-scrolling: touch;</t>
  </si>
  <si>
    <t>.SelectMenu-message</t>
  </si>
  <si>
    <t>.SelectMenu-message.SelectMenu-blankslate.SelectMenu-loading</t>
  </si>
  <si>
    <t>padding: 24px 16px;</t>
  </si>
  <si>
    <t>.SelectMenu-modal</t>
  </si>
  <si>
    <t>max-height: 66%;</t>
  </si>
  <si>
    <t>margin: auto 0;</t>
  </si>
  <si>
    <t>pointer-events: auto;</t>
  </si>
  <si>
    <t>box-shadow: 0 0 18px rgba(0,0,0,0.4);</t>
  </si>
  <si>
    <t>animation: SelectMenu-modal-animation 0.12s cubic-bezier(0, 0.1, 0.1, 1) backwards;</t>
  </si>
  <si>
    <t>.SelectMenu-tab</t>
  </si>
  <si>
    <t>flex: 1;</t>
  </si>
  <si>
    <t>box-shadow: inset 0 -1px 0 #e1e4e8;</t>
  </si>
  <si>
    <t>.SelectMenu-tab:focus.SelectMenu-item:focus</t>
  </si>
  <si>
    <t>.SelectMenu-tab[aria-selected="true"]</t>
  </si>
  <si>
    <t>box-shadow: 0 0 0 1px #e1e4e8;</t>
  </si>
  <si>
    <t>.SelectMenu-tabs</t>
  </si>
  <si>
    <t>overflow-x: auto;</t>
  </si>
  <si>
    <t>overflow-y: hidden;</t>
  </si>
  <si>
    <t>.SelectMenu-tabs::-webkit-scrollbar</t>
  </si>
  <si>
    <t>.SelectMenu-title</t>
  </si>
  <si>
    <t>.SelectMenu::before</t>
  </si>
  <si>
    <t>background-color: rgba(27,31,35,0.5);</t>
  </si>
  <si>
    <t>.show-on-focus</t>
  </si>
  <si>
    <t>width: 1px;</t>
  </si>
  <si>
    <t>height: 1px;</t>
  </si>
  <si>
    <t>clip: rect(1px, 1px, 1px, 1px);</t>
  </si>
  <si>
    <t>.show-on-focus:focus</t>
  </si>
  <si>
    <t>z-index: 20;</t>
  </si>
  <si>
    <t>clip: auto;</t>
  </si>
  <si>
    <t>.SideNav</t>
  </si>
  <si>
    <t>.SideNav-icon</t>
  </si>
  <si>
    <t>.SideNav-item</t>
  </si>
  <si>
    <t>.SideNav-item::before</t>
  </si>
  <si>
    <t>width: 3px;</t>
  </si>
  <si>
    <t>.SideNav-item:active</t>
  </si>
  <si>
    <t>.SideNav-item:first-child</t>
  </si>
  <si>
    <t>.SideNav-item:hover.SideNav-item:focus</t>
  </si>
  <si>
    <t>.SideNav-item:hover::before.SideNav-item:focus::before</t>
  </si>
  <si>
    <t>.SideNav-item:last-child</t>
  </si>
  <si>
    <t>box-shadow: 0 1px 0 #e1e4e8;</t>
  </si>
  <si>
    <t>.SideNav-item[aria-current="page"].SideNav-item[aria-selected="true"]</t>
  </si>
  <si>
    <t>.SideNav-item[aria-current="page"]::before.SideNav-item[aria-selected="true"]::before</t>
  </si>
  <si>
    <t>.SideNav-subItem</t>
  </si>
  <si>
    <t>padding: 4px 0;</t>
  </si>
  <si>
    <t>.SideNav-subItem:hover.SideNav-subItem:focus</t>
  </si>
  <si>
    <t>.SideNav-subItem[aria-current="page"].SideNav-subItem[aria-selected="true"]</t>
  </si>
  <si>
    <t>.social-count</t>
  </si>
  <si>
    <t>.social-count:hover.social-count:active</t>
  </si>
  <si>
    <t>.social-count:hover</t>
  </si>
  <si>
    <t>.sr-only</t>
  </si>
  <si>
    <t>clip: rect(0, 0, 0, 0);</t>
  </si>
  <si>
    <t>.state.State</t>
  </si>
  <si>
    <t>.State--green</t>
  </si>
  <si>
    <t>.State--purple</t>
  </si>
  <si>
    <t>background-color: #6f42c1;</t>
  </si>
  <si>
    <t>.State--red</t>
  </si>
  <si>
    <t>.State--small</t>
  </si>
  <si>
    <t>padding: .125em 4px;</t>
  </si>
  <si>
    <t>.State--small .octicon</t>
  </si>
  <si>
    <t>width: 1em;</t>
  </si>
  <si>
    <t>.status-indicator</t>
  </si>
  <si>
    <t>height: 16px;</t>
  </si>
  <si>
    <t>.status-indicator .octicon</t>
  </si>
  <si>
    <t>.status-indicator-failed .octicon-check</t>
  </si>
  <si>
    <t>.status-indicator-failed .octicon-x</t>
  </si>
  <si>
    <t>fill: #d73a49;</t>
  </si>
  <si>
    <t>.status-indicator-failed::before</t>
  </si>
  <si>
    <t>.status-indicator-loading</t>
  </si>
  <si>
    <t>background-image: url("/images/spinners/octocat-spinner-32-EAF2F5.gif");</t>
  </si>
  <si>
    <t>background-size: 16px;</t>
  </si>
  <si>
    <t>.status-indicator-success .octicon-check</t>
  </si>
  <si>
    <t>fill: #28a745;</t>
  </si>
  <si>
    <t>.status-indicator-success .octicon-x</t>
  </si>
  <si>
    <t>.status-indicator-success::before</t>
  </si>
  <si>
    <t>.Subhead</t>
  </si>
  <si>
    <t>padding-bottom: 8px;</t>
  </si>
  <si>
    <t>flex-flow: row wrap;</t>
  </si>
  <si>
    <t>.Subhead--spacious</t>
  </si>
  <si>
    <t>margin-top: 40px;</t>
  </si>
  <si>
    <t>.Subhead-actions</t>
  </si>
  <si>
    <t>align-self: center;</t>
  </si>
  <si>
    <t>justify-content: flex-end;</t>
  </si>
  <si>
    <t>.Subhead-description</t>
  </si>
  <si>
    <t>flex: 1 100%;</t>
  </si>
  <si>
    <t>.Subhead-heading</t>
  </si>
  <si>
    <t>flex: 1 1 auto;</t>
  </si>
  <si>
    <t>.Subhead-heading--danger</t>
  </si>
  <si>
    <t>.subnav</t>
  </si>
  <si>
    <t>margin-bottom: 20px;</t>
  </si>
  <si>
    <t>.subnav-bordered</t>
  </si>
  <si>
    <t>padding-bottom: 20px;</t>
  </si>
  <si>
    <t>.subnav-flush</t>
  </si>
  <si>
    <t>.subnav-item</t>
  </si>
  <si>
    <t>padding: 6px 14px;</t>
  </si>
  <si>
    <t>border: 1px #e1e4e8 solid;</t>
  </si>
  <si>
    <t>.subnav-item:first-child</t>
  </si>
  <si>
    <t>.subnav-item:hover.subnav-item:focus</t>
  </si>
  <si>
    <t>.subnav-item:last-child</t>
  </si>
  <si>
    <t>.subnav-item.selected.subnav-item.selected:hover.subnav-item.selected:focus</t>
  </si>
  <si>
    <t>.subnav-item+.subnav-item</t>
  </si>
  <si>
    <t>.subnav-search</t>
  </si>
  <si>
    <t>margin-left: 10px;</t>
  </si>
  <si>
    <t>.subnav-search-context .btn</t>
  </si>
  <si>
    <t>.subnav-search-context .btn:hover.subnav-search-context .btn:focus.subnav-search-context .btn:active.subnav-search-context .btn.selected</t>
  </si>
  <si>
    <t>.subnav-search-context .select-menu-item-icon</t>
  </si>
  <si>
    <t>.subnav-search-context .select-menu-modal</t>
  </si>
  <si>
    <t>width: 220px;</t>
  </si>
  <si>
    <t>.subnav-search-context .select-menu-modal-holder</t>
  </si>
  <si>
    <t>z-index: 30;</t>
  </si>
  <si>
    <t>.subnav-search-context+.subnav-search</t>
  </si>
  <si>
    <t>.subnav-search-context+.subnav-search .subnav-search-input</t>
  </si>
  <si>
    <t>.subnav-search-icon</t>
  </si>
  <si>
    <t>top: 9px;</t>
  </si>
  <si>
    <t>left: 8px;</t>
  </si>
  <si>
    <t>color: #c6cbd1;</t>
  </si>
  <si>
    <t>.subnav-search-input</t>
  </si>
  <si>
    <t>width: 320px;</t>
  </si>
  <si>
    <t>padding-left: 30px;</t>
  </si>
  <si>
    <t>.subnav-search-input-wide</t>
  </si>
  <si>
    <t>width: 500px;</t>
  </si>
  <si>
    <t>.subnav-spacer-right</t>
  </si>
  <si>
    <t>padding-right: 10px;</t>
  </si>
  <si>
    <t>.subnav::after</t>
  </si>
  <si>
    <t>.subnav::before</t>
  </si>
  <si>
    <t>.suggester</t>
  </si>
  <si>
    <t>min-width: 180px;</t>
  </si>
  <si>
    <t>.suggester li</t>
  </si>
  <si>
    <t>.suggester li small</t>
  </si>
  <si>
    <t>.suggester li:first-child</t>
  </si>
  <si>
    <t>.suggester li:hover.suggester li[aria-selected="true"].suggester li.navigation-focus</t>
  </si>
  <si>
    <t>background: #0366d6;</t>
  </si>
  <si>
    <t>.suggester li:hover small.suggester li[aria-selected="true"] small.suggester li.navigation-focus small</t>
  </si>
  <si>
    <t>.suggester li:last-child</t>
  </si>
  <si>
    <t>.suggester-container</t>
  </si>
  <si>
    <t>.table-fixed</t>
  </si>
  <si>
    <t>table-layout: fixed !important;</t>
  </si>
  <si>
    <t>.TableObject</t>
  </si>
  <si>
    <t>.TableObject-item</t>
  </si>
  <si>
    <t>.TableObject-item--primary</t>
  </si>
  <si>
    <t>width: 99%;</t>
  </si>
  <si>
    <t>.tabnav</t>
  </si>
  <si>
    <t>border-bottom: 1px solid #d1d5da;</t>
  </si>
  <si>
    <t>.tabnav .Counter</t>
  </si>
  <si>
    <t>.tabnav-btn</t>
  </si>
  <si>
    <t>.tabnav-extra</t>
  </si>
  <si>
    <t>padding-top: 10px;</t>
  </si>
  <si>
    <t>.tabnav-extra&gt;.octicon</t>
  </si>
  <si>
    <t>margin-right: 2px;</t>
  </si>
  <si>
    <t>.tabnav-tab</t>
  </si>
  <si>
    <t>padding: 8px 12px;</t>
  </si>
  <si>
    <t>border: 1px solid transparent;</t>
  </si>
  <si>
    <t>.tabnav-tab:hover.tabnav-tab:focus</t>
  </si>
  <si>
    <t>.tabnav-tab[aria-selected=true].tabnav-tab.selected</t>
  </si>
  <si>
    <t>border-radius: 3px 3px 0 0;</t>
  </si>
  <si>
    <t>.tabnav-tabs</t>
  </si>
  <si>
    <t>.text-blue</t>
  </si>
  <si>
    <t>.text-bold</t>
  </si>
  <si>
    <t>text-align: center !important;</t>
  </si>
  <si>
    <t>.text-emphasized</t>
  </si>
  <si>
    <t>.text-gray</t>
  </si>
  <si>
    <t>.text-gray-dark</t>
  </si>
  <si>
    <t>.text-gray-light</t>
  </si>
  <si>
    <t>.text-green</t>
  </si>
  <si>
    <t>.text-inherit</t>
  </si>
  <si>
    <t>.text-italic</t>
  </si>
  <si>
    <t>font-style: italic !important;</t>
  </si>
  <si>
    <t>.text-left</t>
  </si>
  <si>
    <t>text-align: left !important;</t>
  </si>
  <si>
    <t>.text-mono</t>
  </si>
  <si>
    <t>font-family: "SFMono-Regular",Consolas,"Liberation Mono",Menlo,monospace !important;</t>
  </si>
  <si>
    <t>.text-normal</t>
  </si>
  <si>
    <t>font-weight: 400 !important;</t>
  </si>
  <si>
    <t>.text-orange</t>
  </si>
  <si>
    <t>.text-orange-light</t>
  </si>
  <si>
    <t>.text-pink</t>
  </si>
  <si>
    <t>.text-purple</t>
  </si>
  <si>
    <t>.text-red</t>
  </si>
  <si>
    <t>.text-right</t>
  </si>
  <si>
    <t>text-align: right !important;</t>
  </si>
  <si>
    <t>.text-shadow-dark</t>
  </si>
  <si>
    <t>text-shadow: 0 1px 1px rgba(27,31,35,0.25),0 1px 25px rgba(27,31,35,0.75);</t>
  </si>
  <si>
    <t>.text-shadow-light</t>
  </si>
  <si>
    <t>text-shadow: 0 1px 0 rgba(255,255,255,0.5);</t>
  </si>
  <si>
    <t>.text-small</t>
  </si>
  <si>
    <t>.text-underline</t>
  </si>
  <si>
    <t>text-decoration: underline !important;</t>
  </si>
  <si>
    <t>text-transform: uppercase !important;</t>
  </si>
  <si>
    <t>color: #fff !important;</t>
  </si>
  <si>
    <t>.text-yellow</t>
  </si>
  <si>
    <t>.TimelineItem</t>
  </si>
  <si>
    <t>padding: 16px 0;</t>
  </si>
  <si>
    <t>margin-left: 16px;</t>
  </si>
  <si>
    <t>.TimelineItem--condensed</t>
  </si>
  <si>
    <t>.TimelineItem--condensed .TimelineItem-badge</t>
  </si>
  <si>
    <t>margin-top: 8px;</t>
  </si>
  <si>
    <t>.TimelineItem--condensed:last-child</t>
  </si>
  <si>
    <t>padding-bottom: 16px;</t>
  </si>
  <si>
    <t>.TimelineItem-avatar</t>
  </si>
  <si>
    <t>left: -72px;</t>
  </si>
  <si>
    <t>.TimelineItem-badge</t>
  </si>
  <si>
    <t>width: 32px;</t>
  </si>
  <si>
    <t>height: 32px;</t>
  </si>
  <si>
    <t>margin-left: -15px;</t>
  </si>
  <si>
    <t>border: 2px solid #fff;</t>
  </si>
  <si>
    <t>.TimelineItem-body</t>
  </si>
  <si>
    <t>min-width: 0;</t>
  </si>
  <si>
    <t>margin-top: 4px;</t>
  </si>
  <si>
    <t>.TimelineItem-break</t>
  </si>
  <si>
    <t>height: 24px;</t>
  </si>
  <si>
    <t>margin-bottom: -16px;</t>
  </si>
  <si>
    <t>margin-left: -56px;</t>
  </si>
  <si>
    <t>border-top: 4px solid #e1e4e8;</t>
  </si>
  <si>
    <t>.TimelineItem::before</t>
  </si>
  <si>
    <t>.TimelineItem:target .TimelineItem-badge</t>
  </si>
  <si>
    <t>box-shadow: 0 0 0.2em #c8e1ff;</t>
  </si>
  <si>
    <t>.Toast</t>
  </si>
  <si>
    <t>margin: 8px;</t>
  </si>
  <si>
    <t>box-shadow: inset 0 0 0 1px #d1d5da,0 1px 5px rgba(27,31,35,0.15);</t>
  </si>
  <si>
    <t>.Toast--animateIn</t>
  </si>
  <si>
    <t>animation: Toast--animateIn 0.18s cubic-bezier(0.22, 0.61, 0.36, 1) backwards;</t>
  </si>
  <si>
    <t>.Toast--animateOut</t>
  </si>
  <si>
    <t>animation: Toast--animateOut 0.18s cubic-bezier(0.55, 0.06, 0.68, 0.19) forwards;</t>
  </si>
  <si>
    <t>.Toast--error .Toast-icon</t>
  </si>
  <si>
    <t>background-color: #d73a49;</t>
  </si>
  <si>
    <t>.Toast--loading .Toast-icon</t>
  </si>
  <si>
    <t>background-color: #586069;</t>
  </si>
  <si>
    <t>.Toast--spinner</t>
  </si>
  <si>
    <t>animation: Toast--spinner 1000ms linear infinite;</t>
  </si>
  <si>
    <t>.Toast--success .Toast-icon</t>
  </si>
  <si>
    <t>.Toast--warning .Toast-icon</t>
  </si>
  <si>
    <t>background-color: #f9c513;</t>
  </si>
  <si>
    <t>.Toast-content</t>
  </si>
  <si>
    <t>.Toast-dismissButton</t>
  </si>
  <si>
    <t>max-height: 54px;</t>
  </si>
  <si>
    <t>.Toast-dismissButton:active</t>
  </si>
  <si>
    <t>.Toast-dismissButton:focus.Toast-dismissButton:hover</t>
  </si>
  <si>
    <t>.Toast-icon</t>
  </si>
  <si>
    <t>width: 48px;</t>
  </si>
  <si>
    <t>border-top-left-radius: inherit;</t>
  </si>
  <si>
    <t>border-bottom-left-radius: inherit;</t>
  </si>
  <si>
    <t>.tooltipped</t>
  </si>
  <si>
    <t>.tooltipped-align-left-1::after.tooltipped-align-left-2::after</t>
  </si>
  <si>
    <t>.tooltipped-align-left-1::before</t>
  </si>
  <si>
    <t>left: 5px;</t>
  </si>
  <si>
    <t>.tooltipped-align-left-2::before</t>
  </si>
  <si>
    <t>.tooltipped-align-right-1::after.tooltipped-align-right-2::after</t>
  </si>
  <si>
    <t>.tooltipped-align-right-1::before</t>
  </si>
  <si>
    <t>.tooltipped-align-right-2::before</t>
  </si>
  <si>
    <t>right: 15px;</t>
  </si>
  <si>
    <t>.tooltipped-e::after</t>
  </si>
  <si>
    <t>bottom: 50%;</t>
  </si>
  <si>
    <t>margin-left: 6px;</t>
  </si>
  <si>
    <t>transform: translateY(50%);</t>
  </si>
  <si>
    <t>.tooltipped-e::before</t>
  </si>
  <si>
    <t>right: -7px;</t>
  </si>
  <si>
    <t>margin-top: -6px;</t>
  </si>
  <si>
    <t>border-right-color: #1b1f23;</t>
  </si>
  <si>
    <t>.tooltipped-multiline::after</t>
  </si>
  <si>
    <t>width: -webkit-max-content;</t>
  </si>
  <si>
    <t>width: -moz-max-content;</t>
  </si>
  <si>
    <t>width: max-content;</t>
  </si>
  <si>
    <t>max-width: 250px;</t>
  </si>
  <si>
    <t>white-space: pre-line;</t>
  </si>
  <si>
    <t>border-collapse: separate;</t>
  </si>
  <si>
    <t>.tooltipped-multiline:hover::after.tooltipped-multiline:active::after.tooltipped-multiline:focus::after</t>
  </si>
  <si>
    <t>.tooltipped-multiline.tooltipped-s::after.tooltipped-multiline.tooltipped-n::after</t>
  </si>
  <si>
    <t>transform: translateX(-50%);</t>
  </si>
  <si>
    <t>.tooltipped-multiline.tooltipped-w::after.tooltipped-multiline.tooltipped-e::after</t>
  </si>
  <si>
    <t>.tooltipped-n::after.tooltipped-ne::after.tooltipped-nw::after</t>
  </si>
  <si>
    <t>margin-bottom: 6px;</t>
  </si>
  <si>
    <t>.tooltipped-n::before.tooltipped-ne::before.tooltipped-nw::before</t>
  </si>
  <si>
    <t>top: -7px;</t>
  </si>
  <si>
    <t>bottom: auto;</t>
  </si>
  <si>
    <t>margin-right: -6px;</t>
  </si>
  <si>
    <t>border-top-color: #1b1f23;</t>
  </si>
  <si>
    <t>.tooltipped-ne::after</t>
  </si>
  <si>
    <t>.tooltipped-no-delay:hover::before.tooltipped-no-delay:hover::after.tooltipped-no-delay:active::before.tooltipped-no-delay:active::after.tooltipped-no-delay:focus::before.tooltipped-no-delay:focus::after</t>
  </si>
  <si>
    <t>animation-delay: 0s;</t>
  </si>
  <si>
    <t>.tooltipped-nw::after</t>
  </si>
  <si>
    <t>.tooltipped-s::after.tooltipped-se::after.tooltipped-sw::after</t>
  </si>
  <si>
    <t>margin-top: 6px;</t>
  </si>
  <si>
    <t>.tooltipped-s::after.tooltipped-n::after</t>
  </si>
  <si>
    <t>.tooltipped-s::before.tooltipped-se::before.tooltipped-sw::before</t>
  </si>
  <si>
    <t>border-bottom-color: #1b1f23;</t>
  </si>
  <si>
    <t>.tooltipped-se::after</t>
  </si>
  <si>
    <t>.tooltipped-sticky::before.tooltipped-sticky::after</t>
  </si>
  <si>
    <t>.tooltipped-sticky.tooltipped-multiline::after</t>
  </si>
  <si>
    <t>.tooltipped-sw::after</t>
  </si>
  <si>
    <t>.tooltipped-w::after</t>
  </si>
  <si>
    <t>margin-right: 6px;</t>
  </si>
  <si>
    <t>.tooltipped-w::before</t>
  </si>
  <si>
    <t>left: -7px;</t>
  </si>
  <si>
    <t>border-left-color: #1b1f23;</t>
  </si>
  <si>
    <t>.tooltipped::after</t>
  </si>
  <si>
    <t>z-index: 1000000;</t>
  </si>
  <si>
    <t>padding: .5em .75em;</t>
  </si>
  <si>
    <t>font: normal normal 11px/1.5 -apple-system,BlinkMacSystemFont,"Segoe UI",Helvetica,Arial,sans-serif,"Apple Color Emoji","Segoe UI Emoji";</t>
  </si>
  <si>
    <t>-webkit-font-smoothing: subpixel-antialiased;</t>
  </si>
  <si>
    <t>text-transform: none;</t>
  </si>
  <si>
    <t>letter-spacing: normal;</t>
  </si>
  <si>
    <t>content: attr(aria-label);</t>
  </si>
  <si>
    <t>background: #1b1f23;</t>
  </si>
  <si>
    <t>.tooltipped::before</t>
  </si>
  <si>
    <t>z-index: 1000001;</t>
  </si>
  <si>
    <t>border: 6px solid transparent;</t>
  </si>
  <si>
    <t>.tooltipped:hover::before.tooltipped:hover::after.tooltipped:active::before.tooltipped:active::after.tooltipped:focus::before.tooltipped:focus::after</t>
  </si>
  <si>
    <t>animation-name: tooltip-appear;</t>
  </si>
  <si>
    <t>animation-duration: .1s;</t>
  </si>
  <si>
    <t>animation-delay: .4s;</t>
  </si>
  <si>
    <t>top: 0 !important;</t>
  </si>
  <si>
    <t>.top-1</t>
  </si>
  <si>
    <t>top: 4px !important;</t>
  </si>
  <si>
    <t>.top-10</t>
  </si>
  <si>
    <t>top: 96px !important;</t>
  </si>
  <si>
    <t>.top-11</t>
  </si>
  <si>
    <t>top: 112px !important;</t>
  </si>
  <si>
    <t>.top-12</t>
  </si>
  <si>
    <t>top: 128px !important;</t>
  </si>
  <si>
    <t>.top-2</t>
  </si>
  <si>
    <t>top: 8px !important;</t>
  </si>
  <si>
    <t>.top-3</t>
  </si>
  <si>
    <t>top: 16px !important;</t>
  </si>
  <si>
    <t>.top-4</t>
  </si>
  <si>
    <t>top: 24px !important;</t>
  </si>
  <si>
    <t>.top-5</t>
  </si>
  <si>
    <t>top: 32px !important;</t>
  </si>
  <si>
    <t>.top-6</t>
  </si>
  <si>
    <t>top: 40px !important;</t>
  </si>
  <si>
    <t>.top-7</t>
  </si>
  <si>
    <t>top: 48px !important;</t>
  </si>
  <si>
    <t>.top-8</t>
  </si>
  <si>
    <t>top: 64px !important;</t>
  </si>
  <si>
    <t>.top-9</t>
  </si>
  <si>
    <t>top: 80px !important;</t>
  </si>
  <si>
    <t>.top-n0</t>
  </si>
  <si>
    <t>.top-n1</t>
  </si>
  <si>
    <t>top: -4px !important;</t>
  </si>
  <si>
    <t>.top-n10</t>
  </si>
  <si>
    <t>top: -96px !important;</t>
  </si>
  <si>
    <t>.top-n11</t>
  </si>
  <si>
    <t>top: -112px !important;</t>
  </si>
  <si>
    <t>.top-n12</t>
  </si>
  <si>
    <t>top: -128px !important;</t>
  </si>
  <si>
    <t>.top-n2</t>
  </si>
  <si>
    <t>top: -8px !important;</t>
  </si>
  <si>
    <t>.top-n3</t>
  </si>
  <si>
    <t>top: -16px !important;</t>
  </si>
  <si>
    <t>.top-n4</t>
  </si>
  <si>
    <t>top: -24px !important;</t>
  </si>
  <si>
    <t>.top-n5</t>
  </si>
  <si>
    <t>top: -32px !important;</t>
  </si>
  <si>
    <t>.top-n6</t>
  </si>
  <si>
    <t>top: -40px !important;</t>
  </si>
  <si>
    <t>.top-n7</t>
  </si>
  <si>
    <t>top: -48px !important;</t>
  </si>
  <si>
    <t>.top-n8</t>
  </si>
  <si>
    <t>top: -64px !important;</t>
  </si>
  <si>
    <t>.top-n9</t>
  </si>
  <si>
    <t>top: -80px !important;</t>
  </si>
  <si>
    <t>.UnderlineNav</t>
  </si>
  <si>
    <t>justify-content: space-between;</t>
  </si>
  <si>
    <t>.UnderlineNav--full</t>
  </si>
  <si>
    <t>.UnderlineNav--right</t>
  </si>
  <si>
    <t>.UnderlineNav--right .UnderlineNav-actions</t>
  </si>
  <si>
    <t>.UnderlineNav--right .UnderlineNav-item</t>
  </si>
  <si>
    <t>.UnderlineNav-actions</t>
  </si>
  <si>
    <t>.UnderlineNav-body</t>
  </si>
  <si>
    <t>.UnderlineNav-container</t>
  </si>
  <si>
    <t>.UnderlineNav-item</t>
  </si>
  <si>
    <t>padding: 16px 8px;</t>
  </si>
  <si>
    <t>border-bottom: 2px solid transparent;</t>
  </si>
  <si>
    <t>.UnderlineNav-item:hover.UnderlineNav-item:focus</t>
  </si>
  <si>
    <t>transition: 0.2s ease;</t>
  </si>
  <si>
    <t>.UnderlineNav-item:hover .UnderlineNav-octicon.UnderlineNav-item:focus .UnderlineNav-octicon</t>
  </si>
  <si>
    <t>.UnderlineNav-item[role=tab][aria-selected=true].UnderlineNav-item[aria-current]</t>
  </si>
  <si>
    <t>border-bottom-color: #e36209;</t>
  </si>
  <si>
    <t>.UnderlineNav-item[role=tab][aria-selected=true] .UnderlineNav-octicon.UnderlineNav-item[aria-current] .UnderlineNav-octicon</t>
  </si>
  <si>
    <t>.UnderlineNav-octicon</t>
  </si>
  <si>
    <t>.upload-enabled textarea</t>
  </si>
  <si>
    <t>border-bottom: 1px dashed #dfe2e5;</t>
  </si>
  <si>
    <t>.upload-enabled.focused</t>
  </si>
  <si>
    <t>.upload-enabled.focused .drag-and-drop</t>
  </si>
  <si>
    <t>border-color: #4a9eff;</t>
  </si>
  <si>
    <t>.upload-enabled.focused .form-control</t>
  </si>
  <si>
    <t>-webkit-user-select: none !important;</t>
  </si>
  <si>
    <t>-moz-user-select: none !important;</t>
  </si>
  <si>
    <t>-ms-user-select: none !important;</t>
  </si>
  <si>
    <t>user-select: none !important;</t>
  </si>
  <si>
    <t>.v-align-baseline</t>
  </si>
  <si>
    <t>vertical-align: baseline !important;</t>
  </si>
  <si>
    <t>.v-align-bottom</t>
  </si>
  <si>
    <t>vertical-align: bottom !important;</t>
  </si>
  <si>
    <t>.v-align-middle</t>
  </si>
  <si>
    <t>vertical-align: middle !important;</t>
  </si>
  <si>
    <t>.v-align-text-bottom</t>
  </si>
  <si>
    <t>vertical-align: text-bottom !important;</t>
  </si>
  <si>
    <t>.v-align-text-top</t>
  </si>
  <si>
    <t>vertical-align: text-top !important;</t>
  </si>
  <si>
    <t>.v-align-top</t>
  </si>
  <si>
    <t>vertical-align: top !important;</t>
  </si>
  <si>
    <t>.v-hidden</t>
  </si>
  <si>
    <t>visibility: hidden !important;</t>
  </si>
  <si>
    <t>.v-visible</t>
  </si>
  <si>
    <t>visibility: visible !important;</t>
  </si>
  <si>
    <t>.warning</t>
  </si>
  <si>
    <t>padding: .5em;</t>
  </si>
  <si>
    <t>margin-bottom: 0.8em;</t>
  </si>
  <si>
    <t>.wb-break-all</t>
  </si>
  <si>
    <t>word-break: break-all !important;</t>
  </si>
  <si>
    <t>.width-auto</t>
  </si>
  <si>
    <t>width: auto !important;</t>
  </si>
  <si>
    <t>.width-fit</t>
  </si>
  <si>
    <t>max-width: 100% !important;</t>
  </si>
  <si>
    <t>.width-full</t>
  </si>
  <si>
    <t>width: 100% !important;</t>
  </si>
  <si>
    <t>.write-content</t>
  </si>
  <si>
    <t>.ws-normal</t>
  </si>
  <si>
    <t>white-space: normal !important;</t>
  </si>
  <si>
    <t>avatar_stack</t>
  </si>
  <si>
    <t>count</t>
  </si>
  <si>
    <t>primer</t>
  </si>
  <si>
    <t>.list-group with badges</t>
  </si>
  <si>
    <t>.list-group with d-flex</t>
  </si>
  <si>
    <t>.list-group-item active</t>
  </si>
  <si>
    <t>.list-group-item disabled</t>
  </si>
  <si>
    <t>action</t>
  </si>
  <si>
    <t>badges</t>
  </si>
  <si>
    <t>.align-content-*-around</t>
  </si>
  <si>
    <t>collection</t>
  </si>
  <si>
    <t>disclosure</t>
  </si>
  <si>
    <t>plus</t>
  </si>
  <si>
    <t>colapsing</t>
  </si>
  <si>
    <t>.align-content-*-center</t>
  </si>
  <si>
    <t>.align-content-*-end</t>
  </si>
  <si>
    <t>.align-content-*-start</t>
  </si>
  <si>
    <t>.align-content-*-stretch</t>
  </si>
  <si>
    <t>.align-items-*-baseline</t>
  </si>
  <si>
    <t>.align-items-*-center</t>
  </si>
  <si>
    <t>.align-items-*-end</t>
  </si>
  <si>
    <t>.align-items-*-start</t>
  </si>
  <si>
    <t>.align-items-*-stretch</t>
  </si>
  <si>
    <t>.align-self-*-baseline</t>
  </si>
  <si>
    <t>.align-self-*-center</t>
  </si>
  <si>
    <t>.align-self-*-end</t>
  </si>
  <si>
    <t>.align-self-*-start</t>
  </si>
  <si>
    <t>.align-self-*-stretch</t>
  </si>
  <si>
    <t>.flex-*-column</t>
  </si>
  <si>
    <t>.flex-*-column-reverse</t>
  </si>
  <si>
    <t>.flex-*-grow-0</t>
  </si>
  <si>
    <t>.flex-*-grow-1</t>
  </si>
  <si>
    <t>.flex-*-nowrap</t>
  </si>
  <si>
    <t>.flex-*-row</t>
  </si>
  <si>
    <t>.flex-*-row-reverse</t>
  </si>
  <si>
    <t>.flex-*-shrink-0</t>
  </si>
  <si>
    <t>.flex-*-shrink-1</t>
  </si>
  <si>
    <t>.flex-*-wrap</t>
  </si>
  <si>
    <t>.flex-*-wrap-reverse</t>
  </si>
  <si>
    <t>.justify-content-*-around</t>
  </si>
  <si>
    <t>.justify-content-*-between</t>
  </si>
  <si>
    <t>.justify-content-*-center</t>
  </si>
  <si>
    <t>.justify-content-*-end</t>
  </si>
  <si>
    <t>.justify-content-*-start</t>
  </si>
  <si>
    <t>.order-*-#</t>
  </si>
  <si>
    <t>flex_start</t>
  </si>
  <si>
    <t>flex_end</t>
  </si>
  <si>
    <t>self_end</t>
  </si>
  <si>
    <t>self_start</t>
  </si>
  <si>
    <t>last</t>
  </si>
  <si>
    <t>.table-*-responsive</t>
  </si>
  <si>
    <t>.table-reflow</t>
  </si>
  <si>
    <t>.thead-dark</t>
  </si>
  <si>
    <t>.thead-light</t>
  </si>
  <si>
    <t>.close</t>
  </si>
  <si>
    <t>.embed-responsive</t>
  </si>
  <si>
    <t>.sr-only-focusable</t>
  </si>
  <si>
    <t>y</t>
  </si>
  <si>
    <t>clip</t>
  </si>
  <si>
    <t>hidden_visible</t>
  </si>
  <si>
    <t>important</t>
  </si>
  <si>
    <t>inverted</t>
  </si>
  <si>
    <t>transparent</t>
  </si>
  <si>
    <t>focusable</t>
  </si>
  <si>
    <t>sr-only</t>
  </si>
  <si>
    <t>pointer_events</t>
  </si>
  <si>
    <t>alt</t>
  </si>
  <si>
    <t>over</t>
  </si>
  <si>
    <t>through</t>
  </si>
  <si>
    <t>under</t>
  </si>
  <si>
    <t>incoming</t>
  </si>
  <si>
    <t>outgoing</t>
  </si>
  <si>
    <t>thread</t>
  </si>
  <si>
    <t>online</t>
  </si>
  <si>
    <t>offline</t>
  </si>
  <si>
    <t>busy</t>
  </si>
  <si>
    <t>anonymous</t>
  </si>
  <si>
    <t>.avatar,</t>
  </si>
  <si>
    <t>positioned</t>
  </si>
  <si>
    <t>txt</t>
  </si>
  <si>
    <t>inherit</t>
  </si>
  <si>
    <t>initial</t>
  </si>
  <si>
    <t>lowercase</t>
  </si>
  <si>
    <t>petite_caps</t>
  </si>
  <si>
    <t>script_sub</t>
  </si>
  <si>
    <t>script_super</t>
  </si>
  <si>
    <t>script_base</t>
  </si>
  <si>
    <t>uppercase</t>
  </si>
  <si>
    <t>unset</t>
  </si>
  <si>
    <t>unicase</t>
  </si>
  <si>
    <t>titling_caps</t>
  </si>
  <si>
    <t>smallcaps_all</t>
  </si>
  <si>
    <t>petite_caps_all</t>
  </si>
  <si>
    <t>basis</t>
  </si>
  <si>
    <t>keep</t>
  </si>
  <si>
    <t>shrink</t>
  </si>
  <si>
    <t>height</t>
  </si>
  <si>
    <t>actions</t>
  </si>
  <si>
    <t>compact</t>
  </si>
  <si>
    <t>expanded</t>
  </si>
  <si>
    <t>truncated</t>
  </si>
  <si>
    <t>.breadcrumb.has-succeeds-separator, .has-succeeds-separator</t>
  </si>
  <si>
    <t>previous</t>
  </si>
  <si>
    <t>current</t>
  </si>
  <si>
    <t>ellipsis</t>
  </si>
  <si>
    <t>mobile</t>
  </si>
  <si>
    <t>loop</t>
  </si>
  <si>
    <t>lift</t>
  </si>
  <si>
    <t>translucent</t>
  </si>
  <si>
    <t>timer</t>
  </si>
  <si>
    <t>ancestor</t>
  </si>
  <si>
    <t>parent</t>
  </si>
  <si>
    <t>pills</t>
  </si>
  <si>
    <t>elevated</t>
  </si>
  <si>
    <t>flat</t>
  </si>
  <si>
    <t>event</t>
  </si>
  <si>
    <t>value</t>
  </si>
  <si>
    <t>unit</t>
  </si>
  <si>
    <t>positive</t>
  </si>
  <si>
    <t>negative</t>
  </si>
  <si>
    <t>detail</t>
  </si>
  <si>
    <t>elevate</t>
  </si>
  <si>
    <t>expand</t>
  </si>
  <si>
    <t>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</si>
</sst>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4" tint="0.39997558519241921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trike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0070C0"/>
      <name val="Aptos Narrow"/>
      <scheme val="minor"/>
    </font>
    <font>
      <b/>
      <sz val="12"/>
      <color rgb="FF0070C0"/>
      <name val="Aptos Narrow"/>
      <family val="2"/>
      <scheme val="minor"/>
    </font>
    <font>
      <sz val="12"/>
      <color rgb="FF7030A0"/>
      <name val="Aptos Narrow"/>
      <family val="2"/>
      <scheme val="minor"/>
    </font>
    <font>
      <b/>
      <sz val="12"/>
      <color rgb="FF7030A0"/>
      <name val="Aptos Narrow"/>
      <scheme val="minor"/>
    </font>
    <font>
      <sz val="10"/>
      <color rgb="FF363636"/>
      <name val="Helvetica Neue"/>
      <family val="2"/>
    </font>
    <font>
      <sz val="12"/>
      <color rgb="FF009193"/>
      <name val="Aptos Narrow"/>
      <family val="2"/>
      <scheme val="minor"/>
    </font>
    <font>
      <b/>
      <sz val="12"/>
      <color rgb="FF009193"/>
      <name val="Aptos Narrow"/>
      <scheme val="minor"/>
    </font>
    <font>
      <sz val="10"/>
      <color rgb="FF000000"/>
      <name val="Arial Unicode MS"/>
      <family val="2"/>
    </font>
    <font>
      <sz val="12"/>
      <color rgb="FF4A5568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4"/>
      <color rgb="FF1A202C"/>
      <name val="Helvetica Neue"/>
      <family val="2"/>
    </font>
    <font>
      <sz val="24"/>
      <color rgb="FF1A202C"/>
      <name val="Helvetica Neue"/>
      <family val="2"/>
    </font>
    <font>
      <sz val="10"/>
      <color rgb="FF1A202C"/>
      <name val="Helvetica Neue"/>
      <family val="2"/>
    </font>
    <font>
      <sz val="14"/>
      <color rgb="FF3182CE"/>
      <name val="Helvetica Neue"/>
      <family val="2"/>
    </font>
    <font>
      <b/>
      <sz val="10"/>
      <color rgb="FF1A202C"/>
      <name val="Helvetica Neue"/>
      <family val="2"/>
    </font>
    <font>
      <sz val="14"/>
      <color rgb="FF2B6CB0"/>
      <name val="Helvetica Neue"/>
      <family val="2"/>
    </font>
    <font>
      <sz val="12"/>
      <color theme="1"/>
      <name val="Helvetica Neue"/>
      <family val="2"/>
    </font>
    <font>
      <sz val="12"/>
      <color theme="1"/>
      <name val="Menlo"/>
      <family val="2"/>
    </font>
    <font>
      <b/>
      <sz val="12"/>
      <color theme="8" tint="0.39997558519241921"/>
      <name val="Aptos Narrow"/>
      <scheme val="minor"/>
    </font>
    <font>
      <sz val="18"/>
      <color theme="1"/>
      <name val="Noto Sans"/>
    </font>
    <font>
      <b/>
      <sz val="12"/>
      <color rgb="FF009193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sz val="24"/>
      <color rgb="FF24292E"/>
      <name val="Helvetica"/>
      <family val="2"/>
    </font>
    <font>
      <sz val="20"/>
      <color rgb="FF24292E"/>
      <name val="Helvetica"/>
      <family val="2"/>
    </font>
    <font>
      <sz val="20"/>
      <color rgb="FF0366D6"/>
      <name val="Helvetica"/>
      <family val="2"/>
    </font>
    <font>
      <sz val="20"/>
      <color rgb="FF6A737D"/>
      <name val="Helvetica"/>
      <family val="2"/>
    </font>
    <font>
      <sz val="14"/>
      <color rgb="FF24292E"/>
      <name val="Consolas"/>
      <family val="2"/>
    </font>
    <font>
      <b/>
      <u/>
      <sz val="12"/>
      <color theme="2" tint="-0.499984740745262"/>
      <name val="Aptos Narrow"/>
      <scheme val="minor"/>
    </font>
    <font>
      <b/>
      <u/>
      <sz val="12"/>
      <color theme="2" tint="-0.499984740745262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2" tint="-0.499984740745262"/>
      <name val="Aptos Narrow"/>
      <scheme val="minor"/>
    </font>
    <font>
      <b/>
      <sz val="12"/>
      <color theme="2" tint="-0.499984740745262"/>
      <name val="Aptos Narrow"/>
      <family val="2"/>
      <scheme val="minor"/>
    </font>
    <font>
      <b/>
      <sz val="12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6" fillId="0" borderId="0" xfId="0" applyFont="1"/>
    <xf numFmtId="0" fontId="7" fillId="0" borderId="0" xfId="0" applyFont="1"/>
    <xf numFmtId="0" fontId="0" fillId="4" borderId="0" xfId="0" applyFill="1"/>
    <xf numFmtId="0" fontId="8" fillId="0" borderId="0" xfId="0" applyFont="1"/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2" fillId="0" borderId="2" xfId="0" applyFont="1" applyBorder="1"/>
    <xf numFmtId="0" fontId="13" fillId="0" borderId="2" xfId="0" applyFont="1" applyBorder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3" fillId="0" borderId="0" xfId="0" applyFont="1"/>
    <xf numFmtId="0" fontId="22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" fillId="2" borderId="3" xfId="0" applyFont="1" applyFill="1" applyBorder="1"/>
    <xf numFmtId="0" fontId="29" fillId="0" borderId="0" xfId="0" applyFont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30" fillId="0" borderId="0" xfId="0" applyFont="1" applyAlignment="1">
      <alignment vertical="center"/>
    </xf>
    <xf numFmtId="0" fontId="30" fillId="2" borderId="0" xfId="0" applyFont="1" applyFill="1"/>
    <xf numFmtId="0" fontId="9" fillId="2" borderId="3" xfId="0" applyFont="1" applyFill="1" applyBorder="1"/>
    <xf numFmtId="0" fontId="15" fillId="2" borderId="0" xfId="0" applyFont="1" applyFill="1"/>
    <xf numFmtId="0" fontId="18" fillId="2" borderId="0" xfId="0" applyFont="1" applyFill="1"/>
    <xf numFmtId="0" fontId="32" fillId="0" borderId="0" xfId="0" applyFont="1"/>
    <xf numFmtId="0" fontId="32" fillId="5" borderId="0" xfId="0" applyFont="1" applyFill="1"/>
    <xf numFmtId="0" fontId="32" fillId="0" borderId="4" xfId="0" applyFont="1" applyBorder="1"/>
    <xf numFmtId="0" fontId="0" fillId="6" borderId="6" xfId="0" applyFill="1" applyBorder="1"/>
    <xf numFmtId="0" fontId="5" fillId="7" borderId="0" xfId="0" applyFont="1" applyFill="1"/>
    <xf numFmtId="0" fontId="34" fillId="0" borderId="0" xfId="0" applyFont="1"/>
    <xf numFmtId="0" fontId="35" fillId="0" borderId="0" xfId="0" applyFont="1"/>
    <xf numFmtId="0" fontId="38" fillId="0" borderId="0" xfId="0" applyFont="1"/>
    <xf numFmtId="0" fontId="39" fillId="0" borderId="0" xfId="1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18" fillId="0" borderId="2" xfId="0" applyFont="1" applyBorder="1"/>
    <xf numFmtId="0" fontId="43" fillId="0" borderId="0" xfId="0" applyFont="1"/>
    <xf numFmtId="0" fontId="44" fillId="0" borderId="2" xfId="0" applyFont="1" applyBorder="1"/>
    <xf numFmtId="0" fontId="6" fillId="0" borderId="7" xfId="0" applyFont="1" applyBorder="1"/>
    <xf numFmtId="0" fontId="33" fillId="0" borderId="0" xfId="0" applyFont="1"/>
    <xf numFmtId="0" fontId="0" fillId="6" borderId="5" xfId="0" applyFill="1" applyBorder="1"/>
    <xf numFmtId="0" fontId="1" fillId="0" borderId="2" xfId="0" applyNumberFormat="1" applyFont="1" applyBorder="1"/>
    <xf numFmtId="0" fontId="0" fillId="0" borderId="0" xfId="0" applyFill="1"/>
    <xf numFmtId="0" fontId="0" fillId="0" borderId="0" xfId="0" applyNumberFormat="1"/>
    <xf numFmtId="0" fontId="0" fillId="0" borderId="0" xfId="0" applyNumberFormat="1" applyFill="1"/>
    <xf numFmtId="0" fontId="0" fillId="0" borderId="2" xfId="0" applyFill="1" applyBorder="1"/>
    <xf numFmtId="0" fontId="6" fillId="0" borderId="7" xfId="0" applyNumberFormat="1" applyFont="1" applyBorder="1"/>
    <xf numFmtId="0" fontId="44" fillId="0" borderId="2" xfId="0" applyNumberFormat="1" applyFont="1" applyFill="1" applyBorder="1"/>
    <xf numFmtId="0" fontId="2" fillId="0" borderId="0" xfId="0" applyNumberFormat="1" applyFont="1" applyFill="1"/>
    <xf numFmtId="0" fontId="1" fillId="0" borderId="3" xfId="0" applyNumberFormat="1" applyFont="1" applyBorder="1"/>
    <xf numFmtId="0" fontId="1" fillId="0" borderId="0" xfId="0" applyNumberFormat="1" applyFont="1"/>
    <xf numFmtId="0" fontId="0" fillId="0" borderId="0" xfId="0" applyBorder="1"/>
    <xf numFmtId="0" fontId="6" fillId="0" borderId="0" xfId="0" applyFont="1" applyBorder="1"/>
    <xf numFmtId="0" fontId="2" fillId="0" borderId="2" xfId="0" applyNumberFormat="1" applyFont="1" applyFill="1" applyBorder="1"/>
    <xf numFmtId="0" fontId="2" fillId="0" borderId="0" xfId="0" applyFont="1" applyBorder="1"/>
    <xf numFmtId="0" fontId="18" fillId="0" borderId="0" xfId="0" applyFont="1" applyBorder="1"/>
    <xf numFmtId="0" fontId="2" fillId="0" borderId="2" xfId="0" applyNumberFormat="1" applyFont="1" applyBorder="1"/>
    <xf numFmtId="0" fontId="2" fillId="0" borderId="3" xfId="0" applyNumberFormat="1" applyFont="1" applyBorder="1"/>
    <xf numFmtId="0" fontId="2" fillId="0" borderId="0" xfId="0" applyNumberFormat="1" applyFont="1"/>
    <xf numFmtId="0" fontId="0" fillId="0" borderId="0" xfId="0" applyFill="1" applyBorder="1"/>
    <xf numFmtId="0" fontId="6" fillId="0" borderId="0" xfId="0" applyNumberFormat="1" applyFont="1" applyBorder="1"/>
    <xf numFmtId="0" fontId="7" fillId="0" borderId="7" xfId="0" applyFont="1" applyBorder="1"/>
  </cellXfs>
  <cellStyles count="2">
    <cellStyle name="Hyperlink" xfId="1" builtinId="8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7030A0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9193"/>
        <name val="Aptos Narrow"/>
        <scheme val="minor"/>
      </font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4" tint="0.39997558519241921"/>
        <name val="Aptos Narrow"/>
        <family val="2"/>
        <scheme val="minor"/>
      </font>
      <numFmt numFmtId="0" formatCode="General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tailwind.build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508000</xdr:colOff>
      <xdr:row>2</xdr:row>
      <xdr:rowOff>101600</xdr:rowOff>
    </xdr:to>
    <xdr:sp macro="" textlink="">
      <xdr:nvSpPr>
        <xdr:cNvPr id="8193" name="AutoShape 1" descr="Shuffle for Tailwind CS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B1BB4-F6F6-472F-C9AC-767D237DDB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2976E-13AC-464C-8F71-531FA7E2ADDE}" name="Table1" displayName="Table1" ref="A2:AU3450" totalsRowShown="0" headerRowDxfId="41">
  <autoFilter ref="A2:AU3450" xr:uid="{D392976E-13AC-464C-8F71-531FA7E2ADDE}"/>
  <sortState xmlns:xlrd2="http://schemas.microsoft.com/office/spreadsheetml/2017/richdata2" ref="A3:AU3450">
    <sortCondition ref="J2:J3450"/>
  </sortState>
  <tableColumns count="47">
    <tableColumn id="25" xr3:uid="{9DDC4110-8A11-F842-B2B1-5BA3C5D6343F}" name="Column11" dataDxfId="40"/>
    <tableColumn id="45" xr3:uid="{E51ECA90-2B17-9145-BAC4-1DE8320ACB6B}" name="Column112" dataDxfId="39"/>
    <tableColumn id="49" xr3:uid="{74D28006-DD45-AB48-A31D-9FA60B19046B}" name="focus" dataDxfId="38"/>
    <tableColumn id="46" xr3:uid="{F742DB79-86DA-8B42-A9D8-FC2F7F93CC25}" name="Column113" dataDxfId="37"/>
    <tableColumn id="47" xr3:uid="{A1B2A5BA-6FE8-2140-9055-E0B210937AC5}" name="Column114" dataDxfId="36"/>
    <tableColumn id="23" xr3:uid="{865020FE-9896-C140-B5DB-0462AF7CBD79}" name="Column10" dataDxfId="35">
      <calculatedColumnFormula>IF(Table1[[#This Row],[Column8]]="","",Table1[[#This Row],[Column8]]&amp;"/")&amp;IF(Table1[[#This Row],[Column9]]="","",Table1[[#This Row],[Column9]]&amp;"/")&amp;IF(Table1[[#This Row],[Column92]]="","",Table1[[#This Row],[Column92]]&amp;".scss")</calculatedColumnFormula>
    </tableColumn>
    <tableColumn id="18" xr3:uid="{6339DE60-F022-C54C-859E-F4250EEFBCEF}" name="Column8" dataDxfId="34"/>
    <tableColumn id="19" xr3:uid="{4F3D1E03-25A8-724D-ABF7-ADC4045899E8}" name="Column9" dataDxfId="33"/>
    <tableColumn id="24" xr3:uid="{BB50926C-A11A-F24A-83BC-2F6C6234E88A}" name="Column92" dataDxfId="32">
      <calculatedColumnFormula>Table1[[#This Row],[type]]</calculatedColumnFormula>
    </tableColumn>
    <tableColumn id="12" xr3:uid="{D8A9C68D-ACC0-6C42-BA25-00DDC909AF0F}" name="Column4" dataDxfId="31">
      <calculatedColumnFormula>Table1[[#This Row],[Column42]]&amp;IF(Table1[[#This Row],[Column13]]="","",Table1[[#This Row],[Column13]])&amp;IF(Table1[[#This Row],[mod]]="","",Table1[[#This Row],[mod]])</calculatedColumnFormula>
    </tableColumn>
    <tableColumn id="32" xr3:uid="{8929D1C5-EEE5-8646-B7B6-B9D6BF741188}" name="Column42" dataDxfId="30">
      <calculatedColumnFormula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calculatedColumnFormula>
    </tableColumn>
    <tableColumn id="1" xr3:uid="{94D94FF9-1FEF-104F-9A4E-16D5A81CD042}" name="type"/>
    <tableColumn id="28" xr3:uid="{1EFCB6EA-DD12-084A-963E-0E332F348854}" name="subtype"/>
    <tableColumn id="31" xr3:uid="{7896B425-4DDD-E84D-B094-782D59712CB9}" name="Column12"/>
    <tableColumn id="38" xr3:uid="{4E03203B-25D9-D347-9E1C-6712AB68D32E}" name="Column122"/>
    <tableColumn id="48" xr3:uid="{9C989A86-7E70-594A-8826-CD8ED214C2C0}" name="Column123"/>
    <tableColumn id="34" xr3:uid="{FDF17819-8F2B-EB44-8FDD-7CE67AA4723A}" name="Column13" dataDxfId="29">
      <calculatedColumnFormula>IF(Table1[[#This Row],[Column1]]="","","--"&amp;Table1[[#This Row],[Column1]])&amp;IF(Table1[[#This Row],[Column2]]="","","--"&amp;Table1[[#This Row],[Column2]])&amp;IF(Table1[[#This Row],[Column3]]="","","--"&amp;Table1[[#This Row],[Column3]])</calculatedColumnFormula>
    </tableColumn>
    <tableColumn id="9" xr3:uid="{514CFF3C-2F4B-CB48-A254-100DF10BE181}" name="Column1"/>
    <tableColumn id="10" xr3:uid="{99C45C3C-A0AA-6940-907D-99EDC5F76C55}" name="Column2"/>
    <tableColumn id="11" xr3:uid="{B65ECE98-BE65-0A40-9DD0-1D53CB25EB33}" name="Column3"/>
    <tableColumn id="36" xr3:uid="{418B898B-7848-A24B-B164-4E2EC2333FC2}" name="mod" dataDxfId="28">
      <calculatedColumnFormula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calculatedColumnFormula>
    </tableColumn>
    <tableColumn id="33" xr3:uid="{1FD23EB5-0DAB-ED4B-AEE8-54DB93836751}" name="mod_base"/>
    <tableColumn id="37" xr3:uid="{A0D05592-BD63-C148-BBA2-4FA4C64A564E}" name="mod_style"/>
    <tableColumn id="17" xr3:uid="{44AD79EB-3D8E-984E-BDE6-72D0B491E357}" name="mod-orient"/>
    <tableColumn id="35" xr3:uid="{97E3EF66-F3CD-934A-9681-AFFF77EC65A9}" name="mod_position"/>
    <tableColumn id="27" xr3:uid="{EBEDC9B8-3C88-E04D-9E75-B1AC6801C792}" name="mod_state"/>
    <tableColumn id="26" xr3:uid="{5E4A5F20-00EF-F643-A3E9-EA918DCCF4CA}" name="mod_size"/>
    <tableColumn id="4" xr3:uid="{57FEF2B7-D7BB-1945-BFF9-B2803FA50293}" name="bulma" dataDxfId="27"/>
    <tableColumn id="3" xr3:uid="{D8467FBE-5A5B-054D-A6F8-69CAEA14BBD7}" name="bootstrap_class" dataDxfId="26"/>
    <tableColumn id="13" xr3:uid="{09A86AB9-4ECB-314B-BB46-B7C20C0B6E39}" name="daisy" dataDxfId="25"/>
    <tableColumn id="15" xr3:uid="{1CC263B2-01A2-9846-B176-1923650B21DA}" name="primer" dataDxfId="24"/>
    <tableColumn id="40" xr3:uid="{16753C50-9C4B-E744-820F-922219B5BA56}" name="html_tag_def" dataDxfId="12"/>
    <tableColumn id="42" xr3:uid="{7AA27A92-7F03-824D-B6E5-1AB3429B128E}" name="html_use"/>
    <tableColumn id="21" xr3:uid="{0677280E-CBF3-D54D-9F14-C19BA781C4F0}" name="html_wrap" dataDxfId="23">
      <calculatedColumnFormula>Table1[[#This Row],[html_tag]]&amp;Table1[[#This Row],[html_type]]&amp;Table1[[#This Row],[html_modifier]]</calculatedColumnFormula>
    </tableColumn>
    <tableColumn id="14" xr3:uid="{8167A207-CEB1-0E46-AF78-54993938486F}" name="html_tag"/>
    <tableColumn id="22" xr3:uid="{71C3B244-7265-DD47-BF33-DB01C3D49430}" name="html_type"/>
    <tableColumn id="20" xr3:uid="{41B27A02-8180-D34C-AE08-F45A83095B9A}" name="html_modifier"/>
    <tableColumn id="5" xr3:uid="{D2DF2123-87CF-3F40-967E-3AA7FC237091}" name="word_cat" dataDxfId="22">
      <calculatedColumnFormula>IFERROR(_xlfn.XLOOKUP(Table1[[#This Row],[word]],Table57[English style name],Table57[Style type]),"")</calculatedColumnFormula>
    </tableColumn>
    <tableColumn id="39" xr3:uid="{2996AB7D-A0AB-CE4D-BFD6-A1C7B5333EF3}" name="word" dataDxfId="21"/>
    <tableColumn id="6" xr3:uid="{F08E6F15-4F4B-2348-8281-2616103F0B17}" name="next_style" dataDxfId="20"/>
    <tableColumn id="7" xr3:uid="{0B7EAC47-DA93-2D4C-A2D0-CB52D987D549}" name="notes" dataDxfId="19"/>
    <tableColumn id="8" xr3:uid="{838655CD-5B14-664C-8E72-BBFF91014689}" name="scss_token" dataDxfId="18"/>
    <tableColumn id="2" xr3:uid="{06ED81D9-4CC0-9946-A877-54E20D72C145}" name="style_name" dataDxfId="17"/>
    <tableColumn id="16" xr3:uid="{5EDF9631-FD96-8548-ACD6-5EEF9083E6D1}" name="Column6" dataDxfId="16"/>
    <tableColumn id="29" xr3:uid="{367DD771-268A-AE49-80F3-439EB5FCE24F}" name="Column7" dataDxfId="15"/>
    <tableColumn id="30" xr3:uid="{CE421D7E-B9F5-794F-B883-AEEEB12CF4F6}" name="Column72" dataDxfId="14"/>
    <tableColumn id="41" xr3:uid="{974FA953-E627-6E44-B703-359D2ECB33E9}" name="Column73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364D4D-1283-EE49-BAB9-80ECE0BA9D2B}" name="Table5" displayName="Table5" ref="F7:H1465" totalsRowShown="0" dataDxfId="47" headerRowCellStyle="Hyperlink">
  <autoFilter ref="F7:H1465" xr:uid="{6E364D4D-1283-EE49-BAB9-80ECE0BA9D2B}"/>
  <sortState xmlns:xlrd2="http://schemas.microsoft.com/office/spreadsheetml/2017/richdata2" ref="F8:F1465">
    <sortCondition ref="F7:F1465"/>
  </sortState>
  <tableColumns count="3">
    <tableColumn id="1" xr3:uid="{55F996F5-7C70-204B-933B-8F6ED117EBF0}" name="Column1" dataDxfId="46"/>
    <tableColumn id="2" xr3:uid="{86FF6650-AB5D-B54C-B97A-026277684ABF}" name="Column2" dataDxfId="45"/>
    <tableColumn id="3" xr3:uid="{B97E33D6-25B1-2843-9BAA-AC4EE3F50803}" name="Column3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A2BD44-D2FD-0146-BC94-C6E7E9614D42}" name="Table6" displayName="Table6" ref="C5:D585" totalsRowShown="0">
  <autoFilter ref="C5:D585" xr:uid="{AAA2BD44-D2FD-0146-BC94-C6E7E9614D42}"/>
  <tableColumns count="2">
    <tableColumn id="1" xr3:uid="{7DBADE17-8B48-6649-A241-E66A1FFCD2E7}" name="Column1"/>
    <tableColumn id="2" xr3:uid="{5ACD991E-D282-484F-A1EF-121B7C6A2A09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742830-AE97-0B4B-A8DE-4B8BCBB28256}" name="Table57" displayName="Table57" ref="A1:J376" totalsRowShown="0">
  <autoFilter ref="A1:J376" xr:uid="{16742830-AE97-0B4B-A8DE-4B8BCBB28256}"/>
  <sortState xmlns:xlrd2="http://schemas.microsoft.com/office/spreadsheetml/2017/richdata2" ref="A2:J376">
    <sortCondition ref="H1:H376"/>
  </sortState>
  <tableColumns count="10">
    <tableColumn id="1" xr3:uid="{11529B79-16AB-2E4A-9F35-FE39C39146FF}" name="VBA Constant Name"/>
    <tableColumn id="2" xr3:uid="{4C321F01-CA58-224F-8C0A-76454BFAACF6}" name="#"/>
    <tableColumn id="3" xr3:uid="{DE8D876F-DA6B-4E45-9D83-6AA61C5046C3}" name="2003"/>
    <tableColumn id="4" xr3:uid="{E846CDCB-642F-0D41-B65E-23EDD9A1A662}" name="2007"/>
    <tableColumn id="5" xr3:uid="{6960B121-EE7C-534D-B6B9-3CB95A50F8EF}" name="2010"/>
    <tableColumn id="6" xr3:uid="{FC280769-40C0-794B-899D-09E706A97A5F}" name="2013"/>
    <tableColumn id="7" xr3:uid="{B4199F58-5ADE-264F-89CC-CFD5782B63FD}" name="2016"/>
    <tableColumn id="8" xr3:uid="{C7F55CFD-EA93-0341-BD77-2FEDA7A0CDE5}" name="Style type"/>
    <tableColumn id="9" xr3:uid="{CD6ADFC2-AC94-F643-BC2E-8A92BA0BE20C}" name="English style name"/>
    <tableColumn id="10" xr3:uid="{187A004E-B0D5-F046-91D6-CA2E6646A0C2}" name="Local style nam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72165-AACD-0840-9C5A-757F30C2142F}" name="Table2" displayName="Table2" ref="A1:M129" totalsRowShown="0">
  <autoFilter ref="A1:M129" xr:uid="{2B872165-AACD-0840-9C5A-757F30C2142F}"/>
  <sortState xmlns:xlrd2="http://schemas.microsoft.com/office/spreadsheetml/2017/richdata2" ref="A2:M129">
    <sortCondition ref="G1:G129"/>
  </sortState>
  <tableColumns count="13">
    <tableColumn id="1" xr3:uid="{2B71D859-BA9F-A34F-94B3-B4C1B0F7B263}" name="tag" dataDxfId="43">
      <calculatedColumnFormula>"&lt;"&amp;Table2[[#This Row],[Column2]]&amp;"&gt;"</calculatedColumnFormula>
    </tableColumn>
    <tableColumn id="8" xr3:uid="{49F5DF04-7353-5943-93A2-19A71EC85F1C}" name="Column2"/>
    <tableColumn id="12" xr3:uid="{BD5341DA-56DF-CC4F-ACB6-29B5FE14BF02}" name="Column3"/>
    <tableColumn id="2" xr3:uid="{3291E9CA-0893-DE4F-8D6C-C9C3681C51E9}" name="category"/>
    <tableColumn id="3" xr3:uid="{6F2A8D61-2C64-DC4E-84F5-C043A9CD85FD}" name="status"/>
    <tableColumn id="4" xr3:uid="{6CEAA312-BF8B-C648-B25E-E113070B7D7D}" name="description"/>
    <tableColumn id="9" xr3:uid="{89534BD4-99A3-D849-B25A-B6CC49CCDCA2}" name="notes"/>
    <tableColumn id="10" xr3:uid="{BB154166-A69A-FE41-A86E-C9C3F8A38021}" name="w3c_description"/>
    <tableColumn id="5" xr3:uid="{E44C87A4-9E6A-4F40-BD7C-7FE4E7F9666B}" name="w3c_reference"/>
    <tableColumn id="6" xr3:uid="{8B33005E-0ACE-6D43-9A31-777F689EDC4F}" name="mdn_reference"/>
    <tableColumn id="7" xr3:uid="{CCF9BD40-E2FB-0B41-801F-B8FC074BB5BD}" name="Column1"/>
    <tableColumn id="11" xr3:uid="{50B00D5B-6B9E-CC47-BFAD-3185BC3E29C4}" name="Column12"/>
    <tableColumn id="13" xr3:uid="{DC1FCDC1-8919-4D4B-820B-12A239DFED0F}" name="Column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608840-6F2C-A249-80E1-60EDFF7BFD97}" name="Table4" displayName="Table4" ref="A1:C47" totalsRowShown="0">
  <autoFilter ref="A1:C47" xr:uid="{A2608840-6F2C-A249-80E1-60EDFF7BFD97}"/>
  <sortState xmlns:xlrd2="http://schemas.microsoft.com/office/spreadsheetml/2017/richdata2" ref="A2:H47">
    <sortCondition ref="B1:B47"/>
  </sortState>
  <tableColumns count="3">
    <tableColumn id="1" xr3:uid="{BDCA68A7-15F0-1146-8C24-6D4F45758874}" name="Column1" dataDxfId="42">
      <calculatedColumnFormula>":"&amp;Table4[[#This Row],[Column2]]</calculatedColumnFormula>
    </tableColumn>
    <tableColumn id="2" xr3:uid="{980D21B6-96D8-A14D-8097-1A6847447A95}" name="Column2"/>
    <tableColumn id="3" xr3:uid="{345903D3-81D6-B049-8A1C-867FEE506F6E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bootstrapshuffle.com/classes/tooltips/tooltip" TargetMode="External"/><Relationship Id="rId1" Type="http://schemas.openxmlformats.org/officeDocument/2006/relationships/hyperlink" Target="https://bootstrapshuffle.com/classes/toasts/toast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1459" Type="http://schemas.openxmlformats.org/officeDocument/2006/relationships/table" Target="../tables/table2.xm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ma.dev/classes/column/columns.is-mobile" TargetMode="External"/><Relationship Id="rId21" Type="http://schemas.openxmlformats.org/officeDocument/2006/relationships/hyperlink" Target="https://bulma.dev/classes/button/button.is-loading" TargetMode="External"/><Relationship Id="rId324" Type="http://schemas.openxmlformats.org/officeDocument/2006/relationships/hyperlink" Target="https://bulma.dev/classes/grid/is-offset-one-third" TargetMode="External"/><Relationship Id="rId531" Type="http://schemas.openxmlformats.org/officeDocument/2006/relationships/hyperlink" Target="https://bulma.dev/classes/pagination/pagination-link.is-current" TargetMode="External"/><Relationship Id="rId629" Type="http://schemas.openxmlformats.org/officeDocument/2006/relationships/hyperlink" Target="https://bulma.dev/classes/text-utilities/has-text-right-tablet" TargetMode="External"/><Relationship Id="rId170" Type="http://schemas.openxmlformats.org/officeDocument/2006/relationships/hyperlink" Target="https://bulma.dev/classes/display/is-inline-flex-mobile" TargetMode="External"/><Relationship Id="rId268" Type="http://schemas.openxmlformats.org/officeDocument/2006/relationships/hyperlink" Target="https://bulma.dev/classes/grid/is-half" TargetMode="External"/><Relationship Id="rId475" Type="http://schemas.openxmlformats.org/officeDocument/2006/relationships/hyperlink" Target="https://bulma.dev/classes/list/list" TargetMode="External"/><Relationship Id="rId32" Type="http://schemas.openxmlformats.org/officeDocument/2006/relationships/hyperlink" Target="https://bulma.dev/classes/button/buttons" TargetMode="External"/><Relationship Id="rId128" Type="http://schemas.openxmlformats.org/officeDocument/2006/relationships/hyperlink" Target="https://bulma.dev/classes/display/block" TargetMode="External"/><Relationship Id="rId335" Type="http://schemas.openxmlformats.org/officeDocument/2006/relationships/hyperlink" Target="https://bulma.dev/classes/grid/is-offset-three-fifths-tablet" TargetMode="External"/><Relationship Id="rId542" Type="http://schemas.openxmlformats.org/officeDocument/2006/relationships/hyperlink" Target="https://bulma.dev/classes/progress-bar/progress" TargetMode="External"/><Relationship Id="rId181" Type="http://schemas.openxmlformats.org/officeDocument/2006/relationships/hyperlink" Target="https://bulma.dev/classes/display/is-inline-widescreen" TargetMode="External"/><Relationship Id="rId402" Type="http://schemas.openxmlformats.org/officeDocument/2006/relationships/hyperlink" Target="https://bulma.dev/classes/grid/is-two-thirds-desktop" TargetMode="External"/><Relationship Id="rId279" Type="http://schemas.openxmlformats.org/officeDocument/2006/relationships/hyperlink" Target="https://bulma.dev/classes/grid/is-narrow-tablet" TargetMode="External"/><Relationship Id="rId486" Type="http://schemas.openxmlformats.org/officeDocument/2006/relationships/hyperlink" Target="https://bulma.dev/classes/menu/menu-list" TargetMode="External"/><Relationship Id="rId43" Type="http://schemas.openxmlformats.org/officeDocument/2006/relationships/hyperlink" Target="https://bulma.dev/classes/card/card-header-icon" TargetMode="External"/><Relationship Id="rId139" Type="http://schemas.openxmlformats.org/officeDocument/2006/relationships/hyperlink" Target="https://bulma.dev/classes/display/is-flex-desktop-only" TargetMode="External"/><Relationship Id="rId346" Type="http://schemas.openxmlformats.org/officeDocument/2006/relationships/hyperlink" Target="https://bulma.dev/classes/grid/is-offset-two-fifths-desktop" TargetMode="External"/><Relationship Id="rId553" Type="http://schemas.openxmlformats.org/officeDocument/2006/relationships/hyperlink" Target="https://bulma.dev/classes/sizing/is-fullwidth" TargetMode="External"/><Relationship Id="rId192" Type="http://schemas.openxmlformats.org/officeDocument/2006/relationships/hyperlink" Target="https://bulma.dev/classes/dropdown/dropdown" TargetMode="External"/><Relationship Id="rId206" Type="http://schemas.openxmlformats.org/officeDocument/2006/relationships/hyperlink" Target="https://bulma.dev/classes/field/field.has-addons.has-addons-fullwidth" TargetMode="External"/><Relationship Id="rId413" Type="http://schemas.openxmlformats.org/officeDocument/2006/relationships/hyperlink" Target="https://bulma.dev/classes/helpers/is-hidden" TargetMode="External"/><Relationship Id="rId497" Type="http://schemas.openxmlformats.org/officeDocument/2006/relationships/hyperlink" Target="https://bulma.dev/classes/modal/modal-card-foot" TargetMode="External"/><Relationship Id="rId620" Type="http://schemas.openxmlformats.org/officeDocument/2006/relationships/hyperlink" Target="https://bulma.dev/classes/text-utilities/has-text-left-tablet-only" TargetMode="External"/><Relationship Id="rId357" Type="http://schemas.openxmlformats.org/officeDocument/2006/relationships/hyperlink" Target="https://bulma.dev/classes/grid/is-offset-two-thirds-desktop-widescreen" TargetMode="External"/><Relationship Id="rId54" Type="http://schemas.openxmlformats.org/officeDocument/2006/relationships/hyperlink" Target="https://bulma.dev/classes/colors/has-background-dark" TargetMode="External"/><Relationship Id="rId217" Type="http://schemas.openxmlformats.org/officeDocument/2006/relationships/hyperlink" Target="https://bulma.dev/classes/file/file-name" TargetMode="External"/><Relationship Id="rId564" Type="http://schemas.openxmlformats.org/officeDocument/2006/relationships/hyperlink" Target="https://bulma.dev/classes/spacing/pr-0" TargetMode="External"/><Relationship Id="rId424" Type="http://schemas.openxmlformats.org/officeDocument/2006/relationships/hyperlink" Target="https://bulma.dev/classes/helpers/is-unselectable" TargetMode="External"/><Relationship Id="rId631" Type="http://schemas.openxmlformats.org/officeDocument/2006/relationships/hyperlink" Target="https://bulma.dev/classes/text-utilities/has-text-right-touch" TargetMode="External"/><Relationship Id="rId270" Type="http://schemas.openxmlformats.org/officeDocument/2006/relationships/hyperlink" Target="https://bulma.dev/classes/grid/is-half-fullhd" TargetMode="External"/><Relationship Id="rId65" Type="http://schemas.openxmlformats.org/officeDocument/2006/relationships/hyperlink" Target="https://bulma.dev/classes/colors/has-background-link-dark" TargetMode="External"/><Relationship Id="rId130" Type="http://schemas.openxmlformats.org/officeDocument/2006/relationships/hyperlink" Target="https://bulma.dev/classes/display/is-block-desktop-only" TargetMode="External"/><Relationship Id="rId368" Type="http://schemas.openxmlformats.org/officeDocument/2006/relationships/hyperlink" Target="https://bulma.dev/classes/grid/is-one-quarter-fullhd" TargetMode="External"/><Relationship Id="rId575" Type="http://schemas.openxmlformats.org/officeDocument/2006/relationships/hyperlink" Target="https://bulma.dev/classes/table/table.is-striped" TargetMode="External"/><Relationship Id="rId228" Type="http://schemas.openxmlformats.org/officeDocument/2006/relationships/hyperlink" Target="https://bulma.dev/classes/forms/control.has-icons-right" TargetMode="External"/><Relationship Id="rId435" Type="http://schemas.openxmlformats.org/officeDocument/2006/relationships/hyperlink" Target="https://bulma.dev/classes/icon/has-icons-right" TargetMode="External"/><Relationship Id="rId642" Type="http://schemas.openxmlformats.org/officeDocument/2006/relationships/hyperlink" Target="https://bulma.dev/classes/text-utilities/is-family-code" TargetMode="External"/><Relationship Id="rId281" Type="http://schemas.openxmlformats.org/officeDocument/2006/relationships/hyperlink" Target="https://bulma.dev/classes/grid/is-narrow-widescreen" TargetMode="External"/><Relationship Id="rId502" Type="http://schemas.openxmlformats.org/officeDocument/2006/relationships/hyperlink" Target="https://bulma.dev/classes/modal/modal.is-active" TargetMode="External"/><Relationship Id="rId76" Type="http://schemas.openxmlformats.org/officeDocument/2006/relationships/hyperlink" Target="https://bulma.dev/classes/colors/has-background-white" TargetMode="External"/><Relationship Id="rId141" Type="http://schemas.openxmlformats.org/officeDocument/2006/relationships/hyperlink" Target="https://bulma.dev/classes/display/is-flex-mobile" TargetMode="External"/><Relationship Id="rId379" Type="http://schemas.openxmlformats.org/officeDocument/2006/relationships/hyperlink" Target="https://bulma.dev/classes/grid/is-one-third-widescreen" TargetMode="External"/><Relationship Id="rId586" Type="http://schemas.openxmlformats.org/officeDocument/2006/relationships/hyperlink" Target="https://bulma.dev/classes/tags/tag" TargetMode="External"/><Relationship Id="rId7" Type="http://schemas.openxmlformats.org/officeDocument/2006/relationships/hyperlink" Target="https://bulma.dev/classes/breadcrumb/breadcrumb.is-large" TargetMode="External"/><Relationship Id="rId239" Type="http://schemas.openxmlformats.org/officeDocument/2006/relationships/hyperlink" Target="https://bulma.dev/classes/forms/is-normal" TargetMode="External"/><Relationship Id="rId446" Type="http://schemas.openxmlformats.org/officeDocument/2006/relationships/hyperlink" Target="https://bulma.dev/classes/images/image.is-2by1" TargetMode="External"/><Relationship Id="rId653" Type="http://schemas.openxmlformats.org/officeDocument/2006/relationships/hyperlink" Target="https://bulma.dev/classes/text-utilities/is-size-1-tablet" TargetMode="External"/><Relationship Id="rId292" Type="http://schemas.openxmlformats.org/officeDocument/2006/relationships/hyperlink" Target="https://bulma.dev/classes/grid/is-offset-1-mobile" TargetMode="External"/><Relationship Id="rId306" Type="http://schemas.openxmlformats.org/officeDocument/2006/relationships/hyperlink" Target="https://bulma.dev/classes/grid/is-offset-half-mobile" TargetMode="External"/><Relationship Id="rId87" Type="http://schemas.openxmlformats.org/officeDocument/2006/relationships/hyperlink" Target="https://bulma.dev/classes/colors/has-text-grey-dark" TargetMode="External"/><Relationship Id="rId513" Type="http://schemas.openxmlformats.org/officeDocument/2006/relationships/hyperlink" Target="https://bulma.dev/classes/navbar/navbar-start" TargetMode="External"/><Relationship Id="rId597" Type="http://schemas.openxmlformats.org/officeDocument/2006/relationships/hyperlink" Target="https://bulma.dev/classes/text-utilities/has-text-centered-mobile" TargetMode="External"/><Relationship Id="rId152" Type="http://schemas.openxmlformats.org/officeDocument/2006/relationships/hyperlink" Target="https://bulma.dev/classes/display/is-hidden-tablet-only" TargetMode="External"/><Relationship Id="rId457" Type="http://schemas.openxmlformats.org/officeDocument/2006/relationships/hyperlink" Target="https://bulma.dev/classes/images/image.is-5by4" TargetMode="External"/><Relationship Id="rId664" Type="http://schemas.openxmlformats.org/officeDocument/2006/relationships/hyperlink" Target="https://bulma.dev/classes/title-and-subtitle/subtitle" TargetMode="External"/><Relationship Id="rId14" Type="http://schemas.openxmlformats.org/officeDocument/2006/relationships/hyperlink" Target="https://bulma.dev/classes/button/button.is-danger" TargetMode="External"/><Relationship Id="rId317" Type="http://schemas.openxmlformats.org/officeDocument/2006/relationships/hyperlink" Target="https://bulma.dev/classes/grid/is-offset-one-quarter" TargetMode="External"/><Relationship Id="rId524" Type="http://schemas.openxmlformats.org/officeDocument/2006/relationships/hyperlink" Target="https://bulma.dev/classes/navbar/navbar.is-success" TargetMode="External"/><Relationship Id="rId98" Type="http://schemas.openxmlformats.org/officeDocument/2006/relationships/hyperlink" Target="https://bulma.dev/classes/colors/has-text-primary" TargetMode="External"/><Relationship Id="rId163" Type="http://schemas.openxmlformats.org/officeDocument/2006/relationships/hyperlink" Target="https://bulma.dev/classes/display/is-inline-block-widescreen" TargetMode="External"/><Relationship Id="rId370" Type="http://schemas.openxmlformats.org/officeDocument/2006/relationships/hyperlink" Target="https://bulma.dev/classes/grid/is-one-quarter-tablet" TargetMode="External"/><Relationship Id="rId230" Type="http://schemas.openxmlformats.org/officeDocument/2006/relationships/hyperlink" Target="https://bulma.dev/classes/forms/has-name" TargetMode="External"/><Relationship Id="rId468" Type="http://schemas.openxmlformats.org/officeDocument/2006/relationships/hyperlink" Target="https://bulma.dev/classes/level/level-left" TargetMode="External"/><Relationship Id="rId25" Type="http://schemas.openxmlformats.org/officeDocument/2006/relationships/hyperlink" Target="https://bulma.dev/classes/button/button.is-rounded" TargetMode="External"/><Relationship Id="rId328" Type="http://schemas.openxmlformats.org/officeDocument/2006/relationships/hyperlink" Target="https://bulma.dev/classes/grid/is-offset-one-third-tablet" TargetMode="External"/><Relationship Id="rId535" Type="http://schemas.openxmlformats.org/officeDocument/2006/relationships/hyperlink" Target="https://bulma.dev/classes/pagination/pagination.is-rounded" TargetMode="External"/><Relationship Id="rId174" Type="http://schemas.openxmlformats.org/officeDocument/2006/relationships/hyperlink" Target="https://bulma.dev/classes/display/is-inline-flex-widescreen" TargetMode="External"/><Relationship Id="rId381" Type="http://schemas.openxmlformats.org/officeDocument/2006/relationships/hyperlink" Target="https://bulma.dev/classes/grid/is-three-fifths-desktop" TargetMode="External"/><Relationship Id="rId602" Type="http://schemas.openxmlformats.org/officeDocument/2006/relationships/hyperlink" Target="https://bulma.dev/classes/text-utilities/has-text-centered-touch" TargetMode="External"/><Relationship Id="rId241" Type="http://schemas.openxmlformats.org/officeDocument/2006/relationships/hyperlink" Target="https://bulma.dev/classes/forms/radio" TargetMode="External"/><Relationship Id="rId479" Type="http://schemas.openxmlformats.org/officeDocument/2006/relationships/hyperlink" Target="https://bulma.dev/classes/media/media" TargetMode="External"/><Relationship Id="rId36" Type="http://schemas.openxmlformats.org/officeDocument/2006/relationships/hyperlink" Target="https://bulma.dev/classes/button/is-hovered" TargetMode="External"/><Relationship Id="rId339" Type="http://schemas.openxmlformats.org/officeDocument/2006/relationships/hyperlink" Target="https://bulma.dev/classes/grid/is-offset-three-quarters-desktop" TargetMode="External"/><Relationship Id="rId546" Type="http://schemas.openxmlformats.org/officeDocument/2006/relationships/hyperlink" Target="https://bulma.dev/classes/responsive-helpers/is-inline-block" TargetMode="External"/><Relationship Id="rId101" Type="http://schemas.openxmlformats.org/officeDocument/2006/relationships/hyperlink" Target="https://bulma.dev/classes/colors/has-text-success" TargetMode="External"/><Relationship Id="rId185" Type="http://schemas.openxmlformats.org/officeDocument/2006/relationships/hyperlink" Target="https://bulma.dev/classes/display/is-invisible-fullhd" TargetMode="External"/><Relationship Id="rId406" Type="http://schemas.openxmlformats.org/officeDocument/2006/relationships/hyperlink" Target="https://bulma.dev/classes/grid/is-two-thirds-touch" TargetMode="External"/><Relationship Id="rId392" Type="http://schemas.openxmlformats.org/officeDocument/2006/relationships/hyperlink" Target="https://bulma.dev/classes/grid/is-three-quarters-touch" TargetMode="External"/><Relationship Id="rId613" Type="http://schemas.openxmlformats.org/officeDocument/2006/relationships/hyperlink" Target="https://bulma.dev/classes/text-utilities/has-text-justified-widescreen" TargetMode="External"/><Relationship Id="rId252" Type="http://schemas.openxmlformats.org/officeDocument/2006/relationships/hyperlink" Target="https://bulma.dev/classes/grid/is-0-touch" TargetMode="External"/><Relationship Id="rId47" Type="http://schemas.openxmlformats.org/officeDocument/2006/relationships/hyperlink" Target="https://bulma.dev/classes/colors/has-background-black" TargetMode="External"/><Relationship Id="rId112" Type="http://schemas.openxmlformats.org/officeDocument/2006/relationships/hyperlink" Target="https://bulma.dev/classes/colors/is-transparent" TargetMode="External"/><Relationship Id="rId557" Type="http://schemas.openxmlformats.org/officeDocument/2006/relationships/hyperlink" Target="https://bulma.dev/classes/spacing/ml-0" TargetMode="External"/><Relationship Id="rId196" Type="http://schemas.openxmlformats.org/officeDocument/2006/relationships/hyperlink" Target="https://bulma.dev/classes/dropdown/dropdown-menu" TargetMode="External"/><Relationship Id="rId417" Type="http://schemas.openxmlformats.org/officeDocument/2006/relationships/hyperlink" Target="https://bulma.dev/classes/helpers/is-paddingless" TargetMode="External"/><Relationship Id="rId624" Type="http://schemas.openxmlformats.org/officeDocument/2006/relationships/hyperlink" Target="https://bulma.dev/classes/text-utilities/has-text-right" TargetMode="External"/><Relationship Id="rId263" Type="http://schemas.openxmlformats.org/officeDocument/2006/relationships/hyperlink" Target="https://bulma.dev/classes/grid/is-full-desktop" TargetMode="External"/><Relationship Id="rId470" Type="http://schemas.openxmlformats.org/officeDocument/2006/relationships/hyperlink" Target="https://bulma.dev/classes/level/level.is-mobile" TargetMode="External"/><Relationship Id="rId58" Type="http://schemas.openxmlformats.org/officeDocument/2006/relationships/hyperlink" Target="https://bulma.dev/classes/colors/has-background-grey-light" TargetMode="External"/><Relationship Id="rId123" Type="http://schemas.openxmlformats.org/officeDocument/2006/relationships/hyperlink" Target="https://bulma.dev/classes/containers/container" TargetMode="External"/><Relationship Id="rId330" Type="http://schemas.openxmlformats.org/officeDocument/2006/relationships/hyperlink" Target="https://bulma.dev/classes/grid/is-offset-one-third-widescreen" TargetMode="External"/><Relationship Id="rId568" Type="http://schemas.openxmlformats.org/officeDocument/2006/relationships/hyperlink" Target="https://bulma.dev/classes/table/table" TargetMode="External"/><Relationship Id="rId428" Type="http://schemas.openxmlformats.org/officeDocument/2006/relationships/hyperlink" Target="https://bulma.dev/classes/hero/hero-head" TargetMode="External"/><Relationship Id="rId635" Type="http://schemas.openxmlformats.org/officeDocument/2006/relationships/hyperlink" Target="https://bulma.dev/classes/text-utilities/has-text-weight-light" TargetMode="External"/><Relationship Id="rId274" Type="http://schemas.openxmlformats.org/officeDocument/2006/relationships/hyperlink" Target="https://bulma.dev/classes/grid/is-half-widescreen" TargetMode="External"/><Relationship Id="rId481" Type="http://schemas.openxmlformats.org/officeDocument/2006/relationships/hyperlink" Target="https://bulma.dev/classes/media/media-left" TargetMode="External"/><Relationship Id="rId27" Type="http://schemas.openxmlformats.org/officeDocument/2006/relationships/hyperlink" Target="https://bulma.dev/classes/button/button.is-static" TargetMode="External"/><Relationship Id="rId69" Type="http://schemas.openxmlformats.org/officeDocument/2006/relationships/hyperlink" Target="https://bulma.dev/classes/colors/has-background-primary-light" TargetMode="External"/><Relationship Id="rId134" Type="http://schemas.openxmlformats.org/officeDocument/2006/relationships/hyperlink" Target="https://bulma.dev/classes/display/is-block-tablet-only" TargetMode="External"/><Relationship Id="rId537" Type="http://schemas.openxmlformats.org/officeDocument/2006/relationships/hyperlink" Target="https://bulma.dev/classes/panel/panel-block" TargetMode="External"/><Relationship Id="rId579" Type="http://schemas.openxmlformats.org/officeDocument/2006/relationships/hyperlink" Target="https://bulma.dev/classes/tabs/tabs.is-fullwidth" TargetMode="External"/><Relationship Id="rId80" Type="http://schemas.openxmlformats.org/officeDocument/2006/relationships/hyperlink" Target="https://bulma.dev/classes/colors/has-text-black-bis" TargetMode="External"/><Relationship Id="rId176" Type="http://schemas.openxmlformats.org/officeDocument/2006/relationships/hyperlink" Target="https://bulma.dev/classes/display/is-inline-fullhd" TargetMode="External"/><Relationship Id="rId341" Type="http://schemas.openxmlformats.org/officeDocument/2006/relationships/hyperlink" Target="https://bulma.dev/classes/grid/is-offset-three-quarters-mobile" TargetMode="External"/><Relationship Id="rId383" Type="http://schemas.openxmlformats.org/officeDocument/2006/relationships/hyperlink" Target="https://bulma.dev/classes/grid/is-three-fifths-mobile" TargetMode="External"/><Relationship Id="rId439" Type="http://schemas.openxmlformats.org/officeDocument/2006/relationships/hyperlink" Target="https://bulma.dev/classes/images/image.is-128x128" TargetMode="External"/><Relationship Id="rId590" Type="http://schemas.openxmlformats.org/officeDocument/2006/relationships/hyperlink" Target="https://bulma.dev/classes/tags/tags.has-addons" TargetMode="External"/><Relationship Id="rId604" Type="http://schemas.openxmlformats.org/officeDocument/2006/relationships/hyperlink" Target="https://bulma.dev/classes/text-utilities/has-text-justified-desktop" TargetMode="External"/><Relationship Id="rId646" Type="http://schemas.openxmlformats.org/officeDocument/2006/relationships/hyperlink" Target="https://bulma.dev/classes/text-utilities/is-family-secondary" TargetMode="External"/><Relationship Id="rId201" Type="http://schemas.openxmlformats.org/officeDocument/2006/relationships/hyperlink" Target="https://bulma.dev/classes/field/field" TargetMode="External"/><Relationship Id="rId243" Type="http://schemas.openxmlformats.org/officeDocument/2006/relationships/hyperlink" Target="https://bulma.dev/classes/forms/textarea" TargetMode="External"/><Relationship Id="rId285" Type="http://schemas.openxmlformats.org/officeDocument/2006/relationships/hyperlink" Target="https://bulma.dev/classes/grid/is-offset-0-fullhd" TargetMode="External"/><Relationship Id="rId450" Type="http://schemas.openxmlformats.org/officeDocument/2006/relationships/hyperlink" Target="https://bulma.dev/classes/images/image.is-3by2" TargetMode="External"/><Relationship Id="rId506" Type="http://schemas.openxmlformats.org/officeDocument/2006/relationships/hyperlink" Target="https://bulma.dev/classes/navbar/navbar-burger" TargetMode="External"/><Relationship Id="rId38" Type="http://schemas.openxmlformats.org/officeDocument/2006/relationships/hyperlink" Target="https://bulma.dev/classes/card/card" TargetMode="External"/><Relationship Id="rId103" Type="http://schemas.openxmlformats.org/officeDocument/2006/relationships/hyperlink" Target="https://bulma.dev/classes/colors/has-text-success-light" TargetMode="External"/><Relationship Id="rId310" Type="http://schemas.openxmlformats.org/officeDocument/2006/relationships/hyperlink" Target="https://bulma.dev/classes/grid/is-offset-one-fifth" TargetMode="External"/><Relationship Id="rId492" Type="http://schemas.openxmlformats.org/officeDocument/2006/relationships/hyperlink" Target="https://bulma.dev/classes/message/message-header" TargetMode="External"/><Relationship Id="rId548" Type="http://schemas.openxmlformats.org/officeDocument/2006/relationships/hyperlink" Target="https://bulma.dev/classes/sizing/are-large" TargetMode="External"/><Relationship Id="rId91" Type="http://schemas.openxmlformats.org/officeDocument/2006/relationships/hyperlink" Target="https://bulma.dev/classes/colors/has-text-info" TargetMode="External"/><Relationship Id="rId145" Type="http://schemas.openxmlformats.org/officeDocument/2006/relationships/hyperlink" Target="https://bulma.dev/classes/display/is-flex-widescreen" TargetMode="External"/><Relationship Id="rId187" Type="http://schemas.openxmlformats.org/officeDocument/2006/relationships/hyperlink" Target="https://bulma.dev/classes/display/is-invisible-tablet" TargetMode="External"/><Relationship Id="rId352" Type="http://schemas.openxmlformats.org/officeDocument/2006/relationships/hyperlink" Target="https://bulma.dev/classes/grid/is-offset-two-thirds" TargetMode="External"/><Relationship Id="rId394" Type="http://schemas.openxmlformats.org/officeDocument/2006/relationships/hyperlink" Target="https://bulma.dev/classes/grid/is-two-fifths" TargetMode="External"/><Relationship Id="rId408" Type="http://schemas.openxmlformats.org/officeDocument/2006/relationships/hyperlink" Target="https://bulma.dev/classes/grid/is-variable" TargetMode="External"/><Relationship Id="rId615" Type="http://schemas.openxmlformats.org/officeDocument/2006/relationships/hyperlink" Target="https://bulma.dev/classes/text-utilities/has-text-left" TargetMode="External"/><Relationship Id="rId212" Type="http://schemas.openxmlformats.org/officeDocument/2006/relationships/hyperlink" Target="https://bulma.dev/classes/file/file" TargetMode="External"/><Relationship Id="rId254" Type="http://schemas.openxmlformats.org/officeDocument/2006/relationships/hyperlink" Target="https://bulma.dev/classes/grid/is-0-widescreen-only" TargetMode="External"/><Relationship Id="rId657" Type="http://schemas.openxmlformats.org/officeDocument/2006/relationships/hyperlink" Target="https://bulma.dev/classes/text-utilities/is-uppercase" TargetMode="External"/><Relationship Id="rId49" Type="http://schemas.openxmlformats.org/officeDocument/2006/relationships/hyperlink" Target="https://bulma.dev/classes/colors/has-background-black-ter" TargetMode="External"/><Relationship Id="rId114" Type="http://schemas.openxmlformats.org/officeDocument/2006/relationships/hyperlink" Target="https://bulma.dev/classes/column/columns" TargetMode="External"/><Relationship Id="rId296" Type="http://schemas.openxmlformats.org/officeDocument/2006/relationships/hyperlink" Target="https://bulma.dev/classes/grid/is-offset-four-fifths" TargetMode="External"/><Relationship Id="rId461" Type="http://schemas.openxmlformats.org/officeDocument/2006/relationships/hyperlink" Target="https://bulma.dev/classes/images/image.is-square" TargetMode="External"/><Relationship Id="rId517" Type="http://schemas.openxmlformats.org/officeDocument/2006/relationships/hyperlink" Target="https://bulma.dev/classes/navbar/navbar.is-dark" TargetMode="External"/><Relationship Id="rId559" Type="http://schemas.openxmlformats.org/officeDocument/2006/relationships/hyperlink" Target="https://bulma.dev/classes/spacing/mt-0" TargetMode="External"/><Relationship Id="rId60" Type="http://schemas.openxmlformats.org/officeDocument/2006/relationships/hyperlink" Target="https://bulma.dev/classes/colors/has-background-info" TargetMode="External"/><Relationship Id="rId156" Type="http://schemas.openxmlformats.org/officeDocument/2006/relationships/hyperlink" Target="https://bulma.dev/classes/display/is-inline-block-desktop" TargetMode="External"/><Relationship Id="rId198" Type="http://schemas.openxmlformats.org/officeDocument/2006/relationships/hyperlink" Target="https://bulma.dev/classes/dropdown/dropdown.is-right" TargetMode="External"/><Relationship Id="rId321" Type="http://schemas.openxmlformats.org/officeDocument/2006/relationships/hyperlink" Target="https://bulma.dev/classes/grid/is-offset-one-quarter-tablet" TargetMode="External"/><Relationship Id="rId363" Type="http://schemas.openxmlformats.org/officeDocument/2006/relationships/hyperlink" Target="https://bulma.dev/classes/grid/is-one-fifth-tablet" TargetMode="External"/><Relationship Id="rId419" Type="http://schemas.openxmlformats.org/officeDocument/2006/relationships/hyperlink" Target="https://bulma.dev/classes/helpers/is-pulled-right" TargetMode="External"/><Relationship Id="rId570" Type="http://schemas.openxmlformats.org/officeDocument/2006/relationships/hyperlink" Target="https://bulma.dev/classes/table/table.is-bordered" TargetMode="External"/><Relationship Id="rId626" Type="http://schemas.openxmlformats.org/officeDocument/2006/relationships/hyperlink" Target="https://bulma.dev/classes/text-utilities/has-text-right-desktop-only" TargetMode="External"/><Relationship Id="rId223" Type="http://schemas.openxmlformats.org/officeDocument/2006/relationships/hyperlink" Target="https://bulma.dev/classes/file/file.is-fullwidth" TargetMode="External"/><Relationship Id="rId430" Type="http://schemas.openxmlformats.org/officeDocument/2006/relationships/hyperlink" Target="https://bulma.dev/classes/hero/hero.is-fullheight" TargetMode="External"/><Relationship Id="rId18" Type="http://schemas.openxmlformats.org/officeDocument/2006/relationships/hyperlink" Target="https://bulma.dev/classes/button/button.is-large" TargetMode="External"/><Relationship Id="rId265" Type="http://schemas.openxmlformats.org/officeDocument/2006/relationships/hyperlink" Target="https://bulma.dev/classes/grid/is-full-tablet" TargetMode="External"/><Relationship Id="rId472" Type="http://schemas.openxmlformats.org/officeDocument/2006/relationships/hyperlink" Target="https://bulma.dev/classes/list/is-lower-roman" TargetMode="External"/><Relationship Id="rId528" Type="http://schemas.openxmlformats.org/officeDocument/2006/relationships/hyperlink" Target="https://bulma.dev/classes/pagination/pagination" TargetMode="External"/><Relationship Id="rId125" Type="http://schemas.openxmlformats.org/officeDocument/2006/relationships/hyperlink" Target="https://bulma.dev/classes/containers/footer" TargetMode="External"/><Relationship Id="rId167" Type="http://schemas.openxmlformats.org/officeDocument/2006/relationships/hyperlink" Target="https://bulma.dev/classes/display/is-inline-flex-desktop" TargetMode="External"/><Relationship Id="rId332" Type="http://schemas.openxmlformats.org/officeDocument/2006/relationships/hyperlink" Target="https://bulma.dev/classes/grid/is-offset-three-fifths-desktop" TargetMode="External"/><Relationship Id="rId374" Type="http://schemas.openxmlformats.org/officeDocument/2006/relationships/hyperlink" Target="https://bulma.dev/classes/grid/is-one-third-desktop" TargetMode="External"/><Relationship Id="rId581" Type="http://schemas.openxmlformats.org/officeDocument/2006/relationships/hyperlink" Target="https://bulma.dev/classes/tabs/tabs.is-medium" TargetMode="External"/><Relationship Id="rId71" Type="http://schemas.openxmlformats.org/officeDocument/2006/relationships/hyperlink" Target="https://bulma.dev/classes/colors/has-background-success-dark" TargetMode="External"/><Relationship Id="rId234" Type="http://schemas.openxmlformats.org/officeDocument/2006/relationships/hyperlink" Target="https://bulma.dev/classes/forms/is-expanded" TargetMode="External"/><Relationship Id="rId637" Type="http://schemas.openxmlformats.org/officeDocument/2006/relationships/hyperlink" Target="https://bulma.dev/classes/text-utilities/has-text-weight-normal" TargetMode="External"/><Relationship Id="rId2" Type="http://schemas.openxmlformats.org/officeDocument/2006/relationships/hyperlink" Target="https://bulma.dev/classes/breadcrumb/breadcrumb.has-arrow-separator" TargetMode="External"/><Relationship Id="rId29" Type="http://schemas.openxmlformats.org/officeDocument/2006/relationships/hyperlink" Target="https://bulma.dev/classes/button/button.is-text" TargetMode="External"/><Relationship Id="rId276" Type="http://schemas.openxmlformats.org/officeDocument/2006/relationships/hyperlink" Target="https://bulma.dev/classes/grid/is-narrow-desktop" TargetMode="External"/><Relationship Id="rId441" Type="http://schemas.openxmlformats.org/officeDocument/2006/relationships/hyperlink" Target="https://bulma.dev/classes/images/image.is-16x16" TargetMode="External"/><Relationship Id="rId483" Type="http://schemas.openxmlformats.org/officeDocument/2006/relationships/hyperlink" Target="https://bulma.dev/classes/media/media.is-large" TargetMode="External"/><Relationship Id="rId539" Type="http://schemas.openxmlformats.org/officeDocument/2006/relationships/hyperlink" Target="https://bulma.dev/classes/panel/panel-icon" TargetMode="External"/><Relationship Id="rId40" Type="http://schemas.openxmlformats.org/officeDocument/2006/relationships/hyperlink" Target="https://bulma.dev/classes/card/card-footer" TargetMode="External"/><Relationship Id="rId136" Type="http://schemas.openxmlformats.org/officeDocument/2006/relationships/hyperlink" Target="https://bulma.dev/classes/display/is-block-widescreen" TargetMode="External"/><Relationship Id="rId178" Type="http://schemas.openxmlformats.org/officeDocument/2006/relationships/hyperlink" Target="https://bulma.dev/classes/display/is-inline-tablet" TargetMode="External"/><Relationship Id="rId301" Type="http://schemas.openxmlformats.org/officeDocument/2006/relationships/hyperlink" Target="https://bulma.dev/classes/grid/is-offset-four-fifths-touch" TargetMode="External"/><Relationship Id="rId343" Type="http://schemas.openxmlformats.org/officeDocument/2006/relationships/hyperlink" Target="https://bulma.dev/classes/grid/is-offset-three-quarters-touch" TargetMode="External"/><Relationship Id="rId550" Type="http://schemas.openxmlformats.org/officeDocument/2006/relationships/hyperlink" Target="https://bulma.dev/classes/sizing/are-small" TargetMode="External"/><Relationship Id="rId82" Type="http://schemas.openxmlformats.org/officeDocument/2006/relationships/hyperlink" Target="https://bulma.dev/classes/colors/has-text-danger" TargetMode="External"/><Relationship Id="rId203" Type="http://schemas.openxmlformats.org/officeDocument/2006/relationships/hyperlink" Target="https://bulma.dev/classes/field/field-label" TargetMode="External"/><Relationship Id="rId385" Type="http://schemas.openxmlformats.org/officeDocument/2006/relationships/hyperlink" Target="https://bulma.dev/classes/grid/is-three-fifths-touch" TargetMode="External"/><Relationship Id="rId592" Type="http://schemas.openxmlformats.org/officeDocument/2006/relationships/hyperlink" Target="https://bulma.dev/classes/tags/tags.is-right" TargetMode="External"/><Relationship Id="rId606" Type="http://schemas.openxmlformats.org/officeDocument/2006/relationships/hyperlink" Target="https://bulma.dev/classes/text-utilities/has-text-justified-fullhd" TargetMode="External"/><Relationship Id="rId648" Type="http://schemas.openxmlformats.org/officeDocument/2006/relationships/hyperlink" Target="https://bulma.dev/classes/text-utilities/is-lowercase" TargetMode="External"/><Relationship Id="rId245" Type="http://schemas.openxmlformats.org/officeDocument/2006/relationships/hyperlink" Target="https://bulma.dev/classes/grid/is-0" TargetMode="External"/><Relationship Id="rId287" Type="http://schemas.openxmlformats.org/officeDocument/2006/relationships/hyperlink" Target="https://bulma.dev/classes/grid/is-offset-0-tablet" TargetMode="External"/><Relationship Id="rId410" Type="http://schemas.openxmlformats.org/officeDocument/2006/relationships/hyperlink" Target="https://bulma.dev/classes/help/help" TargetMode="External"/><Relationship Id="rId452" Type="http://schemas.openxmlformats.org/officeDocument/2006/relationships/hyperlink" Target="https://bulma.dev/classes/images/image.is-3by5" TargetMode="External"/><Relationship Id="rId494" Type="http://schemas.openxmlformats.org/officeDocument/2006/relationships/hyperlink" Target="https://bulma.dev/classes/modal/modal-background" TargetMode="External"/><Relationship Id="rId508" Type="http://schemas.openxmlformats.org/officeDocument/2006/relationships/hyperlink" Target="https://bulma.dev/classes/navbar/navbar-dropdown" TargetMode="External"/><Relationship Id="rId105" Type="http://schemas.openxmlformats.org/officeDocument/2006/relationships/hyperlink" Target="https://bulma.dev/classes/colors/has-text-warning-dark" TargetMode="External"/><Relationship Id="rId147" Type="http://schemas.openxmlformats.org/officeDocument/2006/relationships/hyperlink" Target="https://bulma.dev/classes/display/is-hidden-desktop" TargetMode="External"/><Relationship Id="rId312" Type="http://schemas.openxmlformats.org/officeDocument/2006/relationships/hyperlink" Target="https://bulma.dev/classes/grid/is-offset-one-fifth-fullhd" TargetMode="External"/><Relationship Id="rId354" Type="http://schemas.openxmlformats.org/officeDocument/2006/relationships/hyperlink" Target="https://bulma.dev/classes/grid/is-offset-two-thirds-desktop-mobile" TargetMode="External"/><Relationship Id="rId51" Type="http://schemas.openxmlformats.org/officeDocument/2006/relationships/hyperlink" Target="https://bulma.dev/classes/colors/has-background-danger-dark" TargetMode="External"/><Relationship Id="rId93" Type="http://schemas.openxmlformats.org/officeDocument/2006/relationships/hyperlink" Target="https://bulma.dev/classes/colors/has-text-info-light" TargetMode="External"/><Relationship Id="rId189" Type="http://schemas.openxmlformats.org/officeDocument/2006/relationships/hyperlink" Target="https://bulma.dev/classes/display/is-invisible-touch" TargetMode="External"/><Relationship Id="rId396" Type="http://schemas.openxmlformats.org/officeDocument/2006/relationships/hyperlink" Target="https://bulma.dev/classes/grid/is-two-fifths-fullhd" TargetMode="External"/><Relationship Id="rId561" Type="http://schemas.openxmlformats.org/officeDocument/2006/relationships/hyperlink" Target="https://bulma.dev/classes/spacing/my-0" TargetMode="External"/><Relationship Id="rId617" Type="http://schemas.openxmlformats.org/officeDocument/2006/relationships/hyperlink" Target="https://bulma.dev/classes/text-utilities/has-text-left-desktop-only" TargetMode="External"/><Relationship Id="rId659" Type="http://schemas.openxmlformats.org/officeDocument/2006/relationships/hyperlink" Target="https://bulma.dev/classes/tile/tile" TargetMode="External"/><Relationship Id="rId214" Type="http://schemas.openxmlformats.org/officeDocument/2006/relationships/hyperlink" Target="https://bulma.dev/classes/file/file-icon" TargetMode="External"/><Relationship Id="rId256" Type="http://schemas.openxmlformats.org/officeDocument/2006/relationships/hyperlink" Target="https://bulma.dev/classes/grid/is-four-fifths" TargetMode="External"/><Relationship Id="rId298" Type="http://schemas.openxmlformats.org/officeDocument/2006/relationships/hyperlink" Target="https://bulma.dev/classes/grid/is-offset-four-fifths-fullhd" TargetMode="External"/><Relationship Id="rId421" Type="http://schemas.openxmlformats.org/officeDocument/2006/relationships/hyperlink" Target="https://bulma.dev/classes/helpers/is-relative" TargetMode="External"/><Relationship Id="rId463" Type="http://schemas.openxmlformats.org/officeDocument/2006/relationships/hyperlink" Target="https://bulma.dev/classes/label/label.is-large" TargetMode="External"/><Relationship Id="rId519" Type="http://schemas.openxmlformats.org/officeDocument/2006/relationships/hyperlink" Target="https://bulma.dev/classes/navbar/navbar.is-fixed-top" TargetMode="External"/><Relationship Id="rId116" Type="http://schemas.openxmlformats.org/officeDocument/2006/relationships/hyperlink" Target="https://bulma.dev/classes/column/columns.is-gapless" TargetMode="External"/><Relationship Id="rId158" Type="http://schemas.openxmlformats.org/officeDocument/2006/relationships/hyperlink" Target="https://bulma.dev/classes/display/is-inline-block-fullhd" TargetMode="External"/><Relationship Id="rId323" Type="http://schemas.openxmlformats.org/officeDocument/2006/relationships/hyperlink" Target="https://bulma.dev/classes/grid/is-offset-one-quarter-widescreen" TargetMode="External"/><Relationship Id="rId530" Type="http://schemas.openxmlformats.org/officeDocument/2006/relationships/hyperlink" Target="https://bulma.dev/classes/pagination/pagination-link" TargetMode="External"/><Relationship Id="rId20" Type="http://schemas.openxmlformats.org/officeDocument/2006/relationships/hyperlink" Target="https://bulma.dev/classes/button/button.is-link" TargetMode="External"/><Relationship Id="rId62" Type="http://schemas.openxmlformats.org/officeDocument/2006/relationships/hyperlink" Target="https://bulma.dev/classes/colors/has-background-info-light" TargetMode="External"/><Relationship Id="rId365" Type="http://schemas.openxmlformats.org/officeDocument/2006/relationships/hyperlink" Target="https://bulma.dev/classes/grid/is-one-fifth-widescreen" TargetMode="External"/><Relationship Id="rId572" Type="http://schemas.openxmlformats.org/officeDocument/2006/relationships/hyperlink" Target="https://bulma.dev/classes/table/table.is-hoverable" TargetMode="External"/><Relationship Id="rId628" Type="http://schemas.openxmlformats.org/officeDocument/2006/relationships/hyperlink" Target="https://bulma.dev/classes/text-utilities/has-text-right-mobile" TargetMode="External"/><Relationship Id="rId225" Type="http://schemas.openxmlformats.org/officeDocument/2006/relationships/hyperlink" Target="https://bulma.dev/classes/forms/checkbox" TargetMode="External"/><Relationship Id="rId267" Type="http://schemas.openxmlformats.org/officeDocument/2006/relationships/hyperlink" Target="https://bulma.dev/classes/grid/is-full-widescreen" TargetMode="External"/><Relationship Id="rId432" Type="http://schemas.openxmlformats.org/officeDocument/2006/relationships/hyperlink" Target="https://bulma.dev/classes/hero/hero.is-halfheight" TargetMode="External"/><Relationship Id="rId474" Type="http://schemas.openxmlformats.org/officeDocument/2006/relationships/hyperlink" Target="https://bulma.dev/classes/list/is-upper-roman" TargetMode="External"/><Relationship Id="rId127" Type="http://schemas.openxmlformats.org/officeDocument/2006/relationships/hyperlink" Target="https://bulma.dev/classes/delete/delete" TargetMode="External"/><Relationship Id="rId31" Type="http://schemas.openxmlformats.org/officeDocument/2006/relationships/hyperlink" Target="https://bulma.dev/classes/button/button.is-white" TargetMode="External"/><Relationship Id="rId73" Type="http://schemas.openxmlformats.org/officeDocument/2006/relationships/hyperlink" Target="https://bulma.dev/classes/colors/has-background-warning" TargetMode="External"/><Relationship Id="rId169" Type="http://schemas.openxmlformats.org/officeDocument/2006/relationships/hyperlink" Target="https://bulma.dev/classes/display/is-inline-flex-fullhd" TargetMode="External"/><Relationship Id="rId334" Type="http://schemas.openxmlformats.org/officeDocument/2006/relationships/hyperlink" Target="https://bulma.dev/classes/grid/is-offset-three-fifths-mobile" TargetMode="External"/><Relationship Id="rId376" Type="http://schemas.openxmlformats.org/officeDocument/2006/relationships/hyperlink" Target="https://bulma.dev/classes/grid/is-one-third-mobile" TargetMode="External"/><Relationship Id="rId541" Type="http://schemas.openxmlformats.org/officeDocument/2006/relationships/hyperlink" Target="https://bulma.dev/classes/panel/panel-tabs" TargetMode="External"/><Relationship Id="rId583" Type="http://schemas.openxmlformats.org/officeDocument/2006/relationships/hyperlink" Target="https://bulma.dev/classes/tabs/tabs.is-small" TargetMode="External"/><Relationship Id="rId639" Type="http://schemas.openxmlformats.org/officeDocument/2006/relationships/hyperlink" Target="https://bulma.dev/classes/text-utilities/heading" TargetMode="External"/><Relationship Id="rId4" Type="http://schemas.openxmlformats.org/officeDocument/2006/relationships/hyperlink" Target="https://bulma.dev/classes/breadcrumb/breadcrumb.has-dot-separator" TargetMode="External"/><Relationship Id="rId180" Type="http://schemas.openxmlformats.org/officeDocument/2006/relationships/hyperlink" Target="https://bulma.dev/classes/display/is-inline-touch" TargetMode="External"/><Relationship Id="rId236" Type="http://schemas.openxmlformats.org/officeDocument/2006/relationships/hyperlink" Target="https://bulma.dev/classes/forms/is-horizontal" TargetMode="External"/><Relationship Id="rId278" Type="http://schemas.openxmlformats.org/officeDocument/2006/relationships/hyperlink" Target="https://bulma.dev/classes/grid/is-narrow-mobile" TargetMode="External"/><Relationship Id="rId401" Type="http://schemas.openxmlformats.org/officeDocument/2006/relationships/hyperlink" Target="https://bulma.dev/classes/grid/is-two-thirds" TargetMode="External"/><Relationship Id="rId443" Type="http://schemas.openxmlformats.org/officeDocument/2006/relationships/hyperlink" Target="https://bulma.dev/classes/images/image.is-1by2" TargetMode="External"/><Relationship Id="rId650" Type="http://schemas.openxmlformats.org/officeDocument/2006/relationships/hyperlink" Target="https://bulma.dev/classes/text-utilities/is-size-1-desktop" TargetMode="External"/><Relationship Id="rId303" Type="http://schemas.openxmlformats.org/officeDocument/2006/relationships/hyperlink" Target="https://bulma.dev/classes/grid/is-offset-half" TargetMode="External"/><Relationship Id="rId485" Type="http://schemas.openxmlformats.org/officeDocument/2006/relationships/hyperlink" Target="https://bulma.dev/classes/menu/menu-label" TargetMode="External"/><Relationship Id="rId42" Type="http://schemas.openxmlformats.org/officeDocument/2006/relationships/hyperlink" Target="https://bulma.dev/classes/card/card-header" TargetMode="External"/><Relationship Id="rId84" Type="http://schemas.openxmlformats.org/officeDocument/2006/relationships/hyperlink" Target="https://bulma.dev/classes/colors/has-text-danger-light" TargetMode="External"/><Relationship Id="rId138" Type="http://schemas.openxmlformats.org/officeDocument/2006/relationships/hyperlink" Target="https://bulma.dev/classes/display/is-flex-desktop" TargetMode="External"/><Relationship Id="rId345" Type="http://schemas.openxmlformats.org/officeDocument/2006/relationships/hyperlink" Target="https://bulma.dev/classes/grid/is-offset-two-fifths" TargetMode="External"/><Relationship Id="rId387" Type="http://schemas.openxmlformats.org/officeDocument/2006/relationships/hyperlink" Target="https://bulma.dev/classes/grid/is-three-quarters" TargetMode="External"/><Relationship Id="rId510" Type="http://schemas.openxmlformats.org/officeDocument/2006/relationships/hyperlink" Target="https://bulma.dev/classes/navbar/navbar-item" TargetMode="External"/><Relationship Id="rId552" Type="http://schemas.openxmlformats.org/officeDocument/2006/relationships/hyperlink" Target="https://bulma.dev/classes/sizing/is-fullheight-with-navbar" TargetMode="External"/><Relationship Id="rId594" Type="http://schemas.openxmlformats.org/officeDocument/2006/relationships/hyperlink" Target="https://bulma.dev/classes/text-utilities/has-text-centered-desktop" TargetMode="External"/><Relationship Id="rId608" Type="http://schemas.openxmlformats.org/officeDocument/2006/relationships/hyperlink" Target="https://bulma.dev/classes/text-utilities/has-text-justified-mobile" TargetMode="External"/><Relationship Id="rId191" Type="http://schemas.openxmlformats.org/officeDocument/2006/relationships/hyperlink" Target="https://bulma.dev/classes/display/is-invisible-widescreen-only" TargetMode="External"/><Relationship Id="rId205" Type="http://schemas.openxmlformats.org/officeDocument/2006/relationships/hyperlink" Target="https://bulma.dev/classes/field/field.has-addons.has-addons-centered" TargetMode="External"/><Relationship Id="rId247" Type="http://schemas.openxmlformats.org/officeDocument/2006/relationships/hyperlink" Target="https://bulma.dev/classes/grid/is-0-desktop-only" TargetMode="External"/><Relationship Id="rId412" Type="http://schemas.openxmlformats.org/officeDocument/2006/relationships/hyperlink" Target="https://bulma.dev/classes/helpers/is-clipped" TargetMode="External"/><Relationship Id="rId107" Type="http://schemas.openxmlformats.org/officeDocument/2006/relationships/hyperlink" Target="https://bulma.dev/classes/colors/has-text-white" TargetMode="External"/><Relationship Id="rId289" Type="http://schemas.openxmlformats.org/officeDocument/2006/relationships/hyperlink" Target="https://bulma.dev/classes/grid/is-offset-0-widescreen" TargetMode="External"/><Relationship Id="rId454" Type="http://schemas.openxmlformats.org/officeDocument/2006/relationships/hyperlink" Target="https://bulma.dev/classes/images/image.is-4by3" TargetMode="External"/><Relationship Id="rId496" Type="http://schemas.openxmlformats.org/officeDocument/2006/relationships/hyperlink" Target="https://bulma.dev/classes/modal/modal-card-body" TargetMode="External"/><Relationship Id="rId661" Type="http://schemas.openxmlformats.org/officeDocument/2006/relationships/hyperlink" Target="https://bulma.dev/classes/tile/tile.is-child" TargetMode="External"/><Relationship Id="rId11" Type="http://schemas.openxmlformats.org/officeDocument/2006/relationships/hyperlink" Target="https://bulma.dev/classes/breadcrumb/has-succeeds-separator" TargetMode="External"/><Relationship Id="rId53" Type="http://schemas.openxmlformats.org/officeDocument/2006/relationships/hyperlink" Target="https://bulma.dev/classes/colors/has-background-dark" TargetMode="External"/><Relationship Id="rId149" Type="http://schemas.openxmlformats.org/officeDocument/2006/relationships/hyperlink" Target="https://bulma.dev/classes/display/is-hidden-fullhd" TargetMode="External"/><Relationship Id="rId314" Type="http://schemas.openxmlformats.org/officeDocument/2006/relationships/hyperlink" Target="https://bulma.dev/classes/grid/is-offset-one-fifth-tablet" TargetMode="External"/><Relationship Id="rId356" Type="http://schemas.openxmlformats.org/officeDocument/2006/relationships/hyperlink" Target="https://bulma.dev/classes/grid/is-offset-two-thirds-desktop-touch" TargetMode="External"/><Relationship Id="rId398" Type="http://schemas.openxmlformats.org/officeDocument/2006/relationships/hyperlink" Target="https://bulma.dev/classes/grid/is-two-fifths-tablet" TargetMode="External"/><Relationship Id="rId521" Type="http://schemas.openxmlformats.org/officeDocument/2006/relationships/hyperlink" Target="https://bulma.dev/classes/navbar/navbar.is-light" TargetMode="External"/><Relationship Id="rId563" Type="http://schemas.openxmlformats.org/officeDocument/2006/relationships/hyperlink" Target="https://bulma.dev/classes/spacing/pl-0" TargetMode="External"/><Relationship Id="rId619" Type="http://schemas.openxmlformats.org/officeDocument/2006/relationships/hyperlink" Target="https://bulma.dev/classes/text-utilities/has-text-left-mobile" TargetMode="External"/><Relationship Id="rId95" Type="http://schemas.openxmlformats.org/officeDocument/2006/relationships/hyperlink" Target="https://bulma.dev/classes/colors/has-text-link" TargetMode="External"/><Relationship Id="rId160" Type="http://schemas.openxmlformats.org/officeDocument/2006/relationships/hyperlink" Target="https://bulma.dev/classes/display/is-inline-block-tablet" TargetMode="External"/><Relationship Id="rId216" Type="http://schemas.openxmlformats.org/officeDocument/2006/relationships/hyperlink" Target="https://bulma.dev/classes/file/file-label" TargetMode="External"/><Relationship Id="rId423" Type="http://schemas.openxmlformats.org/officeDocument/2006/relationships/hyperlink" Target="https://bulma.dev/classes/helpers/is-sr-only" TargetMode="External"/><Relationship Id="rId258" Type="http://schemas.openxmlformats.org/officeDocument/2006/relationships/hyperlink" Target="https://bulma.dev/classes/grid/is-four-fifths-fullhd" TargetMode="External"/><Relationship Id="rId465" Type="http://schemas.openxmlformats.org/officeDocument/2006/relationships/hyperlink" Target="https://bulma.dev/classes/label/label.is-small" TargetMode="External"/><Relationship Id="rId630" Type="http://schemas.openxmlformats.org/officeDocument/2006/relationships/hyperlink" Target="https://bulma.dev/classes/text-utilities/has-text-right-tablet-only" TargetMode="External"/><Relationship Id="rId22" Type="http://schemas.openxmlformats.org/officeDocument/2006/relationships/hyperlink" Target="https://bulma.dev/classes/button/button.is-medium" TargetMode="External"/><Relationship Id="rId64" Type="http://schemas.openxmlformats.org/officeDocument/2006/relationships/hyperlink" Target="https://bulma.dev/classes/colors/has-background-link" TargetMode="External"/><Relationship Id="rId118" Type="http://schemas.openxmlformats.org/officeDocument/2006/relationships/hyperlink" Target="https://bulma.dev/classes/column/columns.is-multiline" TargetMode="External"/><Relationship Id="rId325" Type="http://schemas.openxmlformats.org/officeDocument/2006/relationships/hyperlink" Target="https://bulma.dev/classes/grid/is-offset-one-third-desktop" TargetMode="External"/><Relationship Id="rId367" Type="http://schemas.openxmlformats.org/officeDocument/2006/relationships/hyperlink" Target="https://bulma.dev/classes/grid/is-one-quarter-desktop" TargetMode="External"/><Relationship Id="rId532" Type="http://schemas.openxmlformats.org/officeDocument/2006/relationships/hyperlink" Target="https://bulma.dev/classes/pagination/pagination-list" TargetMode="External"/><Relationship Id="rId574" Type="http://schemas.openxmlformats.org/officeDocument/2006/relationships/hyperlink" Target="https://bulma.dev/classes/table/table.is-narrow" TargetMode="External"/><Relationship Id="rId171" Type="http://schemas.openxmlformats.org/officeDocument/2006/relationships/hyperlink" Target="https://bulma.dev/classes/display/is-inline-flex-tablet" TargetMode="External"/><Relationship Id="rId227" Type="http://schemas.openxmlformats.org/officeDocument/2006/relationships/hyperlink" Target="https://bulma.dev/classes/forms/control.has-icons-left" TargetMode="External"/><Relationship Id="rId269" Type="http://schemas.openxmlformats.org/officeDocument/2006/relationships/hyperlink" Target="https://bulma.dev/classes/grid/is-half-desktop" TargetMode="External"/><Relationship Id="rId434" Type="http://schemas.openxmlformats.org/officeDocument/2006/relationships/hyperlink" Target="https://bulma.dev/classes/icon/has-icons-left" TargetMode="External"/><Relationship Id="rId476" Type="http://schemas.openxmlformats.org/officeDocument/2006/relationships/hyperlink" Target="https://bulma.dev/classes/list/list-item" TargetMode="External"/><Relationship Id="rId641" Type="http://schemas.openxmlformats.org/officeDocument/2006/relationships/hyperlink" Target="https://bulma.dev/classes/text-utilities/is-capitalized" TargetMode="External"/><Relationship Id="rId33" Type="http://schemas.openxmlformats.org/officeDocument/2006/relationships/hyperlink" Target="https://bulma.dev/classes/button/buttons.has-addons" TargetMode="External"/><Relationship Id="rId129" Type="http://schemas.openxmlformats.org/officeDocument/2006/relationships/hyperlink" Target="https://bulma.dev/classes/display/is-block-desktop" TargetMode="External"/><Relationship Id="rId280" Type="http://schemas.openxmlformats.org/officeDocument/2006/relationships/hyperlink" Target="https://bulma.dev/classes/grid/is-narrow-touch" TargetMode="External"/><Relationship Id="rId336" Type="http://schemas.openxmlformats.org/officeDocument/2006/relationships/hyperlink" Target="https://bulma.dev/classes/grid/is-offset-three-fifths-touch" TargetMode="External"/><Relationship Id="rId501" Type="http://schemas.openxmlformats.org/officeDocument/2006/relationships/hyperlink" Target="https://bulma.dev/classes/modal/modal-content" TargetMode="External"/><Relationship Id="rId543" Type="http://schemas.openxmlformats.org/officeDocument/2006/relationships/hyperlink" Target="https://bulma.dev/classes/responsive-helpers/is-block" TargetMode="External"/><Relationship Id="rId75" Type="http://schemas.openxmlformats.org/officeDocument/2006/relationships/hyperlink" Target="https://bulma.dev/classes/colors/has-background-warning-light" TargetMode="External"/><Relationship Id="rId140" Type="http://schemas.openxmlformats.org/officeDocument/2006/relationships/hyperlink" Target="https://bulma.dev/classes/display/is-flex-fullhd" TargetMode="External"/><Relationship Id="rId182" Type="http://schemas.openxmlformats.org/officeDocument/2006/relationships/hyperlink" Target="https://bulma.dev/classes/display/is-inline-widescreen-only" TargetMode="External"/><Relationship Id="rId378" Type="http://schemas.openxmlformats.org/officeDocument/2006/relationships/hyperlink" Target="https://bulma.dev/classes/grid/is-one-third-touch" TargetMode="External"/><Relationship Id="rId403" Type="http://schemas.openxmlformats.org/officeDocument/2006/relationships/hyperlink" Target="https://bulma.dev/classes/grid/is-two-thirds-fullhd" TargetMode="External"/><Relationship Id="rId585" Type="http://schemas.openxmlformats.org/officeDocument/2006/relationships/hyperlink" Target="https://bulma.dev/classes/tabs/tabs.is-toggle.is-toggle-rounded" TargetMode="External"/><Relationship Id="rId6" Type="http://schemas.openxmlformats.org/officeDocument/2006/relationships/hyperlink" Target="https://bulma.dev/classes/breadcrumb/breadcrumb.is-centered" TargetMode="External"/><Relationship Id="rId238" Type="http://schemas.openxmlformats.org/officeDocument/2006/relationships/hyperlink" Target="https://bulma.dev/classes/forms/is-multiple" TargetMode="External"/><Relationship Id="rId445" Type="http://schemas.openxmlformats.org/officeDocument/2006/relationships/hyperlink" Target="https://bulma.dev/classes/images/image.is-24x24" TargetMode="External"/><Relationship Id="rId487" Type="http://schemas.openxmlformats.org/officeDocument/2006/relationships/hyperlink" Target="https://bulma.dev/classes/menu/menu.is-large" TargetMode="External"/><Relationship Id="rId610" Type="http://schemas.openxmlformats.org/officeDocument/2006/relationships/hyperlink" Target="https://bulma.dev/classes/text-utilities/has-text-justified-tablet" TargetMode="External"/><Relationship Id="rId652" Type="http://schemas.openxmlformats.org/officeDocument/2006/relationships/hyperlink" Target="https://bulma.dev/classes/text-utilities/is-size-1-mobile" TargetMode="External"/><Relationship Id="rId291" Type="http://schemas.openxmlformats.org/officeDocument/2006/relationships/hyperlink" Target="https://bulma.dev/classes/grid/is-offset-1-desktop" TargetMode="External"/><Relationship Id="rId305" Type="http://schemas.openxmlformats.org/officeDocument/2006/relationships/hyperlink" Target="https://bulma.dev/classes/grid/is-offset-half-fullhd" TargetMode="External"/><Relationship Id="rId347" Type="http://schemas.openxmlformats.org/officeDocument/2006/relationships/hyperlink" Target="https://bulma.dev/classes/grid/is-offset-two-fifths-fullhd" TargetMode="External"/><Relationship Id="rId512" Type="http://schemas.openxmlformats.org/officeDocument/2006/relationships/hyperlink" Target="https://bulma.dev/classes/navbar/navbar-menu" TargetMode="External"/><Relationship Id="rId44" Type="http://schemas.openxmlformats.org/officeDocument/2006/relationships/hyperlink" Target="https://bulma.dev/classes/card/card-header-title" TargetMode="External"/><Relationship Id="rId86" Type="http://schemas.openxmlformats.org/officeDocument/2006/relationships/hyperlink" Target="https://bulma.dev/classes/colors/has-text-grey" TargetMode="External"/><Relationship Id="rId151" Type="http://schemas.openxmlformats.org/officeDocument/2006/relationships/hyperlink" Target="https://bulma.dev/classes/display/is-hidden-tablet" TargetMode="External"/><Relationship Id="rId389" Type="http://schemas.openxmlformats.org/officeDocument/2006/relationships/hyperlink" Target="https://bulma.dev/classes/grid/is-three-quarters-fullhd" TargetMode="External"/><Relationship Id="rId554" Type="http://schemas.openxmlformats.org/officeDocument/2006/relationships/hyperlink" Target="https://bulma.dev/classes/sizing/is-small" TargetMode="External"/><Relationship Id="rId596" Type="http://schemas.openxmlformats.org/officeDocument/2006/relationships/hyperlink" Target="https://bulma.dev/classes/text-utilities/has-text-centered-fullhd" TargetMode="External"/><Relationship Id="rId193" Type="http://schemas.openxmlformats.org/officeDocument/2006/relationships/hyperlink" Target="https://bulma.dev/classes/dropdown/dropdown-content" TargetMode="External"/><Relationship Id="rId207" Type="http://schemas.openxmlformats.org/officeDocument/2006/relationships/hyperlink" Target="https://bulma.dev/classes/field/field.has-addons.has-addons-right" TargetMode="External"/><Relationship Id="rId249" Type="http://schemas.openxmlformats.org/officeDocument/2006/relationships/hyperlink" Target="https://bulma.dev/classes/grid/is-0-mobile" TargetMode="External"/><Relationship Id="rId414" Type="http://schemas.openxmlformats.org/officeDocument/2006/relationships/hyperlink" Target="https://bulma.dev/classes/helpers/is-invisible" TargetMode="External"/><Relationship Id="rId456" Type="http://schemas.openxmlformats.org/officeDocument/2006/relationships/hyperlink" Target="https://bulma.dev/classes/images/image.is-5by3" TargetMode="External"/><Relationship Id="rId498" Type="http://schemas.openxmlformats.org/officeDocument/2006/relationships/hyperlink" Target="https://bulma.dev/classes/modal/modal-card-head" TargetMode="External"/><Relationship Id="rId621" Type="http://schemas.openxmlformats.org/officeDocument/2006/relationships/hyperlink" Target="https://bulma.dev/classes/text-utilities/has-text-left-touch" TargetMode="External"/><Relationship Id="rId663" Type="http://schemas.openxmlformats.org/officeDocument/2006/relationships/hyperlink" Target="https://bulma.dev/classes/tile/tile.is-vertical" TargetMode="External"/><Relationship Id="rId13" Type="http://schemas.openxmlformats.org/officeDocument/2006/relationships/hyperlink" Target="https://bulma.dev/classes/button/button.is-black" TargetMode="External"/><Relationship Id="rId109" Type="http://schemas.openxmlformats.org/officeDocument/2006/relationships/hyperlink" Target="https://bulma.dev/classes/colors/has-text-white-ter" TargetMode="External"/><Relationship Id="rId260" Type="http://schemas.openxmlformats.org/officeDocument/2006/relationships/hyperlink" Target="https://bulma.dev/classes/grid/is-four-fifths-touch" TargetMode="External"/><Relationship Id="rId316" Type="http://schemas.openxmlformats.org/officeDocument/2006/relationships/hyperlink" Target="https://bulma.dev/classes/grid/is-offset-one-fifth-widescreen" TargetMode="External"/><Relationship Id="rId523" Type="http://schemas.openxmlformats.org/officeDocument/2006/relationships/hyperlink" Target="https://bulma.dev/classes/navbar/navbar.is-primary" TargetMode="External"/><Relationship Id="rId55" Type="http://schemas.openxmlformats.org/officeDocument/2006/relationships/hyperlink" Target="https://bulma.dev/classes/colors/has-background-grey" TargetMode="External"/><Relationship Id="rId97" Type="http://schemas.openxmlformats.org/officeDocument/2006/relationships/hyperlink" Target="https://bulma.dev/classes/colors/has-text-link-light" TargetMode="External"/><Relationship Id="rId120" Type="http://schemas.openxmlformats.org/officeDocument/2006/relationships/hyperlink" Target="https://bulma.dev/classes/column/columns.is-vcentered" TargetMode="External"/><Relationship Id="rId358" Type="http://schemas.openxmlformats.org/officeDocument/2006/relationships/hyperlink" Target="https://bulma.dev/classes/grid/is-offset-two-thirds-fullhd" TargetMode="External"/><Relationship Id="rId565" Type="http://schemas.openxmlformats.org/officeDocument/2006/relationships/hyperlink" Target="https://bulma.dev/classes/spacing/pt-0" TargetMode="External"/><Relationship Id="rId162" Type="http://schemas.openxmlformats.org/officeDocument/2006/relationships/hyperlink" Target="https://bulma.dev/classes/display/is-inline-block-touch" TargetMode="External"/><Relationship Id="rId218" Type="http://schemas.openxmlformats.org/officeDocument/2006/relationships/hyperlink" Target="https://bulma.dev/classes/file/file.has-name" TargetMode="External"/><Relationship Id="rId425" Type="http://schemas.openxmlformats.org/officeDocument/2006/relationships/hyperlink" Target="https://bulma.dev/classes/hero/hero" TargetMode="External"/><Relationship Id="rId467" Type="http://schemas.openxmlformats.org/officeDocument/2006/relationships/hyperlink" Target="https://bulma.dev/classes/level/level-item" TargetMode="External"/><Relationship Id="rId632" Type="http://schemas.openxmlformats.org/officeDocument/2006/relationships/hyperlink" Target="https://bulma.dev/classes/text-utilities/has-text-right-widescreen" TargetMode="External"/><Relationship Id="rId271" Type="http://schemas.openxmlformats.org/officeDocument/2006/relationships/hyperlink" Target="https://bulma.dev/classes/grid/is-half-mobile" TargetMode="External"/><Relationship Id="rId24" Type="http://schemas.openxmlformats.org/officeDocument/2006/relationships/hyperlink" Target="https://bulma.dev/classes/button/button.is-primary" TargetMode="External"/><Relationship Id="rId66" Type="http://schemas.openxmlformats.org/officeDocument/2006/relationships/hyperlink" Target="https://bulma.dev/classes/colors/has-background-link-light" TargetMode="External"/><Relationship Id="rId131" Type="http://schemas.openxmlformats.org/officeDocument/2006/relationships/hyperlink" Target="https://bulma.dev/classes/display/is-block-fullhd" TargetMode="External"/><Relationship Id="rId327" Type="http://schemas.openxmlformats.org/officeDocument/2006/relationships/hyperlink" Target="https://bulma.dev/classes/grid/is-offset-one-third-mobile" TargetMode="External"/><Relationship Id="rId369" Type="http://schemas.openxmlformats.org/officeDocument/2006/relationships/hyperlink" Target="https://bulma.dev/classes/grid/is-one-quarter-mobile" TargetMode="External"/><Relationship Id="rId534" Type="http://schemas.openxmlformats.org/officeDocument/2006/relationships/hyperlink" Target="https://bulma.dev/classes/pagination/pagination-previous" TargetMode="External"/><Relationship Id="rId576" Type="http://schemas.openxmlformats.org/officeDocument/2006/relationships/hyperlink" Target="https://bulma.dev/classes/tabs/tabs" TargetMode="External"/><Relationship Id="rId173" Type="http://schemas.openxmlformats.org/officeDocument/2006/relationships/hyperlink" Target="https://bulma.dev/classes/display/is-inline-flex-touch" TargetMode="External"/><Relationship Id="rId229" Type="http://schemas.openxmlformats.org/officeDocument/2006/relationships/hyperlink" Target="https://bulma.dev/classes/forms/control.is-loading" TargetMode="External"/><Relationship Id="rId380" Type="http://schemas.openxmlformats.org/officeDocument/2006/relationships/hyperlink" Target="https://bulma.dev/classes/grid/is-three-fifths" TargetMode="External"/><Relationship Id="rId436" Type="http://schemas.openxmlformats.org/officeDocument/2006/relationships/hyperlink" Target="https://bulma.dev/classes/icon/icon" TargetMode="External"/><Relationship Id="rId601" Type="http://schemas.openxmlformats.org/officeDocument/2006/relationships/hyperlink" Target="https://bulma.dev/classes/text-utilities/has-text-centered-tablet-widescreen-only" TargetMode="External"/><Relationship Id="rId643" Type="http://schemas.openxmlformats.org/officeDocument/2006/relationships/hyperlink" Target="https://bulma.dev/classes/text-utilities/is-family-monospace" TargetMode="External"/><Relationship Id="rId240" Type="http://schemas.openxmlformats.org/officeDocument/2006/relationships/hyperlink" Target="https://bulma.dev/classes/forms/is-right" TargetMode="External"/><Relationship Id="rId478" Type="http://schemas.openxmlformats.org/officeDocument/2006/relationships/hyperlink" Target="https://bulma.dev/classes/loader/loader" TargetMode="External"/><Relationship Id="rId35" Type="http://schemas.openxmlformats.org/officeDocument/2006/relationships/hyperlink" Target="https://bulma.dev/classes/button/buttons.is-right" TargetMode="External"/><Relationship Id="rId77" Type="http://schemas.openxmlformats.org/officeDocument/2006/relationships/hyperlink" Target="https://bulma.dev/classes/colors/has-background-white-bis" TargetMode="External"/><Relationship Id="rId100" Type="http://schemas.openxmlformats.org/officeDocument/2006/relationships/hyperlink" Target="https://bulma.dev/classes/colors/has-text-primary-light" TargetMode="External"/><Relationship Id="rId282" Type="http://schemas.openxmlformats.org/officeDocument/2006/relationships/hyperlink" Target="https://bulma.dev/classes/grid/is-offset-0" TargetMode="External"/><Relationship Id="rId338" Type="http://schemas.openxmlformats.org/officeDocument/2006/relationships/hyperlink" Target="https://bulma.dev/classes/grid/is-offset-three-quarters" TargetMode="External"/><Relationship Id="rId503" Type="http://schemas.openxmlformats.org/officeDocument/2006/relationships/hyperlink" Target="https://bulma.dev/classes/navbar/is-arrowless" TargetMode="External"/><Relationship Id="rId545" Type="http://schemas.openxmlformats.org/officeDocument/2006/relationships/hyperlink" Target="https://bulma.dev/classes/responsive-helpers/is-inline" TargetMode="External"/><Relationship Id="rId587" Type="http://schemas.openxmlformats.org/officeDocument/2006/relationships/hyperlink" Target="https://bulma.dev/classes/tags/tags" TargetMode="External"/><Relationship Id="rId8" Type="http://schemas.openxmlformats.org/officeDocument/2006/relationships/hyperlink" Target="https://bulma.dev/classes/breadcrumb/breadcrumb.is-medium" TargetMode="External"/><Relationship Id="rId142" Type="http://schemas.openxmlformats.org/officeDocument/2006/relationships/hyperlink" Target="https://bulma.dev/classes/display/is-flex-tablet" TargetMode="External"/><Relationship Id="rId184" Type="http://schemas.openxmlformats.org/officeDocument/2006/relationships/hyperlink" Target="https://bulma.dev/classes/display/is-invisible-desktop-only" TargetMode="External"/><Relationship Id="rId391" Type="http://schemas.openxmlformats.org/officeDocument/2006/relationships/hyperlink" Target="https://bulma.dev/classes/grid/is-three-quarters-tablet" TargetMode="External"/><Relationship Id="rId405" Type="http://schemas.openxmlformats.org/officeDocument/2006/relationships/hyperlink" Target="https://bulma.dev/classes/grid/is-two-thirds-tablet" TargetMode="External"/><Relationship Id="rId447" Type="http://schemas.openxmlformats.org/officeDocument/2006/relationships/hyperlink" Target="https://bulma.dev/classes/images/image.is-2by3" TargetMode="External"/><Relationship Id="rId612" Type="http://schemas.openxmlformats.org/officeDocument/2006/relationships/hyperlink" Target="https://bulma.dev/classes/text-utilities/has-text-justified-touch" TargetMode="External"/><Relationship Id="rId251" Type="http://schemas.openxmlformats.org/officeDocument/2006/relationships/hyperlink" Target="https://bulma.dev/classes/grid/is-0-tablet-only" TargetMode="External"/><Relationship Id="rId489" Type="http://schemas.openxmlformats.org/officeDocument/2006/relationships/hyperlink" Target="https://bulma.dev/classes/menu/menu.is-small" TargetMode="External"/><Relationship Id="rId654" Type="http://schemas.openxmlformats.org/officeDocument/2006/relationships/hyperlink" Target="https://bulma.dev/classes/text-utilities/is-size-1-touch" TargetMode="External"/><Relationship Id="rId46" Type="http://schemas.openxmlformats.org/officeDocument/2006/relationships/hyperlink" Target="https://bulma.dev/classes/card/card-image" TargetMode="External"/><Relationship Id="rId293" Type="http://schemas.openxmlformats.org/officeDocument/2006/relationships/hyperlink" Target="https://bulma.dev/classes/grid/is-offset-1-tablet" TargetMode="External"/><Relationship Id="rId307" Type="http://schemas.openxmlformats.org/officeDocument/2006/relationships/hyperlink" Target="https://bulma.dev/classes/grid/is-offset-half-tablet" TargetMode="External"/><Relationship Id="rId349" Type="http://schemas.openxmlformats.org/officeDocument/2006/relationships/hyperlink" Target="https://bulma.dev/classes/grid/is-offset-two-fifths-tablet" TargetMode="External"/><Relationship Id="rId514" Type="http://schemas.openxmlformats.org/officeDocument/2006/relationships/hyperlink" Target="https://bulma.dev/classes/navbar/navbar.has-shadow" TargetMode="External"/><Relationship Id="rId556" Type="http://schemas.openxmlformats.org/officeDocument/2006/relationships/hyperlink" Target="https://bulma.dev/classes/spacing/mb-0" TargetMode="External"/><Relationship Id="rId88" Type="http://schemas.openxmlformats.org/officeDocument/2006/relationships/hyperlink" Target="https://bulma.dev/classes/colors/has-text-grey-darker" TargetMode="External"/><Relationship Id="rId111" Type="http://schemas.openxmlformats.org/officeDocument/2006/relationships/hyperlink" Target="https://bulma.dev/classes/colors/is-inverted" TargetMode="External"/><Relationship Id="rId153" Type="http://schemas.openxmlformats.org/officeDocument/2006/relationships/hyperlink" Target="https://bulma.dev/classes/display/is-hidden-touch" TargetMode="External"/><Relationship Id="rId195" Type="http://schemas.openxmlformats.org/officeDocument/2006/relationships/hyperlink" Target="https://bulma.dev/classes/dropdown/dropdown-item" TargetMode="External"/><Relationship Id="rId209" Type="http://schemas.openxmlformats.org/officeDocument/2006/relationships/hyperlink" Target="https://bulma.dev/classes/field/field.is-grouped.is-grouped-centered" TargetMode="External"/><Relationship Id="rId360" Type="http://schemas.openxmlformats.org/officeDocument/2006/relationships/hyperlink" Target="https://bulma.dev/classes/grid/is-one-fifth-desktop" TargetMode="External"/><Relationship Id="rId416" Type="http://schemas.openxmlformats.org/officeDocument/2006/relationships/hyperlink" Target="https://bulma.dev/classes/helpers/is-overlay" TargetMode="External"/><Relationship Id="rId598" Type="http://schemas.openxmlformats.org/officeDocument/2006/relationships/hyperlink" Target="https://bulma.dev/classes/text-utilities/has-text-centered-tablet" TargetMode="External"/><Relationship Id="rId220" Type="http://schemas.openxmlformats.org/officeDocument/2006/relationships/hyperlink" Target="https://bulma.dev/classes/file/file.is-boxed" TargetMode="External"/><Relationship Id="rId458" Type="http://schemas.openxmlformats.org/officeDocument/2006/relationships/hyperlink" Target="https://bulma.dev/classes/images/image.is-64x64" TargetMode="External"/><Relationship Id="rId623" Type="http://schemas.openxmlformats.org/officeDocument/2006/relationships/hyperlink" Target="https://bulma.dev/classes/text-utilities/has-text-left-widescreen-only" TargetMode="External"/><Relationship Id="rId665" Type="http://schemas.openxmlformats.org/officeDocument/2006/relationships/hyperlink" Target="https://bulma.dev/classes/title-and-subtitle/subtitle.is-*" TargetMode="External"/><Relationship Id="rId15" Type="http://schemas.openxmlformats.org/officeDocument/2006/relationships/hyperlink" Target="https://bulma.dev/classes/button/button.is-dark" TargetMode="External"/><Relationship Id="rId57" Type="http://schemas.openxmlformats.org/officeDocument/2006/relationships/hyperlink" Target="https://bulma.dev/classes/colors/has-background-grey-darker" TargetMode="External"/><Relationship Id="rId262" Type="http://schemas.openxmlformats.org/officeDocument/2006/relationships/hyperlink" Target="https://bulma.dev/classes/grid/is-full" TargetMode="External"/><Relationship Id="rId318" Type="http://schemas.openxmlformats.org/officeDocument/2006/relationships/hyperlink" Target="https://bulma.dev/classes/grid/is-offset-one-quarter-desktop" TargetMode="External"/><Relationship Id="rId525" Type="http://schemas.openxmlformats.org/officeDocument/2006/relationships/hyperlink" Target="https://bulma.dev/classes/navbar/navbar.is-warning" TargetMode="External"/><Relationship Id="rId567" Type="http://schemas.openxmlformats.org/officeDocument/2006/relationships/hyperlink" Target="https://bulma.dev/classes/table/is-selected" TargetMode="External"/><Relationship Id="rId99" Type="http://schemas.openxmlformats.org/officeDocument/2006/relationships/hyperlink" Target="https://bulma.dev/classes/colors/has-text-primary-dark" TargetMode="External"/><Relationship Id="rId122" Type="http://schemas.openxmlformats.org/officeDocument/2006/relationships/hyperlink" Target="https://bulma.dev/classes/containers/box" TargetMode="External"/><Relationship Id="rId164" Type="http://schemas.openxmlformats.org/officeDocument/2006/relationships/hyperlink" Target="https://bulma.dev/classes/display/is-inline-block-widescreen-only" TargetMode="External"/><Relationship Id="rId371" Type="http://schemas.openxmlformats.org/officeDocument/2006/relationships/hyperlink" Target="https://bulma.dev/classes/grid/is-one-quarter-touch" TargetMode="External"/><Relationship Id="rId427" Type="http://schemas.openxmlformats.org/officeDocument/2006/relationships/hyperlink" Target="https://bulma.dev/classes/hero/hero-foot" TargetMode="External"/><Relationship Id="rId469" Type="http://schemas.openxmlformats.org/officeDocument/2006/relationships/hyperlink" Target="https://bulma.dev/classes/level/level-right" TargetMode="External"/><Relationship Id="rId634" Type="http://schemas.openxmlformats.org/officeDocument/2006/relationships/hyperlink" Target="https://bulma.dev/classes/text-utilities/has-text-weight-bold" TargetMode="External"/><Relationship Id="rId26" Type="http://schemas.openxmlformats.org/officeDocument/2006/relationships/hyperlink" Target="https://bulma.dev/classes/button/button.is-small" TargetMode="External"/><Relationship Id="rId231" Type="http://schemas.openxmlformats.org/officeDocument/2006/relationships/hyperlink" Target="https://bulma.dev/classes/forms/input" TargetMode="External"/><Relationship Id="rId273" Type="http://schemas.openxmlformats.org/officeDocument/2006/relationships/hyperlink" Target="https://bulma.dev/classes/grid/is-half-touch" TargetMode="External"/><Relationship Id="rId329" Type="http://schemas.openxmlformats.org/officeDocument/2006/relationships/hyperlink" Target="https://bulma.dev/classes/grid/is-offset-one-third-touch" TargetMode="External"/><Relationship Id="rId480" Type="http://schemas.openxmlformats.org/officeDocument/2006/relationships/hyperlink" Target="https://bulma.dev/classes/media/media-content" TargetMode="External"/><Relationship Id="rId536" Type="http://schemas.openxmlformats.org/officeDocument/2006/relationships/hyperlink" Target="https://bulma.dev/classes/panel/panel" TargetMode="External"/><Relationship Id="rId68" Type="http://schemas.openxmlformats.org/officeDocument/2006/relationships/hyperlink" Target="https://bulma.dev/classes/colors/has-background-primary-dark" TargetMode="External"/><Relationship Id="rId133" Type="http://schemas.openxmlformats.org/officeDocument/2006/relationships/hyperlink" Target="https://bulma.dev/classes/display/is-block-tablet" TargetMode="External"/><Relationship Id="rId175" Type="http://schemas.openxmlformats.org/officeDocument/2006/relationships/hyperlink" Target="https://bulma.dev/classes/display/is-inline-flex-widescreen-only" TargetMode="External"/><Relationship Id="rId340" Type="http://schemas.openxmlformats.org/officeDocument/2006/relationships/hyperlink" Target="https://bulma.dev/classes/grid/is-offset-three-quarters-fullhd" TargetMode="External"/><Relationship Id="rId578" Type="http://schemas.openxmlformats.org/officeDocument/2006/relationships/hyperlink" Target="https://bulma.dev/classes/tabs/tabs.is-centered" TargetMode="External"/><Relationship Id="rId200" Type="http://schemas.openxmlformats.org/officeDocument/2006/relationships/hyperlink" Target="https://bulma.dev/classes/dropdown/is-hoverable" TargetMode="External"/><Relationship Id="rId382" Type="http://schemas.openxmlformats.org/officeDocument/2006/relationships/hyperlink" Target="https://bulma.dev/classes/grid/is-three-fifths-fullhd" TargetMode="External"/><Relationship Id="rId438" Type="http://schemas.openxmlformats.org/officeDocument/2006/relationships/hyperlink" Target="https://bulma.dev/classes/images/image" TargetMode="External"/><Relationship Id="rId603" Type="http://schemas.openxmlformats.org/officeDocument/2006/relationships/hyperlink" Target="https://bulma.dev/classes/text-utilities/has-text-justified" TargetMode="External"/><Relationship Id="rId645" Type="http://schemas.openxmlformats.org/officeDocument/2006/relationships/hyperlink" Target="https://bulma.dev/classes/text-utilities/is-family-sans-serif" TargetMode="External"/><Relationship Id="rId242" Type="http://schemas.openxmlformats.org/officeDocument/2006/relationships/hyperlink" Target="https://bulma.dev/classes/forms/select" TargetMode="External"/><Relationship Id="rId284" Type="http://schemas.openxmlformats.org/officeDocument/2006/relationships/hyperlink" Target="https://bulma.dev/classes/grid/is-offset-0-fullhd" TargetMode="External"/><Relationship Id="rId491" Type="http://schemas.openxmlformats.org/officeDocument/2006/relationships/hyperlink" Target="https://bulma.dev/classes/message/message-body" TargetMode="External"/><Relationship Id="rId505" Type="http://schemas.openxmlformats.org/officeDocument/2006/relationships/hyperlink" Target="https://bulma.dev/classes/navbar/navbar-brand" TargetMode="External"/><Relationship Id="rId37" Type="http://schemas.openxmlformats.org/officeDocument/2006/relationships/hyperlink" Target="https://bulma.dev/classes/button/is-outlined" TargetMode="External"/><Relationship Id="rId79" Type="http://schemas.openxmlformats.org/officeDocument/2006/relationships/hyperlink" Target="https://bulma.dev/classes/colors/has-text-black" TargetMode="External"/><Relationship Id="rId102" Type="http://schemas.openxmlformats.org/officeDocument/2006/relationships/hyperlink" Target="https://bulma.dev/classes/colors/has-text-success-dark" TargetMode="External"/><Relationship Id="rId144" Type="http://schemas.openxmlformats.org/officeDocument/2006/relationships/hyperlink" Target="https://bulma.dev/classes/display/is-flex-touch" TargetMode="External"/><Relationship Id="rId547" Type="http://schemas.openxmlformats.org/officeDocument/2006/relationships/hyperlink" Target="https://bulma.dev/classes/responsive-helpers/is-inline-flex" TargetMode="External"/><Relationship Id="rId589" Type="http://schemas.openxmlformats.org/officeDocument/2006/relationships/hyperlink" Target="https://bulma.dev/classes/tags/tags.are-medium" TargetMode="External"/><Relationship Id="rId90" Type="http://schemas.openxmlformats.org/officeDocument/2006/relationships/hyperlink" Target="https://bulma.dev/classes/colors/has-text-grey-lighter" TargetMode="External"/><Relationship Id="rId186" Type="http://schemas.openxmlformats.org/officeDocument/2006/relationships/hyperlink" Target="https://bulma.dev/classes/display/is-invisible-mobile" TargetMode="External"/><Relationship Id="rId351" Type="http://schemas.openxmlformats.org/officeDocument/2006/relationships/hyperlink" Target="https://bulma.dev/classes/grid/is-offset-two-fifths-widescreen" TargetMode="External"/><Relationship Id="rId393" Type="http://schemas.openxmlformats.org/officeDocument/2006/relationships/hyperlink" Target="https://bulma.dev/classes/grid/is-three-quarters-widescreen" TargetMode="External"/><Relationship Id="rId407" Type="http://schemas.openxmlformats.org/officeDocument/2006/relationships/hyperlink" Target="https://bulma.dev/classes/grid/is-two-thirds-widescreen" TargetMode="External"/><Relationship Id="rId449" Type="http://schemas.openxmlformats.org/officeDocument/2006/relationships/hyperlink" Target="https://bulma.dev/classes/images/image.is-3by1" TargetMode="External"/><Relationship Id="rId614" Type="http://schemas.openxmlformats.org/officeDocument/2006/relationships/hyperlink" Target="https://bulma.dev/classes/text-utilities/has-text-justified-widescreen-only" TargetMode="External"/><Relationship Id="rId656" Type="http://schemas.openxmlformats.org/officeDocument/2006/relationships/hyperlink" Target="https://bulma.dev/classes/text-utilities/is-spaced" TargetMode="External"/><Relationship Id="rId211" Type="http://schemas.openxmlformats.org/officeDocument/2006/relationships/hyperlink" Target="https://bulma.dev/classes/field/field.is-grouped.is-grouped-right" TargetMode="External"/><Relationship Id="rId253" Type="http://schemas.openxmlformats.org/officeDocument/2006/relationships/hyperlink" Target="https://bulma.dev/classes/grid/is-0-widescreen" TargetMode="External"/><Relationship Id="rId295" Type="http://schemas.openxmlformats.org/officeDocument/2006/relationships/hyperlink" Target="https://bulma.dev/classes/grid/is-offset-1-widescreen" TargetMode="External"/><Relationship Id="rId309" Type="http://schemas.openxmlformats.org/officeDocument/2006/relationships/hyperlink" Target="https://bulma.dev/classes/grid/is-offset-half-widescreen" TargetMode="External"/><Relationship Id="rId460" Type="http://schemas.openxmlformats.org/officeDocument/2006/relationships/hyperlink" Target="https://bulma.dev/classes/images/image.is-9by16" TargetMode="External"/><Relationship Id="rId516" Type="http://schemas.openxmlformats.org/officeDocument/2006/relationships/hyperlink" Target="https://bulma.dev/classes/navbar/navbar.is-danger" TargetMode="External"/><Relationship Id="rId48" Type="http://schemas.openxmlformats.org/officeDocument/2006/relationships/hyperlink" Target="https://bulma.dev/classes/colors/has-background-black-bis" TargetMode="External"/><Relationship Id="rId113" Type="http://schemas.openxmlformats.org/officeDocument/2006/relationships/hyperlink" Target="https://bulma.dev/classes/column/column" TargetMode="External"/><Relationship Id="rId320" Type="http://schemas.openxmlformats.org/officeDocument/2006/relationships/hyperlink" Target="https://bulma.dev/classes/grid/is-offset-one-quarter-mobile" TargetMode="External"/><Relationship Id="rId558" Type="http://schemas.openxmlformats.org/officeDocument/2006/relationships/hyperlink" Target="https://bulma.dev/classes/spacing/mr-0" TargetMode="External"/><Relationship Id="rId155" Type="http://schemas.openxmlformats.org/officeDocument/2006/relationships/hyperlink" Target="https://bulma.dev/classes/display/is-hidden-widescreen-only" TargetMode="External"/><Relationship Id="rId197" Type="http://schemas.openxmlformats.org/officeDocument/2006/relationships/hyperlink" Target="https://bulma.dev/classes/dropdown/dropdown.is-active" TargetMode="External"/><Relationship Id="rId362" Type="http://schemas.openxmlformats.org/officeDocument/2006/relationships/hyperlink" Target="https://bulma.dev/classes/grid/is-one-fifth-mobile" TargetMode="External"/><Relationship Id="rId418" Type="http://schemas.openxmlformats.org/officeDocument/2006/relationships/hyperlink" Target="https://bulma.dev/classes/helpers/is-pulled-left" TargetMode="External"/><Relationship Id="rId625" Type="http://schemas.openxmlformats.org/officeDocument/2006/relationships/hyperlink" Target="https://bulma.dev/classes/text-utilities/has-text-right-desktop" TargetMode="External"/><Relationship Id="rId222" Type="http://schemas.openxmlformats.org/officeDocument/2006/relationships/hyperlink" Target="https://bulma.dev/classes/file/file.is-centered" TargetMode="External"/><Relationship Id="rId264" Type="http://schemas.openxmlformats.org/officeDocument/2006/relationships/hyperlink" Target="https://bulma.dev/classes/grid/is-full-mobile" TargetMode="External"/><Relationship Id="rId471" Type="http://schemas.openxmlformats.org/officeDocument/2006/relationships/hyperlink" Target="https://bulma.dev/classes/list/is-lower-alpha" TargetMode="External"/><Relationship Id="rId667" Type="http://schemas.openxmlformats.org/officeDocument/2006/relationships/hyperlink" Target="https://bulma.dev/classes/title-and-subtitle/title.is-*" TargetMode="External"/><Relationship Id="rId17" Type="http://schemas.openxmlformats.org/officeDocument/2006/relationships/hyperlink" Target="https://bulma.dev/classes/button/button.is-info" TargetMode="External"/><Relationship Id="rId59" Type="http://schemas.openxmlformats.org/officeDocument/2006/relationships/hyperlink" Target="https://bulma.dev/classes/colors/has-background-grey-lighter" TargetMode="External"/><Relationship Id="rId124" Type="http://schemas.openxmlformats.org/officeDocument/2006/relationships/hyperlink" Target="https://bulma.dev/classes/containers/content" TargetMode="External"/><Relationship Id="rId527" Type="http://schemas.openxmlformats.org/officeDocument/2006/relationships/hyperlink" Target="https://bulma.dev/classes/notification/notification" TargetMode="External"/><Relationship Id="rId569" Type="http://schemas.openxmlformats.org/officeDocument/2006/relationships/hyperlink" Target="https://bulma.dev/classes/table/table-container" TargetMode="External"/><Relationship Id="rId70" Type="http://schemas.openxmlformats.org/officeDocument/2006/relationships/hyperlink" Target="https://bulma.dev/classes/colors/has-background-success" TargetMode="External"/><Relationship Id="rId166" Type="http://schemas.openxmlformats.org/officeDocument/2006/relationships/hyperlink" Target="https://bulma.dev/classes/display/is-inline-desktop-only" TargetMode="External"/><Relationship Id="rId331" Type="http://schemas.openxmlformats.org/officeDocument/2006/relationships/hyperlink" Target="https://bulma.dev/classes/grid/is-offset-three-fifths" TargetMode="External"/><Relationship Id="rId373" Type="http://schemas.openxmlformats.org/officeDocument/2006/relationships/hyperlink" Target="https://bulma.dev/classes/grid/is-one-third" TargetMode="External"/><Relationship Id="rId429" Type="http://schemas.openxmlformats.org/officeDocument/2006/relationships/hyperlink" Target="https://bulma.dev/classes/hero/hero-video" TargetMode="External"/><Relationship Id="rId580" Type="http://schemas.openxmlformats.org/officeDocument/2006/relationships/hyperlink" Target="https://bulma.dev/classes/tabs/tabs.is-large" TargetMode="External"/><Relationship Id="rId636" Type="http://schemas.openxmlformats.org/officeDocument/2006/relationships/hyperlink" Target="https://bulma.dev/classes/text-utilities/has-text-weight-medium" TargetMode="External"/><Relationship Id="rId1" Type="http://schemas.openxmlformats.org/officeDocument/2006/relationships/hyperlink" Target="https://bulma.dev/classes/breadcrumb/breadcrumb" TargetMode="External"/><Relationship Id="rId233" Type="http://schemas.openxmlformats.org/officeDocument/2006/relationships/hyperlink" Target="https://bulma.dev/classes/forms/input.is-static" TargetMode="External"/><Relationship Id="rId440" Type="http://schemas.openxmlformats.org/officeDocument/2006/relationships/hyperlink" Target="https://bulma.dev/classes/images/image.is-16by9" TargetMode="External"/><Relationship Id="rId28" Type="http://schemas.openxmlformats.org/officeDocument/2006/relationships/hyperlink" Target="https://bulma.dev/classes/button/button.is-success" TargetMode="External"/><Relationship Id="rId275" Type="http://schemas.openxmlformats.org/officeDocument/2006/relationships/hyperlink" Target="https://bulma.dev/classes/grid/is-narrow" TargetMode="External"/><Relationship Id="rId300" Type="http://schemas.openxmlformats.org/officeDocument/2006/relationships/hyperlink" Target="https://bulma.dev/classes/grid/is-offset-four-fifths-tablet" TargetMode="External"/><Relationship Id="rId482" Type="http://schemas.openxmlformats.org/officeDocument/2006/relationships/hyperlink" Target="https://bulma.dev/classes/media/media-right" TargetMode="External"/><Relationship Id="rId538" Type="http://schemas.openxmlformats.org/officeDocument/2006/relationships/hyperlink" Target="https://bulma.dev/classes/panel/panel-heading" TargetMode="External"/><Relationship Id="rId81" Type="http://schemas.openxmlformats.org/officeDocument/2006/relationships/hyperlink" Target="https://bulma.dev/classes/colors/has-text-black-ter" TargetMode="External"/><Relationship Id="rId135" Type="http://schemas.openxmlformats.org/officeDocument/2006/relationships/hyperlink" Target="https://bulma.dev/classes/display/is-block-touch" TargetMode="External"/><Relationship Id="rId177" Type="http://schemas.openxmlformats.org/officeDocument/2006/relationships/hyperlink" Target="https://bulma.dev/classes/display/is-inline-mobile" TargetMode="External"/><Relationship Id="rId342" Type="http://schemas.openxmlformats.org/officeDocument/2006/relationships/hyperlink" Target="https://bulma.dev/classes/grid/is-offset-three-quarters-tablet" TargetMode="External"/><Relationship Id="rId384" Type="http://schemas.openxmlformats.org/officeDocument/2006/relationships/hyperlink" Target="https://bulma.dev/classes/grid/is-three-fifths-tablet" TargetMode="External"/><Relationship Id="rId591" Type="http://schemas.openxmlformats.org/officeDocument/2006/relationships/hyperlink" Target="https://bulma.dev/classes/tags/tags.is-centered" TargetMode="External"/><Relationship Id="rId605" Type="http://schemas.openxmlformats.org/officeDocument/2006/relationships/hyperlink" Target="https://bulma.dev/classes/text-utilities/has-text-justified-desktop-only" TargetMode="External"/><Relationship Id="rId202" Type="http://schemas.openxmlformats.org/officeDocument/2006/relationships/hyperlink" Target="https://bulma.dev/classes/field/field-body" TargetMode="External"/><Relationship Id="rId244" Type="http://schemas.openxmlformats.org/officeDocument/2006/relationships/hyperlink" Target="https://bulma.dev/classes/forms/textarea.has-fixed-size" TargetMode="External"/><Relationship Id="rId647" Type="http://schemas.openxmlformats.org/officeDocument/2006/relationships/hyperlink" Target="https://bulma.dev/classes/text-utilities/is-italic" TargetMode="External"/><Relationship Id="rId39" Type="http://schemas.openxmlformats.org/officeDocument/2006/relationships/hyperlink" Target="https://bulma.dev/classes/card/card-content" TargetMode="External"/><Relationship Id="rId286" Type="http://schemas.openxmlformats.org/officeDocument/2006/relationships/hyperlink" Target="https://bulma.dev/classes/grid/is-offset-0-mobile" TargetMode="External"/><Relationship Id="rId451" Type="http://schemas.openxmlformats.org/officeDocument/2006/relationships/hyperlink" Target="https://bulma.dev/classes/images/image.is-3by4" TargetMode="External"/><Relationship Id="rId493" Type="http://schemas.openxmlformats.org/officeDocument/2006/relationships/hyperlink" Target="https://bulma.dev/classes/modal/modal" TargetMode="External"/><Relationship Id="rId507" Type="http://schemas.openxmlformats.org/officeDocument/2006/relationships/hyperlink" Target="https://bulma.dev/classes/navbar/navbar-divider" TargetMode="External"/><Relationship Id="rId549" Type="http://schemas.openxmlformats.org/officeDocument/2006/relationships/hyperlink" Target="https://bulma.dev/classes/sizing/are-medium" TargetMode="External"/><Relationship Id="rId50" Type="http://schemas.openxmlformats.org/officeDocument/2006/relationships/hyperlink" Target="https://bulma.dev/classes/colors/has-background-danger" TargetMode="External"/><Relationship Id="rId104" Type="http://schemas.openxmlformats.org/officeDocument/2006/relationships/hyperlink" Target="https://bulma.dev/classes/colors/has-text-warning" TargetMode="External"/><Relationship Id="rId146" Type="http://schemas.openxmlformats.org/officeDocument/2006/relationships/hyperlink" Target="https://bulma.dev/classes/display/is-flex-widescreen-only" TargetMode="External"/><Relationship Id="rId188" Type="http://schemas.openxmlformats.org/officeDocument/2006/relationships/hyperlink" Target="https://bulma.dev/classes/display/is-invisible-tablet-only" TargetMode="External"/><Relationship Id="rId311" Type="http://schemas.openxmlformats.org/officeDocument/2006/relationships/hyperlink" Target="https://bulma.dev/classes/grid/is-offset-one-fifth-desktop" TargetMode="External"/><Relationship Id="rId353" Type="http://schemas.openxmlformats.org/officeDocument/2006/relationships/hyperlink" Target="https://bulma.dev/classes/grid/is-offset-two-thirds-desktop" TargetMode="External"/><Relationship Id="rId395" Type="http://schemas.openxmlformats.org/officeDocument/2006/relationships/hyperlink" Target="https://bulma.dev/classes/grid/is-two-fifths-desktop" TargetMode="External"/><Relationship Id="rId409" Type="http://schemas.openxmlformats.org/officeDocument/2006/relationships/hyperlink" Target="https://bulma.dev/classes/grid/is-widescreen" TargetMode="External"/><Relationship Id="rId560" Type="http://schemas.openxmlformats.org/officeDocument/2006/relationships/hyperlink" Target="https://bulma.dev/classes/spacing/mx-0" TargetMode="External"/><Relationship Id="rId92" Type="http://schemas.openxmlformats.org/officeDocument/2006/relationships/hyperlink" Target="https://bulma.dev/classes/colors/has-text-info-dark" TargetMode="External"/><Relationship Id="rId213" Type="http://schemas.openxmlformats.org/officeDocument/2006/relationships/hyperlink" Target="https://bulma.dev/classes/file/file-cta" TargetMode="External"/><Relationship Id="rId420" Type="http://schemas.openxmlformats.org/officeDocument/2006/relationships/hyperlink" Target="https://bulma.dev/classes/helpers/is-radiusless" TargetMode="External"/><Relationship Id="rId616" Type="http://schemas.openxmlformats.org/officeDocument/2006/relationships/hyperlink" Target="https://bulma.dev/classes/text-utilities/has-text-left-desktop" TargetMode="External"/><Relationship Id="rId658" Type="http://schemas.openxmlformats.org/officeDocument/2006/relationships/hyperlink" Target="https://bulma.dev/classes/text-utilities/number" TargetMode="External"/><Relationship Id="rId255" Type="http://schemas.openxmlformats.org/officeDocument/2006/relationships/hyperlink" Target="https://bulma.dev/classes/grid/is-desktop" TargetMode="External"/><Relationship Id="rId297" Type="http://schemas.openxmlformats.org/officeDocument/2006/relationships/hyperlink" Target="https://bulma.dev/classes/grid/is-offset-four-fifths-desktop" TargetMode="External"/><Relationship Id="rId462" Type="http://schemas.openxmlformats.org/officeDocument/2006/relationships/hyperlink" Target="https://bulma.dev/classes/label/label" TargetMode="External"/><Relationship Id="rId518" Type="http://schemas.openxmlformats.org/officeDocument/2006/relationships/hyperlink" Target="https://bulma.dev/classes/navbar/navbar.is-fixed-bottom" TargetMode="External"/><Relationship Id="rId115" Type="http://schemas.openxmlformats.org/officeDocument/2006/relationships/hyperlink" Target="https://bulma.dev/classes/column/columns.is-centered" TargetMode="External"/><Relationship Id="rId157" Type="http://schemas.openxmlformats.org/officeDocument/2006/relationships/hyperlink" Target="https://bulma.dev/classes/display/is-inline-block-desktop-only" TargetMode="External"/><Relationship Id="rId322" Type="http://schemas.openxmlformats.org/officeDocument/2006/relationships/hyperlink" Target="https://bulma.dev/classes/grid/is-offset-one-quarter-touch" TargetMode="External"/><Relationship Id="rId364" Type="http://schemas.openxmlformats.org/officeDocument/2006/relationships/hyperlink" Target="https://bulma.dev/classes/grid/is-one-fifth-touch" TargetMode="External"/><Relationship Id="rId61" Type="http://schemas.openxmlformats.org/officeDocument/2006/relationships/hyperlink" Target="https://bulma.dev/classes/colors/has-background-info-dark" TargetMode="External"/><Relationship Id="rId199" Type="http://schemas.openxmlformats.org/officeDocument/2006/relationships/hyperlink" Target="https://bulma.dev/classes/dropdown/dropdown.is-up" TargetMode="External"/><Relationship Id="rId571" Type="http://schemas.openxmlformats.org/officeDocument/2006/relationships/hyperlink" Target="https://bulma.dev/classes/table/table.is-fullwidth" TargetMode="External"/><Relationship Id="rId627" Type="http://schemas.openxmlformats.org/officeDocument/2006/relationships/hyperlink" Target="https://bulma.dev/classes/text-utilities/has-text-right-fullhd" TargetMode="External"/><Relationship Id="rId19" Type="http://schemas.openxmlformats.org/officeDocument/2006/relationships/hyperlink" Target="https://bulma.dev/classes/button/button.is-light" TargetMode="External"/><Relationship Id="rId224" Type="http://schemas.openxmlformats.org/officeDocument/2006/relationships/hyperlink" Target="https://bulma.dev/classes/file/file.is-right" TargetMode="External"/><Relationship Id="rId266" Type="http://schemas.openxmlformats.org/officeDocument/2006/relationships/hyperlink" Target="https://bulma.dev/classes/grid/is-full-touch" TargetMode="External"/><Relationship Id="rId431" Type="http://schemas.openxmlformats.org/officeDocument/2006/relationships/hyperlink" Target="https://bulma.dev/classes/hero/hero.is-fullheight-with-navbar" TargetMode="External"/><Relationship Id="rId473" Type="http://schemas.openxmlformats.org/officeDocument/2006/relationships/hyperlink" Target="https://bulma.dev/classes/list/is-upper-alpha" TargetMode="External"/><Relationship Id="rId529" Type="http://schemas.openxmlformats.org/officeDocument/2006/relationships/hyperlink" Target="https://bulma.dev/classes/pagination/pagination-ellipsis" TargetMode="External"/><Relationship Id="rId30" Type="http://schemas.openxmlformats.org/officeDocument/2006/relationships/hyperlink" Target="https://bulma.dev/classes/button/button.is-warning" TargetMode="External"/><Relationship Id="rId126" Type="http://schemas.openxmlformats.org/officeDocument/2006/relationships/hyperlink" Target="https://bulma.dev/classes/containers/section" TargetMode="External"/><Relationship Id="rId168" Type="http://schemas.openxmlformats.org/officeDocument/2006/relationships/hyperlink" Target="https://bulma.dev/classes/display/is-inline-flex-desktop-only" TargetMode="External"/><Relationship Id="rId333" Type="http://schemas.openxmlformats.org/officeDocument/2006/relationships/hyperlink" Target="https://bulma.dev/classes/grid/is-offset-three-fifths-fullhd" TargetMode="External"/><Relationship Id="rId540" Type="http://schemas.openxmlformats.org/officeDocument/2006/relationships/hyperlink" Target="https://bulma.dev/classes/panel/panel-list" TargetMode="External"/><Relationship Id="rId72" Type="http://schemas.openxmlformats.org/officeDocument/2006/relationships/hyperlink" Target="https://bulma.dev/classes/colors/has-background-success-light" TargetMode="External"/><Relationship Id="rId375" Type="http://schemas.openxmlformats.org/officeDocument/2006/relationships/hyperlink" Target="https://bulma.dev/classes/grid/is-one-third-fullhd" TargetMode="External"/><Relationship Id="rId582" Type="http://schemas.openxmlformats.org/officeDocument/2006/relationships/hyperlink" Target="https://bulma.dev/classes/tabs/tabs.is-right" TargetMode="External"/><Relationship Id="rId638" Type="http://schemas.openxmlformats.org/officeDocument/2006/relationships/hyperlink" Target="https://bulma.dev/classes/text-utilities/has-text-weight-semibold" TargetMode="External"/><Relationship Id="rId3" Type="http://schemas.openxmlformats.org/officeDocument/2006/relationships/hyperlink" Target="https://bulma.dev/classes/breadcrumb/breadcrumb.has-bullet-separator" TargetMode="External"/><Relationship Id="rId235" Type="http://schemas.openxmlformats.org/officeDocument/2006/relationships/hyperlink" Target="https://bulma.dev/classes/forms/is-focused" TargetMode="External"/><Relationship Id="rId277" Type="http://schemas.openxmlformats.org/officeDocument/2006/relationships/hyperlink" Target="https://bulma.dev/classes/grid/is-narrow-fullhd" TargetMode="External"/><Relationship Id="rId400" Type="http://schemas.openxmlformats.org/officeDocument/2006/relationships/hyperlink" Target="https://bulma.dev/classes/grid/is-two-fifths-widescreen" TargetMode="External"/><Relationship Id="rId442" Type="http://schemas.openxmlformats.org/officeDocument/2006/relationships/hyperlink" Target="https://bulma.dev/classes/images/image.is-1by1" TargetMode="External"/><Relationship Id="rId484" Type="http://schemas.openxmlformats.org/officeDocument/2006/relationships/hyperlink" Target="https://bulma.dev/classes/menu/menu" TargetMode="External"/><Relationship Id="rId137" Type="http://schemas.openxmlformats.org/officeDocument/2006/relationships/hyperlink" Target="https://bulma.dev/classes/display/is-block-widescreen-only" TargetMode="External"/><Relationship Id="rId302" Type="http://schemas.openxmlformats.org/officeDocument/2006/relationships/hyperlink" Target="https://bulma.dev/classes/grid/is-offset-four-fifths-widescreen" TargetMode="External"/><Relationship Id="rId344" Type="http://schemas.openxmlformats.org/officeDocument/2006/relationships/hyperlink" Target="https://bulma.dev/classes/grid/is-offset-three-quarters-widescreen" TargetMode="External"/><Relationship Id="rId41" Type="http://schemas.openxmlformats.org/officeDocument/2006/relationships/hyperlink" Target="https://bulma.dev/classes/card/card-footer-item" TargetMode="External"/><Relationship Id="rId83" Type="http://schemas.openxmlformats.org/officeDocument/2006/relationships/hyperlink" Target="https://bulma.dev/classes/colors/has-text-danger-dark" TargetMode="External"/><Relationship Id="rId179" Type="http://schemas.openxmlformats.org/officeDocument/2006/relationships/hyperlink" Target="https://bulma.dev/classes/display/is-inline-tablet-only" TargetMode="External"/><Relationship Id="rId386" Type="http://schemas.openxmlformats.org/officeDocument/2006/relationships/hyperlink" Target="https://bulma.dev/classes/grid/is-three-fifths-widescreen" TargetMode="External"/><Relationship Id="rId551" Type="http://schemas.openxmlformats.org/officeDocument/2006/relationships/hyperlink" Target="https://bulma.dev/classes/sizing/is-fullheight" TargetMode="External"/><Relationship Id="rId593" Type="http://schemas.openxmlformats.org/officeDocument/2006/relationships/hyperlink" Target="https://bulma.dev/classes/text-utilities/has-text-centered" TargetMode="External"/><Relationship Id="rId607" Type="http://schemas.openxmlformats.org/officeDocument/2006/relationships/hyperlink" Target="https://bulma.dev/classes/text-utilities/has-text-justified-fullhd" TargetMode="External"/><Relationship Id="rId649" Type="http://schemas.openxmlformats.org/officeDocument/2006/relationships/hyperlink" Target="https://bulma.dev/classes/text-utilities/is-size-*" TargetMode="External"/><Relationship Id="rId190" Type="http://schemas.openxmlformats.org/officeDocument/2006/relationships/hyperlink" Target="https://bulma.dev/classes/display/is-invisible-widescreen" TargetMode="External"/><Relationship Id="rId204" Type="http://schemas.openxmlformats.org/officeDocument/2006/relationships/hyperlink" Target="https://bulma.dev/classes/field/field.has-addons" TargetMode="External"/><Relationship Id="rId246" Type="http://schemas.openxmlformats.org/officeDocument/2006/relationships/hyperlink" Target="https://bulma.dev/classes/grid/is-0-desktop" TargetMode="External"/><Relationship Id="rId288" Type="http://schemas.openxmlformats.org/officeDocument/2006/relationships/hyperlink" Target="https://bulma.dev/classes/grid/is-offset-0-touch" TargetMode="External"/><Relationship Id="rId411" Type="http://schemas.openxmlformats.org/officeDocument/2006/relationships/hyperlink" Target="https://bulma.dev/classes/helpers/is-clearfix" TargetMode="External"/><Relationship Id="rId453" Type="http://schemas.openxmlformats.org/officeDocument/2006/relationships/hyperlink" Target="https://bulma.dev/classes/images/image.is-48x48" TargetMode="External"/><Relationship Id="rId509" Type="http://schemas.openxmlformats.org/officeDocument/2006/relationships/hyperlink" Target="https://bulma.dev/classes/navbar/navbar-end" TargetMode="External"/><Relationship Id="rId660" Type="http://schemas.openxmlformats.org/officeDocument/2006/relationships/hyperlink" Target="https://bulma.dev/classes/tile/tile.is-ancestor" TargetMode="External"/><Relationship Id="rId106" Type="http://schemas.openxmlformats.org/officeDocument/2006/relationships/hyperlink" Target="https://bulma.dev/classes/colors/has-text-warning-light" TargetMode="External"/><Relationship Id="rId313" Type="http://schemas.openxmlformats.org/officeDocument/2006/relationships/hyperlink" Target="https://bulma.dev/classes/grid/is-offset-one-fifth-mobile" TargetMode="External"/><Relationship Id="rId495" Type="http://schemas.openxmlformats.org/officeDocument/2006/relationships/hyperlink" Target="https://bulma.dev/classes/modal/modal-card" TargetMode="External"/><Relationship Id="rId10" Type="http://schemas.openxmlformats.org/officeDocument/2006/relationships/hyperlink" Target="https://bulma.dev/classes/breadcrumb/breadcrumb.is-small" TargetMode="External"/><Relationship Id="rId52" Type="http://schemas.openxmlformats.org/officeDocument/2006/relationships/hyperlink" Target="https://bulma.dev/classes/colors/has-background-danger-light" TargetMode="External"/><Relationship Id="rId94" Type="http://schemas.openxmlformats.org/officeDocument/2006/relationships/hyperlink" Target="https://bulma.dev/classes/colors/has-text-light" TargetMode="External"/><Relationship Id="rId148" Type="http://schemas.openxmlformats.org/officeDocument/2006/relationships/hyperlink" Target="https://bulma.dev/classes/display/is-hidden-desktop-only" TargetMode="External"/><Relationship Id="rId355" Type="http://schemas.openxmlformats.org/officeDocument/2006/relationships/hyperlink" Target="https://bulma.dev/classes/grid/is-offset-two-thirds-desktop-tablet" TargetMode="External"/><Relationship Id="rId397" Type="http://schemas.openxmlformats.org/officeDocument/2006/relationships/hyperlink" Target="https://bulma.dev/classes/grid/is-two-fifths-mobile" TargetMode="External"/><Relationship Id="rId520" Type="http://schemas.openxmlformats.org/officeDocument/2006/relationships/hyperlink" Target="https://bulma.dev/classes/navbar/navbar.is-info" TargetMode="External"/><Relationship Id="rId562" Type="http://schemas.openxmlformats.org/officeDocument/2006/relationships/hyperlink" Target="https://bulma.dev/classes/spacing/pb-0" TargetMode="External"/><Relationship Id="rId618" Type="http://schemas.openxmlformats.org/officeDocument/2006/relationships/hyperlink" Target="https://bulma.dev/classes/text-utilities/has-text-left-fullhd" TargetMode="External"/><Relationship Id="rId215" Type="http://schemas.openxmlformats.org/officeDocument/2006/relationships/hyperlink" Target="https://bulma.dev/classes/file/file-input" TargetMode="External"/><Relationship Id="rId257" Type="http://schemas.openxmlformats.org/officeDocument/2006/relationships/hyperlink" Target="https://bulma.dev/classes/grid/is-four-fifths-desktop" TargetMode="External"/><Relationship Id="rId422" Type="http://schemas.openxmlformats.org/officeDocument/2006/relationships/hyperlink" Target="https://bulma.dev/classes/helpers/is-shadowless" TargetMode="External"/><Relationship Id="rId464" Type="http://schemas.openxmlformats.org/officeDocument/2006/relationships/hyperlink" Target="https://bulma.dev/classes/label/label.is-medium" TargetMode="External"/><Relationship Id="rId299" Type="http://schemas.openxmlformats.org/officeDocument/2006/relationships/hyperlink" Target="https://bulma.dev/classes/grid/is-offset-four-fifths-mobile" TargetMode="External"/><Relationship Id="rId63" Type="http://schemas.openxmlformats.org/officeDocument/2006/relationships/hyperlink" Target="https://bulma.dev/classes/colors/has-background-light" TargetMode="External"/><Relationship Id="rId159" Type="http://schemas.openxmlformats.org/officeDocument/2006/relationships/hyperlink" Target="https://bulma.dev/classes/display/is-inline-block-mobile" TargetMode="External"/><Relationship Id="rId366" Type="http://schemas.openxmlformats.org/officeDocument/2006/relationships/hyperlink" Target="https://bulma.dev/classes/grid/is-one-quarter" TargetMode="External"/><Relationship Id="rId573" Type="http://schemas.openxmlformats.org/officeDocument/2006/relationships/hyperlink" Target="https://bulma.dev/classes/table/table.is-hoverable.is-striped" TargetMode="External"/><Relationship Id="rId226" Type="http://schemas.openxmlformats.org/officeDocument/2006/relationships/hyperlink" Target="https://bulma.dev/classes/forms/control" TargetMode="External"/><Relationship Id="rId433" Type="http://schemas.openxmlformats.org/officeDocument/2006/relationships/hyperlink" Target="https://bulma.dev/classes/hero/hero.is-small" TargetMode="External"/><Relationship Id="rId640" Type="http://schemas.openxmlformats.org/officeDocument/2006/relationships/hyperlink" Target="https://bulma.dev/classes/text-utilities/highlight" TargetMode="External"/><Relationship Id="rId74" Type="http://schemas.openxmlformats.org/officeDocument/2006/relationships/hyperlink" Target="https://bulma.dev/classes/colors/has-background-warning-dark" TargetMode="External"/><Relationship Id="rId377" Type="http://schemas.openxmlformats.org/officeDocument/2006/relationships/hyperlink" Target="https://bulma.dev/classes/grid/is-one-third-tablet" TargetMode="External"/><Relationship Id="rId500" Type="http://schemas.openxmlformats.org/officeDocument/2006/relationships/hyperlink" Target="https://bulma.dev/classes/modal/modal-close" TargetMode="External"/><Relationship Id="rId584" Type="http://schemas.openxmlformats.org/officeDocument/2006/relationships/hyperlink" Target="https://bulma.dev/classes/tabs/tabs.is-toggle" TargetMode="External"/><Relationship Id="rId5" Type="http://schemas.openxmlformats.org/officeDocument/2006/relationships/hyperlink" Target="https://bulma.dev/classes/breadcrumb/breadcrumb.has-succeeds-separator" TargetMode="External"/><Relationship Id="rId237" Type="http://schemas.openxmlformats.org/officeDocument/2006/relationships/hyperlink" Target="https://bulma.dev/classes/forms/is-left" TargetMode="External"/><Relationship Id="rId444" Type="http://schemas.openxmlformats.org/officeDocument/2006/relationships/hyperlink" Target="https://bulma.dev/classes/images/image.is-1by3" TargetMode="External"/><Relationship Id="rId651" Type="http://schemas.openxmlformats.org/officeDocument/2006/relationships/hyperlink" Target="https://bulma.dev/classes/text-utilities/is-size-1-fullhd" TargetMode="External"/><Relationship Id="rId290" Type="http://schemas.openxmlformats.org/officeDocument/2006/relationships/hyperlink" Target="https://bulma.dev/classes/grid/is-offset-1" TargetMode="External"/><Relationship Id="rId304" Type="http://schemas.openxmlformats.org/officeDocument/2006/relationships/hyperlink" Target="https://bulma.dev/classes/grid/is-offset-half-desktop" TargetMode="External"/><Relationship Id="rId388" Type="http://schemas.openxmlformats.org/officeDocument/2006/relationships/hyperlink" Target="https://bulma.dev/classes/grid/is-three-quarters-desktop" TargetMode="External"/><Relationship Id="rId511" Type="http://schemas.openxmlformats.org/officeDocument/2006/relationships/hyperlink" Target="https://bulma.dev/classes/navbar/navbar-link" TargetMode="External"/><Relationship Id="rId609" Type="http://schemas.openxmlformats.org/officeDocument/2006/relationships/hyperlink" Target="https://bulma.dev/classes/text-utilities/has-text-justified-mobile" TargetMode="External"/><Relationship Id="rId85" Type="http://schemas.openxmlformats.org/officeDocument/2006/relationships/hyperlink" Target="https://bulma.dev/classes/colors/has-text-dark" TargetMode="External"/><Relationship Id="rId150" Type="http://schemas.openxmlformats.org/officeDocument/2006/relationships/hyperlink" Target="https://bulma.dev/classes/display/is-hidden-mobile" TargetMode="External"/><Relationship Id="rId595" Type="http://schemas.openxmlformats.org/officeDocument/2006/relationships/hyperlink" Target="https://bulma.dev/classes/text-utilities/has-text-centered-desktop-only" TargetMode="External"/><Relationship Id="rId248" Type="http://schemas.openxmlformats.org/officeDocument/2006/relationships/hyperlink" Target="https://bulma.dev/classes/grid/is-0-fullhd" TargetMode="External"/><Relationship Id="rId455" Type="http://schemas.openxmlformats.org/officeDocument/2006/relationships/hyperlink" Target="https://bulma.dev/classes/images/image.is-4by5" TargetMode="External"/><Relationship Id="rId662" Type="http://schemas.openxmlformats.org/officeDocument/2006/relationships/hyperlink" Target="https://bulma.dev/classes/tile/tile.is-parent" TargetMode="External"/><Relationship Id="rId12" Type="http://schemas.openxmlformats.org/officeDocument/2006/relationships/hyperlink" Target="https://bulma.dev/classes/button/button" TargetMode="External"/><Relationship Id="rId108" Type="http://schemas.openxmlformats.org/officeDocument/2006/relationships/hyperlink" Target="https://bulma.dev/classes/colors/has-text-white-bis" TargetMode="External"/><Relationship Id="rId315" Type="http://schemas.openxmlformats.org/officeDocument/2006/relationships/hyperlink" Target="https://bulma.dev/classes/grid/is-offset-one-fifth-touch" TargetMode="External"/><Relationship Id="rId522" Type="http://schemas.openxmlformats.org/officeDocument/2006/relationships/hyperlink" Target="https://bulma.dev/classes/navbar/navbar.is-link" TargetMode="External"/><Relationship Id="rId96" Type="http://schemas.openxmlformats.org/officeDocument/2006/relationships/hyperlink" Target="https://bulma.dev/classes/colors/has-text-link-dark" TargetMode="External"/><Relationship Id="rId161" Type="http://schemas.openxmlformats.org/officeDocument/2006/relationships/hyperlink" Target="https://bulma.dev/classes/display/is-inline-block-tablet-only" TargetMode="External"/><Relationship Id="rId399" Type="http://schemas.openxmlformats.org/officeDocument/2006/relationships/hyperlink" Target="https://bulma.dev/classes/grid/is-two-fifths-touch" TargetMode="External"/><Relationship Id="rId259" Type="http://schemas.openxmlformats.org/officeDocument/2006/relationships/hyperlink" Target="https://bulma.dev/classes/grid/is-four-fifths-mobile" TargetMode="External"/><Relationship Id="rId466" Type="http://schemas.openxmlformats.org/officeDocument/2006/relationships/hyperlink" Target="https://bulma.dev/classes/level/level" TargetMode="External"/><Relationship Id="rId23" Type="http://schemas.openxmlformats.org/officeDocument/2006/relationships/hyperlink" Target="https://bulma.dev/classes/button/button.is-normal" TargetMode="External"/><Relationship Id="rId119" Type="http://schemas.openxmlformats.org/officeDocument/2006/relationships/hyperlink" Target="https://bulma.dev/classes/column/columns.is-variable" TargetMode="External"/><Relationship Id="rId326" Type="http://schemas.openxmlformats.org/officeDocument/2006/relationships/hyperlink" Target="https://bulma.dev/classes/grid/is-offset-one-third-fullhd" TargetMode="External"/><Relationship Id="rId533" Type="http://schemas.openxmlformats.org/officeDocument/2006/relationships/hyperlink" Target="https://bulma.dev/classes/pagination/pagination-next" TargetMode="External"/><Relationship Id="rId172" Type="http://schemas.openxmlformats.org/officeDocument/2006/relationships/hyperlink" Target="https://bulma.dev/classes/display/is-inline-flex-tablet-only" TargetMode="External"/><Relationship Id="rId477" Type="http://schemas.openxmlformats.org/officeDocument/2006/relationships/hyperlink" Target="https://bulma.dev/classes/list/list-item.is-active" TargetMode="External"/><Relationship Id="rId600" Type="http://schemas.openxmlformats.org/officeDocument/2006/relationships/hyperlink" Target="https://bulma.dev/classes/text-utilities/has-text-centered-tablet-widescreen" TargetMode="External"/><Relationship Id="rId337" Type="http://schemas.openxmlformats.org/officeDocument/2006/relationships/hyperlink" Target="https://bulma.dev/classes/grid/is-offset-three-fifths-widescreen" TargetMode="External"/><Relationship Id="rId34" Type="http://schemas.openxmlformats.org/officeDocument/2006/relationships/hyperlink" Target="https://bulma.dev/classes/button/buttons.is-centered" TargetMode="External"/><Relationship Id="rId544" Type="http://schemas.openxmlformats.org/officeDocument/2006/relationships/hyperlink" Target="https://bulma.dev/classes/responsive-helpers/is-flex" TargetMode="External"/><Relationship Id="rId183" Type="http://schemas.openxmlformats.org/officeDocument/2006/relationships/hyperlink" Target="https://bulma.dev/classes/display/is-invisible-desktop" TargetMode="External"/><Relationship Id="rId390" Type="http://schemas.openxmlformats.org/officeDocument/2006/relationships/hyperlink" Target="https://bulma.dev/classes/grid/is-three-quarters-mobile" TargetMode="External"/><Relationship Id="rId404" Type="http://schemas.openxmlformats.org/officeDocument/2006/relationships/hyperlink" Target="https://bulma.dev/classes/grid/is-two-thirds-mobile" TargetMode="External"/><Relationship Id="rId611" Type="http://schemas.openxmlformats.org/officeDocument/2006/relationships/hyperlink" Target="https://bulma.dev/classes/text-utilities/has-text-justified-tablet-only" TargetMode="External"/><Relationship Id="rId250" Type="http://schemas.openxmlformats.org/officeDocument/2006/relationships/hyperlink" Target="https://bulma.dev/classes/grid/is-0-tablet" TargetMode="External"/><Relationship Id="rId488" Type="http://schemas.openxmlformats.org/officeDocument/2006/relationships/hyperlink" Target="https://bulma.dev/classes/menu/menu.is-medium" TargetMode="External"/><Relationship Id="rId45" Type="http://schemas.openxmlformats.org/officeDocument/2006/relationships/hyperlink" Target="https://bulma.dev/classes/card/card-header-title.is-centered" TargetMode="External"/><Relationship Id="rId110" Type="http://schemas.openxmlformats.org/officeDocument/2006/relationships/hyperlink" Target="https://bulma.dev/classes/colors/is-info" TargetMode="External"/><Relationship Id="rId348" Type="http://schemas.openxmlformats.org/officeDocument/2006/relationships/hyperlink" Target="https://bulma.dev/classes/grid/is-offset-two-fifths-mobile" TargetMode="External"/><Relationship Id="rId555" Type="http://schemas.openxmlformats.org/officeDocument/2006/relationships/hyperlink" Target="https://bulma.dev/classes/spacing/is-size-1" TargetMode="External"/><Relationship Id="rId194" Type="http://schemas.openxmlformats.org/officeDocument/2006/relationships/hyperlink" Target="https://bulma.dev/classes/dropdown/dropdown-divider" TargetMode="External"/><Relationship Id="rId208" Type="http://schemas.openxmlformats.org/officeDocument/2006/relationships/hyperlink" Target="https://bulma.dev/classes/field/field.is-grouped" TargetMode="External"/><Relationship Id="rId415" Type="http://schemas.openxmlformats.org/officeDocument/2006/relationships/hyperlink" Target="https://bulma.dev/classes/helpers/is-marginless" TargetMode="External"/><Relationship Id="rId622" Type="http://schemas.openxmlformats.org/officeDocument/2006/relationships/hyperlink" Target="https://bulma.dev/classes/text-utilities/has-text-left-widescreen" TargetMode="External"/><Relationship Id="rId261" Type="http://schemas.openxmlformats.org/officeDocument/2006/relationships/hyperlink" Target="https://bulma.dev/classes/grid/is-four-fifths-widescreen" TargetMode="External"/><Relationship Id="rId499" Type="http://schemas.openxmlformats.org/officeDocument/2006/relationships/hyperlink" Target="https://bulma.dev/classes/modal/modal-card-title" TargetMode="External"/><Relationship Id="rId56" Type="http://schemas.openxmlformats.org/officeDocument/2006/relationships/hyperlink" Target="https://bulma.dev/classes/colors/has-background-grey-dark" TargetMode="External"/><Relationship Id="rId359" Type="http://schemas.openxmlformats.org/officeDocument/2006/relationships/hyperlink" Target="https://bulma.dev/classes/grid/is-one-fifth" TargetMode="External"/><Relationship Id="rId566" Type="http://schemas.openxmlformats.org/officeDocument/2006/relationships/hyperlink" Target="https://bulma.dev/classes/spacing/py-0" TargetMode="External"/><Relationship Id="rId121" Type="http://schemas.openxmlformats.org/officeDocument/2006/relationships/hyperlink" Target="https://bulma.dev/classes/container/is-fluid" TargetMode="External"/><Relationship Id="rId219" Type="http://schemas.openxmlformats.org/officeDocument/2006/relationships/hyperlink" Target="https://bulma.dev/classes/file/file.has-name.is-empty" TargetMode="External"/><Relationship Id="rId426" Type="http://schemas.openxmlformats.org/officeDocument/2006/relationships/hyperlink" Target="https://bulma.dev/classes/hero/hero-body" TargetMode="External"/><Relationship Id="rId633" Type="http://schemas.openxmlformats.org/officeDocument/2006/relationships/hyperlink" Target="https://bulma.dev/classes/text-utilities/has-text-right-widescreen-only" TargetMode="External"/><Relationship Id="rId67" Type="http://schemas.openxmlformats.org/officeDocument/2006/relationships/hyperlink" Target="https://bulma.dev/classes/colors/has-background-primary" TargetMode="External"/><Relationship Id="rId272" Type="http://schemas.openxmlformats.org/officeDocument/2006/relationships/hyperlink" Target="https://bulma.dev/classes/grid/is-half-tablet" TargetMode="External"/><Relationship Id="rId577" Type="http://schemas.openxmlformats.org/officeDocument/2006/relationships/hyperlink" Target="https://bulma.dev/classes/tabs/tabs.is-boxed" TargetMode="External"/><Relationship Id="rId132" Type="http://schemas.openxmlformats.org/officeDocument/2006/relationships/hyperlink" Target="https://bulma.dev/classes/display/is-block-mobile" TargetMode="External"/><Relationship Id="rId437" Type="http://schemas.openxmlformats.org/officeDocument/2006/relationships/hyperlink" Target="https://bulma.dev/classes/images/has-ratio" TargetMode="External"/><Relationship Id="rId644" Type="http://schemas.openxmlformats.org/officeDocument/2006/relationships/hyperlink" Target="https://bulma.dev/classes/text-utilities/is-family-primary" TargetMode="External"/><Relationship Id="rId283" Type="http://schemas.openxmlformats.org/officeDocument/2006/relationships/hyperlink" Target="https://bulma.dev/classes/grid/is-offset-0-desktop" TargetMode="External"/><Relationship Id="rId490" Type="http://schemas.openxmlformats.org/officeDocument/2006/relationships/hyperlink" Target="https://bulma.dev/classes/message/message" TargetMode="External"/><Relationship Id="rId504" Type="http://schemas.openxmlformats.org/officeDocument/2006/relationships/hyperlink" Target="https://bulma.dev/classes/navbar/navbar" TargetMode="External"/><Relationship Id="rId78" Type="http://schemas.openxmlformats.org/officeDocument/2006/relationships/hyperlink" Target="https://bulma.dev/classes/colors/has-background-white-ter" TargetMode="External"/><Relationship Id="rId143" Type="http://schemas.openxmlformats.org/officeDocument/2006/relationships/hyperlink" Target="https://bulma.dev/classes/display/is-flex-tablet-only" TargetMode="External"/><Relationship Id="rId350" Type="http://schemas.openxmlformats.org/officeDocument/2006/relationships/hyperlink" Target="https://bulma.dev/classes/grid/is-offset-two-fifths-touch" TargetMode="External"/><Relationship Id="rId588" Type="http://schemas.openxmlformats.org/officeDocument/2006/relationships/hyperlink" Target="https://bulma.dev/classes/tags/tags.are-large" TargetMode="External"/><Relationship Id="rId9" Type="http://schemas.openxmlformats.org/officeDocument/2006/relationships/hyperlink" Target="https://bulma.dev/classes/breadcrumb/breadcrumb.is-right" TargetMode="External"/><Relationship Id="rId210" Type="http://schemas.openxmlformats.org/officeDocument/2006/relationships/hyperlink" Target="https://bulma.dev/classes/field/field.is-grouped.is-grouped-multiline" TargetMode="External"/><Relationship Id="rId448" Type="http://schemas.openxmlformats.org/officeDocument/2006/relationships/hyperlink" Target="https://bulma.dev/classes/images/image.is-32x32" TargetMode="External"/><Relationship Id="rId655" Type="http://schemas.openxmlformats.org/officeDocument/2006/relationships/hyperlink" Target="https://bulma.dev/classes/text-utilities/is-size-1-widescreen" TargetMode="External"/><Relationship Id="rId294" Type="http://schemas.openxmlformats.org/officeDocument/2006/relationships/hyperlink" Target="https://bulma.dev/classes/grid/is-offset-1-touch" TargetMode="External"/><Relationship Id="rId308" Type="http://schemas.openxmlformats.org/officeDocument/2006/relationships/hyperlink" Target="https://bulma.dev/classes/grid/is-offset-half-touch" TargetMode="External"/><Relationship Id="rId515" Type="http://schemas.openxmlformats.org/officeDocument/2006/relationships/hyperlink" Target="https://bulma.dev/classes/navbar/navbar.is-black" TargetMode="External"/><Relationship Id="rId89" Type="http://schemas.openxmlformats.org/officeDocument/2006/relationships/hyperlink" Target="https://bulma.dev/classes/colors/has-text-grey-light" TargetMode="External"/><Relationship Id="rId154" Type="http://schemas.openxmlformats.org/officeDocument/2006/relationships/hyperlink" Target="https://bulma.dev/classes/display/is-hidden-widescreen" TargetMode="External"/><Relationship Id="rId361" Type="http://schemas.openxmlformats.org/officeDocument/2006/relationships/hyperlink" Target="https://bulma.dev/classes/grid/is-one-fifth-fullhd" TargetMode="External"/><Relationship Id="rId599" Type="http://schemas.openxmlformats.org/officeDocument/2006/relationships/hyperlink" Target="https://bulma.dev/classes/text-utilities/has-text-centered-tablet-only" TargetMode="External"/><Relationship Id="rId459" Type="http://schemas.openxmlformats.org/officeDocument/2006/relationships/hyperlink" Target="https://bulma.dev/classes/images/image.is-96x96" TargetMode="External"/><Relationship Id="rId666" Type="http://schemas.openxmlformats.org/officeDocument/2006/relationships/hyperlink" Target="https://bulma.dev/classes/title-and-subtitle/title" TargetMode="External"/><Relationship Id="rId16" Type="http://schemas.openxmlformats.org/officeDocument/2006/relationships/hyperlink" Target="https://bulma.dev/classes/button/button.is-fullwidth" TargetMode="External"/><Relationship Id="rId221" Type="http://schemas.openxmlformats.org/officeDocument/2006/relationships/hyperlink" Target="https://bulma.dev/classes/file/file.is-boxed.has-name" TargetMode="External"/><Relationship Id="rId319" Type="http://schemas.openxmlformats.org/officeDocument/2006/relationships/hyperlink" Target="https://bulma.dev/classes/grid/is-offset-one-quarter-fullhd" TargetMode="External"/><Relationship Id="rId526" Type="http://schemas.openxmlformats.org/officeDocument/2006/relationships/hyperlink" Target="https://bulma.dev/classes/navbar/navbar.is-white" TargetMode="External"/><Relationship Id="rId165" Type="http://schemas.openxmlformats.org/officeDocument/2006/relationships/hyperlink" Target="https://bulma.dev/classes/display/is-inline-desktop" TargetMode="External"/><Relationship Id="rId372" Type="http://schemas.openxmlformats.org/officeDocument/2006/relationships/hyperlink" Target="https://bulma.dev/classes/grid/is-one-quarter-widescreen" TargetMode="External"/><Relationship Id="rId232" Type="http://schemas.openxmlformats.org/officeDocument/2006/relationships/hyperlink" Target="https://bulma.dev/classes/forms/input.is-rounded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bootstrapshuffle.com/classes/tooltips/tooltip" TargetMode="External"/><Relationship Id="rId2" Type="http://schemas.openxmlformats.org/officeDocument/2006/relationships/hyperlink" Target="https://bootstrapshuffle.com/classes/toasts/toast" TargetMode="External"/><Relationship Id="rId1" Type="http://schemas.openxmlformats.org/officeDocument/2006/relationships/hyperlink" Target="https://bootstrapshuffle.com/classes/scrollspy/data-spy" TargetMode="External"/><Relationship Id="rId4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tailwind.build/classes/sizing/h-11" TargetMode="External"/><Relationship Id="rId1" Type="http://schemas.openxmlformats.org/officeDocument/2006/relationships/hyperlink" Target="https://tailwind.build/classes/opacity/opacity-1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https://developer.mozilla.org/en-US/docs/Web/HTML/Element/abbr" TargetMode="External"/><Relationship Id="rId1" Type="http://schemas.openxmlformats.org/officeDocument/2006/relationships/hyperlink" Target="https://www.w3.org/TR/html52/textlevel-semantics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2FE9-D305-EE4D-8C3B-8FD3702344F5}">
  <dimension ref="A1:AU3450"/>
  <sheetViews>
    <sheetView tabSelected="1" topLeftCell="I1680" workbookViewId="0">
      <selection activeCell="M1694" sqref="M1694"/>
    </sheetView>
  </sheetViews>
  <sheetFormatPr baseColWidth="10" defaultRowHeight="16"/>
  <cols>
    <col min="1" max="1" width="11.83203125" customWidth="1"/>
    <col min="2" max="3" width="10" customWidth="1"/>
    <col min="4" max="4" width="29" bestFit="1" customWidth="1"/>
    <col min="5" max="5" width="18.5" bestFit="1" customWidth="1"/>
    <col min="6" max="9" width="10" customWidth="1"/>
    <col min="10" max="10" width="43" bestFit="1" customWidth="1"/>
    <col min="11" max="11" width="36.33203125" customWidth="1"/>
    <col min="12" max="12" width="10" customWidth="1"/>
    <col min="13" max="13" width="16.1640625" customWidth="1"/>
    <col min="14" max="15" width="10" customWidth="1"/>
    <col min="16" max="16" width="35" customWidth="1"/>
    <col min="17" max="17" width="18.6640625" bestFit="1" customWidth="1"/>
    <col min="18" max="21" width="10" customWidth="1"/>
    <col min="22" max="27" width="6" customWidth="1"/>
    <col min="28" max="29" width="8.6640625" customWidth="1"/>
    <col min="30" max="30" width="12.6640625" customWidth="1"/>
    <col min="31" max="31" width="14" customWidth="1"/>
    <col min="32" max="32" width="10" customWidth="1"/>
    <col min="33" max="33" width="23.5" customWidth="1"/>
    <col min="34" max="37" width="10" customWidth="1"/>
    <col min="40" max="40" width="26.1640625" bestFit="1" customWidth="1"/>
    <col min="41" max="41" width="26.5" customWidth="1"/>
    <col min="42" max="42" width="20.33203125" customWidth="1"/>
    <col min="43" max="43" width="40" bestFit="1" customWidth="1"/>
  </cols>
  <sheetData>
    <row r="1" spans="1:47">
      <c r="AF1" t="s">
        <v>469</v>
      </c>
      <c r="AL1" t="s">
        <v>3213</v>
      </c>
    </row>
    <row r="2" spans="1:47">
      <c r="A2" s="1" t="s">
        <v>3154</v>
      </c>
      <c r="B2" s="1" t="s">
        <v>3365</v>
      </c>
      <c r="C2" s="7" t="s">
        <v>3020</v>
      </c>
      <c r="D2" s="1" t="s">
        <v>3366</v>
      </c>
      <c r="E2" s="1" t="s">
        <v>3367</v>
      </c>
      <c r="F2" s="1" t="s">
        <v>3152</v>
      </c>
      <c r="G2" s="1" t="s">
        <v>2984</v>
      </c>
      <c r="H2" s="1" t="s">
        <v>2985</v>
      </c>
      <c r="I2" s="1" t="s">
        <v>3153</v>
      </c>
      <c r="J2" s="1" t="s">
        <v>332</v>
      </c>
      <c r="K2" s="1" t="s">
        <v>618</v>
      </c>
      <c r="L2" s="1" t="s">
        <v>1</v>
      </c>
      <c r="M2" s="7" t="s">
        <v>3169</v>
      </c>
      <c r="N2" s="7" t="s">
        <v>1143</v>
      </c>
      <c r="O2" s="7" t="s">
        <v>3210</v>
      </c>
      <c r="P2" s="7" t="s">
        <v>3368</v>
      </c>
      <c r="Q2" s="7" t="s">
        <v>3177</v>
      </c>
      <c r="R2" s="1" t="s">
        <v>99</v>
      </c>
      <c r="S2" s="1" t="s">
        <v>101</v>
      </c>
      <c r="T2" s="1" t="s">
        <v>316</v>
      </c>
      <c r="U2" s="7" t="s">
        <v>3175</v>
      </c>
      <c r="V2" s="7" t="s">
        <v>3176</v>
      </c>
      <c r="W2" s="7" t="s">
        <v>3200</v>
      </c>
      <c r="X2" s="7" t="s">
        <v>7392</v>
      </c>
      <c r="Y2" s="7" t="s">
        <v>3181</v>
      </c>
      <c r="Z2" s="7" t="s">
        <v>3171</v>
      </c>
      <c r="AA2" s="7" t="s">
        <v>3172</v>
      </c>
      <c r="AB2" s="7" t="s">
        <v>4562</v>
      </c>
      <c r="AC2" s="7" t="s">
        <v>3500</v>
      </c>
      <c r="AD2" s="7" t="s">
        <v>6189</v>
      </c>
      <c r="AE2" s="61" t="s">
        <v>10119</v>
      </c>
      <c r="AF2" s="7" t="s">
        <v>3369</v>
      </c>
      <c r="AG2" s="7" t="s">
        <v>3370</v>
      </c>
      <c r="AH2" s="7" t="s">
        <v>3364</v>
      </c>
      <c r="AI2" s="7" t="s">
        <v>3010</v>
      </c>
      <c r="AJ2" s="7" t="s">
        <v>3363</v>
      </c>
      <c r="AK2" s="7" t="s">
        <v>3011</v>
      </c>
      <c r="AL2" s="7" t="s">
        <v>3239</v>
      </c>
      <c r="AM2" s="7" t="s">
        <v>3213</v>
      </c>
      <c r="AN2" s="1" t="s">
        <v>3</v>
      </c>
      <c r="AO2" s="1" t="s">
        <v>4</v>
      </c>
      <c r="AP2" s="1" t="s">
        <v>5</v>
      </c>
      <c r="AQ2" s="1" t="s">
        <v>2</v>
      </c>
      <c r="AR2" s="1" t="s">
        <v>518</v>
      </c>
      <c r="AS2" s="1" t="s">
        <v>7398</v>
      </c>
      <c r="AT2" s="1" t="s">
        <v>7399</v>
      </c>
      <c r="AU2" s="1" t="s">
        <v>7407</v>
      </c>
    </row>
    <row r="3" spans="1:47">
      <c r="E3" s="76"/>
      <c r="F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" s="13"/>
      <c r="H3" s="13"/>
      <c r="I3" s="12">
        <f>Table1[[#This Row],[type]]</f>
        <v>0</v>
      </c>
      <c r="J3" s="62" t="str">
        <f>Table1[[#This Row],[Column42]]&amp;IF(Table1[[#This Row],[Column13]]="","",Table1[[#This Row],[Column13]])&amp;IF(Table1[[#This Row],[mod]]="","",Table1[[#This Row],[mod]])</f>
        <v>__&lt;aside&gt;</v>
      </c>
      <c r="K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__&lt;aside&gt;</v>
      </c>
      <c r="O3" t="s">
        <v>116</v>
      </c>
      <c r="Q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" s="80"/>
      <c r="AC3" s="25"/>
      <c r="AD3" s="41"/>
      <c r="AE3" s="41"/>
      <c r="AF3" s="11" t="s">
        <v>116</v>
      </c>
      <c r="AH3" s="1" t="str">
        <f>Table1[[#This Row],[html_tag]]&amp;Table1[[#This Row],[html_type]]&amp;Table1[[#This Row],[html_modifier]]</f>
        <v>&lt;aside&gt;</v>
      </c>
      <c r="AI3" t="s">
        <v>116</v>
      </c>
      <c r="AL3" s="22" t="str">
        <f>IFERROR(_xlfn.XLOOKUP(Table1[[#This Row],[word]],Table57[English style name],Table57[Style type]),"")</f>
        <v/>
      </c>
      <c r="AM3" s="20"/>
      <c r="AN3" s="11"/>
    </row>
    <row r="4" spans="1:47">
      <c r="E4" s="76"/>
      <c r="F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" s="13"/>
      <c r="H4" s="13"/>
      <c r="I4" s="12">
        <f>Table1[[#This Row],[type]]</f>
        <v>0</v>
      </c>
      <c r="J4" s="62" t="str">
        <f>Table1[[#This Row],[Column42]]&amp;IF(Table1[[#This Row],[Column13]]="","",Table1[[#This Row],[Column13]])&amp;IF(Table1[[#This Row],[mod]]="","",Table1[[#This Row],[mod]])</f>
        <v>__&lt;audio&gt;</v>
      </c>
      <c r="K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__&lt;audio&gt;</v>
      </c>
      <c r="O4" t="s">
        <v>118</v>
      </c>
      <c r="Q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" s="80"/>
      <c r="AC4" s="25"/>
      <c r="AD4" s="41"/>
      <c r="AE4" s="41"/>
      <c r="AF4" s="11" t="s">
        <v>118</v>
      </c>
      <c r="AH4" s="1" t="str">
        <f>Table1[[#This Row],[html_tag]]&amp;Table1[[#This Row],[html_type]]&amp;Table1[[#This Row],[html_modifier]]</f>
        <v>&lt;audio&gt;</v>
      </c>
      <c r="AI4" t="s">
        <v>118</v>
      </c>
      <c r="AL4" s="22" t="str">
        <f>IFERROR(_xlfn.XLOOKUP(Table1[[#This Row],[word]],Table57[English style name],Table57[Style type]),"")</f>
        <v/>
      </c>
      <c r="AM4" s="20"/>
      <c r="AN4" s="11"/>
    </row>
    <row r="5" spans="1:47">
      <c r="E5" s="76"/>
      <c r="F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" s="13"/>
      <c r="H5" s="13"/>
      <c r="I5" s="12">
        <f>Table1[[#This Row],[type]]</f>
        <v>0</v>
      </c>
      <c r="J5" s="62" t="str">
        <f>Table1[[#This Row],[Column42]]&amp;IF(Table1[[#This Row],[Column13]]="","",Table1[[#This Row],[Column13]])&amp;IF(Table1[[#This Row],[mod]]="","",Table1[[#This Row],[mod]])</f>
        <v>__&lt;base&gt;</v>
      </c>
      <c r="K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__&lt;base&gt;</v>
      </c>
      <c r="O5" t="s">
        <v>122</v>
      </c>
      <c r="Q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" s="80"/>
      <c r="AC5" s="25"/>
      <c r="AD5" s="41"/>
      <c r="AE5" s="41"/>
      <c r="AF5" s="11" t="s">
        <v>122</v>
      </c>
      <c r="AH5" s="1" t="str">
        <f>Table1[[#This Row],[html_tag]]&amp;Table1[[#This Row],[html_type]]&amp;Table1[[#This Row],[html_modifier]]</f>
        <v>&lt;base&gt;</v>
      </c>
      <c r="AI5" t="s">
        <v>122</v>
      </c>
      <c r="AL5" s="22" t="str">
        <f>IFERROR(_xlfn.XLOOKUP(Table1[[#This Row],[word]],Table57[English style name],Table57[Style type]),"")</f>
        <v/>
      </c>
      <c r="AM5" s="20"/>
      <c r="AN5" s="11"/>
    </row>
    <row r="6" spans="1:47">
      <c r="E6" s="76"/>
      <c r="F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" s="13"/>
      <c r="H6" s="13"/>
      <c r="I6" s="12">
        <f>Table1[[#This Row],[type]]</f>
        <v>0</v>
      </c>
      <c r="J6" s="62" t="str">
        <f>Table1[[#This Row],[Column42]]&amp;IF(Table1[[#This Row],[Column13]]="","",Table1[[#This Row],[Column13]])&amp;IF(Table1[[#This Row],[mod]]="","",Table1[[#This Row],[mod]])</f>
        <v>__&lt;bdi&gt;</v>
      </c>
      <c r="K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__&lt;bdi&gt;</v>
      </c>
      <c r="O6" t="s">
        <v>126</v>
      </c>
      <c r="Q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" s="80"/>
      <c r="AC6" s="25"/>
      <c r="AD6" s="41"/>
      <c r="AE6" s="41"/>
      <c r="AF6" s="11" t="s">
        <v>126</v>
      </c>
      <c r="AH6" s="1" t="str">
        <f>Table1[[#This Row],[html_tag]]&amp;Table1[[#This Row],[html_type]]&amp;Table1[[#This Row],[html_modifier]]</f>
        <v>&lt;bdi&gt;</v>
      </c>
      <c r="AI6" t="s">
        <v>126</v>
      </c>
      <c r="AL6" s="22" t="str">
        <f>IFERROR(_xlfn.XLOOKUP(Table1[[#This Row],[word]],Table57[English style name],Table57[Style type]),"")</f>
        <v/>
      </c>
      <c r="AM6" s="20"/>
      <c r="AN6" s="11"/>
    </row>
    <row r="7" spans="1:47">
      <c r="E7" s="76"/>
      <c r="F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7" s="13"/>
      <c r="H7" s="13"/>
      <c r="I7" s="12">
        <f>Table1[[#This Row],[type]]</f>
        <v>0</v>
      </c>
      <c r="J7" s="62" t="str">
        <f>Table1[[#This Row],[Column42]]&amp;IF(Table1[[#This Row],[Column13]]="","",Table1[[#This Row],[Column13]])&amp;IF(Table1[[#This Row],[mod]]="","",Table1[[#This Row],[mod]])</f>
        <v>__&lt;bdo&gt;</v>
      </c>
      <c r="K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__&lt;bdo&gt;</v>
      </c>
      <c r="O7" t="s">
        <v>128</v>
      </c>
      <c r="Q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" s="80"/>
      <c r="AC7" s="25"/>
      <c r="AD7" s="41"/>
      <c r="AE7" s="41"/>
      <c r="AF7" s="11" t="s">
        <v>128</v>
      </c>
      <c r="AH7" s="1" t="str">
        <f>Table1[[#This Row],[html_tag]]&amp;Table1[[#This Row],[html_type]]&amp;Table1[[#This Row],[html_modifier]]</f>
        <v>&lt;bdo&gt;</v>
      </c>
      <c r="AI7" t="s">
        <v>128</v>
      </c>
      <c r="AL7" s="22" t="str">
        <f>IFERROR(_xlfn.XLOOKUP(Table1[[#This Row],[word]],Table57[English style name],Table57[Style type]),"")</f>
        <v/>
      </c>
      <c r="AM7" s="20"/>
      <c r="AN7" s="11"/>
    </row>
    <row r="8" spans="1:47">
      <c r="E8" s="76"/>
      <c r="F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8" s="13"/>
      <c r="H8" s="13"/>
      <c r="I8" s="12">
        <f>Table1[[#This Row],[type]]</f>
        <v>0</v>
      </c>
      <c r="J8" s="62" t="str">
        <f>Table1[[#This Row],[Column42]]&amp;IF(Table1[[#This Row],[Column13]]="","",Table1[[#This Row],[Column13]])&amp;IF(Table1[[#This Row],[mod]]="","",Table1[[#This Row],[mod]])</f>
        <v>__&lt;blockquote&gt;</v>
      </c>
      <c r="K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__&lt;blockquote&gt;</v>
      </c>
      <c r="O8" t="s">
        <v>131</v>
      </c>
      <c r="Q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" s="80"/>
      <c r="AC8" s="25"/>
      <c r="AD8" s="41"/>
      <c r="AE8" s="41"/>
      <c r="AF8" s="11" t="s">
        <v>131</v>
      </c>
      <c r="AH8" s="1" t="str">
        <f>Table1[[#This Row],[html_tag]]&amp;Table1[[#This Row],[html_type]]&amp;Table1[[#This Row],[html_modifier]]</f>
        <v>&lt;blockquote&gt;</v>
      </c>
      <c r="AI8" t="s">
        <v>131</v>
      </c>
      <c r="AL8" s="22" t="str">
        <f>IFERROR(_xlfn.XLOOKUP(Table1[[#This Row],[word]],Table57[English style name],Table57[Style type]),"")</f>
        <v/>
      </c>
      <c r="AM8" s="20"/>
      <c r="AN8" s="11"/>
    </row>
    <row r="9" spans="1:47">
      <c r="E9" s="76"/>
      <c r="F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9" s="13"/>
      <c r="H9" s="13"/>
      <c r="I9" s="12">
        <f>Table1[[#This Row],[type]]</f>
        <v>0</v>
      </c>
      <c r="J9" s="62" t="str">
        <f>Table1[[#This Row],[Column42]]&amp;IF(Table1[[#This Row],[Column13]]="","",Table1[[#This Row],[Column13]])&amp;IF(Table1[[#This Row],[mod]]="","",Table1[[#This Row],[mod]])</f>
        <v>__&lt;br&gt;</v>
      </c>
      <c r="K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__&lt;br&gt;</v>
      </c>
      <c r="O9" t="s">
        <v>135</v>
      </c>
      <c r="Q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" s="80"/>
      <c r="AC9" s="25"/>
      <c r="AD9" s="41"/>
      <c r="AE9" s="41"/>
      <c r="AF9" s="11" t="s">
        <v>135</v>
      </c>
      <c r="AH9" s="1" t="str">
        <f>Table1[[#This Row],[html_tag]]&amp;Table1[[#This Row],[html_type]]&amp;Table1[[#This Row],[html_modifier]]</f>
        <v>&lt;br&gt;</v>
      </c>
      <c r="AI9" t="s">
        <v>135</v>
      </c>
      <c r="AL9" s="22" t="str">
        <f>IFERROR(_xlfn.XLOOKUP(Table1[[#This Row],[word]],Table57[English style name],Table57[Style type]),"")</f>
        <v/>
      </c>
      <c r="AM9" s="20"/>
      <c r="AN9" s="11"/>
    </row>
    <row r="10" spans="1:47">
      <c r="E10" s="76"/>
      <c r="F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0" s="13"/>
      <c r="H10" s="13"/>
      <c r="I10" s="12">
        <f>Table1[[#This Row],[type]]</f>
        <v>0</v>
      </c>
      <c r="J10" s="62" t="str">
        <f>Table1[[#This Row],[Column42]]&amp;IF(Table1[[#This Row],[Column13]]="","",Table1[[#This Row],[Column13]])&amp;IF(Table1[[#This Row],[mod]]="","",Table1[[#This Row],[mod]])</f>
        <v>__&lt;data&gt;</v>
      </c>
      <c r="K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__&lt;data&gt;</v>
      </c>
      <c r="O10" t="s">
        <v>151</v>
      </c>
      <c r="Q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" s="80"/>
      <c r="AC10" s="25"/>
      <c r="AD10" s="41"/>
      <c r="AE10" s="41"/>
      <c r="AF10" s="11" t="s">
        <v>151</v>
      </c>
      <c r="AH10" s="1" t="str">
        <f>Table1[[#This Row],[html_tag]]&amp;Table1[[#This Row],[html_type]]&amp;Table1[[#This Row],[html_modifier]]</f>
        <v>&lt;data&gt;</v>
      </c>
      <c r="AI10" t="s">
        <v>151</v>
      </c>
      <c r="AL10" s="22" t="str">
        <f>IFERROR(_xlfn.XLOOKUP(Table1[[#This Row],[word]],Table57[English style name],Table57[Style type]),"")</f>
        <v/>
      </c>
      <c r="AM10" s="20"/>
      <c r="AN10" s="11"/>
    </row>
    <row r="11" spans="1:47">
      <c r="E11" s="76"/>
      <c r="F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1" s="13"/>
      <c r="H11" s="13"/>
      <c r="I11" s="12">
        <f>Table1[[#This Row],[type]]</f>
        <v>0</v>
      </c>
      <c r="J11" s="62" t="str">
        <f>Table1[[#This Row],[Column42]]&amp;IF(Table1[[#This Row],[Column13]]="","",Table1[[#This Row],[Column13]])&amp;IF(Table1[[#This Row],[mod]]="","",Table1[[#This Row],[mod]])</f>
        <v>__&lt;del&gt;</v>
      </c>
      <c r="K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__&lt;del&gt;</v>
      </c>
      <c r="O11" t="s">
        <v>157</v>
      </c>
      <c r="Q1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" s="80"/>
      <c r="AC11" s="25"/>
      <c r="AD11" s="41"/>
      <c r="AE11" s="41"/>
      <c r="AF11" s="11" t="s">
        <v>157</v>
      </c>
      <c r="AH11" s="1" t="str">
        <f>Table1[[#This Row],[html_tag]]&amp;Table1[[#This Row],[html_type]]&amp;Table1[[#This Row],[html_modifier]]</f>
        <v>&lt;del&gt;</v>
      </c>
      <c r="AI11" t="s">
        <v>157</v>
      </c>
      <c r="AL11" s="22" t="str">
        <f>IFERROR(_xlfn.XLOOKUP(Table1[[#This Row],[word]],Table57[English style name],Table57[Style type]),"")</f>
        <v/>
      </c>
      <c r="AM11" s="20"/>
      <c r="AN11" s="11"/>
    </row>
    <row r="12" spans="1:47">
      <c r="E12" s="76"/>
      <c r="F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2" s="13"/>
      <c r="H12" s="13"/>
      <c r="I12" s="12">
        <f>Table1[[#This Row],[type]]</f>
        <v>0</v>
      </c>
      <c r="J12" s="62" t="str">
        <f>Table1[[#This Row],[Column42]]&amp;IF(Table1[[#This Row],[Column13]]="","",Table1[[#This Row],[Column13]])&amp;IF(Table1[[#This Row],[mod]]="","",Table1[[#This Row],[mod]])</f>
        <v>__&lt;details&gt;</v>
      </c>
      <c r="K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__&lt;details&gt;</v>
      </c>
      <c r="O12" t="s">
        <v>159</v>
      </c>
      <c r="Q1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" s="80"/>
      <c r="AC12" s="25"/>
      <c r="AD12" s="41"/>
      <c r="AE12" s="41"/>
      <c r="AF12" s="11" t="s">
        <v>159</v>
      </c>
      <c r="AH12" s="1" t="str">
        <f>Table1[[#This Row],[html_tag]]&amp;Table1[[#This Row],[html_type]]&amp;Table1[[#This Row],[html_modifier]]</f>
        <v>&lt;details&gt;</v>
      </c>
      <c r="AI12" t="s">
        <v>159</v>
      </c>
      <c r="AL12" s="22" t="str">
        <f>IFERROR(_xlfn.XLOOKUP(Table1[[#This Row],[word]],Table57[English style name],Table57[Style type]),"")</f>
        <v/>
      </c>
      <c r="AM12" s="20"/>
      <c r="AN12" s="11"/>
    </row>
    <row r="13" spans="1:47">
      <c r="E13" s="76"/>
      <c r="F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3" s="13"/>
      <c r="H13" s="13"/>
      <c r="I13" s="12">
        <f>Table1[[#This Row],[type]]</f>
        <v>0</v>
      </c>
      <c r="J13" s="62" t="str">
        <f>Table1[[#This Row],[Column42]]&amp;IF(Table1[[#This Row],[Column13]]="","",Table1[[#This Row],[Column13]])&amp;IF(Table1[[#This Row],[mod]]="","",Table1[[#This Row],[mod]])</f>
        <v>__&lt;dialog&gt;</v>
      </c>
      <c r="K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__&lt;dialog&gt;</v>
      </c>
      <c r="O13" t="s">
        <v>163</v>
      </c>
      <c r="Q1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" s="80"/>
      <c r="AC13" s="25"/>
      <c r="AD13" s="41"/>
      <c r="AE13" s="41"/>
      <c r="AF13" s="11" t="s">
        <v>163</v>
      </c>
      <c r="AH13" s="1" t="str">
        <f>Table1[[#This Row],[html_tag]]&amp;Table1[[#This Row],[html_type]]&amp;Table1[[#This Row],[html_modifier]]</f>
        <v>&lt;dialog&gt;</v>
      </c>
      <c r="AI13" t="s">
        <v>163</v>
      </c>
      <c r="AL13" s="22" t="str">
        <f>IFERROR(_xlfn.XLOOKUP(Table1[[#This Row],[word]],Table57[English style name],Table57[Style type]),"")</f>
        <v/>
      </c>
      <c r="AM13" s="20"/>
      <c r="AN13" s="11"/>
    </row>
    <row r="14" spans="1:47">
      <c r="E14" s="76"/>
      <c r="F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4" s="13"/>
      <c r="H14" s="13"/>
      <c r="I14" s="12">
        <f>Table1[[#This Row],[type]]</f>
        <v>0</v>
      </c>
      <c r="J14" s="62" t="str">
        <f>Table1[[#This Row],[Column42]]&amp;IF(Table1[[#This Row],[Column13]]="","",Table1[[#This Row],[Column13]])&amp;IF(Table1[[#This Row],[mod]]="","",Table1[[#This Row],[mod]])</f>
        <v>__&lt;div&gt;</v>
      </c>
      <c r="K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__&lt;div&gt;</v>
      </c>
      <c r="O14" t="s">
        <v>166</v>
      </c>
      <c r="Q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" s="80"/>
      <c r="AC14" s="25"/>
      <c r="AD14" s="41"/>
      <c r="AE14" s="41"/>
      <c r="AF14" s="11" t="s">
        <v>166</v>
      </c>
      <c r="AH14" s="1" t="str">
        <f>Table1[[#This Row],[html_tag]]&amp;Table1[[#This Row],[html_type]]&amp;Table1[[#This Row],[html_modifier]]</f>
        <v>&lt;div&gt;</v>
      </c>
      <c r="AI14" t="s">
        <v>166</v>
      </c>
      <c r="AL14" s="22" t="str">
        <f>IFERROR(_xlfn.XLOOKUP(Table1[[#This Row],[word]],Table57[English style name],Table57[Style type]),"")</f>
        <v/>
      </c>
      <c r="AM14" s="20"/>
      <c r="AN14" s="11"/>
    </row>
    <row r="15" spans="1:47">
      <c r="E15" s="76"/>
      <c r="F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5" s="13"/>
      <c r="H15" s="13"/>
      <c r="I15" s="12">
        <f>Table1[[#This Row],[type]]</f>
        <v>0</v>
      </c>
      <c r="J15" s="62" t="str">
        <f>Table1[[#This Row],[Column42]]&amp;IF(Table1[[#This Row],[Column13]]="","",Table1[[#This Row],[Column13]])&amp;IF(Table1[[#This Row],[mod]]="","",Table1[[#This Row],[mod]])</f>
        <v>__&lt;em&gt;</v>
      </c>
      <c r="K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__&lt;em&gt;</v>
      </c>
      <c r="O15" t="s">
        <v>71</v>
      </c>
      <c r="Q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" s="80"/>
      <c r="AC15" s="25"/>
      <c r="AD15" s="41"/>
      <c r="AE15" s="41"/>
      <c r="AF15" s="11" t="s">
        <v>71</v>
      </c>
      <c r="AH15" s="1" t="str">
        <f>Table1[[#This Row],[html_tag]]&amp;Table1[[#This Row],[html_type]]&amp;Table1[[#This Row],[html_modifier]]</f>
        <v>&lt;em&gt;</v>
      </c>
      <c r="AI15" t="s">
        <v>71</v>
      </c>
      <c r="AL15" s="22" t="str">
        <f>IFERROR(_xlfn.XLOOKUP(Table1[[#This Row],[word]],Table57[English style name],Table57[Style type]),"")</f>
        <v/>
      </c>
      <c r="AM15" s="20"/>
      <c r="AN15" s="11"/>
    </row>
    <row r="16" spans="1:47">
      <c r="E16" s="76"/>
      <c r="F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6" s="13"/>
      <c r="H16" s="13"/>
      <c r="I16" s="12">
        <f>Table1[[#This Row],[type]]</f>
        <v>0</v>
      </c>
      <c r="J16" s="62" t="str">
        <f>Table1[[#This Row],[Column42]]&amp;IF(Table1[[#This Row],[Column13]]="","",Table1[[#This Row],[Column13]])&amp;IF(Table1[[#This Row],[mod]]="","",Table1[[#This Row],[mod]])</f>
        <v>__&lt;embed&gt;</v>
      </c>
      <c r="K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__&lt;embed&gt;</v>
      </c>
      <c r="O16" t="s">
        <v>173</v>
      </c>
      <c r="Q1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" s="29"/>
      <c r="AC16" s="25"/>
      <c r="AD16" s="41"/>
      <c r="AE16" s="41"/>
      <c r="AF16" s="11" t="s">
        <v>173</v>
      </c>
      <c r="AH16" s="1" t="str">
        <f>Table1[[#This Row],[html_tag]]&amp;Table1[[#This Row],[html_type]]&amp;Table1[[#This Row],[html_modifier]]</f>
        <v>&lt;embed&gt;</v>
      </c>
      <c r="AI16" t="s">
        <v>173</v>
      </c>
      <c r="AL16" s="22" t="str">
        <f>IFERROR(_xlfn.XLOOKUP(Table1[[#This Row],[word]],Table57[English style name],Table57[Style type]),"")</f>
        <v/>
      </c>
      <c r="AM16" s="20"/>
      <c r="AN16" s="11"/>
    </row>
    <row r="17" spans="5:40">
      <c r="E17" s="76"/>
      <c r="F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7" s="13"/>
      <c r="H17" s="13"/>
      <c r="I17" s="12">
        <f>Table1[[#This Row],[type]]</f>
        <v>0</v>
      </c>
      <c r="J17" s="62" t="str">
        <f>Table1[[#This Row],[Column42]]&amp;IF(Table1[[#This Row],[Column13]]="","",Table1[[#This Row],[Column13]])&amp;IF(Table1[[#This Row],[mod]]="","",Table1[[#This Row],[mod]])</f>
        <v>__&lt;hgroup&gt;</v>
      </c>
      <c r="K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__&lt;hgroup&gt;</v>
      </c>
      <c r="O17" t="s">
        <v>192</v>
      </c>
      <c r="Q1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" s="29"/>
      <c r="AC17" s="25"/>
      <c r="AD17" s="41"/>
      <c r="AE17" s="41"/>
      <c r="AF17" s="11" t="s">
        <v>192</v>
      </c>
      <c r="AH17" s="1" t="str">
        <f>Table1[[#This Row],[html_tag]]&amp;Table1[[#This Row],[html_type]]&amp;Table1[[#This Row],[html_modifier]]</f>
        <v>&lt;hgroup&gt;</v>
      </c>
      <c r="AI17" t="s">
        <v>192</v>
      </c>
      <c r="AL17" s="22" t="str">
        <f>IFERROR(_xlfn.XLOOKUP(Table1[[#This Row],[word]],Table57[English style name],Table57[Style type]),"")</f>
        <v/>
      </c>
      <c r="AM17" s="20"/>
      <c r="AN17" s="11"/>
    </row>
    <row r="18" spans="5:40">
      <c r="E18" s="76"/>
      <c r="F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8" s="13"/>
      <c r="H18" s="13"/>
      <c r="I18" s="12">
        <f>Table1[[#This Row],[type]]</f>
        <v>0</v>
      </c>
      <c r="J18" s="62" t="str">
        <f>Table1[[#This Row],[Column42]]&amp;IF(Table1[[#This Row],[Column13]]="","",Table1[[#This Row],[Column13]])&amp;IF(Table1[[#This Row],[mod]]="","",Table1[[#This Row],[mod]])</f>
        <v>__&lt;i&gt;</v>
      </c>
      <c r="K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__&lt;i&gt;</v>
      </c>
      <c r="O18" t="s">
        <v>197</v>
      </c>
      <c r="Q1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" s="29"/>
      <c r="AC18" s="25"/>
      <c r="AD18" s="41"/>
      <c r="AE18" s="41"/>
      <c r="AF18" s="11" t="s">
        <v>197</v>
      </c>
      <c r="AH18" s="1" t="str">
        <f>Table1[[#This Row],[html_tag]]&amp;Table1[[#This Row],[html_type]]&amp;Table1[[#This Row],[html_modifier]]</f>
        <v>&lt;i&gt;</v>
      </c>
      <c r="AI18" t="s">
        <v>197</v>
      </c>
      <c r="AL18" s="22" t="str">
        <f>IFERROR(_xlfn.XLOOKUP(Table1[[#This Row],[word]],Table57[English style name],Table57[Style type]),"")</f>
        <v/>
      </c>
      <c r="AM18" s="20"/>
      <c r="AN18" s="11"/>
    </row>
    <row r="19" spans="5:40">
      <c r="E19" s="76"/>
      <c r="F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9" s="13"/>
      <c r="H19" s="13"/>
      <c r="I19" s="12">
        <f>Table1[[#This Row],[type]]</f>
        <v>0</v>
      </c>
      <c r="J19" s="62" t="str">
        <f>Table1[[#This Row],[Column42]]&amp;IF(Table1[[#This Row],[Column13]]="","",Table1[[#This Row],[Column13]])&amp;IF(Table1[[#This Row],[mod]]="","",Table1[[#This Row],[mod]])</f>
        <v>__&lt;iframe&gt;</v>
      </c>
      <c r="K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__&lt;iframe&gt;</v>
      </c>
      <c r="O19" t="s">
        <v>199</v>
      </c>
      <c r="Q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" s="29"/>
      <c r="AC19" s="25"/>
      <c r="AD19" s="41"/>
      <c r="AE19" s="41"/>
      <c r="AF19" s="11" t="s">
        <v>199</v>
      </c>
      <c r="AH19" s="1" t="str">
        <f>Table1[[#This Row],[html_tag]]&amp;Table1[[#This Row],[html_type]]&amp;Table1[[#This Row],[html_modifier]]</f>
        <v>&lt;iframe&gt;</v>
      </c>
      <c r="AI19" t="s">
        <v>199</v>
      </c>
      <c r="AL19" s="22" t="str">
        <f>IFERROR(_xlfn.XLOOKUP(Table1[[#This Row],[word]],Table57[English style name],Table57[Style type]),"")</f>
        <v/>
      </c>
      <c r="AM19" s="20"/>
      <c r="AN19" s="11"/>
    </row>
    <row r="20" spans="5:40">
      <c r="E20" s="76"/>
      <c r="F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0" s="13"/>
      <c r="H20" s="13"/>
      <c r="I20" s="12">
        <f>Table1[[#This Row],[type]]</f>
        <v>0</v>
      </c>
      <c r="J20" s="62" t="str">
        <f>Table1[[#This Row],[Column42]]&amp;IF(Table1[[#This Row],[Column13]]="","",Table1[[#This Row],[Column13]])&amp;IF(Table1[[#This Row],[mod]]="","",Table1[[#This Row],[mod]])</f>
        <v>__&lt;ins&gt;</v>
      </c>
      <c r="K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__&lt;ins&gt;</v>
      </c>
      <c r="O20" t="s">
        <v>205</v>
      </c>
      <c r="Q2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" s="29"/>
      <c r="AC20" s="25"/>
      <c r="AD20" s="41"/>
      <c r="AE20" s="41"/>
      <c r="AF20" s="11" t="s">
        <v>205</v>
      </c>
      <c r="AH20" s="1" t="str">
        <f>Table1[[#This Row],[html_tag]]&amp;Table1[[#This Row],[html_type]]&amp;Table1[[#This Row],[html_modifier]]</f>
        <v>&lt;ins&gt;</v>
      </c>
      <c r="AI20" t="s">
        <v>205</v>
      </c>
      <c r="AL20" s="22" t="str">
        <f>IFERROR(_xlfn.XLOOKUP(Table1[[#This Row],[word]],Table57[English style name],Table57[Style type]),"")</f>
        <v/>
      </c>
      <c r="AM20" s="20"/>
      <c r="AN20" s="11"/>
    </row>
    <row r="21" spans="5:40">
      <c r="E21" s="76"/>
      <c r="F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1" s="13"/>
      <c r="H21" s="13"/>
      <c r="I21" s="12">
        <f>Table1[[#This Row],[type]]</f>
        <v>0</v>
      </c>
      <c r="J21" s="62" t="str">
        <f>Table1[[#This Row],[Column42]]&amp;IF(Table1[[#This Row],[Column13]]="","",Table1[[#This Row],[Column13]])&amp;IF(Table1[[#This Row],[mod]]="","",Table1[[#This Row],[mod]])</f>
        <v>__&lt;li&gt;</v>
      </c>
      <c r="K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__&lt;li&gt;</v>
      </c>
      <c r="O21" t="s">
        <v>211</v>
      </c>
      <c r="Q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" s="29"/>
      <c r="AC21" s="25"/>
      <c r="AD21" s="41"/>
      <c r="AE21" s="41"/>
      <c r="AF21" s="11" t="s">
        <v>211</v>
      </c>
      <c r="AH21" s="1" t="str">
        <f>Table1[[#This Row],[html_tag]]&amp;Table1[[#This Row],[html_type]]&amp;Table1[[#This Row],[html_modifier]]</f>
        <v>&lt;li&gt;</v>
      </c>
      <c r="AI21" t="s">
        <v>211</v>
      </c>
      <c r="AL21" s="22" t="str">
        <f>IFERROR(_xlfn.XLOOKUP(Table1[[#This Row],[word]],Table57[English style name],Table57[Style type]),"")</f>
        <v/>
      </c>
      <c r="AM21" s="20"/>
      <c r="AN21" s="11"/>
    </row>
    <row r="22" spans="5:40">
      <c r="E22" s="76"/>
      <c r="F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2" s="13"/>
      <c r="H22" s="13"/>
      <c r="I22" s="12">
        <f>Table1[[#This Row],[type]]</f>
        <v>0</v>
      </c>
      <c r="J22" s="62" t="str">
        <f>Table1[[#This Row],[Column42]]&amp;IF(Table1[[#This Row],[Column13]]="","",Table1[[#This Row],[Column13]])&amp;IF(Table1[[#This Row],[mod]]="","",Table1[[#This Row],[mod]])</f>
        <v>__&lt;main&gt;</v>
      </c>
      <c r="K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__&lt;main&gt;</v>
      </c>
      <c r="O22" t="s">
        <v>215</v>
      </c>
      <c r="Q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" s="29"/>
      <c r="AC22" s="25"/>
      <c r="AD22" s="41"/>
      <c r="AE22" s="41"/>
      <c r="AF22" s="11" t="s">
        <v>215</v>
      </c>
      <c r="AH22" s="1" t="str">
        <f>Table1[[#This Row],[html_tag]]&amp;Table1[[#This Row],[html_type]]&amp;Table1[[#This Row],[html_modifier]]</f>
        <v>&lt;main&gt;</v>
      </c>
      <c r="AI22" t="s">
        <v>215</v>
      </c>
      <c r="AL22" s="22" t="str">
        <f>IFERROR(_xlfn.XLOOKUP(Table1[[#This Row],[word]],Table57[English style name],Table57[Style type]),"")</f>
        <v/>
      </c>
      <c r="AM22" s="20"/>
      <c r="AN22" s="11"/>
    </row>
    <row r="23" spans="5:40">
      <c r="E23" s="76"/>
      <c r="F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3" s="13"/>
      <c r="H23" s="13"/>
      <c r="I23" s="12">
        <f>Table1[[#This Row],[type]]</f>
        <v>0</v>
      </c>
      <c r="J23" s="62" t="str">
        <f>Table1[[#This Row],[Column42]]&amp;IF(Table1[[#This Row],[Column13]]="","",Table1[[#This Row],[Column13]])&amp;IF(Table1[[#This Row],[mod]]="","",Table1[[#This Row],[mod]])</f>
        <v>__&lt;mark&gt;</v>
      </c>
      <c r="K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__&lt;mark&gt;</v>
      </c>
      <c r="O23" t="s">
        <v>219</v>
      </c>
      <c r="Q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" s="29"/>
      <c r="AC23" s="25"/>
      <c r="AD23" s="41"/>
      <c r="AE23" s="41"/>
      <c r="AF23" s="11" t="s">
        <v>219</v>
      </c>
      <c r="AH23" s="1" t="str">
        <f>Table1[[#This Row],[html_tag]]&amp;Table1[[#This Row],[html_type]]&amp;Table1[[#This Row],[html_modifier]]</f>
        <v>&lt;mark&gt;</v>
      </c>
      <c r="AI23" t="s">
        <v>219</v>
      </c>
      <c r="AL23" s="22" t="str">
        <f>IFERROR(_xlfn.XLOOKUP(Table1[[#This Row],[word]],Table57[English style name],Table57[Style type]),"")</f>
        <v/>
      </c>
      <c r="AM23" s="20"/>
      <c r="AN23" s="11"/>
    </row>
    <row r="24" spans="5:40">
      <c r="E24" s="76"/>
      <c r="F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4" s="13"/>
      <c r="H24" s="13"/>
      <c r="I24" s="12">
        <f>Table1[[#This Row],[type]]</f>
        <v>0</v>
      </c>
      <c r="J24" s="62" t="str">
        <f>Table1[[#This Row],[Column42]]&amp;IF(Table1[[#This Row],[Column13]]="","",Table1[[#This Row],[Column13]])&amp;IF(Table1[[#This Row],[mod]]="","",Table1[[#This Row],[mod]])</f>
        <v>__&lt;object&gt;</v>
      </c>
      <c r="K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__&lt;object&gt;</v>
      </c>
      <c r="O24" t="s">
        <v>230</v>
      </c>
      <c r="Q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" s="29"/>
      <c r="AC24" s="25"/>
      <c r="AD24" s="41"/>
      <c r="AE24" s="41"/>
      <c r="AF24" s="11" t="s">
        <v>230</v>
      </c>
      <c r="AH24" s="1" t="str">
        <f>Table1[[#This Row],[html_tag]]&amp;Table1[[#This Row],[html_type]]&amp;Table1[[#This Row],[html_modifier]]</f>
        <v>&lt;object&gt;</v>
      </c>
      <c r="AI24" t="s">
        <v>230</v>
      </c>
      <c r="AL24" s="22" t="str">
        <f>IFERROR(_xlfn.XLOOKUP(Table1[[#This Row],[word]],Table57[English style name],Table57[Style type]),"")</f>
        <v/>
      </c>
      <c r="AM24" s="20"/>
      <c r="AN24" s="11"/>
    </row>
    <row r="25" spans="5:40">
      <c r="E25" s="76"/>
      <c r="F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5" s="13"/>
      <c r="H25" s="13"/>
      <c r="I25" s="12">
        <f>Table1[[#This Row],[type]]</f>
        <v>0</v>
      </c>
      <c r="J25" s="62" t="str">
        <f>Table1[[#This Row],[Column42]]&amp;IF(Table1[[#This Row],[Column13]]="","",Table1[[#This Row],[Column13]])&amp;IF(Table1[[#This Row],[mod]]="","",Table1[[#This Row],[mod]])</f>
        <v>__&lt;output&gt;</v>
      </c>
      <c r="K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__&lt;output&gt;</v>
      </c>
      <c r="O25" t="s">
        <v>237</v>
      </c>
      <c r="Q2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" s="29"/>
      <c r="AC25" s="25"/>
      <c r="AD25" s="41"/>
      <c r="AE25" s="41"/>
      <c r="AF25" s="11" t="s">
        <v>237</v>
      </c>
      <c r="AH25" s="1" t="str">
        <f>Table1[[#This Row],[html_tag]]&amp;Table1[[#This Row],[html_type]]&amp;Table1[[#This Row],[html_modifier]]</f>
        <v>&lt;output&gt;</v>
      </c>
      <c r="AI25" t="s">
        <v>237</v>
      </c>
      <c r="AL25" s="22" t="str">
        <f>IFERROR(_xlfn.XLOOKUP(Table1[[#This Row],[word]],Table57[English style name],Table57[Style type]),"")</f>
        <v/>
      </c>
      <c r="AM25" s="20"/>
      <c r="AN25" s="11"/>
    </row>
    <row r="26" spans="5:40">
      <c r="E26" s="76"/>
      <c r="F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6" s="13"/>
      <c r="H26" s="13"/>
      <c r="I26" s="12">
        <f>Table1[[#This Row],[type]]</f>
        <v>0</v>
      </c>
      <c r="J26" s="62" t="str">
        <f>Table1[[#This Row],[Column42]]&amp;IF(Table1[[#This Row],[Column13]]="","",Table1[[#This Row],[Column13]])&amp;IF(Table1[[#This Row],[mod]]="","",Table1[[#This Row],[mod]])</f>
        <v>__&lt;param&gt;</v>
      </c>
      <c r="K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__&lt;param&gt;</v>
      </c>
      <c r="O26" t="s">
        <v>241</v>
      </c>
      <c r="Q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" s="29"/>
      <c r="AC26" s="25"/>
      <c r="AD26" s="41"/>
      <c r="AE26" s="41"/>
      <c r="AF26" s="11" t="s">
        <v>241</v>
      </c>
      <c r="AH26" s="1" t="str">
        <f>Table1[[#This Row],[html_tag]]&amp;Table1[[#This Row],[html_type]]&amp;Table1[[#This Row],[html_modifier]]</f>
        <v>&lt;param&gt;</v>
      </c>
      <c r="AI26" t="s">
        <v>241</v>
      </c>
      <c r="AL26" s="22" t="str">
        <f>IFERROR(_xlfn.XLOOKUP(Table1[[#This Row],[word]],Table57[English style name],Table57[Style type]),"")</f>
        <v/>
      </c>
      <c r="AM26" s="20"/>
      <c r="AN26" s="11"/>
    </row>
    <row r="27" spans="5:40">
      <c r="E27" s="76"/>
      <c r="F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7" s="13"/>
      <c r="H27" s="13"/>
      <c r="I27" s="12">
        <f>Table1[[#This Row],[type]]</f>
        <v>0</v>
      </c>
      <c r="J27" s="62" t="str">
        <f>Table1[[#This Row],[Column42]]&amp;IF(Table1[[#This Row],[Column13]]="","",Table1[[#This Row],[Column13]])&amp;IF(Table1[[#This Row],[mod]]="","",Table1[[#This Row],[mod]])</f>
        <v>__&lt;picture&gt;</v>
      </c>
      <c r="K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__&lt;picture&gt;</v>
      </c>
      <c r="O27" t="s">
        <v>243</v>
      </c>
      <c r="Q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" s="29"/>
      <c r="AC27" s="25"/>
      <c r="AD27" s="41"/>
      <c r="AE27" s="41"/>
      <c r="AF27" s="11" t="s">
        <v>243</v>
      </c>
      <c r="AH27" s="1" t="str">
        <f>Table1[[#This Row],[html_tag]]&amp;Table1[[#This Row],[html_type]]&amp;Table1[[#This Row],[html_modifier]]</f>
        <v>&lt;picture&gt;</v>
      </c>
      <c r="AI27" t="s">
        <v>243</v>
      </c>
      <c r="AL27" s="22" t="str">
        <f>IFERROR(_xlfn.XLOOKUP(Table1[[#This Row],[word]],Table57[English style name],Table57[Style type]),"")</f>
        <v/>
      </c>
      <c r="AM27" s="20"/>
      <c r="AN27" s="11"/>
    </row>
    <row r="28" spans="5:40">
      <c r="E28" s="76"/>
      <c r="F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8" s="13"/>
      <c r="H28" s="13"/>
      <c r="I28" s="12">
        <f>Table1[[#This Row],[type]]</f>
        <v>0</v>
      </c>
      <c r="J28" s="62" t="str">
        <f>Table1[[#This Row],[Column42]]&amp;IF(Table1[[#This Row],[Column13]]="","",Table1[[#This Row],[Column13]])&amp;IF(Table1[[#This Row],[mod]]="","",Table1[[#This Row],[mod]])</f>
        <v>__&lt;pre&gt;</v>
      </c>
      <c r="K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__&lt;pre&gt;</v>
      </c>
      <c r="O28" t="s">
        <v>245</v>
      </c>
      <c r="Q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" s="29"/>
      <c r="AC28" s="25"/>
      <c r="AD28" s="41"/>
      <c r="AE28" s="41"/>
      <c r="AF28" s="11" t="s">
        <v>245</v>
      </c>
      <c r="AH28" s="1" t="str">
        <f>Table1[[#This Row],[html_tag]]&amp;Table1[[#This Row],[html_type]]&amp;Table1[[#This Row],[html_modifier]]</f>
        <v>&lt;pre&gt;</v>
      </c>
      <c r="AI28" t="s">
        <v>245</v>
      </c>
      <c r="AL28" s="22" t="str">
        <f>IFERROR(_xlfn.XLOOKUP(Table1[[#This Row],[word]],Table57[English style name],Table57[Style type]),"")</f>
        <v/>
      </c>
      <c r="AM28" s="20"/>
      <c r="AN28" s="11"/>
    </row>
    <row r="29" spans="5:40">
      <c r="E29" s="76"/>
      <c r="F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9" s="13"/>
      <c r="H29" s="13"/>
      <c r="I29" s="12">
        <f>Table1[[#This Row],[type]]</f>
        <v>0</v>
      </c>
      <c r="J29" s="62" t="str">
        <f>Table1[[#This Row],[Column42]]&amp;IF(Table1[[#This Row],[Column13]]="","",Table1[[#This Row],[Column13]])&amp;IF(Table1[[#This Row],[mod]]="","",Table1[[#This Row],[mod]])</f>
        <v>__&lt;rp&gt;</v>
      </c>
      <c r="K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__&lt;rp&gt;</v>
      </c>
      <c r="O29" t="s">
        <v>251</v>
      </c>
      <c r="Q2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" s="29"/>
      <c r="AC29" s="25"/>
      <c r="AD29" s="41"/>
      <c r="AE29" s="41"/>
      <c r="AF29" s="11" t="s">
        <v>251</v>
      </c>
      <c r="AH29" s="1" t="str">
        <f>Table1[[#This Row],[html_tag]]&amp;Table1[[#This Row],[html_type]]&amp;Table1[[#This Row],[html_modifier]]</f>
        <v>&lt;rp&gt;</v>
      </c>
      <c r="AI29" t="s">
        <v>251</v>
      </c>
      <c r="AL29" s="22" t="str">
        <f>IFERROR(_xlfn.XLOOKUP(Table1[[#This Row],[word]],Table57[English style name],Table57[Style type]),"")</f>
        <v/>
      </c>
      <c r="AM29" s="20"/>
      <c r="AN29" s="11"/>
    </row>
    <row r="30" spans="5:40">
      <c r="E30" s="76"/>
      <c r="F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0" s="13"/>
      <c r="H30" s="13"/>
      <c r="I30" s="12">
        <f>Table1[[#This Row],[type]]</f>
        <v>0</v>
      </c>
      <c r="J30" s="62" t="str">
        <f>Table1[[#This Row],[Column42]]&amp;IF(Table1[[#This Row],[Column13]]="","",Table1[[#This Row],[Column13]])&amp;IF(Table1[[#This Row],[mod]]="","",Table1[[#This Row],[mod]])</f>
        <v>__&lt;rt&gt;</v>
      </c>
      <c r="K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__&lt;rt&gt;</v>
      </c>
      <c r="O30" t="s">
        <v>253</v>
      </c>
      <c r="Q3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" s="29"/>
      <c r="AC30" s="25"/>
      <c r="AD30" s="41"/>
      <c r="AE30" s="41"/>
      <c r="AF30" s="11" t="s">
        <v>253</v>
      </c>
      <c r="AH30" s="1" t="str">
        <f>Table1[[#This Row],[html_tag]]&amp;Table1[[#This Row],[html_type]]&amp;Table1[[#This Row],[html_modifier]]</f>
        <v>&lt;rt&gt;</v>
      </c>
      <c r="AI30" t="s">
        <v>253</v>
      </c>
      <c r="AL30" s="22" t="str">
        <f>IFERROR(_xlfn.XLOOKUP(Table1[[#This Row],[word]],Table57[English style name],Table57[Style type]),"")</f>
        <v/>
      </c>
      <c r="AM30" s="20"/>
      <c r="AN30" s="11"/>
    </row>
    <row r="31" spans="5:40">
      <c r="E31" s="76"/>
      <c r="F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1" s="13"/>
      <c r="H31" s="13"/>
      <c r="I31" s="12">
        <f>Table1[[#This Row],[type]]</f>
        <v>0</v>
      </c>
      <c r="J31" s="62" t="str">
        <f>Table1[[#This Row],[Column42]]&amp;IF(Table1[[#This Row],[Column13]]="","",Table1[[#This Row],[Column13]])&amp;IF(Table1[[#This Row],[mod]]="","",Table1[[#This Row],[mod]])</f>
        <v>__&lt;ruby&gt;</v>
      </c>
      <c r="K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__&lt;ruby&gt;</v>
      </c>
      <c r="O31" t="s">
        <v>255</v>
      </c>
      <c r="Q3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" s="29"/>
      <c r="AC31" s="25"/>
      <c r="AD31" s="41"/>
      <c r="AE31" s="41"/>
      <c r="AF31" s="11" t="s">
        <v>255</v>
      </c>
      <c r="AH31" s="1" t="str">
        <f>Table1[[#This Row],[html_tag]]&amp;Table1[[#This Row],[html_type]]&amp;Table1[[#This Row],[html_modifier]]</f>
        <v>&lt;ruby&gt;</v>
      </c>
      <c r="AI31" t="s">
        <v>255</v>
      </c>
      <c r="AL31" s="22" t="str">
        <f>IFERROR(_xlfn.XLOOKUP(Table1[[#This Row],[word]],Table57[English style name],Table57[Style type]),"")</f>
        <v/>
      </c>
      <c r="AM31" s="20"/>
      <c r="AN31" s="11"/>
    </row>
    <row r="32" spans="5:40">
      <c r="E32" s="76"/>
      <c r="F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2" s="13"/>
      <c r="H32" s="13"/>
      <c r="I32" s="12">
        <f>Table1[[#This Row],[type]]</f>
        <v>0</v>
      </c>
      <c r="J32" s="62" t="str">
        <f>Table1[[#This Row],[Column42]]&amp;IF(Table1[[#This Row],[Column13]]="","",Table1[[#This Row],[Column13]])&amp;IF(Table1[[#This Row],[mod]]="","",Table1[[#This Row],[mod]])</f>
        <v>__&lt;s&gt;</v>
      </c>
      <c r="K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__&lt;s&gt;</v>
      </c>
      <c r="O32" t="s">
        <v>257</v>
      </c>
      <c r="Q3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" s="29"/>
      <c r="AC32" s="25"/>
      <c r="AD32" s="41"/>
      <c r="AE32" s="41"/>
      <c r="AF32" s="11" t="s">
        <v>257</v>
      </c>
      <c r="AH32" s="1" t="str">
        <f>Table1[[#This Row],[html_tag]]&amp;Table1[[#This Row],[html_type]]&amp;Table1[[#This Row],[html_modifier]]</f>
        <v>&lt;s&gt;</v>
      </c>
      <c r="AI32" t="s">
        <v>257</v>
      </c>
      <c r="AL32" s="22" t="str">
        <f>IFERROR(_xlfn.XLOOKUP(Table1[[#This Row],[word]],Table57[English style name],Table57[Style type]),"")</f>
        <v/>
      </c>
      <c r="AM32" s="20"/>
      <c r="AN32" s="11"/>
    </row>
    <row r="33" spans="4:44">
      <c r="E33" s="76"/>
      <c r="F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3" s="13"/>
      <c r="H33" s="13"/>
      <c r="I33" s="12">
        <f>Table1[[#This Row],[type]]</f>
        <v>0</v>
      </c>
      <c r="J33" s="62" t="str">
        <f>Table1[[#This Row],[Column42]]&amp;IF(Table1[[#This Row],[Column13]]="","",Table1[[#This Row],[Column13]])&amp;IF(Table1[[#This Row],[mod]]="","",Table1[[#This Row],[mod]])</f>
        <v>__&lt;samp&gt;</v>
      </c>
      <c r="K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__&lt;samp&gt;</v>
      </c>
      <c r="O33" t="s">
        <v>259</v>
      </c>
      <c r="Q3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" s="29"/>
      <c r="AC33" s="25"/>
      <c r="AD33" s="41"/>
      <c r="AE33" s="41"/>
      <c r="AF33" s="11" t="s">
        <v>259</v>
      </c>
      <c r="AH33" s="1" t="str">
        <f>Table1[[#This Row],[html_tag]]&amp;Table1[[#This Row],[html_type]]&amp;Table1[[#This Row],[html_modifier]]</f>
        <v>&lt;samp&gt;</v>
      </c>
      <c r="AI33" t="s">
        <v>259</v>
      </c>
      <c r="AL33" s="22" t="str">
        <f>IFERROR(_xlfn.XLOOKUP(Table1[[#This Row],[word]],Table57[English style name],Table57[Style type]),"")</f>
        <v/>
      </c>
      <c r="AM33" s="20"/>
      <c r="AN33" s="11"/>
    </row>
    <row r="34" spans="4:44">
      <c r="E34" s="76"/>
      <c r="F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4" s="13"/>
      <c r="H34" s="13"/>
      <c r="I34" s="12">
        <f>Table1[[#This Row],[type]]</f>
        <v>0</v>
      </c>
      <c r="J34" s="62" t="str">
        <f>Table1[[#This Row],[Column42]]&amp;IF(Table1[[#This Row],[Column13]]="","",Table1[[#This Row],[Column13]])&amp;IF(Table1[[#This Row],[mod]]="","",Table1[[#This Row],[mod]])</f>
        <v>__&lt;small&gt;</v>
      </c>
      <c r="K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__&lt;small&gt;</v>
      </c>
      <c r="O34" t="s">
        <v>267</v>
      </c>
      <c r="Q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" s="29"/>
      <c r="AC34" s="25"/>
      <c r="AD34" s="41"/>
      <c r="AE34" s="41"/>
      <c r="AF34" s="11" t="s">
        <v>267</v>
      </c>
      <c r="AH34" s="1" t="str">
        <f>Table1[[#This Row],[html_tag]]&amp;Table1[[#This Row],[html_type]]&amp;Table1[[#This Row],[html_modifier]]</f>
        <v>&lt;small&gt;</v>
      </c>
      <c r="AI34" t="s">
        <v>267</v>
      </c>
      <c r="AL34" s="22" t="str">
        <f>IFERROR(_xlfn.XLOOKUP(Table1[[#This Row],[word]],Table57[English style name],Table57[Style type]),"")</f>
        <v/>
      </c>
      <c r="AM34" s="20"/>
      <c r="AN34" s="11"/>
    </row>
    <row r="35" spans="4:44">
      <c r="E35" s="76"/>
      <c r="F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5" s="13"/>
      <c r="H35" s="13"/>
      <c r="I35" s="12">
        <f>Table1[[#This Row],[type]]</f>
        <v>0</v>
      </c>
      <c r="J35" s="62" t="str">
        <f>Table1[[#This Row],[Column42]]&amp;IF(Table1[[#This Row],[Column13]]="","",Table1[[#This Row],[Column13]])&amp;IF(Table1[[#This Row],[mod]]="","",Table1[[#This Row],[mod]])</f>
        <v>__&lt;source&gt;</v>
      </c>
      <c r="K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__&lt;source&gt;</v>
      </c>
      <c r="O35" t="s">
        <v>269</v>
      </c>
      <c r="Q3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5" s="29"/>
      <c r="AC35" s="25"/>
      <c r="AD35" s="41"/>
      <c r="AE35" s="41"/>
      <c r="AF35" s="11" t="s">
        <v>269</v>
      </c>
      <c r="AH35" s="1" t="str">
        <f>Table1[[#This Row],[html_tag]]&amp;Table1[[#This Row],[html_type]]&amp;Table1[[#This Row],[html_modifier]]</f>
        <v>&lt;source&gt;</v>
      </c>
      <c r="AI35" t="s">
        <v>269</v>
      </c>
      <c r="AL35" s="22" t="str">
        <f>IFERROR(_xlfn.XLOOKUP(Table1[[#This Row],[word]],Table57[English style name],Table57[Style type]),"")</f>
        <v/>
      </c>
      <c r="AM35" s="20"/>
      <c r="AN35" s="11"/>
    </row>
    <row r="36" spans="4:44">
      <c r="E36" s="76"/>
      <c r="F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6" s="13"/>
      <c r="H36" s="13"/>
      <c r="I36" s="12">
        <f>Table1[[#This Row],[type]]</f>
        <v>0</v>
      </c>
      <c r="J36" s="62" t="str">
        <f>Table1[[#This Row],[Column42]]&amp;IF(Table1[[#This Row],[Column13]]="","",Table1[[#This Row],[Column13]])&amp;IF(Table1[[#This Row],[mod]]="","",Table1[[#This Row],[mod]])</f>
        <v>__&lt;span&gt;</v>
      </c>
      <c r="K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__&lt;span&gt;</v>
      </c>
      <c r="O36" t="s">
        <v>270</v>
      </c>
      <c r="Q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6" s="29"/>
      <c r="AC36" s="25"/>
      <c r="AD36" s="41"/>
      <c r="AE36" s="41"/>
      <c r="AF36" s="11" t="s">
        <v>270</v>
      </c>
      <c r="AH36" s="1" t="str">
        <f>Table1[[#This Row],[html_tag]]&amp;Table1[[#This Row],[html_type]]&amp;Table1[[#This Row],[html_modifier]]</f>
        <v>&lt;span&gt;</v>
      </c>
      <c r="AI36" t="s">
        <v>270</v>
      </c>
      <c r="AL36" s="22" t="str">
        <f>IFERROR(_xlfn.XLOOKUP(Table1[[#This Row],[word]],Table57[English style name],Table57[Style type]),"")</f>
        <v/>
      </c>
      <c r="AM36" s="20"/>
      <c r="AN36" s="11"/>
    </row>
    <row r="37" spans="4:44">
      <c r="E37" s="76"/>
      <c r="F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7" s="13"/>
      <c r="H37" s="13"/>
      <c r="I37" s="12">
        <f>Table1[[#This Row],[type]]</f>
        <v>0</v>
      </c>
      <c r="J37" s="62" t="str">
        <f>Table1[[#This Row],[Column42]]&amp;IF(Table1[[#This Row],[Column13]]="","",Table1[[#This Row],[Column13]])&amp;IF(Table1[[#This Row],[mod]]="","",Table1[[#This Row],[mod]])</f>
        <v>__&lt;sub&gt;</v>
      </c>
      <c r="K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__&lt;sub&gt;</v>
      </c>
      <c r="O37" t="s">
        <v>275</v>
      </c>
      <c r="Q3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7" s="29"/>
      <c r="AC37" s="25"/>
      <c r="AD37" s="41"/>
      <c r="AE37" s="41"/>
      <c r="AF37" s="11" t="s">
        <v>275</v>
      </c>
      <c r="AH37" s="1" t="str">
        <f>Table1[[#This Row],[html_tag]]&amp;Table1[[#This Row],[html_type]]&amp;Table1[[#This Row],[html_modifier]]</f>
        <v>&lt;sub&gt;</v>
      </c>
      <c r="AI37" t="s">
        <v>275</v>
      </c>
      <c r="AL37" s="22" t="str">
        <f>IFERROR(_xlfn.XLOOKUP(Table1[[#This Row],[word]],Table57[English style name],Table57[Style type]),"")</f>
        <v/>
      </c>
      <c r="AM37" s="20"/>
      <c r="AN37" s="11"/>
    </row>
    <row r="38" spans="4:44">
      <c r="E38" s="76"/>
      <c r="F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8" s="13"/>
      <c r="H38" s="13"/>
      <c r="I38" s="12">
        <f>Table1[[#This Row],[type]]</f>
        <v>0</v>
      </c>
      <c r="J38" s="62" t="str">
        <f>Table1[[#This Row],[Column42]]&amp;IF(Table1[[#This Row],[Column13]]="","",Table1[[#This Row],[Column13]])&amp;IF(Table1[[#This Row],[mod]]="","",Table1[[#This Row],[mod]])</f>
        <v>__&lt;summary&gt;</v>
      </c>
      <c r="K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__&lt;summary&gt;</v>
      </c>
      <c r="O38" t="s">
        <v>277</v>
      </c>
      <c r="Q3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8" s="29"/>
      <c r="AC38" s="25"/>
      <c r="AD38" s="41"/>
      <c r="AE38" s="41"/>
      <c r="AF38" s="11" t="s">
        <v>277</v>
      </c>
      <c r="AH38" s="1" t="str">
        <f>Table1[[#This Row],[html_tag]]&amp;Table1[[#This Row],[html_type]]&amp;Table1[[#This Row],[html_modifier]]</f>
        <v>&lt;summary&gt;</v>
      </c>
      <c r="AI38" t="s">
        <v>277</v>
      </c>
      <c r="AL38" s="22" t="str">
        <f>IFERROR(_xlfn.XLOOKUP(Table1[[#This Row],[word]],Table57[English style name],Table57[Style type]),"")</f>
        <v/>
      </c>
      <c r="AM38" s="20"/>
      <c r="AN38" s="11"/>
    </row>
    <row r="39" spans="4:44">
      <c r="E39" s="76"/>
      <c r="F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9" s="13"/>
      <c r="H39" s="13"/>
      <c r="I39" s="12">
        <f>Table1[[#This Row],[type]]</f>
        <v>0</v>
      </c>
      <c r="J39" s="62" t="str">
        <f>Table1[[#This Row],[Column42]]&amp;IF(Table1[[#This Row],[Column13]]="","",Table1[[#This Row],[Column13]])&amp;IF(Table1[[#This Row],[mod]]="","",Table1[[#This Row],[mod]])</f>
        <v>__&lt;sup&gt;</v>
      </c>
      <c r="K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__&lt;sup&gt;</v>
      </c>
      <c r="O39" t="s">
        <v>278</v>
      </c>
      <c r="Q3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" s="29"/>
      <c r="AC39" s="25"/>
      <c r="AD39" s="41"/>
      <c r="AE39" s="41"/>
      <c r="AF39" s="11" t="s">
        <v>278</v>
      </c>
      <c r="AH39" s="1" t="str">
        <f>Table1[[#This Row],[html_tag]]&amp;Table1[[#This Row],[html_type]]&amp;Table1[[#This Row],[html_modifier]]</f>
        <v>&lt;sup&gt;</v>
      </c>
      <c r="AI39" t="s">
        <v>278</v>
      </c>
      <c r="AL39" s="22" t="str">
        <f>IFERROR(_xlfn.XLOOKUP(Table1[[#This Row],[word]],Table57[English style name],Table57[Style type]),"")</f>
        <v/>
      </c>
      <c r="AM39" s="20"/>
      <c r="AN39" s="11"/>
    </row>
    <row r="40" spans="4:44">
      <c r="E40" s="76"/>
      <c r="F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0" s="13"/>
      <c r="H40" s="13"/>
      <c r="I40" s="12">
        <f>Table1[[#This Row],[type]]</f>
        <v>0</v>
      </c>
      <c r="J40" s="62" t="str">
        <f>Table1[[#This Row],[Column42]]&amp;IF(Table1[[#This Row],[Column13]]="","",Table1[[#This Row],[Column13]])&amp;IF(Table1[[#This Row],[mod]]="","",Table1[[#This Row],[mod]])</f>
        <v>__&lt;svg&gt;</v>
      </c>
      <c r="K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__&lt;svg&gt;</v>
      </c>
      <c r="O40" t="s">
        <v>280</v>
      </c>
      <c r="Q4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" s="29"/>
      <c r="AC40" s="25"/>
      <c r="AD40" s="41"/>
      <c r="AE40" s="41"/>
      <c r="AF40" s="11" t="s">
        <v>280</v>
      </c>
      <c r="AH40" s="1" t="str">
        <f>Table1[[#This Row],[html_tag]]&amp;Table1[[#This Row],[html_type]]&amp;Table1[[#This Row],[html_modifier]]</f>
        <v>&lt;svg&gt;</v>
      </c>
      <c r="AI40" t="s">
        <v>280</v>
      </c>
      <c r="AL40" s="22" t="str">
        <f>IFERROR(_xlfn.XLOOKUP(Table1[[#This Row],[word]],Table57[English style name],Table57[Style type]),"")</f>
        <v/>
      </c>
      <c r="AM40" s="20"/>
      <c r="AN40" s="11"/>
    </row>
    <row r="41" spans="4:44">
      <c r="E41" s="76"/>
      <c r="F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1" s="13"/>
      <c r="H41" s="13"/>
      <c r="I41" s="12">
        <f>Table1[[#This Row],[type]]</f>
        <v>0</v>
      </c>
      <c r="J41" s="62" t="str">
        <f>Table1[[#This Row],[Column42]]&amp;IF(Table1[[#This Row],[Column13]]="","",Table1[[#This Row],[Column13]])&amp;IF(Table1[[#This Row],[mod]]="","",Table1[[#This Row],[mod]])</f>
        <v>__&lt;template&gt;</v>
      </c>
      <c r="K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__&lt;template&gt;</v>
      </c>
      <c r="O41" t="s">
        <v>288</v>
      </c>
      <c r="Q4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" s="29"/>
      <c r="AC41" s="25"/>
      <c r="AD41" s="41"/>
      <c r="AE41" s="41"/>
      <c r="AF41" s="11" t="s">
        <v>288</v>
      </c>
      <c r="AH41" s="1" t="str">
        <f>Table1[[#This Row],[html_tag]]&amp;Table1[[#This Row],[html_type]]&amp;Table1[[#This Row],[html_modifier]]</f>
        <v>&lt;template&gt;</v>
      </c>
      <c r="AI41" t="s">
        <v>288</v>
      </c>
      <c r="AL41" s="22" t="str">
        <f>IFERROR(_xlfn.XLOOKUP(Table1[[#This Row],[word]],Table57[English style name],Table57[Style type]),"")</f>
        <v/>
      </c>
      <c r="AM41" s="20"/>
      <c r="AN41" s="11"/>
    </row>
    <row r="42" spans="4:44">
      <c r="E42" s="76"/>
      <c r="F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2" s="13"/>
      <c r="H42" s="13"/>
      <c r="I42" s="12">
        <f>Table1[[#This Row],[type]]</f>
        <v>0</v>
      </c>
      <c r="J42" s="62" t="str">
        <f>Table1[[#This Row],[Column42]]&amp;IF(Table1[[#This Row],[Column13]]="","",Table1[[#This Row],[Column13]])&amp;IF(Table1[[#This Row],[mod]]="","",Table1[[#This Row],[mod]])</f>
        <v>__&lt;tfoot&gt;</v>
      </c>
      <c r="K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__&lt;tfoot&gt;</v>
      </c>
      <c r="O42" t="s">
        <v>292</v>
      </c>
      <c r="Q4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" s="29"/>
      <c r="AC42" s="25"/>
      <c r="AD42" s="41"/>
      <c r="AE42" s="41"/>
      <c r="AF42" s="11" t="s">
        <v>292</v>
      </c>
      <c r="AH42" s="1" t="str">
        <f>Table1[[#This Row],[html_tag]]&amp;Table1[[#This Row],[html_type]]&amp;Table1[[#This Row],[html_modifier]]</f>
        <v>&lt;tfoot&gt;</v>
      </c>
      <c r="AI42" t="s">
        <v>292</v>
      </c>
      <c r="AL42" s="22" t="str">
        <f>IFERROR(_xlfn.XLOOKUP(Table1[[#This Row],[word]],Table57[English style name],Table57[Style type]),"")</f>
        <v/>
      </c>
      <c r="AM42" s="20"/>
      <c r="AN42" s="11"/>
    </row>
    <row r="43" spans="4:44">
      <c r="E43" s="76"/>
      <c r="F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3" s="13"/>
      <c r="H43" s="13"/>
      <c r="I43" s="12">
        <f>Table1[[#This Row],[type]]</f>
        <v>0</v>
      </c>
      <c r="J43" s="62" t="str">
        <f>Table1[[#This Row],[Column42]]&amp;IF(Table1[[#This Row],[Column13]]="","",Table1[[#This Row],[Column13]])&amp;IF(Table1[[#This Row],[mod]]="","",Table1[[#This Row],[mod]])</f>
        <v>__&lt;title&gt;</v>
      </c>
      <c r="K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__&lt;title&gt;</v>
      </c>
      <c r="O43" t="s">
        <v>300</v>
      </c>
      <c r="Q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3" s="29"/>
      <c r="AC43" s="25"/>
      <c r="AD43" s="41"/>
      <c r="AE43" s="41"/>
      <c r="AF43" s="11" t="s">
        <v>300</v>
      </c>
      <c r="AH43" s="1" t="str">
        <f>Table1[[#This Row],[html_tag]]&amp;Table1[[#This Row],[html_type]]&amp;Table1[[#This Row],[html_modifier]]</f>
        <v>&lt;title&gt;</v>
      </c>
      <c r="AI43" t="s">
        <v>300</v>
      </c>
      <c r="AL43" s="22" t="str">
        <f>IFERROR(_xlfn.XLOOKUP(Table1[[#This Row],[word]],Table57[English style name],Table57[Style type]),"")</f>
        <v/>
      </c>
      <c r="AM43" s="20"/>
      <c r="AN43" s="11"/>
    </row>
    <row r="44" spans="4:44">
      <c r="E44" s="76"/>
      <c r="F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4" s="13"/>
      <c r="H44" s="13"/>
      <c r="I44" s="12">
        <f>Table1[[#This Row],[type]]</f>
        <v>0</v>
      </c>
      <c r="J44" s="62" t="str">
        <f>Table1[[#This Row],[Column42]]&amp;IF(Table1[[#This Row],[Column13]]="","",Table1[[#This Row],[Column13]])&amp;IF(Table1[[#This Row],[mod]]="","",Table1[[#This Row],[mod]])</f>
        <v>__&lt;track&gt;</v>
      </c>
      <c r="K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__&lt;track&gt;</v>
      </c>
      <c r="O44" t="s">
        <v>304</v>
      </c>
      <c r="Q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4" s="29"/>
      <c r="AC44" s="25"/>
      <c r="AD44" s="41"/>
      <c r="AE44" s="41"/>
      <c r="AF44" s="11" t="s">
        <v>304</v>
      </c>
      <c r="AH44" s="1" t="str">
        <f>Table1[[#This Row],[html_tag]]&amp;Table1[[#This Row],[html_type]]&amp;Table1[[#This Row],[html_modifier]]</f>
        <v>&lt;track&gt;</v>
      </c>
      <c r="AI44" t="s">
        <v>304</v>
      </c>
      <c r="AL44" s="22" t="str">
        <f>IFERROR(_xlfn.XLOOKUP(Table1[[#This Row],[word]],Table57[English style name],Table57[Style type]),"")</f>
        <v/>
      </c>
      <c r="AM44" s="20"/>
      <c r="AN44" s="11"/>
    </row>
    <row r="45" spans="4:44">
      <c r="E45" s="76"/>
      <c r="F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5" s="13"/>
      <c r="H45" s="13"/>
      <c r="I45" s="12">
        <f>Table1[[#This Row],[type]]</f>
        <v>0</v>
      </c>
      <c r="J45" s="62" t="str">
        <f>Table1[[#This Row],[Column42]]&amp;IF(Table1[[#This Row],[Column13]]="","",Table1[[#This Row],[Column13]])&amp;IF(Table1[[#This Row],[mod]]="","",Table1[[#This Row],[mod]])</f>
        <v>__&lt;u&gt;</v>
      </c>
      <c r="K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__&lt;u&gt;</v>
      </c>
      <c r="O45" t="s">
        <v>307</v>
      </c>
      <c r="Q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" s="29"/>
      <c r="AC45" s="25"/>
      <c r="AD45" s="41"/>
      <c r="AE45" s="41"/>
      <c r="AF45" s="11" t="s">
        <v>307</v>
      </c>
      <c r="AH45" s="1" t="str">
        <f>Table1[[#This Row],[html_tag]]&amp;Table1[[#This Row],[html_type]]&amp;Table1[[#This Row],[html_modifier]]</f>
        <v>&lt;u&gt;</v>
      </c>
      <c r="AI45" t="s">
        <v>307</v>
      </c>
      <c r="AL45" s="22" t="str">
        <f>IFERROR(_xlfn.XLOOKUP(Table1[[#This Row],[word]],Table57[English style name],Table57[Style type]),"")</f>
        <v/>
      </c>
      <c r="AM45" s="20"/>
      <c r="AN45" s="11"/>
    </row>
    <row r="46" spans="4:44">
      <c r="E46" s="76"/>
      <c r="F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6" s="13"/>
      <c r="H46" s="13"/>
      <c r="I46" s="12">
        <f>Table1[[#This Row],[type]]</f>
        <v>0</v>
      </c>
      <c r="J46" s="62" t="str">
        <f>Table1[[#This Row],[Column42]]&amp;IF(Table1[[#This Row],[Column13]]="","",Table1[[#This Row],[Column13]])&amp;IF(Table1[[#This Row],[mod]]="","",Table1[[#This Row],[mod]])</f>
        <v>__&lt;wbr&gt;</v>
      </c>
      <c r="K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__&lt;wbr&gt;</v>
      </c>
      <c r="O46" t="s">
        <v>314</v>
      </c>
      <c r="Q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" s="29"/>
      <c r="AC46" s="25"/>
      <c r="AD46" s="41"/>
      <c r="AE46" s="41"/>
      <c r="AF46" s="11" t="s">
        <v>314</v>
      </c>
      <c r="AH46" s="1" t="str">
        <f>Table1[[#This Row],[html_tag]]&amp;Table1[[#This Row],[html_type]]&amp;Table1[[#This Row],[html_modifier]]</f>
        <v>&lt;wbr&gt;</v>
      </c>
      <c r="AI46" t="s">
        <v>314</v>
      </c>
      <c r="AL46" s="22" t="str">
        <f>IFERROR(_xlfn.XLOOKUP(Table1[[#This Row],[word]],Table57[English style name],Table57[Style type]),"")</f>
        <v/>
      </c>
      <c r="AM46" s="20"/>
      <c r="AN46" s="11"/>
    </row>
    <row r="47" spans="4:44">
      <c r="D47" t="s">
        <v>3339</v>
      </c>
      <c r="E47" s="76"/>
      <c r="F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7" s="13"/>
      <c r="H47" s="13"/>
      <c r="I47" s="12">
        <f>Table1[[#This Row],[type]]</f>
        <v>0</v>
      </c>
      <c r="J47" s="62" t="str">
        <f>Table1[[#This Row],[Column42]]&amp;IF(Table1[[#This Row],[Column13]]="","",Table1[[#This Row],[Column13]])&amp;IF(Table1[[#This Row],[mod]]="","",Table1[[#This Row],[mod]])</f>
        <v>__Access date line</v>
      </c>
      <c r="K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__Access date line</v>
      </c>
      <c r="O47" t="s">
        <v>3336</v>
      </c>
      <c r="P47" t="s">
        <v>3336</v>
      </c>
      <c r="Q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" s="29"/>
      <c r="AC47" s="25"/>
      <c r="AD47" s="41"/>
      <c r="AE47" s="41"/>
      <c r="AF47" s="11"/>
      <c r="AH47" s="7" t="str">
        <f>Table1[[#This Row],[html_tag]]&amp;Table1[[#This Row],[html_type]]&amp;Table1[[#This Row],[html_modifier]]</f>
        <v/>
      </c>
      <c r="AL47" s="23" t="str">
        <f>IFERROR(_xlfn.XLOOKUP(Table1[[#This Row],[word]],Table57[English style name],Table57[Style type]),"")</f>
        <v/>
      </c>
      <c r="AM47" s="21"/>
      <c r="AN47" s="11"/>
    </row>
    <row r="48" spans="4:44">
      <c r="E48" s="76"/>
      <c r="F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48" s="13" t="s">
        <v>337</v>
      </c>
      <c r="H48" s="13" t="s">
        <v>2988</v>
      </c>
      <c r="I48" s="12">
        <f>Table1[[#This Row],[type]]</f>
        <v>0</v>
      </c>
      <c r="J48" s="62" t="str">
        <f>Table1[[#This Row],[Column42]]&amp;IF(Table1[[#This Row],[Column13]]="","",Table1[[#This Row],[Column13]])&amp;IF(Table1[[#This Row],[mod]]="","",Table1[[#This Row],[mod]])</f>
        <v>__app_launcher_indicator</v>
      </c>
      <c r="K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__app_launcher_indicator</v>
      </c>
      <c r="O48" s="6" t="s">
        <v>2378</v>
      </c>
      <c r="P48" s="6" t="s">
        <v>2378</v>
      </c>
      <c r="Q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" s="29"/>
      <c r="AC48" s="25"/>
      <c r="AD48" s="41"/>
      <c r="AE48" s="41"/>
      <c r="AF48" s="11"/>
      <c r="AH48" s="1" t="str">
        <f>Table1[[#This Row],[html_tag]]&amp;Table1[[#This Row],[html_type]]&amp;Table1[[#This Row],[html_modifier]]</f>
        <v/>
      </c>
      <c r="AL48" s="22" t="str">
        <f>IFERROR(_xlfn.XLOOKUP(Table1[[#This Row],[word]],Table57[English style name],Table57[Style type]),"")</f>
        <v/>
      </c>
      <c r="AM48" s="20"/>
      <c r="AN48" s="11"/>
      <c r="AQ48" s="6" t="s">
        <v>2378</v>
      </c>
      <c r="AR48" t="s">
        <v>2379</v>
      </c>
    </row>
    <row r="49" spans="1:47">
      <c r="E49" s="76"/>
      <c r="F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49" s="13" t="s">
        <v>337</v>
      </c>
      <c r="H49" s="13" t="s">
        <v>2987</v>
      </c>
      <c r="I49" s="12">
        <f>Table1[[#This Row],[type]]</f>
        <v>0</v>
      </c>
      <c r="J49" s="62" t="str">
        <f>Table1[[#This Row],[Column42]]&amp;IF(Table1[[#This Row],[Column13]]="","",Table1[[#This Row],[Column13]])&amp;IF(Table1[[#This Row],[mod]]="","",Table1[[#This Row],[mod]])</f>
        <v>__aside-toc--base--base</v>
      </c>
      <c r="K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__aside-toc--base</v>
      </c>
      <c r="O49" s="6" t="s">
        <v>2868</v>
      </c>
      <c r="P49" s="6" t="s">
        <v>2868</v>
      </c>
      <c r="Q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9" t="s">
        <v>338</v>
      </c>
      <c r="AB49" s="29"/>
      <c r="AC49" s="25"/>
      <c r="AD49" s="41"/>
      <c r="AE49" s="41"/>
      <c r="AF49" s="11"/>
      <c r="AH49" s="1" t="str">
        <f>Table1[[#This Row],[html_tag]]&amp;Table1[[#This Row],[html_type]]&amp;Table1[[#This Row],[html_modifier]]</f>
        <v/>
      </c>
      <c r="AL49" s="22" t="str">
        <f>IFERROR(_xlfn.XLOOKUP(Table1[[#This Row],[word]],Table57[English style name],Table57[Style type]),"")</f>
        <v/>
      </c>
      <c r="AM49" s="20"/>
      <c r="AN49" s="11"/>
      <c r="AQ49" s="6" t="s">
        <v>2868</v>
      </c>
      <c r="AR49" t="s">
        <v>2869</v>
      </c>
    </row>
    <row r="50" spans="1:47">
      <c r="E50" s="76"/>
      <c r="F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soul/line/0.scss</v>
      </c>
      <c r="G50" s="13" t="s">
        <v>2992</v>
      </c>
      <c r="H50" s="13" t="s">
        <v>2993</v>
      </c>
      <c r="I50" s="12">
        <f>Table1[[#This Row],[type]]</f>
        <v>0</v>
      </c>
      <c r="J50" s="62" t="str">
        <f>Table1[[#This Row],[Column42]]&amp;IF(Table1[[#This Row],[Column13]]="","",Table1[[#This Row],[Column13]])&amp;IF(Table1[[#This Row],[mod]]="","",Table1[[#This Row],[mod]])</f>
        <v>__bottom__no_border--bottom</v>
      </c>
      <c r="K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__bottom__no_border--bottom</v>
      </c>
      <c r="N50" t="s">
        <v>3186</v>
      </c>
      <c r="O50" s="6" t="s">
        <v>1297</v>
      </c>
      <c r="P50" s="6" t="s">
        <v>1297</v>
      </c>
      <c r="Q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" s="29"/>
      <c r="AC50" s="25"/>
      <c r="AD50" s="41"/>
      <c r="AE50" s="41"/>
      <c r="AF50" s="11"/>
      <c r="AH50" s="1" t="str">
        <f>Table1[[#This Row],[html_tag]]&amp;Table1[[#This Row],[html_type]]&amp;Table1[[#This Row],[html_modifier]]</f>
        <v/>
      </c>
      <c r="AL50" s="22" t="str">
        <f>IFERROR(_xlfn.XLOOKUP(Table1[[#This Row],[word]],Table57[English style name],Table57[Style type]),"")</f>
        <v/>
      </c>
      <c r="AM50" s="20"/>
      <c r="AN50" s="11"/>
      <c r="AQ50" s="6" t="s">
        <v>1297</v>
      </c>
      <c r="AR50" t="s">
        <v>1282</v>
      </c>
    </row>
    <row r="51" spans="1:47">
      <c r="A51" s="68"/>
      <c r="B51" s="68"/>
      <c r="C51" s="68"/>
      <c r="D51" s="69"/>
      <c r="E51" s="84"/>
      <c r="F51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1" s="13"/>
      <c r="H51" s="13"/>
      <c r="I51" s="85">
        <f>Table1[[#This Row],[type]]</f>
        <v>0</v>
      </c>
      <c r="J51" s="72" t="str">
        <f>Table1[[#This Row],[Column42]]&amp;IF(Table1[[#This Row],[Column13]]="","",Table1[[#This Row],[Column13]])&amp;IF(Table1[[#This Row],[mod]]="","",Table1[[#This Row],[mod]])</f>
        <v>__compact</v>
      </c>
      <c r="K51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__compact</v>
      </c>
      <c r="N51" t="s">
        <v>10215</v>
      </c>
      <c r="Q51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" s="29"/>
      <c r="AC51" s="25"/>
      <c r="AD51" s="41"/>
      <c r="AE51" s="41"/>
      <c r="AF51" s="11" t="s">
        <v>226</v>
      </c>
      <c r="AH51" s="75" t="str">
        <f>Table1[[#This Row],[html_tag]]&amp;Table1[[#This Row],[html_type]]&amp;Table1[[#This Row],[html_modifier]]</f>
        <v/>
      </c>
      <c r="AL51" s="23" t="str">
        <f>IFERROR(_xlfn.XLOOKUP(Table1[[#This Row],[word]],Table57[English style name],Table57[Style type]),"")</f>
        <v/>
      </c>
      <c r="AM51" s="21"/>
      <c r="AN51" s="70"/>
      <c r="AO51" s="67"/>
      <c r="AP51" s="67"/>
      <c r="AQ51" s="67"/>
      <c r="AR51" s="67"/>
      <c r="AS51" s="67"/>
      <c r="AT51" s="67"/>
      <c r="AU51" s="67"/>
    </row>
    <row r="52" spans="1:47">
      <c r="E52" s="76"/>
      <c r="F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52" s="13" t="s">
        <v>337</v>
      </c>
      <c r="H52" s="13" t="s">
        <v>2987</v>
      </c>
      <c r="I52" s="12">
        <f>Table1[[#This Row],[type]]</f>
        <v>0</v>
      </c>
      <c r="J52" s="62" t="str">
        <f>Table1[[#This Row],[Column42]]&amp;IF(Table1[[#This Row],[Column13]]="","",Table1[[#This Row],[Column13]])&amp;IF(Table1[[#This Row],[mod]]="","",Table1[[#This Row],[mod]])</f>
        <v>__cookieconsent--base--base</v>
      </c>
      <c r="K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__cookieconsent--base</v>
      </c>
      <c r="O52" s="6" t="s">
        <v>1454</v>
      </c>
      <c r="P52" s="6" t="s">
        <v>1454</v>
      </c>
      <c r="Q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2" t="s">
        <v>338</v>
      </c>
      <c r="AB52" s="29"/>
      <c r="AC52" s="25"/>
      <c r="AD52" s="41"/>
      <c r="AE52" s="41"/>
      <c r="AF52" s="11"/>
      <c r="AH52" s="1" t="str">
        <f>Table1[[#This Row],[html_tag]]&amp;Table1[[#This Row],[html_type]]&amp;Table1[[#This Row],[html_modifier]]</f>
        <v/>
      </c>
      <c r="AL52" s="22" t="str">
        <f>IFERROR(_xlfn.XLOOKUP(Table1[[#This Row],[word]],Table57[English style name],Table57[Style type]),"")</f>
        <v/>
      </c>
      <c r="AM52" s="20"/>
      <c r="AN52" s="11"/>
      <c r="AQ52" s="6" t="s">
        <v>1454</v>
      </c>
      <c r="AR52" t="s">
        <v>1455</v>
      </c>
    </row>
    <row r="53" spans="1:47">
      <c r="E53" s="76"/>
      <c r="F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53" s="13" t="s">
        <v>337</v>
      </c>
      <c r="H53" s="13" t="s">
        <v>2988</v>
      </c>
      <c r="I53" s="12">
        <f>Table1[[#This Row],[type]]</f>
        <v>0</v>
      </c>
      <c r="J53" s="62" t="str">
        <f>Table1[[#This Row],[Column42]]&amp;IF(Table1[[#This Row],[Column13]]="","",Table1[[#This Row],[Column13]])&amp;IF(Table1[[#This Row],[mod]]="","",Table1[[#This Row],[mod]])</f>
        <v>__cover_arrow--up</v>
      </c>
      <c r="K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__cover_arrow--up</v>
      </c>
      <c r="O53" s="6" t="s">
        <v>2001</v>
      </c>
      <c r="P53" s="6" t="s">
        <v>2001</v>
      </c>
      <c r="Q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3" s="29"/>
      <c r="AC53" s="25"/>
      <c r="AD53" s="41"/>
      <c r="AE53" s="41"/>
      <c r="AF53" s="11"/>
      <c r="AH53" s="1" t="str">
        <f>Table1[[#This Row],[html_tag]]&amp;Table1[[#This Row],[html_type]]&amp;Table1[[#This Row],[html_modifier]]</f>
        <v/>
      </c>
      <c r="AL53" s="22" t="str">
        <f>IFERROR(_xlfn.XLOOKUP(Table1[[#This Row],[word]],Table57[English style name],Table57[Style type]),"")</f>
        <v/>
      </c>
      <c r="AM53" s="20"/>
      <c r="AN53" s="11"/>
      <c r="AQ53" s="6" t="s">
        <v>2001</v>
      </c>
      <c r="AR53" t="s">
        <v>2002</v>
      </c>
    </row>
    <row r="54" spans="1:47">
      <c r="D54" t="s">
        <v>3339</v>
      </c>
      <c r="E54" s="76"/>
      <c r="F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4" s="13"/>
      <c r="H54" s="13"/>
      <c r="I54" s="12">
        <f>Table1[[#This Row],[type]]</f>
        <v>0</v>
      </c>
      <c r="J54" s="62" t="str">
        <f>Table1[[#This Row],[Column42]]&amp;IF(Table1[[#This Row],[Column13]]="","",Table1[[#This Row],[Column13]])&amp;IF(Table1[[#This Row],[mod]]="","",Table1[[#This Row],[mod]])</f>
        <v>__Credit line</v>
      </c>
      <c r="K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__Credit line</v>
      </c>
      <c r="O54" t="s">
        <v>3330</v>
      </c>
      <c r="P54" t="s">
        <v>3330</v>
      </c>
      <c r="Q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4" s="29"/>
      <c r="AC54" s="25"/>
      <c r="AD54" s="41"/>
      <c r="AE54" s="41"/>
      <c r="AF54" s="11"/>
      <c r="AH54" s="7" t="str">
        <f>Table1[[#This Row],[html_tag]]&amp;Table1[[#This Row],[html_type]]&amp;Table1[[#This Row],[html_modifier]]</f>
        <v/>
      </c>
      <c r="AL54" s="23" t="str">
        <f>IFERROR(_xlfn.XLOOKUP(Table1[[#This Row],[word]],Table57[English style name],Table57[Style type]),"")</f>
        <v/>
      </c>
      <c r="AM54" s="21"/>
      <c r="AN54" s="11"/>
    </row>
    <row r="55" spans="1:47">
      <c r="E55" s="76"/>
      <c r="F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5" s="13" t="s">
        <v>2994</v>
      </c>
      <c r="H55" s="13"/>
      <c r="I55" s="12">
        <f>Table1[[#This Row],[type]]</f>
        <v>0</v>
      </c>
      <c r="J55" s="62" t="str">
        <f>Table1[[#This Row],[Column42]]&amp;IF(Table1[[#This Row],[Column13]]="","",Table1[[#This Row],[Column13]])&amp;IF(Table1[[#This Row],[mod]]="","",Table1[[#This Row],[mod]])</f>
        <v>__d--print-block</v>
      </c>
      <c r="K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__d--print-block</v>
      </c>
      <c r="O55" s="6" t="s">
        <v>2314</v>
      </c>
      <c r="P55" s="6" t="s">
        <v>2314</v>
      </c>
      <c r="Q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" s="29"/>
      <c r="AC55" s="25"/>
      <c r="AD55" s="41"/>
      <c r="AE55" s="41"/>
      <c r="AF55" s="11"/>
      <c r="AH55" s="1" t="str">
        <f>Table1[[#This Row],[html_tag]]&amp;Table1[[#This Row],[html_type]]&amp;Table1[[#This Row],[html_modifier]]</f>
        <v/>
      </c>
      <c r="AL55" s="22" t="str">
        <f>IFERROR(_xlfn.XLOOKUP(Table1[[#This Row],[word]],Table57[English style name],Table57[Style type]),"")</f>
        <v/>
      </c>
      <c r="AM55" s="20"/>
      <c r="AN55" s="11"/>
      <c r="AQ55" s="6" t="s">
        <v>2314</v>
      </c>
      <c r="AR55" t="s">
        <v>2315</v>
      </c>
    </row>
    <row r="56" spans="1:47">
      <c r="E56" s="76"/>
      <c r="F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6" s="13" t="s">
        <v>2994</v>
      </c>
      <c r="H56" s="13"/>
      <c r="I56" s="12">
        <f>Table1[[#This Row],[type]]</f>
        <v>0</v>
      </c>
      <c r="J56" s="62" t="str">
        <f>Table1[[#This Row],[Column42]]&amp;IF(Table1[[#This Row],[Column13]]="","",Table1[[#This Row],[Column13]])&amp;IF(Table1[[#This Row],[mod]]="","",Table1[[#This Row],[mod]])</f>
        <v>__d--print-flex</v>
      </c>
      <c r="K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__d--print-flex</v>
      </c>
      <c r="O56" s="6" t="s">
        <v>2316</v>
      </c>
      <c r="P56" s="6" t="s">
        <v>2316</v>
      </c>
      <c r="Q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" s="29"/>
      <c r="AC56" s="25"/>
      <c r="AD56" s="41"/>
      <c r="AE56" s="41"/>
      <c r="AF56" s="11"/>
      <c r="AH56" s="1" t="str">
        <f>Table1[[#This Row],[html_tag]]&amp;Table1[[#This Row],[html_type]]&amp;Table1[[#This Row],[html_modifier]]</f>
        <v/>
      </c>
      <c r="AL56" s="22" t="str">
        <f>IFERROR(_xlfn.XLOOKUP(Table1[[#This Row],[word]],Table57[English style name],Table57[Style type]),"")</f>
        <v/>
      </c>
      <c r="AM56" s="20"/>
      <c r="AN56" s="11"/>
      <c r="AQ56" s="6" t="s">
        <v>2316</v>
      </c>
      <c r="AR56" t="s">
        <v>2315</v>
      </c>
    </row>
    <row r="57" spans="1:47">
      <c r="E57" s="76"/>
      <c r="F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7" s="13" t="s">
        <v>2994</v>
      </c>
      <c r="H57" s="13"/>
      <c r="I57" s="12">
        <f>Table1[[#This Row],[type]]</f>
        <v>0</v>
      </c>
      <c r="J57" s="62" t="str">
        <f>Table1[[#This Row],[Column42]]&amp;IF(Table1[[#This Row],[Column13]]="","",Table1[[#This Row],[Column13]])&amp;IF(Table1[[#This Row],[mod]]="","",Table1[[#This Row],[mod]])</f>
        <v>__d--print-grid</v>
      </c>
      <c r="K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__d--print-grid</v>
      </c>
      <c r="O57" s="6" t="s">
        <v>2317</v>
      </c>
      <c r="P57" s="6" t="s">
        <v>2317</v>
      </c>
      <c r="Q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" s="29"/>
      <c r="AC57" s="25"/>
      <c r="AD57" s="41"/>
      <c r="AE57" s="41"/>
      <c r="AF57" s="11"/>
      <c r="AH57" s="1" t="str">
        <f>Table1[[#This Row],[html_tag]]&amp;Table1[[#This Row],[html_type]]&amp;Table1[[#This Row],[html_modifier]]</f>
        <v/>
      </c>
      <c r="AL57" s="22" t="str">
        <f>IFERROR(_xlfn.XLOOKUP(Table1[[#This Row],[word]],Table57[English style name],Table57[Style type]),"")</f>
        <v/>
      </c>
      <c r="AM57" s="20"/>
      <c r="AN57" s="11"/>
      <c r="AQ57" s="6" t="s">
        <v>2317</v>
      </c>
      <c r="AR57" t="s">
        <v>2315</v>
      </c>
    </row>
    <row r="58" spans="1:47">
      <c r="E58" s="76"/>
      <c r="F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8" s="13" t="s">
        <v>2994</v>
      </c>
      <c r="H58" s="13"/>
      <c r="I58" s="12">
        <f>Table1[[#This Row],[type]]</f>
        <v>0</v>
      </c>
      <c r="J58" s="62" t="str">
        <f>Table1[[#This Row],[Column42]]&amp;IF(Table1[[#This Row],[Column13]]="","",Table1[[#This Row],[Column13]])&amp;IF(Table1[[#This Row],[mod]]="","",Table1[[#This Row],[mod]])</f>
        <v>__d--print-inline</v>
      </c>
      <c r="K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__d--print-inline</v>
      </c>
      <c r="O58" s="6" t="s">
        <v>2318</v>
      </c>
      <c r="P58" s="6" t="s">
        <v>2318</v>
      </c>
      <c r="Q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" s="29"/>
      <c r="AC58" s="25"/>
      <c r="AD58" s="41"/>
      <c r="AE58" s="41"/>
      <c r="AF58" s="11"/>
      <c r="AH58" s="1" t="str">
        <f>Table1[[#This Row],[html_tag]]&amp;Table1[[#This Row],[html_type]]&amp;Table1[[#This Row],[html_modifier]]</f>
        <v/>
      </c>
      <c r="AL58" s="22" t="str">
        <f>IFERROR(_xlfn.XLOOKUP(Table1[[#This Row],[word]],Table57[English style name],Table57[Style type]),"")</f>
        <v/>
      </c>
      <c r="AM58" s="20"/>
      <c r="AN58" s="11"/>
      <c r="AQ58" s="6" t="s">
        <v>2318</v>
      </c>
      <c r="AR58" t="s">
        <v>2315</v>
      </c>
    </row>
    <row r="59" spans="1:47">
      <c r="E59" s="76"/>
      <c r="F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9" s="13" t="s">
        <v>2994</v>
      </c>
      <c r="H59" s="13"/>
      <c r="I59" s="12">
        <f>Table1[[#This Row],[type]]</f>
        <v>0</v>
      </c>
      <c r="J59" s="62" t="str">
        <f>Table1[[#This Row],[Column42]]&amp;IF(Table1[[#This Row],[Column13]]="","",Table1[[#This Row],[Column13]])&amp;IF(Table1[[#This Row],[mod]]="","",Table1[[#This Row],[mod]])</f>
        <v>__d--print-inline-block</v>
      </c>
      <c r="K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__d--print-inline-block</v>
      </c>
      <c r="O59" s="6" t="s">
        <v>2319</v>
      </c>
      <c r="P59" s="6" t="s">
        <v>2319</v>
      </c>
      <c r="Q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" s="29"/>
      <c r="AC59" s="25"/>
      <c r="AD59" s="41"/>
      <c r="AE59" s="41"/>
      <c r="AF59" s="11"/>
      <c r="AH59" s="1" t="str">
        <f>Table1[[#This Row],[html_tag]]&amp;Table1[[#This Row],[html_type]]&amp;Table1[[#This Row],[html_modifier]]</f>
        <v/>
      </c>
      <c r="AL59" s="22" t="str">
        <f>IFERROR(_xlfn.XLOOKUP(Table1[[#This Row],[word]],Table57[English style name],Table57[Style type]),"")</f>
        <v/>
      </c>
      <c r="AM59" s="20"/>
      <c r="AN59" s="11"/>
      <c r="AQ59" s="6" t="s">
        <v>2319</v>
      </c>
      <c r="AR59" t="s">
        <v>2315</v>
      </c>
    </row>
    <row r="60" spans="1:47">
      <c r="E60" s="76"/>
      <c r="F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60" s="13" t="s">
        <v>2994</v>
      </c>
      <c r="H60" s="13"/>
      <c r="I60" s="12">
        <f>Table1[[#This Row],[type]]</f>
        <v>0</v>
      </c>
      <c r="J60" s="62" t="str">
        <f>Table1[[#This Row],[Column42]]&amp;IF(Table1[[#This Row],[Column13]]="","",Table1[[#This Row],[Column13]])&amp;IF(Table1[[#This Row],[mod]]="","",Table1[[#This Row],[mod]])</f>
        <v>__d--print-inline-flex</v>
      </c>
      <c r="K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__d--print-inline-flex</v>
      </c>
      <c r="O60" s="6" t="s">
        <v>2320</v>
      </c>
      <c r="P60" s="6" t="s">
        <v>2320</v>
      </c>
      <c r="Q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" s="29"/>
      <c r="AC60" s="25"/>
      <c r="AD60" s="41"/>
      <c r="AE60" s="41"/>
      <c r="AF60" s="11"/>
      <c r="AH60" s="1" t="str">
        <f>Table1[[#This Row],[html_tag]]&amp;Table1[[#This Row],[html_type]]&amp;Table1[[#This Row],[html_modifier]]</f>
        <v/>
      </c>
      <c r="AL60" s="22" t="str">
        <f>IFERROR(_xlfn.XLOOKUP(Table1[[#This Row],[word]],Table57[English style name],Table57[Style type]),"")</f>
        <v/>
      </c>
      <c r="AM60" s="20"/>
      <c r="AN60" s="11"/>
      <c r="AQ60" s="6" t="s">
        <v>2320</v>
      </c>
      <c r="AR60" t="s">
        <v>2315</v>
      </c>
    </row>
    <row r="61" spans="1:47">
      <c r="E61" s="76"/>
      <c r="F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61" s="13" t="s">
        <v>2994</v>
      </c>
      <c r="H61" s="13"/>
      <c r="I61" s="12">
        <f>Table1[[#This Row],[type]]</f>
        <v>0</v>
      </c>
      <c r="J61" s="62" t="str">
        <f>Table1[[#This Row],[Column42]]&amp;IF(Table1[[#This Row],[Column13]]="","",Table1[[#This Row],[Column13]])&amp;IF(Table1[[#This Row],[mod]]="","",Table1[[#This Row],[mod]])</f>
        <v>__d--print-none</v>
      </c>
      <c r="K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__d--print-none</v>
      </c>
      <c r="O61" s="6" t="s">
        <v>2321</v>
      </c>
      <c r="P61" s="6" t="s">
        <v>2321</v>
      </c>
      <c r="Q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" s="29"/>
      <c r="AC61" s="25"/>
      <c r="AD61" s="41"/>
      <c r="AE61" s="41"/>
      <c r="AF61" s="11"/>
      <c r="AH61" s="1" t="str">
        <f>Table1[[#This Row],[html_tag]]&amp;Table1[[#This Row],[html_type]]&amp;Table1[[#This Row],[html_modifier]]</f>
        <v/>
      </c>
      <c r="AL61" s="22" t="str">
        <f>IFERROR(_xlfn.XLOOKUP(Table1[[#This Row],[word]],Table57[English style name],Table57[Style type]),"")</f>
        <v/>
      </c>
      <c r="AM61" s="20"/>
      <c r="AN61" s="11"/>
      <c r="AQ61" s="6" t="s">
        <v>2321</v>
      </c>
      <c r="AR61" t="s">
        <v>2315</v>
      </c>
    </row>
    <row r="62" spans="1:47">
      <c r="E62" s="76"/>
      <c r="F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2" s="13"/>
      <c r="H62" s="13"/>
      <c r="I62" s="12">
        <f>Table1[[#This Row],[type]]</f>
        <v>0</v>
      </c>
      <c r="J62" s="62" t="str">
        <f>Table1[[#This Row],[Column42]]&amp;IF(Table1[[#This Row],[Column13]]="","",Table1[[#This Row],[Column13]])&amp;IF(Table1[[#This Row],[mod]]="","",Table1[[#This Row],[mod]])</f>
        <v>__deprecate</v>
      </c>
      <c r="K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__deprecate</v>
      </c>
      <c r="O62" s="6" t="s">
        <v>1505</v>
      </c>
      <c r="P62" s="6" t="s">
        <v>1505</v>
      </c>
      <c r="Q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2" s="29"/>
      <c r="AC62" s="25"/>
      <c r="AD62" s="41"/>
      <c r="AE62" s="41"/>
      <c r="AF62" s="11"/>
      <c r="AH62" s="1" t="str">
        <f>Table1[[#This Row],[html_tag]]&amp;Table1[[#This Row],[html_type]]&amp;Table1[[#This Row],[html_modifier]]</f>
        <v/>
      </c>
      <c r="AL62" s="22" t="str">
        <f>IFERROR(_xlfn.XLOOKUP(Table1[[#This Row],[word]],Table57[English style name],Table57[Style type]),"")</f>
        <v/>
      </c>
      <c r="AM62" s="20"/>
      <c r="AN62" s="11"/>
      <c r="AQ62" s="6" t="s">
        <v>1505</v>
      </c>
      <c r="AR62" t="s">
        <v>1506</v>
      </c>
    </row>
    <row r="63" spans="1:47">
      <c r="E63" s="76"/>
      <c r="F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63" s="13" t="s">
        <v>337</v>
      </c>
      <c r="H63" s="13" t="s">
        <v>2988</v>
      </c>
      <c r="I63" s="12">
        <f>Table1[[#This Row],[type]]</f>
        <v>0</v>
      </c>
      <c r="J63" s="62" t="str">
        <f>Table1[[#This Row],[Column42]]&amp;IF(Table1[[#This Row],[Column13]]="","",Table1[[#This Row],[Column13]])&amp;IF(Table1[[#This Row],[mod]]="","",Table1[[#This Row],[mod]])</f>
        <v>__details_base--base</v>
      </c>
      <c r="K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__details_base</v>
      </c>
      <c r="O63" s="6" t="s">
        <v>2389</v>
      </c>
      <c r="P63" s="6" t="s">
        <v>2389</v>
      </c>
      <c r="Q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3" t="s">
        <v>338</v>
      </c>
      <c r="AB63" s="29"/>
      <c r="AC63" s="25"/>
      <c r="AD63" s="41"/>
      <c r="AE63" s="41"/>
      <c r="AF63" s="11"/>
      <c r="AH63" s="1" t="str">
        <f>Table1[[#This Row],[html_tag]]&amp;Table1[[#This Row],[html_type]]&amp;Table1[[#This Row],[html_modifier]]</f>
        <v/>
      </c>
      <c r="AL63" s="22" t="str">
        <f>IFERROR(_xlfn.XLOOKUP(Table1[[#This Row],[word]],Table57[English style name],Table57[Style type]),"")</f>
        <v/>
      </c>
      <c r="AM63" s="20"/>
      <c r="AN63" s="11"/>
      <c r="AQ63" s="6" t="s">
        <v>2389</v>
      </c>
      <c r="AR63" t="s">
        <v>2390</v>
      </c>
    </row>
    <row r="64" spans="1:47">
      <c r="E64" s="76"/>
      <c r="F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64" s="13" t="s">
        <v>337</v>
      </c>
      <c r="H64" s="13" t="s">
        <v>2988</v>
      </c>
      <c r="I64" s="12">
        <f>Table1[[#This Row],[type]]</f>
        <v>0</v>
      </c>
      <c r="J64" s="62" t="str">
        <f>Table1[[#This Row],[Column42]]&amp;IF(Table1[[#This Row],[Column13]]="","",Table1[[#This Row],[Column13]])&amp;IF(Table1[[#This Row],[mod]]="","",Table1[[#This Row],[mod]])</f>
        <v>__details_open_summary</v>
      </c>
      <c r="K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__details_open_summary</v>
      </c>
      <c r="O64" s="6" t="s">
        <v>2391</v>
      </c>
      <c r="P64" s="6" t="s">
        <v>2391</v>
      </c>
      <c r="Q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4" s="29"/>
      <c r="AC64" s="25"/>
      <c r="AD64" s="41"/>
      <c r="AE64" s="41"/>
      <c r="AF64" s="11"/>
      <c r="AH64" s="1" t="str">
        <f>Table1[[#This Row],[html_tag]]&amp;Table1[[#This Row],[html_type]]&amp;Table1[[#This Row],[html_modifier]]</f>
        <v/>
      </c>
      <c r="AL64" s="22" t="str">
        <f>IFERROR(_xlfn.XLOOKUP(Table1[[#This Row],[word]],Table57[English style name],Table57[Style type]),"")</f>
        <v/>
      </c>
      <c r="AM64" s="20"/>
      <c r="AN64" s="11"/>
      <c r="AQ64" s="6" t="s">
        <v>2391</v>
      </c>
      <c r="AR64" t="s">
        <v>2390</v>
      </c>
    </row>
    <row r="65" spans="1:47">
      <c r="D65" t="s">
        <v>3339</v>
      </c>
      <c r="E65" s="76"/>
      <c r="F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5" s="13"/>
      <c r="H65" s="13"/>
      <c r="I65" s="12">
        <f>Table1[[#This Row],[type]]</f>
        <v>0</v>
      </c>
      <c r="J65" s="62" t="str">
        <f>Table1[[#This Row],[Column42]]&amp;IF(Table1[[#This Row],[Column13]]="","",Table1[[#This Row],[Column13]])&amp;IF(Table1[[#This Row],[mod]]="","",Table1[[#This Row],[mod]])</f>
        <v>__DOI line</v>
      </c>
      <c r="K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__DOI line</v>
      </c>
      <c r="O65" t="s">
        <v>3334</v>
      </c>
      <c r="P65" t="s">
        <v>3334</v>
      </c>
      <c r="Q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5" s="29"/>
      <c r="AC65" s="25"/>
      <c r="AD65" s="41"/>
      <c r="AE65" s="41"/>
      <c r="AF65" s="11"/>
      <c r="AH65" s="7" t="str">
        <f>Table1[[#This Row],[html_tag]]&amp;Table1[[#This Row],[html_type]]&amp;Table1[[#This Row],[html_modifier]]</f>
        <v/>
      </c>
      <c r="AL65" s="23" t="str">
        <f>IFERROR(_xlfn.XLOOKUP(Table1[[#This Row],[word]],Table57[English style name],Table57[Style type]),"")</f>
        <v/>
      </c>
      <c r="AM65" s="21"/>
      <c r="AN65" s="11"/>
    </row>
    <row r="66" spans="1:47">
      <c r="A66" s="68"/>
      <c r="B66" s="68"/>
      <c r="C66" s="68"/>
      <c r="D66" s="69"/>
      <c r="E66" s="84"/>
      <c r="F66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6" s="13"/>
      <c r="H66" s="13"/>
      <c r="I66" s="85">
        <f>Table1[[#This Row],[type]]</f>
        <v>0</v>
      </c>
      <c r="J66" s="72" t="str">
        <f>Table1[[#This Row],[Column42]]&amp;IF(Table1[[#This Row],[Column13]]="","",Table1[[#This Row],[Column13]])&amp;IF(Table1[[#This Row],[mod]]="","",Table1[[#This Row],[mod]])</f>
        <v>__expanded</v>
      </c>
      <c r="K66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__expanded</v>
      </c>
      <c r="N66" t="s">
        <v>10216</v>
      </c>
      <c r="Q66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" s="29"/>
      <c r="AC66" s="25"/>
      <c r="AD66" s="41"/>
      <c r="AE66" s="41"/>
      <c r="AF66" s="11" t="s">
        <v>226</v>
      </c>
      <c r="AH66" s="75" t="str">
        <f>Table1[[#This Row],[html_tag]]&amp;Table1[[#This Row],[html_type]]&amp;Table1[[#This Row],[html_modifier]]</f>
        <v/>
      </c>
      <c r="AL66" s="23" t="str">
        <f>IFERROR(_xlfn.XLOOKUP(Table1[[#This Row],[word]],Table57[English style name],Table57[Style type]),"")</f>
        <v/>
      </c>
      <c r="AM66" s="21"/>
      <c r="AN66" s="70"/>
      <c r="AO66" s="67"/>
      <c r="AP66" s="67"/>
      <c r="AQ66" s="67"/>
      <c r="AR66" s="67"/>
      <c r="AS66" s="67"/>
      <c r="AT66" s="67"/>
      <c r="AU66" s="67"/>
    </row>
    <row r="67" spans="1:47">
      <c r="E67" s="76"/>
      <c r="F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67" s="13" t="s">
        <v>2994</v>
      </c>
      <c r="H67" s="13"/>
      <c r="I67" s="12">
        <f>Table1[[#This Row],[type]]</f>
        <v>0</v>
      </c>
      <c r="J67" s="62" t="str">
        <f>Table1[[#This Row],[Column42]]&amp;IF(Table1[[#This Row],[Column13]]="","",Table1[[#This Row],[Column13]])&amp;IF(Table1[[#This Row],[mod]]="","",Table1[[#This Row],[mod]])</f>
        <v>__focus-ring</v>
      </c>
      <c r="K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</v>
      </c>
      <c r="O67" s="6" t="s">
        <v>1619</v>
      </c>
      <c r="P67" s="6" t="s">
        <v>1619</v>
      </c>
      <c r="Q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" s="29"/>
      <c r="AC67" s="25"/>
      <c r="AD67" s="41"/>
      <c r="AE67" s="41"/>
      <c r="AF67" s="11"/>
      <c r="AH67" s="1" t="str">
        <f>Table1[[#This Row],[html_tag]]&amp;Table1[[#This Row],[html_type]]&amp;Table1[[#This Row],[html_modifier]]</f>
        <v/>
      </c>
      <c r="AL67" s="22" t="str">
        <f>IFERROR(_xlfn.XLOOKUP(Table1[[#This Row],[word]],Table57[English style name],Table57[Style type]),"")</f>
        <v/>
      </c>
      <c r="AM67" s="20"/>
      <c r="AN67" s="11"/>
      <c r="AQ67" s="6" t="s">
        <v>1619</v>
      </c>
      <c r="AR67" t="s">
        <v>1620</v>
      </c>
    </row>
    <row r="68" spans="1:47">
      <c r="E68" s="76"/>
      <c r="F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68" s="13" t="s">
        <v>2994</v>
      </c>
      <c r="H68" s="13"/>
      <c r="I68" s="12">
        <f>Table1[[#This Row],[type]]</f>
        <v>0</v>
      </c>
      <c r="J68" s="62" t="str">
        <f>Table1[[#This Row],[Column42]]&amp;IF(Table1[[#This Row],[Column13]]="","",Table1[[#This Row],[Column13]])&amp;IF(Table1[[#This Row],[mod]]="","",Table1[[#This Row],[mod]])</f>
        <v>__focus-ring--danger--danger</v>
      </c>
      <c r="K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__focus-ring--danger</v>
      </c>
      <c r="O68" s="6" t="s">
        <v>1621</v>
      </c>
      <c r="P68" s="6" t="s">
        <v>1621</v>
      </c>
      <c r="Q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68" t="s">
        <v>3163</v>
      </c>
      <c r="AB68" s="29"/>
      <c r="AC68" s="25"/>
      <c r="AD68" s="41"/>
      <c r="AE68" s="41"/>
      <c r="AF68" s="11"/>
      <c r="AH68" s="1" t="str">
        <f>Table1[[#This Row],[html_tag]]&amp;Table1[[#This Row],[html_type]]&amp;Table1[[#This Row],[html_modifier]]</f>
        <v/>
      </c>
      <c r="AL68" s="22" t="str">
        <f>IFERROR(_xlfn.XLOOKUP(Table1[[#This Row],[word]],Table57[English style name],Table57[Style type]),"")</f>
        <v/>
      </c>
      <c r="AM68" s="20"/>
      <c r="AN68" s="11"/>
      <c r="AQ68" s="6" t="s">
        <v>1621</v>
      </c>
      <c r="AR68" t="s">
        <v>1620</v>
      </c>
    </row>
    <row r="69" spans="1:47">
      <c r="E69" s="76"/>
      <c r="F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69" s="13" t="s">
        <v>2994</v>
      </c>
      <c r="H69" s="13"/>
      <c r="I69" s="12">
        <f>Table1[[#This Row],[type]]</f>
        <v>0</v>
      </c>
      <c r="J69" s="62" t="str">
        <f>Table1[[#This Row],[Column42]]&amp;IF(Table1[[#This Row],[Column13]]="","",Table1[[#This Row],[Column13]])&amp;IF(Table1[[#This Row],[mod]]="","",Table1[[#This Row],[mod]])</f>
        <v>__focus-ring--info--info</v>
      </c>
      <c r="K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__focus-ring--info</v>
      </c>
      <c r="O69" s="6" t="s">
        <v>1622</v>
      </c>
      <c r="P69" s="6" t="s">
        <v>1622</v>
      </c>
      <c r="Q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69" t="s">
        <v>3119</v>
      </c>
      <c r="AB69" s="29"/>
      <c r="AC69" s="25"/>
      <c r="AD69" s="41"/>
      <c r="AE69" s="41"/>
      <c r="AF69" s="11"/>
      <c r="AH69" s="1" t="str">
        <f>Table1[[#This Row],[html_tag]]&amp;Table1[[#This Row],[html_type]]&amp;Table1[[#This Row],[html_modifier]]</f>
        <v/>
      </c>
      <c r="AL69" s="22" t="str">
        <f>IFERROR(_xlfn.XLOOKUP(Table1[[#This Row],[word]],Table57[English style name],Table57[Style type]),"")</f>
        <v/>
      </c>
      <c r="AM69" s="20"/>
      <c r="AN69" s="11"/>
      <c r="AQ69" s="6" t="s">
        <v>1622</v>
      </c>
      <c r="AR69" t="s">
        <v>1620</v>
      </c>
    </row>
    <row r="70" spans="1:47">
      <c r="E70" s="76"/>
      <c r="F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70" s="13" t="s">
        <v>2994</v>
      </c>
      <c r="H70" s="13"/>
      <c r="I70" s="12">
        <f>Table1[[#This Row],[type]]</f>
        <v>0</v>
      </c>
      <c r="J70" s="62" t="str">
        <f>Table1[[#This Row],[Column42]]&amp;IF(Table1[[#This Row],[Column13]]="","",Table1[[#This Row],[Column13]])&amp;IF(Table1[[#This Row],[mod]]="","",Table1[[#This Row],[mod]])</f>
        <v>__focus-ring--primary--primary</v>
      </c>
      <c r="K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__focus-ring--primary</v>
      </c>
      <c r="O70" s="6" t="s">
        <v>1623</v>
      </c>
      <c r="P70" s="6" t="s">
        <v>1623</v>
      </c>
      <c r="Q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70" t="s">
        <v>3164</v>
      </c>
      <c r="AB70" s="29"/>
      <c r="AC70" s="25"/>
      <c r="AD70" s="41"/>
      <c r="AE70" s="41"/>
      <c r="AF70" s="11"/>
      <c r="AH70" s="1" t="str">
        <f>Table1[[#This Row],[html_tag]]&amp;Table1[[#This Row],[html_type]]&amp;Table1[[#This Row],[html_modifier]]</f>
        <v/>
      </c>
      <c r="AL70" s="22" t="str">
        <f>IFERROR(_xlfn.XLOOKUP(Table1[[#This Row],[word]],Table57[English style name],Table57[Style type]),"")</f>
        <v/>
      </c>
      <c r="AM70" s="20"/>
      <c r="AN70" s="11"/>
      <c r="AQ70" s="6" t="s">
        <v>1623</v>
      </c>
      <c r="AR70" t="s">
        <v>1620</v>
      </c>
    </row>
    <row r="71" spans="1:47">
      <c r="E71" s="76"/>
      <c r="F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71" s="13" t="s">
        <v>2994</v>
      </c>
      <c r="H71" s="13"/>
      <c r="I71" s="12">
        <f>Table1[[#This Row],[type]]</f>
        <v>0</v>
      </c>
      <c r="J71" s="62" t="str">
        <f>Table1[[#This Row],[Column42]]&amp;IF(Table1[[#This Row],[Column13]]="","",Table1[[#This Row],[Column13]])&amp;IF(Table1[[#This Row],[mod]]="","",Table1[[#This Row],[mod]])</f>
        <v>__focus-ring--success--success</v>
      </c>
      <c r="K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__focus-ring--success</v>
      </c>
      <c r="O71" s="6" t="s">
        <v>1624</v>
      </c>
      <c r="P71" s="6" t="s">
        <v>1624</v>
      </c>
      <c r="Q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71" t="s">
        <v>3120</v>
      </c>
      <c r="AB71" s="29"/>
      <c r="AC71" s="25"/>
      <c r="AD71" s="41"/>
      <c r="AE71" s="41"/>
      <c r="AF71" s="11"/>
      <c r="AH71" s="1" t="str">
        <f>Table1[[#This Row],[html_tag]]&amp;Table1[[#This Row],[html_type]]&amp;Table1[[#This Row],[html_modifier]]</f>
        <v/>
      </c>
      <c r="AL71" s="22" t="str">
        <f>IFERROR(_xlfn.XLOOKUP(Table1[[#This Row],[word]],Table57[English style name],Table57[Style type]),"")</f>
        <v/>
      </c>
      <c r="AM71" s="20"/>
      <c r="AN71" s="11"/>
      <c r="AQ71" s="6" t="s">
        <v>1624</v>
      </c>
      <c r="AR71" t="s">
        <v>1620</v>
      </c>
    </row>
    <row r="72" spans="1:47">
      <c r="E72" s="76"/>
      <c r="F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72" s="13" t="s">
        <v>2994</v>
      </c>
      <c r="H72" s="13"/>
      <c r="I72" s="12">
        <f>Table1[[#This Row],[type]]</f>
        <v>0</v>
      </c>
      <c r="J72" s="62" t="str">
        <f>Table1[[#This Row],[Column42]]&amp;IF(Table1[[#This Row],[Column13]]="","",Table1[[#This Row],[Column13]])&amp;IF(Table1[[#This Row],[mod]]="","",Table1[[#This Row],[mod]])</f>
        <v>__focus-ring--warning--warning</v>
      </c>
      <c r="K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__focus-ring--warning</v>
      </c>
      <c r="O72" s="6" t="s">
        <v>1625</v>
      </c>
      <c r="P72" s="6" t="s">
        <v>1625</v>
      </c>
      <c r="Q7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72" t="s">
        <v>3121</v>
      </c>
      <c r="AB72" s="29"/>
      <c r="AC72" s="25"/>
      <c r="AD72" s="41"/>
      <c r="AE72" s="41"/>
      <c r="AF72" s="11"/>
      <c r="AH72" s="1" t="str">
        <f>Table1[[#This Row],[html_tag]]&amp;Table1[[#This Row],[html_type]]&amp;Table1[[#This Row],[html_modifier]]</f>
        <v/>
      </c>
      <c r="AL72" s="22" t="str">
        <f>IFERROR(_xlfn.XLOOKUP(Table1[[#This Row],[word]],Table57[English style name],Table57[Style type]),"")</f>
        <v/>
      </c>
      <c r="AM72" s="20"/>
      <c r="AN72" s="11"/>
      <c r="AQ72" s="6" t="s">
        <v>1625</v>
      </c>
      <c r="AR72" t="s">
        <v>1620</v>
      </c>
    </row>
    <row r="73" spans="1:47">
      <c r="E73" s="76"/>
      <c r="F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73" s="13" t="s">
        <v>337</v>
      </c>
      <c r="H73" s="13" t="s">
        <v>2987</v>
      </c>
      <c r="I73" s="12">
        <f>Table1[[#This Row],[type]]</f>
        <v>0</v>
      </c>
      <c r="J73" s="62" t="str">
        <f>Table1[[#This Row],[Column42]]&amp;IF(Table1[[#This Row],[Column13]]="","",Table1[[#This Row],[Column13]])&amp;IF(Table1[[#This Row],[mod]]="","",Table1[[#This Row],[mod]])</f>
        <v>__indicator-item--active--active</v>
      </c>
      <c r="K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__indicator-item--active</v>
      </c>
      <c r="O73" s="6" t="s">
        <v>1424</v>
      </c>
      <c r="P73" s="6" t="s">
        <v>1424</v>
      </c>
      <c r="Q7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3" t="s">
        <v>350</v>
      </c>
      <c r="AB73" s="29"/>
      <c r="AC73" s="25"/>
      <c r="AD73" s="41"/>
      <c r="AE73" s="41"/>
      <c r="AF73" s="11"/>
      <c r="AH73" s="1" t="str">
        <f>Table1[[#This Row],[html_tag]]&amp;Table1[[#This Row],[html_type]]&amp;Table1[[#This Row],[html_modifier]]</f>
        <v>:active</v>
      </c>
      <c r="AK73" t="s">
        <v>3015</v>
      </c>
      <c r="AL73" s="22" t="str">
        <f>IFERROR(_xlfn.XLOOKUP(Table1[[#This Row],[word]],Table57[English style name],Table57[Style type]),"")</f>
        <v/>
      </c>
      <c r="AM73" s="20"/>
      <c r="AN73" s="11"/>
      <c r="AQ73" s="6" t="s">
        <v>1424</v>
      </c>
      <c r="AR73" t="s">
        <v>1414</v>
      </c>
    </row>
    <row r="74" spans="1:47">
      <c r="E74" s="76"/>
      <c r="F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74" s="13" t="s">
        <v>337</v>
      </c>
      <c r="H74" s="13" t="s">
        <v>2987</v>
      </c>
      <c r="I74" s="12">
        <f>Table1[[#This Row],[type]]</f>
        <v>0</v>
      </c>
      <c r="J74" s="62" t="str">
        <f>Table1[[#This Row],[Column42]]&amp;IF(Table1[[#This Row],[Column13]]="","",Table1[[#This Row],[Column13]])&amp;IF(Table1[[#This Row],[mod]]="","",Table1[[#This Row],[mod]])</f>
        <v>__indicator-item--base--base</v>
      </c>
      <c r="K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__indicator-item--base</v>
      </c>
      <c r="O74" s="6" t="s">
        <v>1425</v>
      </c>
      <c r="P74" s="6" t="s">
        <v>1425</v>
      </c>
      <c r="Q7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4" t="s">
        <v>338</v>
      </c>
      <c r="AB74" s="29"/>
      <c r="AC74" s="25"/>
      <c r="AD74" s="41"/>
      <c r="AE74" s="41"/>
      <c r="AF74" s="11"/>
      <c r="AH74" s="1" t="str">
        <f>Table1[[#This Row],[html_tag]]&amp;Table1[[#This Row],[html_type]]&amp;Table1[[#This Row],[html_modifier]]</f>
        <v/>
      </c>
      <c r="AL74" s="22" t="str">
        <f>IFERROR(_xlfn.XLOOKUP(Table1[[#This Row],[word]],Table57[English style name],Table57[Style type]),"")</f>
        <v/>
      </c>
      <c r="AM74" s="20"/>
      <c r="AN74" s="11"/>
      <c r="AQ74" s="6" t="s">
        <v>1425</v>
      </c>
      <c r="AR74" t="s">
        <v>1414</v>
      </c>
    </row>
    <row r="75" spans="1:47">
      <c r="E75" s="76"/>
      <c r="F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75" s="13" t="s">
        <v>337</v>
      </c>
      <c r="H75" s="13" t="s">
        <v>2988</v>
      </c>
      <c r="I75" s="12">
        <f>Table1[[#This Row],[type]]</f>
        <v>0</v>
      </c>
      <c r="J75" s="62" t="str">
        <f>Table1[[#This Row],[Column42]]&amp;IF(Table1[[#This Row],[Column13]]="","",Table1[[#This Row],[Column13]])&amp;IF(Table1[[#This Row],[mod]]="","",Table1[[#This Row],[mod]])</f>
        <v>__interface</v>
      </c>
      <c r="K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__interface</v>
      </c>
      <c r="O75" s="6" t="s">
        <v>2003</v>
      </c>
      <c r="P75" s="6" t="s">
        <v>2003</v>
      </c>
      <c r="Q7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5" s="29"/>
      <c r="AC75" s="25"/>
      <c r="AD75" s="41"/>
      <c r="AE75" s="41"/>
      <c r="AF75" s="11"/>
      <c r="AH75" s="1" t="str">
        <f>Table1[[#This Row],[html_tag]]&amp;Table1[[#This Row],[html_type]]&amp;Table1[[#This Row],[html_modifier]]</f>
        <v/>
      </c>
      <c r="AL75" s="22" t="str">
        <f>IFERROR(_xlfn.XLOOKUP(Table1[[#This Row],[word]],Table57[English style name],Table57[Style type]),"")</f>
        <v/>
      </c>
      <c r="AM75" s="20"/>
      <c r="AN75" s="11"/>
      <c r="AQ75" s="6" t="s">
        <v>2003</v>
      </c>
      <c r="AR75" t="s">
        <v>2002</v>
      </c>
    </row>
    <row r="76" spans="1:47">
      <c r="E76" s="76"/>
      <c r="F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soul/line/0.scss</v>
      </c>
      <c r="G76" s="13" t="s">
        <v>2992</v>
      </c>
      <c r="H76" s="13" t="s">
        <v>2993</v>
      </c>
      <c r="I76" s="12">
        <f>Table1[[#This Row],[type]]</f>
        <v>0</v>
      </c>
      <c r="J76" s="62" t="str">
        <f>Table1[[#This Row],[Column42]]&amp;IF(Table1[[#This Row],[Column13]]="","",Table1[[#This Row],[Column13]])&amp;IF(Table1[[#This Row],[mod]]="","",Table1[[#This Row],[mod]])</f>
        <v>__left__no_border--left</v>
      </c>
      <c r="K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__left__no_border--left</v>
      </c>
      <c r="N76" s="3" t="s">
        <v>616</v>
      </c>
      <c r="O76" s="6" t="s">
        <v>1298</v>
      </c>
      <c r="P76" s="6" t="s">
        <v>1298</v>
      </c>
      <c r="Q7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6" s="29"/>
      <c r="AC76" s="25"/>
      <c r="AD76" s="41"/>
      <c r="AE76" s="41"/>
      <c r="AF76" s="11"/>
      <c r="AH76" s="1" t="str">
        <f>Table1[[#This Row],[html_tag]]&amp;Table1[[#This Row],[html_type]]&amp;Table1[[#This Row],[html_modifier]]</f>
        <v/>
      </c>
      <c r="AL76" s="22" t="str">
        <f>IFERROR(_xlfn.XLOOKUP(Table1[[#This Row],[word]],Table57[English style name],Table57[Style type]),"")</f>
        <v/>
      </c>
      <c r="AM76" s="20"/>
      <c r="AN76" s="11"/>
      <c r="AQ76" s="6" t="s">
        <v>1298</v>
      </c>
      <c r="AR76" t="s">
        <v>1282</v>
      </c>
    </row>
    <row r="77" spans="1:47">
      <c r="D77" t="s">
        <v>3339</v>
      </c>
      <c r="E77" s="76"/>
      <c r="F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77" s="13"/>
      <c r="H77" s="13"/>
      <c r="I77" s="12">
        <f>Table1[[#This Row],[type]]</f>
        <v>0</v>
      </c>
      <c r="J77" s="62" t="str">
        <f>Table1[[#This Row],[Column42]]&amp;IF(Table1[[#This Row],[Column13]]="","",Table1[[#This Row],[Column13]])&amp;IF(Table1[[#This Row],[mod]]="","",Table1[[#This Row],[mod]])</f>
        <v>__Legal citation</v>
      </c>
      <c r="K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__Legal citation</v>
      </c>
      <c r="O77" t="s">
        <v>3331</v>
      </c>
      <c r="P77" t="s">
        <v>3331</v>
      </c>
      <c r="Q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" s="29"/>
      <c r="AC77" s="25"/>
      <c r="AD77" s="41"/>
      <c r="AE77" s="41"/>
      <c r="AF77" s="11"/>
      <c r="AH77" s="7" t="str">
        <f>Table1[[#This Row],[html_tag]]&amp;Table1[[#This Row],[html_type]]&amp;Table1[[#This Row],[html_modifier]]</f>
        <v/>
      </c>
      <c r="AL77" s="23" t="str">
        <f>IFERROR(_xlfn.XLOOKUP(Table1[[#This Row],[word]],Table57[English style name],Table57[Style type]),"")</f>
        <v/>
      </c>
      <c r="AM77" s="21"/>
      <c r="AN77" s="11"/>
    </row>
    <row r="78" spans="1:47">
      <c r="E78" s="76"/>
      <c r="F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78" s="13" t="s">
        <v>461</v>
      </c>
      <c r="H78" s="13" t="s">
        <v>2991</v>
      </c>
      <c r="I78" s="12">
        <f>Table1[[#This Row],[type]]</f>
        <v>0</v>
      </c>
      <c r="J78" s="62" t="str">
        <f>Table1[[#This Row],[Column42]]&amp;IF(Table1[[#This Row],[Column13]]="","",Table1[[#This Row],[Column13]])&amp;IF(Table1[[#This Row],[mod]]="","",Table1[[#This Row],[mod]])</f>
        <v>__m--n-01</v>
      </c>
      <c r="K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__m--n-01</v>
      </c>
      <c r="O78" s="6" t="s">
        <v>2125</v>
      </c>
      <c r="P78" s="6" t="s">
        <v>2125</v>
      </c>
      <c r="Q7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" s="29"/>
      <c r="AC78" s="25"/>
      <c r="AD78" s="41"/>
      <c r="AE78" s="41"/>
      <c r="AF78" s="11"/>
      <c r="AH78" s="1" t="str">
        <f>Table1[[#This Row],[html_tag]]&amp;Table1[[#This Row],[html_type]]&amp;Table1[[#This Row],[html_modifier]]</f>
        <v/>
      </c>
      <c r="AL78" s="22" t="str">
        <f>IFERROR(_xlfn.XLOOKUP(Table1[[#This Row],[word]],Table57[English style name],Table57[Style type]),"")</f>
        <v/>
      </c>
      <c r="AM78" s="20"/>
      <c r="AN78" s="11"/>
      <c r="AQ78" s="6" t="s">
        <v>2125</v>
      </c>
      <c r="AR78" t="s">
        <v>2126</v>
      </c>
    </row>
    <row r="79" spans="1:47">
      <c r="E79" s="76"/>
      <c r="F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79" s="13" t="s">
        <v>461</v>
      </c>
      <c r="H79" s="13" t="s">
        <v>2991</v>
      </c>
      <c r="I79" s="12">
        <f>Table1[[#This Row],[type]]</f>
        <v>0</v>
      </c>
      <c r="J79" s="62" t="str">
        <f>Table1[[#This Row],[Column42]]&amp;IF(Table1[[#This Row],[Column13]]="","",Table1[[#This Row],[Column13]])&amp;IF(Table1[[#This Row],[mod]]="","",Table1[[#This Row],[mod]])</f>
        <v>__m--n-02</v>
      </c>
      <c r="K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__m--n-02</v>
      </c>
      <c r="O79" s="6" t="s">
        <v>2127</v>
      </c>
      <c r="P79" s="6" t="s">
        <v>2127</v>
      </c>
      <c r="Q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" s="29"/>
      <c r="AC79" s="25"/>
      <c r="AD79" s="41"/>
      <c r="AE79" s="41"/>
      <c r="AF79" s="11"/>
      <c r="AH79" s="1" t="str">
        <f>Table1[[#This Row],[html_tag]]&amp;Table1[[#This Row],[html_type]]&amp;Table1[[#This Row],[html_modifier]]</f>
        <v/>
      </c>
      <c r="AL79" s="22" t="str">
        <f>IFERROR(_xlfn.XLOOKUP(Table1[[#This Row],[word]],Table57[English style name],Table57[Style type]),"")</f>
        <v/>
      </c>
      <c r="AM79" s="20"/>
      <c r="AN79" s="11"/>
      <c r="AQ79" s="6" t="s">
        <v>2127</v>
      </c>
      <c r="AR79" t="s">
        <v>2126</v>
      </c>
    </row>
    <row r="80" spans="1:47">
      <c r="E80" s="76"/>
      <c r="F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80" s="13" t="s">
        <v>461</v>
      </c>
      <c r="H80" s="13" t="s">
        <v>2991</v>
      </c>
      <c r="I80" s="12">
        <f>Table1[[#This Row],[type]]</f>
        <v>0</v>
      </c>
      <c r="J80" s="62" t="str">
        <f>Table1[[#This Row],[Column42]]&amp;IF(Table1[[#This Row],[Column13]]="","",Table1[[#This Row],[Column13]])&amp;IF(Table1[[#This Row],[mod]]="","",Table1[[#This Row],[mod]])</f>
        <v>__m--n-04</v>
      </c>
      <c r="K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__m--n-04</v>
      </c>
      <c r="O80" s="6" t="s">
        <v>2128</v>
      </c>
      <c r="P80" s="6" t="s">
        <v>2128</v>
      </c>
      <c r="Q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" s="29"/>
      <c r="AC80" s="25"/>
      <c r="AD80" s="41"/>
      <c r="AE80" s="41"/>
      <c r="AF80" s="11"/>
      <c r="AH80" s="1" t="str">
        <f>Table1[[#This Row],[html_tag]]&amp;Table1[[#This Row],[html_type]]&amp;Table1[[#This Row],[html_modifier]]</f>
        <v/>
      </c>
      <c r="AL80" s="22" t="str">
        <f>IFERROR(_xlfn.XLOOKUP(Table1[[#This Row],[word]],Table57[English style name],Table57[Style type]),"")</f>
        <v/>
      </c>
      <c r="AM80" s="20"/>
      <c r="AN80" s="11"/>
      <c r="AQ80" s="6" t="s">
        <v>2128</v>
      </c>
      <c r="AR80" t="s">
        <v>2126</v>
      </c>
    </row>
    <row r="81" spans="4:44">
      <c r="E81" s="76"/>
      <c r="F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81" s="13" t="s">
        <v>461</v>
      </c>
      <c r="H81" s="13" t="s">
        <v>2991</v>
      </c>
      <c r="I81" s="12">
        <f>Table1[[#This Row],[type]]</f>
        <v>0</v>
      </c>
      <c r="J81" s="62" t="str">
        <f>Table1[[#This Row],[Column42]]&amp;IF(Table1[[#This Row],[Column13]]="","",Table1[[#This Row],[Column13]])&amp;IF(Table1[[#This Row],[mod]]="","",Table1[[#This Row],[mod]])</f>
        <v>__m--n-08</v>
      </c>
      <c r="K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__m--n-08</v>
      </c>
      <c r="O81" s="6" t="s">
        <v>2129</v>
      </c>
      <c r="P81" s="6" t="s">
        <v>2129</v>
      </c>
      <c r="Q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" s="29"/>
      <c r="AC81" s="25"/>
      <c r="AD81" s="41"/>
      <c r="AE81" s="41"/>
      <c r="AF81" s="11"/>
      <c r="AH81" s="1" t="str">
        <f>Table1[[#This Row],[html_tag]]&amp;Table1[[#This Row],[html_type]]&amp;Table1[[#This Row],[html_modifier]]</f>
        <v/>
      </c>
      <c r="AL81" s="22" t="str">
        <f>IFERROR(_xlfn.XLOOKUP(Table1[[#This Row],[word]],Table57[English style name],Table57[Style type]),"")</f>
        <v/>
      </c>
      <c r="AM81" s="20"/>
      <c r="AN81" s="11"/>
      <c r="AQ81" s="6" t="s">
        <v>2129</v>
      </c>
      <c r="AR81" t="s">
        <v>2126</v>
      </c>
    </row>
    <row r="82" spans="4:44">
      <c r="E82" s="76"/>
      <c r="F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head/content/0.scss</v>
      </c>
      <c r="G82" s="13" t="s">
        <v>461</v>
      </c>
      <c r="H82" s="13" t="s">
        <v>2990</v>
      </c>
      <c r="I82" s="12">
        <f>Table1[[#This Row],[type]]</f>
        <v>0</v>
      </c>
      <c r="J82" s="62" t="str">
        <f>Table1[[#This Row],[Column42]]&amp;IF(Table1[[#This Row],[Column13]]="","",Table1[[#This Row],[Column13]])&amp;IF(Table1[[#This Row],[mod]]="","",Table1[[#This Row],[mod]])</f>
        <v>__main_content</v>
      </c>
      <c r="K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</v>
      </c>
      <c r="O82" s="6" t="s">
        <v>2081</v>
      </c>
      <c r="P82" s="6" t="s">
        <v>2081</v>
      </c>
      <c r="Q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" s="29"/>
      <c r="AC82" s="25"/>
      <c r="AD82" s="41"/>
      <c r="AE82" s="41"/>
      <c r="AF82" s="11"/>
      <c r="AH82" s="1" t="str">
        <f>Table1[[#This Row],[html_tag]]&amp;Table1[[#This Row],[html_type]]&amp;Table1[[#This Row],[html_modifier]]</f>
        <v/>
      </c>
      <c r="AL82" s="22" t="str">
        <f>IFERROR(_xlfn.XLOOKUP(Table1[[#This Row],[word]],Table57[English style name],Table57[Style type]),"")</f>
        <v/>
      </c>
      <c r="AM82" s="20"/>
      <c r="AN82" s="11"/>
      <c r="AQ82" s="6" t="s">
        <v>2081</v>
      </c>
      <c r="AR82" t="s">
        <v>2082</v>
      </c>
    </row>
    <row r="83" spans="4:44">
      <c r="E83" s="76"/>
      <c r="F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head/content/0.scss</v>
      </c>
      <c r="G83" s="13" t="s">
        <v>461</v>
      </c>
      <c r="H83" s="13" t="s">
        <v>2990</v>
      </c>
      <c r="I83" s="12">
        <f>Table1[[#This Row],[type]]</f>
        <v>0</v>
      </c>
      <c r="J83" s="62" t="str">
        <f>Table1[[#This Row],[Column42]]&amp;IF(Table1[[#This Row],[Column13]]="","",Table1[[#This Row],[Column13]])&amp;IF(Table1[[#This Row],[mod]]="","",Table1[[#This Row],[mod]])</f>
        <v>__main_content_section_footer</v>
      </c>
      <c r="K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__main_content_section_footer</v>
      </c>
      <c r="O83" s="6" t="s">
        <v>2083</v>
      </c>
      <c r="P83" s="6" t="s">
        <v>2083</v>
      </c>
      <c r="Q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3" s="29"/>
      <c r="AC83" s="25"/>
      <c r="AD83" s="41"/>
      <c r="AE83" s="41"/>
      <c r="AF83" s="11"/>
      <c r="AH83" s="1" t="str">
        <f>Table1[[#This Row],[html_tag]]&amp;Table1[[#This Row],[html_type]]&amp;Table1[[#This Row],[html_modifier]]</f>
        <v/>
      </c>
      <c r="AL83" s="22" t="str">
        <f>IFERROR(_xlfn.XLOOKUP(Table1[[#This Row],[word]],Table57[English style name],Table57[Style type]),"")</f>
        <v/>
      </c>
      <c r="AM83" s="20"/>
      <c r="AN83" s="11"/>
      <c r="AQ83" s="6" t="s">
        <v>2083</v>
      </c>
      <c r="AR83" t="s">
        <v>2082</v>
      </c>
    </row>
    <row r="84" spans="4:44">
      <c r="E84" s="76"/>
      <c r="F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head/content/0.scss</v>
      </c>
      <c r="G84" s="13" t="s">
        <v>461</v>
      </c>
      <c r="H84" s="13" t="s">
        <v>2990</v>
      </c>
      <c r="I84" s="12">
        <f>Table1[[#This Row],[type]]</f>
        <v>0</v>
      </c>
      <c r="J84" s="62" t="str">
        <f>Table1[[#This Row],[Column42]]&amp;IF(Table1[[#This Row],[Column13]]="","",Table1[[#This Row],[Column13]])&amp;IF(Table1[[#This Row],[mod]]="","",Table1[[#This Row],[mod]])</f>
        <v>__main_content_section_header</v>
      </c>
      <c r="K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__main_content_section_header</v>
      </c>
      <c r="O84" t="s">
        <v>2084</v>
      </c>
      <c r="P84" t="s">
        <v>2084</v>
      </c>
      <c r="Q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" s="29"/>
      <c r="AC84" s="25"/>
      <c r="AD84" s="41"/>
      <c r="AE84" s="41"/>
      <c r="AF84" s="11"/>
      <c r="AH84" s="1" t="str">
        <f>Table1[[#This Row],[html_tag]]&amp;Table1[[#This Row],[html_type]]&amp;Table1[[#This Row],[html_modifier]]</f>
        <v/>
      </c>
      <c r="AL84" s="22" t="str">
        <f>IFERROR(_xlfn.XLOOKUP(Table1[[#This Row],[word]],Table57[English style name],Table57[Style type]),"")</f>
        <v/>
      </c>
      <c r="AM84" s="20"/>
      <c r="AN84" s="11"/>
      <c r="AQ84" s="6" t="s">
        <v>2084</v>
      </c>
      <c r="AR84" t="s">
        <v>2082</v>
      </c>
    </row>
    <row r="85" spans="4:44">
      <c r="E85" s="76"/>
      <c r="F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head/content/0.scss</v>
      </c>
      <c r="G85" s="13" t="s">
        <v>461</v>
      </c>
      <c r="H85" s="13" t="s">
        <v>2990</v>
      </c>
      <c r="I85" s="12">
        <f>Table1[[#This Row],[type]]</f>
        <v>0</v>
      </c>
      <c r="J85" s="62" t="str">
        <f>Table1[[#This Row],[Column42]]&amp;IF(Table1[[#This Row],[Column13]]="","",Table1[[#This Row],[Column13]])&amp;IF(Table1[[#This Row],[mod]]="","",Table1[[#This Row],[mod]])</f>
        <v>__main_content_section_main</v>
      </c>
      <c r="K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__main_content_section_main</v>
      </c>
      <c r="O85" s="6" t="s">
        <v>2085</v>
      </c>
      <c r="P85" s="6" t="s">
        <v>2085</v>
      </c>
      <c r="Q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" s="29"/>
      <c r="AC85" s="25"/>
      <c r="AD85" s="41"/>
      <c r="AE85" s="41"/>
      <c r="AF85" s="11"/>
      <c r="AH85" s="1" t="str">
        <f>Table1[[#This Row],[html_tag]]&amp;Table1[[#This Row],[html_type]]&amp;Table1[[#This Row],[html_modifier]]</f>
        <v/>
      </c>
      <c r="AL85" s="22" t="str">
        <f>IFERROR(_xlfn.XLOOKUP(Table1[[#This Row],[word]],Table57[English style name],Table57[Style type]),"")</f>
        <v/>
      </c>
      <c r="AM85" s="20"/>
      <c r="AN85" s="11"/>
      <c r="AQ85" s="6" t="s">
        <v>2085</v>
      </c>
      <c r="AR85" t="s">
        <v>2082</v>
      </c>
    </row>
    <row r="86" spans="4:44">
      <c r="E86" s="76"/>
      <c r="F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head/content/0.scss</v>
      </c>
      <c r="G86" s="13" t="s">
        <v>461</v>
      </c>
      <c r="H86" s="13" t="s">
        <v>2990</v>
      </c>
      <c r="I86" s="12">
        <f>Table1[[#This Row],[type]]</f>
        <v>0</v>
      </c>
      <c r="J86" s="62" t="str">
        <f>Table1[[#This Row],[Column42]]&amp;IF(Table1[[#This Row],[Column13]]="","",Table1[[#This Row],[Column13]])&amp;IF(Table1[[#This Row],[mod]]="","",Table1[[#This Row],[mod]])</f>
        <v>__main_footer</v>
      </c>
      <c r="K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__main_footer</v>
      </c>
      <c r="O86" s="6" t="s">
        <v>2086</v>
      </c>
      <c r="P86" s="6" t="s">
        <v>2086</v>
      </c>
      <c r="Q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" s="29"/>
      <c r="AC86" s="25"/>
      <c r="AD86" s="41"/>
      <c r="AE86" s="41"/>
      <c r="AF86" s="11"/>
      <c r="AH86" s="1" t="str">
        <f>Table1[[#This Row],[html_tag]]&amp;Table1[[#This Row],[html_type]]&amp;Table1[[#This Row],[html_modifier]]</f>
        <v/>
      </c>
      <c r="AL86" s="22" t="str">
        <f>IFERROR(_xlfn.XLOOKUP(Table1[[#This Row],[word]],Table57[English style name],Table57[Style type]),"")</f>
        <v/>
      </c>
      <c r="AM86" s="20"/>
      <c r="AN86" s="11"/>
      <c r="AQ86" s="6" t="s">
        <v>2086</v>
      </c>
      <c r="AR86" t="s">
        <v>2082</v>
      </c>
    </row>
    <row r="87" spans="4:44">
      <c r="E87" s="76"/>
      <c r="F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87" s="13" t="s">
        <v>337</v>
      </c>
      <c r="H87" s="13" t="s">
        <v>2987</v>
      </c>
      <c r="I87" s="12">
        <f>Table1[[#This Row],[type]]</f>
        <v>0</v>
      </c>
      <c r="J87" s="62" t="str">
        <f>Table1[[#This Row],[Column42]]&amp;IF(Table1[[#This Row],[Column13]]="","",Table1[[#This Row],[Column13]])&amp;IF(Table1[[#This Row],[mod]]="","",Table1[[#This Row],[mod]])</f>
        <v>__materialboxed--disabled--disabled</v>
      </c>
      <c r="K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__materialboxed--disabled</v>
      </c>
      <c r="O87" s="6" t="s">
        <v>1426</v>
      </c>
      <c r="P87" s="6" t="s">
        <v>1426</v>
      </c>
      <c r="Q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87" t="s">
        <v>3032</v>
      </c>
      <c r="AB87" s="29"/>
      <c r="AC87" s="25"/>
      <c r="AD87" s="41"/>
      <c r="AE87" s="41"/>
      <c r="AF87" s="11"/>
      <c r="AH87" s="1" t="str">
        <f>Table1[[#This Row],[html_tag]]&amp;Table1[[#This Row],[html_type]]&amp;Table1[[#This Row],[html_modifier]]</f>
        <v>:disabled</v>
      </c>
      <c r="AK87" t="s">
        <v>3024</v>
      </c>
      <c r="AL87" s="22" t="str">
        <f>IFERROR(_xlfn.XLOOKUP(Table1[[#This Row],[word]],Table57[English style name],Table57[Style type]),"")</f>
        <v/>
      </c>
      <c r="AM87" s="20"/>
      <c r="AN87" s="11"/>
      <c r="AQ87" s="6" t="s">
        <v>1426</v>
      </c>
      <c r="AR87" t="s">
        <v>1414</v>
      </c>
    </row>
    <row r="88" spans="4:44">
      <c r="E88" s="76"/>
      <c r="F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88" s="13" t="s">
        <v>461</v>
      </c>
      <c r="H88" s="13" t="s">
        <v>2991</v>
      </c>
      <c r="I88" s="12">
        <f>Table1[[#This Row],[type]]</f>
        <v>0</v>
      </c>
      <c r="J88" s="62" t="str">
        <f>Table1[[#This Row],[Column42]]&amp;IF(Table1[[#This Row],[Column13]]="","",Table1[[#This Row],[Column13]])&amp;IF(Table1[[#This Row],[mod]]="","",Table1[[#This Row],[mod]])</f>
        <v>__mb--n-01</v>
      </c>
      <c r="K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__mb--n-01</v>
      </c>
      <c r="O88" s="6" t="s">
        <v>2130</v>
      </c>
      <c r="P88" s="6" t="s">
        <v>2130</v>
      </c>
      <c r="Q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8" s="29"/>
      <c r="AC88" s="25"/>
      <c r="AD88" s="41"/>
      <c r="AE88" s="41"/>
      <c r="AF88" s="11"/>
      <c r="AH88" s="1" t="str">
        <f>Table1[[#This Row],[html_tag]]&amp;Table1[[#This Row],[html_type]]&amp;Table1[[#This Row],[html_modifier]]</f>
        <v/>
      </c>
      <c r="AL88" s="22" t="str">
        <f>IFERROR(_xlfn.XLOOKUP(Table1[[#This Row],[word]],Table57[English style name],Table57[Style type]),"")</f>
        <v/>
      </c>
      <c r="AM88" s="20"/>
      <c r="AN88" s="11"/>
      <c r="AQ88" s="6" t="s">
        <v>2130</v>
      </c>
      <c r="AR88" t="s">
        <v>2126</v>
      </c>
    </row>
    <row r="89" spans="4:44">
      <c r="E89" s="76"/>
      <c r="F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89" s="13" t="s">
        <v>461</v>
      </c>
      <c r="H89" s="13" t="s">
        <v>2991</v>
      </c>
      <c r="I89" s="12">
        <f>Table1[[#This Row],[type]]</f>
        <v>0</v>
      </c>
      <c r="J89" s="62" t="str">
        <f>Table1[[#This Row],[Column42]]&amp;IF(Table1[[#This Row],[Column13]]="","",Table1[[#This Row],[Column13]])&amp;IF(Table1[[#This Row],[mod]]="","",Table1[[#This Row],[mod]])</f>
        <v>__mb--n-02</v>
      </c>
      <c r="K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__mb--n-02</v>
      </c>
      <c r="O89" s="6" t="s">
        <v>2131</v>
      </c>
      <c r="P89" s="6" t="s">
        <v>2131</v>
      </c>
      <c r="Q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" s="29"/>
      <c r="AC89" s="25"/>
      <c r="AD89" s="41"/>
      <c r="AE89" s="41"/>
      <c r="AF89" s="11"/>
      <c r="AH89" s="1" t="str">
        <f>Table1[[#This Row],[html_tag]]&amp;Table1[[#This Row],[html_type]]&amp;Table1[[#This Row],[html_modifier]]</f>
        <v/>
      </c>
      <c r="AL89" s="22" t="str">
        <f>IFERROR(_xlfn.XLOOKUP(Table1[[#This Row],[word]],Table57[English style name],Table57[Style type]),"")</f>
        <v/>
      </c>
      <c r="AM89" s="20"/>
      <c r="AN89" s="11"/>
      <c r="AQ89" s="6" t="s">
        <v>2131</v>
      </c>
      <c r="AR89" t="s">
        <v>2126</v>
      </c>
    </row>
    <row r="90" spans="4:44">
      <c r="E90" s="76"/>
      <c r="F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0" s="13" t="s">
        <v>461</v>
      </c>
      <c r="H90" s="13" t="s">
        <v>2991</v>
      </c>
      <c r="I90" s="12">
        <f>Table1[[#This Row],[type]]</f>
        <v>0</v>
      </c>
      <c r="J90" s="62" t="str">
        <f>Table1[[#This Row],[Column42]]&amp;IF(Table1[[#This Row],[Column13]]="","",Table1[[#This Row],[Column13]])&amp;IF(Table1[[#This Row],[mod]]="","",Table1[[#This Row],[mod]])</f>
        <v>__mb--n-04</v>
      </c>
      <c r="K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__mb--n-04</v>
      </c>
      <c r="O90" s="6" t="s">
        <v>2132</v>
      </c>
      <c r="P90" s="6" t="s">
        <v>2132</v>
      </c>
      <c r="Q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" s="29"/>
      <c r="AC90" s="25"/>
      <c r="AD90" s="41"/>
      <c r="AE90" s="41"/>
      <c r="AF90" s="11"/>
      <c r="AH90" s="1" t="str">
        <f>Table1[[#This Row],[html_tag]]&amp;Table1[[#This Row],[html_type]]&amp;Table1[[#This Row],[html_modifier]]</f>
        <v/>
      </c>
      <c r="AL90" s="22" t="str">
        <f>IFERROR(_xlfn.XLOOKUP(Table1[[#This Row],[word]],Table57[English style name],Table57[Style type]),"")</f>
        <v/>
      </c>
      <c r="AM90" s="20"/>
      <c r="AN90" s="11"/>
      <c r="AQ90" s="6" t="s">
        <v>2132</v>
      </c>
      <c r="AR90" t="s">
        <v>2126</v>
      </c>
    </row>
    <row r="91" spans="4:44">
      <c r="E91" s="76"/>
      <c r="F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1" s="13" t="s">
        <v>461</v>
      </c>
      <c r="H91" s="13" t="s">
        <v>2991</v>
      </c>
      <c r="I91" s="12">
        <f>Table1[[#This Row],[type]]</f>
        <v>0</v>
      </c>
      <c r="J91" s="62" t="str">
        <f>Table1[[#This Row],[Column42]]&amp;IF(Table1[[#This Row],[Column13]]="","",Table1[[#This Row],[Column13]])&amp;IF(Table1[[#This Row],[mod]]="","",Table1[[#This Row],[mod]])</f>
        <v>__mb--n-08</v>
      </c>
      <c r="K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__mb--n-08</v>
      </c>
      <c r="O91" s="6" t="s">
        <v>2133</v>
      </c>
      <c r="P91" s="6" t="s">
        <v>2133</v>
      </c>
      <c r="Q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1" s="29"/>
      <c r="AC91" s="25"/>
      <c r="AD91" s="41"/>
      <c r="AE91" s="41"/>
      <c r="AF91" s="11"/>
      <c r="AH91" s="1" t="str">
        <f>Table1[[#This Row],[html_tag]]&amp;Table1[[#This Row],[html_type]]&amp;Table1[[#This Row],[html_modifier]]</f>
        <v/>
      </c>
      <c r="AL91" s="22" t="str">
        <f>IFERROR(_xlfn.XLOOKUP(Table1[[#This Row],[word]],Table57[English style name],Table57[Style type]),"")</f>
        <v/>
      </c>
      <c r="AM91" s="20"/>
      <c r="AN91" s="11"/>
      <c r="AQ91" s="6" t="s">
        <v>2133</v>
      </c>
      <c r="AR91" t="s">
        <v>2126</v>
      </c>
    </row>
    <row r="92" spans="4:44">
      <c r="E92" s="76"/>
      <c r="F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2" s="13" t="s">
        <v>461</v>
      </c>
      <c r="H92" s="13" t="s">
        <v>2991</v>
      </c>
      <c r="I92" s="12">
        <f>Table1[[#This Row],[type]]</f>
        <v>0</v>
      </c>
      <c r="J92" s="62" t="str">
        <f>Table1[[#This Row],[Column42]]&amp;IF(Table1[[#This Row],[Column13]]="","",Table1[[#This Row],[Column13]])&amp;IF(Table1[[#This Row],[mod]]="","",Table1[[#This Row],[mod]])</f>
        <v>__me--n-01</v>
      </c>
      <c r="K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__me--n-01</v>
      </c>
      <c r="O92" s="6" t="s">
        <v>2134</v>
      </c>
      <c r="P92" s="6" t="s">
        <v>2134</v>
      </c>
      <c r="Q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" s="29"/>
      <c r="AC92" s="25"/>
      <c r="AD92" s="41"/>
      <c r="AE92" s="41"/>
      <c r="AF92" s="11"/>
      <c r="AH92" s="1" t="str">
        <f>Table1[[#This Row],[html_tag]]&amp;Table1[[#This Row],[html_type]]&amp;Table1[[#This Row],[html_modifier]]</f>
        <v/>
      </c>
      <c r="AL92" s="22" t="str">
        <f>IFERROR(_xlfn.XLOOKUP(Table1[[#This Row],[word]],Table57[English style name],Table57[Style type]),"")</f>
        <v/>
      </c>
      <c r="AM92" s="20"/>
      <c r="AN92" s="11"/>
      <c r="AQ92" s="6" t="s">
        <v>2134</v>
      </c>
      <c r="AR92" t="s">
        <v>2126</v>
      </c>
    </row>
    <row r="93" spans="4:44">
      <c r="E93" s="76"/>
      <c r="F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3" s="13" t="s">
        <v>461</v>
      </c>
      <c r="H93" s="13" t="s">
        <v>2991</v>
      </c>
      <c r="I93" s="12">
        <f>Table1[[#This Row],[type]]</f>
        <v>0</v>
      </c>
      <c r="J93" s="62" t="str">
        <f>Table1[[#This Row],[Column42]]&amp;IF(Table1[[#This Row],[Column13]]="","",Table1[[#This Row],[Column13]])&amp;IF(Table1[[#This Row],[mod]]="","",Table1[[#This Row],[mod]])</f>
        <v>__me--n-02</v>
      </c>
      <c r="K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__me--n-02</v>
      </c>
      <c r="O93" s="6" t="s">
        <v>2135</v>
      </c>
      <c r="P93" s="6" t="s">
        <v>2135</v>
      </c>
      <c r="Q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" s="29"/>
      <c r="AC93" s="25"/>
      <c r="AD93" s="41"/>
      <c r="AE93" s="41"/>
      <c r="AF93" s="11"/>
      <c r="AH93" s="1" t="str">
        <f>Table1[[#This Row],[html_tag]]&amp;Table1[[#This Row],[html_type]]&amp;Table1[[#This Row],[html_modifier]]</f>
        <v/>
      </c>
      <c r="AL93" s="22" t="str">
        <f>IFERROR(_xlfn.XLOOKUP(Table1[[#This Row],[word]],Table57[English style name],Table57[Style type]),"")</f>
        <v/>
      </c>
      <c r="AM93" s="20"/>
      <c r="AN93" s="11"/>
      <c r="AQ93" s="6" t="s">
        <v>2135</v>
      </c>
      <c r="AR93" t="s">
        <v>2126</v>
      </c>
    </row>
    <row r="94" spans="4:44">
      <c r="E94" s="76"/>
      <c r="F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4" s="13" t="s">
        <v>461</v>
      </c>
      <c r="H94" s="13" t="s">
        <v>2991</v>
      </c>
      <c r="I94" s="12">
        <f>Table1[[#This Row],[type]]</f>
        <v>0</v>
      </c>
      <c r="J94" s="62" t="str">
        <f>Table1[[#This Row],[Column42]]&amp;IF(Table1[[#This Row],[Column13]]="","",Table1[[#This Row],[Column13]])&amp;IF(Table1[[#This Row],[mod]]="","",Table1[[#This Row],[mod]])</f>
        <v>__me--n-04</v>
      </c>
      <c r="K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__me--n-04</v>
      </c>
      <c r="O94" s="6" t="s">
        <v>2136</v>
      </c>
      <c r="P94" s="6" t="s">
        <v>2136</v>
      </c>
      <c r="Q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" s="29"/>
      <c r="AC94" s="25"/>
      <c r="AD94" s="41"/>
      <c r="AE94" s="41"/>
      <c r="AF94" s="11"/>
      <c r="AH94" s="1" t="str">
        <f>Table1[[#This Row],[html_tag]]&amp;Table1[[#This Row],[html_type]]&amp;Table1[[#This Row],[html_modifier]]</f>
        <v/>
      </c>
      <c r="AL94" s="22" t="str">
        <f>IFERROR(_xlfn.XLOOKUP(Table1[[#This Row],[word]],Table57[English style name],Table57[Style type]),"")</f>
        <v/>
      </c>
      <c r="AM94" s="20"/>
      <c r="AN94" s="11"/>
      <c r="AQ94" s="6" t="s">
        <v>2136</v>
      </c>
      <c r="AR94" t="s">
        <v>2126</v>
      </c>
    </row>
    <row r="95" spans="4:44">
      <c r="E95" s="76"/>
      <c r="F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5" s="13" t="s">
        <v>461</v>
      </c>
      <c r="H95" s="13" t="s">
        <v>2991</v>
      </c>
      <c r="I95" s="12">
        <f>Table1[[#This Row],[type]]</f>
        <v>0</v>
      </c>
      <c r="J95" s="62" t="str">
        <f>Table1[[#This Row],[Column42]]&amp;IF(Table1[[#This Row],[Column13]]="","",Table1[[#This Row],[Column13]])&amp;IF(Table1[[#This Row],[mod]]="","",Table1[[#This Row],[mod]])</f>
        <v>__me--n-08</v>
      </c>
      <c r="K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__me--n-08</v>
      </c>
      <c r="O95" s="6" t="s">
        <v>2137</v>
      </c>
      <c r="P95" s="6" t="s">
        <v>2137</v>
      </c>
      <c r="Q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5" s="29"/>
      <c r="AC95" s="25"/>
      <c r="AD95" s="41"/>
      <c r="AE95" s="41"/>
      <c r="AF95" s="11"/>
      <c r="AH95" s="1" t="str">
        <f>Table1[[#This Row],[html_tag]]&amp;Table1[[#This Row],[html_type]]&amp;Table1[[#This Row],[html_modifier]]</f>
        <v/>
      </c>
      <c r="AL95" s="22" t="str">
        <f>IFERROR(_xlfn.XLOOKUP(Table1[[#This Row],[word]],Table57[English style name],Table57[Style type]),"")</f>
        <v/>
      </c>
      <c r="AM95" s="20"/>
      <c r="AN95" s="11"/>
      <c r="AQ95" s="6" t="s">
        <v>2137</v>
      </c>
      <c r="AR95" t="s">
        <v>2126</v>
      </c>
    </row>
    <row r="96" spans="4:44">
      <c r="D96" t="s">
        <v>3320</v>
      </c>
      <c r="E96" s="76"/>
      <c r="F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96" s="13"/>
      <c r="H96" s="13"/>
      <c r="I96" s="12">
        <f>Table1[[#This Row],[type]]</f>
        <v>0</v>
      </c>
      <c r="J96" s="62" t="str">
        <f>Table1[[#This Row],[Column42]]&amp;IF(Table1[[#This Row],[Column13]]="","",Table1[[#This Row],[Column13]])&amp;IF(Table1[[#This Row],[mod]]="","",Table1[[#This Row],[mod]])</f>
        <v>__Media source line</v>
      </c>
      <c r="K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__Media source line</v>
      </c>
      <c r="O96" t="s">
        <v>3318</v>
      </c>
      <c r="P96" t="s">
        <v>3318</v>
      </c>
      <c r="Q9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6" s="29"/>
      <c r="AC96" s="25"/>
      <c r="AD96" s="41"/>
      <c r="AE96" s="41"/>
      <c r="AF96" s="11" t="s">
        <v>177</v>
      </c>
      <c r="AH96" s="7" t="str">
        <f>Table1[[#This Row],[html_tag]]&amp;Table1[[#This Row],[html_type]]&amp;Table1[[#This Row],[html_modifier]]</f>
        <v/>
      </c>
      <c r="AL96" s="23" t="str">
        <f>IFERROR(_xlfn.XLOOKUP(Table1[[#This Row],[word]],Table57[English style name],Table57[Style type]),"")</f>
        <v/>
      </c>
      <c r="AM96" s="21"/>
      <c r="AN96" s="11"/>
    </row>
    <row r="97" spans="4:44">
      <c r="E97" s="76"/>
      <c r="F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7" s="13" t="s">
        <v>461</v>
      </c>
      <c r="H97" s="13" t="s">
        <v>2991</v>
      </c>
      <c r="I97" s="12">
        <f>Table1[[#This Row],[type]]</f>
        <v>0</v>
      </c>
      <c r="J97" s="62" t="str">
        <f>Table1[[#This Row],[Column42]]&amp;IF(Table1[[#This Row],[Column13]]="","",Table1[[#This Row],[Column13]])&amp;IF(Table1[[#This Row],[mod]]="","",Table1[[#This Row],[mod]])</f>
        <v>__ms--n-01</v>
      </c>
      <c r="K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__ms--n-01</v>
      </c>
      <c r="O97" s="6" t="s">
        <v>2138</v>
      </c>
      <c r="P97" s="6" t="s">
        <v>2138</v>
      </c>
      <c r="Q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7" s="29"/>
      <c r="AC97" s="25"/>
      <c r="AD97" s="41"/>
      <c r="AE97" s="41"/>
      <c r="AF97" s="11"/>
      <c r="AH97" s="1" t="str">
        <f>Table1[[#This Row],[html_tag]]&amp;Table1[[#This Row],[html_type]]&amp;Table1[[#This Row],[html_modifier]]</f>
        <v/>
      </c>
      <c r="AL97" s="22" t="str">
        <f>IFERROR(_xlfn.XLOOKUP(Table1[[#This Row],[word]],Table57[English style name],Table57[Style type]),"")</f>
        <v/>
      </c>
      <c r="AM97" s="20"/>
      <c r="AN97" s="11"/>
      <c r="AQ97" s="6" t="s">
        <v>2138</v>
      </c>
      <c r="AR97" t="s">
        <v>2126</v>
      </c>
    </row>
    <row r="98" spans="4:44">
      <c r="E98" s="76"/>
      <c r="F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8" s="13" t="s">
        <v>461</v>
      </c>
      <c r="H98" s="13" t="s">
        <v>2991</v>
      </c>
      <c r="I98" s="12">
        <f>Table1[[#This Row],[type]]</f>
        <v>0</v>
      </c>
      <c r="J98" s="62" t="str">
        <f>Table1[[#This Row],[Column42]]&amp;IF(Table1[[#This Row],[Column13]]="","",Table1[[#This Row],[Column13]])&amp;IF(Table1[[#This Row],[mod]]="","",Table1[[#This Row],[mod]])</f>
        <v>__ms--n-02</v>
      </c>
      <c r="K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__ms--n-02</v>
      </c>
      <c r="O98" s="6" t="s">
        <v>2139</v>
      </c>
      <c r="P98" s="6" t="s">
        <v>2139</v>
      </c>
      <c r="Q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8" s="29"/>
      <c r="AC98" s="25"/>
      <c r="AD98" s="41"/>
      <c r="AE98" s="41"/>
      <c r="AF98" s="11"/>
      <c r="AH98" s="1" t="str">
        <f>Table1[[#This Row],[html_tag]]&amp;Table1[[#This Row],[html_type]]&amp;Table1[[#This Row],[html_modifier]]</f>
        <v/>
      </c>
      <c r="AL98" s="22" t="str">
        <f>IFERROR(_xlfn.XLOOKUP(Table1[[#This Row],[word]],Table57[English style name],Table57[Style type]),"")</f>
        <v/>
      </c>
      <c r="AM98" s="20"/>
      <c r="AN98" s="11"/>
      <c r="AQ98" s="6" t="s">
        <v>2139</v>
      </c>
      <c r="AR98" t="s">
        <v>2126</v>
      </c>
    </row>
    <row r="99" spans="4:44">
      <c r="E99" s="76"/>
      <c r="F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9" s="13" t="s">
        <v>461</v>
      </c>
      <c r="H99" s="13" t="s">
        <v>2991</v>
      </c>
      <c r="I99" s="12">
        <f>Table1[[#This Row],[type]]</f>
        <v>0</v>
      </c>
      <c r="J99" s="62" t="str">
        <f>Table1[[#This Row],[Column42]]&amp;IF(Table1[[#This Row],[Column13]]="","",Table1[[#This Row],[Column13]])&amp;IF(Table1[[#This Row],[mod]]="","",Table1[[#This Row],[mod]])</f>
        <v>__ms--n-04</v>
      </c>
      <c r="K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__ms--n-04</v>
      </c>
      <c r="O99" s="6" t="s">
        <v>2140</v>
      </c>
      <c r="P99" s="6" t="s">
        <v>2140</v>
      </c>
      <c r="Q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" s="29"/>
      <c r="AC99" s="25"/>
      <c r="AD99" s="41"/>
      <c r="AE99" s="41"/>
      <c r="AF99" s="11"/>
      <c r="AH99" s="1" t="str">
        <f>Table1[[#This Row],[html_tag]]&amp;Table1[[#This Row],[html_type]]&amp;Table1[[#This Row],[html_modifier]]</f>
        <v/>
      </c>
      <c r="AL99" s="22" t="str">
        <f>IFERROR(_xlfn.XLOOKUP(Table1[[#This Row],[word]],Table57[English style name],Table57[Style type]),"")</f>
        <v/>
      </c>
      <c r="AM99" s="20"/>
      <c r="AN99" s="11"/>
      <c r="AQ99" s="6" t="s">
        <v>2140</v>
      </c>
      <c r="AR99" t="s">
        <v>2126</v>
      </c>
    </row>
    <row r="100" spans="4:44">
      <c r="E100" s="76"/>
      <c r="F1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0" s="13" t="s">
        <v>461</v>
      </c>
      <c r="H100" s="13" t="s">
        <v>2991</v>
      </c>
      <c r="I100" s="12">
        <f>Table1[[#This Row],[type]]</f>
        <v>0</v>
      </c>
      <c r="J100" s="62" t="str">
        <f>Table1[[#This Row],[Column42]]&amp;IF(Table1[[#This Row],[Column13]]="","",Table1[[#This Row],[Column13]])&amp;IF(Table1[[#This Row],[mod]]="","",Table1[[#This Row],[mod]])</f>
        <v>__ms--n-08</v>
      </c>
      <c r="K1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__ms--n-08</v>
      </c>
      <c r="O100" s="6" t="s">
        <v>2141</v>
      </c>
      <c r="P100" s="6" t="s">
        <v>2141</v>
      </c>
      <c r="Q1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0" s="29"/>
      <c r="AC100" s="25"/>
      <c r="AD100" s="41"/>
      <c r="AE100" s="41"/>
      <c r="AF100" s="11"/>
      <c r="AH100" s="1" t="str">
        <f>Table1[[#This Row],[html_tag]]&amp;Table1[[#This Row],[html_type]]&amp;Table1[[#This Row],[html_modifier]]</f>
        <v/>
      </c>
      <c r="AL100" s="22" t="str">
        <f>IFERROR(_xlfn.XLOOKUP(Table1[[#This Row],[word]],Table57[English style name],Table57[Style type]),"")</f>
        <v/>
      </c>
      <c r="AM100" s="20"/>
      <c r="AN100" s="11"/>
      <c r="AQ100" s="6" t="s">
        <v>2141</v>
      </c>
      <c r="AR100" t="s">
        <v>2126</v>
      </c>
    </row>
    <row r="101" spans="4:44">
      <c r="E101" s="76"/>
      <c r="F1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1" s="13" t="s">
        <v>461</v>
      </c>
      <c r="H101" s="13" t="s">
        <v>2991</v>
      </c>
      <c r="I101" s="12">
        <f>Table1[[#This Row],[type]]</f>
        <v>0</v>
      </c>
      <c r="J101" s="62" t="str">
        <f>Table1[[#This Row],[Column42]]&amp;IF(Table1[[#This Row],[Column13]]="","",Table1[[#This Row],[Column13]])&amp;IF(Table1[[#This Row],[mod]]="","",Table1[[#This Row],[mod]])</f>
        <v>__mt--n-01</v>
      </c>
      <c r="K1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__mt--n-01</v>
      </c>
      <c r="O101" s="6" t="s">
        <v>2142</v>
      </c>
      <c r="P101" s="6" t="s">
        <v>2142</v>
      </c>
      <c r="Q1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1" s="29"/>
      <c r="AC101" s="25"/>
      <c r="AD101" s="41"/>
      <c r="AE101" s="41"/>
      <c r="AF101" s="11"/>
      <c r="AH101" s="1" t="str">
        <f>Table1[[#This Row],[html_tag]]&amp;Table1[[#This Row],[html_type]]&amp;Table1[[#This Row],[html_modifier]]</f>
        <v/>
      </c>
      <c r="AL101" s="22" t="str">
        <f>IFERROR(_xlfn.XLOOKUP(Table1[[#This Row],[word]],Table57[English style name],Table57[Style type]),"")</f>
        <v/>
      </c>
      <c r="AM101" s="20"/>
      <c r="AN101" s="11"/>
      <c r="AQ101" s="6" t="s">
        <v>2142</v>
      </c>
      <c r="AR101" t="s">
        <v>2126</v>
      </c>
    </row>
    <row r="102" spans="4:44">
      <c r="E102" s="76"/>
      <c r="F1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2" s="13" t="s">
        <v>461</v>
      </c>
      <c r="H102" s="13" t="s">
        <v>2991</v>
      </c>
      <c r="I102" s="12">
        <f>Table1[[#This Row],[type]]</f>
        <v>0</v>
      </c>
      <c r="J102" s="62" t="str">
        <f>Table1[[#This Row],[Column42]]&amp;IF(Table1[[#This Row],[Column13]]="","",Table1[[#This Row],[Column13]])&amp;IF(Table1[[#This Row],[mod]]="","",Table1[[#This Row],[mod]])</f>
        <v>__mt--n-02</v>
      </c>
      <c r="K1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__mt--n-02</v>
      </c>
      <c r="O102" s="6" t="s">
        <v>2143</v>
      </c>
      <c r="P102" s="6" t="s">
        <v>2143</v>
      </c>
      <c r="Q1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2" s="29"/>
      <c r="AC102" s="25"/>
      <c r="AD102" s="41"/>
      <c r="AE102" s="41"/>
      <c r="AF102" s="11"/>
      <c r="AH102" s="1" t="str">
        <f>Table1[[#This Row],[html_tag]]&amp;Table1[[#This Row],[html_type]]&amp;Table1[[#This Row],[html_modifier]]</f>
        <v/>
      </c>
      <c r="AL102" s="22" t="str">
        <f>IFERROR(_xlfn.XLOOKUP(Table1[[#This Row],[word]],Table57[English style name],Table57[Style type]),"")</f>
        <v/>
      </c>
      <c r="AM102" s="20"/>
      <c r="AN102" s="11"/>
      <c r="AQ102" s="6" t="s">
        <v>2143</v>
      </c>
      <c r="AR102" t="s">
        <v>2126</v>
      </c>
    </row>
    <row r="103" spans="4:44">
      <c r="E103" s="76"/>
      <c r="F1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3" s="13" t="s">
        <v>461</v>
      </c>
      <c r="H103" s="13" t="s">
        <v>2991</v>
      </c>
      <c r="I103" s="12">
        <f>Table1[[#This Row],[type]]</f>
        <v>0</v>
      </c>
      <c r="J103" s="62" t="str">
        <f>Table1[[#This Row],[Column42]]&amp;IF(Table1[[#This Row],[Column13]]="","",Table1[[#This Row],[Column13]])&amp;IF(Table1[[#This Row],[mod]]="","",Table1[[#This Row],[mod]])</f>
        <v>__mt--n-04</v>
      </c>
      <c r="K1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__mt--n-04</v>
      </c>
      <c r="O103" s="6" t="s">
        <v>2144</v>
      </c>
      <c r="P103" s="6" t="s">
        <v>2144</v>
      </c>
      <c r="Q1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3" s="29"/>
      <c r="AC103" s="25"/>
      <c r="AD103" s="41"/>
      <c r="AE103" s="41"/>
      <c r="AF103" s="11"/>
      <c r="AH103" s="1" t="str">
        <f>Table1[[#This Row],[html_tag]]&amp;Table1[[#This Row],[html_type]]&amp;Table1[[#This Row],[html_modifier]]</f>
        <v/>
      </c>
      <c r="AL103" s="22" t="str">
        <f>IFERROR(_xlfn.XLOOKUP(Table1[[#This Row],[word]],Table57[English style name],Table57[Style type]),"")</f>
        <v/>
      </c>
      <c r="AM103" s="20"/>
      <c r="AN103" s="11"/>
      <c r="AQ103" s="6" t="s">
        <v>2144</v>
      </c>
      <c r="AR103" t="s">
        <v>2126</v>
      </c>
    </row>
    <row r="104" spans="4:44">
      <c r="E104" s="76"/>
      <c r="F1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4" s="13" t="s">
        <v>461</v>
      </c>
      <c r="H104" s="13" t="s">
        <v>2991</v>
      </c>
      <c r="I104" s="12">
        <f>Table1[[#This Row],[type]]</f>
        <v>0</v>
      </c>
      <c r="J104" s="62" t="str">
        <f>Table1[[#This Row],[Column42]]&amp;IF(Table1[[#This Row],[Column13]]="","",Table1[[#This Row],[Column13]])&amp;IF(Table1[[#This Row],[mod]]="","",Table1[[#This Row],[mod]])</f>
        <v>__mt--n-08</v>
      </c>
      <c r="K1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__mt--n-08</v>
      </c>
      <c r="O104" s="6" t="s">
        <v>2145</v>
      </c>
      <c r="P104" s="6" t="s">
        <v>2145</v>
      </c>
      <c r="Q1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4" s="29"/>
      <c r="AC104" s="25"/>
      <c r="AD104" s="41"/>
      <c r="AE104" s="41"/>
      <c r="AF104" s="11"/>
      <c r="AH104" s="1" t="str">
        <f>Table1[[#This Row],[html_tag]]&amp;Table1[[#This Row],[html_type]]&amp;Table1[[#This Row],[html_modifier]]</f>
        <v/>
      </c>
      <c r="AL104" s="22" t="str">
        <f>IFERROR(_xlfn.XLOOKUP(Table1[[#This Row],[word]],Table57[English style name],Table57[Style type]),"")</f>
        <v/>
      </c>
      <c r="AM104" s="20"/>
      <c r="AN104" s="11"/>
      <c r="AQ104" s="6" t="s">
        <v>2145</v>
      </c>
      <c r="AR104" t="s">
        <v>2126</v>
      </c>
    </row>
    <row r="105" spans="4:44">
      <c r="E105" s="76"/>
      <c r="F1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body/atoms/0.scss</v>
      </c>
      <c r="G105" s="13" t="s">
        <v>337</v>
      </c>
      <c r="H105" s="13" t="s">
        <v>2986</v>
      </c>
      <c r="I105" s="12">
        <f>Table1[[#This Row],[type]]</f>
        <v>0</v>
      </c>
      <c r="J105" s="62" t="str">
        <f>Table1[[#This Row],[Column42]]&amp;IF(Table1[[#This Row],[Column13]]="","",Table1[[#This Row],[Column13]])&amp;IF(Table1[[#This Row],[mod]]="","",Table1[[#This Row],[mod]])</f>
        <v>__noclick</v>
      </c>
      <c r="K1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__noclick</v>
      </c>
      <c r="O105" s="6" t="s">
        <v>1493</v>
      </c>
      <c r="P105" s="6" t="s">
        <v>1493</v>
      </c>
      <c r="Q1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" s="29"/>
      <c r="AC105" s="25"/>
      <c r="AD105" s="41"/>
      <c r="AE105" s="41"/>
      <c r="AF105" s="11"/>
      <c r="AH105" s="1" t="str">
        <f>Table1[[#This Row],[html_tag]]&amp;Table1[[#This Row],[html_type]]&amp;Table1[[#This Row],[html_modifier]]</f>
        <v/>
      </c>
      <c r="AL105" s="22" t="str">
        <f>IFERROR(_xlfn.XLOOKUP(Table1[[#This Row],[word]],Table57[English style name],Table57[Style type]),"")</f>
        <v/>
      </c>
      <c r="AM105" s="20"/>
      <c r="AN105" s="11"/>
      <c r="AQ105" s="6" t="s">
        <v>1493</v>
      </c>
      <c r="AR105" t="s">
        <v>1464</v>
      </c>
    </row>
    <row r="106" spans="4:44">
      <c r="D106" t="s">
        <v>3362</v>
      </c>
      <c r="E106" s="76"/>
      <c r="F1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06" s="13"/>
      <c r="H106" s="13"/>
      <c r="I106" s="12">
        <f>Table1[[#This Row],[type]]</f>
        <v>0</v>
      </c>
      <c r="J106" s="62" t="str">
        <f>Table1[[#This Row],[Column42]]&amp;IF(Table1[[#This Row],[Column13]]="","",Table1[[#This Row],[Column13]])&amp;IF(Table1[[#This Row],[mod]]="","",Table1[[#This Row],[mod]])</f>
        <v>__Part introduction</v>
      </c>
      <c r="K1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__Part introduction</v>
      </c>
      <c r="O106" t="s">
        <v>3305</v>
      </c>
      <c r="P106" t="s">
        <v>3305</v>
      </c>
      <c r="Q1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" s="29"/>
      <c r="AC106" s="25"/>
      <c r="AD106" s="41"/>
      <c r="AE106" s="41"/>
      <c r="AF106" s="11"/>
      <c r="AH106" s="7" t="str">
        <f>Table1[[#This Row],[html_tag]]&amp;Table1[[#This Row],[html_type]]&amp;Table1[[#This Row],[html_modifier]]</f>
        <v/>
      </c>
      <c r="AL106" s="23" t="str">
        <f>IFERROR(_xlfn.XLOOKUP(Table1[[#This Row],[word]],Table57[English style name],Table57[Style type]),"")</f>
        <v/>
      </c>
      <c r="AM106" s="21"/>
      <c r="AN106" s="11"/>
    </row>
    <row r="107" spans="4:44">
      <c r="E107" s="76"/>
      <c r="F1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7" s="13" t="s">
        <v>461</v>
      </c>
      <c r="H107" s="13" t="s">
        <v>2991</v>
      </c>
      <c r="I107" s="12">
        <f>Table1[[#This Row],[type]]</f>
        <v>0</v>
      </c>
      <c r="J107" s="62" t="str">
        <f>Table1[[#This Row],[Column42]]&amp;IF(Table1[[#This Row],[Column13]]="","",Table1[[#This Row],[Column13]])&amp;IF(Table1[[#This Row],[mod]]="","",Table1[[#This Row],[mod]])</f>
        <v>__place--items</v>
      </c>
      <c r="K1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__place--items</v>
      </c>
      <c r="O107" s="6" t="s">
        <v>2242</v>
      </c>
      <c r="P107" s="6" t="s">
        <v>2242</v>
      </c>
      <c r="Q1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7" s="29"/>
      <c r="AC107" s="25"/>
      <c r="AD107" s="41"/>
      <c r="AE107" s="41"/>
      <c r="AF107" s="11"/>
      <c r="AH107" s="1" t="str">
        <f>Table1[[#This Row],[html_tag]]&amp;Table1[[#This Row],[html_type]]&amp;Table1[[#This Row],[html_modifier]]</f>
        <v/>
      </c>
      <c r="AL107" s="22" t="str">
        <f>IFERROR(_xlfn.XLOOKUP(Table1[[#This Row],[word]],Table57[English style name],Table57[Style type]),"")</f>
        <v/>
      </c>
      <c r="AM107" s="20"/>
      <c r="AN107" s="11"/>
      <c r="AQ107" s="6" t="s">
        <v>2242</v>
      </c>
      <c r="AR107" t="s">
        <v>2243</v>
      </c>
    </row>
    <row r="108" spans="4:44">
      <c r="E108" s="76"/>
      <c r="F1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108" s="13" t="s">
        <v>337</v>
      </c>
      <c r="H108" s="13" t="s">
        <v>2987</v>
      </c>
      <c r="I108" s="12">
        <f>Table1[[#This Row],[type]]</f>
        <v>0</v>
      </c>
      <c r="J108" s="62" t="str">
        <f>Table1[[#This Row],[Column42]]&amp;IF(Table1[[#This Row],[Column13]]="","",Table1[[#This Row],[Column13]])&amp;IF(Table1[[#This Row],[mod]]="","",Table1[[#This Row],[mod]])</f>
        <v>__portfolio--base--base</v>
      </c>
      <c r="K1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__portfolio--base</v>
      </c>
      <c r="O108" s="6" t="s">
        <v>2280</v>
      </c>
      <c r="P108" s="6" t="s">
        <v>2280</v>
      </c>
      <c r="Q1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8" t="s">
        <v>338</v>
      </c>
      <c r="AB108" s="29"/>
      <c r="AC108" s="25"/>
      <c r="AD108" s="41"/>
      <c r="AE108" s="41"/>
      <c r="AF108" s="11"/>
      <c r="AH108" s="1" t="str">
        <f>Table1[[#This Row],[html_tag]]&amp;Table1[[#This Row],[html_type]]&amp;Table1[[#This Row],[html_modifier]]</f>
        <v/>
      </c>
      <c r="AL108" s="22" t="str">
        <f>IFERROR(_xlfn.XLOOKUP(Table1[[#This Row],[word]],Table57[English style name],Table57[Style type]),"")</f>
        <v/>
      </c>
      <c r="AM108" s="20"/>
      <c r="AN108" s="11"/>
      <c r="AQ108" s="6" t="s">
        <v>2280</v>
      </c>
      <c r="AR108" t="s">
        <v>2281</v>
      </c>
    </row>
    <row r="109" spans="4:44">
      <c r="E109" s="76"/>
      <c r="F1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9" s="13" t="s">
        <v>461</v>
      </c>
      <c r="H109" s="13" t="s">
        <v>2991</v>
      </c>
      <c r="I109" s="12">
        <f>Table1[[#This Row],[type]]</f>
        <v>0</v>
      </c>
      <c r="J109" s="62" t="str">
        <f>Table1[[#This Row],[Column42]]&amp;IF(Table1[[#This Row],[Column13]]="","",Table1[[#This Row],[Column13]])&amp;IF(Table1[[#This Row],[mod]]="","",Table1[[#This Row],[mod]])</f>
        <v>__q-page</v>
      </c>
      <c r="K1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__q-page</v>
      </c>
      <c r="O109" s="6" t="s">
        <v>2241</v>
      </c>
      <c r="P109" s="6" t="s">
        <v>2241</v>
      </c>
      <c r="Q1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9" s="29"/>
      <c r="AC109" s="25"/>
      <c r="AD109" s="41"/>
      <c r="AE109" s="41"/>
      <c r="AF109" s="11"/>
      <c r="AH109" s="1" t="str">
        <f>Table1[[#This Row],[html_tag]]&amp;Table1[[#This Row],[html_type]]&amp;Table1[[#This Row],[html_modifier]]</f>
        <v/>
      </c>
      <c r="AL109" s="22" t="str">
        <f>IFERROR(_xlfn.XLOOKUP(Table1[[#This Row],[word]],Table57[English style name],Table57[Style type]),"")</f>
        <v/>
      </c>
      <c r="AM109" s="20"/>
      <c r="AN109" s="11"/>
      <c r="AQ109" s="6" t="s">
        <v>2241</v>
      </c>
      <c r="AR109" t="s">
        <v>2238</v>
      </c>
    </row>
    <row r="110" spans="4:44">
      <c r="E110" s="76"/>
      <c r="F1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10" s="13" t="s">
        <v>461</v>
      </c>
      <c r="H110" s="13" t="s">
        <v>2991</v>
      </c>
      <c r="I110" s="12">
        <f>Table1[[#This Row],[type]]</f>
        <v>0</v>
      </c>
      <c r="J110" s="62" t="str">
        <f>Table1[[#This Row],[Column42]]&amp;IF(Table1[[#This Row],[Column13]]="","",Table1[[#This Row],[Column13]])&amp;IF(Table1[[#This Row],[mod]]="","",Table1[[#This Row],[mod]])</f>
        <v>__responsive-display</v>
      </c>
      <c r="K1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__responsive-display</v>
      </c>
      <c r="O110" s="6" t="s">
        <v>2365</v>
      </c>
      <c r="P110" s="6" t="s">
        <v>2365</v>
      </c>
      <c r="Q1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0" s="29"/>
      <c r="AC110" s="25"/>
      <c r="AD110" s="41"/>
      <c r="AE110" s="41"/>
      <c r="AF110" s="11"/>
      <c r="AH110" s="1" t="str">
        <f>Table1[[#This Row],[html_tag]]&amp;Table1[[#This Row],[html_type]]&amp;Table1[[#This Row],[html_modifier]]</f>
        <v/>
      </c>
      <c r="AL110" s="22" t="str">
        <f>IFERROR(_xlfn.XLOOKUP(Table1[[#This Row],[word]],Table57[English style name],Table57[Style type]),"")</f>
        <v/>
      </c>
      <c r="AM110" s="20"/>
      <c r="AN110" s="11"/>
      <c r="AQ110" s="6" t="s">
        <v>2365</v>
      </c>
      <c r="AR110" t="s">
        <v>2363</v>
      </c>
    </row>
    <row r="111" spans="4:44">
      <c r="E111" s="76"/>
      <c r="F1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soul/line/0.scss</v>
      </c>
      <c r="G111" s="13" t="s">
        <v>2992</v>
      </c>
      <c r="H111" s="13" t="s">
        <v>2993</v>
      </c>
      <c r="I111" s="12">
        <f>Table1[[#This Row],[type]]</f>
        <v>0</v>
      </c>
      <c r="J111" s="62" t="str">
        <f>Table1[[#This Row],[Column42]]&amp;IF(Table1[[#This Row],[Column13]]="","",Table1[[#This Row],[Column13]])&amp;IF(Table1[[#This Row],[mod]]="","",Table1[[#This Row],[mod]])</f>
        <v>__right__no_border--right</v>
      </c>
      <c r="K1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__right__no_border--right</v>
      </c>
      <c r="N111" t="s">
        <v>617</v>
      </c>
      <c r="O111" s="6" t="s">
        <v>1299</v>
      </c>
      <c r="P111" s="6" t="s">
        <v>1299</v>
      </c>
      <c r="Q1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1" s="29"/>
      <c r="AC111" s="25"/>
      <c r="AD111" s="41"/>
      <c r="AE111" s="41"/>
      <c r="AF111" s="11"/>
      <c r="AH111" s="1" t="str">
        <f>Table1[[#This Row],[html_tag]]&amp;Table1[[#This Row],[html_type]]&amp;Table1[[#This Row],[html_modifier]]</f>
        <v/>
      </c>
      <c r="AL111" s="22" t="str">
        <f>IFERROR(_xlfn.XLOOKUP(Table1[[#This Row],[word]],Table57[English style name],Table57[Style type]),"")</f>
        <v/>
      </c>
      <c r="AM111" s="20"/>
      <c r="AN111" s="11"/>
      <c r="AQ111" s="6" t="s">
        <v>1299</v>
      </c>
      <c r="AR111" t="s">
        <v>1282</v>
      </c>
    </row>
    <row r="112" spans="4:44">
      <c r="E112" s="76"/>
      <c r="F1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12" s="13" t="s">
        <v>461</v>
      </c>
      <c r="H112" s="13" t="s">
        <v>2991</v>
      </c>
      <c r="I112" s="12">
        <f>Table1[[#This Row],[type]]</f>
        <v>0</v>
      </c>
      <c r="J112" s="62" t="str">
        <f>Table1[[#This Row],[Column42]]&amp;IF(Table1[[#This Row],[Column13]]="","",Table1[[#This Row],[Column13]])&amp;IF(Table1[[#This Row],[mod]]="","",Table1[[#This Row],[mod]])</f>
        <v>__show-between</v>
      </c>
      <c r="K1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__show-between</v>
      </c>
      <c r="O112" s="6" t="s">
        <v>2366</v>
      </c>
      <c r="P112" s="6" t="s">
        <v>2366</v>
      </c>
      <c r="Q1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" s="29"/>
      <c r="AC112" s="25"/>
      <c r="AD112" s="41"/>
      <c r="AE112" s="41"/>
      <c r="AF112" s="11"/>
      <c r="AH112" s="1" t="str">
        <f>Table1[[#This Row],[html_tag]]&amp;Table1[[#This Row],[html_type]]&amp;Table1[[#This Row],[html_modifier]]</f>
        <v/>
      </c>
      <c r="AL112" s="22" t="str">
        <f>IFERROR(_xlfn.XLOOKUP(Table1[[#This Row],[word]],Table57[English style name],Table57[Style type]),"")</f>
        <v/>
      </c>
      <c r="AM112" s="20"/>
      <c r="AN112" s="11"/>
      <c r="AQ112" s="6" t="s">
        <v>2366</v>
      </c>
      <c r="AR112" t="s">
        <v>2363</v>
      </c>
    </row>
    <row r="113" spans="4:44">
      <c r="E113" s="76"/>
      <c r="F1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soul/object/0.scss</v>
      </c>
      <c r="G113" s="13" t="s">
        <v>2992</v>
      </c>
      <c r="H113" s="13" t="s">
        <v>84</v>
      </c>
      <c r="I113" s="12">
        <f>Table1[[#This Row],[type]]</f>
        <v>0</v>
      </c>
      <c r="J113" s="62" t="str">
        <f>Table1[[#This Row],[Column42]]&amp;IF(Table1[[#This Row],[Column13]]="","",Table1[[#This Row],[Column13]])&amp;IF(Table1[[#This Row],[mod]]="","",Table1[[#This Row],[mod]])</f>
        <v>__sizing--border</v>
      </c>
      <c r="K1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__sizing--border</v>
      </c>
      <c r="O113" s="6" t="s">
        <v>2558</v>
      </c>
      <c r="P113" s="6" t="s">
        <v>2558</v>
      </c>
      <c r="Q1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" s="29"/>
      <c r="AC113" s="25"/>
      <c r="AD113" s="41"/>
      <c r="AE113" s="41"/>
      <c r="AF113" s="11"/>
      <c r="AH113" s="1" t="str">
        <f>Table1[[#This Row],[html_tag]]&amp;Table1[[#This Row],[html_type]]&amp;Table1[[#This Row],[html_modifier]]</f>
        <v/>
      </c>
      <c r="AL113" s="22" t="str">
        <f>IFERROR(_xlfn.XLOOKUP(Table1[[#This Row],[word]],Table57[English style name],Table57[Style type]),"")</f>
        <v/>
      </c>
      <c r="AM113" s="20"/>
      <c r="AN113" s="11"/>
      <c r="AQ113" s="6" t="s">
        <v>2558</v>
      </c>
      <c r="AR113" t="s">
        <v>2559</v>
      </c>
    </row>
    <row r="114" spans="4:44">
      <c r="E114" s="76"/>
      <c r="F1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soul/object/0.scss</v>
      </c>
      <c r="G114" s="13" t="s">
        <v>2992</v>
      </c>
      <c r="H114" s="13" t="s">
        <v>84</v>
      </c>
      <c r="I114" s="12">
        <f>Table1[[#This Row],[type]]</f>
        <v>0</v>
      </c>
      <c r="J114" s="62" t="str">
        <f>Table1[[#This Row],[Column42]]&amp;IF(Table1[[#This Row],[Column13]]="","",Table1[[#This Row],[Column13]])&amp;IF(Table1[[#This Row],[mod]]="","",Table1[[#This Row],[mod]])</f>
        <v>__sizing--content</v>
      </c>
      <c r="K1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__sizing--content</v>
      </c>
      <c r="O114" s="6" t="s">
        <v>2560</v>
      </c>
      <c r="P114" s="6" t="s">
        <v>2560</v>
      </c>
      <c r="Q1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" s="29"/>
      <c r="AC114" s="25"/>
      <c r="AD114" s="41"/>
      <c r="AE114" s="41"/>
      <c r="AF114" s="11"/>
      <c r="AH114" s="1" t="str">
        <f>Table1[[#This Row],[html_tag]]&amp;Table1[[#This Row],[html_type]]&amp;Table1[[#This Row],[html_modifier]]</f>
        <v/>
      </c>
      <c r="AL114" s="22" t="str">
        <f>IFERROR(_xlfn.XLOOKUP(Table1[[#This Row],[word]],Table57[English style name],Table57[Style type]),"")</f>
        <v/>
      </c>
      <c r="AM114" s="20"/>
      <c r="AN114" s="11"/>
      <c r="AQ114" s="6" t="s">
        <v>2560</v>
      </c>
      <c r="AR114" t="s">
        <v>2559</v>
      </c>
    </row>
    <row r="115" spans="4:44">
      <c r="E115" s="76"/>
      <c r="F1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soul/object/0.scss</v>
      </c>
      <c r="G115" s="13" t="s">
        <v>2992</v>
      </c>
      <c r="H115" s="13" t="s">
        <v>84</v>
      </c>
      <c r="I115" s="12">
        <f>Table1[[#This Row],[type]]</f>
        <v>0</v>
      </c>
      <c r="J115" s="62" t="str">
        <f>Table1[[#This Row],[Column42]]&amp;IF(Table1[[#This Row],[Column13]]="","",Table1[[#This Row],[Column13]])&amp;IF(Table1[[#This Row],[mod]]="","",Table1[[#This Row],[mod]])</f>
        <v>__sizing--padding</v>
      </c>
      <c r="K1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__sizing--padding</v>
      </c>
      <c r="O115" s="6" t="s">
        <v>2561</v>
      </c>
      <c r="P115" s="6" t="s">
        <v>2561</v>
      </c>
      <c r="Q1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" s="29"/>
      <c r="AC115" s="25"/>
      <c r="AD115" s="41"/>
      <c r="AE115" s="41"/>
      <c r="AF115" s="11"/>
      <c r="AH115" s="1" t="str">
        <f>Table1[[#This Row],[html_tag]]&amp;Table1[[#This Row],[html_type]]&amp;Table1[[#This Row],[html_modifier]]</f>
        <v/>
      </c>
      <c r="AL115" s="22" t="str">
        <f>IFERROR(_xlfn.XLOOKUP(Table1[[#This Row],[word]],Table57[English style name],Table57[Style type]),"")</f>
        <v/>
      </c>
      <c r="AM115" s="20"/>
      <c r="AN115" s="11"/>
      <c r="AQ115" s="6" t="s">
        <v>2561</v>
      </c>
      <c r="AR115" t="s">
        <v>2559</v>
      </c>
    </row>
    <row r="116" spans="4:44">
      <c r="E116" s="76"/>
      <c r="F1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116" s="13" t="s">
        <v>337</v>
      </c>
      <c r="H116" s="13" t="s">
        <v>2987</v>
      </c>
      <c r="I116" s="12">
        <f>Table1[[#This Row],[type]]</f>
        <v>0</v>
      </c>
      <c r="J116" s="62" t="str">
        <f>Table1[[#This Row],[Column42]]&amp;IF(Table1[[#This Row],[Column13]]="","",Table1[[#This Row],[Column13]])&amp;IF(Table1[[#This Row],[mod]]="","",Table1[[#This Row],[mod]])</f>
        <v>__slider--base--base</v>
      </c>
      <c r="K1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__slider--base</v>
      </c>
      <c r="O116" s="6" t="s">
        <v>1908</v>
      </c>
      <c r="P116" s="6" t="s">
        <v>1908</v>
      </c>
      <c r="Q1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16" t="s">
        <v>338</v>
      </c>
      <c r="AB116" s="29"/>
      <c r="AC116" s="25"/>
      <c r="AD116" s="41"/>
      <c r="AE116" s="41"/>
      <c r="AF116" s="11"/>
      <c r="AH116" s="1" t="str">
        <f>Table1[[#This Row],[html_tag]]&amp;Table1[[#This Row],[html_type]]&amp;Table1[[#This Row],[html_modifier]]</f>
        <v/>
      </c>
      <c r="AL116" s="22" t="str">
        <f>IFERROR(_xlfn.XLOOKUP(Table1[[#This Row],[word]],Table57[English style name],Table57[Style type]),"")</f>
        <v/>
      </c>
      <c r="AM116" s="20"/>
      <c r="AN116" s="11"/>
      <c r="AQ116" s="6" t="s">
        <v>1908</v>
      </c>
      <c r="AR116" t="s">
        <v>1907</v>
      </c>
    </row>
    <row r="117" spans="4:44">
      <c r="D117" t="s">
        <v>3339</v>
      </c>
      <c r="E117" s="76"/>
      <c r="F1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17" s="13"/>
      <c r="H117" s="13"/>
      <c r="I117" s="12">
        <f>Table1[[#This Row],[type]]</f>
        <v>0</v>
      </c>
      <c r="J117" s="62" t="str">
        <f>Table1[[#This Row],[Column42]]&amp;IF(Table1[[#This Row],[Column13]]="","",Table1[[#This Row],[Column13]])&amp;IF(Table1[[#This Row],[mod]]="","",Table1[[#This Row],[mod]])</f>
        <v>__Source note</v>
      </c>
      <c r="K1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__Source note</v>
      </c>
      <c r="O117" t="s">
        <v>3329</v>
      </c>
      <c r="P117" t="s">
        <v>3329</v>
      </c>
      <c r="Q11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" s="29"/>
      <c r="AC117" s="25"/>
      <c r="AD117" s="41"/>
      <c r="AE117" s="41"/>
      <c r="AF117" s="11"/>
      <c r="AH117" s="7" t="str">
        <f>Table1[[#This Row],[html_tag]]&amp;Table1[[#This Row],[html_type]]&amp;Table1[[#This Row],[html_modifier]]</f>
        <v/>
      </c>
      <c r="AL117" s="23" t="str">
        <f>IFERROR(_xlfn.XLOOKUP(Table1[[#This Row],[word]],Table57[English style name],Table57[Style type]),"")</f>
        <v/>
      </c>
      <c r="AM117" s="21"/>
      <c r="AN117" s="11"/>
    </row>
    <row r="118" spans="4:44">
      <c r="E118" s="76"/>
      <c r="F1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118" s="13" t="s">
        <v>2994</v>
      </c>
      <c r="H118" s="13"/>
      <c r="I118" s="12">
        <f>Table1[[#This Row],[type]]</f>
        <v>0</v>
      </c>
      <c r="J118" s="62" t="str">
        <f>Table1[[#This Row],[Column42]]&amp;IF(Table1[[#This Row],[Column13]]="","",Table1[[#This Row],[Column13]])&amp;IF(Table1[[#This Row],[mod]]="","",Table1[[#This Row],[mod]])</f>
        <v>__sr-only-focusable</v>
      </c>
      <c r="K1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__sr-only-focusable</v>
      </c>
      <c r="O118" s="6" t="s">
        <v>2970</v>
      </c>
      <c r="P118" s="6" t="s">
        <v>2970</v>
      </c>
      <c r="Q1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" s="29"/>
      <c r="AC118" s="25"/>
      <c r="AD118" s="41"/>
      <c r="AE118" s="41"/>
      <c r="AF118" s="11"/>
      <c r="AH118" s="1" t="str">
        <f>Table1[[#This Row],[html_tag]]&amp;Table1[[#This Row],[html_type]]&amp;Table1[[#This Row],[html_modifier]]</f>
        <v/>
      </c>
      <c r="AL118" s="22" t="str">
        <f>IFERROR(_xlfn.XLOOKUP(Table1[[#This Row],[word]],Table57[English style name],Table57[Style type]),"")</f>
        <v/>
      </c>
      <c r="AM118" s="20"/>
      <c r="AN118" s="11"/>
      <c r="AQ118" s="6" t="s">
        <v>2970</v>
      </c>
      <c r="AR118" t="s">
        <v>2971</v>
      </c>
    </row>
    <row r="119" spans="4:44">
      <c r="D119" t="s">
        <v>3339</v>
      </c>
      <c r="E119" s="76"/>
      <c r="F1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19" s="13"/>
      <c r="H119" s="13"/>
      <c r="I119" s="12">
        <f>Table1[[#This Row],[type]]</f>
        <v>0</v>
      </c>
      <c r="J119" s="62" t="str">
        <f>Table1[[#This Row],[Column42]]&amp;IF(Table1[[#This Row],[Column13]]="","",Table1[[#This Row],[Column13]])&amp;IF(Table1[[#This Row],[mod]]="","",Table1[[#This Row],[mod]])</f>
        <v>__Statute citation</v>
      </c>
      <c r="K1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__Statute citation</v>
      </c>
      <c r="O119" t="s">
        <v>3333</v>
      </c>
      <c r="P119" t="s">
        <v>3333</v>
      </c>
      <c r="Q1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" s="29"/>
      <c r="AC119" s="25"/>
      <c r="AD119" s="41"/>
      <c r="AE119" s="41"/>
      <c r="AF119" s="11"/>
      <c r="AH119" s="7" t="str">
        <f>Table1[[#This Row],[html_tag]]&amp;Table1[[#This Row],[html_type]]&amp;Table1[[#This Row],[html_modifier]]</f>
        <v/>
      </c>
      <c r="AL119" s="23" t="str">
        <f>IFERROR(_xlfn.XLOOKUP(Table1[[#This Row],[word]],Table57[English style name],Table57[Style type]),"")</f>
        <v/>
      </c>
      <c r="AM119" s="21"/>
      <c r="AN119" s="11"/>
    </row>
    <row r="120" spans="4:44">
      <c r="E120" s="76"/>
      <c r="F1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120" s="13" t="s">
        <v>2994</v>
      </c>
      <c r="H120" s="13"/>
      <c r="I120" s="12">
        <f>Table1[[#This Row],[type]]</f>
        <v>0</v>
      </c>
      <c r="J120" s="62" t="str">
        <f>Table1[[#This Row],[Column42]]&amp;IF(Table1[[#This Row],[Column13]]="","",Table1[[#This Row],[Column13]])&amp;IF(Table1[[#This Row],[mod]]="","",Table1[[#This Row],[mod]])</f>
        <v>__stretch__stretched_link</v>
      </c>
      <c r="K1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__stretch__stretched_link</v>
      </c>
      <c r="N120" t="s">
        <v>3199</v>
      </c>
      <c r="O120" s="6" t="s">
        <v>2660</v>
      </c>
      <c r="P120" s="6" t="s">
        <v>2660</v>
      </c>
      <c r="Q1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" s="29"/>
      <c r="AC120" s="25"/>
      <c r="AD120" s="41"/>
      <c r="AE120" s="41"/>
      <c r="AF120" s="11"/>
      <c r="AH120" s="1" t="str">
        <f>Table1[[#This Row],[html_tag]]&amp;Table1[[#This Row],[html_type]]&amp;Table1[[#This Row],[html_modifier]]</f>
        <v/>
      </c>
      <c r="AL120" s="22" t="str">
        <f>IFERROR(_xlfn.XLOOKUP(Table1[[#This Row],[word]],Table57[English style name],Table57[Style type]),"")</f>
        <v/>
      </c>
      <c r="AM120" s="20"/>
      <c r="AN120" s="11"/>
      <c r="AQ120" s="6" t="s">
        <v>2660</v>
      </c>
      <c r="AR120" t="s">
        <v>2661</v>
      </c>
    </row>
    <row r="121" spans="4:44">
      <c r="E121" s="76"/>
      <c r="F1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1" s="13" t="s">
        <v>337</v>
      </c>
      <c r="H121" s="13" t="s">
        <v>2989</v>
      </c>
      <c r="I121" s="12">
        <f>Table1[[#This Row],[type]]</f>
        <v>0</v>
      </c>
      <c r="J121" s="62" t="str">
        <f>Table1[[#This Row],[Column42]]&amp;IF(Table1[[#This Row],[Column13]]="","",Table1[[#This Row],[Column13]])&amp;IF(Table1[[#This Row],[mod]]="","",Table1[[#This Row],[mod]])</f>
        <v>__template--auth</v>
      </c>
      <c r="K1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__template--auth</v>
      </c>
      <c r="O121" s="6" t="s">
        <v>2779</v>
      </c>
      <c r="P121" s="6" t="s">
        <v>2779</v>
      </c>
      <c r="Q1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" s="29"/>
      <c r="AC121" s="25"/>
      <c r="AD121" s="41"/>
      <c r="AE121" s="41"/>
      <c r="AF121" s="11"/>
      <c r="AH121" s="1" t="str">
        <f>Table1[[#This Row],[html_tag]]&amp;Table1[[#This Row],[html_type]]&amp;Table1[[#This Row],[html_modifier]]</f>
        <v/>
      </c>
      <c r="AL121" s="22" t="str">
        <f>IFERROR(_xlfn.XLOOKUP(Table1[[#This Row],[word]],Table57[English style name],Table57[Style type]),"")</f>
        <v/>
      </c>
      <c r="AM121" s="20"/>
      <c r="AN121" s="11"/>
      <c r="AQ121" s="6" t="s">
        <v>2779</v>
      </c>
      <c r="AR121" t="s">
        <v>2780</v>
      </c>
    </row>
    <row r="122" spans="4:44">
      <c r="E122" s="76"/>
      <c r="F1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2" s="13" t="s">
        <v>337</v>
      </c>
      <c r="H122" s="13" t="s">
        <v>2989</v>
      </c>
      <c r="I122" s="12">
        <f>Table1[[#This Row],[type]]</f>
        <v>0</v>
      </c>
      <c r="J122" s="62" t="str">
        <f>Table1[[#This Row],[Column42]]&amp;IF(Table1[[#This Row],[Column13]]="","",Table1[[#This Row],[Column13]])&amp;IF(Table1[[#This Row],[mod]]="","",Table1[[#This Row],[mod]])</f>
        <v>__template--blog-post</v>
      </c>
      <c r="K1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__template--blog-post</v>
      </c>
      <c r="O122" s="6" t="s">
        <v>2781</v>
      </c>
      <c r="P122" s="6" t="s">
        <v>2781</v>
      </c>
      <c r="Q1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" s="29"/>
      <c r="AC122" s="25"/>
      <c r="AD122" s="41"/>
      <c r="AE122" s="41"/>
      <c r="AF122" s="11"/>
      <c r="AH122" s="1" t="str">
        <f>Table1[[#This Row],[html_tag]]&amp;Table1[[#This Row],[html_type]]&amp;Table1[[#This Row],[html_modifier]]</f>
        <v/>
      </c>
      <c r="AL122" s="22" t="str">
        <f>IFERROR(_xlfn.XLOOKUP(Table1[[#This Row],[word]],Table57[English style name],Table57[Style type]),"")</f>
        <v/>
      </c>
      <c r="AM122" s="20"/>
      <c r="AN122" s="11"/>
      <c r="AQ122" s="6" t="s">
        <v>2781</v>
      </c>
      <c r="AR122" t="s">
        <v>2780</v>
      </c>
    </row>
    <row r="123" spans="4:44">
      <c r="E123" s="76"/>
      <c r="F1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3" s="13" t="s">
        <v>337</v>
      </c>
      <c r="H123" s="13" t="s">
        <v>2989</v>
      </c>
      <c r="I123" s="12">
        <f>Table1[[#This Row],[type]]</f>
        <v>0</v>
      </c>
      <c r="J123" s="62" t="str">
        <f>Table1[[#This Row],[Column42]]&amp;IF(Table1[[#This Row],[Column13]]="","",Table1[[#This Row],[Column13]])&amp;IF(Table1[[#This Row],[mod]]="","",Table1[[#This Row],[mod]])</f>
        <v>__template--dashboard</v>
      </c>
      <c r="K1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__template--dashboard</v>
      </c>
      <c r="O123" s="6" t="s">
        <v>2782</v>
      </c>
      <c r="P123" s="6" t="s">
        <v>2782</v>
      </c>
      <c r="Q1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" s="29"/>
      <c r="AC123" s="25"/>
      <c r="AD123" s="41"/>
      <c r="AE123" s="41"/>
      <c r="AF123" s="11"/>
      <c r="AH123" s="1" t="str">
        <f>Table1[[#This Row],[html_tag]]&amp;Table1[[#This Row],[html_type]]&amp;Table1[[#This Row],[html_modifier]]</f>
        <v/>
      </c>
      <c r="AL123" s="22" t="str">
        <f>IFERROR(_xlfn.XLOOKUP(Table1[[#This Row],[word]],Table57[English style name],Table57[Style type]),"")</f>
        <v/>
      </c>
      <c r="AM123" s="20"/>
      <c r="AN123" s="11"/>
      <c r="AQ123" s="6" t="s">
        <v>2782</v>
      </c>
      <c r="AR123" t="s">
        <v>2780</v>
      </c>
    </row>
    <row r="124" spans="4:44">
      <c r="E124" s="76"/>
      <c r="F1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4" s="13" t="s">
        <v>337</v>
      </c>
      <c r="H124" s="13" t="s">
        <v>2989</v>
      </c>
      <c r="I124" s="12">
        <f>Table1[[#This Row],[type]]</f>
        <v>0</v>
      </c>
      <c r="J124" s="62" t="str">
        <f>Table1[[#This Row],[Column42]]&amp;IF(Table1[[#This Row],[Column13]]="","",Table1[[#This Row],[Column13]])&amp;IF(Table1[[#This Row],[mod]]="","",Table1[[#This Row],[mod]])</f>
        <v>__template--documentation</v>
      </c>
      <c r="K1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__template--documentation</v>
      </c>
      <c r="O124" s="6" t="s">
        <v>2783</v>
      </c>
      <c r="P124" s="6" t="s">
        <v>2783</v>
      </c>
      <c r="Q1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" s="29"/>
      <c r="AC124" s="25"/>
      <c r="AD124" s="41"/>
      <c r="AE124" s="41"/>
      <c r="AF124" s="11"/>
      <c r="AH124" s="1" t="str">
        <f>Table1[[#This Row],[html_tag]]&amp;Table1[[#This Row],[html_type]]&amp;Table1[[#This Row],[html_modifier]]</f>
        <v/>
      </c>
      <c r="AL124" s="22" t="str">
        <f>IFERROR(_xlfn.XLOOKUP(Table1[[#This Row],[word]],Table57[English style name],Table57[Style type]),"")</f>
        <v/>
      </c>
      <c r="AM124" s="20"/>
      <c r="AN124" s="11"/>
      <c r="AQ124" s="6" t="s">
        <v>2783</v>
      </c>
      <c r="AR124" t="s">
        <v>2780</v>
      </c>
    </row>
    <row r="125" spans="4:44">
      <c r="E125" s="76"/>
      <c r="F1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5" s="13" t="s">
        <v>337</v>
      </c>
      <c r="H125" s="13" t="s">
        <v>2989</v>
      </c>
      <c r="I125" s="12">
        <f>Table1[[#This Row],[type]]</f>
        <v>0</v>
      </c>
      <c r="J125" s="62" t="str">
        <f>Table1[[#This Row],[Column42]]&amp;IF(Table1[[#This Row],[Column13]]="","",Table1[[#This Row],[Column13]])&amp;IF(Table1[[#This Row],[mod]]="","",Table1[[#This Row],[mod]])</f>
        <v>__template--landing</v>
      </c>
      <c r="K1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__template--landing</v>
      </c>
      <c r="O125" s="6" t="s">
        <v>2784</v>
      </c>
      <c r="P125" s="6" t="s">
        <v>2784</v>
      </c>
      <c r="Q1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" s="29"/>
      <c r="AC125" s="25"/>
      <c r="AD125" s="41"/>
      <c r="AE125" s="41"/>
      <c r="AF125" s="11"/>
      <c r="AH125" s="1" t="str">
        <f>Table1[[#This Row],[html_tag]]&amp;Table1[[#This Row],[html_type]]&amp;Table1[[#This Row],[html_modifier]]</f>
        <v/>
      </c>
      <c r="AL125" s="22" t="str">
        <f>IFERROR(_xlfn.XLOOKUP(Table1[[#This Row],[word]],Table57[English style name],Table57[Style type]),"")</f>
        <v/>
      </c>
      <c r="AM125" s="20"/>
      <c r="AN125" s="11"/>
      <c r="AQ125" s="6" t="s">
        <v>2784</v>
      </c>
      <c r="AR125" t="s">
        <v>2780</v>
      </c>
    </row>
    <row r="126" spans="4:44">
      <c r="E126" s="76"/>
      <c r="F1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6" s="13" t="s">
        <v>337</v>
      </c>
      <c r="H126" s="13" t="s">
        <v>2989</v>
      </c>
      <c r="I126" s="12">
        <f>Table1[[#This Row],[type]]</f>
        <v>0</v>
      </c>
      <c r="J126" s="62" t="str">
        <f>Table1[[#This Row],[Column42]]&amp;IF(Table1[[#This Row],[Column13]]="","",Table1[[#This Row],[Column13]])&amp;IF(Table1[[#This Row],[mod]]="","",Table1[[#This Row],[mod]])</f>
        <v>__template--portfolio</v>
      </c>
      <c r="K1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__template--portfolio</v>
      </c>
      <c r="O126" s="6" t="s">
        <v>2785</v>
      </c>
      <c r="P126" s="6" t="s">
        <v>2785</v>
      </c>
      <c r="Q1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" s="29"/>
      <c r="AC126" s="25"/>
      <c r="AD126" s="41"/>
      <c r="AE126" s="41"/>
      <c r="AF126" s="11"/>
      <c r="AH126" s="1" t="str">
        <f>Table1[[#This Row],[html_tag]]&amp;Table1[[#This Row],[html_type]]&amp;Table1[[#This Row],[html_modifier]]</f>
        <v/>
      </c>
      <c r="AL126" s="22" t="str">
        <f>IFERROR(_xlfn.XLOOKUP(Table1[[#This Row],[word]],Table57[English style name],Table57[Style type]),"")</f>
        <v/>
      </c>
      <c r="AM126" s="20"/>
      <c r="AN126" s="11"/>
      <c r="AQ126" s="6" t="s">
        <v>2785</v>
      </c>
      <c r="AR126" t="s">
        <v>2780</v>
      </c>
    </row>
    <row r="127" spans="4:44">
      <c r="E127" s="76"/>
      <c r="F1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7" s="13" t="s">
        <v>337</v>
      </c>
      <c r="H127" s="13" t="s">
        <v>2989</v>
      </c>
      <c r="I127" s="12">
        <f>Table1[[#This Row],[type]]</f>
        <v>0</v>
      </c>
      <c r="J127" s="62" t="str">
        <f>Table1[[#This Row],[Column42]]&amp;IF(Table1[[#This Row],[Column13]]="","",Table1[[#This Row],[Column13]])&amp;IF(Table1[[#This Row],[mod]]="","",Table1[[#This Row],[mod]])</f>
        <v>__template--product-listing</v>
      </c>
      <c r="K1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__template--product-listing</v>
      </c>
      <c r="O127" s="6" t="s">
        <v>2786</v>
      </c>
      <c r="P127" s="6" t="s">
        <v>2786</v>
      </c>
      <c r="Q1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" s="29"/>
      <c r="AC127" s="25"/>
      <c r="AD127" s="41"/>
      <c r="AE127" s="41"/>
      <c r="AF127" s="11"/>
      <c r="AH127" s="1" t="str">
        <f>Table1[[#This Row],[html_tag]]&amp;Table1[[#This Row],[html_type]]&amp;Table1[[#This Row],[html_modifier]]</f>
        <v/>
      </c>
      <c r="AL127" s="22" t="str">
        <f>IFERROR(_xlfn.XLOOKUP(Table1[[#This Row],[word]],Table57[English style name],Table57[Style type]),"")</f>
        <v/>
      </c>
      <c r="AM127" s="20"/>
      <c r="AN127" s="11"/>
      <c r="AQ127" s="6" t="s">
        <v>2786</v>
      </c>
      <c r="AR127" t="s">
        <v>2780</v>
      </c>
    </row>
    <row r="128" spans="4:44">
      <c r="E128" s="76"/>
      <c r="F1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soul/line/0.scss</v>
      </c>
      <c r="G128" s="13" t="s">
        <v>2992</v>
      </c>
      <c r="H128" s="13" t="s">
        <v>2993</v>
      </c>
      <c r="I128" s="12">
        <f>Table1[[#This Row],[type]]</f>
        <v>0</v>
      </c>
      <c r="J128" s="62" t="str">
        <f>Table1[[#This Row],[Column42]]&amp;IF(Table1[[#This Row],[Column13]]="","",Table1[[#This Row],[Column13]])&amp;IF(Table1[[#This Row],[mod]]="","",Table1[[#This Row],[mod]])</f>
        <v>__top__no_border--top</v>
      </c>
      <c r="K1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__top__no_border--top</v>
      </c>
      <c r="N128" t="s">
        <v>3182</v>
      </c>
      <c r="O128" s="6" t="s">
        <v>1300</v>
      </c>
      <c r="P128" s="6" t="s">
        <v>1300</v>
      </c>
      <c r="Q1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" s="29"/>
      <c r="AC128" s="25"/>
      <c r="AD128" s="41"/>
      <c r="AE128" s="41"/>
      <c r="AF128" s="11"/>
      <c r="AH128" s="1" t="str">
        <f>Table1[[#This Row],[html_tag]]&amp;Table1[[#This Row],[html_type]]&amp;Table1[[#This Row],[html_modifier]]</f>
        <v/>
      </c>
      <c r="AL128" s="22" t="str">
        <f>IFERROR(_xlfn.XLOOKUP(Table1[[#This Row],[word]],Table57[English style name],Table57[Style type]),"")</f>
        <v/>
      </c>
      <c r="AM128" s="20"/>
      <c r="AN128" s="11"/>
      <c r="AQ128" s="6" t="s">
        <v>1300</v>
      </c>
      <c r="AR128" t="s">
        <v>1282</v>
      </c>
    </row>
    <row r="129" spans="4:44">
      <c r="D129" t="s">
        <v>3339</v>
      </c>
      <c r="E129" s="76"/>
      <c r="F1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29" s="13"/>
      <c r="H129" s="13"/>
      <c r="I129" s="12">
        <f>Table1[[#This Row],[type]]</f>
        <v>0</v>
      </c>
      <c r="J129" s="62" t="str">
        <f>Table1[[#This Row],[Column42]]&amp;IF(Table1[[#This Row],[Column13]]="","",Table1[[#This Row],[Column13]])&amp;IF(Table1[[#This Row],[mod]]="","",Table1[[#This Row],[mod]])</f>
        <v>__URL reference</v>
      </c>
      <c r="K1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__URL reference</v>
      </c>
      <c r="O129" t="s">
        <v>3335</v>
      </c>
      <c r="P129" t="s">
        <v>3335</v>
      </c>
      <c r="Q12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" s="29"/>
      <c r="AC129" s="25"/>
      <c r="AD129" s="41"/>
      <c r="AE129" s="41"/>
      <c r="AF129" s="11"/>
      <c r="AH129" s="7" t="str">
        <f>Table1[[#This Row],[html_tag]]&amp;Table1[[#This Row],[html_type]]&amp;Table1[[#This Row],[html_modifier]]</f>
        <v/>
      </c>
      <c r="AL129" s="23" t="str">
        <f>IFERROR(_xlfn.XLOOKUP(Table1[[#This Row],[word]],Table57[English style name],Table57[Style type]),"")</f>
        <v/>
      </c>
      <c r="AM129" s="21"/>
      <c r="AN129" s="11"/>
    </row>
    <row r="130" spans="4:44">
      <c r="E130" s="76"/>
      <c r="F1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30" s="13"/>
      <c r="H130" s="13"/>
      <c r="I130" s="12">
        <f>Table1[[#This Row],[type]]</f>
        <v>0</v>
      </c>
      <c r="J130" s="62" t="str">
        <f>Table1[[#This Row],[Column42]]&amp;IF(Table1[[#This Row],[Column13]]="","",Table1[[#This Row],[Column13]])&amp;IF(Table1[[#This Row],[mod]]="","",Table1[[#This Row],[mod]])</f>
        <v>--vertical</v>
      </c>
      <c r="K1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3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30" t="s">
        <v>2943</v>
      </c>
      <c r="AB130" s="29"/>
      <c r="AC130" s="25"/>
      <c r="AD130" s="41" t="s">
        <v>6903</v>
      </c>
      <c r="AE130" s="41"/>
      <c r="AF130" s="11"/>
      <c r="AH130" s="7" t="str">
        <f>Table1[[#This Row],[html_tag]]&amp;Table1[[#This Row],[html_type]]&amp;Table1[[#This Row],[html_modifier]]</f>
        <v/>
      </c>
      <c r="AL130" s="23" t="str">
        <f>IFERROR(_xlfn.XLOOKUP(Table1[[#This Row],[word]],Table57[English style name],Table57[Style type]),"")</f>
        <v/>
      </c>
      <c r="AM130" s="21"/>
      <c r="AN130" s="11"/>
    </row>
    <row r="131" spans="4:44">
      <c r="E131" s="76"/>
      <c r="F1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1" s="13" t="s">
        <v>337</v>
      </c>
      <c r="H131" s="13" t="s">
        <v>2986</v>
      </c>
      <c r="I131" s="12" t="str">
        <f>Table1[[#This Row],[type]]</f>
        <v>alert</v>
      </c>
      <c r="J131" s="62" t="str">
        <f>Table1[[#This Row],[Column42]]&amp;IF(Table1[[#This Row],[Column13]]="","",Table1[[#This Row],[Column13]])&amp;IF(Table1[[#This Row],[mod]]="","",Table1[[#This Row],[mod]])</f>
        <v>alert</v>
      </c>
      <c r="K1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1" t="s">
        <v>1153</v>
      </c>
      <c r="Q1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" s="29"/>
      <c r="AC131" s="25"/>
      <c r="AD131" s="41"/>
      <c r="AE131" s="41"/>
      <c r="AF131" s="11"/>
      <c r="AH131" s="1" t="str">
        <f>Table1[[#This Row],[html_tag]]&amp;Table1[[#This Row],[html_type]]&amp;Table1[[#This Row],[html_modifier]]</f>
        <v/>
      </c>
      <c r="AL131" s="22" t="str">
        <f>IFERROR(_xlfn.XLOOKUP(Table1[[#This Row],[word]],Table57[English style name],Table57[Style type]),"")</f>
        <v/>
      </c>
      <c r="AM131" s="20"/>
      <c r="AN131" s="11"/>
      <c r="AQ131" s="14" t="s">
        <v>1153</v>
      </c>
      <c r="AR131" t="s">
        <v>1154</v>
      </c>
    </row>
    <row r="132" spans="4:44">
      <c r="E132" s="76"/>
      <c r="F1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2" s="13" t="s">
        <v>337</v>
      </c>
      <c r="H132" s="13" t="s">
        <v>2986</v>
      </c>
      <c r="I132" s="12" t="str">
        <f>Table1[[#This Row],[type]]</f>
        <v>alert</v>
      </c>
      <c r="J132" s="62" t="str">
        <f>Table1[[#This Row],[Column42]]&amp;IF(Table1[[#This Row],[Column13]]="","",Table1[[#This Row],[Column13]])&amp;IF(Table1[[#This Row],[mod]]="","",Table1[[#This Row],[mod]])</f>
        <v>alert__heading</v>
      </c>
      <c r="K1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alert__heading</v>
      </c>
      <c r="L132" t="s">
        <v>1153</v>
      </c>
      <c r="O132" t="s">
        <v>100</v>
      </c>
      <c r="Q13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" s="29"/>
      <c r="AC132" s="25" t="s">
        <v>3491</v>
      </c>
      <c r="AD132" s="41"/>
      <c r="AE132" s="41"/>
      <c r="AF132" s="11"/>
      <c r="AH132" s="7" t="str">
        <f>Table1[[#This Row],[html_tag]]&amp;Table1[[#This Row],[html_type]]&amp;Table1[[#This Row],[html_modifier]]</f>
        <v/>
      </c>
      <c r="AL132" s="23" t="str">
        <f>IFERROR(_xlfn.XLOOKUP(Table1[[#This Row],[word]],Table57[English style name],Table57[Style type]),"")</f>
        <v/>
      </c>
      <c r="AM132" s="21"/>
      <c r="AN132" s="11"/>
    </row>
    <row r="133" spans="4:44">
      <c r="E133" s="76"/>
      <c r="F1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3" s="13" t="s">
        <v>337</v>
      </c>
      <c r="H133" s="13" t="s">
        <v>2986</v>
      </c>
      <c r="I133" s="12" t="str">
        <f>Table1[[#This Row],[type]]</f>
        <v>alert</v>
      </c>
      <c r="J133" s="62" t="str">
        <f>Table1[[#This Row],[Column42]]&amp;IF(Table1[[#This Row],[Column13]]="","",Table1[[#This Row],[Column13]])&amp;IF(Table1[[#This Row],[mod]]="","",Table1[[#This Row],[mod]])</f>
        <v>alert__link--link</v>
      </c>
      <c r="K1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alert__link</v>
      </c>
      <c r="L133" t="s">
        <v>1153</v>
      </c>
      <c r="O133" t="s">
        <v>477</v>
      </c>
      <c r="Q13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133" t="s">
        <v>477</v>
      </c>
      <c r="AB133" s="60"/>
      <c r="AC133" s="25" t="s">
        <v>3494</v>
      </c>
      <c r="AD133" s="41"/>
      <c r="AE133" s="41"/>
      <c r="AF133" s="11"/>
      <c r="AH133" s="7" t="str">
        <f>Table1[[#This Row],[html_tag]]&amp;Table1[[#This Row],[html_type]]&amp;Table1[[#This Row],[html_modifier]]</f>
        <v/>
      </c>
      <c r="AL133" s="23" t="str">
        <f>IFERROR(_xlfn.XLOOKUP(Table1[[#This Row],[word]],Table57[English style name],Table57[Style type]),"")</f>
        <v/>
      </c>
      <c r="AM133" s="21"/>
      <c r="AN133" s="11"/>
    </row>
    <row r="134" spans="4:44">
      <c r="E134" s="76"/>
      <c r="F1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4" s="13" t="s">
        <v>337</v>
      </c>
      <c r="H134" s="13" t="s">
        <v>2986</v>
      </c>
      <c r="I134" s="12" t="str">
        <f>Table1[[#This Row],[type]]</f>
        <v>alert</v>
      </c>
      <c r="J134" s="62" t="str">
        <f>Table1[[#This Row],[Column42]]&amp;IF(Table1[[#This Row],[Column13]]="","",Table1[[#This Row],[Column13]])&amp;IF(Table1[[#This Row],[mod]]="","",Table1[[#This Row],[mod]])</f>
        <v>alert--base</v>
      </c>
      <c r="K1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4" t="s">
        <v>1153</v>
      </c>
      <c r="Q1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4" t="s">
        <v>338</v>
      </c>
      <c r="AB134" s="60"/>
      <c r="AC134" s="25"/>
      <c r="AD134" s="41"/>
      <c r="AE134" s="41"/>
      <c r="AF134" s="11"/>
      <c r="AH134" s="1" t="str">
        <f>Table1[[#This Row],[html_tag]]&amp;Table1[[#This Row],[html_type]]&amp;Table1[[#This Row],[html_modifier]]</f>
        <v/>
      </c>
      <c r="AL134" s="22" t="str">
        <f>IFERROR(_xlfn.XLOOKUP(Table1[[#This Row],[word]],Table57[English style name],Table57[Style type]),"")</f>
        <v/>
      </c>
      <c r="AM134" s="20"/>
      <c r="AN134" s="11"/>
      <c r="AQ134" s="14" t="s">
        <v>1155</v>
      </c>
      <c r="AR134" t="s">
        <v>1154</v>
      </c>
    </row>
    <row r="135" spans="4:44">
      <c r="E135" s="76"/>
      <c r="F1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5" s="13" t="s">
        <v>337</v>
      </c>
      <c r="H135" s="13" t="s">
        <v>2986</v>
      </c>
      <c r="I135" s="12" t="str">
        <f>Table1[[#This Row],[type]]</f>
        <v>alert</v>
      </c>
      <c r="J135" s="62" t="str">
        <f>Table1[[#This Row],[Column42]]&amp;IF(Table1[[#This Row],[Column13]]="","",Table1[[#This Row],[Column13]])&amp;IF(Table1[[#This Row],[mod]]="","",Table1[[#This Row],[mod]])</f>
        <v>alert--dark</v>
      </c>
      <c r="K1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5" t="s">
        <v>1153</v>
      </c>
      <c r="Q13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35" t="s">
        <v>3501</v>
      </c>
      <c r="AB135" s="60"/>
      <c r="AC135" s="25" t="s">
        <v>3489</v>
      </c>
      <c r="AD135" s="41"/>
      <c r="AE135" s="41"/>
      <c r="AF135" s="11"/>
      <c r="AH135" s="7" t="str">
        <f>Table1[[#This Row],[html_tag]]&amp;Table1[[#This Row],[html_type]]&amp;Table1[[#This Row],[html_modifier]]</f>
        <v/>
      </c>
      <c r="AL135" s="23" t="str">
        <f>IFERROR(_xlfn.XLOOKUP(Table1[[#This Row],[word]],Table57[English style name],Table57[Style type]),"")</f>
        <v/>
      </c>
      <c r="AM135" s="21"/>
      <c r="AN135" s="11"/>
    </row>
    <row r="136" spans="4:44">
      <c r="E136" s="76"/>
      <c r="F1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alert.scss</v>
      </c>
      <c r="G136" s="13"/>
      <c r="H136" s="13"/>
      <c r="I136" s="12" t="str">
        <f>Table1[[#This Row],[type]]</f>
        <v>alert</v>
      </c>
      <c r="J136" s="62" t="str">
        <f>Table1[[#This Row],[Column42]]&amp;IF(Table1[[#This Row],[Column13]]="","",Table1[[#This Row],[Column13]])&amp;IF(Table1[[#This Row],[mod]]="","",Table1[[#This Row],[mod]])</f>
        <v>alert--dash</v>
      </c>
      <c r="K1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6" t="s">
        <v>1153</v>
      </c>
      <c r="Q1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--dash</v>
      </c>
      <c r="W136" t="s">
        <v>7396</v>
      </c>
      <c r="AB136" s="60"/>
      <c r="AC136" s="25"/>
      <c r="AD136" s="41" t="s">
        <v>6236</v>
      </c>
      <c r="AE136" s="41"/>
      <c r="AF136" s="11"/>
      <c r="AH136" s="7" t="str">
        <f>Table1[[#This Row],[html_tag]]&amp;Table1[[#This Row],[html_type]]&amp;Table1[[#This Row],[html_modifier]]</f>
        <v/>
      </c>
      <c r="AL136" s="23" t="str">
        <f>IFERROR(_xlfn.XLOOKUP(Table1[[#This Row],[word]],Table57[English style name],Table57[Style type]),"")</f>
        <v/>
      </c>
      <c r="AM136" s="21"/>
      <c r="AN136" s="11"/>
    </row>
    <row r="137" spans="4:44">
      <c r="E137" s="76"/>
      <c r="F1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7" s="13" t="s">
        <v>337</v>
      </c>
      <c r="H137" s="13" t="s">
        <v>2986</v>
      </c>
      <c r="I137" s="12" t="str">
        <f>Table1[[#This Row],[type]]</f>
        <v>alert</v>
      </c>
      <c r="J137" s="62" t="str">
        <f>Table1[[#This Row],[Column42]]&amp;IF(Table1[[#This Row],[Column13]]="","",Table1[[#This Row],[Column13]])&amp;IF(Table1[[#This Row],[mod]]="","",Table1[[#This Row],[mod]])</f>
        <v>alert--dismissible</v>
      </c>
      <c r="K1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7" t="s">
        <v>1153</v>
      </c>
      <c r="Q13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--dismissible</v>
      </c>
      <c r="Z137" t="s">
        <v>3504</v>
      </c>
      <c r="AB137" s="60"/>
      <c r="AC137" s="25" t="s">
        <v>3490</v>
      </c>
      <c r="AD137" s="41"/>
      <c r="AE137" s="41"/>
      <c r="AF137" s="11"/>
      <c r="AH137" s="7" t="str">
        <f>Table1[[#This Row],[html_tag]]&amp;Table1[[#This Row],[html_type]]&amp;Table1[[#This Row],[html_modifier]]</f>
        <v/>
      </c>
      <c r="AL137" s="23" t="str">
        <f>IFERROR(_xlfn.XLOOKUP(Table1[[#This Row],[word]],Table57[English style name],Table57[Style type]),"")</f>
        <v/>
      </c>
      <c r="AM137" s="21"/>
      <c r="AN137" s="11"/>
    </row>
    <row r="138" spans="4:44">
      <c r="E138" s="76"/>
      <c r="F1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8" s="13" t="s">
        <v>337</v>
      </c>
      <c r="H138" s="13" t="s">
        <v>2986</v>
      </c>
      <c r="I138" s="12" t="str">
        <f>Table1[[#This Row],[type]]</f>
        <v>alert</v>
      </c>
      <c r="J138" s="62" t="str">
        <f>Table1[[#This Row],[Column42]]&amp;IF(Table1[[#This Row],[Column13]]="","",Table1[[#This Row],[Column13]])&amp;IF(Table1[[#This Row],[mod]]="","",Table1[[#This Row],[mod]])</f>
        <v>alert--error</v>
      </c>
      <c r="K1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8" t="s">
        <v>1153</v>
      </c>
      <c r="Q1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38" t="s">
        <v>3117</v>
      </c>
      <c r="AB138" s="29"/>
      <c r="AC138" s="25" t="s">
        <v>3488</v>
      </c>
      <c r="AD138" s="41" t="s">
        <v>6238</v>
      </c>
      <c r="AE138" s="41"/>
      <c r="AF138" s="11"/>
      <c r="AH138" s="1" t="str">
        <f>Table1[[#This Row],[html_tag]]&amp;Table1[[#This Row],[html_type]]&amp;Table1[[#This Row],[html_modifier]]</f>
        <v/>
      </c>
      <c r="AL138" s="22" t="str">
        <f>IFERROR(_xlfn.XLOOKUP(Table1[[#This Row],[word]],Table57[English style name],Table57[Style type]),"")</f>
        <v/>
      </c>
      <c r="AM138" s="20"/>
      <c r="AN138" s="11"/>
      <c r="AQ138" s="14" t="s">
        <v>1156</v>
      </c>
      <c r="AR138" t="s">
        <v>1154</v>
      </c>
    </row>
    <row r="139" spans="4:44">
      <c r="E139" s="76"/>
      <c r="F1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9" s="13" t="s">
        <v>337</v>
      </c>
      <c r="H139" s="13" t="s">
        <v>2986</v>
      </c>
      <c r="I139" s="12" t="str">
        <f>Table1[[#This Row],[type]]</f>
        <v>alert</v>
      </c>
      <c r="J139" s="62" t="str">
        <f>Table1[[#This Row],[Column42]]&amp;IF(Table1[[#This Row],[Column13]]="","",Table1[[#This Row],[Column13]])&amp;IF(Table1[[#This Row],[mod]]="","",Table1[[#This Row],[mod]])</f>
        <v>alert--fade</v>
      </c>
      <c r="K1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9" t="s">
        <v>1153</v>
      </c>
      <c r="Q13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--fade</v>
      </c>
      <c r="W139" t="s">
        <v>3505</v>
      </c>
      <c r="AB139" s="29"/>
      <c r="AC139" s="25" t="s">
        <v>3499</v>
      </c>
      <c r="AD139" s="41"/>
      <c r="AE139" s="41"/>
      <c r="AF139" s="11"/>
      <c r="AH139" s="7" t="str">
        <f>Table1[[#This Row],[html_tag]]&amp;Table1[[#This Row],[html_type]]&amp;Table1[[#This Row],[html_modifier]]</f>
        <v/>
      </c>
      <c r="AL139" s="23" t="str">
        <f>IFERROR(_xlfn.XLOOKUP(Table1[[#This Row],[word]],Table57[English style name],Table57[Style type]),"")</f>
        <v/>
      </c>
      <c r="AM139" s="21"/>
      <c r="AN139" s="11"/>
    </row>
    <row r="140" spans="4:44">
      <c r="E140" s="76"/>
      <c r="F1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alert.scss</v>
      </c>
      <c r="G140" s="13"/>
      <c r="H140" s="13"/>
      <c r="I140" s="12" t="str">
        <f>Table1[[#This Row],[type]]</f>
        <v>alert</v>
      </c>
      <c r="J140" s="62" t="str">
        <f>Table1[[#This Row],[Column42]]&amp;IF(Table1[[#This Row],[Column13]]="","",Table1[[#This Row],[Column13]])&amp;IF(Table1[[#This Row],[mod]]="","",Table1[[#This Row],[mod]])</f>
        <v>alert--horizontal</v>
      </c>
      <c r="K1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0" t="s">
        <v>1153</v>
      </c>
      <c r="Q14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40" t="s">
        <v>3205</v>
      </c>
      <c r="AB140" s="29"/>
      <c r="AC140" s="25"/>
      <c r="AD140" s="41" t="s">
        <v>6240</v>
      </c>
      <c r="AE140" s="41"/>
      <c r="AF140" s="11"/>
      <c r="AH140" s="7" t="str">
        <f>Table1[[#This Row],[html_tag]]&amp;Table1[[#This Row],[html_type]]&amp;Table1[[#This Row],[html_modifier]]</f>
        <v/>
      </c>
      <c r="AL140" s="23" t="str">
        <f>IFERROR(_xlfn.XLOOKUP(Table1[[#This Row],[word]],Table57[English style name],Table57[Style type]),"")</f>
        <v/>
      </c>
      <c r="AM140" s="21"/>
      <c r="AN140" s="11"/>
    </row>
    <row r="141" spans="4:44">
      <c r="E141" s="76"/>
      <c r="F1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1" s="13" t="s">
        <v>337</v>
      </c>
      <c r="H141" s="13" t="s">
        <v>2986</v>
      </c>
      <c r="I141" s="12" t="str">
        <f>Table1[[#This Row],[type]]</f>
        <v>alert</v>
      </c>
      <c r="J141" s="62" t="str">
        <f>Table1[[#This Row],[Column42]]&amp;IF(Table1[[#This Row],[Column13]]="","",Table1[[#This Row],[Column13]])&amp;IF(Table1[[#This Row],[mod]]="","",Table1[[#This Row],[mod]])</f>
        <v>alert--info</v>
      </c>
      <c r="K1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1" t="s">
        <v>1153</v>
      </c>
      <c r="Q1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41" t="s">
        <v>3119</v>
      </c>
      <c r="AB141" s="29"/>
      <c r="AC141" s="25" t="s">
        <v>3492</v>
      </c>
      <c r="AD141" s="41" t="s">
        <v>3492</v>
      </c>
      <c r="AE141" s="41"/>
      <c r="AF141" s="11"/>
      <c r="AH141" s="1" t="str">
        <f>Table1[[#This Row],[html_tag]]&amp;Table1[[#This Row],[html_type]]&amp;Table1[[#This Row],[html_modifier]]</f>
        <v/>
      </c>
      <c r="AL141" s="22" t="str">
        <f>IFERROR(_xlfn.XLOOKUP(Table1[[#This Row],[word]],Table57[English style name],Table57[Style type]),"")</f>
        <v/>
      </c>
      <c r="AM141" s="20"/>
      <c r="AN141" s="11"/>
      <c r="AQ141" s="14" t="s">
        <v>1157</v>
      </c>
      <c r="AR141" t="s">
        <v>1154</v>
      </c>
    </row>
    <row r="142" spans="4:44">
      <c r="E142" s="76"/>
      <c r="F1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2" s="13" t="s">
        <v>337</v>
      </c>
      <c r="H142" s="13" t="s">
        <v>2986</v>
      </c>
      <c r="I142" s="12" t="str">
        <f>Table1[[#This Row],[type]]</f>
        <v>alert</v>
      </c>
      <c r="J142" s="62" t="str">
        <f>Table1[[#This Row],[Column42]]&amp;IF(Table1[[#This Row],[Column13]]="","",Table1[[#This Row],[Column13]])&amp;IF(Table1[[#This Row],[mod]]="","",Table1[[#This Row],[mod]])</f>
        <v>alert--light</v>
      </c>
      <c r="K1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2" t="s">
        <v>1153</v>
      </c>
      <c r="Q14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142" t="s">
        <v>3503</v>
      </c>
      <c r="AB142" s="29"/>
      <c r="AC142" s="25" t="s">
        <v>3493</v>
      </c>
      <c r="AD142" s="41"/>
      <c r="AE142" s="41"/>
      <c r="AF142" s="11"/>
      <c r="AH142" s="7" t="str">
        <f>Table1[[#This Row],[html_tag]]&amp;Table1[[#This Row],[html_type]]&amp;Table1[[#This Row],[html_modifier]]</f>
        <v/>
      </c>
      <c r="AL142" s="23" t="str">
        <f>IFERROR(_xlfn.XLOOKUP(Table1[[#This Row],[word]],Table57[English style name],Table57[Style type]),"")</f>
        <v/>
      </c>
      <c r="AM142" s="21"/>
      <c r="AN142" s="11"/>
    </row>
    <row r="143" spans="4:44">
      <c r="E143" s="76"/>
      <c r="F1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alert.scss</v>
      </c>
      <c r="G143" s="13"/>
      <c r="H143" s="13"/>
      <c r="I143" s="12" t="str">
        <f>Table1[[#This Row],[type]]</f>
        <v>alert</v>
      </c>
      <c r="J143" s="62" t="str">
        <f>Table1[[#This Row],[Column42]]&amp;IF(Table1[[#This Row],[Column13]]="","",Table1[[#This Row],[Column13]])&amp;IF(Table1[[#This Row],[mod]]="","",Table1[[#This Row],[mod]])</f>
        <v>alert--outline</v>
      </c>
      <c r="K1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3" t="s">
        <v>1153</v>
      </c>
      <c r="Q1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143" t="s">
        <v>3458</v>
      </c>
      <c r="U1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" s="29"/>
      <c r="AC143" s="25"/>
      <c r="AD143" s="41" t="s">
        <v>6235</v>
      </c>
      <c r="AE143" s="41"/>
      <c r="AF143" s="11"/>
      <c r="AH143" s="7" t="str">
        <f>Table1[[#This Row],[html_tag]]&amp;Table1[[#This Row],[html_type]]&amp;Table1[[#This Row],[html_modifier]]</f>
        <v/>
      </c>
      <c r="AL143" s="23" t="str">
        <f>IFERROR(_xlfn.XLOOKUP(Table1[[#This Row],[word]],Table57[English style name],Table57[Style type]),"")</f>
        <v/>
      </c>
      <c r="AM143" s="21"/>
      <c r="AN143" s="11"/>
    </row>
    <row r="144" spans="4:44">
      <c r="E144" s="76"/>
      <c r="F1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4" s="13" t="s">
        <v>337</v>
      </c>
      <c r="H144" s="13" t="s">
        <v>2986</v>
      </c>
      <c r="I144" s="12" t="str">
        <f>Table1[[#This Row],[type]]</f>
        <v>alert</v>
      </c>
      <c r="J144" s="62" t="str">
        <f>Table1[[#This Row],[Column42]]&amp;IF(Table1[[#This Row],[Column13]]="","",Table1[[#This Row],[Column13]])&amp;IF(Table1[[#This Row],[mod]]="","",Table1[[#This Row],[mod]])</f>
        <v>alert--primary</v>
      </c>
      <c r="K1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4" t="s">
        <v>1153</v>
      </c>
      <c r="Q1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44" t="s">
        <v>3164</v>
      </c>
      <c r="AB144" s="29"/>
      <c r="AC144" s="25" t="s">
        <v>3495</v>
      </c>
      <c r="AD144" s="41"/>
      <c r="AE144" s="41"/>
      <c r="AF144" s="11"/>
      <c r="AH144" s="7" t="str">
        <f>Table1[[#This Row],[html_tag]]&amp;Table1[[#This Row],[html_type]]&amp;Table1[[#This Row],[html_modifier]]</f>
        <v/>
      </c>
      <c r="AL144" s="23" t="str">
        <f>IFERROR(_xlfn.XLOOKUP(Table1[[#This Row],[word]],Table57[English style name],Table57[Style type]),"")</f>
        <v/>
      </c>
      <c r="AM144" s="21"/>
      <c r="AN144" s="11"/>
    </row>
    <row r="145" spans="5:44">
      <c r="E145" s="76"/>
      <c r="F1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5" s="13" t="s">
        <v>337</v>
      </c>
      <c r="H145" s="13" t="s">
        <v>2986</v>
      </c>
      <c r="I145" s="12" t="str">
        <f>Table1[[#This Row],[type]]</f>
        <v>alert</v>
      </c>
      <c r="J145" s="62" t="str">
        <f>Table1[[#This Row],[Column42]]&amp;IF(Table1[[#This Row],[Column13]]="","",Table1[[#This Row],[Column13]])&amp;IF(Table1[[#This Row],[mod]]="","",Table1[[#This Row],[mod]])</f>
        <v>alert--secondary</v>
      </c>
      <c r="K1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5" t="s">
        <v>1153</v>
      </c>
      <c r="Q1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45" t="s">
        <v>3502</v>
      </c>
      <c r="AB145" s="29"/>
      <c r="AC145" s="25" t="s">
        <v>3496</v>
      </c>
      <c r="AD145" s="41"/>
      <c r="AE145" s="41"/>
      <c r="AF145" s="11"/>
      <c r="AH145" s="7" t="str">
        <f>Table1[[#This Row],[html_tag]]&amp;Table1[[#This Row],[html_type]]&amp;Table1[[#This Row],[html_modifier]]</f>
        <v/>
      </c>
      <c r="AL145" s="23" t="str">
        <f>IFERROR(_xlfn.XLOOKUP(Table1[[#This Row],[word]],Table57[English style name],Table57[Style type]),"")</f>
        <v/>
      </c>
      <c r="AM145" s="21"/>
      <c r="AN145" s="11"/>
    </row>
    <row r="146" spans="5:44">
      <c r="E146" s="76"/>
      <c r="F1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alert.scss</v>
      </c>
      <c r="G146" s="13"/>
      <c r="H146" s="13"/>
      <c r="I146" s="12" t="str">
        <f>Table1[[#This Row],[type]]</f>
        <v>alert</v>
      </c>
      <c r="J146" s="62" t="str">
        <f>Table1[[#This Row],[Column42]]&amp;IF(Table1[[#This Row],[Column13]]="","",Table1[[#This Row],[Column13]])&amp;IF(Table1[[#This Row],[mod]]="","",Table1[[#This Row],[mod]])</f>
        <v>alert--soft</v>
      </c>
      <c r="K1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6" t="s">
        <v>1153</v>
      </c>
      <c r="Q1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--soft</v>
      </c>
      <c r="W146" t="s">
        <v>7416</v>
      </c>
      <c r="AB146" s="29"/>
      <c r="AC146" s="25"/>
      <c r="AD146" s="41" t="s">
        <v>6237</v>
      </c>
      <c r="AE146" s="41"/>
      <c r="AF146" s="11"/>
      <c r="AH146" s="7" t="str">
        <f>Table1[[#This Row],[html_tag]]&amp;Table1[[#This Row],[html_type]]&amp;Table1[[#This Row],[html_modifier]]</f>
        <v/>
      </c>
      <c r="AL146" s="23" t="str">
        <f>IFERROR(_xlfn.XLOOKUP(Table1[[#This Row],[word]],Table57[English style name],Table57[Style type]),"")</f>
        <v/>
      </c>
      <c r="AM146" s="21"/>
      <c r="AN146" s="11"/>
    </row>
    <row r="147" spans="5:44">
      <c r="E147" s="76"/>
      <c r="F1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7" s="13" t="s">
        <v>337</v>
      </c>
      <c r="H147" s="13" t="s">
        <v>2986</v>
      </c>
      <c r="I147" s="12" t="str">
        <f>Table1[[#This Row],[type]]</f>
        <v>alert</v>
      </c>
      <c r="J147" s="62" t="str">
        <f>Table1[[#This Row],[Column42]]&amp;IF(Table1[[#This Row],[Column13]]="","",Table1[[#This Row],[Column13]])&amp;IF(Table1[[#This Row],[mod]]="","",Table1[[#This Row],[mod]])</f>
        <v>alert--success</v>
      </c>
      <c r="K1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7" t="s">
        <v>1153</v>
      </c>
      <c r="Q1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47" t="s">
        <v>3120</v>
      </c>
      <c r="AB147" s="29"/>
      <c r="AC147" s="25" t="s">
        <v>3497</v>
      </c>
      <c r="AD147" s="41" t="s">
        <v>3497</v>
      </c>
      <c r="AE147" s="41"/>
      <c r="AF147" s="11"/>
      <c r="AH147" s="1" t="str">
        <f>Table1[[#This Row],[html_tag]]&amp;Table1[[#This Row],[html_type]]&amp;Table1[[#This Row],[html_modifier]]</f>
        <v/>
      </c>
      <c r="AL147" s="22" t="str">
        <f>IFERROR(_xlfn.XLOOKUP(Table1[[#This Row],[word]],Table57[English style name],Table57[Style type]),"")</f>
        <v/>
      </c>
      <c r="AM147" s="20"/>
      <c r="AN147" s="11"/>
      <c r="AQ147" s="14" t="s">
        <v>1158</v>
      </c>
      <c r="AR147" t="s">
        <v>1154</v>
      </c>
    </row>
    <row r="148" spans="5:44">
      <c r="E148" s="76"/>
      <c r="F1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8" s="13" t="s">
        <v>337</v>
      </c>
      <c r="H148" s="13" t="s">
        <v>2986</v>
      </c>
      <c r="I148" s="12" t="str">
        <f>Table1[[#This Row],[type]]</f>
        <v>alert</v>
      </c>
      <c r="J148" s="62" t="str">
        <f>Table1[[#This Row],[Column42]]&amp;IF(Table1[[#This Row],[Column13]]="","",Table1[[#This Row],[Column13]])&amp;IF(Table1[[#This Row],[mod]]="","",Table1[[#This Row],[mod]])</f>
        <v>alert--variant</v>
      </c>
      <c r="K1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8" t="s">
        <v>1153</v>
      </c>
      <c r="Q1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--variant</v>
      </c>
      <c r="Z148" t="s">
        <v>3002</v>
      </c>
      <c r="AB148" s="29"/>
      <c r="AC148" s="25"/>
      <c r="AD148" s="41"/>
      <c r="AE148" s="41"/>
      <c r="AF148" s="11"/>
      <c r="AH148" s="1" t="str">
        <f>Table1[[#This Row],[html_tag]]&amp;Table1[[#This Row],[html_type]]&amp;Table1[[#This Row],[html_modifier]]</f>
        <v/>
      </c>
      <c r="AL148" s="22" t="str">
        <f>IFERROR(_xlfn.XLOOKUP(Table1[[#This Row],[word]],Table57[English style name],Table57[Style type]),"")</f>
        <v/>
      </c>
      <c r="AM148" s="20"/>
      <c r="AN148" s="11"/>
      <c r="AQ148" s="14" t="s">
        <v>1159</v>
      </c>
      <c r="AR148" t="s">
        <v>1154</v>
      </c>
    </row>
    <row r="149" spans="5:44">
      <c r="E149" s="76"/>
      <c r="F1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alert.scss</v>
      </c>
      <c r="G149" s="13"/>
      <c r="H149" s="13"/>
      <c r="I149" s="12" t="str">
        <f>Table1[[#This Row],[type]]</f>
        <v>alert</v>
      </c>
      <c r="J149" s="62" t="str">
        <f>Table1[[#This Row],[Column42]]&amp;IF(Table1[[#This Row],[Column13]]="","",Table1[[#This Row],[Column13]])&amp;IF(Table1[[#This Row],[mod]]="","",Table1[[#This Row],[mod]])</f>
        <v>alert--vertical</v>
      </c>
      <c r="K1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9" t="s">
        <v>1153</v>
      </c>
      <c r="Q1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49" t="s">
        <v>2943</v>
      </c>
      <c r="AB149" s="29"/>
      <c r="AC149" s="25"/>
      <c r="AD149" s="41" t="s">
        <v>6239</v>
      </c>
      <c r="AE149" s="41"/>
      <c r="AF149" s="11"/>
      <c r="AH149" s="7" t="str">
        <f>Table1[[#This Row],[html_tag]]&amp;Table1[[#This Row],[html_type]]&amp;Table1[[#This Row],[html_modifier]]</f>
        <v/>
      </c>
      <c r="AL149" s="23" t="str">
        <f>IFERROR(_xlfn.XLOOKUP(Table1[[#This Row],[word]],Table57[English style name],Table57[Style type]),"")</f>
        <v/>
      </c>
      <c r="AM149" s="21"/>
      <c r="AN149" s="11"/>
    </row>
    <row r="150" spans="5:44">
      <c r="E150" s="76"/>
      <c r="F1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50" s="13" t="s">
        <v>337</v>
      </c>
      <c r="H150" s="13" t="s">
        <v>2986</v>
      </c>
      <c r="I150" s="12" t="str">
        <f>Table1[[#This Row],[type]]</f>
        <v>alert</v>
      </c>
      <c r="J150" s="62" t="str">
        <f>Table1[[#This Row],[Column42]]&amp;IF(Table1[[#This Row],[Column13]]="","",Table1[[#This Row],[Column13]])&amp;IF(Table1[[#This Row],[mod]]="","",Table1[[#This Row],[mod]])</f>
        <v>alert--warning</v>
      </c>
      <c r="K1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50" t="s">
        <v>1153</v>
      </c>
      <c r="Q1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50" t="s">
        <v>3121</v>
      </c>
      <c r="AB150" s="29"/>
      <c r="AC150" s="25" t="s">
        <v>3498</v>
      </c>
      <c r="AD150" s="41" t="s">
        <v>3498</v>
      </c>
      <c r="AE150" s="41"/>
      <c r="AF150" s="11"/>
      <c r="AH150" s="1" t="str">
        <f>Table1[[#This Row],[html_tag]]&amp;Table1[[#This Row],[html_type]]&amp;Table1[[#This Row],[html_modifier]]</f>
        <v/>
      </c>
      <c r="AL150" s="22" t="str">
        <f>IFERROR(_xlfn.XLOOKUP(Table1[[#This Row],[word]],Table57[English style name],Table57[Style type]),"")</f>
        <v/>
      </c>
      <c r="AM150" s="20"/>
      <c r="AN150" s="11"/>
      <c r="AQ150" s="14" t="s">
        <v>1160</v>
      </c>
      <c r="AR150" t="s">
        <v>1154</v>
      </c>
    </row>
    <row r="151" spans="5:44">
      <c r="E151" s="76"/>
      <c r="F1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1" s="13" t="s">
        <v>461</v>
      </c>
      <c r="H151" s="13" t="s">
        <v>2991</v>
      </c>
      <c r="I151" s="12" t="str">
        <f>Table1[[#This Row],[type]]</f>
        <v>align</v>
      </c>
      <c r="J151" s="62" t="str">
        <f>Table1[[#This Row],[Column42]]&amp;IF(Table1[[#This Row],[Column13]]="","",Table1[[#This Row],[Column13]])&amp;IF(Table1[[#This Row],[mod]]="","",Table1[[#This Row],[mod]])</f>
        <v>align__baseline</v>
      </c>
      <c r="K1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align__baseline</v>
      </c>
      <c r="L151" t="s">
        <v>3081</v>
      </c>
      <c r="N151" t="s">
        <v>3201</v>
      </c>
      <c r="Q1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" s="29"/>
      <c r="AC151" s="25"/>
      <c r="AD151" s="41"/>
      <c r="AE151" s="41"/>
      <c r="AF151" s="11"/>
      <c r="AH151" s="1" t="str">
        <f>Table1[[#This Row],[html_tag]]&amp;Table1[[#This Row],[html_type]]&amp;Table1[[#This Row],[html_modifier]]</f>
        <v/>
      </c>
      <c r="AL151" s="22" t="str">
        <f>IFERROR(_xlfn.XLOOKUP(Table1[[#This Row],[word]],Table57[English style name],Table57[Style type]),"")</f>
        <v/>
      </c>
      <c r="AM151" s="20"/>
      <c r="AN151" s="11"/>
      <c r="AQ151" s="14" t="s">
        <v>1170</v>
      </c>
      <c r="AR151" t="s">
        <v>1171</v>
      </c>
    </row>
    <row r="152" spans="5:44">
      <c r="E152" s="76"/>
      <c r="F1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2" s="13" t="s">
        <v>461</v>
      </c>
      <c r="H152" s="13" t="s">
        <v>2991</v>
      </c>
      <c r="I152" s="12" t="str">
        <f>Table1[[#This Row],[type]]</f>
        <v>align</v>
      </c>
      <c r="J152" s="62" t="str">
        <f>Table1[[#This Row],[Column42]]&amp;IF(Table1[[#This Row],[Column13]]="","",Table1[[#This Row],[Column13]])&amp;IF(Table1[[#This Row],[mod]]="","",Table1[[#This Row],[mod]])</f>
        <v>align__center</v>
      </c>
      <c r="K1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align__center</v>
      </c>
      <c r="L152" t="s">
        <v>3081</v>
      </c>
      <c r="N152" t="s">
        <v>425</v>
      </c>
      <c r="Q1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" s="29"/>
      <c r="AC152" s="25"/>
      <c r="AD152" s="41"/>
      <c r="AE152" s="41"/>
      <c r="AF152" s="11"/>
      <c r="AH152" s="1" t="str">
        <f>Table1[[#This Row],[html_tag]]&amp;Table1[[#This Row],[html_type]]&amp;Table1[[#This Row],[html_modifier]]</f>
        <v/>
      </c>
      <c r="AL152" s="22" t="str">
        <f>IFERROR(_xlfn.XLOOKUP(Table1[[#This Row],[word]],Table57[English style name],Table57[Style type]),"")</f>
        <v/>
      </c>
      <c r="AM152" s="20"/>
      <c r="AN152" s="11"/>
      <c r="AQ152" s="14" t="s">
        <v>1172</v>
      </c>
      <c r="AR152" t="s">
        <v>1171</v>
      </c>
    </row>
    <row r="153" spans="5:44">
      <c r="E153" s="76"/>
      <c r="F1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3" s="13" t="s">
        <v>461</v>
      </c>
      <c r="H153" s="13" t="s">
        <v>2991</v>
      </c>
      <c r="I153" s="12" t="str">
        <f>Table1[[#This Row],[type]]</f>
        <v>align</v>
      </c>
      <c r="J153" s="62" t="str">
        <f>Table1[[#This Row],[Column42]]&amp;IF(Table1[[#This Row],[Column13]]="","",Table1[[#This Row],[Column13]])&amp;IF(Table1[[#This Row],[mod]]="","",Table1[[#This Row],[mod]])</f>
        <v>align__end</v>
      </c>
      <c r="K1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align__end</v>
      </c>
      <c r="L153" t="s">
        <v>3081</v>
      </c>
      <c r="N153" t="s">
        <v>3194</v>
      </c>
      <c r="Q1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" s="29"/>
      <c r="AC153" s="25"/>
      <c r="AD153" s="41"/>
      <c r="AE153" s="41"/>
      <c r="AF153" s="11"/>
      <c r="AH153" s="1" t="str">
        <f>Table1[[#This Row],[html_tag]]&amp;Table1[[#This Row],[html_type]]&amp;Table1[[#This Row],[html_modifier]]</f>
        <v/>
      </c>
      <c r="AL153" s="22" t="str">
        <f>IFERROR(_xlfn.XLOOKUP(Table1[[#This Row],[word]],Table57[English style name],Table57[Style type]),"")</f>
        <v/>
      </c>
      <c r="AM153" s="20"/>
      <c r="AN153" s="11"/>
      <c r="AQ153" s="14" t="s">
        <v>1173</v>
      </c>
      <c r="AR153" t="s">
        <v>1171</v>
      </c>
    </row>
    <row r="154" spans="5:44">
      <c r="E154" s="76"/>
      <c r="F1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4" s="13" t="s">
        <v>461</v>
      </c>
      <c r="H154" s="13" t="s">
        <v>2991</v>
      </c>
      <c r="I154" s="12" t="str">
        <f>Table1[[#This Row],[type]]</f>
        <v>align</v>
      </c>
      <c r="J154" s="62" t="str">
        <f>Table1[[#This Row],[Column42]]&amp;IF(Table1[[#This Row],[Column13]]="","",Table1[[#This Row],[Column13]])&amp;IF(Table1[[#This Row],[mod]]="","",Table1[[#This Row],[mod]])</f>
        <v>align__start</v>
      </c>
      <c r="K1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align__start</v>
      </c>
      <c r="L154" t="s">
        <v>3081</v>
      </c>
      <c r="N154" t="s">
        <v>3193</v>
      </c>
      <c r="Q1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" s="29"/>
      <c r="AC154" s="25"/>
      <c r="AD154" s="41"/>
      <c r="AE154" s="41"/>
      <c r="AF154" s="11"/>
      <c r="AH154" s="1" t="str">
        <f>Table1[[#This Row],[html_tag]]&amp;Table1[[#This Row],[html_type]]&amp;Table1[[#This Row],[html_modifier]]</f>
        <v/>
      </c>
      <c r="AL154" s="22" t="str">
        <f>IFERROR(_xlfn.XLOOKUP(Table1[[#This Row],[word]],Table57[English style name],Table57[Style type]),"")</f>
        <v/>
      </c>
      <c r="AM154" s="20"/>
      <c r="AN154" s="11"/>
      <c r="AQ154" s="14" t="s">
        <v>1174</v>
      </c>
      <c r="AR154" t="s">
        <v>1171</v>
      </c>
    </row>
    <row r="155" spans="5:44">
      <c r="E155" s="76"/>
      <c r="F1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5" s="13" t="s">
        <v>461</v>
      </c>
      <c r="H155" s="13" t="s">
        <v>2991</v>
      </c>
      <c r="I155" s="12" t="str">
        <f>Table1[[#This Row],[type]]</f>
        <v>align</v>
      </c>
      <c r="J155" s="62" t="str">
        <f>Table1[[#This Row],[Column42]]&amp;IF(Table1[[#This Row],[Column13]]="","",Table1[[#This Row],[Column13]])&amp;IF(Table1[[#This Row],[mod]]="","",Table1[[#This Row],[mod]])</f>
        <v>align__stretch</v>
      </c>
      <c r="K1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align__stretch</v>
      </c>
      <c r="L155" t="s">
        <v>3081</v>
      </c>
      <c r="N155" t="s">
        <v>3199</v>
      </c>
      <c r="Q1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" s="29"/>
      <c r="AC155" s="25"/>
      <c r="AD155" s="41"/>
      <c r="AE155" s="41"/>
      <c r="AF155" s="11"/>
      <c r="AH155" s="1" t="str">
        <f>Table1[[#This Row],[html_tag]]&amp;Table1[[#This Row],[html_type]]&amp;Table1[[#This Row],[html_modifier]]</f>
        <v/>
      </c>
      <c r="AL155" s="22" t="str">
        <f>IFERROR(_xlfn.XLOOKUP(Table1[[#This Row],[word]],Table57[English style name],Table57[Style type]),"")</f>
        <v/>
      </c>
      <c r="AM155" s="20"/>
      <c r="AN155" s="11"/>
      <c r="AQ155" s="14" t="s">
        <v>1175</v>
      </c>
      <c r="AR155" t="s">
        <v>1171</v>
      </c>
    </row>
    <row r="156" spans="5:44">
      <c r="E156" s="76"/>
      <c r="F1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56" s="13" t="s">
        <v>461</v>
      </c>
      <c r="H156" s="13" t="s">
        <v>2991</v>
      </c>
      <c r="I156" s="12" t="str">
        <f>Table1[[#This Row],[type]]</f>
        <v>align_content</v>
      </c>
      <c r="J156" s="62" t="str">
        <f>Table1[[#This Row],[Column42]]&amp;IF(Table1[[#This Row],[Column13]]="","",Table1[[#This Row],[Column13]])&amp;IF(Table1[[#This Row],[mod]]="","",Table1[[#This Row],[mod]])</f>
        <v>align_content</v>
      </c>
      <c r="K1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</v>
      </c>
      <c r="L156" t="s">
        <v>1161</v>
      </c>
      <c r="Q1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" s="29"/>
      <c r="AC156" s="25"/>
      <c r="AD156" s="41"/>
      <c r="AE156" s="41"/>
      <c r="AF156" s="11"/>
      <c r="AH156" s="1" t="str">
        <f>Table1[[#This Row],[html_tag]]&amp;Table1[[#This Row],[html_type]]&amp;Table1[[#This Row],[html_modifier]]</f>
        <v/>
      </c>
      <c r="AL156" s="22" t="str">
        <f>IFERROR(_xlfn.XLOOKUP(Table1[[#This Row],[word]],Table57[English style name],Table57[Style type]),"")</f>
        <v/>
      </c>
      <c r="AM156" s="20"/>
      <c r="AN156" s="11"/>
      <c r="AQ156" s="14" t="s">
        <v>1161</v>
      </c>
      <c r="AR156" t="s">
        <v>1162</v>
      </c>
    </row>
    <row r="157" spans="5:44">
      <c r="E157" s="76"/>
      <c r="F1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57" s="13" t="s">
        <v>461</v>
      </c>
      <c r="H157" s="13" t="s">
        <v>2991</v>
      </c>
      <c r="I157" s="12" t="str">
        <f>Table1[[#This Row],[type]]</f>
        <v>align_content</v>
      </c>
      <c r="J157" s="62" t="str">
        <f>Table1[[#This Row],[Column42]]&amp;IF(Table1[[#This Row],[Column13]]="","",Table1[[#This Row],[Column13]])&amp;IF(Table1[[#This Row],[mod]]="","",Table1[[#This Row],[mod]])</f>
        <v>align_content__around</v>
      </c>
      <c r="K1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align_content__around</v>
      </c>
      <c r="L157" t="s">
        <v>1161</v>
      </c>
      <c r="N157" t="s">
        <v>3196</v>
      </c>
      <c r="Q1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" s="29"/>
      <c r="AC157" s="25" t="s">
        <v>10126</v>
      </c>
      <c r="AD157" s="41"/>
      <c r="AE157" s="41"/>
      <c r="AF157" s="11"/>
      <c r="AH157" s="1" t="str">
        <f>Table1[[#This Row],[html_tag]]&amp;Table1[[#This Row],[html_type]]&amp;Table1[[#This Row],[html_modifier]]</f>
        <v/>
      </c>
      <c r="AL157" s="22" t="str">
        <f>IFERROR(_xlfn.XLOOKUP(Table1[[#This Row],[word]],Table57[English style name],Table57[Style type]),"")</f>
        <v/>
      </c>
      <c r="AM157" s="20"/>
      <c r="AN157" s="11"/>
      <c r="AQ157" s="14" t="s">
        <v>1163</v>
      </c>
      <c r="AR157" t="s">
        <v>1162</v>
      </c>
    </row>
    <row r="158" spans="5:44">
      <c r="E158" s="76"/>
      <c r="F1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58" s="13" t="s">
        <v>461</v>
      </c>
      <c r="H158" s="13" t="s">
        <v>2991</v>
      </c>
      <c r="I158" s="12" t="str">
        <f>Table1[[#This Row],[type]]</f>
        <v>align_content</v>
      </c>
      <c r="J158" s="62" t="str">
        <f>Table1[[#This Row],[Column42]]&amp;IF(Table1[[#This Row],[Column13]]="","",Table1[[#This Row],[Column13]])&amp;IF(Table1[[#This Row],[mod]]="","",Table1[[#This Row],[mod]])</f>
        <v>align_content__between</v>
      </c>
      <c r="K1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align_content__between</v>
      </c>
      <c r="L158" t="s">
        <v>1161</v>
      </c>
      <c r="N158" t="s">
        <v>3197</v>
      </c>
      <c r="Q1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" s="29"/>
      <c r="AC158" s="25"/>
      <c r="AD158" s="41"/>
      <c r="AE158" s="41"/>
      <c r="AF158" s="11"/>
      <c r="AH158" s="1" t="str">
        <f>Table1[[#This Row],[html_tag]]&amp;Table1[[#This Row],[html_type]]&amp;Table1[[#This Row],[html_modifier]]</f>
        <v/>
      </c>
      <c r="AL158" s="22" t="str">
        <f>IFERROR(_xlfn.XLOOKUP(Table1[[#This Row],[word]],Table57[English style name],Table57[Style type]),"")</f>
        <v/>
      </c>
      <c r="AM158" s="20"/>
      <c r="AN158" s="11"/>
      <c r="AQ158" s="14" t="s">
        <v>1164</v>
      </c>
      <c r="AR158" t="s">
        <v>1162</v>
      </c>
    </row>
    <row r="159" spans="5:44">
      <c r="E159" s="76"/>
      <c r="F1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59" s="13" t="s">
        <v>461</v>
      </c>
      <c r="H159" s="13" t="s">
        <v>2991</v>
      </c>
      <c r="I159" s="12" t="str">
        <f>Table1[[#This Row],[type]]</f>
        <v>align_content</v>
      </c>
      <c r="J159" s="62" t="str">
        <f>Table1[[#This Row],[Column42]]&amp;IF(Table1[[#This Row],[Column13]]="","",Table1[[#This Row],[Column13]])&amp;IF(Table1[[#This Row],[mod]]="","",Table1[[#This Row],[mod]])</f>
        <v>align_content__center</v>
      </c>
      <c r="K1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align_content__center</v>
      </c>
      <c r="L159" t="s">
        <v>1161</v>
      </c>
      <c r="N159" t="s">
        <v>425</v>
      </c>
      <c r="Q1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" s="29"/>
      <c r="AC159" s="25" t="s">
        <v>10131</v>
      </c>
      <c r="AD159" s="41"/>
      <c r="AE159" s="41"/>
      <c r="AF159" s="11"/>
      <c r="AH159" s="1" t="str">
        <f>Table1[[#This Row],[html_tag]]&amp;Table1[[#This Row],[html_type]]&amp;Table1[[#This Row],[html_modifier]]</f>
        <v/>
      </c>
      <c r="AL159" s="22" t="str">
        <f>IFERROR(_xlfn.XLOOKUP(Table1[[#This Row],[word]],Table57[English style name],Table57[Style type]),"")</f>
        <v/>
      </c>
      <c r="AM159" s="20"/>
      <c r="AN159" s="11"/>
      <c r="AQ159" s="14" t="s">
        <v>1165</v>
      </c>
      <c r="AR159" t="s">
        <v>1162</v>
      </c>
    </row>
    <row r="160" spans="5:44">
      <c r="E160" s="76"/>
      <c r="F1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60" s="13" t="s">
        <v>461</v>
      </c>
      <c r="H160" s="13" t="s">
        <v>2991</v>
      </c>
      <c r="I160" s="12" t="str">
        <f>Table1[[#This Row],[type]]</f>
        <v>align_content</v>
      </c>
      <c r="J160" s="62" t="str">
        <f>Table1[[#This Row],[Column42]]&amp;IF(Table1[[#This Row],[Column13]]="","",Table1[[#This Row],[Column13]])&amp;IF(Table1[[#This Row],[mod]]="","",Table1[[#This Row],[mod]])</f>
        <v>align_content__end</v>
      </c>
      <c r="K1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align_content__end</v>
      </c>
      <c r="L160" t="s">
        <v>1161</v>
      </c>
      <c r="N160" t="s">
        <v>3194</v>
      </c>
      <c r="Q1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" s="29"/>
      <c r="AC160" s="25" t="s">
        <v>10132</v>
      </c>
      <c r="AD160" s="41"/>
      <c r="AE160" s="41"/>
      <c r="AF160" s="11"/>
      <c r="AH160" s="1" t="str">
        <f>Table1[[#This Row],[html_tag]]&amp;Table1[[#This Row],[html_type]]&amp;Table1[[#This Row],[html_modifier]]</f>
        <v/>
      </c>
      <c r="AL160" s="22" t="str">
        <f>IFERROR(_xlfn.XLOOKUP(Table1[[#This Row],[word]],Table57[English style name],Table57[Style type]),"")</f>
        <v/>
      </c>
      <c r="AM160" s="20"/>
      <c r="AN160" s="11"/>
      <c r="AQ160" s="14" t="s">
        <v>1166</v>
      </c>
      <c r="AR160" t="s">
        <v>1162</v>
      </c>
    </row>
    <row r="161" spans="5:46">
      <c r="E161" s="76"/>
      <c r="F1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61" s="13" t="s">
        <v>461</v>
      </c>
      <c r="H161" s="13" t="s">
        <v>2991</v>
      </c>
      <c r="I161" s="12" t="str">
        <f>Table1[[#This Row],[type]]</f>
        <v>align_content</v>
      </c>
      <c r="J161" s="62" t="str">
        <f>Table1[[#This Row],[Column42]]&amp;IF(Table1[[#This Row],[Column13]]="","",Table1[[#This Row],[Column13]])&amp;IF(Table1[[#This Row],[mod]]="","",Table1[[#This Row],[mod]])</f>
        <v>align_content__evenly</v>
      </c>
      <c r="K1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align_content__evenly</v>
      </c>
      <c r="L161" t="s">
        <v>1161</v>
      </c>
      <c r="N161" t="s">
        <v>3198</v>
      </c>
      <c r="Q1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" s="29"/>
      <c r="AC161" s="25"/>
      <c r="AD161" s="41"/>
      <c r="AE161" s="41"/>
      <c r="AF161" s="11"/>
      <c r="AH161" s="1" t="str">
        <f>Table1[[#This Row],[html_tag]]&amp;Table1[[#This Row],[html_type]]&amp;Table1[[#This Row],[html_modifier]]</f>
        <v/>
      </c>
      <c r="AL161" s="22" t="str">
        <f>IFERROR(_xlfn.XLOOKUP(Table1[[#This Row],[word]],Table57[English style name],Table57[Style type]),"")</f>
        <v/>
      </c>
      <c r="AM161" s="20"/>
      <c r="AN161" s="11"/>
      <c r="AQ161" s="14" t="s">
        <v>1167</v>
      </c>
      <c r="AR161" t="s">
        <v>1162</v>
      </c>
    </row>
    <row r="162" spans="5:46">
      <c r="E162" s="76"/>
      <c r="F1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62" s="13" t="s">
        <v>461</v>
      </c>
      <c r="H162" s="13" t="s">
        <v>2991</v>
      </c>
      <c r="I162" s="12" t="str">
        <f>Table1[[#This Row],[type]]</f>
        <v>align_content</v>
      </c>
      <c r="J162" s="62" t="str">
        <f>Table1[[#This Row],[Column42]]&amp;IF(Table1[[#This Row],[Column13]]="","",Table1[[#This Row],[Column13]])&amp;IF(Table1[[#This Row],[mod]]="","",Table1[[#This Row],[mod]])</f>
        <v>align_content__start</v>
      </c>
      <c r="K1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align_content__start</v>
      </c>
      <c r="L162" t="s">
        <v>1161</v>
      </c>
      <c r="N162" t="s">
        <v>3193</v>
      </c>
      <c r="Q1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" s="29"/>
      <c r="AC162" s="25" t="s">
        <v>10133</v>
      </c>
      <c r="AD162" s="41"/>
      <c r="AE162" s="41"/>
      <c r="AF162" s="11"/>
      <c r="AH162" s="1" t="str">
        <f>Table1[[#This Row],[html_tag]]&amp;Table1[[#This Row],[html_type]]&amp;Table1[[#This Row],[html_modifier]]</f>
        <v/>
      </c>
      <c r="AL162" s="22" t="str">
        <f>IFERROR(_xlfn.XLOOKUP(Table1[[#This Row],[word]],Table57[English style name],Table57[Style type]),"")</f>
        <v/>
      </c>
      <c r="AM162" s="20"/>
      <c r="AN162" s="11"/>
      <c r="AQ162" s="14" t="s">
        <v>1168</v>
      </c>
      <c r="AR162" t="s">
        <v>1162</v>
      </c>
    </row>
    <row r="163" spans="5:46">
      <c r="E163" s="76"/>
      <c r="F1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63" s="13" t="s">
        <v>461</v>
      </c>
      <c r="H163" s="13" t="s">
        <v>2991</v>
      </c>
      <c r="I163" s="12" t="str">
        <f>Table1[[#This Row],[type]]</f>
        <v>align_content</v>
      </c>
      <c r="J163" s="62" t="str">
        <f>Table1[[#This Row],[Column42]]&amp;IF(Table1[[#This Row],[Column13]]="","",Table1[[#This Row],[Column13]])&amp;IF(Table1[[#This Row],[mod]]="","",Table1[[#This Row],[mod]])</f>
        <v>align_content__stretch</v>
      </c>
      <c r="K1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align_content__stretch</v>
      </c>
      <c r="L163" t="s">
        <v>1161</v>
      </c>
      <c r="N163" t="s">
        <v>3199</v>
      </c>
      <c r="Q1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" s="29"/>
      <c r="AC163" s="25" t="s">
        <v>10134</v>
      </c>
      <c r="AD163" s="41"/>
      <c r="AE163" s="41"/>
      <c r="AF163" s="11"/>
      <c r="AH163" s="1" t="str">
        <f>Table1[[#This Row],[html_tag]]&amp;Table1[[#This Row],[html_type]]&amp;Table1[[#This Row],[html_modifier]]</f>
        <v/>
      </c>
      <c r="AL163" s="22" t="str">
        <f>IFERROR(_xlfn.XLOOKUP(Table1[[#This Row],[word]],Table57[English style name],Table57[Style type]),"")</f>
        <v/>
      </c>
      <c r="AM163" s="20"/>
      <c r="AN163" s="11"/>
      <c r="AQ163" s="14" t="s">
        <v>1169</v>
      </c>
      <c r="AR163" t="s">
        <v>1162</v>
      </c>
    </row>
    <row r="164" spans="5:46">
      <c r="E164" s="76"/>
      <c r="F1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4" s="13" t="s">
        <v>461</v>
      </c>
      <c r="H164" s="13" t="s">
        <v>2991</v>
      </c>
      <c r="I164" s="12" t="str">
        <f>Table1[[#This Row],[type]]</f>
        <v>align_self</v>
      </c>
      <c r="J164" s="62" t="str">
        <f>Table1[[#This Row],[Column42]]&amp;IF(Table1[[#This Row],[Column13]]="","",Table1[[#This Row],[Column13]])&amp;IF(Table1[[#This Row],[mod]]="","",Table1[[#This Row],[mod]])</f>
        <v>align_self__auto</v>
      </c>
      <c r="K1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align_self__auto</v>
      </c>
      <c r="L164" t="s">
        <v>3173</v>
      </c>
      <c r="N164" t="s">
        <v>3202</v>
      </c>
      <c r="Q1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" s="80"/>
      <c r="AC164" s="25"/>
      <c r="AD164" s="41"/>
      <c r="AE164" s="41"/>
      <c r="AF164" s="11"/>
      <c r="AH164" s="1" t="str">
        <f>Table1[[#This Row],[html_tag]]&amp;Table1[[#This Row],[html_type]]&amp;Table1[[#This Row],[html_modifier]]</f>
        <v/>
      </c>
      <c r="AL164" s="22" t="str">
        <f>IFERROR(_xlfn.XLOOKUP(Table1[[#This Row],[word]],Table57[English style name],Table57[Style type]),"")</f>
        <v/>
      </c>
      <c r="AM164" s="20"/>
      <c r="AN164" s="11"/>
      <c r="AQ164" s="14" t="s">
        <v>1176</v>
      </c>
      <c r="AR164" t="s">
        <v>1177</v>
      </c>
      <c r="AS164" s="4" t="s">
        <v>1188</v>
      </c>
      <c r="AT164" t="s">
        <v>1177</v>
      </c>
    </row>
    <row r="165" spans="5:46">
      <c r="E165" s="76"/>
      <c r="F1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5" s="13" t="s">
        <v>461</v>
      </c>
      <c r="H165" s="13" t="s">
        <v>2991</v>
      </c>
      <c r="I165" s="12" t="str">
        <f>Table1[[#This Row],[type]]</f>
        <v>align_self</v>
      </c>
      <c r="J165" s="62" t="str">
        <f>Table1[[#This Row],[Column42]]&amp;IF(Table1[[#This Row],[Column13]]="","",Table1[[#This Row],[Column13]])&amp;IF(Table1[[#This Row],[mod]]="","",Table1[[#This Row],[mod]])</f>
        <v>align_self__baseline</v>
      </c>
      <c r="K1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align_self__baseline</v>
      </c>
      <c r="L165" t="s">
        <v>3173</v>
      </c>
      <c r="N165" t="s">
        <v>3201</v>
      </c>
      <c r="Q16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" s="80"/>
      <c r="AC165" s="25" t="s">
        <v>10140</v>
      </c>
      <c r="AD165" s="41"/>
      <c r="AE165" s="41"/>
      <c r="AF165" s="11"/>
      <c r="AH165" s="1" t="str">
        <f>Table1[[#This Row],[html_tag]]&amp;Table1[[#This Row],[html_type]]&amp;Table1[[#This Row],[html_modifier]]</f>
        <v/>
      </c>
      <c r="AL165" s="22" t="str">
        <f>IFERROR(_xlfn.XLOOKUP(Table1[[#This Row],[word]],Table57[English style name],Table57[Style type]),"")</f>
        <v/>
      </c>
      <c r="AM165" s="20"/>
      <c r="AN165" s="11"/>
      <c r="AQ165" s="14" t="s">
        <v>1178</v>
      </c>
      <c r="AR165" t="s">
        <v>1177</v>
      </c>
      <c r="AS165" s="4" t="s">
        <v>1189</v>
      </c>
      <c r="AT165" t="s">
        <v>1177</v>
      </c>
    </row>
    <row r="166" spans="5:46">
      <c r="E166" s="76"/>
      <c r="F1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6" s="13" t="s">
        <v>461</v>
      </c>
      <c r="H166" s="13" t="s">
        <v>2991</v>
      </c>
      <c r="I166" s="12" t="str">
        <f>Table1[[#This Row],[type]]</f>
        <v>align_self</v>
      </c>
      <c r="J166" s="62" t="str">
        <f>Table1[[#This Row],[Column42]]&amp;IF(Table1[[#This Row],[Column13]]="","",Table1[[#This Row],[Column13]])&amp;IF(Table1[[#This Row],[mod]]="","",Table1[[#This Row],[mod]])</f>
        <v>align_self__center</v>
      </c>
      <c r="K1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align_self__center</v>
      </c>
      <c r="L166" t="s">
        <v>3173</v>
      </c>
      <c r="N166" t="s">
        <v>425</v>
      </c>
      <c r="Q16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" s="80"/>
      <c r="AC166" s="25" t="s">
        <v>10141</v>
      </c>
      <c r="AD166" s="41"/>
      <c r="AE166" s="41"/>
      <c r="AF166" s="11"/>
      <c r="AH166" s="1" t="str">
        <f>Table1[[#This Row],[html_tag]]&amp;Table1[[#This Row],[html_type]]&amp;Table1[[#This Row],[html_modifier]]</f>
        <v/>
      </c>
      <c r="AL166" s="22" t="str">
        <f>IFERROR(_xlfn.XLOOKUP(Table1[[#This Row],[word]],Table57[English style name],Table57[Style type]),"")</f>
        <v/>
      </c>
      <c r="AM166" s="20"/>
      <c r="AN166" s="11"/>
      <c r="AQ166" s="14" t="s">
        <v>1179</v>
      </c>
      <c r="AR166" t="s">
        <v>1177</v>
      </c>
      <c r="AS166" s="4" t="s">
        <v>1190</v>
      </c>
      <c r="AT166" t="s">
        <v>1177</v>
      </c>
    </row>
    <row r="167" spans="5:46">
      <c r="E167" s="76"/>
      <c r="F1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7" s="13" t="s">
        <v>461</v>
      </c>
      <c r="H167" s="13" t="s">
        <v>2991</v>
      </c>
      <c r="I167" s="12" t="str">
        <f>Table1[[#This Row],[type]]</f>
        <v>align_self</v>
      </c>
      <c r="J167" s="62" t="str">
        <f>Table1[[#This Row],[Column42]]&amp;IF(Table1[[#This Row],[Column13]]="","",Table1[[#This Row],[Column13]])&amp;IF(Table1[[#This Row],[mod]]="","",Table1[[#This Row],[mod]])</f>
        <v>align_self__end</v>
      </c>
      <c r="K1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align_self__end</v>
      </c>
      <c r="L167" t="s">
        <v>3173</v>
      </c>
      <c r="N167" t="s">
        <v>3194</v>
      </c>
      <c r="Q1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" s="80"/>
      <c r="AC167" s="25" t="s">
        <v>10142</v>
      </c>
      <c r="AD167" s="41"/>
      <c r="AE167" s="41"/>
      <c r="AF167" s="11"/>
      <c r="AH167" s="1" t="str">
        <f>Table1[[#This Row],[html_tag]]&amp;Table1[[#This Row],[html_type]]&amp;Table1[[#This Row],[html_modifier]]</f>
        <v/>
      </c>
      <c r="AL167" s="22" t="str">
        <f>IFERROR(_xlfn.XLOOKUP(Table1[[#This Row],[word]],Table57[English style name],Table57[Style type]),"")</f>
        <v/>
      </c>
      <c r="AM167" s="20"/>
      <c r="AN167" s="11"/>
      <c r="AQ167" s="14" t="s">
        <v>1180</v>
      </c>
      <c r="AR167" t="s">
        <v>1177</v>
      </c>
      <c r="AS167" s="4" t="s">
        <v>1191</v>
      </c>
      <c r="AT167" t="s">
        <v>1177</v>
      </c>
    </row>
    <row r="168" spans="5:46">
      <c r="E168" s="76"/>
      <c r="F1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8" s="13" t="s">
        <v>461</v>
      </c>
      <c r="H168" s="13" t="s">
        <v>2991</v>
      </c>
      <c r="I168" s="12" t="str">
        <f>Table1[[#This Row],[type]]</f>
        <v>align_self</v>
      </c>
      <c r="J168" s="62" t="str">
        <f>Table1[[#This Row],[Column42]]&amp;IF(Table1[[#This Row],[Column13]]="","",Table1[[#This Row],[Column13]])&amp;IF(Table1[[#This Row],[mod]]="","",Table1[[#This Row],[mod]])</f>
        <v>align_self__flex_end</v>
      </c>
      <c r="K1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align_self__flex_end</v>
      </c>
      <c r="L168" t="s">
        <v>3173</v>
      </c>
      <c r="N168" t="s">
        <v>10163</v>
      </c>
      <c r="Q1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8" s="80"/>
      <c r="AC168" s="25"/>
      <c r="AD168" s="41"/>
      <c r="AE168" s="41"/>
      <c r="AF168" s="11"/>
      <c r="AH168" s="1" t="str">
        <f>Table1[[#This Row],[html_tag]]&amp;Table1[[#This Row],[html_type]]&amp;Table1[[#This Row],[html_modifier]]</f>
        <v/>
      </c>
      <c r="AL168" s="22" t="str">
        <f>IFERROR(_xlfn.XLOOKUP(Table1[[#This Row],[word]],Table57[English style name],Table57[Style type]),"")</f>
        <v/>
      </c>
      <c r="AM168" s="20"/>
      <c r="AN168" s="11"/>
      <c r="AQ168" s="14" t="s">
        <v>1181</v>
      </c>
      <c r="AR168" t="s">
        <v>1177</v>
      </c>
    </row>
    <row r="169" spans="5:46">
      <c r="E169" s="76"/>
      <c r="F1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9" s="13" t="s">
        <v>461</v>
      </c>
      <c r="H169" s="13" t="s">
        <v>2991</v>
      </c>
      <c r="I169" s="12" t="str">
        <f>Table1[[#This Row],[type]]</f>
        <v>align_self</v>
      </c>
      <c r="J169" s="62" t="str">
        <f>Table1[[#This Row],[Column42]]&amp;IF(Table1[[#This Row],[Column13]]="","",Table1[[#This Row],[Column13]])&amp;IF(Table1[[#This Row],[mod]]="","",Table1[[#This Row],[mod]])</f>
        <v>align_self__flex_start</v>
      </c>
      <c r="K1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align_self__flex_start</v>
      </c>
      <c r="L169" t="s">
        <v>3173</v>
      </c>
      <c r="N169" t="s">
        <v>10162</v>
      </c>
      <c r="Q1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" s="29"/>
      <c r="AC169" s="25"/>
      <c r="AD169" s="41"/>
      <c r="AE169" s="41"/>
      <c r="AF169" s="11"/>
      <c r="AH169" s="1" t="str">
        <f>Table1[[#This Row],[html_tag]]&amp;Table1[[#This Row],[html_type]]&amp;Table1[[#This Row],[html_modifier]]</f>
        <v/>
      </c>
      <c r="AL169" s="22" t="str">
        <f>IFERROR(_xlfn.XLOOKUP(Table1[[#This Row],[word]],Table57[English style name],Table57[Style type]),"")</f>
        <v/>
      </c>
      <c r="AM169" s="20"/>
      <c r="AN169" s="11"/>
      <c r="AQ169" s="14" t="s">
        <v>1182</v>
      </c>
      <c r="AR169" t="s">
        <v>1177</v>
      </c>
    </row>
    <row r="170" spans="5:46">
      <c r="E170" s="76"/>
      <c r="F1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70" s="13" t="s">
        <v>461</v>
      </c>
      <c r="H170" s="13" t="s">
        <v>2991</v>
      </c>
      <c r="I170" s="12" t="str">
        <f>Table1[[#This Row],[type]]</f>
        <v>align_self</v>
      </c>
      <c r="J170" s="62" t="str">
        <f>Table1[[#This Row],[Column42]]&amp;IF(Table1[[#This Row],[Column13]]="","",Table1[[#This Row],[Column13]])&amp;IF(Table1[[#This Row],[mod]]="","",Table1[[#This Row],[mod]])</f>
        <v>align_self__normal</v>
      </c>
      <c r="K1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align_self__normal</v>
      </c>
      <c r="L170" t="s">
        <v>3173</v>
      </c>
      <c r="N170" t="s">
        <v>3079</v>
      </c>
      <c r="Q1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" s="29"/>
      <c r="AC170" s="25"/>
      <c r="AD170" s="41"/>
      <c r="AE170" s="41"/>
      <c r="AF170" s="11"/>
      <c r="AH170" s="1" t="str">
        <f>Table1[[#This Row],[html_tag]]&amp;Table1[[#This Row],[html_type]]&amp;Table1[[#This Row],[html_modifier]]</f>
        <v/>
      </c>
      <c r="AL170" s="22" t="str">
        <f>IFERROR(_xlfn.XLOOKUP(Table1[[#This Row],[word]],Table57[English style name],Table57[Style type]),"")</f>
        <v/>
      </c>
      <c r="AM170" s="20"/>
      <c r="AN170" s="11"/>
      <c r="AQ170" s="14" t="s">
        <v>1183</v>
      </c>
      <c r="AR170" t="s">
        <v>1177</v>
      </c>
    </row>
    <row r="171" spans="5:46">
      <c r="E171" s="76"/>
      <c r="F1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71" s="13" t="s">
        <v>461</v>
      </c>
      <c r="H171" s="13" t="s">
        <v>2991</v>
      </c>
      <c r="I171" s="12" t="str">
        <f>Table1[[#This Row],[type]]</f>
        <v>align_self</v>
      </c>
      <c r="J171" s="62" t="str">
        <f>Table1[[#This Row],[Column42]]&amp;IF(Table1[[#This Row],[Column13]]="","",Table1[[#This Row],[Column13]])&amp;IF(Table1[[#This Row],[mod]]="","",Table1[[#This Row],[mod]])</f>
        <v>align_self__self_end</v>
      </c>
      <c r="K1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align_self__self_end</v>
      </c>
      <c r="L171" t="s">
        <v>3173</v>
      </c>
      <c r="N171" t="s">
        <v>10164</v>
      </c>
      <c r="Q1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" s="29"/>
      <c r="AC171" s="25"/>
      <c r="AD171" s="41"/>
      <c r="AE171" s="41"/>
      <c r="AF171" s="11"/>
      <c r="AH171" s="1" t="str">
        <f>Table1[[#This Row],[html_tag]]&amp;Table1[[#This Row],[html_type]]&amp;Table1[[#This Row],[html_modifier]]</f>
        <v/>
      </c>
      <c r="AL171" s="22" t="str">
        <f>IFERROR(_xlfn.XLOOKUP(Table1[[#This Row],[word]],Table57[English style name],Table57[Style type]),"")</f>
        <v/>
      </c>
      <c r="AM171" s="20"/>
      <c r="AN171" s="11"/>
      <c r="AQ171" s="14" t="s">
        <v>1184</v>
      </c>
      <c r="AR171" t="s">
        <v>1177</v>
      </c>
    </row>
    <row r="172" spans="5:46">
      <c r="E172" s="76"/>
      <c r="F1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72" s="13" t="s">
        <v>461</v>
      </c>
      <c r="H172" s="13" t="s">
        <v>2991</v>
      </c>
      <c r="I172" s="12" t="str">
        <f>Table1[[#This Row],[type]]</f>
        <v>align_self</v>
      </c>
      <c r="J172" s="62" t="str">
        <f>Table1[[#This Row],[Column42]]&amp;IF(Table1[[#This Row],[Column13]]="","",Table1[[#This Row],[Column13]])&amp;IF(Table1[[#This Row],[mod]]="","",Table1[[#This Row],[mod]])</f>
        <v>align_self__self_start</v>
      </c>
      <c r="K1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align_self__self_start</v>
      </c>
      <c r="L172" t="s">
        <v>3173</v>
      </c>
      <c r="N172" t="s">
        <v>10165</v>
      </c>
      <c r="Q17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" s="29"/>
      <c r="AC172" s="25"/>
      <c r="AD172" s="41"/>
      <c r="AE172" s="41"/>
      <c r="AF172" s="11"/>
      <c r="AH172" s="1" t="str">
        <f>Table1[[#This Row],[html_tag]]&amp;Table1[[#This Row],[html_type]]&amp;Table1[[#This Row],[html_modifier]]</f>
        <v/>
      </c>
      <c r="AL172" s="22" t="str">
        <f>IFERROR(_xlfn.XLOOKUP(Table1[[#This Row],[word]],Table57[English style name],Table57[Style type]),"")</f>
        <v/>
      </c>
      <c r="AM172" s="20"/>
      <c r="AN172" s="11"/>
      <c r="AQ172" s="14" t="s">
        <v>1185</v>
      </c>
      <c r="AR172" t="s">
        <v>1177</v>
      </c>
    </row>
    <row r="173" spans="5:46">
      <c r="E173" s="76"/>
      <c r="F1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73" s="13" t="s">
        <v>461</v>
      </c>
      <c r="H173" s="13" t="s">
        <v>2991</v>
      </c>
      <c r="I173" s="12" t="str">
        <f>Table1[[#This Row],[type]]</f>
        <v>align_self</v>
      </c>
      <c r="J173" s="62" t="str">
        <f>Table1[[#This Row],[Column42]]&amp;IF(Table1[[#This Row],[Column13]]="","",Table1[[#This Row],[Column13]])&amp;IF(Table1[[#This Row],[mod]]="","",Table1[[#This Row],[mod]])</f>
        <v>align_self__start</v>
      </c>
      <c r="K1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align_self__start</v>
      </c>
      <c r="L173" t="s">
        <v>3173</v>
      </c>
      <c r="N173" t="s">
        <v>3193</v>
      </c>
      <c r="Q17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3" s="29"/>
      <c r="AC173" s="25" t="s">
        <v>10143</v>
      </c>
      <c r="AD173" s="41"/>
      <c r="AE173" s="41"/>
      <c r="AF173" s="11"/>
      <c r="AH173" s="1" t="str">
        <f>Table1[[#This Row],[html_tag]]&amp;Table1[[#This Row],[html_type]]&amp;Table1[[#This Row],[html_modifier]]</f>
        <v/>
      </c>
      <c r="AL173" s="22" t="str">
        <f>IFERROR(_xlfn.XLOOKUP(Table1[[#This Row],[word]],Table57[English style name],Table57[Style type]),"")</f>
        <v/>
      </c>
      <c r="AM173" s="20"/>
      <c r="AN173" s="11"/>
      <c r="AQ173" s="14" t="s">
        <v>1186</v>
      </c>
      <c r="AR173" t="s">
        <v>1177</v>
      </c>
      <c r="AS173" s="4" t="s">
        <v>1192</v>
      </c>
      <c r="AT173" t="s">
        <v>1177</v>
      </c>
    </row>
    <row r="174" spans="5:46">
      <c r="E174" s="76"/>
      <c r="F1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74" s="13" t="s">
        <v>461</v>
      </c>
      <c r="H174" s="13" t="s">
        <v>2991</v>
      </c>
      <c r="I174" s="12" t="str">
        <f>Table1[[#This Row],[type]]</f>
        <v>align_self</v>
      </c>
      <c r="J174" s="62" t="str">
        <f>Table1[[#This Row],[Column42]]&amp;IF(Table1[[#This Row],[Column13]]="","",Table1[[#This Row],[Column13]])&amp;IF(Table1[[#This Row],[mod]]="","",Table1[[#This Row],[mod]])</f>
        <v>align_self__stretch</v>
      </c>
      <c r="K1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align_self__stretch</v>
      </c>
      <c r="L174" t="s">
        <v>3173</v>
      </c>
      <c r="N174" t="s">
        <v>3199</v>
      </c>
      <c r="Q17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4" s="29"/>
      <c r="AC174" s="25" t="s">
        <v>10144</v>
      </c>
      <c r="AD174" s="41"/>
      <c r="AE174" s="41"/>
      <c r="AF174" s="11"/>
      <c r="AH174" s="1" t="str">
        <f>Table1[[#This Row],[html_tag]]&amp;Table1[[#This Row],[html_type]]&amp;Table1[[#This Row],[html_modifier]]</f>
        <v/>
      </c>
      <c r="AL174" s="22" t="str">
        <f>IFERROR(_xlfn.XLOOKUP(Table1[[#This Row],[word]],Table57[English style name],Table57[Style type]),"")</f>
        <v/>
      </c>
      <c r="AM174" s="20"/>
      <c r="AN174" s="11"/>
      <c r="AQ174" s="14" t="s">
        <v>1187</v>
      </c>
      <c r="AR174" t="s">
        <v>1177</v>
      </c>
      <c r="AS174" s="4" t="s">
        <v>1193</v>
      </c>
      <c r="AT174" t="s">
        <v>1177</v>
      </c>
    </row>
    <row r="175" spans="5:46">
      <c r="E175" s="76"/>
      <c r="F1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75" s="13"/>
      <c r="H175" s="13"/>
      <c r="I175" s="12" t="str">
        <f>Table1[[#This Row],[type]]</f>
        <v>avatar</v>
      </c>
      <c r="J175" s="62" t="str">
        <f>Table1[[#This Row],[Column42]]&amp;IF(Table1[[#This Row],[Column13]]="","",Table1[[#This Row],[Column13]])&amp;IF(Table1[[#This Row],[mod]]="","",Table1[[#This Row],[mod]])</f>
        <v>avatar</v>
      </c>
      <c r="K1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75" t="s">
        <v>6179</v>
      </c>
      <c r="Q1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" s="29"/>
      <c r="AC175" s="25"/>
      <c r="AD175" s="41" t="s">
        <v>6190</v>
      </c>
      <c r="AE175" s="61" t="s">
        <v>10194</v>
      </c>
      <c r="AF175" s="11" t="s">
        <v>178</v>
      </c>
      <c r="AH175" s="7" t="str">
        <f>Table1[[#This Row],[html_tag]]&amp;Table1[[#This Row],[html_type]]&amp;Table1[[#This Row],[html_modifier]]</f>
        <v/>
      </c>
      <c r="AL175" s="23" t="str">
        <f>IFERROR(_xlfn.XLOOKUP(Table1[[#This Row],[word]],Table57[English style name],Table57[Style type]),"")</f>
        <v/>
      </c>
      <c r="AM175" s="21"/>
      <c r="AN175" s="11"/>
    </row>
    <row r="176" spans="5:46">
      <c r="E176" s="76"/>
      <c r="F1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6" s="13" t="s">
        <v>337</v>
      </c>
      <c r="H176" s="13" t="s">
        <v>2986</v>
      </c>
      <c r="I176" s="12" t="str">
        <f>Table1[[#This Row],[type]]</f>
        <v>avatar</v>
      </c>
      <c r="J176" s="62" t="str">
        <f>Table1[[#This Row],[Column42]]&amp;IF(Table1[[#This Row],[Column13]]="","",Table1[[#This Row],[Column13]])&amp;IF(Table1[[#This Row],[mod]]="","",Table1[[#This Row],[mod]])</f>
        <v>avatar__image</v>
      </c>
      <c r="K1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avatar__image</v>
      </c>
      <c r="L176" t="s">
        <v>6179</v>
      </c>
      <c r="M176" t="s">
        <v>3088</v>
      </c>
      <c r="Q17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" s="29"/>
      <c r="AC176" s="25"/>
      <c r="AD176" s="41"/>
      <c r="AE176" s="41"/>
      <c r="AF176" s="11" t="s">
        <v>201</v>
      </c>
      <c r="AH176" s="1" t="str">
        <f>Table1[[#This Row],[html_tag]]&amp;Table1[[#This Row],[html_type]]&amp;Table1[[#This Row],[html_modifier]]</f>
        <v/>
      </c>
      <c r="AL176" s="22" t="str">
        <f>IFERROR(_xlfn.XLOOKUP(Table1[[#This Row],[word]],Table57[English style name],Table57[Style type]),"")</f>
        <v/>
      </c>
      <c r="AM176" s="20"/>
      <c r="AN176" s="11"/>
      <c r="AQ176" s="6" t="s">
        <v>1905</v>
      </c>
      <c r="AR176" t="s">
        <v>1896</v>
      </c>
    </row>
    <row r="177" spans="1:47">
      <c r="E177" s="76"/>
      <c r="F1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avatar_stack.scss</v>
      </c>
      <c r="G177" s="13"/>
      <c r="H177" s="13"/>
      <c r="I177" s="12" t="str">
        <f>Table1[[#This Row],[type]]</f>
        <v>avatar_stack</v>
      </c>
      <c r="J177" s="62" t="str">
        <f>Table1[[#This Row],[Column42]]&amp;IF(Table1[[#This Row],[Column13]]="","",Table1[[#This Row],[Column13]])&amp;IF(Table1[[#This Row],[mod]]="","",Table1[[#This Row],[mod]])</f>
        <v>avatar_stack</v>
      </c>
      <c r="K1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avatar_stack</v>
      </c>
      <c r="L177" t="s">
        <v>10117</v>
      </c>
      <c r="Q1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" s="29"/>
      <c r="AC177" s="25"/>
      <c r="AD177" s="41" t="s">
        <v>6191</v>
      </c>
      <c r="AE177" s="59" t="s">
        <v>7532</v>
      </c>
      <c r="AF177" s="11" t="s">
        <v>309</v>
      </c>
      <c r="AH177" s="7" t="str">
        <f>Table1[[#This Row],[html_tag]]&amp;Table1[[#This Row],[html_type]]&amp;Table1[[#This Row],[html_modifier]]</f>
        <v/>
      </c>
      <c r="AL177" s="23" t="str">
        <f>IFERROR(_xlfn.XLOOKUP(Table1[[#This Row],[word]],Table57[English style name],Table57[Style type]),"")</f>
        <v/>
      </c>
      <c r="AM177" s="21"/>
      <c r="AN177" s="11"/>
    </row>
    <row r="178" spans="1:47">
      <c r="A178" s="68"/>
      <c r="B178" s="68"/>
      <c r="C178" s="68"/>
      <c r="D178" s="69"/>
      <c r="E178" s="84"/>
      <c r="F178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78" s="13"/>
      <c r="H178" s="13"/>
      <c r="I178" s="85" t="str">
        <f>Table1[[#This Row],[type]]</f>
        <v>avatar</v>
      </c>
      <c r="J178" s="72" t="str">
        <f>Table1[[#This Row],[Column42]]&amp;IF(Table1[[#This Row],[Column13]]="","",Table1[[#This Row],[Column13]])&amp;IF(Table1[[#This Row],[mod]]="","",Table1[[#This Row],[mod]])</f>
        <v>avatar--anonymous</v>
      </c>
      <c r="K178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78" t="s">
        <v>6179</v>
      </c>
      <c r="Q178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--anonymous</v>
      </c>
      <c r="Z178" t="s">
        <v>10193</v>
      </c>
      <c r="AB178" s="29"/>
      <c r="AC178" s="25"/>
      <c r="AD178" s="41"/>
      <c r="AE178" s="41"/>
      <c r="AF178" s="11" t="s">
        <v>178</v>
      </c>
      <c r="AH178" s="75" t="str">
        <f>Table1[[#This Row],[html_tag]]&amp;Table1[[#This Row],[html_type]]&amp;Table1[[#This Row],[html_modifier]]</f>
        <v/>
      </c>
      <c r="AL178" s="23" t="str">
        <f>IFERROR(_xlfn.XLOOKUP(Table1[[#This Row],[word]],Table57[English style name],Table57[Style type]),"")</f>
        <v/>
      </c>
      <c r="AM178" s="21"/>
      <c r="AN178" s="70"/>
      <c r="AO178" s="67"/>
      <c r="AP178" s="67"/>
      <c r="AQ178" s="67"/>
      <c r="AR178" s="67"/>
      <c r="AS178" s="67"/>
      <c r="AT178" s="67"/>
      <c r="AU178" s="67"/>
    </row>
    <row r="179" spans="1:47">
      <c r="A179" s="68"/>
      <c r="B179" s="68"/>
      <c r="C179" s="68"/>
      <c r="D179" s="69"/>
      <c r="E179" s="84"/>
      <c r="F179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79" s="13"/>
      <c r="H179" s="13"/>
      <c r="I179" s="85" t="str">
        <f>Table1[[#This Row],[type]]</f>
        <v>avatar</v>
      </c>
      <c r="J179" s="72" t="str">
        <f>Table1[[#This Row],[Column42]]&amp;IF(Table1[[#This Row],[Column13]]="","",Table1[[#This Row],[Column13]])&amp;IF(Table1[[#This Row],[mod]]="","",Table1[[#This Row],[mod]])</f>
        <v>avatar--busy</v>
      </c>
      <c r="K179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79" t="s">
        <v>6179</v>
      </c>
      <c r="Q179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--busy</v>
      </c>
      <c r="Z179" t="s">
        <v>10192</v>
      </c>
      <c r="AB179" s="29"/>
      <c r="AC179" s="25"/>
      <c r="AD179" s="41"/>
      <c r="AE179" s="41"/>
      <c r="AF179" s="11" t="s">
        <v>178</v>
      </c>
      <c r="AH179" s="75" t="str">
        <f>Table1[[#This Row],[html_tag]]&amp;Table1[[#This Row],[html_type]]&amp;Table1[[#This Row],[html_modifier]]</f>
        <v/>
      </c>
      <c r="AL179" s="23" t="str">
        <f>IFERROR(_xlfn.XLOOKUP(Table1[[#This Row],[word]],Table57[English style name],Table57[Style type]),"")</f>
        <v/>
      </c>
      <c r="AM179" s="21"/>
      <c r="AN179" s="70"/>
      <c r="AO179" s="67"/>
      <c r="AP179" s="67"/>
      <c r="AQ179" s="67"/>
      <c r="AR179" s="67"/>
      <c r="AS179" s="67"/>
      <c r="AT179" s="67"/>
      <c r="AU179" s="67"/>
    </row>
    <row r="180" spans="1:47">
      <c r="A180" s="68"/>
      <c r="B180" s="68"/>
      <c r="C180" s="68"/>
      <c r="D180" s="69"/>
      <c r="E180" s="84"/>
      <c r="F180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0" s="13"/>
      <c r="H180" s="13"/>
      <c r="I180" s="85" t="str">
        <f>Table1[[#This Row],[type]]</f>
        <v>avatar</v>
      </c>
      <c r="J180" s="72" t="str">
        <f>Table1[[#This Row],[Column42]]&amp;IF(Table1[[#This Row],[Column13]]="","",Table1[[#This Row],[Column13]])&amp;IF(Table1[[#This Row],[mod]]="","",Table1[[#This Row],[mod]])</f>
        <v>avatar--circle</v>
      </c>
      <c r="K180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0" t="s">
        <v>6179</v>
      </c>
      <c r="Q180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--circle</v>
      </c>
      <c r="W180" t="s">
        <v>6955</v>
      </c>
      <c r="AB180" s="29"/>
      <c r="AC180" s="25"/>
      <c r="AD180" s="41"/>
      <c r="AE180" s="41"/>
      <c r="AF180" s="11" t="s">
        <v>178</v>
      </c>
      <c r="AH180" s="75" t="str">
        <f>Table1[[#This Row],[html_tag]]&amp;Table1[[#This Row],[html_type]]&amp;Table1[[#This Row],[html_modifier]]</f>
        <v/>
      </c>
      <c r="AL180" s="23" t="str">
        <f>IFERROR(_xlfn.XLOOKUP(Table1[[#This Row],[word]],Table57[English style name],Table57[Style type]),"")</f>
        <v/>
      </c>
      <c r="AM180" s="21"/>
      <c r="AN180" s="70"/>
      <c r="AO180" s="67"/>
      <c r="AP180" s="67"/>
      <c r="AQ180" s="67"/>
      <c r="AR180" s="67"/>
      <c r="AS180" s="67"/>
      <c r="AT180" s="67"/>
      <c r="AU180" s="67"/>
    </row>
    <row r="181" spans="1:47">
      <c r="A181" s="68"/>
      <c r="B181" s="68"/>
      <c r="C181" s="68"/>
      <c r="D181" s="69"/>
      <c r="E181" s="84"/>
      <c r="F181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1" s="13"/>
      <c r="H181" s="13"/>
      <c r="I181" s="85" t="str">
        <f>Table1[[#This Row],[type]]</f>
        <v>avatar</v>
      </c>
      <c r="J181" s="72" t="str">
        <f>Table1[[#This Row],[Column42]]&amp;IF(Table1[[#This Row],[Column13]]="","",Table1[[#This Row],[Column13]])&amp;IF(Table1[[#This Row],[mod]]="","",Table1[[#This Row],[mod]])</f>
        <v>avatar--lg</v>
      </c>
      <c r="K181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1" t="s">
        <v>6179</v>
      </c>
      <c r="Q181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81" t="s">
        <v>3114</v>
      </c>
      <c r="AB181" s="29"/>
      <c r="AC181" s="25"/>
      <c r="AD181" s="41"/>
      <c r="AE181" s="41"/>
      <c r="AF181" s="11" t="s">
        <v>178</v>
      </c>
      <c r="AH181" s="75" t="str">
        <f>Table1[[#This Row],[html_tag]]&amp;Table1[[#This Row],[html_type]]&amp;Table1[[#This Row],[html_modifier]]</f>
        <v/>
      </c>
      <c r="AL181" s="23" t="str">
        <f>IFERROR(_xlfn.XLOOKUP(Table1[[#This Row],[word]],Table57[English style name],Table57[Style type]),"")</f>
        <v/>
      </c>
      <c r="AM181" s="21"/>
      <c r="AN181" s="70"/>
      <c r="AO181" s="67"/>
      <c r="AP181" s="67"/>
      <c r="AQ181" s="67"/>
      <c r="AR181" s="67"/>
      <c r="AS181" s="67"/>
      <c r="AT181" s="67"/>
      <c r="AU181" s="67"/>
    </row>
    <row r="182" spans="1:47">
      <c r="A182" s="68"/>
      <c r="B182" s="68"/>
      <c r="C182" s="68"/>
      <c r="D182" s="69"/>
      <c r="E182" s="84"/>
      <c r="F182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2" s="13"/>
      <c r="H182" s="13"/>
      <c r="I182" s="85" t="str">
        <f>Table1[[#This Row],[type]]</f>
        <v>avatar</v>
      </c>
      <c r="J182" s="72" t="str">
        <f>Table1[[#This Row],[Column42]]&amp;IF(Table1[[#This Row],[Column13]]="","",Table1[[#This Row],[Column13]])&amp;IF(Table1[[#This Row],[mod]]="","",Table1[[#This Row],[mod]])</f>
        <v>avatar--md</v>
      </c>
      <c r="K182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2" t="s">
        <v>6179</v>
      </c>
      <c r="Q182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82" t="s">
        <v>3115</v>
      </c>
      <c r="AB182" s="29"/>
      <c r="AC182" s="25"/>
      <c r="AD182" s="41"/>
      <c r="AE182" s="41"/>
      <c r="AF182" s="11" t="s">
        <v>178</v>
      </c>
      <c r="AH182" s="75" t="str">
        <f>Table1[[#This Row],[html_tag]]&amp;Table1[[#This Row],[html_type]]&amp;Table1[[#This Row],[html_modifier]]</f>
        <v/>
      </c>
      <c r="AL182" s="23" t="str">
        <f>IFERROR(_xlfn.XLOOKUP(Table1[[#This Row],[word]],Table57[English style name],Table57[Style type]),"")</f>
        <v/>
      </c>
      <c r="AM182" s="21"/>
      <c r="AN182" s="70"/>
      <c r="AO182" s="67"/>
      <c r="AP182" s="67"/>
      <c r="AQ182" s="67"/>
      <c r="AR182" s="67"/>
      <c r="AS182" s="67"/>
      <c r="AT182" s="67"/>
      <c r="AU182" s="67"/>
    </row>
    <row r="183" spans="1:47">
      <c r="E183" s="76"/>
      <c r="F1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3" s="13"/>
      <c r="H183" s="13"/>
      <c r="I183" s="77" t="str">
        <f>Table1[[#This Row],[type]]</f>
        <v>avatar</v>
      </c>
      <c r="J183" s="62" t="str">
        <f>Table1[[#This Row],[Column42]]&amp;IF(Table1[[#This Row],[Column13]]="","",Table1[[#This Row],[Column13]])&amp;IF(Table1[[#This Row],[mod]]="","",Table1[[#This Row],[mod]])</f>
        <v>avatar--offline</v>
      </c>
      <c r="K1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3" t="s">
        <v>6179</v>
      </c>
      <c r="Q18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--offline</v>
      </c>
      <c r="Z183" t="s">
        <v>10191</v>
      </c>
      <c r="AB183" s="29"/>
      <c r="AC183" s="25"/>
      <c r="AD183" s="41" t="s">
        <v>6193</v>
      </c>
      <c r="AE183" s="41"/>
      <c r="AF183" s="11" t="s">
        <v>178</v>
      </c>
      <c r="AH183" s="7" t="str">
        <f>Table1[[#This Row],[html_tag]]&amp;Table1[[#This Row],[html_type]]&amp;Table1[[#This Row],[html_modifier]]</f>
        <v/>
      </c>
      <c r="AL183" s="23" t="str">
        <f>IFERROR(_xlfn.XLOOKUP(Table1[[#This Row],[word]],Table57[English style name],Table57[Style type]),"")</f>
        <v/>
      </c>
      <c r="AM183" s="21"/>
      <c r="AN183" s="11"/>
    </row>
    <row r="184" spans="1:47">
      <c r="E184" s="76"/>
      <c r="F1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4" s="13"/>
      <c r="H184" s="13"/>
      <c r="I184" s="77" t="str">
        <f>Table1[[#This Row],[type]]</f>
        <v>avatar</v>
      </c>
      <c r="J184" s="62" t="str">
        <f>Table1[[#This Row],[Column42]]&amp;IF(Table1[[#This Row],[Column13]]="","",Table1[[#This Row],[Column13]])&amp;IF(Table1[[#This Row],[mod]]="","",Table1[[#This Row],[mod]])</f>
        <v>avatar--online</v>
      </c>
      <c r="K1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4" t="s">
        <v>6179</v>
      </c>
      <c r="Q18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--online</v>
      </c>
      <c r="Z184" t="s">
        <v>10190</v>
      </c>
      <c r="AB184" s="29"/>
      <c r="AC184" s="25"/>
      <c r="AD184" s="41" t="s">
        <v>6192</v>
      </c>
      <c r="AE184" s="41"/>
      <c r="AF184" s="11" t="s">
        <v>178</v>
      </c>
      <c r="AH184" s="7" t="str">
        <f>Table1[[#This Row],[html_tag]]&amp;Table1[[#This Row],[html_type]]&amp;Table1[[#This Row],[html_modifier]]</f>
        <v/>
      </c>
      <c r="AL184" s="23" t="str">
        <f>IFERROR(_xlfn.XLOOKUP(Table1[[#This Row],[word]],Table57[English style name],Table57[Style type]),"")</f>
        <v/>
      </c>
      <c r="AM184" s="21"/>
      <c r="AN184" s="11"/>
    </row>
    <row r="185" spans="1:47">
      <c r="E185" s="76"/>
      <c r="F1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5" s="13"/>
      <c r="H185" s="13"/>
      <c r="I185" s="77" t="str">
        <f>Table1[[#This Row],[type]]</f>
        <v>avatar</v>
      </c>
      <c r="J185" s="62" t="str">
        <f>Table1[[#This Row],[Column42]]&amp;IF(Table1[[#This Row],[Column13]]="","",Table1[[#This Row],[Column13]])&amp;IF(Table1[[#This Row],[mod]]="","",Table1[[#This Row],[mod]])</f>
        <v>avatar--placeholder</v>
      </c>
      <c r="K1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5" t="s">
        <v>6179</v>
      </c>
      <c r="Q1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--placeholder</v>
      </c>
      <c r="V185" t="s">
        <v>2244</v>
      </c>
      <c r="AB185" s="29"/>
      <c r="AC185" s="25"/>
      <c r="AD185" s="41" t="s">
        <v>6194</v>
      </c>
      <c r="AE185" s="41"/>
      <c r="AF185" s="11" t="s">
        <v>178</v>
      </c>
      <c r="AH185" s="7" t="str">
        <f>Table1[[#This Row],[html_tag]]&amp;Table1[[#This Row],[html_type]]&amp;Table1[[#This Row],[html_modifier]]</f>
        <v/>
      </c>
      <c r="AL185" s="23" t="str">
        <f>IFERROR(_xlfn.XLOOKUP(Table1[[#This Row],[word]],Table57[English style name],Table57[Style type]),"")</f>
        <v/>
      </c>
      <c r="AM185" s="21"/>
      <c r="AN185" s="11"/>
    </row>
    <row r="186" spans="1:47">
      <c r="E186" s="76"/>
      <c r="F1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6" s="13"/>
      <c r="H186" s="13"/>
      <c r="I186" s="77" t="str">
        <f>Table1[[#This Row],[type]]</f>
        <v>avatar</v>
      </c>
      <c r="J186" s="62" t="str">
        <f>Table1[[#This Row],[Column42]]&amp;IF(Table1[[#This Row],[Column13]]="","",Table1[[#This Row],[Column13]])&amp;IF(Table1[[#This Row],[mod]]="","",Table1[[#This Row],[mod]])</f>
        <v>avatar--sm</v>
      </c>
      <c r="K1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6" t="s">
        <v>6179</v>
      </c>
      <c r="Q18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86" t="s">
        <v>3116</v>
      </c>
      <c r="AB186" s="29"/>
      <c r="AC186" s="25"/>
      <c r="AD186" s="41"/>
      <c r="AE186" s="59" t="s">
        <v>7517</v>
      </c>
      <c r="AF186" s="11" t="s">
        <v>178</v>
      </c>
      <c r="AH186" s="7" t="str">
        <f>Table1[[#This Row],[html_tag]]&amp;Table1[[#This Row],[html_type]]&amp;Table1[[#This Row],[html_modifier]]</f>
        <v/>
      </c>
      <c r="AL186" s="23" t="str">
        <f>IFERROR(_xlfn.XLOOKUP(Table1[[#This Row],[word]],Table57[English style name],Table57[Style type]),"")</f>
        <v/>
      </c>
      <c r="AM186" s="21"/>
      <c r="AN186" s="11"/>
    </row>
    <row r="187" spans="1:47">
      <c r="A187" s="68"/>
      <c r="B187" s="68"/>
      <c r="C187" s="68"/>
      <c r="D187" s="69"/>
      <c r="E187" s="84"/>
      <c r="F187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7" s="13"/>
      <c r="H187" s="13"/>
      <c r="I187" s="85" t="str">
        <f>Table1[[#This Row],[type]]</f>
        <v>avatar</v>
      </c>
      <c r="J187" s="72" t="str">
        <f>Table1[[#This Row],[Column42]]&amp;IF(Table1[[#This Row],[Column13]]="","",Table1[[#This Row],[Column13]])&amp;IF(Table1[[#This Row],[mod]]="","",Table1[[#This Row],[mod]])</f>
        <v>avatar--square</v>
      </c>
      <c r="K187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7" t="s">
        <v>6179</v>
      </c>
      <c r="Q187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187" t="s">
        <v>3122</v>
      </c>
      <c r="AB187" s="29"/>
      <c r="AC187" s="25"/>
      <c r="AD187" s="41"/>
      <c r="AE187" s="41"/>
      <c r="AF187" s="11" t="s">
        <v>178</v>
      </c>
      <c r="AH187" s="75" t="str">
        <f>Table1[[#This Row],[html_tag]]&amp;Table1[[#This Row],[html_type]]&amp;Table1[[#This Row],[html_modifier]]</f>
        <v/>
      </c>
      <c r="AL187" s="23" t="str">
        <f>IFERROR(_xlfn.XLOOKUP(Table1[[#This Row],[word]],Table57[English style name],Table57[Style type]),"")</f>
        <v/>
      </c>
      <c r="AM187" s="21"/>
      <c r="AN187" s="70"/>
      <c r="AO187" s="67"/>
      <c r="AP187" s="67"/>
      <c r="AQ187" s="67"/>
      <c r="AR187" s="67"/>
      <c r="AS187" s="67"/>
      <c r="AT187" s="67"/>
      <c r="AU187" s="67"/>
    </row>
    <row r="188" spans="1:47">
      <c r="A188" s="68"/>
      <c r="B188" s="68"/>
      <c r="C188" s="68"/>
      <c r="D188" s="69"/>
      <c r="E188" s="84"/>
      <c r="F188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8" s="13"/>
      <c r="H188" s="13"/>
      <c r="I188" s="85" t="str">
        <f>Table1[[#This Row],[type]]</f>
        <v>avatar</v>
      </c>
      <c r="J188" s="72" t="str">
        <f>Table1[[#This Row],[Column42]]&amp;IF(Table1[[#This Row],[Column13]]="","",Table1[[#This Row],[Column13]])&amp;IF(Table1[[#This Row],[mod]]="","",Table1[[#This Row],[mod]])</f>
        <v>avatar--xl</v>
      </c>
      <c r="K188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8" t="s">
        <v>6179</v>
      </c>
      <c r="Q188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88" t="s">
        <v>3126</v>
      </c>
      <c r="AB188" s="29"/>
      <c r="AC188" s="25"/>
      <c r="AD188" s="41"/>
      <c r="AE188" s="41"/>
      <c r="AF188" s="11" t="s">
        <v>178</v>
      </c>
      <c r="AH188" s="75" t="str">
        <f>Table1[[#This Row],[html_tag]]&amp;Table1[[#This Row],[html_type]]&amp;Table1[[#This Row],[html_modifier]]</f>
        <v/>
      </c>
      <c r="AL188" s="23" t="str">
        <f>IFERROR(_xlfn.XLOOKUP(Table1[[#This Row],[word]],Table57[English style name],Table57[Style type]),"")</f>
        <v/>
      </c>
      <c r="AM188" s="21"/>
      <c r="AN188" s="70"/>
      <c r="AO188" s="67"/>
      <c r="AP188" s="67"/>
      <c r="AQ188" s="67"/>
      <c r="AR188" s="67"/>
      <c r="AS188" s="67"/>
      <c r="AT188" s="67"/>
      <c r="AU188" s="67"/>
    </row>
    <row r="189" spans="1:47">
      <c r="E189" s="76"/>
      <c r="F1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utilities/background.scss</v>
      </c>
      <c r="G189" s="13" t="s">
        <v>2994</v>
      </c>
      <c r="H189" s="13"/>
      <c r="I189" s="12" t="str">
        <f>Table1[[#This Row],[type]]</f>
        <v>background</v>
      </c>
      <c r="J189" s="62" t="str">
        <f>Table1[[#This Row],[Column42]]&amp;IF(Table1[[#This Row],[Column13]]="","",Table1[[#This Row],[Column13]])&amp;IF(Table1[[#This Row],[mod]]="","",Table1[[#This Row],[mod]])</f>
        <v>background</v>
      </c>
      <c r="K1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background</v>
      </c>
      <c r="L189" t="s">
        <v>3124</v>
      </c>
      <c r="P189" s="6" t="s">
        <v>1835</v>
      </c>
      <c r="Q1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" s="29"/>
      <c r="AC189" s="25"/>
      <c r="AD189" s="41"/>
      <c r="AE189" s="41"/>
      <c r="AF189" s="11"/>
      <c r="AH189" s="1" t="str">
        <f>Table1[[#This Row],[html_tag]]&amp;Table1[[#This Row],[html_type]]&amp;Table1[[#This Row],[html_modifier]]</f>
        <v/>
      </c>
      <c r="AL189" s="22" t="str">
        <f>IFERROR(_xlfn.XLOOKUP(Table1[[#This Row],[word]],Table57[English style name],Table57[Style type]),"")</f>
        <v/>
      </c>
      <c r="AM189" s="20"/>
      <c r="AN189" s="11"/>
      <c r="AQ189" s="6" t="s">
        <v>1835</v>
      </c>
      <c r="AR189" t="s">
        <v>1836</v>
      </c>
    </row>
    <row r="190" spans="1:47">
      <c r="E190" s="76"/>
      <c r="F1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0" s="13" t="s">
        <v>337</v>
      </c>
      <c r="H190" s="13" t="s">
        <v>2986</v>
      </c>
      <c r="I190" s="12" t="str">
        <f>Table1[[#This Row],[type]]</f>
        <v>badge</v>
      </c>
      <c r="J190" s="62" t="str">
        <f>Table1[[#This Row],[Column42]]&amp;IF(Table1[[#This Row],[Column13]]="","",Table1[[#This Row],[Column13]])&amp;IF(Table1[[#This Row],[mod]]="","",Table1[[#This Row],[mod]])</f>
        <v>badge</v>
      </c>
      <c r="K1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0" t="s">
        <v>1194</v>
      </c>
      <c r="Q1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" s="29"/>
      <c r="AC190" s="25" t="s">
        <v>3508</v>
      </c>
      <c r="AD190" s="41" t="s">
        <v>3508</v>
      </c>
      <c r="AE190" s="41"/>
      <c r="AF190" s="11" t="s">
        <v>270</v>
      </c>
      <c r="AH190" s="1" t="str">
        <f>Table1[[#This Row],[html_tag]]&amp;Table1[[#This Row],[html_type]]&amp;Table1[[#This Row],[html_modifier]]</f>
        <v/>
      </c>
      <c r="AL190" s="22" t="str">
        <f>IFERROR(_xlfn.XLOOKUP(Table1[[#This Row],[word]],Table57[English style name],Table57[Style type]),"")</f>
        <v/>
      </c>
      <c r="AM190" s="20"/>
      <c r="AN190" s="11"/>
      <c r="AQ190" s="14" t="s">
        <v>1194</v>
      </c>
      <c r="AR190" t="s">
        <v>1195</v>
      </c>
    </row>
    <row r="191" spans="1:47">
      <c r="E191" s="76"/>
      <c r="F1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1" s="13" t="s">
        <v>337</v>
      </c>
      <c r="H191" s="13" t="s">
        <v>2986</v>
      </c>
      <c r="I191" s="12" t="str">
        <f>Table1[[#This Row],[type]]</f>
        <v>badge</v>
      </c>
      <c r="J191" s="62" t="str">
        <f>Table1[[#This Row],[Column42]]&amp;IF(Table1[[#This Row],[Column13]]="","",Table1[[#This Row],[Column13]])&amp;IF(Table1[[#This Row],[mod]]="","",Table1[[#This Row],[mod]])</f>
        <v>badge__positioned</v>
      </c>
      <c r="K1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badge__positioned</v>
      </c>
      <c r="L191" t="s">
        <v>1194</v>
      </c>
      <c r="M191" t="s">
        <v>10195</v>
      </c>
      <c r="Q1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" s="29"/>
      <c r="AC191" s="25"/>
      <c r="AD191" s="41"/>
      <c r="AE191" s="41"/>
      <c r="AF191" s="11" t="s">
        <v>270</v>
      </c>
      <c r="AH191" s="1" t="str">
        <f>Table1[[#This Row],[html_tag]]&amp;Table1[[#This Row],[html_type]]&amp;Table1[[#This Row],[html_modifier]]</f>
        <v/>
      </c>
      <c r="AL191" s="22" t="str">
        <f>IFERROR(_xlfn.XLOOKUP(Table1[[#This Row],[word]],Table57[English style name],Table57[Style type]),"")</f>
        <v/>
      </c>
      <c r="AM191" s="20"/>
      <c r="AN191" s="11"/>
      <c r="AQ191" s="6" t="s">
        <v>1204</v>
      </c>
      <c r="AR191" t="s">
        <v>1195</v>
      </c>
    </row>
    <row r="192" spans="1:47">
      <c r="E192" s="76"/>
      <c r="F1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2" s="13" t="s">
        <v>337</v>
      </c>
      <c r="H192" s="13" t="s">
        <v>2986</v>
      </c>
      <c r="I192" s="12" t="str">
        <f>Table1[[#This Row],[type]]</f>
        <v>badge</v>
      </c>
      <c r="J192" s="62" t="str">
        <f>Table1[[#This Row],[Column42]]&amp;IF(Table1[[#This Row],[Column13]]="","",Table1[[#This Row],[Column13]])&amp;IF(Table1[[#This Row],[mod]]="","",Table1[[#This Row],[mod]])</f>
        <v>badge__positioned__start</v>
      </c>
      <c r="K1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badge__positioned__start</v>
      </c>
      <c r="L192" t="s">
        <v>1194</v>
      </c>
      <c r="M192" t="s">
        <v>10195</v>
      </c>
      <c r="N192" t="s">
        <v>3193</v>
      </c>
      <c r="Q1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" s="29"/>
      <c r="AC192" s="25"/>
      <c r="AD192" s="41"/>
      <c r="AE192" s="41"/>
      <c r="AF192" s="11" t="s">
        <v>270</v>
      </c>
      <c r="AH192" s="1" t="str">
        <f>Table1[[#This Row],[html_tag]]&amp;Table1[[#This Row],[html_type]]&amp;Table1[[#This Row],[html_modifier]]</f>
        <v/>
      </c>
      <c r="AL192" s="22" t="str">
        <f>IFERROR(_xlfn.XLOOKUP(Table1[[#This Row],[word]],Table57[English style name],Table57[Style type]),"")</f>
        <v/>
      </c>
      <c r="AM192" s="20"/>
      <c r="AN192" s="11"/>
      <c r="AQ192" s="6" t="s">
        <v>1206</v>
      </c>
      <c r="AR192" t="s">
        <v>1195</v>
      </c>
    </row>
    <row r="193" spans="1:47">
      <c r="E193" s="76"/>
      <c r="F1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3" s="13" t="s">
        <v>337</v>
      </c>
      <c r="H193" s="13" t="s">
        <v>2986</v>
      </c>
      <c r="I193" s="12" t="str">
        <f>Table1[[#This Row],[type]]</f>
        <v>badge</v>
      </c>
      <c r="J193" s="62" t="str">
        <f>Table1[[#This Row],[Column42]]&amp;IF(Table1[[#This Row],[Column13]]="","",Table1[[#This Row],[Column13]])&amp;IF(Table1[[#This Row],[mod]]="","",Table1[[#This Row],[mod]])</f>
        <v>badge__positioned--container</v>
      </c>
      <c r="K1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badge__positioned</v>
      </c>
      <c r="L193" t="s">
        <v>1194</v>
      </c>
      <c r="M193" t="s">
        <v>10195</v>
      </c>
      <c r="Q1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93" t="s">
        <v>3445</v>
      </c>
      <c r="AB193" s="29"/>
      <c r="AC193" s="25"/>
      <c r="AD193" s="41"/>
      <c r="AE193" s="41"/>
      <c r="AF193" s="11" t="s">
        <v>270</v>
      </c>
      <c r="AH193" s="1" t="str">
        <f>Table1[[#This Row],[html_tag]]&amp;Table1[[#This Row],[html_type]]&amp;Table1[[#This Row],[html_modifier]]</f>
        <v/>
      </c>
      <c r="AL193" s="22" t="str">
        <f>IFERROR(_xlfn.XLOOKUP(Table1[[#This Row],[word]],Table57[English style name],Table57[Style type]),"")</f>
        <v/>
      </c>
      <c r="AM193" s="20"/>
      <c r="AN193" s="11"/>
      <c r="AQ193" s="6" t="s">
        <v>1205</v>
      </c>
      <c r="AR193" t="s">
        <v>1195</v>
      </c>
    </row>
    <row r="194" spans="1:47">
      <c r="E194" s="76"/>
      <c r="F1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4" s="13" t="s">
        <v>337</v>
      </c>
      <c r="H194" s="13" t="s">
        <v>2986</v>
      </c>
      <c r="I194" s="12" t="str">
        <f>Table1[[#This Row],[type]]</f>
        <v>badge</v>
      </c>
      <c r="J194" s="62" t="str">
        <f>Table1[[#This Row],[Column42]]&amp;IF(Table1[[#This Row],[Column13]]="","",Table1[[#This Row],[Column13]])&amp;IF(Table1[[#This Row],[mod]]="","",Table1[[#This Row],[mod]])</f>
        <v>badge--accent</v>
      </c>
      <c r="K1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4" t="s">
        <v>1194</v>
      </c>
      <c r="Q19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94" t="s">
        <v>7394</v>
      </c>
      <c r="AB194" s="29"/>
      <c r="AC194" s="25"/>
      <c r="AD194" s="41" t="s">
        <v>6228</v>
      </c>
      <c r="AE194" s="41"/>
      <c r="AF194" s="11" t="s">
        <v>270</v>
      </c>
      <c r="AH194" s="7" t="str">
        <f>Table1[[#This Row],[html_tag]]&amp;Table1[[#This Row],[html_type]]&amp;Table1[[#This Row],[html_modifier]]</f>
        <v/>
      </c>
      <c r="AL194" s="23" t="str">
        <f>IFERROR(_xlfn.XLOOKUP(Table1[[#This Row],[word]],Table57[English style name],Table57[Style type]),"")</f>
        <v/>
      </c>
      <c r="AM194" s="21"/>
      <c r="AN194" s="11"/>
    </row>
    <row r="195" spans="1:47">
      <c r="E195" s="76"/>
      <c r="F1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5" s="13" t="s">
        <v>337</v>
      </c>
      <c r="H195" s="13" t="s">
        <v>2986</v>
      </c>
      <c r="I195" s="12" t="str">
        <f>Table1[[#This Row],[type]]</f>
        <v>badge</v>
      </c>
      <c r="J195" s="62" t="str">
        <f>Table1[[#This Row],[Column42]]&amp;IF(Table1[[#This Row],[Column13]]="","",Table1[[#This Row],[Column13]])&amp;IF(Table1[[#This Row],[mod]]="","",Table1[[#This Row],[mod]])</f>
        <v>badge--base</v>
      </c>
      <c r="K1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5" t="s">
        <v>1194</v>
      </c>
      <c r="Q1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95" t="s">
        <v>338</v>
      </c>
      <c r="AB195" s="29"/>
      <c r="AC195" s="25"/>
      <c r="AD195" s="41"/>
      <c r="AE195" s="41"/>
      <c r="AF195" s="11" t="s">
        <v>270</v>
      </c>
      <c r="AH195" s="1" t="str">
        <f>Table1[[#This Row],[html_tag]]&amp;Table1[[#This Row],[html_type]]&amp;Table1[[#This Row],[html_modifier]]</f>
        <v/>
      </c>
      <c r="AL195" s="22" t="str">
        <f>IFERROR(_xlfn.XLOOKUP(Table1[[#This Row],[word]],Table57[English style name],Table57[Style type]),"")</f>
        <v/>
      </c>
      <c r="AM195" s="20"/>
      <c r="AN195" s="11"/>
      <c r="AQ195" s="14" t="s">
        <v>1198</v>
      </c>
      <c r="AR195" t="s">
        <v>1195</v>
      </c>
    </row>
    <row r="196" spans="1:47">
      <c r="A196" s="68"/>
      <c r="B196" s="68"/>
      <c r="C196" s="68"/>
      <c r="D196" s="69"/>
      <c r="E196" s="84"/>
      <c r="F196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badge.scss</v>
      </c>
      <c r="G196" s="13"/>
      <c r="H196" s="13"/>
      <c r="I196" s="85" t="str">
        <f>Table1[[#This Row],[type]]</f>
        <v>badge</v>
      </c>
      <c r="J196" s="72" t="str">
        <f>Table1[[#This Row],[Column42]]&amp;IF(Table1[[#This Row],[Column13]]="","",Table1[[#This Row],[Column13]])&amp;IF(Table1[[#This Row],[mod]]="","",Table1[[#This Row],[mod]])</f>
        <v>badge--count</v>
      </c>
      <c r="K196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6" t="s">
        <v>1194</v>
      </c>
      <c r="Q196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--count</v>
      </c>
      <c r="R196" t="s">
        <v>10118</v>
      </c>
      <c r="U196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" s="29"/>
      <c r="AC196" s="25"/>
      <c r="AD196" s="41"/>
      <c r="AE196" s="41"/>
      <c r="AF196" s="11" t="s">
        <v>237</v>
      </c>
      <c r="AH196" s="75" t="str">
        <f>Table1[[#This Row],[html_tag]]&amp;Table1[[#This Row],[html_type]]&amp;Table1[[#This Row],[html_modifier]]</f>
        <v/>
      </c>
      <c r="AL196" s="23" t="str">
        <f>IFERROR(_xlfn.XLOOKUP(Table1[[#This Row],[word]],Table57[English style name],Table57[Style type]),"")</f>
        <v/>
      </c>
      <c r="AM196" s="21"/>
      <c r="AN196" s="70"/>
      <c r="AO196" s="67"/>
      <c r="AP196" s="67"/>
      <c r="AQ196" s="67"/>
      <c r="AR196" s="67"/>
      <c r="AS196" s="67"/>
      <c r="AT196" s="67"/>
      <c r="AU196" s="67"/>
    </row>
    <row r="197" spans="1:47">
      <c r="E197" s="76"/>
      <c r="F1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7" s="13" t="s">
        <v>337</v>
      </c>
      <c r="H197" s="13" t="s">
        <v>2986</v>
      </c>
      <c r="I197" s="12" t="str">
        <f>Table1[[#This Row],[type]]</f>
        <v>badge</v>
      </c>
      <c r="J197" s="62" t="str">
        <f>Table1[[#This Row],[Column42]]&amp;IF(Table1[[#This Row],[Column13]]="","",Table1[[#This Row],[Column13]])&amp;IF(Table1[[#This Row],[mod]]="","",Table1[[#This Row],[mod]])</f>
        <v>badge--dark</v>
      </c>
      <c r="K1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7" t="s">
        <v>1194</v>
      </c>
      <c r="Q19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97" t="s">
        <v>3501</v>
      </c>
      <c r="AB197" s="29"/>
      <c r="AC197" s="25" t="s">
        <v>3510</v>
      </c>
      <c r="AD197" s="41"/>
      <c r="AE197" s="41"/>
      <c r="AF197" s="11" t="s">
        <v>270</v>
      </c>
      <c r="AH197" s="7" t="str">
        <f>Table1[[#This Row],[html_tag]]&amp;Table1[[#This Row],[html_type]]&amp;Table1[[#This Row],[html_modifier]]</f>
        <v/>
      </c>
      <c r="AL197" s="23" t="str">
        <f>IFERROR(_xlfn.XLOOKUP(Table1[[#This Row],[word]],Table57[English style name],Table57[Style type]),"")</f>
        <v/>
      </c>
      <c r="AM197" s="21"/>
      <c r="AN197" s="11"/>
    </row>
    <row r="198" spans="1:47">
      <c r="E198" s="76"/>
      <c r="F1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8" s="13" t="s">
        <v>337</v>
      </c>
      <c r="H198" s="13" t="s">
        <v>2986</v>
      </c>
      <c r="I198" s="12" t="str">
        <f>Table1[[#This Row],[type]]</f>
        <v>badge</v>
      </c>
      <c r="J198" s="62" t="str">
        <f>Table1[[#This Row],[Column42]]&amp;IF(Table1[[#This Row],[Column13]]="","",Table1[[#This Row],[Column13]])&amp;IF(Table1[[#This Row],[mod]]="","",Table1[[#This Row],[mod]])</f>
        <v>badge--dash</v>
      </c>
      <c r="K1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8" t="s">
        <v>1194</v>
      </c>
      <c r="Q19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--dash</v>
      </c>
      <c r="W198" t="s">
        <v>7396</v>
      </c>
      <c r="AB198" s="29"/>
      <c r="AC198" s="25"/>
      <c r="AD198" s="41" t="s">
        <v>6224</v>
      </c>
      <c r="AE198" s="41"/>
      <c r="AF198" s="11" t="s">
        <v>270</v>
      </c>
      <c r="AH198" s="7" t="str">
        <f>Table1[[#This Row],[html_tag]]&amp;Table1[[#This Row],[html_type]]&amp;Table1[[#This Row],[html_modifier]]</f>
        <v/>
      </c>
      <c r="AL198" s="23" t="str">
        <f>IFERROR(_xlfn.XLOOKUP(Table1[[#This Row],[word]],Table57[English style name],Table57[Style type]),"")</f>
        <v/>
      </c>
      <c r="AM198" s="21"/>
      <c r="AN198" s="11"/>
    </row>
    <row r="199" spans="1:47">
      <c r="E199" s="76"/>
      <c r="F1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9" s="13" t="s">
        <v>337</v>
      </c>
      <c r="H199" s="13" t="s">
        <v>2986</v>
      </c>
      <c r="I199" s="12" t="str">
        <f>Table1[[#This Row],[type]]</f>
        <v>badge</v>
      </c>
      <c r="J199" s="62" t="str">
        <f>Table1[[#This Row],[Column42]]&amp;IF(Table1[[#This Row],[Column13]]="","",Table1[[#This Row],[Column13]])&amp;IF(Table1[[#This Row],[mod]]="","",Table1[[#This Row],[mod]])</f>
        <v>badge--dotted</v>
      </c>
      <c r="K1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9" t="s">
        <v>1194</v>
      </c>
      <c r="Q1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199" t="s">
        <v>3475</v>
      </c>
      <c r="AB199" s="29"/>
      <c r="AC199" s="25"/>
      <c r="AD199" s="41"/>
      <c r="AE199" s="41"/>
      <c r="AF199" s="11" t="s">
        <v>270</v>
      </c>
      <c r="AH199" s="1" t="str">
        <f>Table1[[#This Row],[html_tag]]&amp;Table1[[#This Row],[html_type]]&amp;Table1[[#This Row],[html_modifier]]</f>
        <v/>
      </c>
      <c r="AL199" s="22" t="str">
        <f>IFERROR(_xlfn.XLOOKUP(Table1[[#This Row],[word]],Table57[English style name],Table57[Style type]),"")</f>
        <v/>
      </c>
      <c r="AM199" s="20"/>
      <c r="AN199" s="11"/>
      <c r="AQ199" s="6" t="s">
        <v>1200</v>
      </c>
      <c r="AR199" t="s">
        <v>1195</v>
      </c>
    </row>
    <row r="200" spans="1:47">
      <c r="E200" s="76"/>
      <c r="F2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0" s="13" t="s">
        <v>337</v>
      </c>
      <c r="H200" s="13" t="s">
        <v>2986</v>
      </c>
      <c r="I200" s="12" t="str">
        <f>Table1[[#This Row],[type]]</f>
        <v>badge</v>
      </c>
      <c r="J200" s="62" t="str">
        <f>Table1[[#This Row],[Column42]]&amp;IF(Table1[[#This Row],[Column13]]="","",Table1[[#This Row],[Column13]])&amp;IF(Table1[[#This Row],[mod]]="","",Table1[[#This Row],[mod]])</f>
        <v>badge--error</v>
      </c>
      <c r="K2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0" t="s">
        <v>1194</v>
      </c>
      <c r="Q2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00" t="s">
        <v>3117</v>
      </c>
      <c r="AB200" s="29"/>
      <c r="AC200" s="25" t="s">
        <v>3509</v>
      </c>
      <c r="AD200" s="41" t="s">
        <v>6229</v>
      </c>
      <c r="AE200" s="41"/>
      <c r="AF200" s="11" t="s">
        <v>270</v>
      </c>
      <c r="AH200" s="1" t="str">
        <f>Table1[[#This Row],[html_tag]]&amp;Table1[[#This Row],[html_type]]&amp;Table1[[#This Row],[html_modifier]]</f>
        <v/>
      </c>
      <c r="AL200" s="22" t="str">
        <f>IFERROR(_xlfn.XLOOKUP(Table1[[#This Row],[word]],Table57[English style name],Table57[Style type]),"")</f>
        <v/>
      </c>
      <c r="AM200" s="20"/>
      <c r="AN200" s="11"/>
      <c r="AQ200" s="6" t="s">
        <v>1201</v>
      </c>
      <c r="AR200" t="s">
        <v>1195</v>
      </c>
    </row>
    <row r="201" spans="1:47">
      <c r="E201" s="76"/>
      <c r="F2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1" s="13" t="s">
        <v>337</v>
      </c>
      <c r="H201" s="13" t="s">
        <v>2986</v>
      </c>
      <c r="I201" s="12" t="str">
        <f>Table1[[#This Row],[type]]</f>
        <v>badge</v>
      </c>
      <c r="J201" s="62" t="str">
        <f>Table1[[#This Row],[Column42]]&amp;IF(Table1[[#This Row],[Column13]]="","",Table1[[#This Row],[Column13]])&amp;IF(Table1[[#This Row],[mod]]="","",Table1[[#This Row],[mod]])</f>
        <v>badge--ghost</v>
      </c>
      <c r="K2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1" t="s">
        <v>1194</v>
      </c>
      <c r="Q2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201" t="s">
        <v>7395</v>
      </c>
      <c r="AB201" s="29"/>
      <c r="AC201" s="25"/>
      <c r="AD201" s="41" t="s">
        <v>6226</v>
      </c>
      <c r="AE201" s="41"/>
      <c r="AF201" s="11" t="s">
        <v>270</v>
      </c>
      <c r="AH201" s="7" t="str">
        <f>Table1[[#This Row],[html_tag]]&amp;Table1[[#This Row],[html_type]]&amp;Table1[[#This Row],[html_modifier]]</f>
        <v/>
      </c>
      <c r="AL201" s="23" t="str">
        <f>IFERROR(_xlfn.XLOOKUP(Table1[[#This Row],[word]],Table57[English style name],Table57[Style type]),"")</f>
        <v/>
      </c>
      <c r="AM201" s="21"/>
      <c r="AN201" s="11"/>
    </row>
    <row r="202" spans="1:47">
      <c r="E202" s="76"/>
      <c r="F2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2" s="13" t="s">
        <v>337</v>
      </c>
      <c r="H202" s="13" t="s">
        <v>2986</v>
      </c>
      <c r="I202" s="12" t="str">
        <f>Table1[[#This Row],[type]]</f>
        <v>badge</v>
      </c>
      <c r="J202" s="62" t="str">
        <f>Table1[[#This Row],[Column42]]&amp;IF(Table1[[#This Row],[Column13]]="","",Table1[[#This Row],[Column13]])&amp;IF(Table1[[#This Row],[mod]]="","",Table1[[#This Row],[mod]])</f>
        <v>badge--info</v>
      </c>
      <c r="K2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2" t="s">
        <v>1194</v>
      </c>
      <c r="Q2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02" t="s">
        <v>3119</v>
      </c>
      <c r="AB202" s="29"/>
      <c r="AC202" s="25" t="s">
        <v>3511</v>
      </c>
      <c r="AD202" s="41" t="s">
        <v>3511</v>
      </c>
      <c r="AE202" s="41"/>
      <c r="AF202" s="11" t="s">
        <v>270</v>
      </c>
      <c r="AH202" s="1" t="str">
        <f>Table1[[#This Row],[html_tag]]&amp;Table1[[#This Row],[html_type]]&amp;Table1[[#This Row],[html_modifier]]</f>
        <v/>
      </c>
      <c r="AL202" s="22" t="str">
        <f>IFERROR(_xlfn.XLOOKUP(Table1[[#This Row],[word]],Table57[English style name],Table57[Style type]),"")</f>
        <v/>
      </c>
      <c r="AM202" s="20"/>
      <c r="AN202" s="11"/>
      <c r="AQ202" s="6" t="s">
        <v>1202</v>
      </c>
      <c r="AR202" t="s">
        <v>1195</v>
      </c>
    </row>
    <row r="203" spans="1:47">
      <c r="E203" s="76"/>
      <c r="F2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3" s="13" t="s">
        <v>337</v>
      </c>
      <c r="H203" s="13" t="s">
        <v>2986</v>
      </c>
      <c r="I203" s="12" t="str">
        <f>Table1[[#This Row],[type]]</f>
        <v>badge</v>
      </c>
      <c r="J203" s="62" t="str">
        <f>Table1[[#This Row],[Column42]]&amp;IF(Table1[[#This Row],[Column13]]="","",Table1[[#This Row],[Column13]])&amp;IF(Table1[[#This Row],[mod]]="","",Table1[[#This Row],[mod]])</f>
        <v>badge--lg</v>
      </c>
      <c r="K2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3" t="s">
        <v>1194</v>
      </c>
      <c r="Q2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03" t="s">
        <v>3114</v>
      </c>
      <c r="AB203" s="29"/>
      <c r="AC203" s="25"/>
      <c r="AD203" s="41" t="s">
        <v>6233</v>
      </c>
      <c r="AE203" s="41"/>
      <c r="AF203" s="11" t="s">
        <v>270</v>
      </c>
      <c r="AH203" s="1" t="str">
        <f>Table1[[#This Row],[html_tag]]&amp;Table1[[#This Row],[html_type]]&amp;Table1[[#This Row],[html_modifier]]</f>
        <v/>
      </c>
      <c r="AL203" s="22" t="str">
        <f>IFERROR(_xlfn.XLOOKUP(Table1[[#This Row],[word]],Table57[English style name],Table57[Style type]),"")</f>
        <v/>
      </c>
      <c r="AM203" s="20"/>
      <c r="AN203" s="11"/>
      <c r="AQ203" s="14" t="s">
        <v>1209</v>
      </c>
      <c r="AR203" t="s">
        <v>1195</v>
      </c>
    </row>
    <row r="204" spans="1:47">
      <c r="E204" s="76"/>
      <c r="F2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4" s="13" t="s">
        <v>337</v>
      </c>
      <c r="H204" s="13" t="s">
        <v>2986</v>
      </c>
      <c r="I204" s="12" t="str">
        <f>Table1[[#This Row],[type]]</f>
        <v>badge</v>
      </c>
      <c r="J204" s="62" t="str">
        <f>Table1[[#This Row],[Column42]]&amp;IF(Table1[[#This Row],[Column13]]="","",Table1[[#This Row],[Column13]])&amp;IF(Table1[[#This Row],[mod]]="","",Table1[[#This Row],[mod]])</f>
        <v>badge--light</v>
      </c>
      <c r="K2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4" t="s">
        <v>1194</v>
      </c>
      <c r="Q20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204" t="s">
        <v>3503</v>
      </c>
      <c r="AB204" s="29"/>
      <c r="AC204" s="25" t="s">
        <v>3512</v>
      </c>
      <c r="AD204" s="41"/>
      <c r="AE204" s="41"/>
      <c r="AF204" s="11" t="s">
        <v>270</v>
      </c>
      <c r="AH204" s="7" t="str">
        <f>Table1[[#This Row],[html_tag]]&amp;Table1[[#This Row],[html_type]]&amp;Table1[[#This Row],[html_modifier]]</f>
        <v/>
      </c>
      <c r="AL204" s="23" t="str">
        <f>IFERROR(_xlfn.XLOOKUP(Table1[[#This Row],[word]],Table57[English style name],Table57[Style type]),"")</f>
        <v/>
      </c>
      <c r="AM204" s="21"/>
      <c r="AN204" s="11"/>
    </row>
    <row r="205" spans="1:47">
      <c r="E205" s="76"/>
      <c r="F2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5" s="13" t="s">
        <v>337</v>
      </c>
      <c r="H205" s="13" t="s">
        <v>2986</v>
      </c>
      <c r="I205" s="12" t="str">
        <f>Table1[[#This Row],[type]]</f>
        <v>badge</v>
      </c>
      <c r="J205" s="62" t="str">
        <f>Table1[[#This Row],[Column42]]&amp;IF(Table1[[#This Row],[Column13]]="","",Table1[[#This Row],[Column13]])&amp;IF(Table1[[#This Row],[mod]]="","",Table1[[#This Row],[mod]])</f>
        <v>badge--md</v>
      </c>
      <c r="K2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5" t="s">
        <v>1194</v>
      </c>
      <c r="Q2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05" t="s">
        <v>3115</v>
      </c>
      <c r="AB205" s="29"/>
      <c r="AC205" s="25"/>
      <c r="AD205" s="41" t="s">
        <v>6232</v>
      </c>
      <c r="AE205" s="41"/>
      <c r="AF205" s="11" t="s">
        <v>270</v>
      </c>
      <c r="AH205" s="1" t="str">
        <f>Table1[[#This Row],[html_tag]]&amp;Table1[[#This Row],[html_type]]&amp;Table1[[#This Row],[html_modifier]]</f>
        <v/>
      </c>
      <c r="AL205" s="22" t="str">
        <f>IFERROR(_xlfn.XLOOKUP(Table1[[#This Row],[word]],Table57[English style name],Table57[Style type]),"")</f>
        <v/>
      </c>
      <c r="AM205" s="20"/>
      <c r="AN205" s="11"/>
      <c r="AQ205" s="14" t="s">
        <v>1210</v>
      </c>
      <c r="AR205" t="s">
        <v>1195</v>
      </c>
    </row>
    <row r="206" spans="1:47">
      <c r="E206" s="76"/>
      <c r="F2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6" s="13" t="s">
        <v>337</v>
      </c>
      <c r="H206" s="13" t="s">
        <v>2986</v>
      </c>
      <c r="I206" s="12" t="str">
        <f>Table1[[#This Row],[type]]</f>
        <v>badge</v>
      </c>
      <c r="J206" s="62" t="str">
        <f>Table1[[#This Row],[Column42]]&amp;IF(Table1[[#This Row],[Column13]]="","",Table1[[#This Row],[Column13]])&amp;IF(Table1[[#This Row],[mod]]="","",Table1[[#This Row],[mod]])</f>
        <v>badge--neutral</v>
      </c>
      <c r="K2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6" t="s">
        <v>1194</v>
      </c>
      <c r="Q2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06" t="s">
        <v>7393</v>
      </c>
      <c r="AB206" s="29"/>
      <c r="AC206" s="25"/>
      <c r="AD206" s="41" t="s">
        <v>6227</v>
      </c>
      <c r="AE206" s="41"/>
      <c r="AF206" s="11" t="s">
        <v>270</v>
      </c>
      <c r="AH206" s="7" t="str">
        <f>Table1[[#This Row],[html_tag]]&amp;Table1[[#This Row],[html_type]]&amp;Table1[[#This Row],[html_modifier]]</f>
        <v/>
      </c>
      <c r="AL206" s="23" t="str">
        <f>IFERROR(_xlfn.XLOOKUP(Table1[[#This Row],[word]],Table57[English style name],Table57[Style type]),"")</f>
        <v/>
      </c>
      <c r="AM206" s="21"/>
      <c r="AN206" s="11"/>
    </row>
    <row r="207" spans="1:47">
      <c r="E207" s="76"/>
      <c r="F2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7" s="13" t="s">
        <v>337</v>
      </c>
      <c r="H207" s="13" t="s">
        <v>2986</v>
      </c>
      <c r="I207" s="12" t="str">
        <f>Table1[[#This Row],[type]]</f>
        <v>badge</v>
      </c>
      <c r="J207" s="62" t="str">
        <f>Table1[[#This Row],[Column42]]&amp;IF(Table1[[#This Row],[Column13]]="","",Table1[[#This Row],[Column13]])&amp;IF(Table1[[#This Row],[mod]]="","",Table1[[#This Row],[mod]])</f>
        <v>badge--outline</v>
      </c>
      <c r="K2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7" t="s">
        <v>1194</v>
      </c>
      <c r="Q20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--outline</v>
      </c>
      <c r="W207" t="s">
        <v>3458</v>
      </c>
      <c r="AB207" s="29"/>
      <c r="AC207" s="25"/>
      <c r="AD207" s="41" t="s">
        <v>6223</v>
      </c>
      <c r="AE207" s="41"/>
      <c r="AF207" s="11" t="s">
        <v>270</v>
      </c>
      <c r="AH207" s="7" t="str">
        <f>Table1[[#This Row],[html_tag]]&amp;Table1[[#This Row],[html_type]]&amp;Table1[[#This Row],[html_modifier]]</f>
        <v/>
      </c>
      <c r="AL207" s="23" t="str">
        <f>IFERROR(_xlfn.XLOOKUP(Table1[[#This Row],[word]],Table57[English style name],Table57[Style type]),"")</f>
        <v/>
      </c>
      <c r="AM207" s="21"/>
      <c r="AN207" s="11"/>
    </row>
    <row r="208" spans="1:47">
      <c r="E208" s="76"/>
      <c r="F2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8" s="13" t="s">
        <v>337</v>
      </c>
      <c r="H208" s="13" t="s">
        <v>2986</v>
      </c>
      <c r="I208" s="12" t="str">
        <f>Table1[[#This Row],[type]]</f>
        <v>badge</v>
      </c>
      <c r="J208" s="62" t="str">
        <f>Table1[[#This Row],[Column42]]&amp;IF(Table1[[#This Row],[Column13]]="","",Table1[[#This Row],[Column13]])&amp;IF(Table1[[#This Row],[mod]]="","",Table1[[#This Row],[mod]])</f>
        <v>badge--pill</v>
      </c>
      <c r="K2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8" t="s">
        <v>1194</v>
      </c>
      <c r="Q2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--pill</v>
      </c>
      <c r="W208" t="s">
        <v>3453</v>
      </c>
      <c r="AB208" s="29"/>
      <c r="AC208" s="25" t="s">
        <v>3513</v>
      </c>
      <c r="AD208" s="41"/>
      <c r="AE208" s="41"/>
      <c r="AF208" s="11" t="s">
        <v>270</v>
      </c>
      <c r="AH208" s="1" t="str">
        <f>Table1[[#This Row],[html_tag]]&amp;Table1[[#This Row],[html_type]]&amp;Table1[[#This Row],[html_modifier]]</f>
        <v/>
      </c>
      <c r="AL208" s="22" t="str">
        <f>IFERROR(_xlfn.XLOOKUP(Table1[[#This Row],[word]],Table57[English style name],Table57[Style type]),"")</f>
        <v/>
      </c>
      <c r="AM208" s="20"/>
      <c r="AN208" s="11"/>
      <c r="AQ208" s="6" t="s">
        <v>1203</v>
      </c>
      <c r="AR208" t="s">
        <v>1195</v>
      </c>
    </row>
    <row r="209" spans="1:47">
      <c r="E209" s="76"/>
      <c r="F2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9" s="13" t="s">
        <v>337</v>
      </c>
      <c r="H209" s="13" t="s">
        <v>2986</v>
      </c>
      <c r="I209" s="12" t="str">
        <f>Table1[[#This Row],[type]]</f>
        <v>badge</v>
      </c>
      <c r="J209" s="62" t="str">
        <f>Table1[[#This Row],[Column42]]&amp;IF(Table1[[#This Row],[Column13]]="","",Table1[[#This Row],[Column13]])&amp;IF(Table1[[#This Row],[mod]]="","",Table1[[#This Row],[mod]])</f>
        <v>badge--primary</v>
      </c>
      <c r="K2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9" t="s">
        <v>1194</v>
      </c>
      <c r="Q2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09" t="s">
        <v>3164</v>
      </c>
      <c r="AB209" s="29"/>
      <c r="AC209" s="25" t="s">
        <v>3514</v>
      </c>
      <c r="AD209" s="41" t="s">
        <v>3514</v>
      </c>
      <c r="AE209" s="41"/>
      <c r="AF209" s="11" t="s">
        <v>270</v>
      </c>
      <c r="AH209" s="1" t="str">
        <f>Table1[[#This Row],[html_tag]]&amp;Table1[[#This Row],[html_type]]&amp;Table1[[#This Row],[html_modifier]]</f>
        <v/>
      </c>
      <c r="AL209" s="22" t="str">
        <f>IFERROR(_xlfn.XLOOKUP(Table1[[#This Row],[word]],Table57[English style name],Table57[Style type]),"")</f>
        <v/>
      </c>
      <c r="AM209" s="20"/>
      <c r="AN209" s="11"/>
      <c r="AQ209" s="6" t="s">
        <v>1196</v>
      </c>
      <c r="AR209" t="s">
        <v>1195</v>
      </c>
    </row>
    <row r="210" spans="1:47">
      <c r="E210" s="76"/>
      <c r="F2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0" s="13" t="s">
        <v>337</v>
      </c>
      <c r="H210" s="13" t="s">
        <v>2986</v>
      </c>
      <c r="I210" s="12" t="str">
        <f>Table1[[#This Row],[type]]</f>
        <v>badge</v>
      </c>
      <c r="J210" s="62" t="str">
        <f>Table1[[#This Row],[Column42]]&amp;IF(Table1[[#This Row],[Column13]]="","",Table1[[#This Row],[Column13]])&amp;IF(Table1[[#This Row],[mod]]="","",Table1[[#This Row],[mod]])</f>
        <v>badge--round</v>
      </c>
      <c r="K2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0" t="s">
        <v>1194</v>
      </c>
      <c r="Q2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210" t="s">
        <v>3204</v>
      </c>
      <c r="AB210" s="29"/>
      <c r="AC210" s="25"/>
      <c r="AD210" s="41"/>
      <c r="AE210" s="41"/>
      <c r="AF210" s="11" t="s">
        <v>270</v>
      </c>
      <c r="AH210" s="1" t="str">
        <f>Table1[[#This Row],[html_tag]]&amp;Table1[[#This Row],[html_type]]&amp;Table1[[#This Row],[html_modifier]]</f>
        <v/>
      </c>
      <c r="AL210" s="22" t="str">
        <f>IFERROR(_xlfn.XLOOKUP(Table1[[#This Row],[word]],Table57[English style name],Table57[Style type]),"")</f>
        <v/>
      </c>
      <c r="AM210" s="20"/>
      <c r="AN210" s="11"/>
      <c r="AQ210" s="6" t="s">
        <v>1207</v>
      </c>
      <c r="AR210" t="s">
        <v>1195</v>
      </c>
    </row>
    <row r="211" spans="1:47">
      <c r="E211" s="76"/>
      <c r="F2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1" s="13" t="s">
        <v>337</v>
      </c>
      <c r="H211" s="13" t="s">
        <v>2986</v>
      </c>
      <c r="I211" s="12" t="str">
        <f>Table1[[#This Row],[type]]</f>
        <v>badge</v>
      </c>
      <c r="J211" s="62" t="str">
        <f>Table1[[#This Row],[Column42]]&amp;IF(Table1[[#This Row],[Column13]]="","",Table1[[#This Row],[Column13]])&amp;IF(Table1[[#This Row],[mod]]="","",Table1[[#This Row],[mod]])</f>
        <v>badge--secondary</v>
      </c>
      <c r="K2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1" t="s">
        <v>1194</v>
      </c>
      <c r="Q2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11" t="s">
        <v>3502</v>
      </c>
      <c r="AB211" s="29"/>
      <c r="AC211" s="25" t="s">
        <v>3515</v>
      </c>
      <c r="AD211" s="41" t="s">
        <v>3515</v>
      </c>
      <c r="AE211" s="41"/>
      <c r="AF211" s="11" t="s">
        <v>270</v>
      </c>
      <c r="AH211" s="1" t="str">
        <f>Table1[[#This Row],[html_tag]]&amp;Table1[[#This Row],[html_type]]&amp;Table1[[#This Row],[html_modifier]]</f>
        <v/>
      </c>
      <c r="AL211" s="22" t="str">
        <f>IFERROR(_xlfn.XLOOKUP(Table1[[#This Row],[word]],Table57[English style name],Table57[Style type]),"")</f>
        <v/>
      </c>
      <c r="AM211" s="20"/>
      <c r="AN211" s="11"/>
      <c r="AQ211" s="6" t="s">
        <v>1197</v>
      </c>
      <c r="AR211" t="s">
        <v>1195</v>
      </c>
    </row>
    <row r="212" spans="1:47">
      <c r="E212" s="76"/>
      <c r="F2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2" s="13" t="s">
        <v>337</v>
      </c>
      <c r="H212" s="13" t="s">
        <v>2986</v>
      </c>
      <c r="I212" s="12" t="str">
        <f>Table1[[#This Row],[type]]</f>
        <v>badge</v>
      </c>
      <c r="J212" s="62" t="str">
        <f>Table1[[#This Row],[Column42]]&amp;IF(Table1[[#This Row],[Column13]]="","",Table1[[#This Row],[Column13]])&amp;IF(Table1[[#This Row],[mod]]="","",Table1[[#This Row],[mod]])</f>
        <v>badge--size</v>
      </c>
      <c r="K2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2" t="s">
        <v>1194</v>
      </c>
      <c r="Q2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212" t="s">
        <v>3008</v>
      </c>
      <c r="AB212" s="29"/>
      <c r="AC212" s="25"/>
      <c r="AD212" s="41"/>
      <c r="AE212" s="41"/>
      <c r="AF212" s="11" t="s">
        <v>270</v>
      </c>
      <c r="AH212" s="1" t="str">
        <f>Table1[[#This Row],[html_tag]]&amp;Table1[[#This Row],[html_type]]&amp;Table1[[#This Row],[html_modifier]]</f>
        <v/>
      </c>
      <c r="AL212" s="22" t="str">
        <f>IFERROR(_xlfn.XLOOKUP(Table1[[#This Row],[word]],Table57[English style name],Table57[Style type]),"")</f>
        <v/>
      </c>
      <c r="AM212" s="20"/>
      <c r="AN212" s="11"/>
      <c r="AQ212" s="6" t="s">
        <v>1208</v>
      </c>
      <c r="AR212" t="s">
        <v>1195</v>
      </c>
    </row>
    <row r="213" spans="1:47">
      <c r="E213" s="76"/>
      <c r="F2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3" s="13" t="s">
        <v>337</v>
      </c>
      <c r="H213" s="13" t="s">
        <v>2986</v>
      </c>
      <c r="I213" s="12" t="str">
        <f>Table1[[#This Row],[type]]</f>
        <v>badge</v>
      </c>
      <c r="J213" s="62" t="str">
        <f>Table1[[#This Row],[Column42]]&amp;IF(Table1[[#This Row],[Column13]]="","",Table1[[#This Row],[Column13]])&amp;IF(Table1[[#This Row],[mod]]="","",Table1[[#This Row],[mod]])</f>
        <v>badge--sm</v>
      </c>
      <c r="K2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3" t="s">
        <v>1194</v>
      </c>
      <c r="Q2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13" t="s">
        <v>3116</v>
      </c>
      <c r="AB213" s="29"/>
      <c r="AC213" s="25"/>
      <c r="AD213" s="41" t="s">
        <v>6231</v>
      </c>
      <c r="AE213" s="41"/>
      <c r="AF213" s="11" t="s">
        <v>270</v>
      </c>
      <c r="AH213" s="1" t="str">
        <f>Table1[[#This Row],[html_tag]]&amp;Table1[[#This Row],[html_type]]&amp;Table1[[#This Row],[html_modifier]]</f>
        <v/>
      </c>
      <c r="AL213" s="22" t="str">
        <f>IFERROR(_xlfn.XLOOKUP(Table1[[#This Row],[word]],Table57[English style name],Table57[Style type]),"")</f>
        <v/>
      </c>
      <c r="AM213" s="20"/>
      <c r="AN213" s="11"/>
      <c r="AQ213" s="14" t="s">
        <v>1211</v>
      </c>
      <c r="AR213" t="s">
        <v>1195</v>
      </c>
    </row>
    <row r="214" spans="1:47">
      <c r="E214" s="76"/>
      <c r="F2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4" s="13" t="s">
        <v>337</v>
      </c>
      <c r="H214" s="13" t="s">
        <v>2986</v>
      </c>
      <c r="I214" s="12" t="str">
        <f>Table1[[#This Row],[type]]</f>
        <v>badge</v>
      </c>
      <c r="J214" s="62" t="str">
        <f>Table1[[#This Row],[Column42]]&amp;IF(Table1[[#This Row],[Column13]]="","",Table1[[#This Row],[Column13]])&amp;IF(Table1[[#This Row],[mod]]="","",Table1[[#This Row],[mod]])</f>
        <v>badge--soft</v>
      </c>
      <c r="K2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4" t="s">
        <v>1194</v>
      </c>
      <c r="Q2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--soft</v>
      </c>
      <c r="W214" t="s">
        <v>7416</v>
      </c>
      <c r="AB214" s="29"/>
      <c r="AC214" s="25"/>
      <c r="AD214" s="41" t="s">
        <v>6225</v>
      </c>
      <c r="AE214" s="41"/>
      <c r="AF214" s="11" t="s">
        <v>270</v>
      </c>
      <c r="AH214" s="7" t="str">
        <f>Table1[[#This Row],[html_tag]]&amp;Table1[[#This Row],[html_type]]&amp;Table1[[#This Row],[html_modifier]]</f>
        <v/>
      </c>
      <c r="AL214" s="23" t="str">
        <f>IFERROR(_xlfn.XLOOKUP(Table1[[#This Row],[word]],Table57[English style name],Table57[Style type]),"")</f>
        <v/>
      </c>
      <c r="AM214" s="21"/>
      <c r="AN214" s="11"/>
    </row>
    <row r="215" spans="1:47">
      <c r="E215" s="76"/>
      <c r="F2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5" s="13" t="s">
        <v>337</v>
      </c>
      <c r="H215" s="13" t="s">
        <v>2986</v>
      </c>
      <c r="I215" s="12" t="str">
        <f>Table1[[#This Row],[type]]</f>
        <v>badge</v>
      </c>
      <c r="J215" s="62" t="str">
        <f>Table1[[#This Row],[Column42]]&amp;IF(Table1[[#This Row],[Column13]]="","",Table1[[#This Row],[Column13]])&amp;IF(Table1[[#This Row],[mod]]="","",Table1[[#This Row],[mod]])</f>
        <v>badge--squared</v>
      </c>
      <c r="K2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5" t="s">
        <v>1194</v>
      </c>
      <c r="Q2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--squared</v>
      </c>
      <c r="W215" t="s">
        <v>3203</v>
      </c>
      <c r="AB215" s="29"/>
      <c r="AC215" s="25"/>
      <c r="AD215" s="41"/>
      <c r="AE215" s="41"/>
      <c r="AF215" s="11" t="s">
        <v>270</v>
      </c>
      <c r="AH215" s="1" t="str">
        <f>Table1[[#This Row],[html_tag]]&amp;Table1[[#This Row],[html_type]]&amp;Table1[[#This Row],[html_modifier]]</f>
        <v/>
      </c>
      <c r="AL215" s="22" t="str">
        <f>IFERROR(_xlfn.XLOOKUP(Table1[[#This Row],[word]],Table57[English style name],Table57[Style type]),"")</f>
        <v/>
      </c>
      <c r="AM215" s="20"/>
      <c r="AN215" s="11"/>
      <c r="AQ215" s="14" t="s">
        <v>1214</v>
      </c>
      <c r="AR215" t="s">
        <v>1195</v>
      </c>
    </row>
    <row r="216" spans="1:47">
      <c r="A216" s="68"/>
      <c r="B216" s="68"/>
      <c r="C216" s="68"/>
      <c r="D216" s="69"/>
      <c r="E216" s="84"/>
      <c r="F216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badge.scss</v>
      </c>
      <c r="G216" s="13"/>
      <c r="H216" s="13"/>
      <c r="I216" s="85" t="str">
        <f>Table1[[#This Row],[type]]</f>
        <v>badge</v>
      </c>
      <c r="J216" s="72" t="str">
        <f>Table1[[#This Row],[Column42]]&amp;IF(Table1[[#This Row],[Column13]]="","",Table1[[#This Row],[Column13]])&amp;IF(Table1[[#This Row],[mod]]="","",Table1[[#This Row],[mod]])</f>
        <v>badge--status</v>
      </c>
      <c r="K216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6" t="s">
        <v>1194</v>
      </c>
      <c r="Q216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--status</v>
      </c>
      <c r="R216" t="s">
        <v>346</v>
      </c>
      <c r="U216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" s="29"/>
      <c r="AC216" s="25"/>
      <c r="AD216" s="41"/>
      <c r="AE216" s="41"/>
      <c r="AF216" s="11" t="s">
        <v>237</v>
      </c>
      <c r="AH216" s="75" t="str">
        <f>Table1[[#This Row],[html_tag]]&amp;Table1[[#This Row],[html_type]]&amp;Table1[[#This Row],[html_modifier]]</f>
        <v/>
      </c>
      <c r="AL216" s="23" t="str">
        <f>IFERROR(_xlfn.XLOOKUP(Table1[[#This Row],[word]],Table57[English style name],Table57[Style type]),"")</f>
        <v/>
      </c>
      <c r="AM216" s="21"/>
      <c r="AN216" s="70"/>
      <c r="AO216" s="67"/>
      <c r="AP216" s="67"/>
      <c r="AQ216" s="67"/>
      <c r="AR216" s="67"/>
      <c r="AS216" s="67"/>
      <c r="AT216" s="67"/>
      <c r="AU216" s="67"/>
    </row>
    <row r="217" spans="1:47">
      <c r="E217" s="76"/>
      <c r="F2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7" s="13" t="s">
        <v>337</v>
      </c>
      <c r="H217" s="13" t="s">
        <v>2986</v>
      </c>
      <c r="I217" s="12" t="str">
        <f>Table1[[#This Row],[type]]</f>
        <v>badge</v>
      </c>
      <c r="J217" s="62" t="str">
        <f>Table1[[#This Row],[Column42]]&amp;IF(Table1[[#This Row],[Column13]]="","",Table1[[#This Row],[Column13]])&amp;IF(Table1[[#This Row],[mod]]="","",Table1[[#This Row],[mod]])</f>
        <v>badge--success</v>
      </c>
      <c r="K2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7" t="s">
        <v>1194</v>
      </c>
      <c r="Q2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17" t="s">
        <v>3120</v>
      </c>
      <c r="AB217" s="29"/>
      <c r="AC217" s="25" t="s">
        <v>3516</v>
      </c>
      <c r="AD217" s="41" t="s">
        <v>3516</v>
      </c>
      <c r="AE217" s="41"/>
      <c r="AF217" s="11" t="s">
        <v>270</v>
      </c>
      <c r="AH217" s="1" t="str">
        <f>Table1[[#This Row],[html_tag]]&amp;Table1[[#This Row],[html_type]]&amp;Table1[[#This Row],[html_modifier]]</f>
        <v/>
      </c>
      <c r="AL217" s="22" t="str">
        <f>IFERROR(_xlfn.XLOOKUP(Table1[[#This Row],[word]],Table57[English style name],Table57[Style type]),"")</f>
        <v/>
      </c>
      <c r="AM217" s="20"/>
      <c r="AN217" s="11"/>
      <c r="AQ217" s="14" t="s">
        <v>1215</v>
      </c>
      <c r="AR217" t="s">
        <v>1195</v>
      </c>
    </row>
    <row r="218" spans="1:47">
      <c r="E218" s="76"/>
      <c r="F2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8" s="13" t="s">
        <v>337</v>
      </c>
      <c r="H218" s="13" t="s">
        <v>2986</v>
      </c>
      <c r="I218" s="12" t="str">
        <f>Table1[[#This Row],[type]]</f>
        <v>badge</v>
      </c>
      <c r="J218" s="62" t="str">
        <f>Table1[[#This Row],[Column42]]&amp;IF(Table1[[#This Row],[Column13]]="","",Table1[[#This Row],[Column13]])&amp;IF(Table1[[#This Row],[mod]]="","",Table1[[#This Row],[mod]])</f>
        <v>badge--warning</v>
      </c>
      <c r="K2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8" t="s">
        <v>1194</v>
      </c>
      <c r="Q2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18" t="s">
        <v>3121</v>
      </c>
      <c r="AB218" s="29"/>
      <c r="AC218" s="25" t="s">
        <v>3517</v>
      </c>
      <c r="AD218" s="41" t="s">
        <v>3517</v>
      </c>
      <c r="AE218" s="41"/>
      <c r="AF218" s="11" t="s">
        <v>270</v>
      </c>
      <c r="AH218" s="1" t="str">
        <f>Table1[[#This Row],[html_tag]]&amp;Table1[[#This Row],[html_type]]&amp;Table1[[#This Row],[html_modifier]]</f>
        <v/>
      </c>
      <c r="AL218" s="22" t="str">
        <f>IFERROR(_xlfn.XLOOKUP(Table1[[#This Row],[word]],Table57[English style name],Table57[Style type]),"")</f>
        <v/>
      </c>
      <c r="AM218" s="20"/>
      <c r="AN218" s="11"/>
      <c r="AQ218" s="14" t="s">
        <v>1216</v>
      </c>
      <c r="AR218" t="s">
        <v>1195</v>
      </c>
    </row>
    <row r="219" spans="1:47">
      <c r="E219" s="76"/>
      <c r="F2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9" s="13" t="s">
        <v>337</v>
      </c>
      <c r="H219" s="13" t="s">
        <v>2986</v>
      </c>
      <c r="I219" s="12" t="str">
        <f>Table1[[#This Row],[type]]</f>
        <v>badge</v>
      </c>
      <c r="J219" s="62" t="str">
        <f>Table1[[#This Row],[Column42]]&amp;IF(Table1[[#This Row],[Column13]]="","",Table1[[#This Row],[Column13]])&amp;IF(Table1[[#This Row],[mod]]="","",Table1[[#This Row],[mod]])</f>
        <v>badge--xl</v>
      </c>
      <c r="K2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9" t="s">
        <v>1194</v>
      </c>
      <c r="Q2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19" t="s">
        <v>3126</v>
      </c>
      <c r="AB219" s="29"/>
      <c r="AC219" s="25"/>
      <c r="AD219" s="41" t="s">
        <v>6234</v>
      </c>
      <c r="AE219" s="41"/>
      <c r="AF219" s="11" t="s">
        <v>270</v>
      </c>
      <c r="AH219" s="1" t="str">
        <f>Table1[[#This Row],[html_tag]]&amp;Table1[[#This Row],[html_type]]&amp;Table1[[#This Row],[html_modifier]]</f>
        <v/>
      </c>
      <c r="AL219" s="22" t="str">
        <f>IFERROR(_xlfn.XLOOKUP(Table1[[#This Row],[word]],Table57[English style name],Table57[Style type]),"")</f>
        <v/>
      </c>
      <c r="AM219" s="20"/>
      <c r="AN219" s="11"/>
      <c r="AQ219" s="14" t="s">
        <v>1212</v>
      </c>
      <c r="AR219" t="s">
        <v>1195</v>
      </c>
    </row>
    <row r="220" spans="1:47">
      <c r="E220" s="76"/>
      <c r="F2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20" s="13" t="s">
        <v>337</v>
      </c>
      <c r="H220" s="13" t="s">
        <v>2986</v>
      </c>
      <c r="I220" s="12" t="str">
        <f>Table1[[#This Row],[type]]</f>
        <v>badge</v>
      </c>
      <c r="J220" s="62" t="str">
        <f>Table1[[#This Row],[Column42]]&amp;IF(Table1[[#This Row],[Column13]]="","",Table1[[#This Row],[Column13]])&amp;IF(Table1[[#This Row],[mod]]="","",Table1[[#This Row],[mod]])</f>
        <v>badge--xs</v>
      </c>
      <c r="K2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20" t="s">
        <v>1194</v>
      </c>
      <c r="Q2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20" t="s">
        <v>3127</v>
      </c>
      <c r="AB220" s="29"/>
      <c r="AC220" s="25"/>
      <c r="AD220" s="41" t="s">
        <v>6230</v>
      </c>
      <c r="AE220" s="41"/>
      <c r="AF220" s="11" t="s">
        <v>270</v>
      </c>
      <c r="AH220" s="1" t="str">
        <f>Table1[[#This Row],[html_tag]]&amp;Table1[[#This Row],[html_type]]&amp;Table1[[#This Row],[html_modifier]]</f>
        <v/>
      </c>
      <c r="AL220" s="22" t="str">
        <f>IFERROR(_xlfn.XLOOKUP(Table1[[#This Row],[word]],Table57[English style name],Table57[Style type]),"")</f>
        <v/>
      </c>
      <c r="AM220" s="20"/>
      <c r="AN220" s="11"/>
      <c r="AQ220" s="14" t="s">
        <v>1213</v>
      </c>
      <c r="AR220" t="s">
        <v>1195</v>
      </c>
    </row>
    <row r="221" spans="1:47">
      <c r="E221" s="76"/>
      <c r="F2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banner.scss</v>
      </c>
      <c r="G221" s="13"/>
      <c r="H221" s="13"/>
      <c r="I221" s="12" t="str">
        <f>Table1[[#This Row],[type]]</f>
        <v>banner</v>
      </c>
      <c r="J221" s="62" t="str">
        <f>Table1[[#This Row],[Column42]]&amp;IF(Table1[[#This Row],[Column13]]="","",Table1[[#This Row],[Column13]])&amp;IF(Table1[[#This Row],[mod]]="","",Table1[[#This Row],[mod]])</f>
        <v>banner</v>
      </c>
      <c r="K2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banner</v>
      </c>
      <c r="L221" t="s">
        <v>1217</v>
      </c>
      <c r="P221" s="6" t="s">
        <v>1217</v>
      </c>
      <c r="Q2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" s="29"/>
      <c r="AC221" s="25"/>
      <c r="AD221" s="41"/>
      <c r="AE221" s="41"/>
      <c r="AF221" s="11"/>
      <c r="AH221" s="1" t="str">
        <f>Table1[[#This Row],[html_tag]]&amp;Table1[[#This Row],[html_type]]&amp;Table1[[#This Row],[html_modifier]]</f>
        <v/>
      </c>
      <c r="AL221" s="22" t="str">
        <f>IFERROR(_xlfn.XLOOKUP(Table1[[#This Row],[word]],Table57[English style name],Table57[Style type]),"")</f>
        <v/>
      </c>
      <c r="AM221" s="20"/>
      <c r="AN221" s="11"/>
      <c r="AQ221" s="6" t="s">
        <v>1217</v>
      </c>
      <c r="AR221" t="s">
        <v>1218</v>
      </c>
    </row>
    <row r="222" spans="1:47">
      <c r="E222" s="76"/>
      <c r="F2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body.scss</v>
      </c>
      <c r="G222" s="13"/>
      <c r="H222" s="13"/>
      <c r="I222" s="12" t="str">
        <f>Table1[[#This Row],[type]]</f>
        <v>body</v>
      </c>
      <c r="J222" s="62" t="str">
        <f>Table1[[#This Row],[Column42]]&amp;IF(Table1[[#This Row],[Column13]]="","",Table1[[#This Row],[Column13]])&amp;IF(Table1[[#This Row],[mod]]="","",Table1[[#This Row],[mod]])</f>
        <v>body</v>
      </c>
      <c r="K2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222" t="s">
        <v>337</v>
      </c>
      <c r="Q2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" s="29"/>
      <c r="AC222" s="25"/>
      <c r="AD222" s="41"/>
      <c r="AE222" s="41"/>
      <c r="AF222" s="11" t="s">
        <v>133</v>
      </c>
      <c r="AH222" s="1" t="str">
        <f>Table1[[#This Row],[html_tag]]&amp;Table1[[#This Row],[html_type]]&amp;Table1[[#This Row],[html_modifier]]</f>
        <v>&lt;body&gt;</v>
      </c>
      <c r="AI222" t="s">
        <v>133</v>
      </c>
      <c r="AL222" s="22" t="str">
        <f>IFERROR(_xlfn.XLOOKUP(Table1[[#This Row],[word]],Table57[English style name],Table57[Style type]),"")</f>
        <v/>
      </c>
      <c r="AM222" s="20"/>
      <c r="AN222" s="11"/>
    </row>
    <row r="223" spans="1:47">
      <c r="E223" s="76"/>
      <c r="F2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3" s="13" t="s">
        <v>2992</v>
      </c>
      <c r="H223" s="13" t="s">
        <v>2993</v>
      </c>
      <c r="I223" s="12" t="str">
        <f>Table1[[#This Row],[type]]</f>
        <v>border</v>
      </c>
      <c r="J223" s="62" t="str">
        <f>Table1[[#This Row],[Column42]]&amp;IF(Table1[[#This Row],[Column13]]="","",Table1[[#This Row],[Column13]])&amp;IF(Table1[[#This Row],[mod]]="","",Table1[[#This Row],[mod]])</f>
        <v>border</v>
      </c>
      <c r="K2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3" t="s">
        <v>3125</v>
      </c>
      <c r="P223" s="6" t="s">
        <v>1264</v>
      </c>
      <c r="Q2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" s="29"/>
      <c r="AC223" s="25"/>
      <c r="AD223" s="41"/>
      <c r="AE223" s="41"/>
      <c r="AF223" s="11"/>
      <c r="AH223" s="1" t="str">
        <f>Table1[[#This Row],[html_tag]]&amp;Table1[[#This Row],[html_type]]&amp;Table1[[#This Row],[html_modifier]]</f>
        <v/>
      </c>
      <c r="AL223" s="22" t="str">
        <f>IFERROR(_xlfn.XLOOKUP(Table1[[#This Row],[word]],Table57[English style name],Table57[Style type]),"")</f>
        <v/>
      </c>
      <c r="AM223" s="20"/>
      <c r="AN223" s="11"/>
      <c r="AQ223" s="6" t="s">
        <v>1264</v>
      </c>
      <c r="AR223" t="s">
        <v>1258</v>
      </c>
    </row>
    <row r="224" spans="1:47">
      <c r="E224" s="76"/>
      <c r="F2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4" s="13" t="s">
        <v>2992</v>
      </c>
      <c r="H224" s="13" t="s">
        <v>2993</v>
      </c>
      <c r="I224" s="12" t="str">
        <f>Table1[[#This Row],[type]]</f>
        <v>border</v>
      </c>
      <c r="J224" s="62" t="str">
        <f>Table1[[#This Row],[Column42]]&amp;IF(Table1[[#This Row],[Column13]]="","",Table1[[#This Row],[Column13]])&amp;IF(Table1[[#This Row],[mod]]="","",Table1[[#This Row],[mod]])</f>
        <v>border</v>
      </c>
      <c r="K2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4" t="s">
        <v>3125</v>
      </c>
      <c r="P224" s="6" t="s">
        <v>1248</v>
      </c>
      <c r="Q2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" s="29"/>
      <c r="AC224" s="25"/>
      <c r="AD224" s="41"/>
      <c r="AE224" s="41"/>
      <c r="AF224" s="11"/>
      <c r="AH224" s="1" t="str">
        <f>Table1[[#This Row],[html_tag]]&amp;Table1[[#This Row],[html_type]]&amp;Table1[[#This Row],[html_modifier]]</f>
        <v/>
      </c>
      <c r="AL224" s="22" t="str">
        <f>IFERROR(_xlfn.XLOOKUP(Table1[[#This Row],[word]],Table57[English style name],Table57[Style type]),"")</f>
        <v/>
      </c>
      <c r="AM224" s="20"/>
      <c r="AN224" s="11"/>
      <c r="AQ224" s="6" t="s">
        <v>1248</v>
      </c>
      <c r="AR224" t="s">
        <v>1249</v>
      </c>
    </row>
    <row r="225" spans="5:44">
      <c r="E225" s="76"/>
      <c r="F2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5" s="13" t="s">
        <v>2992</v>
      </c>
      <c r="H225" s="13" t="s">
        <v>2993</v>
      </c>
      <c r="I225" s="12" t="str">
        <f>Table1[[#This Row],[type]]</f>
        <v>border</v>
      </c>
      <c r="J225" s="62" t="str">
        <f>Table1[[#This Row],[Column42]]&amp;IF(Table1[[#This Row],[Column13]]="","",Table1[[#This Row],[Column13]])&amp;IF(Table1[[#This Row],[mod]]="","",Table1[[#This Row],[mod]])</f>
        <v>border</v>
      </c>
      <c r="K2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5" t="s">
        <v>3125</v>
      </c>
      <c r="P225" s="6" t="s">
        <v>1241</v>
      </c>
      <c r="Q2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" s="29"/>
      <c r="AC225" s="25"/>
      <c r="AD225" s="41"/>
      <c r="AE225" s="41"/>
      <c r="AF225" s="11"/>
      <c r="AH225" s="1" t="str">
        <f>Table1[[#This Row],[html_tag]]&amp;Table1[[#This Row],[html_type]]&amp;Table1[[#This Row],[html_modifier]]</f>
        <v/>
      </c>
      <c r="AL225" s="22" t="str">
        <f>IFERROR(_xlfn.XLOOKUP(Table1[[#This Row],[word]],Table57[English style name],Table57[Style type]),"")</f>
        <v/>
      </c>
      <c r="AM225" s="20"/>
      <c r="AN225" s="11"/>
      <c r="AQ225" s="6" t="s">
        <v>1241</v>
      </c>
      <c r="AR225" t="s">
        <v>1242</v>
      </c>
    </row>
    <row r="226" spans="5:44">
      <c r="E226" s="76"/>
      <c r="F2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6" s="13" t="s">
        <v>2992</v>
      </c>
      <c r="H226" s="13" t="s">
        <v>2993</v>
      </c>
      <c r="I226" s="12" t="str">
        <f>Table1[[#This Row],[type]]</f>
        <v>border</v>
      </c>
      <c r="J226" s="62" t="str">
        <f>Table1[[#This Row],[Column42]]&amp;IF(Table1[[#This Row],[Column13]]="","",Table1[[#This Row],[Column13]])&amp;IF(Table1[[#This Row],[mod]]="","",Table1[[#This Row],[mod]])</f>
        <v>border</v>
      </c>
      <c r="K2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6" t="s">
        <v>3125</v>
      </c>
      <c r="P226" s="6" t="s">
        <v>1246</v>
      </c>
      <c r="Q2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" s="29"/>
      <c r="AC226" s="25"/>
      <c r="AD226" s="41"/>
      <c r="AE226" s="41"/>
      <c r="AF226" s="11"/>
      <c r="AH226" s="1" t="str">
        <f>Table1[[#This Row],[html_tag]]&amp;Table1[[#This Row],[html_type]]&amp;Table1[[#This Row],[html_modifier]]</f>
        <v/>
      </c>
      <c r="AL226" s="22" t="str">
        <f>IFERROR(_xlfn.XLOOKUP(Table1[[#This Row],[word]],Table57[English style name],Table57[Style type]),"")</f>
        <v/>
      </c>
      <c r="AM226" s="20"/>
      <c r="AN226" s="11"/>
      <c r="AQ226" s="6" t="s">
        <v>1246</v>
      </c>
      <c r="AR226" t="s">
        <v>1242</v>
      </c>
    </row>
    <row r="227" spans="5:44">
      <c r="E227" s="76"/>
      <c r="F2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7" s="13" t="s">
        <v>2992</v>
      </c>
      <c r="H227" s="13" t="s">
        <v>2993</v>
      </c>
      <c r="I227" s="12" t="str">
        <f>Table1[[#This Row],[type]]</f>
        <v>border</v>
      </c>
      <c r="J227" s="62" t="str">
        <f>Table1[[#This Row],[Column42]]&amp;IF(Table1[[#This Row],[Column13]]="","",Table1[[#This Row],[Column13]])&amp;IF(Table1[[#This Row],[mod]]="","",Table1[[#This Row],[mod]])</f>
        <v>border</v>
      </c>
      <c r="K2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7" t="s">
        <v>3125</v>
      </c>
      <c r="P227" s="6" t="s">
        <v>1281</v>
      </c>
      <c r="Q2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" s="29"/>
      <c r="AC227" s="25"/>
      <c r="AD227" s="41"/>
      <c r="AE227" s="41"/>
      <c r="AF227" s="11"/>
      <c r="AH227" s="1" t="str">
        <f>Table1[[#This Row],[html_tag]]&amp;Table1[[#This Row],[html_type]]&amp;Table1[[#This Row],[html_modifier]]</f>
        <v/>
      </c>
      <c r="AL227" s="22" t="str">
        <f>IFERROR(_xlfn.XLOOKUP(Table1[[#This Row],[word]],Table57[English style name],Table57[Style type]),"")</f>
        <v/>
      </c>
      <c r="AM227" s="20"/>
      <c r="AN227" s="11"/>
      <c r="AQ227" s="6" t="s">
        <v>1281</v>
      </c>
      <c r="AR227" t="s">
        <v>1282</v>
      </c>
    </row>
    <row r="228" spans="5:44">
      <c r="E228" s="76"/>
      <c r="F2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8" s="13" t="s">
        <v>2992</v>
      </c>
      <c r="H228" s="13" t="s">
        <v>2993</v>
      </c>
      <c r="I228" s="12" t="str">
        <f>Table1[[#This Row],[type]]</f>
        <v>border</v>
      </c>
      <c r="J228" s="62" t="str">
        <f>Table1[[#This Row],[Column42]]&amp;IF(Table1[[#This Row],[Column13]]="","",Table1[[#This Row],[Column13]])&amp;IF(Table1[[#This Row],[mod]]="","",Table1[[#This Row],[mod]])</f>
        <v>border</v>
      </c>
      <c r="K2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8" t="s">
        <v>3125</v>
      </c>
      <c r="P228" s="6" t="s">
        <v>1255</v>
      </c>
      <c r="Q2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8" s="29"/>
      <c r="AC228" s="25"/>
      <c r="AD228" s="41"/>
      <c r="AE228" s="41"/>
      <c r="AF228" s="11"/>
      <c r="AH228" s="1" t="str">
        <f>Table1[[#This Row],[html_tag]]&amp;Table1[[#This Row],[html_type]]&amp;Table1[[#This Row],[html_modifier]]</f>
        <v/>
      </c>
      <c r="AL228" s="22" t="str">
        <f>IFERROR(_xlfn.XLOOKUP(Table1[[#This Row],[word]],Table57[English style name],Table57[Style type]),"")</f>
        <v/>
      </c>
      <c r="AM228" s="20"/>
      <c r="AN228" s="11"/>
      <c r="AQ228" s="6" t="s">
        <v>1255</v>
      </c>
      <c r="AR228" t="s">
        <v>1254</v>
      </c>
    </row>
    <row r="229" spans="5:44">
      <c r="E229" s="76"/>
      <c r="F2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9" s="13" t="s">
        <v>2992</v>
      </c>
      <c r="H229" s="13" t="s">
        <v>2993</v>
      </c>
      <c r="I229" s="12" t="str">
        <f>Table1[[#This Row],[type]]</f>
        <v>border</v>
      </c>
      <c r="J229" s="62" t="str">
        <f>Table1[[#This Row],[Column42]]&amp;IF(Table1[[#This Row],[Column13]]="","",Table1[[#This Row],[Column13]])&amp;IF(Table1[[#This Row],[mod]]="","",Table1[[#This Row],[mod]])</f>
        <v>border</v>
      </c>
      <c r="K2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9" t="s">
        <v>3125</v>
      </c>
      <c r="P229" s="6" t="s">
        <v>1256</v>
      </c>
      <c r="Q2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" s="29"/>
      <c r="AC229" s="25"/>
      <c r="AD229" s="41"/>
      <c r="AE229" s="41"/>
      <c r="AF229" s="11"/>
      <c r="AH229" s="1" t="str">
        <f>Table1[[#This Row],[html_tag]]&amp;Table1[[#This Row],[html_type]]&amp;Table1[[#This Row],[html_modifier]]</f>
        <v/>
      </c>
      <c r="AL229" s="22" t="str">
        <f>IFERROR(_xlfn.XLOOKUP(Table1[[#This Row],[word]],Table57[English style name],Table57[Style type]),"")</f>
        <v/>
      </c>
      <c r="AM229" s="20"/>
      <c r="AN229" s="11"/>
      <c r="AQ229" s="6" t="s">
        <v>1256</v>
      </c>
      <c r="AR229" t="s">
        <v>1254</v>
      </c>
    </row>
    <row r="230" spans="5:44">
      <c r="E230" s="76"/>
      <c r="F2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0" s="13" t="s">
        <v>2992</v>
      </c>
      <c r="H230" s="13" t="s">
        <v>2993</v>
      </c>
      <c r="I230" s="12" t="str">
        <f>Table1[[#This Row],[type]]</f>
        <v>border</v>
      </c>
      <c r="J230" s="62" t="str">
        <f>Table1[[#This Row],[Column42]]&amp;IF(Table1[[#This Row],[Column13]]="","",Table1[[#This Row],[Column13]])&amp;IF(Table1[[#This Row],[mod]]="","",Table1[[#This Row],[mod]])</f>
        <v>border</v>
      </c>
      <c r="K2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0" t="s">
        <v>3125</v>
      </c>
      <c r="P230" s="6" t="s">
        <v>1265</v>
      </c>
      <c r="Q2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" s="29"/>
      <c r="AC230" s="25"/>
      <c r="AD230" s="41"/>
      <c r="AE230" s="41"/>
      <c r="AF230" s="11"/>
      <c r="AH230" s="1" t="str">
        <f>Table1[[#This Row],[html_tag]]&amp;Table1[[#This Row],[html_type]]&amp;Table1[[#This Row],[html_modifier]]</f>
        <v/>
      </c>
      <c r="AL230" s="22" t="str">
        <f>IFERROR(_xlfn.XLOOKUP(Table1[[#This Row],[word]],Table57[English style name],Table57[Style type]),"")</f>
        <v/>
      </c>
      <c r="AM230" s="20"/>
      <c r="AN230" s="11"/>
      <c r="AQ230" s="6" t="s">
        <v>1265</v>
      </c>
      <c r="AR230" t="s">
        <v>1258</v>
      </c>
    </row>
    <row r="231" spans="5:44">
      <c r="E231" s="76"/>
      <c r="F2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1" s="13" t="s">
        <v>2992</v>
      </c>
      <c r="H231" s="13" t="s">
        <v>2993</v>
      </c>
      <c r="I231" s="12" t="str">
        <f>Table1[[#This Row],[type]]</f>
        <v>border</v>
      </c>
      <c r="J231" s="62" t="str">
        <f>Table1[[#This Row],[Column42]]&amp;IF(Table1[[#This Row],[Column13]]="","",Table1[[#This Row],[Column13]])&amp;IF(Table1[[#This Row],[mod]]="","",Table1[[#This Row],[mod]])</f>
        <v>border</v>
      </c>
      <c r="K2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1" t="s">
        <v>3125</v>
      </c>
      <c r="P231" s="6" t="s">
        <v>1278</v>
      </c>
      <c r="Q2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" s="29"/>
      <c r="AC231" s="25"/>
      <c r="AD231" s="41"/>
      <c r="AE231" s="41"/>
      <c r="AF231" s="11"/>
      <c r="AH231" s="1" t="str">
        <f>Table1[[#This Row],[html_tag]]&amp;Table1[[#This Row],[html_type]]&amp;Table1[[#This Row],[html_modifier]]</f>
        <v/>
      </c>
      <c r="AL231" s="22" t="str">
        <f>IFERROR(_xlfn.XLOOKUP(Table1[[#This Row],[word]],Table57[English style name],Table57[Style type]),"")</f>
        <v/>
      </c>
      <c r="AM231" s="20"/>
      <c r="AN231" s="11"/>
      <c r="AQ231" s="6" t="s">
        <v>1278</v>
      </c>
      <c r="AR231" t="s">
        <v>1267</v>
      </c>
    </row>
    <row r="232" spans="5:44">
      <c r="E232" s="76"/>
      <c r="F2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2" s="13" t="s">
        <v>2992</v>
      </c>
      <c r="H232" s="13" t="s">
        <v>2993</v>
      </c>
      <c r="I232" s="12" t="str">
        <f>Table1[[#This Row],[type]]</f>
        <v>border</v>
      </c>
      <c r="J232" s="62" t="str">
        <f>Table1[[#This Row],[Column42]]&amp;IF(Table1[[#This Row],[Column13]]="","",Table1[[#This Row],[Column13]])&amp;IF(Table1[[#This Row],[mod]]="","",Table1[[#This Row],[mod]])</f>
        <v>border</v>
      </c>
      <c r="K2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2" t="s">
        <v>3125</v>
      </c>
      <c r="P232" s="6" t="s">
        <v>1279</v>
      </c>
      <c r="Q2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2" s="29"/>
      <c r="AC232" s="25"/>
      <c r="AD232" s="41"/>
      <c r="AE232" s="41"/>
      <c r="AF232" s="11"/>
      <c r="AH232" s="1" t="str">
        <f>Table1[[#This Row],[html_tag]]&amp;Table1[[#This Row],[html_type]]&amp;Table1[[#This Row],[html_modifier]]</f>
        <v/>
      </c>
      <c r="AL232" s="22" t="str">
        <f>IFERROR(_xlfn.XLOOKUP(Table1[[#This Row],[word]],Table57[English style name],Table57[Style type]),"")</f>
        <v/>
      </c>
      <c r="AM232" s="20"/>
      <c r="AN232" s="11"/>
      <c r="AQ232" s="6" t="s">
        <v>1279</v>
      </c>
      <c r="AR232" t="s">
        <v>1267</v>
      </c>
    </row>
    <row r="233" spans="5:44">
      <c r="E233" s="76"/>
      <c r="F2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3" s="13" t="s">
        <v>2992</v>
      </c>
      <c r="H233" s="13" t="s">
        <v>2993</v>
      </c>
      <c r="I233" s="12" t="str">
        <f>Table1[[#This Row],[type]]</f>
        <v>border</v>
      </c>
      <c r="J233" s="62" t="str">
        <f>Table1[[#This Row],[Column42]]&amp;IF(Table1[[#This Row],[Column13]]="","",Table1[[#This Row],[Column13]])&amp;IF(Table1[[#This Row],[mod]]="","",Table1[[#This Row],[mod]])</f>
        <v>border</v>
      </c>
      <c r="K2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3" t="s">
        <v>3125</v>
      </c>
      <c r="P233" s="6" t="s">
        <v>1295</v>
      </c>
      <c r="Q2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" s="29"/>
      <c r="AC233" s="25"/>
      <c r="AD233" s="41"/>
      <c r="AE233" s="41"/>
      <c r="AF233" s="11"/>
      <c r="AH233" s="1" t="str">
        <f>Table1[[#This Row],[html_tag]]&amp;Table1[[#This Row],[html_type]]&amp;Table1[[#This Row],[html_modifier]]</f>
        <v/>
      </c>
      <c r="AL233" s="22" t="str">
        <f>IFERROR(_xlfn.XLOOKUP(Table1[[#This Row],[word]],Table57[English style name],Table57[Style type]),"")</f>
        <v/>
      </c>
      <c r="AM233" s="20"/>
      <c r="AN233" s="11"/>
      <c r="AQ233" s="6" t="s">
        <v>1295</v>
      </c>
      <c r="AR233" t="s">
        <v>1282</v>
      </c>
    </row>
    <row r="234" spans="5:44">
      <c r="E234" s="76"/>
      <c r="F2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4" s="13" t="s">
        <v>2992</v>
      </c>
      <c r="H234" s="13" t="s">
        <v>2993</v>
      </c>
      <c r="I234" s="12" t="str">
        <f>Table1[[#This Row],[type]]</f>
        <v>border</v>
      </c>
      <c r="J234" s="62" t="str">
        <f>Table1[[#This Row],[Column42]]&amp;IF(Table1[[#This Row],[Column13]]="","",Table1[[#This Row],[Column13]])&amp;IF(Table1[[#This Row],[mod]]="","",Table1[[#This Row],[mod]])</f>
        <v>border</v>
      </c>
      <c r="K2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4" t="s">
        <v>3125</v>
      </c>
      <c r="P234" s="6" t="s">
        <v>1296</v>
      </c>
      <c r="Q2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" s="29"/>
      <c r="AC234" s="25"/>
      <c r="AD234" s="41"/>
      <c r="AE234" s="41"/>
      <c r="AF234" s="11"/>
      <c r="AH234" s="1" t="str">
        <f>Table1[[#This Row],[html_tag]]&amp;Table1[[#This Row],[html_type]]&amp;Table1[[#This Row],[html_modifier]]</f>
        <v/>
      </c>
      <c r="AL234" s="22" t="str">
        <f>IFERROR(_xlfn.XLOOKUP(Table1[[#This Row],[word]],Table57[English style name],Table57[Style type]),"")</f>
        <v/>
      </c>
      <c r="AM234" s="20"/>
      <c r="AN234" s="11"/>
      <c r="AQ234" s="6" t="s">
        <v>1296</v>
      </c>
      <c r="AR234" t="s">
        <v>1282</v>
      </c>
    </row>
    <row r="235" spans="5:44">
      <c r="E235" s="76"/>
      <c r="F2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5" s="13" t="s">
        <v>2992</v>
      </c>
      <c r="H235" s="13" t="s">
        <v>2993</v>
      </c>
      <c r="I235" s="12" t="str">
        <f>Table1[[#This Row],[type]]</f>
        <v>border</v>
      </c>
      <c r="J235" s="62" t="str">
        <f>Table1[[#This Row],[Column42]]&amp;IF(Table1[[#This Row],[Column13]]="","",Table1[[#This Row],[Column13]])&amp;IF(Table1[[#This Row],[mod]]="","",Table1[[#This Row],[mod]])</f>
        <v>border</v>
      </c>
      <c r="K2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5" t="s">
        <v>3125</v>
      </c>
      <c r="P235" s="6" t="s">
        <v>1253</v>
      </c>
      <c r="Q2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" s="29"/>
      <c r="AC235" s="25"/>
      <c r="AD235" s="41"/>
      <c r="AE235" s="41"/>
      <c r="AF235" s="11"/>
      <c r="AH235" s="1" t="str">
        <f>Table1[[#This Row],[html_tag]]&amp;Table1[[#This Row],[html_type]]&amp;Table1[[#This Row],[html_modifier]]</f>
        <v/>
      </c>
      <c r="AL235" s="22" t="str">
        <f>IFERROR(_xlfn.XLOOKUP(Table1[[#This Row],[word]],Table57[English style name],Table57[Style type]),"")</f>
        <v/>
      </c>
      <c r="AM235" s="20"/>
      <c r="AN235" s="11"/>
      <c r="AQ235" s="6" t="s">
        <v>1253</v>
      </c>
      <c r="AR235" t="s">
        <v>1254</v>
      </c>
    </row>
    <row r="236" spans="5:44">
      <c r="E236" s="76"/>
      <c r="F2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6" s="13" t="s">
        <v>2992</v>
      </c>
      <c r="H236" s="13" t="s">
        <v>2993</v>
      </c>
      <c r="I236" s="12" t="str">
        <f>Table1[[#This Row],[type]]</f>
        <v>border</v>
      </c>
      <c r="J236" s="62" t="str">
        <f>Table1[[#This Row],[Column42]]&amp;IF(Table1[[#This Row],[Column13]]="","",Table1[[#This Row],[Column13]])&amp;IF(Table1[[#This Row],[mod]]="","",Table1[[#This Row],[mod]])</f>
        <v>border</v>
      </c>
      <c r="K2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6" t="s">
        <v>3125</v>
      </c>
      <c r="Q2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" s="29"/>
      <c r="AC236" s="25" t="s">
        <v>3683</v>
      </c>
      <c r="AD236" s="41"/>
      <c r="AE236" s="41"/>
      <c r="AF236" s="11"/>
      <c r="AH236" s="7" t="str">
        <f>Table1[[#This Row],[html_tag]]&amp;Table1[[#This Row],[html_type]]&amp;Table1[[#This Row],[html_modifier]]</f>
        <v/>
      </c>
      <c r="AL236" s="23" t="str">
        <f>IFERROR(_xlfn.XLOOKUP(Table1[[#This Row],[word]],Table57[English style name],Table57[Style type]),"")</f>
        <v/>
      </c>
      <c r="AM236" s="21"/>
      <c r="AN236" s="11"/>
    </row>
    <row r="237" spans="5:44">
      <c r="E237" s="76"/>
      <c r="F2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7" s="13" t="s">
        <v>2992</v>
      </c>
      <c r="H237" s="13" t="s">
        <v>2993</v>
      </c>
      <c r="I237" s="12" t="str">
        <f>Table1[[#This Row],[type]]</f>
        <v>border</v>
      </c>
      <c r="J237" s="62" t="str">
        <f>Table1[[#This Row],[Column42]]&amp;IF(Table1[[#This Row],[Column13]]="","",Table1[[#This Row],[Column13]])&amp;IF(Table1[[#This Row],[mod]]="","",Table1[[#This Row],[mod]])</f>
        <v>border</v>
      </c>
      <c r="K2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7" t="s">
        <v>3125</v>
      </c>
      <c r="Q23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7" s="29"/>
      <c r="AC237" s="25" t="s">
        <v>3684</v>
      </c>
      <c r="AD237" s="41"/>
      <c r="AE237" s="41"/>
      <c r="AF237" s="11"/>
      <c r="AH237" s="7" t="str">
        <f>Table1[[#This Row],[html_tag]]&amp;Table1[[#This Row],[html_type]]&amp;Table1[[#This Row],[html_modifier]]</f>
        <v/>
      </c>
      <c r="AL237" s="23" t="str">
        <f>IFERROR(_xlfn.XLOOKUP(Table1[[#This Row],[word]],Table57[English style name],Table57[Style type]),"")</f>
        <v/>
      </c>
      <c r="AM237" s="21"/>
      <c r="AN237" s="11"/>
    </row>
    <row r="238" spans="5:44">
      <c r="E238" s="76"/>
      <c r="F2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8" s="13" t="s">
        <v>2992</v>
      </c>
      <c r="H238" s="13" t="s">
        <v>2993</v>
      </c>
      <c r="I238" s="12" t="str">
        <f>Table1[[#This Row],[type]]</f>
        <v>border</v>
      </c>
      <c r="J238" s="62" t="str">
        <f>Table1[[#This Row],[Column42]]&amp;IF(Table1[[#This Row],[Column13]]="","",Table1[[#This Row],[Column13]])&amp;IF(Table1[[#This Row],[mod]]="","",Table1[[#This Row],[mod]])</f>
        <v>border</v>
      </c>
      <c r="K2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8" t="s">
        <v>3125</v>
      </c>
      <c r="Q23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8" s="29"/>
      <c r="AC238" s="25" t="s">
        <v>3685</v>
      </c>
      <c r="AD238" s="41"/>
      <c r="AE238" s="41"/>
      <c r="AF238" s="11"/>
      <c r="AH238" s="7" t="str">
        <f>Table1[[#This Row],[html_tag]]&amp;Table1[[#This Row],[html_type]]&amp;Table1[[#This Row],[html_modifier]]</f>
        <v/>
      </c>
      <c r="AL238" s="23" t="str">
        <f>IFERROR(_xlfn.XLOOKUP(Table1[[#This Row],[word]],Table57[English style name],Table57[Style type]),"")</f>
        <v/>
      </c>
      <c r="AM238" s="21"/>
      <c r="AN238" s="11"/>
    </row>
    <row r="239" spans="5:44">
      <c r="E239" s="76"/>
      <c r="F2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9" s="13" t="s">
        <v>2992</v>
      </c>
      <c r="H239" s="13" t="s">
        <v>2993</v>
      </c>
      <c r="I239" s="12" t="str">
        <f>Table1[[#This Row],[type]]</f>
        <v>border</v>
      </c>
      <c r="J239" s="62" t="str">
        <f>Table1[[#This Row],[Column42]]&amp;IF(Table1[[#This Row],[Column13]]="","",Table1[[#This Row],[Column13]])&amp;IF(Table1[[#This Row],[mod]]="","",Table1[[#This Row],[mod]])</f>
        <v>border__bottom</v>
      </c>
      <c r="K2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border__bottom</v>
      </c>
      <c r="L239" t="s">
        <v>3125</v>
      </c>
      <c r="N239" t="s">
        <v>3186</v>
      </c>
      <c r="P239" s="6" t="s">
        <v>1257</v>
      </c>
      <c r="Q2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9" s="29"/>
      <c r="AC239" s="25"/>
      <c r="AD239" s="41"/>
      <c r="AE239" s="41"/>
      <c r="AF239" s="11"/>
      <c r="AH239" s="1" t="str">
        <f>Table1[[#This Row],[html_tag]]&amp;Table1[[#This Row],[html_type]]&amp;Table1[[#This Row],[html_modifier]]</f>
        <v/>
      </c>
      <c r="AL239" s="22" t="str">
        <f>IFERROR(_xlfn.XLOOKUP(Table1[[#This Row],[word]],Table57[English style name],Table57[Style type]),"")</f>
        <v/>
      </c>
      <c r="AM239" s="20"/>
      <c r="AN239" s="11"/>
      <c r="AQ239" s="6" t="s">
        <v>1257</v>
      </c>
      <c r="AR239" t="s">
        <v>1258</v>
      </c>
    </row>
    <row r="240" spans="5:44">
      <c r="E240" s="76"/>
      <c r="F2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0" s="13" t="s">
        <v>2992</v>
      </c>
      <c r="H240" s="13" t="s">
        <v>2993</v>
      </c>
      <c r="I240" s="12" t="str">
        <f>Table1[[#This Row],[type]]</f>
        <v>border</v>
      </c>
      <c r="J240" s="62" t="str">
        <f>Table1[[#This Row],[Column42]]&amp;IF(Table1[[#This Row],[Column13]]="","",Table1[[#This Row],[Column13]])&amp;IF(Table1[[#This Row],[mod]]="","",Table1[[#This Row],[mod]])</f>
        <v>border__left</v>
      </c>
      <c r="K2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border__left</v>
      </c>
      <c r="L240" t="s">
        <v>3125</v>
      </c>
      <c r="N240" t="s">
        <v>616</v>
      </c>
      <c r="P240" s="6" t="s">
        <v>1260</v>
      </c>
      <c r="Q2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" s="29"/>
      <c r="AC240" s="25"/>
      <c r="AD240" s="41"/>
      <c r="AE240" s="41"/>
      <c r="AF240" s="11"/>
      <c r="AH240" s="1" t="str">
        <f>Table1[[#This Row],[html_tag]]&amp;Table1[[#This Row],[html_type]]&amp;Table1[[#This Row],[html_modifier]]</f>
        <v/>
      </c>
      <c r="AL240" s="22" t="str">
        <f>IFERROR(_xlfn.XLOOKUP(Table1[[#This Row],[word]],Table57[English style name],Table57[Style type]),"")</f>
        <v/>
      </c>
      <c r="AM240" s="20"/>
      <c r="AN240" s="11"/>
      <c r="AQ240" s="6" t="s">
        <v>1260</v>
      </c>
      <c r="AR240" t="s">
        <v>1258</v>
      </c>
    </row>
    <row r="241" spans="5:44">
      <c r="E241" s="76"/>
      <c r="F2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1" s="13" t="s">
        <v>2992</v>
      </c>
      <c r="H241" s="13" t="s">
        <v>2993</v>
      </c>
      <c r="I241" s="12" t="str">
        <f>Table1[[#This Row],[type]]</f>
        <v>border</v>
      </c>
      <c r="J241" s="62" t="str">
        <f>Table1[[#This Row],[Column42]]&amp;IF(Table1[[#This Row],[Column13]]="","",Table1[[#This Row],[Column13]])&amp;IF(Table1[[#This Row],[mod]]="","",Table1[[#This Row],[mod]])</f>
        <v>border__right</v>
      </c>
      <c r="K2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border__right</v>
      </c>
      <c r="L241" t="s">
        <v>3125</v>
      </c>
      <c r="N241" t="s">
        <v>617</v>
      </c>
      <c r="P241" s="6" t="s">
        <v>1261</v>
      </c>
      <c r="Q2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" s="29"/>
      <c r="AC241" s="25"/>
      <c r="AD241" s="41"/>
      <c r="AE241" s="41"/>
      <c r="AF241" s="11"/>
      <c r="AH241" s="1" t="str">
        <f>Table1[[#This Row],[html_tag]]&amp;Table1[[#This Row],[html_type]]&amp;Table1[[#This Row],[html_modifier]]</f>
        <v/>
      </c>
      <c r="AL241" s="22" t="str">
        <f>IFERROR(_xlfn.XLOOKUP(Table1[[#This Row],[word]],Table57[English style name],Table57[Style type]),"")</f>
        <v/>
      </c>
      <c r="AM241" s="20"/>
      <c r="AN241" s="11"/>
      <c r="AQ241" s="6" t="s">
        <v>1261</v>
      </c>
      <c r="AR241" t="s">
        <v>1258</v>
      </c>
    </row>
    <row r="242" spans="5:44">
      <c r="E242" s="76"/>
      <c r="F2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2" s="13" t="s">
        <v>2992</v>
      </c>
      <c r="H242" s="13" t="s">
        <v>2993</v>
      </c>
      <c r="I242" s="12" t="str">
        <f>Table1[[#This Row],[type]]</f>
        <v>border</v>
      </c>
      <c r="J242" s="62" t="str">
        <f>Table1[[#This Row],[Column42]]&amp;IF(Table1[[#This Row],[Column13]]="","",Table1[[#This Row],[Column13]])&amp;IF(Table1[[#This Row],[mod]]="","",Table1[[#This Row],[mod]])</f>
        <v>border__rounded</v>
      </c>
      <c r="K2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2" t="s">
        <v>3125</v>
      </c>
      <c r="M242" t="s">
        <v>3714</v>
      </c>
      <c r="Q24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" s="29"/>
      <c r="AC242" s="25" t="s">
        <v>3695</v>
      </c>
      <c r="AD242" s="41"/>
      <c r="AE242" s="41"/>
      <c r="AF242" s="11"/>
      <c r="AH242" s="7" t="str">
        <f>Table1[[#This Row],[html_tag]]&amp;Table1[[#This Row],[html_type]]&amp;Table1[[#This Row],[html_modifier]]</f>
        <v/>
      </c>
      <c r="AL242" s="23" t="str">
        <f>IFERROR(_xlfn.XLOOKUP(Table1[[#This Row],[word]],Table57[English style name],Table57[Style type]),"")</f>
        <v/>
      </c>
      <c r="AM242" s="21"/>
      <c r="AN242" s="11"/>
    </row>
    <row r="243" spans="5:44">
      <c r="E243" s="76"/>
      <c r="F2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3" s="13" t="s">
        <v>2992</v>
      </c>
      <c r="H243" s="13" t="s">
        <v>2993</v>
      </c>
      <c r="I243" s="12" t="str">
        <f>Table1[[#This Row],[type]]</f>
        <v>border</v>
      </c>
      <c r="J243" s="62" t="str">
        <f>Table1[[#This Row],[Column42]]&amp;IF(Table1[[#This Row],[Column13]]="","",Table1[[#This Row],[Column13]])&amp;IF(Table1[[#This Row],[mod]]="","",Table1[[#This Row],[mod]])</f>
        <v>border__rounded</v>
      </c>
      <c r="K2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3" t="s">
        <v>3125</v>
      </c>
      <c r="M243" t="s">
        <v>3714</v>
      </c>
      <c r="Q2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" s="29"/>
      <c r="AC243" s="25" t="s">
        <v>3696</v>
      </c>
      <c r="AD243" s="41"/>
      <c r="AE243" s="41"/>
      <c r="AF243" s="11"/>
      <c r="AH243" s="7" t="str">
        <f>Table1[[#This Row],[html_tag]]&amp;Table1[[#This Row],[html_type]]&amp;Table1[[#This Row],[html_modifier]]</f>
        <v/>
      </c>
      <c r="AL243" s="23" t="str">
        <f>IFERROR(_xlfn.XLOOKUP(Table1[[#This Row],[word]],Table57[English style name],Table57[Style type]),"")</f>
        <v/>
      </c>
      <c r="AM243" s="21"/>
      <c r="AN243" s="11"/>
    </row>
    <row r="244" spans="5:44">
      <c r="E244" s="76"/>
      <c r="F2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4" s="13" t="s">
        <v>2992</v>
      </c>
      <c r="H244" s="13" t="s">
        <v>2993</v>
      </c>
      <c r="I244" s="12" t="str">
        <f>Table1[[#This Row],[type]]</f>
        <v>border</v>
      </c>
      <c r="J244" s="62" t="str">
        <f>Table1[[#This Row],[Column42]]&amp;IF(Table1[[#This Row],[Column13]]="","",Table1[[#This Row],[Column13]])&amp;IF(Table1[[#This Row],[mod]]="","",Table1[[#This Row],[mod]])</f>
        <v>border__rounded</v>
      </c>
      <c r="K2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4" t="s">
        <v>3125</v>
      </c>
      <c r="M244" t="s">
        <v>3714</v>
      </c>
      <c r="Q2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" s="29"/>
      <c r="AC244" s="25" t="s">
        <v>3697</v>
      </c>
      <c r="AD244" s="41"/>
      <c r="AE244" s="41"/>
      <c r="AF244" s="11"/>
      <c r="AH244" s="7" t="str">
        <f>Table1[[#This Row],[html_tag]]&amp;Table1[[#This Row],[html_type]]&amp;Table1[[#This Row],[html_modifier]]</f>
        <v/>
      </c>
      <c r="AL244" s="23" t="str">
        <f>IFERROR(_xlfn.XLOOKUP(Table1[[#This Row],[word]],Table57[English style name],Table57[Style type]),"")</f>
        <v/>
      </c>
      <c r="AM244" s="21"/>
      <c r="AN244" s="11"/>
    </row>
    <row r="245" spans="5:44">
      <c r="E245" s="76"/>
      <c r="F2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5" s="13" t="s">
        <v>2992</v>
      </c>
      <c r="H245" s="13" t="s">
        <v>2993</v>
      </c>
      <c r="I245" s="12" t="str">
        <f>Table1[[#This Row],[type]]</f>
        <v>border</v>
      </c>
      <c r="J245" s="62" t="str">
        <f>Table1[[#This Row],[Column42]]&amp;IF(Table1[[#This Row],[Column13]]="","",Table1[[#This Row],[Column13]])&amp;IF(Table1[[#This Row],[mod]]="","",Table1[[#This Row],[mod]])</f>
        <v>border__rounded</v>
      </c>
      <c r="K2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5" t="s">
        <v>3125</v>
      </c>
      <c r="M245" t="s">
        <v>3714</v>
      </c>
      <c r="Q2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" s="29"/>
      <c r="AC245" s="25" t="s">
        <v>3698</v>
      </c>
      <c r="AD245" s="41"/>
      <c r="AE245" s="41"/>
      <c r="AF245" s="11"/>
      <c r="AH245" s="7" t="str">
        <f>Table1[[#This Row],[html_tag]]&amp;Table1[[#This Row],[html_type]]&amp;Table1[[#This Row],[html_modifier]]</f>
        <v/>
      </c>
      <c r="AL245" s="23" t="str">
        <f>IFERROR(_xlfn.XLOOKUP(Table1[[#This Row],[word]],Table57[English style name],Table57[Style type]),"")</f>
        <v/>
      </c>
      <c r="AM245" s="21"/>
      <c r="AN245" s="11"/>
    </row>
    <row r="246" spans="5:44">
      <c r="E246" s="76"/>
      <c r="F2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6" s="13" t="s">
        <v>2992</v>
      </c>
      <c r="H246" s="13" t="s">
        <v>2993</v>
      </c>
      <c r="I246" s="12" t="str">
        <f>Table1[[#This Row],[type]]</f>
        <v>border</v>
      </c>
      <c r="J246" s="62" t="str">
        <f>Table1[[#This Row],[Column42]]&amp;IF(Table1[[#This Row],[Column13]]="","",Table1[[#This Row],[Column13]])&amp;IF(Table1[[#This Row],[mod]]="","",Table1[[#This Row],[mod]])</f>
        <v>border__rounded</v>
      </c>
      <c r="K2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6" t="s">
        <v>3125</v>
      </c>
      <c r="M246" t="s">
        <v>3714</v>
      </c>
      <c r="Q2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6" s="29"/>
      <c r="AC246" s="25" t="s">
        <v>3699</v>
      </c>
      <c r="AD246" s="41"/>
      <c r="AE246" s="41"/>
      <c r="AF246" s="11"/>
      <c r="AH246" s="7" t="str">
        <f>Table1[[#This Row],[html_tag]]&amp;Table1[[#This Row],[html_type]]&amp;Table1[[#This Row],[html_modifier]]</f>
        <v/>
      </c>
      <c r="AL246" s="23" t="str">
        <f>IFERROR(_xlfn.XLOOKUP(Table1[[#This Row],[word]],Table57[English style name],Table57[Style type]),"")</f>
        <v/>
      </c>
      <c r="AM246" s="21"/>
      <c r="AN246" s="11"/>
    </row>
    <row r="247" spans="5:44">
      <c r="E247" s="76"/>
      <c r="F2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7" s="13" t="s">
        <v>2992</v>
      </c>
      <c r="H247" s="13" t="s">
        <v>2993</v>
      </c>
      <c r="I247" s="12" t="str">
        <f>Table1[[#This Row],[type]]</f>
        <v>border</v>
      </c>
      <c r="J247" s="62" t="str">
        <f>Table1[[#This Row],[Column42]]&amp;IF(Table1[[#This Row],[Column13]]="","",Table1[[#This Row],[Column13]])&amp;IF(Table1[[#This Row],[mod]]="","",Table1[[#This Row],[mod]])</f>
        <v>border__rounded</v>
      </c>
      <c r="K2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7" t="s">
        <v>3125</v>
      </c>
      <c r="M247" t="s">
        <v>3714</v>
      </c>
      <c r="Q2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" s="29"/>
      <c r="AC247" s="25" t="s">
        <v>3700</v>
      </c>
      <c r="AD247" s="41"/>
      <c r="AE247" s="41"/>
      <c r="AF247" s="11"/>
      <c r="AH247" s="7" t="str">
        <f>Table1[[#This Row],[html_tag]]&amp;Table1[[#This Row],[html_type]]&amp;Table1[[#This Row],[html_modifier]]</f>
        <v/>
      </c>
      <c r="AL247" s="23" t="str">
        <f>IFERROR(_xlfn.XLOOKUP(Table1[[#This Row],[word]],Table57[English style name],Table57[Style type]),"")</f>
        <v/>
      </c>
      <c r="AM247" s="21"/>
      <c r="AN247" s="11"/>
    </row>
    <row r="248" spans="5:44">
      <c r="E248" s="76"/>
      <c r="F2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8" s="13" t="s">
        <v>2992</v>
      </c>
      <c r="H248" s="13" t="s">
        <v>2993</v>
      </c>
      <c r="I248" s="12" t="str">
        <f>Table1[[#This Row],[type]]</f>
        <v>border</v>
      </c>
      <c r="J248" s="62" t="str">
        <f>Table1[[#This Row],[Column42]]&amp;IF(Table1[[#This Row],[Column13]]="","",Table1[[#This Row],[Column13]])&amp;IF(Table1[[#This Row],[mod]]="","",Table1[[#This Row],[mod]])</f>
        <v>border__rounded</v>
      </c>
      <c r="K2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8" t="s">
        <v>3125</v>
      </c>
      <c r="M248" t="s">
        <v>3714</v>
      </c>
      <c r="Q2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" s="29"/>
      <c r="AC248" s="25" t="s">
        <v>3701</v>
      </c>
      <c r="AD248" s="41"/>
      <c r="AE248" s="41"/>
      <c r="AF248" s="11"/>
      <c r="AH248" s="7" t="str">
        <f>Table1[[#This Row],[html_tag]]&amp;Table1[[#This Row],[html_type]]&amp;Table1[[#This Row],[html_modifier]]</f>
        <v/>
      </c>
      <c r="AL248" s="23" t="str">
        <f>IFERROR(_xlfn.XLOOKUP(Table1[[#This Row],[word]],Table57[English style name],Table57[Style type]),"")</f>
        <v/>
      </c>
      <c r="AM248" s="21"/>
      <c r="AN248" s="11"/>
    </row>
    <row r="249" spans="5:44">
      <c r="E249" s="76"/>
      <c r="F2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9" s="13" t="s">
        <v>2992</v>
      </c>
      <c r="H249" s="13" t="s">
        <v>2993</v>
      </c>
      <c r="I249" s="12" t="str">
        <f>Table1[[#This Row],[type]]</f>
        <v>border</v>
      </c>
      <c r="J249" s="62" t="str">
        <f>Table1[[#This Row],[Column42]]&amp;IF(Table1[[#This Row],[Column13]]="","",Table1[[#This Row],[Column13]])&amp;IF(Table1[[#This Row],[mod]]="","",Table1[[#This Row],[mod]])</f>
        <v>border__rounded</v>
      </c>
      <c r="K2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9" t="s">
        <v>3125</v>
      </c>
      <c r="M249" t="s">
        <v>3714</v>
      </c>
      <c r="Q2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" s="29"/>
      <c r="AC249" s="25" t="s">
        <v>3702</v>
      </c>
      <c r="AD249" s="41"/>
      <c r="AE249" s="41"/>
      <c r="AF249" s="11"/>
      <c r="AH249" s="7" t="str">
        <f>Table1[[#This Row],[html_tag]]&amp;Table1[[#This Row],[html_type]]&amp;Table1[[#This Row],[html_modifier]]</f>
        <v/>
      </c>
      <c r="AL249" s="23" t="str">
        <f>IFERROR(_xlfn.XLOOKUP(Table1[[#This Row],[word]],Table57[English style name],Table57[Style type]),"")</f>
        <v/>
      </c>
      <c r="AM249" s="21"/>
      <c r="AN249" s="11"/>
    </row>
    <row r="250" spans="5:44">
      <c r="E250" s="76"/>
      <c r="F2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0" s="13" t="s">
        <v>2992</v>
      </c>
      <c r="H250" s="13" t="s">
        <v>2993</v>
      </c>
      <c r="I250" s="12" t="str">
        <f>Table1[[#This Row],[type]]</f>
        <v>border</v>
      </c>
      <c r="J250" s="62" t="str">
        <f>Table1[[#This Row],[Column42]]&amp;IF(Table1[[#This Row],[Column13]]="","",Table1[[#This Row],[Column13]])&amp;IF(Table1[[#This Row],[mod]]="","",Table1[[#This Row],[mod]])</f>
        <v>border__rounded</v>
      </c>
      <c r="K2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50" t="s">
        <v>3125</v>
      </c>
      <c r="M250" t="s">
        <v>3714</v>
      </c>
      <c r="Q2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" s="29"/>
      <c r="AC250" s="25" t="s">
        <v>3704</v>
      </c>
      <c r="AD250" s="41"/>
      <c r="AE250" s="41"/>
      <c r="AF250" s="11"/>
      <c r="AH250" s="7" t="str">
        <f>Table1[[#This Row],[html_tag]]&amp;Table1[[#This Row],[html_type]]&amp;Table1[[#This Row],[html_modifier]]</f>
        <v/>
      </c>
      <c r="AL250" s="23" t="str">
        <f>IFERROR(_xlfn.XLOOKUP(Table1[[#This Row],[word]],Table57[English style name],Table57[Style type]),"")</f>
        <v/>
      </c>
      <c r="AM250" s="21"/>
      <c r="AN250" s="11"/>
    </row>
    <row r="251" spans="5:44">
      <c r="E251" s="76"/>
      <c r="F2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1" s="13" t="s">
        <v>2992</v>
      </c>
      <c r="H251" s="13" t="s">
        <v>2993</v>
      </c>
      <c r="I251" s="12" t="str">
        <f>Table1[[#This Row],[type]]</f>
        <v>border</v>
      </c>
      <c r="J251" s="62" t="str">
        <f>Table1[[#This Row],[Column42]]&amp;IF(Table1[[#This Row],[Column13]]="","",Table1[[#This Row],[Column13]])&amp;IF(Table1[[#This Row],[mod]]="","",Table1[[#This Row],[mod]])</f>
        <v>border__rounded</v>
      </c>
      <c r="K2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51" t="s">
        <v>3125</v>
      </c>
      <c r="M251" t="s">
        <v>3714</v>
      </c>
      <c r="Q2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1" s="29"/>
      <c r="AC251" s="25" t="s">
        <v>3706</v>
      </c>
      <c r="AD251" s="41"/>
      <c r="AE251" s="41"/>
      <c r="AF251" s="11"/>
      <c r="AH251" s="7" t="str">
        <f>Table1[[#This Row],[html_tag]]&amp;Table1[[#This Row],[html_type]]&amp;Table1[[#This Row],[html_modifier]]</f>
        <v/>
      </c>
      <c r="AL251" s="23" t="str">
        <f>IFERROR(_xlfn.XLOOKUP(Table1[[#This Row],[word]],Table57[English style name],Table57[Style type]),"")</f>
        <v/>
      </c>
      <c r="AM251" s="21"/>
      <c r="AN251" s="11"/>
    </row>
    <row r="252" spans="5:44">
      <c r="E252" s="76"/>
      <c r="F2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2" s="13" t="s">
        <v>2992</v>
      </c>
      <c r="H252" s="13" t="s">
        <v>2993</v>
      </c>
      <c r="I252" s="12" t="str">
        <f>Table1[[#This Row],[type]]</f>
        <v>border</v>
      </c>
      <c r="J252" s="62" t="str">
        <f>Table1[[#This Row],[Column42]]&amp;IF(Table1[[#This Row],[Column13]]="","",Table1[[#This Row],[Column13]])&amp;IF(Table1[[#This Row],[mod]]="","",Table1[[#This Row],[mod]])</f>
        <v>border__rounded__end</v>
      </c>
      <c r="K2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border__rounded__end</v>
      </c>
      <c r="L252" t="s">
        <v>3125</v>
      </c>
      <c r="M252" t="s">
        <v>3714</v>
      </c>
      <c r="N252" t="s">
        <v>3194</v>
      </c>
      <c r="Q2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" s="29"/>
      <c r="AC252" s="25" t="s">
        <v>3703</v>
      </c>
      <c r="AD252" s="41"/>
      <c r="AE252" s="41"/>
      <c r="AF252" s="11"/>
      <c r="AH252" s="7" t="str">
        <f>Table1[[#This Row],[html_tag]]&amp;Table1[[#This Row],[html_type]]&amp;Table1[[#This Row],[html_modifier]]</f>
        <v/>
      </c>
      <c r="AL252" s="23" t="str">
        <f>IFERROR(_xlfn.XLOOKUP(Table1[[#This Row],[word]],Table57[English style name],Table57[Style type]),"")</f>
        <v/>
      </c>
      <c r="AM252" s="21"/>
      <c r="AN252" s="11"/>
    </row>
    <row r="253" spans="5:44">
      <c r="E253" s="76"/>
      <c r="F2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3" s="13" t="s">
        <v>2992</v>
      </c>
      <c r="H253" s="13" t="s">
        <v>2993</v>
      </c>
      <c r="I253" s="12" t="str">
        <f>Table1[[#This Row],[type]]</f>
        <v>border</v>
      </c>
      <c r="J253" s="62" t="str">
        <f>Table1[[#This Row],[Column42]]&amp;IF(Table1[[#This Row],[Column13]]="","",Table1[[#This Row],[Column13]])&amp;IF(Table1[[#This Row],[mod]]="","",Table1[[#This Row],[mod]])</f>
        <v>border__rounded__start--round</v>
      </c>
      <c r="K2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border__rounded__start</v>
      </c>
      <c r="L253" t="s">
        <v>3125</v>
      </c>
      <c r="M253" t="s">
        <v>3714</v>
      </c>
      <c r="N253" t="s">
        <v>3193</v>
      </c>
      <c r="Q2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253" t="s">
        <v>3204</v>
      </c>
      <c r="AB253" s="29"/>
      <c r="AC253" s="25" t="s">
        <v>3705</v>
      </c>
      <c r="AD253" s="41"/>
      <c r="AE253" s="41"/>
      <c r="AF253" s="11"/>
      <c r="AH253" s="7" t="str">
        <f>Table1[[#This Row],[html_tag]]&amp;Table1[[#This Row],[html_type]]&amp;Table1[[#This Row],[html_modifier]]</f>
        <v/>
      </c>
      <c r="AL253" s="23" t="str">
        <f>IFERROR(_xlfn.XLOOKUP(Table1[[#This Row],[word]],Table57[English style name],Table57[Style type]),"")</f>
        <v/>
      </c>
      <c r="AM253" s="21"/>
      <c r="AN253" s="11"/>
    </row>
    <row r="254" spans="5:44">
      <c r="E254" s="76"/>
      <c r="F2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4" s="13" t="s">
        <v>2992</v>
      </c>
      <c r="H254" s="13" t="s">
        <v>2993</v>
      </c>
      <c r="I254" s="12" t="str">
        <f>Table1[[#This Row],[type]]</f>
        <v>border</v>
      </c>
      <c r="J254" s="62" t="str">
        <f>Table1[[#This Row],[Column42]]&amp;IF(Table1[[#This Row],[Column13]]="","",Table1[[#This Row],[Column13]])&amp;IF(Table1[[#This Row],[mod]]="","",Table1[[#This Row],[mod]])</f>
        <v>border__top</v>
      </c>
      <c r="K2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border__top</v>
      </c>
      <c r="L254" t="s">
        <v>3125</v>
      </c>
      <c r="N254" t="s">
        <v>3182</v>
      </c>
      <c r="P254" s="6" t="s">
        <v>1262</v>
      </c>
      <c r="Q2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" s="29"/>
      <c r="AC254" s="25"/>
      <c r="AD254" s="41"/>
      <c r="AE254" s="41"/>
      <c r="AF254" s="11"/>
      <c r="AH254" s="1" t="str">
        <f>Table1[[#This Row],[html_tag]]&amp;Table1[[#This Row],[html_type]]&amp;Table1[[#This Row],[html_modifier]]</f>
        <v/>
      </c>
      <c r="AL254" s="22" t="str">
        <f>IFERROR(_xlfn.XLOOKUP(Table1[[#This Row],[word]],Table57[English style name],Table57[Style type]),"")</f>
        <v/>
      </c>
      <c r="AM254" s="20"/>
      <c r="AN254" s="11"/>
      <c r="AQ254" s="6" t="s">
        <v>1262</v>
      </c>
      <c r="AR254" t="s">
        <v>1258</v>
      </c>
    </row>
    <row r="255" spans="5:44">
      <c r="E255" s="76"/>
      <c r="F2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5" s="13" t="s">
        <v>2992</v>
      </c>
      <c r="H255" s="13" t="s">
        <v>2993</v>
      </c>
      <c r="I255" s="12" t="str">
        <f>Table1[[#This Row],[type]]</f>
        <v>border</v>
      </c>
      <c r="J255" s="62" t="str">
        <f>Table1[[#This Row],[Column42]]&amp;IF(Table1[[#This Row],[Column13]]="","",Table1[[#This Row],[Column13]])&amp;IF(Table1[[#This Row],[mod]]="","",Table1[[#This Row],[mod]])</f>
        <v>border--1</v>
      </c>
      <c r="K2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55" t="s">
        <v>3125</v>
      </c>
      <c r="P255" s="6"/>
      <c r="Q2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55">
        <v>1</v>
      </c>
      <c r="U2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" s="29"/>
      <c r="AC255" s="25"/>
      <c r="AD255" s="41"/>
      <c r="AE255" s="41"/>
      <c r="AF255" s="11"/>
      <c r="AH255" s="1" t="str">
        <f>Table1[[#This Row],[html_tag]]&amp;Table1[[#This Row],[html_type]]&amp;Table1[[#This Row],[html_modifier]]</f>
        <v/>
      </c>
      <c r="AL255" s="22" t="str">
        <f>IFERROR(_xlfn.XLOOKUP(Table1[[#This Row],[word]],Table57[English style name],Table57[Style type]),"")</f>
        <v/>
      </c>
      <c r="AM255" s="20"/>
      <c r="AN255" s="11"/>
      <c r="AQ255" s="6" t="s">
        <v>1285</v>
      </c>
      <c r="AR255" t="s">
        <v>1282</v>
      </c>
    </row>
    <row r="256" spans="5:44">
      <c r="E256" s="76"/>
      <c r="F2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6" s="13" t="s">
        <v>2992</v>
      </c>
      <c r="H256" s="13" t="s">
        <v>2993</v>
      </c>
      <c r="I256" s="12" t="str">
        <f>Table1[[#This Row],[type]]</f>
        <v>border</v>
      </c>
      <c r="J256" s="62" t="str">
        <f>Table1[[#This Row],[Column42]]&amp;IF(Table1[[#This Row],[Column13]]="","",Table1[[#This Row],[Column13]])&amp;IF(Table1[[#This Row],[mod]]="","",Table1[[#This Row],[mod]])</f>
        <v>border--10</v>
      </c>
      <c r="K2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56" t="s">
        <v>3125</v>
      </c>
      <c r="P256" s="6"/>
      <c r="Q2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--10</v>
      </c>
      <c r="S256">
        <v>10</v>
      </c>
      <c r="U2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6" s="29"/>
      <c r="AC256" s="25"/>
      <c r="AD256" s="41"/>
      <c r="AE256" s="41"/>
      <c r="AF256" s="11"/>
      <c r="AH256" s="1" t="str">
        <f>Table1[[#This Row],[html_tag]]&amp;Table1[[#This Row],[html_type]]&amp;Table1[[#This Row],[html_modifier]]</f>
        <v/>
      </c>
      <c r="AL256" s="22" t="str">
        <f>IFERROR(_xlfn.XLOOKUP(Table1[[#This Row],[word]],Table57[English style name],Table57[Style type]),"")</f>
        <v/>
      </c>
      <c r="AM256" s="20"/>
      <c r="AN256" s="11"/>
      <c r="AQ256" s="6" t="s">
        <v>1294</v>
      </c>
      <c r="AR256" t="s">
        <v>1282</v>
      </c>
    </row>
    <row r="257" spans="5:44">
      <c r="E257" s="76"/>
      <c r="F2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7" s="13" t="s">
        <v>2992</v>
      </c>
      <c r="H257" s="13" t="s">
        <v>2993</v>
      </c>
      <c r="I257" s="12" t="str">
        <f>Table1[[#This Row],[type]]</f>
        <v>border</v>
      </c>
      <c r="J257" s="62" t="str">
        <f>Table1[[#This Row],[Column42]]&amp;IF(Table1[[#This Row],[Column13]]="","",Table1[[#This Row],[Column13]])&amp;IF(Table1[[#This Row],[mod]]="","",Table1[[#This Row],[mod]])</f>
        <v>border--2</v>
      </c>
      <c r="K2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57" t="s">
        <v>3125</v>
      </c>
      <c r="P257" s="6"/>
      <c r="Q2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57">
        <v>2</v>
      </c>
      <c r="U2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7" s="29"/>
      <c r="AC257" s="25"/>
      <c r="AD257" s="41"/>
      <c r="AE257" s="41"/>
      <c r="AF257" s="11"/>
      <c r="AH257" s="1" t="str">
        <f>Table1[[#This Row],[html_tag]]&amp;Table1[[#This Row],[html_type]]&amp;Table1[[#This Row],[html_modifier]]</f>
        <v/>
      </c>
      <c r="AL257" s="22" t="str">
        <f>IFERROR(_xlfn.XLOOKUP(Table1[[#This Row],[word]],Table57[English style name],Table57[Style type]),"")</f>
        <v/>
      </c>
      <c r="AM257" s="20"/>
      <c r="AN257" s="11"/>
      <c r="AQ257" s="6" t="s">
        <v>1286</v>
      </c>
      <c r="AR257" t="s">
        <v>1282</v>
      </c>
    </row>
    <row r="258" spans="5:44">
      <c r="E258" s="76"/>
      <c r="F2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8" s="13" t="s">
        <v>2992</v>
      </c>
      <c r="H258" s="13" t="s">
        <v>2993</v>
      </c>
      <c r="I258" s="12" t="str">
        <f>Table1[[#This Row],[type]]</f>
        <v>border</v>
      </c>
      <c r="J258" s="62" t="str">
        <f>Table1[[#This Row],[Column42]]&amp;IF(Table1[[#This Row],[Column13]]="","",Table1[[#This Row],[Column13]])&amp;IF(Table1[[#This Row],[mod]]="","",Table1[[#This Row],[mod]])</f>
        <v>border--3</v>
      </c>
      <c r="K2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58" t="s">
        <v>3125</v>
      </c>
      <c r="P258" s="6"/>
      <c r="Q2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58">
        <v>3</v>
      </c>
      <c r="U2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" s="29"/>
      <c r="AC258" s="25"/>
      <c r="AD258" s="41"/>
      <c r="AE258" s="41"/>
      <c r="AF258" s="11"/>
      <c r="AH258" s="1" t="str">
        <f>Table1[[#This Row],[html_tag]]&amp;Table1[[#This Row],[html_type]]&amp;Table1[[#This Row],[html_modifier]]</f>
        <v/>
      </c>
      <c r="AL258" s="22" t="str">
        <f>IFERROR(_xlfn.XLOOKUP(Table1[[#This Row],[word]],Table57[English style name],Table57[Style type]),"")</f>
        <v/>
      </c>
      <c r="AM258" s="20"/>
      <c r="AN258" s="11"/>
      <c r="AQ258" s="6" t="s">
        <v>1287</v>
      </c>
      <c r="AR258" t="s">
        <v>1282</v>
      </c>
    </row>
    <row r="259" spans="5:44">
      <c r="E259" s="76"/>
      <c r="F2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9" s="13" t="s">
        <v>2992</v>
      </c>
      <c r="H259" s="13" t="s">
        <v>2993</v>
      </c>
      <c r="I259" s="12" t="str">
        <f>Table1[[#This Row],[type]]</f>
        <v>border</v>
      </c>
      <c r="J259" s="62" t="str">
        <f>Table1[[#This Row],[Column42]]&amp;IF(Table1[[#This Row],[Column13]]="","",Table1[[#This Row],[Column13]])&amp;IF(Table1[[#This Row],[mod]]="","",Table1[[#This Row],[mod]])</f>
        <v>border--4</v>
      </c>
      <c r="K2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59" t="s">
        <v>3125</v>
      </c>
      <c r="P259" s="6"/>
      <c r="Q2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59">
        <v>4</v>
      </c>
      <c r="U2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9" s="29"/>
      <c r="AC259" s="25"/>
      <c r="AD259" s="41"/>
      <c r="AE259" s="41"/>
      <c r="AF259" s="11"/>
      <c r="AH259" s="1" t="str">
        <f>Table1[[#This Row],[html_tag]]&amp;Table1[[#This Row],[html_type]]&amp;Table1[[#This Row],[html_modifier]]</f>
        <v/>
      </c>
      <c r="AL259" s="22" t="str">
        <f>IFERROR(_xlfn.XLOOKUP(Table1[[#This Row],[word]],Table57[English style name],Table57[Style type]),"")</f>
        <v/>
      </c>
      <c r="AM259" s="20"/>
      <c r="AN259" s="11"/>
      <c r="AQ259" s="6" t="s">
        <v>1288</v>
      </c>
      <c r="AR259" t="s">
        <v>1282</v>
      </c>
    </row>
    <row r="260" spans="5:44">
      <c r="E260" s="76"/>
      <c r="F2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0" s="13" t="s">
        <v>2992</v>
      </c>
      <c r="H260" s="13" t="s">
        <v>2993</v>
      </c>
      <c r="I260" s="12" t="str">
        <f>Table1[[#This Row],[type]]</f>
        <v>border</v>
      </c>
      <c r="J260" s="62" t="str">
        <f>Table1[[#This Row],[Column42]]&amp;IF(Table1[[#This Row],[Column13]]="","",Table1[[#This Row],[Column13]])&amp;IF(Table1[[#This Row],[mod]]="","",Table1[[#This Row],[mod]])</f>
        <v>border--5</v>
      </c>
      <c r="K2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0" t="s">
        <v>3125</v>
      </c>
      <c r="P260" s="6"/>
      <c r="Q2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60">
        <v>5</v>
      </c>
      <c r="U2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0" s="29"/>
      <c r="AC260" s="25"/>
      <c r="AD260" s="41"/>
      <c r="AE260" s="41"/>
      <c r="AF260" s="11"/>
      <c r="AH260" s="1" t="str">
        <f>Table1[[#This Row],[html_tag]]&amp;Table1[[#This Row],[html_type]]&amp;Table1[[#This Row],[html_modifier]]</f>
        <v/>
      </c>
      <c r="AL260" s="22" t="str">
        <f>IFERROR(_xlfn.XLOOKUP(Table1[[#This Row],[word]],Table57[English style name],Table57[Style type]),"")</f>
        <v/>
      </c>
      <c r="AM260" s="20"/>
      <c r="AN260" s="11"/>
      <c r="AQ260" s="6" t="s">
        <v>1289</v>
      </c>
      <c r="AR260" t="s">
        <v>1282</v>
      </c>
    </row>
    <row r="261" spans="5:44">
      <c r="E261" s="76"/>
      <c r="F2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1" s="13" t="s">
        <v>2992</v>
      </c>
      <c r="H261" s="13" t="s">
        <v>2993</v>
      </c>
      <c r="I261" s="12" t="str">
        <f>Table1[[#This Row],[type]]</f>
        <v>border</v>
      </c>
      <c r="J261" s="62" t="str">
        <f>Table1[[#This Row],[Column42]]&amp;IF(Table1[[#This Row],[Column13]]="","",Table1[[#This Row],[Column13]])&amp;IF(Table1[[#This Row],[mod]]="","",Table1[[#This Row],[mod]])</f>
        <v>border--6</v>
      </c>
      <c r="K2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1" t="s">
        <v>3125</v>
      </c>
      <c r="P261" s="6"/>
      <c r="Q2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61">
        <v>6</v>
      </c>
      <c r="U2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" s="29"/>
      <c r="AC261" s="25"/>
      <c r="AD261" s="41"/>
      <c r="AE261" s="41"/>
      <c r="AF261" s="11"/>
      <c r="AH261" s="1" t="str">
        <f>Table1[[#This Row],[html_tag]]&amp;Table1[[#This Row],[html_type]]&amp;Table1[[#This Row],[html_modifier]]</f>
        <v/>
      </c>
      <c r="AL261" s="22" t="str">
        <f>IFERROR(_xlfn.XLOOKUP(Table1[[#This Row],[word]],Table57[English style name],Table57[Style type]),"")</f>
        <v/>
      </c>
      <c r="AM261" s="20"/>
      <c r="AN261" s="11"/>
      <c r="AQ261" s="6" t="s">
        <v>1290</v>
      </c>
      <c r="AR261" t="s">
        <v>1282</v>
      </c>
    </row>
    <row r="262" spans="5:44">
      <c r="E262" s="76"/>
      <c r="F2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2" s="13" t="s">
        <v>2992</v>
      </c>
      <c r="H262" s="13" t="s">
        <v>2993</v>
      </c>
      <c r="I262" s="12" t="str">
        <f>Table1[[#This Row],[type]]</f>
        <v>border</v>
      </c>
      <c r="J262" s="62" t="str">
        <f>Table1[[#This Row],[Column42]]&amp;IF(Table1[[#This Row],[Column13]]="","",Table1[[#This Row],[Column13]])&amp;IF(Table1[[#This Row],[mod]]="","",Table1[[#This Row],[mod]])</f>
        <v>border--7</v>
      </c>
      <c r="K2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2" t="s">
        <v>3125</v>
      </c>
      <c r="P262" s="6"/>
      <c r="Q2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S262">
        <v>7</v>
      </c>
      <c r="U2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" s="29"/>
      <c r="AC262" s="25"/>
      <c r="AD262" s="41"/>
      <c r="AE262" s="41"/>
      <c r="AF262" s="11"/>
      <c r="AH262" s="1" t="str">
        <f>Table1[[#This Row],[html_tag]]&amp;Table1[[#This Row],[html_type]]&amp;Table1[[#This Row],[html_modifier]]</f>
        <v/>
      </c>
      <c r="AL262" s="22" t="str">
        <f>IFERROR(_xlfn.XLOOKUP(Table1[[#This Row],[word]],Table57[English style name],Table57[Style type]),"")</f>
        <v/>
      </c>
      <c r="AM262" s="20"/>
      <c r="AN262" s="11"/>
      <c r="AQ262" s="6" t="s">
        <v>1291</v>
      </c>
      <c r="AR262" t="s">
        <v>1282</v>
      </c>
    </row>
    <row r="263" spans="5:44">
      <c r="E263" s="76"/>
      <c r="F2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3" s="13" t="s">
        <v>2992</v>
      </c>
      <c r="H263" s="13" t="s">
        <v>2993</v>
      </c>
      <c r="I263" s="12" t="str">
        <f>Table1[[#This Row],[type]]</f>
        <v>border</v>
      </c>
      <c r="J263" s="62" t="str">
        <f>Table1[[#This Row],[Column42]]&amp;IF(Table1[[#This Row],[Column13]]="","",Table1[[#This Row],[Column13]])&amp;IF(Table1[[#This Row],[mod]]="","",Table1[[#This Row],[mod]])</f>
        <v>border--8</v>
      </c>
      <c r="K2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3" t="s">
        <v>3125</v>
      </c>
      <c r="P263" s="6"/>
      <c r="Q2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S263">
        <v>8</v>
      </c>
      <c r="U2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3" s="29"/>
      <c r="AC263" s="25"/>
      <c r="AD263" s="41"/>
      <c r="AE263" s="41"/>
      <c r="AF263" s="11"/>
      <c r="AH263" s="1" t="str">
        <f>Table1[[#This Row],[html_tag]]&amp;Table1[[#This Row],[html_type]]&amp;Table1[[#This Row],[html_modifier]]</f>
        <v/>
      </c>
      <c r="AL263" s="22" t="str">
        <f>IFERROR(_xlfn.XLOOKUP(Table1[[#This Row],[word]],Table57[English style name],Table57[Style type]),"")</f>
        <v/>
      </c>
      <c r="AM263" s="20"/>
      <c r="AN263" s="11"/>
      <c r="AQ263" s="6" t="s">
        <v>1292</v>
      </c>
      <c r="AR263" t="s">
        <v>1282</v>
      </c>
    </row>
    <row r="264" spans="5:44">
      <c r="E264" s="76"/>
      <c r="F2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4" s="13" t="s">
        <v>2992</v>
      </c>
      <c r="H264" s="13" t="s">
        <v>2993</v>
      </c>
      <c r="I264" s="12" t="str">
        <f>Table1[[#This Row],[type]]</f>
        <v>border</v>
      </c>
      <c r="J264" s="62" t="str">
        <f>Table1[[#This Row],[Column42]]&amp;IF(Table1[[#This Row],[Column13]]="","",Table1[[#This Row],[Column13]])&amp;IF(Table1[[#This Row],[mod]]="","",Table1[[#This Row],[mod]])</f>
        <v>border--9</v>
      </c>
      <c r="K2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4" t="s">
        <v>3125</v>
      </c>
      <c r="P264" s="6"/>
      <c r="Q2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--9</v>
      </c>
      <c r="S264">
        <v>9</v>
      </c>
      <c r="U2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4" s="29"/>
      <c r="AC264" s="25"/>
      <c r="AD264" s="41"/>
      <c r="AE264" s="41"/>
      <c r="AF264" s="11"/>
      <c r="AH264" s="1" t="str">
        <f>Table1[[#This Row],[html_tag]]&amp;Table1[[#This Row],[html_type]]&amp;Table1[[#This Row],[html_modifier]]</f>
        <v/>
      </c>
      <c r="AL264" s="22" t="str">
        <f>IFERROR(_xlfn.XLOOKUP(Table1[[#This Row],[word]],Table57[English style name],Table57[Style type]),"")</f>
        <v/>
      </c>
      <c r="AM264" s="20"/>
      <c r="AN264" s="11"/>
      <c r="AQ264" s="6" t="s">
        <v>1293</v>
      </c>
      <c r="AR264" t="s">
        <v>1282</v>
      </c>
    </row>
    <row r="265" spans="5:44">
      <c r="E265" s="76"/>
      <c r="F2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5" s="13" t="s">
        <v>2992</v>
      </c>
      <c r="H265" s="13" t="s">
        <v>2993</v>
      </c>
      <c r="I265" s="12" t="str">
        <f>Table1[[#This Row],[type]]</f>
        <v>border</v>
      </c>
      <c r="J265" s="62" t="str">
        <f>Table1[[#This Row],[Column42]]&amp;IF(Table1[[#This Row],[Column13]]="","",Table1[[#This Row],[Column13]])&amp;IF(Table1[[#This Row],[mod]]="","",Table1[[#This Row],[mod]])</f>
        <v>border--alert</v>
      </c>
      <c r="K2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5" t="s">
        <v>3125</v>
      </c>
      <c r="P265" s="6" t="s">
        <v>1243</v>
      </c>
      <c r="Q26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--alert</v>
      </c>
      <c r="Z265" t="s">
        <v>1153</v>
      </c>
      <c r="AB265" s="29"/>
      <c r="AC265" s="25"/>
      <c r="AD265" s="41" t="s">
        <v>4571</v>
      </c>
      <c r="AE265" s="41"/>
      <c r="AF265" s="11"/>
      <c r="AH265" s="1" t="str">
        <f>Table1[[#This Row],[html_tag]]&amp;Table1[[#This Row],[html_type]]&amp;Table1[[#This Row],[html_modifier]]</f>
        <v/>
      </c>
      <c r="AL265" s="22" t="str">
        <f>IFERROR(_xlfn.XLOOKUP(Table1[[#This Row],[word]],Table57[English style name],Table57[Style type]),"")</f>
        <v/>
      </c>
      <c r="AM265" s="20"/>
      <c r="AN265" s="11"/>
      <c r="AQ265" s="6" t="s">
        <v>1243</v>
      </c>
      <c r="AR265" t="s">
        <v>1242</v>
      </c>
    </row>
    <row r="266" spans="5:44">
      <c r="E266" s="76"/>
      <c r="F2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6" s="13" t="s">
        <v>2992</v>
      </c>
      <c r="H266" s="13" t="s">
        <v>2993</v>
      </c>
      <c r="I266" s="12" t="str">
        <f>Table1[[#This Row],[type]]</f>
        <v>border</v>
      </c>
      <c r="J266" s="62" t="str">
        <f>Table1[[#This Row],[Column42]]&amp;IF(Table1[[#This Row],[Column13]]="","",Table1[[#This Row],[Column13]])&amp;IF(Table1[[#This Row],[mod]]="","",Table1[[#This Row],[mod]])</f>
        <v>border--danger</v>
      </c>
      <c r="K2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6" t="s">
        <v>3125</v>
      </c>
      <c r="Q2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266" t="s">
        <v>3163</v>
      </c>
      <c r="AB266" s="29"/>
      <c r="AC266" s="25" t="s">
        <v>3686</v>
      </c>
      <c r="AD266" s="41"/>
      <c r="AE266" s="41"/>
      <c r="AF266" s="11"/>
      <c r="AH266" s="7" t="str">
        <f>Table1[[#This Row],[html_tag]]&amp;Table1[[#This Row],[html_type]]&amp;Table1[[#This Row],[html_modifier]]</f>
        <v/>
      </c>
      <c r="AL266" s="23" t="str">
        <f>IFERROR(_xlfn.XLOOKUP(Table1[[#This Row],[word]],Table57[English style name],Table57[Style type]),"")</f>
        <v/>
      </c>
      <c r="AM266" s="21"/>
      <c r="AN266" s="11"/>
    </row>
    <row r="267" spans="5:44">
      <c r="E267" s="76"/>
      <c r="F2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7" s="13" t="s">
        <v>2992</v>
      </c>
      <c r="H267" s="13" t="s">
        <v>2993</v>
      </c>
      <c r="I267" s="12" t="str">
        <f>Table1[[#This Row],[type]]</f>
        <v>border</v>
      </c>
      <c r="J267" s="62" t="str">
        <f>Table1[[#This Row],[Column42]]&amp;IF(Table1[[#This Row],[Column13]]="","",Table1[[#This Row],[Column13]])&amp;IF(Table1[[#This Row],[mod]]="","",Table1[[#This Row],[mod]])</f>
        <v>border--dark</v>
      </c>
      <c r="K2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7" t="s">
        <v>3125</v>
      </c>
      <c r="Q2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267" t="s">
        <v>3501</v>
      </c>
      <c r="AB267" s="29"/>
      <c r="AC267" s="25" t="s">
        <v>3687</v>
      </c>
      <c r="AD267" s="41"/>
      <c r="AE267" s="41"/>
      <c r="AF267" s="11"/>
      <c r="AH267" s="7" t="str">
        <f>Table1[[#This Row],[html_tag]]&amp;Table1[[#This Row],[html_type]]&amp;Table1[[#This Row],[html_modifier]]</f>
        <v/>
      </c>
      <c r="AL267" s="23" t="str">
        <f>IFERROR(_xlfn.XLOOKUP(Table1[[#This Row],[word]],Table57[English style name],Table57[Style type]),"")</f>
        <v/>
      </c>
      <c r="AM267" s="21"/>
      <c r="AN267" s="11"/>
    </row>
    <row r="268" spans="5:44">
      <c r="E268" s="76"/>
      <c r="F2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8" s="13" t="s">
        <v>2992</v>
      </c>
      <c r="H268" s="13" t="s">
        <v>2993</v>
      </c>
      <c r="I268" s="12" t="str">
        <f>Table1[[#This Row],[type]]</f>
        <v>border</v>
      </c>
      <c r="J268" s="62" t="str">
        <f>Table1[[#This Row],[Column42]]&amp;IF(Table1[[#This Row],[Column13]]="","",Table1[[#This Row],[Column13]])&amp;IF(Table1[[#This Row],[mod]]="","",Table1[[#This Row],[mod]])</f>
        <v>border--dashed</v>
      </c>
      <c r="K2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8" t="s">
        <v>3125</v>
      </c>
      <c r="P268" s="6" t="s">
        <v>1266</v>
      </c>
      <c r="Q2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--dashed</v>
      </c>
      <c r="W268" t="s">
        <v>3708</v>
      </c>
      <c r="AB268" s="29"/>
      <c r="AC268" s="25"/>
      <c r="AD268" s="41"/>
      <c r="AE268" s="41"/>
      <c r="AF268" s="11"/>
      <c r="AH268" s="1" t="str">
        <f>Table1[[#This Row],[html_tag]]&amp;Table1[[#This Row],[html_type]]&amp;Table1[[#This Row],[html_modifier]]</f>
        <v/>
      </c>
      <c r="AL268" s="22" t="str">
        <f>IFERROR(_xlfn.XLOOKUP(Table1[[#This Row],[word]],Table57[English style name],Table57[Style type]),"")</f>
        <v/>
      </c>
      <c r="AM268" s="20"/>
      <c r="AN268" s="11"/>
      <c r="AQ268" s="6" t="s">
        <v>1266</v>
      </c>
      <c r="AR268" t="s">
        <v>1267</v>
      </c>
    </row>
    <row r="269" spans="5:44">
      <c r="E269" s="76"/>
      <c r="F2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9" s="13" t="s">
        <v>2992</v>
      </c>
      <c r="H269" s="13" t="s">
        <v>2993</v>
      </c>
      <c r="I269" s="12" t="str">
        <f>Table1[[#This Row],[type]]</f>
        <v>border</v>
      </c>
      <c r="J269" s="62" t="str">
        <f>Table1[[#This Row],[Column42]]&amp;IF(Table1[[#This Row],[Column13]]="","",Table1[[#This Row],[Column13]])&amp;IF(Table1[[#This Row],[mod]]="","",Table1[[#This Row],[mod]])</f>
        <v>border--dotted</v>
      </c>
      <c r="K2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9" t="s">
        <v>3125</v>
      </c>
      <c r="P269" s="6" t="s">
        <v>1268</v>
      </c>
      <c r="Q2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269" t="s">
        <v>3475</v>
      </c>
      <c r="AB269" s="29"/>
      <c r="AC269" s="25"/>
      <c r="AD269" s="41"/>
      <c r="AE269" s="41"/>
      <c r="AF269" s="11"/>
      <c r="AH269" s="1" t="str">
        <f>Table1[[#This Row],[html_tag]]&amp;Table1[[#This Row],[html_type]]&amp;Table1[[#This Row],[html_modifier]]</f>
        <v/>
      </c>
      <c r="AL269" s="22" t="str">
        <f>IFERROR(_xlfn.XLOOKUP(Table1[[#This Row],[word]],Table57[English style name],Table57[Style type]),"")</f>
        <v/>
      </c>
      <c r="AM269" s="20"/>
      <c r="AN269" s="11"/>
      <c r="AQ269" s="6" t="s">
        <v>1268</v>
      </c>
      <c r="AR269" t="s">
        <v>1267</v>
      </c>
    </row>
    <row r="270" spans="5:44">
      <c r="E270" s="76"/>
      <c r="F2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0" s="13" t="s">
        <v>2992</v>
      </c>
      <c r="H270" s="13" t="s">
        <v>2993</v>
      </c>
      <c r="I270" s="12" t="str">
        <f>Table1[[#This Row],[type]]</f>
        <v>border</v>
      </c>
      <c r="J270" s="62" t="str">
        <f>Table1[[#This Row],[Column42]]&amp;IF(Table1[[#This Row],[Column13]]="","",Table1[[#This Row],[Column13]])&amp;IF(Table1[[#This Row],[mod]]="","",Table1[[#This Row],[mod]])</f>
        <v>border--dotted</v>
      </c>
      <c r="K2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0" t="s">
        <v>3125</v>
      </c>
      <c r="P270" s="6" t="s">
        <v>1250</v>
      </c>
      <c r="Q2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270" t="s">
        <v>3475</v>
      </c>
      <c r="AB270" s="29"/>
      <c r="AC270" s="25"/>
      <c r="AD270" s="41"/>
      <c r="AE270" s="41"/>
      <c r="AF270" s="11"/>
      <c r="AH270" s="1" t="str">
        <f>Table1[[#This Row],[html_tag]]&amp;Table1[[#This Row],[html_type]]&amp;Table1[[#This Row],[html_modifier]]</f>
        <v/>
      </c>
      <c r="AL270" s="22" t="str">
        <f>IFERROR(_xlfn.XLOOKUP(Table1[[#This Row],[word]],Table57[English style name],Table57[Style type]),"")</f>
        <v/>
      </c>
      <c r="AM270" s="20"/>
      <c r="AN270" s="11"/>
      <c r="AQ270" s="6" t="s">
        <v>1250</v>
      </c>
      <c r="AR270" t="s">
        <v>1249</v>
      </c>
    </row>
    <row r="271" spans="5:44">
      <c r="E271" s="76"/>
      <c r="F2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1" s="13" t="s">
        <v>2992</v>
      </c>
      <c r="H271" s="13" t="s">
        <v>2993</v>
      </c>
      <c r="I271" s="12" t="str">
        <f>Table1[[#This Row],[type]]</f>
        <v>border</v>
      </c>
      <c r="J271" s="62" t="str">
        <f>Table1[[#This Row],[Column42]]&amp;IF(Table1[[#This Row],[Column13]]="","",Table1[[#This Row],[Column13]])&amp;IF(Table1[[#This Row],[mod]]="","",Table1[[#This Row],[mod]])</f>
        <v>border--double</v>
      </c>
      <c r="K2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1" t="s">
        <v>3125</v>
      </c>
      <c r="P271" s="6" t="s">
        <v>1269</v>
      </c>
      <c r="Q2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--double</v>
      </c>
      <c r="W271" t="s">
        <v>3709</v>
      </c>
      <c r="AB271" s="29"/>
      <c r="AC271" s="25"/>
      <c r="AD271" s="41"/>
      <c r="AE271" s="41"/>
      <c r="AF271" s="11"/>
      <c r="AH271" s="1" t="str">
        <f>Table1[[#This Row],[html_tag]]&amp;Table1[[#This Row],[html_type]]&amp;Table1[[#This Row],[html_modifier]]</f>
        <v/>
      </c>
      <c r="AL271" s="22" t="str">
        <f>IFERROR(_xlfn.XLOOKUP(Table1[[#This Row],[word]],Table57[English style name],Table57[Style type]),"")</f>
        <v/>
      </c>
      <c r="AM271" s="20"/>
      <c r="AN271" s="11"/>
      <c r="AQ271" s="6" t="s">
        <v>1269</v>
      </c>
      <c r="AR271" t="s">
        <v>1267</v>
      </c>
    </row>
    <row r="272" spans="5:44">
      <c r="E272" s="76"/>
      <c r="F2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2" s="13" t="s">
        <v>2992</v>
      </c>
      <c r="H272" s="13" t="s">
        <v>2993</v>
      </c>
      <c r="I272" s="12" t="str">
        <f>Table1[[#This Row],[type]]</f>
        <v>border</v>
      </c>
      <c r="J272" s="62" t="str">
        <f>Table1[[#This Row],[Column42]]&amp;IF(Table1[[#This Row],[Column13]]="","",Table1[[#This Row],[Column13]])&amp;IF(Table1[[#This Row],[mod]]="","",Table1[[#This Row],[mod]])</f>
        <v>border--groove</v>
      </c>
      <c r="K2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2" t="s">
        <v>3125</v>
      </c>
      <c r="P272" s="6" t="s">
        <v>1270</v>
      </c>
      <c r="Q27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--groove</v>
      </c>
      <c r="W272" t="s">
        <v>3710</v>
      </c>
      <c r="AB272" s="29"/>
      <c r="AC272" s="25"/>
      <c r="AD272" s="41"/>
      <c r="AE272" s="41"/>
      <c r="AF272" s="11"/>
      <c r="AH272" s="1" t="str">
        <f>Table1[[#This Row],[html_tag]]&amp;Table1[[#This Row],[html_type]]&amp;Table1[[#This Row],[html_modifier]]</f>
        <v/>
      </c>
      <c r="AL272" s="22" t="str">
        <f>IFERROR(_xlfn.XLOOKUP(Table1[[#This Row],[word]],Table57[English style name],Table57[Style type]),"")</f>
        <v/>
      </c>
      <c r="AM272" s="20"/>
      <c r="AN272" s="11"/>
      <c r="AQ272" s="6" t="s">
        <v>1270</v>
      </c>
      <c r="AR272" t="s">
        <v>1267</v>
      </c>
    </row>
    <row r="273" spans="5:46">
      <c r="E273" s="76"/>
      <c r="F2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3" s="13" t="s">
        <v>2992</v>
      </c>
      <c r="H273" s="13" t="s">
        <v>2993</v>
      </c>
      <c r="I273" s="12" t="str">
        <f>Table1[[#This Row],[type]]</f>
        <v>border</v>
      </c>
      <c r="J273" s="62" t="str">
        <f>Table1[[#This Row],[Column42]]&amp;IF(Table1[[#This Row],[Column13]]="","",Table1[[#This Row],[Column13]])&amp;IF(Table1[[#This Row],[mod]]="","",Table1[[#This Row],[mod]])</f>
        <v>border--hidden</v>
      </c>
      <c r="K2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3" t="s">
        <v>3125</v>
      </c>
      <c r="Q27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273" t="s">
        <v>3087</v>
      </c>
      <c r="AB273" s="29"/>
      <c r="AC273" s="25"/>
      <c r="AD273" s="41"/>
      <c r="AE273" s="41"/>
      <c r="AF273" s="11"/>
      <c r="AH273" s="1" t="str">
        <f>Table1[[#This Row],[html_tag]]&amp;Table1[[#This Row],[html_type]]&amp;Table1[[#This Row],[html_modifier]]</f>
        <v/>
      </c>
      <c r="AL273" s="22" t="str">
        <f>IFERROR(_xlfn.XLOOKUP(Table1[[#This Row],[word]],Table57[English style name],Table57[Style type]),"")</f>
        <v/>
      </c>
      <c r="AM273" s="20"/>
      <c r="AN273" s="11"/>
      <c r="AQ273" s="6" t="s">
        <v>1271</v>
      </c>
      <c r="AR273" t="s">
        <v>1267</v>
      </c>
    </row>
    <row r="274" spans="5:46">
      <c r="E274" s="76"/>
      <c r="F2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4" s="13" t="s">
        <v>2992</v>
      </c>
      <c r="H274" s="13" t="s">
        <v>2993</v>
      </c>
      <c r="I274" s="12" t="str">
        <f>Table1[[#This Row],[type]]</f>
        <v>border</v>
      </c>
      <c r="J274" s="62" t="str">
        <f>Table1[[#This Row],[Column42]]&amp;IF(Table1[[#This Row],[Column13]]="","",Table1[[#This Row],[Column13]])&amp;IF(Table1[[#This Row],[mod]]="","",Table1[[#This Row],[mod]])</f>
        <v>border--horizontal</v>
      </c>
      <c r="K2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4" t="s">
        <v>3125</v>
      </c>
      <c r="P274" s="6" t="s">
        <v>1259</v>
      </c>
      <c r="Q27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74" t="s">
        <v>3205</v>
      </c>
      <c r="AB274" s="29"/>
      <c r="AC274" s="25"/>
      <c r="AD274" s="41"/>
      <c r="AE274" s="41"/>
      <c r="AF274" s="11"/>
      <c r="AH274" s="1" t="str">
        <f>Table1[[#This Row],[html_tag]]&amp;Table1[[#This Row],[html_type]]&amp;Table1[[#This Row],[html_modifier]]</f>
        <v/>
      </c>
      <c r="AL274" s="22" t="str">
        <f>IFERROR(_xlfn.XLOOKUP(Table1[[#This Row],[word]],Table57[English style name],Table57[Style type]),"")</f>
        <v/>
      </c>
      <c r="AM274" s="20"/>
      <c r="AN274" s="11"/>
      <c r="AQ274" s="6" t="s">
        <v>1259</v>
      </c>
      <c r="AR274" t="s">
        <v>1258</v>
      </c>
    </row>
    <row r="275" spans="5:46">
      <c r="E275" s="76"/>
      <c r="F2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5" s="13" t="s">
        <v>2992</v>
      </c>
      <c r="H275" s="13" t="s">
        <v>2993</v>
      </c>
      <c r="I275" s="12" t="str">
        <f>Table1[[#This Row],[type]]</f>
        <v>border</v>
      </c>
      <c r="J275" s="62" t="str">
        <f>Table1[[#This Row],[Column42]]&amp;IF(Table1[[#This Row],[Column13]]="","",Table1[[#This Row],[Column13]])&amp;IF(Table1[[#This Row],[mod]]="","",Table1[[#This Row],[mod]])</f>
        <v>border--hover</v>
      </c>
      <c r="K2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5" t="s">
        <v>3125</v>
      </c>
      <c r="P275" s="6" t="s">
        <v>1251</v>
      </c>
      <c r="Q27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75" t="s">
        <v>3019</v>
      </c>
      <c r="AB275" s="29"/>
      <c r="AC275" s="25"/>
      <c r="AD275" s="41"/>
      <c r="AE275" s="41"/>
      <c r="AF275" s="11"/>
      <c r="AH275" s="1" t="str">
        <f>Table1[[#This Row],[html_tag]]&amp;Table1[[#This Row],[html_type]]&amp;Table1[[#This Row],[html_modifier]]</f>
        <v/>
      </c>
      <c r="AL275" s="22" t="str">
        <f>IFERROR(_xlfn.XLOOKUP(Table1[[#This Row],[word]],Table57[English style name],Table57[Style type]),"")</f>
        <v/>
      </c>
      <c r="AM275" s="20"/>
      <c r="AN275" s="11"/>
      <c r="AQ275" s="6" t="s">
        <v>1251</v>
      </c>
      <c r="AR275" t="s">
        <v>1249</v>
      </c>
    </row>
    <row r="276" spans="5:46">
      <c r="E276" s="76"/>
      <c r="F2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6" s="13" t="s">
        <v>2992</v>
      </c>
      <c r="H276" s="13" t="s">
        <v>2993</v>
      </c>
      <c r="I276" s="12" t="str">
        <f>Table1[[#This Row],[type]]</f>
        <v>border</v>
      </c>
      <c r="J276" s="62" t="str">
        <f>Table1[[#This Row],[Column42]]&amp;IF(Table1[[#This Row],[Column13]]="","",Table1[[#This Row],[Column13]])&amp;IF(Table1[[#This Row],[mod]]="","",Table1[[#This Row],[mod]])</f>
        <v>border--info</v>
      </c>
      <c r="K2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6" t="s">
        <v>3125</v>
      </c>
      <c r="Q2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76" t="s">
        <v>3119</v>
      </c>
      <c r="AB276" s="29"/>
      <c r="AC276" s="25" t="s">
        <v>3688</v>
      </c>
      <c r="AD276" s="41"/>
      <c r="AE276" s="41"/>
      <c r="AF276" s="11"/>
      <c r="AH276" s="7" t="str">
        <f>Table1[[#This Row],[html_tag]]&amp;Table1[[#This Row],[html_type]]&amp;Table1[[#This Row],[html_modifier]]</f>
        <v/>
      </c>
      <c r="AL276" s="23" t="str">
        <f>IFERROR(_xlfn.XLOOKUP(Table1[[#This Row],[word]],Table57[English style name],Table57[Style type]),"")</f>
        <v/>
      </c>
      <c r="AM276" s="21"/>
      <c r="AN276" s="11"/>
    </row>
    <row r="277" spans="5:46">
      <c r="E277" s="76"/>
      <c r="F2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7" s="13" t="s">
        <v>2992</v>
      </c>
      <c r="H277" s="13" t="s">
        <v>2993</v>
      </c>
      <c r="I277" s="12" t="str">
        <f>Table1[[#This Row],[type]]</f>
        <v>border</v>
      </c>
      <c r="J277" s="62" t="str">
        <f>Table1[[#This Row],[Column42]]&amp;IF(Table1[[#This Row],[Column13]]="","",Table1[[#This Row],[Column13]])&amp;IF(Table1[[#This Row],[mod]]="","",Table1[[#This Row],[mod]])</f>
        <v>border--inset</v>
      </c>
      <c r="K2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7" t="s">
        <v>3125</v>
      </c>
      <c r="P277" s="6" t="s">
        <v>1272</v>
      </c>
      <c r="Q27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--inset</v>
      </c>
      <c r="W277" t="s">
        <v>3711</v>
      </c>
      <c r="AB277" s="29"/>
      <c r="AC277" s="25"/>
      <c r="AD277" s="41"/>
      <c r="AE277" s="41"/>
      <c r="AF277" s="11"/>
      <c r="AH277" s="1" t="str">
        <f>Table1[[#This Row],[html_tag]]&amp;Table1[[#This Row],[html_type]]&amp;Table1[[#This Row],[html_modifier]]</f>
        <v/>
      </c>
      <c r="AL277" s="22" t="str">
        <f>IFERROR(_xlfn.XLOOKUP(Table1[[#This Row],[word]],Table57[English style name],Table57[Style type]),"")</f>
        <v/>
      </c>
      <c r="AM277" s="20"/>
      <c r="AN277" s="11"/>
      <c r="AQ277" s="6" t="s">
        <v>1272</v>
      </c>
      <c r="AR277" t="s">
        <v>1267</v>
      </c>
    </row>
    <row r="278" spans="5:46">
      <c r="E278" s="76"/>
      <c r="F2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8" s="13" t="s">
        <v>2992</v>
      </c>
      <c r="H278" s="13" t="s">
        <v>2993</v>
      </c>
      <c r="I278" s="12" t="str">
        <f>Table1[[#This Row],[type]]</f>
        <v>border</v>
      </c>
      <c r="J278" s="62" t="str">
        <f>Table1[[#This Row],[Column42]]&amp;IF(Table1[[#This Row],[Column13]]="","",Table1[[#This Row],[Column13]])&amp;IF(Table1[[#This Row],[mod]]="","",Table1[[#This Row],[mod]])</f>
        <v>border--light</v>
      </c>
      <c r="K2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8" t="s">
        <v>3125</v>
      </c>
      <c r="Q2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278" t="s">
        <v>3503</v>
      </c>
      <c r="AB278" s="29"/>
      <c r="AC278" s="25" t="s">
        <v>3689</v>
      </c>
      <c r="AD278" s="41"/>
      <c r="AE278" s="41"/>
      <c r="AF278" s="11"/>
      <c r="AH278" s="7" t="str">
        <f>Table1[[#This Row],[html_tag]]&amp;Table1[[#This Row],[html_type]]&amp;Table1[[#This Row],[html_modifier]]</f>
        <v/>
      </c>
      <c r="AL278" s="23" t="str">
        <f>IFERROR(_xlfn.XLOOKUP(Table1[[#This Row],[word]],Table57[English style name],Table57[Style type]),"")</f>
        <v/>
      </c>
      <c r="AM278" s="21"/>
      <c r="AN278" s="11"/>
    </row>
    <row r="279" spans="5:46">
      <c r="E279" s="76"/>
      <c r="F2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9" s="13" t="s">
        <v>2992</v>
      </c>
      <c r="H279" s="13" t="s">
        <v>2993</v>
      </c>
      <c r="I279" s="12" t="str">
        <f>Table1[[#This Row],[type]]</f>
        <v>border</v>
      </c>
      <c r="J279" s="62" t="str">
        <f>Table1[[#This Row],[Column42]]&amp;IF(Table1[[#This Row],[Column13]]="","",Table1[[#This Row],[Column13]])&amp;IF(Table1[[#This Row],[mod]]="","",Table1[[#This Row],[mod]])</f>
        <v>border--none</v>
      </c>
      <c r="K2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9" t="s">
        <v>3125</v>
      </c>
      <c r="P279" s="6" t="s">
        <v>1273</v>
      </c>
      <c r="Q2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--none</v>
      </c>
      <c r="V279" t="s">
        <v>3209</v>
      </c>
      <c r="AB279" s="29"/>
      <c r="AC279" s="25"/>
      <c r="AD279" s="41"/>
      <c r="AE279" s="41"/>
      <c r="AF279" s="11"/>
      <c r="AH279" s="1" t="str">
        <f>Table1[[#This Row],[html_tag]]&amp;Table1[[#This Row],[html_type]]&amp;Table1[[#This Row],[html_modifier]]</f>
        <v/>
      </c>
      <c r="AL279" s="22" t="str">
        <f>IFERROR(_xlfn.XLOOKUP(Table1[[#This Row],[word]],Table57[English style name],Table57[Style type]),"")</f>
        <v/>
      </c>
      <c r="AM279" s="20"/>
      <c r="AN279" s="11"/>
      <c r="AQ279" s="6" t="s">
        <v>1273</v>
      </c>
      <c r="AR279" t="s">
        <v>1267</v>
      </c>
    </row>
    <row r="280" spans="5:46">
      <c r="E280" s="76"/>
      <c r="F2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0" s="13" t="s">
        <v>2992</v>
      </c>
      <c r="H280" s="13" t="s">
        <v>2993</v>
      </c>
      <c r="I280" s="12" t="str">
        <f>Table1[[#This Row],[type]]</f>
        <v>border</v>
      </c>
      <c r="J280" s="62" t="str">
        <f>Table1[[#This Row],[Column42]]&amp;IF(Table1[[#This Row],[Column13]]="","",Table1[[#This Row],[Column13]])&amp;IF(Table1[[#This Row],[mod]]="","",Table1[[#This Row],[mod]])</f>
        <v>border--outset</v>
      </c>
      <c r="K2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0" t="s">
        <v>3125</v>
      </c>
      <c r="P280" s="6" t="s">
        <v>1274</v>
      </c>
      <c r="Q2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--outset</v>
      </c>
      <c r="W280" t="s">
        <v>3712</v>
      </c>
      <c r="AB280" s="29"/>
      <c r="AC280" s="25"/>
      <c r="AD280" s="41"/>
      <c r="AE280" s="41"/>
      <c r="AF280" s="11"/>
      <c r="AH280" s="1" t="str">
        <f>Table1[[#This Row],[html_tag]]&amp;Table1[[#This Row],[html_type]]&amp;Table1[[#This Row],[html_modifier]]</f>
        <v/>
      </c>
      <c r="AL280" s="22" t="str">
        <f>IFERROR(_xlfn.XLOOKUP(Table1[[#This Row],[word]],Table57[English style name],Table57[Style type]),"")</f>
        <v/>
      </c>
      <c r="AM280" s="20"/>
      <c r="AN280" s="11"/>
      <c r="AQ280" s="6" t="s">
        <v>1274</v>
      </c>
      <c r="AR280" t="s">
        <v>1267</v>
      </c>
    </row>
    <row r="281" spans="5:46">
      <c r="E281" s="76"/>
      <c r="F2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1" s="13" t="s">
        <v>2992</v>
      </c>
      <c r="H281" s="13" t="s">
        <v>2993</v>
      </c>
      <c r="I281" s="12" t="str">
        <f>Table1[[#This Row],[type]]</f>
        <v>border</v>
      </c>
      <c r="J281" s="62" t="str">
        <f>Table1[[#This Row],[Column42]]&amp;IF(Table1[[#This Row],[Column13]]="","",Table1[[#This Row],[Column13]])&amp;IF(Table1[[#This Row],[mod]]="","",Table1[[#This Row],[mod]])</f>
        <v>border--primary</v>
      </c>
      <c r="K2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1" t="s">
        <v>3125</v>
      </c>
      <c r="P281" s="6" t="s">
        <v>1244</v>
      </c>
      <c r="Q2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81" t="s">
        <v>3164</v>
      </c>
      <c r="AB281" s="29"/>
      <c r="AC281" s="25" t="s">
        <v>3690</v>
      </c>
      <c r="AD281" s="41"/>
      <c r="AE281" s="41"/>
      <c r="AF281" s="11"/>
      <c r="AH281" s="1" t="str">
        <f>Table1[[#This Row],[html_tag]]&amp;Table1[[#This Row],[html_type]]&amp;Table1[[#This Row],[html_modifier]]</f>
        <v/>
      </c>
      <c r="AL281" s="22" t="str">
        <f>IFERROR(_xlfn.XLOOKUP(Table1[[#This Row],[word]],Table57[English style name],Table57[Style type]),"")</f>
        <v/>
      </c>
      <c r="AM281" s="20"/>
      <c r="AN281" s="11"/>
      <c r="AQ281" s="6" t="s">
        <v>1244</v>
      </c>
      <c r="AR281" t="s">
        <v>1242</v>
      </c>
    </row>
    <row r="282" spans="5:46">
      <c r="E282" s="76"/>
      <c r="F2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2" s="13" t="s">
        <v>2992</v>
      </c>
      <c r="H282" s="13" t="s">
        <v>2993</v>
      </c>
      <c r="I282" s="12" t="str">
        <f>Table1[[#This Row],[type]]</f>
        <v>border</v>
      </c>
      <c r="J282" s="62" t="str">
        <f>Table1[[#This Row],[Column42]]&amp;IF(Table1[[#This Row],[Column13]]="","",Table1[[#This Row],[Column13]])&amp;IF(Table1[[#This Row],[mod]]="","",Table1[[#This Row],[mod]])</f>
        <v>border--ridge</v>
      </c>
      <c r="K2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2" t="s">
        <v>3125</v>
      </c>
      <c r="P282" s="6" t="s">
        <v>1275</v>
      </c>
      <c r="Q2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--ridge</v>
      </c>
      <c r="W282" t="s">
        <v>3713</v>
      </c>
      <c r="AB282" s="29"/>
      <c r="AC282" s="25"/>
      <c r="AD282" s="41"/>
      <c r="AE282" s="41"/>
      <c r="AF282" s="11"/>
      <c r="AH282" s="1" t="str">
        <f>Table1[[#This Row],[html_tag]]&amp;Table1[[#This Row],[html_type]]&amp;Table1[[#This Row],[html_modifier]]</f>
        <v/>
      </c>
      <c r="AL282" s="22" t="str">
        <f>IFERROR(_xlfn.XLOOKUP(Table1[[#This Row],[word]],Table57[English style name],Table57[Style type]),"")</f>
        <v/>
      </c>
      <c r="AM282" s="20"/>
      <c r="AN282" s="11"/>
      <c r="AQ282" s="6" t="s">
        <v>1275</v>
      </c>
      <c r="AR282" t="s">
        <v>1267</v>
      </c>
    </row>
    <row r="283" spans="5:46">
      <c r="E283" s="76"/>
      <c r="F2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3" s="13" t="s">
        <v>2992</v>
      </c>
      <c r="H283" s="13" t="s">
        <v>2993</v>
      </c>
      <c r="I283" s="12" t="str">
        <f>Table1[[#This Row],[type]]</f>
        <v>border</v>
      </c>
      <c r="J283" s="62" t="str">
        <f>Table1[[#This Row],[Column42]]&amp;IF(Table1[[#This Row],[Column13]]="","",Table1[[#This Row],[Column13]])&amp;IF(Table1[[#This Row],[mod]]="","",Table1[[#This Row],[mod]])</f>
        <v>border--secondary</v>
      </c>
      <c r="K2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3" t="s">
        <v>3125</v>
      </c>
      <c r="P283" s="6" t="s">
        <v>1245</v>
      </c>
      <c r="Q2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83" t="s">
        <v>3502</v>
      </c>
      <c r="AB283" s="29"/>
      <c r="AC283" s="25" t="s">
        <v>3691</v>
      </c>
      <c r="AD283" s="41"/>
      <c r="AE283" s="41"/>
      <c r="AF283" s="11"/>
      <c r="AH283" s="1" t="str">
        <f>Table1[[#This Row],[html_tag]]&amp;Table1[[#This Row],[html_type]]&amp;Table1[[#This Row],[html_modifier]]</f>
        <v/>
      </c>
      <c r="AL283" s="22" t="str">
        <f>IFERROR(_xlfn.XLOOKUP(Table1[[#This Row],[word]],Table57[English style name],Table57[Style type]),"")</f>
        <v/>
      </c>
      <c r="AM283" s="20"/>
      <c r="AN283" s="11"/>
      <c r="AQ283" s="6" t="s">
        <v>1245</v>
      </c>
      <c r="AR283" t="s">
        <v>1242</v>
      </c>
    </row>
    <row r="284" spans="5:46">
      <c r="E284" s="76"/>
      <c r="F2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4" s="13" t="s">
        <v>2992</v>
      </c>
      <c r="H284" s="13" t="s">
        <v>2993</v>
      </c>
      <c r="I284" s="12" t="str">
        <f>Table1[[#This Row],[type]]</f>
        <v>border</v>
      </c>
      <c r="J284" s="62" t="str">
        <f>Table1[[#This Row],[Column42]]&amp;IF(Table1[[#This Row],[Column13]]="","",Table1[[#This Row],[Column13]])&amp;IF(Table1[[#This Row],[mod]]="","",Table1[[#This Row],[mod]])</f>
        <v>border--solid</v>
      </c>
      <c r="K2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4" t="s">
        <v>3125</v>
      </c>
      <c r="P284" s="6" t="s">
        <v>1276</v>
      </c>
      <c r="Q2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--solid</v>
      </c>
      <c r="W284" t="s">
        <v>3615</v>
      </c>
      <c r="AB284" s="29"/>
      <c r="AC284" s="25"/>
      <c r="AD284" s="41"/>
      <c r="AE284" s="41"/>
      <c r="AF284" s="11"/>
      <c r="AH284" s="1" t="str">
        <f>Table1[[#This Row],[html_tag]]&amp;Table1[[#This Row],[html_type]]&amp;Table1[[#This Row],[html_modifier]]</f>
        <v/>
      </c>
      <c r="AL284" s="22" t="str">
        <f>IFERROR(_xlfn.XLOOKUP(Table1[[#This Row],[word]],Table57[English style name],Table57[Style type]),"")</f>
        <v/>
      </c>
      <c r="AM284" s="20"/>
      <c r="AN284" s="11"/>
      <c r="AQ284" s="6" t="s">
        <v>1276</v>
      </c>
      <c r="AR284" t="s">
        <v>1267</v>
      </c>
    </row>
    <row r="285" spans="5:46">
      <c r="E285" s="76"/>
      <c r="F2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5" s="13" t="s">
        <v>2992</v>
      </c>
      <c r="H285" s="13" t="s">
        <v>2993</v>
      </c>
      <c r="I285" s="12" t="str">
        <f>Table1[[#This Row],[type]]</f>
        <v>border</v>
      </c>
      <c r="J285" s="62" t="str">
        <f>Table1[[#This Row],[Column42]]&amp;IF(Table1[[#This Row],[Column13]]="","",Table1[[#This Row],[Column13]])&amp;IF(Table1[[#This Row],[mod]]="","",Table1[[#This Row],[mod]])</f>
        <v>border--success</v>
      </c>
      <c r="K2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5" t="s">
        <v>3125</v>
      </c>
      <c r="Q2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85" t="s">
        <v>3120</v>
      </c>
      <c r="AB285" s="29"/>
      <c r="AC285" s="25" t="s">
        <v>3692</v>
      </c>
      <c r="AD285" s="41"/>
      <c r="AE285" s="41"/>
      <c r="AF285" s="11"/>
      <c r="AH285" s="7" t="str">
        <f>Table1[[#This Row],[html_tag]]&amp;Table1[[#This Row],[html_type]]&amp;Table1[[#This Row],[html_modifier]]</f>
        <v/>
      </c>
      <c r="AL285" s="23" t="str">
        <f>IFERROR(_xlfn.XLOOKUP(Table1[[#This Row],[word]],Table57[English style name],Table57[Style type]),"")</f>
        <v/>
      </c>
      <c r="AM285" s="21"/>
      <c r="AN285" s="11"/>
    </row>
    <row r="286" spans="5:46">
      <c r="E286" s="76"/>
      <c r="F2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6" s="13" t="s">
        <v>2992</v>
      </c>
      <c r="H286" s="13" t="s">
        <v>2993</v>
      </c>
      <c r="I286" s="12" t="str">
        <f>Table1[[#This Row],[type]]</f>
        <v>border</v>
      </c>
      <c r="J286" s="62" t="str">
        <f>Table1[[#This Row],[Column42]]&amp;IF(Table1[[#This Row],[Column13]]="","",Table1[[#This Row],[Column13]])&amp;IF(Table1[[#This Row],[mod]]="","",Table1[[#This Row],[mod]])</f>
        <v>border--thick</v>
      </c>
      <c r="K2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6" t="s">
        <v>3125</v>
      </c>
      <c r="P286" s="6" t="s">
        <v>1283</v>
      </c>
      <c r="Q2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--thick</v>
      </c>
      <c r="W286" t="s">
        <v>3476</v>
      </c>
      <c r="AB286" s="29"/>
      <c r="AC286" s="25"/>
      <c r="AD286" s="41"/>
      <c r="AE286" s="41"/>
      <c r="AF286" s="11"/>
      <c r="AH286" s="1" t="str">
        <f>Table1[[#This Row],[html_tag]]&amp;Table1[[#This Row],[html_type]]&amp;Table1[[#This Row],[html_modifier]]</f>
        <v/>
      </c>
      <c r="AL286" s="22" t="str">
        <f>IFERROR(_xlfn.XLOOKUP(Table1[[#This Row],[word]],Table57[English style name],Table57[Style type]),"")</f>
        <v/>
      </c>
      <c r="AM286" s="20"/>
      <c r="AN286" s="11"/>
      <c r="AQ286" s="6" t="s">
        <v>1283</v>
      </c>
      <c r="AR286" t="s">
        <v>1282</v>
      </c>
    </row>
    <row r="287" spans="5:46">
      <c r="E287" s="76"/>
      <c r="F2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7" s="13" t="s">
        <v>2992</v>
      </c>
      <c r="H287" s="13" t="s">
        <v>2993</v>
      </c>
      <c r="I287" s="12" t="str">
        <f>Table1[[#This Row],[type]]</f>
        <v>border</v>
      </c>
      <c r="J287" s="62" t="str">
        <f>Table1[[#This Row],[Column42]]&amp;IF(Table1[[#This Row],[Column13]]="","",Table1[[#This Row],[Column13]])&amp;IF(Table1[[#This Row],[mod]]="","",Table1[[#This Row],[mod]])</f>
        <v>border--thin</v>
      </c>
      <c r="K2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7" t="s">
        <v>3125</v>
      </c>
      <c r="P287" s="6" t="s">
        <v>1284</v>
      </c>
      <c r="Q2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--thin</v>
      </c>
      <c r="W287" t="s">
        <v>3477</v>
      </c>
      <c r="AB287" s="29"/>
      <c r="AC287" s="25"/>
      <c r="AD287" s="41"/>
      <c r="AE287" s="41"/>
      <c r="AF287" s="11"/>
      <c r="AH287" s="1" t="str">
        <f>Table1[[#This Row],[html_tag]]&amp;Table1[[#This Row],[html_type]]&amp;Table1[[#This Row],[html_modifier]]</f>
        <v/>
      </c>
      <c r="AL287" s="22" t="str">
        <f>IFERROR(_xlfn.XLOOKUP(Table1[[#This Row],[word]],Table57[English style name],Table57[Style type]),"")</f>
        <v/>
      </c>
      <c r="AM287" s="20"/>
      <c r="AN287" s="11"/>
      <c r="AQ287" s="6" t="s">
        <v>1284</v>
      </c>
      <c r="AR287" t="s">
        <v>1282</v>
      </c>
    </row>
    <row r="288" spans="5:46">
      <c r="E288" s="76"/>
      <c r="F2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8" s="13" t="s">
        <v>2992</v>
      </c>
      <c r="H288" s="13" t="s">
        <v>2993</v>
      </c>
      <c r="I288" s="12" t="str">
        <f>Table1[[#This Row],[type]]</f>
        <v>border</v>
      </c>
      <c r="J288" s="62" t="str">
        <f>Table1[[#This Row],[Column42]]&amp;IF(Table1[[#This Row],[Column13]]="","",Table1[[#This Row],[Column13]])&amp;IF(Table1[[#This Row],[mod]]="","",Table1[[#This Row],[mod]])</f>
        <v>border--transparant</v>
      </c>
      <c r="K2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8" t="s">
        <v>3125</v>
      </c>
      <c r="P288" s="6" t="s">
        <v>1277</v>
      </c>
      <c r="Q2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--transparant</v>
      </c>
      <c r="W288" t="s">
        <v>3707</v>
      </c>
      <c r="AB288" s="29"/>
      <c r="AC288" s="25"/>
      <c r="AD288" s="41"/>
      <c r="AE288" s="41"/>
      <c r="AF288" s="11"/>
      <c r="AH288" s="1" t="str">
        <f>Table1[[#This Row],[html_tag]]&amp;Table1[[#This Row],[html_type]]&amp;Table1[[#This Row],[html_modifier]]</f>
        <v/>
      </c>
      <c r="AL288" s="22" t="str">
        <f>IFERROR(_xlfn.XLOOKUP(Table1[[#This Row],[word]],Table57[English style name],Table57[Style type]),"")</f>
        <v/>
      </c>
      <c r="AM288" s="20"/>
      <c r="AN288" s="11"/>
      <c r="AQ288" s="6" t="s">
        <v>1277</v>
      </c>
      <c r="AR288" t="s">
        <v>1267</v>
      </c>
      <c r="AS288" s="6" t="s">
        <v>1280</v>
      </c>
      <c r="AT288" t="s">
        <v>1267</v>
      </c>
    </row>
    <row r="289" spans="5:44">
      <c r="E289" s="76"/>
      <c r="F2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9" s="13" t="s">
        <v>2992</v>
      </c>
      <c r="H289" s="13" t="s">
        <v>2993</v>
      </c>
      <c r="I289" s="12" t="str">
        <f>Table1[[#This Row],[type]]</f>
        <v>border</v>
      </c>
      <c r="J289" s="62" t="str">
        <f>Table1[[#This Row],[Column42]]&amp;IF(Table1[[#This Row],[Column13]]="","",Table1[[#This Row],[Column13]])&amp;IF(Table1[[#This Row],[mod]]="","",Table1[[#This Row],[mod]])</f>
        <v>border--vertical</v>
      </c>
      <c r="K2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9" t="s">
        <v>3125</v>
      </c>
      <c r="P289" s="6" t="s">
        <v>1263</v>
      </c>
      <c r="Q2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89" t="s">
        <v>2943</v>
      </c>
      <c r="AB289" s="29"/>
      <c r="AC289" s="25"/>
      <c r="AD289" s="41"/>
      <c r="AE289" s="41"/>
      <c r="AF289" s="11"/>
      <c r="AH289" s="1" t="str">
        <f>Table1[[#This Row],[html_tag]]&amp;Table1[[#This Row],[html_type]]&amp;Table1[[#This Row],[html_modifier]]</f>
        <v/>
      </c>
      <c r="AL289" s="22" t="str">
        <f>IFERROR(_xlfn.XLOOKUP(Table1[[#This Row],[word]],Table57[English style name],Table57[Style type]),"")</f>
        <v/>
      </c>
      <c r="AM289" s="20"/>
      <c r="AN289" s="11"/>
      <c r="AQ289" s="6" t="s">
        <v>1263</v>
      </c>
      <c r="AR289" t="s">
        <v>1258</v>
      </c>
    </row>
    <row r="290" spans="5:44">
      <c r="E290" s="76"/>
      <c r="F2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0" s="13" t="s">
        <v>2992</v>
      </c>
      <c r="H290" s="13" t="s">
        <v>2993</v>
      </c>
      <c r="I290" s="12" t="str">
        <f>Table1[[#This Row],[type]]</f>
        <v>border</v>
      </c>
      <c r="J290" s="62" t="str">
        <f>Table1[[#This Row],[Column42]]&amp;IF(Table1[[#This Row],[Column13]]="","",Table1[[#This Row],[Column13]])&amp;IF(Table1[[#This Row],[mod]]="","",Table1[[#This Row],[mod]])</f>
        <v>border--warning</v>
      </c>
      <c r="K2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90" t="s">
        <v>3125</v>
      </c>
      <c r="Q29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90" t="s">
        <v>3121</v>
      </c>
      <c r="AB290" s="29"/>
      <c r="AC290" s="25" t="s">
        <v>3693</v>
      </c>
      <c r="AD290" s="41"/>
      <c r="AE290" s="41"/>
      <c r="AF290" s="11"/>
      <c r="AH290" s="7" t="str">
        <f>Table1[[#This Row],[html_tag]]&amp;Table1[[#This Row],[html_type]]&amp;Table1[[#This Row],[html_modifier]]</f>
        <v/>
      </c>
      <c r="AL290" s="23" t="str">
        <f>IFERROR(_xlfn.XLOOKUP(Table1[[#This Row],[word]],Table57[English style name],Table57[Style type]),"")</f>
        <v/>
      </c>
      <c r="AM290" s="21"/>
      <c r="AN290" s="11"/>
    </row>
    <row r="291" spans="5:44">
      <c r="E291" s="76"/>
      <c r="F2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1" s="13" t="s">
        <v>2992</v>
      </c>
      <c r="H291" s="13" t="s">
        <v>2993</v>
      </c>
      <c r="I291" s="12" t="str">
        <f>Table1[[#This Row],[type]]</f>
        <v>border</v>
      </c>
      <c r="J291" s="62" t="str">
        <f>Table1[[#This Row],[Column42]]&amp;IF(Table1[[#This Row],[Column13]]="","",Table1[[#This Row],[Column13]])&amp;IF(Table1[[#This Row],[mod]]="","",Table1[[#This Row],[mod]])</f>
        <v>border--white</v>
      </c>
      <c r="K2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91" t="s">
        <v>3125</v>
      </c>
      <c r="Q29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291" t="s">
        <v>3591</v>
      </c>
      <c r="AB291" s="29"/>
      <c r="AC291" s="25" t="s">
        <v>3694</v>
      </c>
      <c r="AD291" s="41"/>
      <c r="AE291" s="41"/>
      <c r="AF291" s="11"/>
      <c r="AH291" s="7" t="str">
        <f>Table1[[#This Row],[html_tag]]&amp;Table1[[#This Row],[html_type]]&amp;Table1[[#This Row],[html_modifier]]</f>
        <v/>
      </c>
      <c r="AL291" s="23" t="str">
        <f>IFERROR(_xlfn.XLOOKUP(Table1[[#This Row],[word]],Table57[English style name],Table57[Style type]),"")</f>
        <v/>
      </c>
      <c r="AM291" s="21"/>
      <c r="AN291" s="11"/>
    </row>
    <row r="292" spans="5:44">
      <c r="E292" s="76"/>
      <c r="F2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2" s="13" t="s">
        <v>337</v>
      </c>
      <c r="H292" s="13" t="s">
        <v>2986</v>
      </c>
      <c r="I292" s="12" t="str">
        <f>Table1[[#This Row],[type]]</f>
        <v>box</v>
      </c>
      <c r="J292" s="62" t="str">
        <f>Table1[[#This Row],[Column42]]&amp;IF(Table1[[#This Row],[Column13]]="","",Table1[[#This Row],[Column13]])&amp;IF(Table1[[#This Row],[mod]]="","",Table1[[#This Row],[mod]])</f>
        <v>box</v>
      </c>
      <c r="K2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2" t="s">
        <v>3206</v>
      </c>
      <c r="P292" s="6" t="s">
        <v>1301</v>
      </c>
      <c r="Q2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" s="29"/>
      <c r="AC292" s="25"/>
      <c r="AD292" s="41"/>
      <c r="AE292" s="41"/>
      <c r="AF292" s="11"/>
      <c r="AH292" s="1" t="str">
        <f>Table1[[#This Row],[html_tag]]&amp;Table1[[#This Row],[html_type]]&amp;Table1[[#This Row],[html_modifier]]</f>
        <v/>
      </c>
      <c r="AL292" s="22" t="str">
        <f>IFERROR(_xlfn.XLOOKUP(Table1[[#This Row],[word]],Table57[English style name],Table57[Style type]),"")</f>
        <v/>
      </c>
      <c r="AM292" s="20"/>
      <c r="AN292" s="11"/>
      <c r="AQ292" s="6" t="s">
        <v>1301</v>
      </c>
      <c r="AR292" t="s">
        <v>1302</v>
      </c>
    </row>
    <row r="293" spans="5:44">
      <c r="E293" s="76"/>
      <c r="F2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3" s="13" t="s">
        <v>337</v>
      </c>
      <c r="H293" s="13" t="s">
        <v>2986</v>
      </c>
      <c r="I293" s="12" t="str">
        <f>Table1[[#This Row],[type]]</f>
        <v>box</v>
      </c>
      <c r="J293" s="62" t="str">
        <f>Table1[[#This Row],[Column42]]&amp;IF(Table1[[#This Row],[Column13]]="","",Table1[[#This Row],[Column13]])&amp;IF(Table1[[#This Row],[mod]]="","",Table1[[#This Row],[mod]])</f>
        <v>box</v>
      </c>
      <c r="K2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3" t="s">
        <v>3206</v>
      </c>
      <c r="P293" s="6" t="s">
        <v>1303</v>
      </c>
      <c r="Q2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" s="29"/>
      <c r="AC293" s="25"/>
      <c r="AD293" s="41"/>
      <c r="AE293" s="41"/>
      <c r="AF293" s="11"/>
      <c r="AH293" s="1" t="str">
        <f>Table1[[#This Row],[html_tag]]&amp;Table1[[#This Row],[html_type]]&amp;Table1[[#This Row],[html_modifier]]</f>
        <v/>
      </c>
      <c r="AL293" s="22" t="str">
        <f>IFERROR(_xlfn.XLOOKUP(Table1[[#This Row],[word]],Table57[English style name],Table57[Style type]),"")</f>
        <v/>
      </c>
      <c r="AM293" s="20"/>
      <c r="AN293" s="11"/>
      <c r="AQ293" s="6" t="s">
        <v>1303</v>
      </c>
      <c r="AR293" t="s">
        <v>1302</v>
      </c>
    </row>
    <row r="294" spans="5:44">
      <c r="E294" s="76"/>
      <c r="F2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4" s="13" t="s">
        <v>337</v>
      </c>
      <c r="H294" s="13" t="s">
        <v>2986</v>
      </c>
      <c r="I294" s="12" t="str">
        <f>Table1[[#This Row],[type]]</f>
        <v>box</v>
      </c>
      <c r="J294" s="62" t="str">
        <f>Table1[[#This Row],[Column42]]&amp;IF(Table1[[#This Row],[Column13]]="","",Table1[[#This Row],[Column13]])&amp;IF(Table1[[#This Row],[mod]]="","",Table1[[#This Row],[mod]])</f>
        <v>box</v>
      </c>
      <c r="K2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4" t="s">
        <v>3206</v>
      </c>
      <c r="P294" s="6" t="s">
        <v>1304</v>
      </c>
      <c r="Q2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" s="29"/>
      <c r="AC294" s="25"/>
      <c r="AD294" s="41"/>
      <c r="AE294" s="41"/>
      <c r="AF294" s="11"/>
      <c r="AH294" s="1" t="str">
        <f>Table1[[#This Row],[html_tag]]&amp;Table1[[#This Row],[html_type]]&amp;Table1[[#This Row],[html_modifier]]</f>
        <v/>
      </c>
      <c r="AL294" s="22" t="str">
        <f>IFERROR(_xlfn.XLOOKUP(Table1[[#This Row],[word]],Table57[English style name],Table57[Style type]),"")</f>
        <v/>
      </c>
      <c r="AM294" s="20"/>
      <c r="AN294" s="11"/>
      <c r="AQ294" s="6" t="s">
        <v>1304</v>
      </c>
      <c r="AR294" t="s">
        <v>1305</v>
      </c>
    </row>
    <row r="295" spans="5:44">
      <c r="E295" s="76"/>
      <c r="F2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5" s="13" t="s">
        <v>337</v>
      </c>
      <c r="H295" s="13" t="s">
        <v>2986</v>
      </c>
      <c r="I295" s="12" t="str">
        <f>Table1[[#This Row],[type]]</f>
        <v>box</v>
      </c>
      <c r="J295" s="62" t="str">
        <f>Table1[[#This Row],[Column42]]&amp;IF(Table1[[#This Row],[Column13]]="","",Table1[[#This Row],[Column13]])&amp;IF(Table1[[#This Row],[mod]]="","",Table1[[#This Row],[mod]])</f>
        <v>box--1</v>
      </c>
      <c r="K2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5" t="s">
        <v>3206</v>
      </c>
      <c r="P295" s="6" t="s">
        <v>1306</v>
      </c>
      <c r="Q2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95">
        <v>1</v>
      </c>
      <c r="U2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" s="29"/>
      <c r="AC295" s="25"/>
      <c r="AD295" s="41"/>
      <c r="AE295" s="41"/>
      <c r="AF295" s="11"/>
      <c r="AH295" s="1" t="str">
        <f>Table1[[#This Row],[html_tag]]&amp;Table1[[#This Row],[html_type]]&amp;Table1[[#This Row],[html_modifier]]</f>
        <v/>
      </c>
      <c r="AL295" s="22" t="str">
        <f>IFERROR(_xlfn.XLOOKUP(Table1[[#This Row],[word]],Table57[English style name],Table57[Style type]),"")</f>
        <v/>
      </c>
      <c r="AM295" s="20"/>
      <c r="AN295" s="11"/>
      <c r="AQ295" s="6" t="s">
        <v>1306</v>
      </c>
      <c r="AR295" t="s">
        <v>1305</v>
      </c>
    </row>
    <row r="296" spans="5:44">
      <c r="E296" s="76"/>
      <c r="F2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6" s="13" t="s">
        <v>337</v>
      </c>
      <c r="H296" s="13" t="s">
        <v>2986</v>
      </c>
      <c r="I296" s="12" t="str">
        <f>Table1[[#This Row],[type]]</f>
        <v>box</v>
      </c>
      <c r="J296" s="62" t="str">
        <f>Table1[[#This Row],[Column42]]&amp;IF(Table1[[#This Row],[Column13]]="","",Table1[[#This Row],[Column13]])&amp;IF(Table1[[#This Row],[mod]]="","",Table1[[#This Row],[mod]])</f>
        <v>box--2</v>
      </c>
      <c r="K2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6" t="s">
        <v>3206</v>
      </c>
      <c r="P296" s="6" t="s">
        <v>1307</v>
      </c>
      <c r="Q2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96">
        <v>2</v>
      </c>
      <c r="U2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" s="29"/>
      <c r="AC296" s="25"/>
      <c r="AD296" s="41"/>
      <c r="AE296" s="41"/>
      <c r="AF296" s="11"/>
      <c r="AH296" s="1" t="str">
        <f>Table1[[#This Row],[html_tag]]&amp;Table1[[#This Row],[html_type]]&amp;Table1[[#This Row],[html_modifier]]</f>
        <v/>
      </c>
      <c r="AL296" s="22" t="str">
        <f>IFERROR(_xlfn.XLOOKUP(Table1[[#This Row],[word]],Table57[English style name],Table57[Style type]),"")</f>
        <v/>
      </c>
      <c r="AM296" s="20"/>
      <c r="AN296" s="11"/>
      <c r="AQ296" s="6" t="s">
        <v>1307</v>
      </c>
      <c r="AR296" t="s">
        <v>1305</v>
      </c>
    </row>
    <row r="297" spans="5:44">
      <c r="E297" s="76"/>
      <c r="F2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7" s="13" t="s">
        <v>337</v>
      </c>
      <c r="H297" s="13" t="s">
        <v>2986</v>
      </c>
      <c r="I297" s="12" t="str">
        <f>Table1[[#This Row],[type]]</f>
        <v>box</v>
      </c>
      <c r="J297" s="62" t="str">
        <f>Table1[[#This Row],[Column42]]&amp;IF(Table1[[#This Row],[Column13]]="","",Table1[[#This Row],[Column13]])&amp;IF(Table1[[#This Row],[mod]]="","",Table1[[#This Row],[mod]])</f>
        <v>box--3</v>
      </c>
      <c r="K2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7" t="s">
        <v>3206</v>
      </c>
      <c r="P297" s="6" t="s">
        <v>1308</v>
      </c>
      <c r="Q2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7">
        <v>3</v>
      </c>
      <c r="U2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7" s="29"/>
      <c r="AC297" s="25"/>
      <c r="AD297" s="41"/>
      <c r="AE297" s="41"/>
      <c r="AF297" s="11"/>
      <c r="AH297" s="1" t="str">
        <f>Table1[[#This Row],[html_tag]]&amp;Table1[[#This Row],[html_type]]&amp;Table1[[#This Row],[html_modifier]]</f>
        <v/>
      </c>
      <c r="AL297" s="22" t="str">
        <f>IFERROR(_xlfn.XLOOKUP(Table1[[#This Row],[word]],Table57[English style name],Table57[Style type]),"")</f>
        <v/>
      </c>
      <c r="AM297" s="20"/>
      <c r="AN297" s="11"/>
      <c r="AQ297" s="6" t="s">
        <v>1308</v>
      </c>
      <c r="AR297" t="s">
        <v>1305</v>
      </c>
    </row>
    <row r="298" spans="5:44">
      <c r="E298" s="76"/>
      <c r="F2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298" s="13" t="s">
        <v>337</v>
      </c>
      <c r="H298" s="13" t="s">
        <v>2987</v>
      </c>
      <c r="I298" s="12" t="str">
        <f>Table1[[#This Row],[type]]</f>
        <v>breadcrumb</v>
      </c>
      <c r="J298" s="62" t="str">
        <f>Table1[[#This Row],[Column42]]&amp;IF(Table1[[#This Row],[Column13]]="","",Table1[[#This Row],[Column13]])&amp;IF(Table1[[#This Row],[mod]]="","",Table1[[#This Row],[mod]])</f>
        <v>breadcrumb</v>
      </c>
      <c r="K2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298" t="s">
        <v>3104</v>
      </c>
      <c r="Q2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8" s="29" t="s">
        <v>3568</v>
      </c>
      <c r="AC298" s="25" t="s">
        <v>3568</v>
      </c>
      <c r="AD298" s="41" t="s">
        <v>6250</v>
      </c>
      <c r="AE298" s="41"/>
      <c r="AF298" s="11" t="s">
        <v>226</v>
      </c>
      <c r="AH298" s="1" t="str">
        <f>Table1[[#This Row],[html_tag]]&amp;Table1[[#This Row],[html_type]]&amp;Table1[[#This Row],[html_modifier]]</f>
        <v/>
      </c>
      <c r="AL298" s="22" t="str">
        <f>IFERROR(_xlfn.XLOOKUP(Table1[[#This Row],[word]],Table57[English style name],Table57[Style type]),"")</f>
        <v/>
      </c>
      <c r="AM298" s="20"/>
      <c r="AN298" s="11"/>
      <c r="AQ298" s="14" t="s">
        <v>1309</v>
      </c>
      <c r="AR298" t="s">
        <v>1310</v>
      </c>
    </row>
    <row r="299" spans="5:44">
      <c r="E299" s="76"/>
      <c r="F2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299" s="13" t="s">
        <v>337</v>
      </c>
      <c r="H299" s="13" t="s">
        <v>2987</v>
      </c>
      <c r="I299" s="12" t="str">
        <f>Table1[[#This Row],[type]]</f>
        <v>breadcrumb</v>
      </c>
      <c r="J299" s="62" t="str">
        <f>Table1[[#This Row],[Column42]]&amp;IF(Table1[[#This Row],[Column13]]="","",Table1[[#This Row],[Column13]])&amp;IF(Table1[[#This Row],[mod]]="","",Table1[[#This Row],[mod]])</f>
        <v>breadcrumb__center</v>
      </c>
      <c r="K2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breadcrumb__center</v>
      </c>
      <c r="L299" t="s">
        <v>3104</v>
      </c>
      <c r="N299" t="s">
        <v>425</v>
      </c>
      <c r="Q29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9" s="29" t="s">
        <v>3889</v>
      </c>
      <c r="AC299" s="25"/>
      <c r="AD299" s="41"/>
      <c r="AE299" s="41"/>
      <c r="AF299" s="11" t="s">
        <v>226</v>
      </c>
      <c r="AH299" s="7" t="str">
        <f>Table1[[#This Row],[html_tag]]&amp;Table1[[#This Row],[html_type]]&amp;Table1[[#This Row],[html_modifier]]</f>
        <v/>
      </c>
      <c r="AL299" s="23" t="str">
        <f>IFERROR(_xlfn.XLOOKUP(Table1[[#This Row],[word]],Table57[English style name],Table57[Style type]),"")</f>
        <v/>
      </c>
      <c r="AM299" s="21"/>
      <c r="AN299" s="11"/>
    </row>
    <row r="300" spans="5:44">
      <c r="E300" s="76"/>
      <c r="F3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0" s="13" t="s">
        <v>337</v>
      </c>
      <c r="H300" s="13" t="s">
        <v>2987</v>
      </c>
      <c r="I300" s="12" t="str">
        <f>Table1[[#This Row],[type]]</f>
        <v>breadcrumb</v>
      </c>
      <c r="J300" s="62" t="str">
        <f>Table1[[#This Row],[Column42]]&amp;IF(Table1[[#This Row],[Column13]]="","",Table1[[#This Row],[Column13]])&amp;IF(Table1[[#This Row],[mod]]="","",Table1[[#This Row],[mod]])</f>
        <v>breadcrumb__list</v>
      </c>
      <c r="K3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breadcrumb__list</v>
      </c>
      <c r="L300" t="s">
        <v>3104</v>
      </c>
      <c r="M300" t="s">
        <v>325</v>
      </c>
      <c r="Q3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" s="29"/>
      <c r="AC300" s="25" t="s">
        <v>3569</v>
      </c>
      <c r="AD300" s="41"/>
      <c r="AE300" s="61" t="s">
        <v>3569</v>
      </c>
      <c r="AF300" s="11" t="s">
        <v>211</v>
      </c>
      <c r="AH300" s="1" t="str">
        <f>Table1[[#This Row],[html_tag]]&amp;Table1[[#This Row],[html_type]]&amp;Table1[[#This Row],[html_modifier]]</f>
        <v/>
      </c>
      <c r="AL300" s="22" t="str">
        <f>IFERROR(_xlfn.XLOOKUP(Table1[[#This Row],[word]],Table57[English style name],Table57[Style type]),"")</f>
        <v/>
      </c>
      <c r="AM300" s="20"/>
      <c r="AN300" s="11"/>
      <c r="AQ300" s="14" t="s">
        <v>1311</v>
      </c>
      <c r="AR300" t="s">
        <v>1310</v>
      </c>
    </row>
    <row r="301" spans="5:44">
      <c r="E301" s="76"/>
      <c r="F3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1" s="13" t="s">
        <v>337</v>
      </c>
      <c r="H301" s="13" t="s">
        <v>2987</v>
      </c>
      <c r="I301" s="12" t="str">
        <f>Table1[[#This Row],[type]]</f>
        <v>breadcrumb</v>
      </c>
      <c r="J301" s="62" t="str">
        <f>Table1[[#This Row],[Column42]]&amp;IF(Table1[[#This Row],[Column13]]="","",Table1[[#This Row],[Column13]])&amp;IF(Table1[[#This Row],[mod]]="","",Table1[[#This Row],[mod]])</f>
        <v>breadcrumb__list</v>
      </c>
      <c r="K3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breadcrumb__list</v>
      </c>
      <c r="L301" t="s">
        <v>3104</v>
      </c>
      <c r="M301" t="s">
        <v>325</v>
      </c>
      <c r="Q3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1" s="29"/>
      <c r="AC301" s="25"/>
      <c r="AD301" s="41"/>
      <c r="AE301" s="41"/>
      <c r="AF301" s="11" t="s">
        <v>231</v>
      </c>
      <c r="AH301" s="1" t="str">
        <f>Table1[[#This Row],[html_tag]]&amp;Table1[[#This Row],[html_type]]&amp;Table1[[#This Row],[html_modifier]]</f>
        <v/>
      </c>
      <c r="AL301" s="22" t="str">
        <f>IFERROR(_xlfn.XLOOKUP(Table1[[#This Row],[word]],Table57[English style name],Table57[Style type]),"")</f>
        <v/>
      </c>
      <c r="AM301" s="20"/>
      <c r="AN301" s="11"/>
      <c r="AQ301" s="14" t="s">
        <v>1312</v>
      </c>
      <c r="AR301" t="s">
        <v>1310</v>
      </c>
    </row>
    <row r="302" spans="5:44">
      <c r="E302" s="76"/>
      <c r="F3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2" s="13" t="s">
        <v>337</v>
      </c>
      <c r="H302" s="13" t="s">
        <v>2987</v>
      </c>
      <c r="I302" s="12" t="str">
        <f>Table1[[#This Row],[type]]</f>
        <v>breadcrumb</v>
      </c>
      <c r="J302" s="62" t="str">
        <f>Table1[[#This Row],[Column42]]&amp;IF(Table1[[#This Row],[Column13]]="","",Table1[[#This Row],[Column13]])&amp;IF(Table1[[#This Row],[mod]]="","",Table1[[#This Row],[mod]])</f>
        <v>breadcrumb__right</v>
      </c>
      <c r="K3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breadcrumb__right</v>
      </c>
      <c r="L302" t="s">
        <v>3104</v>
      </c>
      <c r="N302" t="s">
        <v>617</v>
      </c>
      <c r="Q30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" s="29" t="s">
        <v>3892</v>
      </c>
      <c r="AC302" s="25"/>
      <c r="AD302" s="41"/>
      <c r="AE302" s="41"/>
      <c r="AF302" s="11" t="s">
        <v>226</v>
      </c>
      <c r="AH302" s="7" t="str">
        <f>Table1[[#This Row],[html_tag]]&amp;Table1[[#This Row],[html_type]]&amp;Table1[[#This Row],[html_modifier]]</f>
        <v/>
      </c>
      <c r="AL302" s="23" t="str">
        <f>IFERROR(_xlfn.XLOOKUP(Table1[[#This Row],[word]],Table57[English style name],Table57[Style type]),"")</f>
        <v/>
      </c>
      <c r="AM302" s="21"/>
      <c r="AN302" s="11"/>
    </row>
    <row r="303" spans="5:44">
      <c r="E303" s="76"/>
      <c r="F3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3" s="13" t="s">
        <v>337</v>
      </c>
      <c r="H303" s="13" t="s">
        <v>2987</v>
      </c>
      <c r="I303" s="12" t="str">
        <f>Table1[[#This Row],[type]]</f>
        <v>breadcrumb</v>
      </c>
      <c r="J303" s="62" t="str">
        <f>Table1[[#This Row],[Column42]]&amp;IF(Table1[[#This Row],[Column13]]="","",Table1[[#This Row],[Column13]])&amp;IF(Table1[[#This Row],[mod]]="","",Table1[[#This Row],[mod]])</f>
        <v>breadcrumb--arrow</v>
      </c>
      <c r="K3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3" t="s">
        <v>3104</v>
      </c>
      <c r="Q30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--arrow</v>
      </c>
      <c r="W303" t="s">
        <v>3447</v>
      </c>
      <c r="AB303" s="29" t="s">
        <v>3885</v>
      </c>
      <c r="AC303" s="25"/>
      <c r="AD303" s="41"/>
      <c r="AE303" s="41"/>
      <c r="AF303" s="11" t="s">
        <v>226</v>
      </c>
      <c r="AH303" s="7" t="str">
        <f>Table1[[#This Row],[html_tag]]&amp;Table1[[#This Row],[html_type]]&amp;Table1[[#This Row],[html_modifier]]</f>
        <v/>
      </c>
      <c r="AL303" s="23" t="str">
        <f>IFERROR(_xlfn.XLOOKUP(Table1[[#This Row],[word]],Table57[English style name],Table57[Style type]),"")</f>
        <v/>
      </c>
      <c r="AM303" s="21"/>
      <c r="AN303" s="11"/>
    </row>
    <row r="304" spans="5:44">
      <c r="E304" s="76"/>
      <c r="F3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4" s="13" t="s">
        <v>337</v>
      </c>
      <c r="H304" s="13" t="s">
        <v>2987</v>
      </c>
      <c r="I304" s="12" t="str">
        <f>Table1[[#This Row],[type]]</f>
        <v>breadcrumb</v>
      </c>
      <c r="J304" s="62" t="str">
        <f>Table1[[#This Row],[Column42]]&amp;IF(Table1[[#This Row],[Column13]]="","",Table1[[#This Row],[Column13]])&amp;IF(Table1[[#This Row],[mod]]="","",Table1[[#This Row],[mod]])</f>
        <v>breadcrumb--bullet</v>
      </c>
      <c r="K3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4" t="s">
        <v>3104</v>
      </c>
      <c r="Q30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--bullet</v>
      </c>
      <c r="W304" t="s">
        <v>326</v>
      </c>
      <c r="AB304" s="29" t="s">
        <v>3886</v>
      </c>
      <c r="AC304" s="25"/>
      <c r="AD304" s="41"/>
      <c r="AE304" s="41"/>
      <c r="AF304" s="11" t="s">
        <v>226</v>
      </c>
      <c r="AH304" s="7" t="str">
        <f>Table1[[#This Row],[html_tag]]&amp;Table1[[#This Row],[html_type]]&amp;Table1[[#This Row],[html_modifier]]</f>
        <v/>
      </c>
      <c r="AL304" s="23" t="str">
        <f>IFERROR(_xlfn.XLOOKUP(Table1[[#This Row],[word]],Table57[English style name],Table57[Style type]),"")</f>
        <v/>
      </c>
      <c r="AM304" s="21"/>
      <c r="AN304" s="11"/>
    </row>
    <row r="305" spans="1:47">
      <c r="A305" s="68"/>
      <c r="B305" s="68"/>
      <c r="C305" s="68"/>
      <c r="D305" s="69"/>
      <c r="E305" s="84"/>
      <c r="F305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5" s="13" t="s">
        <v>337</v>
      </c>
      <c r="H305" s="13" t="s">
        <v>2987</v>
      </c>
      <c r="I305" s="85" t="str">
        <f>Table1[[#This Row],[type]]</f>
        <v>breadcrumb</v>
      </c>
      <c r="J305" s="72" t="str">
        <f>Table1[[#This Row],[Column42]]&amp;IF(Table1[[#This Row],[Column13]]="","",Table1[[#This Row],[Column13]])&amp;IF(Table1[[#This Row],[mod]]="","",Table1[[#This Row],[mod]])</f>
        <v>breadcrumb--compact</v>
      </c>
      <c r="K305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5" t="s">
        <v>3104</v>
      </c>
      <c r="Q305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--compact</v>
      </c>
      <c r="R305" t="s">
        <v>10215</v>
      </c>
      <c r="U305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" s="29"/>
      <c r="AC305" s="25"/>
      <c r="AD305" s="41"/>
      <c r="AE305" s="41"/>
      <c r="AF305" s="11" t="s">
        <v>226</v>
      </c>
      <c r="AH305" s="75" t="str">
        <f>Table1[[#This Row],[html_tag]]&amp;Table1[[#This Row],[html_type]]&amp;Table1[[#This Row],[html_modifier]]</f>
        <v/>
      </c>
      <c r="AL305" s="23" t="str">
        <f>IFERROR(_xlfn.XLOOKUP(Table1[[#This Row],[word]],Table57[English style name],Table57[Style type]),"")</f>
        <v/>
      </c>
      <c r="AM305" s="21"/>
      <c r="AN305" s="70"/>
      <c r="AO305" s="67"/>
      <c r="AP305" s="67"/>
      <c r="AQ305" s="67"/>
      <c r="AR305" s="67"/>
      <c r="AS305" s="67"/>
      <c r="AT305" s="67"/>
      <c r="AU305" s="67"/>
    </row>
    <row r="306" spans="1:47">
      <c r="E306" s="76"/>
      <c r="F3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6" s="13" t="s">
        <v>337</v>
      </c>
      <c r="H306" s="13" t="s">
        <v>2987</v>
      </c>
      <c r="I306" s="12" t="str">
        <f>Table1[[#This Row],[type]]</f>
        <v>breadcrumb</v>
      </c>
      <c r="J306" s="62" t="str">
        <f>Table1[[#This Row],[Column42]]&amp;IF(Table1[[#This Row],[Column13]]="","",Table1[[#This Row],[Column13]])&amp;IF(Table1[[#This Row],[mod]]="","",Table1[[#This Row],[mod]])</f>
        <v>breadcrumb--dotted</v>
      </c>
      <c r="K3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6" t="s">
        <v>3104</v>
      </c>
      <c r="Q3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306" t="s">
        <v>3475</v>
      </c>
      <c r="AB306" s="29" t="s">
        <v>3887</v>
      </c>
      <c r="AC306" s="25"/>
      <c r="AD306" s="41"/>
      <c r="AE306" s="41"/>
      <c r="AF306" s="11" t="s">
        <v>226</v>
      </c>
      <c r="AH306" s="7" t="str">
        <f>Table1[[#This Row],[html_tag]]&amp;Table1[[#This Row],[html_type]]&amp;Table1[[#This Row],[html_modifier]]</f>
        <v/>
      </c>
      <c r="AL306" s="23" t="str">
        <f>IFERROR(_xlfn.XLOOKUP(Table1[[#This Row],[word]],Table57[English style name],Table57[Style type]),"")</f>
        <v/>
      </c>
      <c r="AM306" s="21"/>
      <c r="AN306" s="11"/>
    </row>
    <row r="307" spans="1:47">
      <c r="A307" s="68"/>
      <c r="B307" s="68"/>
      <c r="C307" s="68"/>
      <c r="D307" s="69"/>
      <c r="E307" s="84"/>
      <c r="F307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7" s="13" t="s">
        <v>337</v>
      </c>
      <c r="H307" s="13" t="s">
        <v>2987</v>
      </c>
      <c r="I307" s="85" t="str">
        <f>Table1[[#This Row],[type]]</f>
        <v>breadcrumb</v>
      </c>
      <c r="J307" s="72" t="str">
        <f>Table1[[#This Row],[Column42]]&amp;IF(Table1[[#This Row],[Column13]]="","",Table1[[#This Row],[Column13]])&amp;IF(Table1[[#This Row],[mod]]="","",Table1[[#This Row],[mod]])</f>
        <v>breadcrumb--expanded</v>
      </c>
      <c r="K307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7" t="s">
        <v>3104</v>
      </c>
      <c r="Q307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--expanded</v>
      </c>
      <c r="R307" t="s">
        <v>10216</v>
      </c>
      <c r="U307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" s="29"/>
      <c r="AC307" s="25"/>
      <c r="AD307" s="41"/>
      <c r="AE307" s="41"/>
      <c r="AF307" s="11" t="s">
        <v>226</v>
      </c>
      <c r="AH307" s="75" t="str">
        <f>Table1[[#This Row],[html_tag]]&amp;Table1[[#This Row],[html_type]]&amp;Table1[[#This Row],[html_modifier]]</f>
        <v/>
      </c>
      <c r="AL307" s="23" t="str">
        <f>IFERROR(_xlfn.XLOOKUP(Table1[[#This Row],[word]],Table57[English style name],Table57[Style type]),"")</f>
        <v/>
      </c>
      <c r="AM307" s="21"/>
      <c r="AN307" s="70"/>
      <c r="AO307" s="67"/>
      <c r="AP307" s="67"/>
      <c r="AQ307" s="67"/>
      <c r="AR307" s="67"/>
      <c r="AS307" s="67"/>
      <c r="AT307" s="67"/>
      <c r="AU307" s="67"/>
    </row>
    <row r="308" spans="1:47">
      <c r="E308" s="76"/>
      <c r="F3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8" s="13" t="s">
        <v>337</v>
      </c>
      <c r="H308" s="13" t="s">
        <v>2987</v>
      </c>
      <c r="I308" s="12" t="str">
        <f>Table1[[#This Row],[type]]</f>
        <v>breadcrumb</v>
      </c>
      <c r="J308" s="62" t="str">
        <f>Table1[[#This Row],[Column42]]&amp;IF(Table1[[#This Row],[Column13]]="","",Table1[[#This Row],[Column13]])&amp;IF(Table1[[#This Row],[mod]]="","",Table1[[#This Row],[mod]])</f>
        <v>breadcrumb--lg</v>
      </c>
      <c r="K3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8" t="s">
        <v>3104</v>
      </c>
      <c r="Q30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08" t="s">
        <v>3114</v>
      </c>
      <c r="AB308" s="29" t="s">
        <v>3890</v>
      </c>
      <c r="AC308" s="25"/>
      <c r="AD308" s="41"/>
      <c r="AE308" s="41"/>
      <c r="AF308" s="11" t="s">
        <v>226</v>
      </c>
      <c r="AH308" s="7" t="str">
        <f>Table1[[#This Row],[html_tag]]&amp;Table1[[#This Row],[html_type]]&amp;Table1[[#This Row],[html_modifier]]</f>
        <v/>
      </c>
      <c r="AL308" s="23" t="str">
        <f>IFERROR(_xlfn.XLOOKUP(Table1[[#This Row],[word]],Table57[English style name],Table57[Style type]),"")</f>
        <v/>
      </c>
      <c r="AM308" s="21"/>
      <c r="AN308" s="11"/>
    </row>
    <row r="309" spans="1:47">
      <c r="E309" s="76"/>
      <c r="F3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9" s="13" t="s">
        <v>337</v>
      </c>
      <c r="H309" s="13" t="s">
        <v>2987</v>
      </c>
      <c r="I309" s="12" t="str">
        <f>Table1[[#This Row],[type]]</f>
        <v>breadcrumb</v>
      </c>
      <c r="J309" s="62" t="str">
        <f>Table1[[#This Row],[Column42]]&amp;IF(Table1[[#This Row],[Column13]]="","",Table1[[#This Row],[Column13]])&amp;IF(Table1[[#This Row],[mod]]="","",Table1[[#This Row],[mod]])</f>
        <v>breadcrumb--md</v>
      </c>
      <c r="K3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9" t="s">
        <v>3104</v>
      </c>
      <c r="Q30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09" t="s">
        <v>3115</v>
      </c>
      <c r="AB309" s="29" t="s">
        <v>3891</v>
      </c>
      <c r="AC309" s="25"/>
      <c r="AD309" s="41"/>
      <c r="AE309" s="41"/>
      <c r="AF309" s="11" t="s">
        <v>226</v>
      </c>
      <c r="AH309" s="7" t="str">
        <f>Table1[[#This Row],[html_tag]]&amp;Table1[[#This Row],[html_type]]&amp;Table1[[#This Row],[html_modifier]]</f>
        <v/>
      </c>
      <c r="AL309" s="23" t="str">
        <f>IFERROR(_xlfn.XLOOKUP(Table1[[#This Row],[word]],Table57[English style name],Table57[Style type]),"")</f>
        <v/>
      </c>
      <c r="AM309" s="21"/>
      <c r="AN309" s="11"/>
    </row>
    <row r="310" spans="1:47">
      <c r="E310" s="76"/>
      <c r="F3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0" s="13" t="s">
        <v>337</v>
      </c>
      <c r="H310" s="13" t="s">
        <v>2987</v>
      </c>
      <c r="I310" s="12" t="str">
        <f>Table1[[#This Row],[type]]</f>
        <v>breadcrumb</v>
      </c>
      <c r="J310" s="62" t="str">
        <f>Table1[[#This Row],[Column42]]&amp;IF(Table1[[#This Row],[Column13]]="","",Table1[[#This Row],[Column13]])&amp;IF(Table1[[#This Row],[mod]]="","",Table1[[#This Row],[mod]])</f>
        <v>breadcrumb--sm</v>
      </c>
      <c r="K3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10" t="s">
        <v>3104</v>
      </c>
      <c r="Q3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0" t="s">
        <v>3116</v>
      </c>
      <c r="AB310" s="29" t="s">
        <v>3893</v>
      </c>
      <c r="AC310" s="25"/>
      <c r="AD310" s="41"/>
      <c r="AE310" s="41"/>
      <c r="AF310" s="11" t="s">
        <v>226</v>
      </c>
      <c r="AH310" s="7" t="str">
        <f>Table1[[#This Row],[html_tag]]&amp;Table1[[#This Row],[html_type]]&amp;Table1[[#This Row],[html_modifier]]</f>
        <v/>
      </c>
      <c r="AL310" s="23" t="str">
        <f>IFERROR(_xlfn.XLOOKUP(Table1[[#This Row],[word]],Table57[English style name],Table57[Style type]),"")</f>
        <v/>
      </c>
      <c r="AM310" s="21"/>
      <c r="AN310" s="11"/>
    </row>
    <row r="311" spans="1:47">
      <c r="E311" s="76"/>
      <c r="F3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1" s="13" t="s">
        <v>337</v>
      </c>
      <c r="H311" s="13" t="s">
        <v>2987</v>
      </c>
      <c r="I311" s="12" t="str">
        <f>Table1[[#This Row],[type]]</f>
        <v>breadcrumb</v>
      </c>
      <c r="J311" s="62" t="str">
        <f>Table1[[#This Row],[Column42]]&amp;IF(Table1[[#This Row],[Column13]]="","",Table1[[#This Row],[Column13]])&amp;IF(Table1[[#This Row],[mod]]="","",Table1[[#This Row],[mod]])</f>
        <v>breadcrumb--success</v>
      </c>
      <c r="K3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11" t="s">
        <v>3104</v>
      </c>
      <c r="Q31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11" t="s">
        <v>3120</v>
      </c>
      <c r="AB311" s="48" t="s">
        <v>10218</v>
      </c>
      <c r="AC311" s="25"/>
      <c r="AD311" s="41"/>
      <c r="AE311" s="41"/>
      <c r="AF311" s="11" t="s">
        <v>226</v>
      </c>
      <c r="AH311" s="7" t="str">
        <f>Table1[[#This Row],[html_tag]]&amp;Table1[[#This Row],[html_type]]&amp;Table1[[#This Row],[html_modifier]]</f>
        <v/>
      </c>
      <c r="AL311" s="23" t="str">
        <f>IFERROR(_xlfn.XLOOKUP(Table1[[#This Row],[word]],Table57[English style name],Table57[Style type]),"")</f>
        <v/>
      </c>
      <c r="AM311" s="21"/>
      <c r="AN311" s="11"/>
    </row>
    <row r="312" spans="1:47">
      <c r="A312" s="68"/>
      <c r="B312" s="68"/>
      <c r="C312" s="68"/>
      <c r="D312" s="69"/>
      <c r="E312" s="84"/>
      <c r="F312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2" s="13" t="s">
        <v>337</v>
      </c>
      <c r="H312" s="13" t="s">
        <v>2987</v>
      </c>
      <c r="I312" s="85" t="str">
        <f>Table1[[#This Row],[type]]</f>
        <v>breadcrumb</v>
      </c>
      <c r="J312" s="72" t="str">
        <f>Table1[[#This Row],[Column42]]&amp;IF(Table1[[#This Row],[Column13]]="","",Table1[[#This Row],[Column13]])&amp;IF(Table1[[#This Row],[mod]]="","",Table1[[#This Row],[mod]])</f>
        <v>breadcrumb--truncated</v>
      </c>
      <c r="K312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12" t="s">
        <v>3104</v>
      </c>
      <c r="Q312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--truncated</v>
      </c>
      <c r="R312" t="s">
        <v>10217</v>
      </c>
      <c r="U312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2" s="29"/>
      <c r="AC312" s="25"/>
      <c r="AD312" s="41"/>
      <c r="AE312" s="41"/>
      <c r="AF312" s="11" t="s">
        <v>226</v>
      </c>
      <c r="AH312" s="75" t="str">
        <f>Table1[[#This Row],[html_tag]]&amp;Table1[[#This Row],[html_type]]&amp;Table1[[#This Row],[html_modifier]]</f>
        <v/>
      </c>
      <c r="AL312" s="23" t="str">
        <f>IFERROR(_xlfn.XLOOKUP(Table1[[#This Row],[word]],Table57[English style name],Table57[Style type]),"")</f>
        <v/>
      </c>
      <c r="AM312" s="21"/>
      <c r="AN312" s="70"/>
      <c r="AO312" s="67"/>
      <c r="AP312" s="67"/>
      <c r="AQ312" s="67"/>
      <c r="AR312" s="67"/>
      <c r="AS312" s="67"/>
      <c r="AT312" s="67"/>
      <c r="AU312" s="67"/>
    </row>
    <row r="313" spans="1:47">
      <c r="E313" s="76"/>
      <c r="F3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3" s="13" t="s">
        <v>337</v>
      </c>
      <c r="H313" s="13" t="s">
        <v>2986</v>
      </c>
      <c r="I313" s="12" t="str">
        <f>Table1[[#This Row],[type]]</f>
        <v>button</v>
      </c>
      <c r="J313" s="62" t="str">
        <f>Table1[[#This Row],[Column42]]&amp;IF(Table1[[#This Row],[Column13]]="","",Table1[[#This Row],[Column13]])&amp;IF(Table1[[#This Row],[mod]]="","",Table1[[#This Row],[mod]])</f>
        <v>button</v>
      </c>
      <c r="K3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3" t="s">
        <v>414</v>
      </c>
      <c r="P313" s="6" t="s">
        <v>1322</v>
      </c>
      <c r="Q3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3" s="29"/>
      <c r="AC313" s="25"/>
      <c r="AD313" s="41"/>
      <c r="AE313" s="41"/>
      <c r="AF313" s="11"/>
      <c r="AH313" s="1" t="str">
        <f>Table1[[#This Row],[html_tag]]&amp;Table1[[#This Row],[html_type]]&amp;Table1[[#This Row],[html_modifier]]</f>
        <v/>
      </c>
      <c r="AL313" s="22" t="str">
        <f>IFERROR(_xlfn.XLOOKUP(Table1[[#This Row],[word]],Table57[English style name],Table57[Style type]),"")</f>
        <v/>
      </c>
      <c r="AM313" s="20"/>
      <c r="AN313" s="11"/>
      <c r="AQ313" s="6" t="s">
        <v>1322</v>
      </c>
      <c r="AR313" t="s">
        <v>1313</v>
      </c>
    </row>
    <row r="314" spans="1:47">
      <c r="E314" s="76"/>
      <c r="F3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4" s="13" t="s">
        <v>337</v>
      </c>
      <c r="H314" s="13" t="s">
        <v>2986</v>
      </c>
      <c r="I314" s="12" t="str">
        <f>Table1[[#This Row],[type]]</f>
        <v>button</v>
      </c>
      <c r="J314" s="62" t="str">
        <f>Table1[[#This Row],[Column42]]&amp;IF(Table1[[#This Row],[Column13]]="","",Table1[[#This Row],[Column13]])&amp;IF(Table1[[#This Row],[mod]]="","",Table1[[#This Row],[mod]])</f>
        <v>button</v>
      </c>
      <c r="K3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4" t="s">
        <v>414</v>
      </c>
      <c r="Q3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4" s="29"/>
      <c r="AC314" s="25"/>
      <c r="AD314" s="41" t="s">
        <v>6301</v>
      </c>
      <c r="AE314" s="41"/>
      <c r="AF314" s="11" t="s">
        <v>137</v>
      </c>
      <c r="AH314" s="7" t="str">
        <f>Table1[[#This Row],[html_tag]]&amp;Table1[[#This Row],[html_type]]&amp;Table1[[#This Row],[html_modifier]]</f>
        <v/>
      </c>
      <c r="AL314" s="23" t="str">
        <f>IFERROR(_xlfn.XLOOKUP(Table1[[#This Row],[word]],Table57[English style name],Table57[Style type]),"")</f>
        <v/>
      </c>
      <c r="AM314" s="21"/>
      <c r="AN314" s="11"/>
    </row>
    <row r="315" spans="1:47">
      <c r="E315" s="76"/>
      <c r="F3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5" s="13" t="s">
        <v>337</v>
      </c>
      <c r="H315" s="13" t="s">
        <v>2986</v>
      </c>
      <c r="I315" s="12" t="str">
        <f>Table1[[#This Row],[type]]</f>
        <v>button</v>
      </c>
      <c r="J315" s="62" t="str">
        <f>Table1[[#This Row],[Column42]]&amp;IF(Table1[[#This Row],[Column13]]="","",Table1[[#This Row],[Column13]])&amp;IF(Table1[[#This Row],[mod]]="","",Table1[[#This Row],[mod]])</f>
        <v>button</v>
      </c>
      <c r="K3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5" t="s">
        <v>414</v>
      </c>
      <c r="Q3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5" s="29"/>
      <c r="AC315" s="25"/>
      <c r="AD315" s="41" t="s">
        <v>6294</v>
      </c>
      <c r="AE315" s="41"/>
      <c r="AF315" s="11" t="s">
        <v>137</v>
      </c>
      <c r="AH315" s="7" t="str">
        <f>Table1[[#This Row],[html_tag]]&amp;Table1[[#This Row],[html_type]]&amp;Table1[[#This Row],[html_modifier]]</f>
        <v/>
      </c>
      <c r="AL315" s="23" t="str">
        <f>IFERROR(_xlfn.XLOOKUP(Table1[[#This Row],[word]],Table57[English style name],Table57[Style type]),"")</f>
        <v/>
      </c>
      <c r="AM315" s="21"/>
      <c r="AN315" s="11"/>
    </row>
    <row r="316" spans="1:47">
      <c r="E316" s="76"/>
      <c r="F3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6" s="13" t="s">
        <v>337</v>
      </c>
      <c r="H316" s="13" t="s">
        <v>2986</v>
      </c>
      <c r="I316" s="12" t="str">
        <f>Table1[[#This Row],[type]]</f>
        <v>button</v>
      </c>
      <c r="J316" s="62" t="str">
        <f>Table1[[#This Row],[Column42]]&amp;IF(Table1[[#This Row],[Column13]]="","",Table1[[#This Row],[Column13]])&amp;IF(Table1[[#This Row],[mod]]="","",Table1[[#This Row],[mod]])</f>
        <v>button</v>
      </c>
      <c r="K3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6" t="s">
        <v>414</v>
      </c>
      <c r="P316" s="6" t="s">
        <v>1316</v>
      </c>
      <c r="Q3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6" s="29"/>
      <c r="AC316" s="25"/>
      <c r="AD316" s="41"/>
      <c r="AE316" s="41"/>
      <c r="AF316" s="11" t="s">
        <v>137</v>
      </c>
      <c r="AH316" s="1" t="str">
        <f>Table1[[#This Row],[html_tag]]&amp;Table1[[#This Row],[html_type]]&amp;Table1[[#This Row],[html_modifier]]</f>
        <v/>
      </c>
      <c r="AL316" s="22" t="str">
        <f>IFERROR(_xlfn.XLOOKUP(Table1[[#This Row],[word]],Table57[English style name],Table57[Style type]),"")</f>
        <v/>
      </c>
      <c r="AM316" s="20"/>
      <c r="AN316" s="11"/>
      <c r="AQ316" s="6" t="s">
        <v>1316</v>
      </c>
      <c r="AR316" t="s">
        <v>1313</v>
      </c>
    </row>
    <row r="317" spans="1:47">
      <c r="E317" s="76"/>
      <c r="F3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7" s="13" t="s">
        <v>337</v>
      </c>
      <c r="H317" s="13" t="s">
        <v>2986</v>
      </c>
      <c r="I317" s="12" t="str">
        <f>Table1[[#This Row],[type]]</f>
        <v>button</v>
      </c>
      <c r="J317" s="62" t="str">
        <f>Table1[[#This Row],[Column42]]&amp;IF(Table1[[#This Row],[Column13]]="","",Table1[[#This Row],[Column13]])&amp;IF(Table1[[#This Row],[mod]]="","",Table1[[#This Row],[mod]])</f>
        <v>button</v>
      </c>
      <c r="K3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7" t="s">
        <v>414</v>
      </c>
      <c r="P317" s="6" t="s">
        <v>1317</v>
      </c>
      <c r="Q3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" s="29"/>
      <c r="AC317" s="25"/>
      <c r="AD317" s="41"/>
      <c r="AE317" s="41"/>
      <c r="AF317" s="11" t="s">
        <v>137</v>
      </c>
      <c r="AH317" s="1" t="str">
        <f>Table1[[#This Row],[html_tag]]&amp;Table1[[#This Row],[html_type]]&amp;Table1[[#This Row],[html_modifier]]</f>
        <v/>
      </c>
      <c r="AL317" s="22" t="str">
        <f>IFERROR(_xlfn.XLOOKUP(Table1[[#This Row],[word]],Table57[English style name],Table57[Style type]),"")</f>
        <v/>
      </c>
      <c r="AM317" s="20"/>
      <c r="AN317" s="11"/>
      <c r="AQ317" s="6" t="s">
        <v>1317</v>
      </c>
      <c r="AR317" t="s">
        <v>1313</v>
      </c>
    </row>
    <row r="318" spans="1:47">
      <c r="E318" s="76"/>
      <c r="F3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8" s="13" t="s">
        <v>337</v>
      </c>
      <c r="H318" s="13" t="s">
        <v>2986</v>
      </c>
      <c r="I318" s="12" t="str">
        <f>Table1[[#This Row],[type]]</f>
        <v>button</v>
      </c>
      <c r="J318" s="62" t="str">
        <f>Table1[[#This Row],[Column42]]&amp;IF(Table1[[#This Row],[Column13]]="","",Table1[[#This Row],[Column13]])&amp;IF(Table1[[#This Row],[mod]]="","",Table1[[#This Row],[mod]])</f>
        <v>button</v>
      </c>
      <c r="K3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8" t="s">
        <v>414</v>
      </c>
      <c r="P318" s="6" t="s">
        <v>1332</v>
      </c>
      <c r="Q3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" s="29"/>
      <c r="AC318" s="25"/>
      <c r="AD318" s="41"/>
      <c r="AE318" s="41"/>
      <c r="AF318" s="11" t="s">
        <v>137</v>
      </c>
      <c r="AH318" s="1" t="str">
        <f>Table1[[#This Row],[html_tag]]&amp;Table1[[#This Row],[html_type]]&amp;Table1[[#This Row],[html_modifier]]</f>
        <v/>
      </c>
      <c r="AL318" s="22" t="str">
        <f>IFERROR(_xlfn.XLOOKUP(Table1[[#This Row],[word]],Table57[English style name],Table57[Style type]),"")</f>
        <v/>
      </c>
      <c r="AM318" s="20"/>
      <c r="AN318" s="11"/>
      <c r="AQ318" s="6" t="s">
        <v>1332</v>
      </c>
      <c r="AR318" t="s">
        <v>1313</v>
      </c>
    </row>
    <row r="319" spans="1:47">
      <c r="E319" s="76"/>
      <c r="F3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9" s="13" t="s">
        <v>337</v>
      </c>
      <c r="H319" s="13" t="s">
        <v>2986</v>
      </c>
      <c r="I319" s="12" t="str">
        <f>Table1[[#This Row],[type]]</f>
        <v>button</v>
      </c>
      <c r="J319" s="62" t="str">
        <f>Table1[[#This Row],[Column42]]&amp;IF(Table1[[#This Row],[Column13]]="","",Table1[[#This Row],[Column13]])&amp;IF(Table1[[#This Row],[mod]]="","",Table1[[#This Row],[mod]])</f>
        <v>button</v>
      </c>
      <c r="K3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9" t="s">
        <v>414</v>
      </c>
      <c r="P319" s="6" t="s">
        <v>1339</v>
      </c>
      <c r="Q3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" s="29"/>
      <c r="AC319" s="25"/>
      <c r="AD319" s="41"/>
      <c r="AE319" s="41"/>
      <c r="AF319" s="11" t="s">
        <v>137</v>
      </c>
      <c r="AH319" s="1" t="str">
        <f>Table1[[#This Row],[html_tag]]&amp;Table1[[#This Row],[html_type]]&amp;Table1[[#This Row],[html_modifier]]</f>
        <v/>
      </c>
      <c r="AL319" s="22" t="str">
        <f>IFERROR(_xlfn.XLOOKUP(Table1[[#This Row],[word]],Table57[English style name],Table57[Style type]),"")</f>
        <v/>
      </c>
      <c r="AM319" s="20"/>
      <c r="AN319" s="11"/>
      <c r="AQ319" s="6" t="s">
        <v>1339</v>
      </c>
      <c r="AR319" t="s">
        <v>1313</v>
      </c>
    </row>
    <row r="320" spans="1:47">
      <c r="E320" s="76"/>
      <c r="F3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0" s="13" t="s">
        <v>337</v>
      </c>
      <c r="H320" s="13" t="s">
        <v>2986</v>
      </c>
      <c r="I320" s="12" t="str">
        <f>Table1[[#This Row],[type]]</f>
        <v>button</v>
      </c>
      <c r="J320" s="62" t="str">
        <f>Table1[[#This Row],[Column42]]&amp;IF(Table1[[#This Row],[Column13]]="","",Table1[[#This Row],[Column13]])&amp;IF(Table1[[#This Row],[mod]]="","",Table1[[#This Row],[mod]])</f>
        <v>button</v>
      </c>
      <c r="K3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0" t="s">
        <v>414</v>
      </c>
      <c r="Q32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0" s="29"/>
      <c r="AC320" s="25" t="s">
        <v>3599</v>
      </c>
      <c r="AD320" s="41"/>
      <c r="AE320" s="41"/>
      <c r="AF320" s="11" t="s">
        <v>137</v>
      </c>
      <c r="AH320" s="7" t="str">
        <f>Table1[[#This Row],[html_tag]]&amp;Table1[[#This Row],[html_type]]&amp;Table1[[#This Row],[html_modifier]]</f>
        <v/>
      </c>
      <c r="AL320" s="23" t="str">
        <f>IFERROR(_xlfn.XLOOKUP(Table1[[#This Row],[word]],Table57[English style name],Table57[Style type]),"")</f>
        <v/>
      </c>
      <c r="AM320" s="21"/>
      <c r="AN320" s="11"/>
    </row>
    <row r="321" spans="5:44">
      <c r="E321" s="76"/>
      <c r="F3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1" s="13" t="s">
        <v>337</v>
      </c>
      <c r="H321" s="13" t="s">
        <v>2986</v>
      </c>
      <c r="I321" s="12" t="str">
        <f>Table1[[#This Row],[type]]</f>
        <v>button</v>
      </c>
      <c r="J321" s="62" t="str">
        <f>Table1[[#This Row],[Column42]]&amp;IF(Table1[[#This Row],[Column13]]="","",Table1[[#This Row],[Column13]])&amp;IF(Table1[[#This Row],[mod]]="","",Table1[[#This Row],[mod]])</f>
        <v>button</v>
      </c>
      <c r="K3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1" t="s">
        <v>414</v>
      </c>
      <c r="Q3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1" s="29"/>
      <c r="AC321" s="25" t="s">
        <v>3602</v>
      </c>
      <c r="AD321" s="41"/>
      <c r="AE321" s="41"/>
      <c r="AF321" s="11" t="s">
        <v>137</v>
      </c>
      <c r="AH321" s="7" t="str">
        <f>Table1[[#This Row],[html_tag]]&amp;Table1[[#This Row],[html_type]]&amp;Table1[[#This Row],[html_modifier]]</f>
        <v/>
      </c>
      <c r="AL321" s="23" t="str">
        <f>IFERROR(_xlfn.XLOOKUP(Table1[[#This Row],[word]],Table57[English style name],Table57[Style type]),"")</f>
        <v/>
      </c>
      <c r="AM321" s="21"/>
      <c r="AN321" s="11"/>
    </row>
    <row r="322" spans="5:44">
      <c r="E322" s="76"/>
      <c r="F3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2" s="13" t="s">
        <v>337</v>
      </c>
      <c r="H322" s="13" t="s">
        <v>2986</v>
      </c>
      <c r="I322" s="12" t="str">
        <f>Table1[[#This Row],[type]]</f>
        <v>button</v>
      </c>
      <c r="J322" s="62" t="str">
        <f>Table1[[#This Row],[Column42]]&amp;IF(Table1[[#This Row],[Column13]]="","",Table1[[#This Row],[Column13]])&amp;IF(Table1[[#This Row],[mod]]="","",Table1[[#This Row],[mod]])</f>
        <v>button</v>
      </c>
      <c r="K3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2" t="s">
        <v>414</v>
      </c>
      <c r="Q3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2" s="29"/>
      <c r="AC322" s="25" t="s">
        <v>3604</v>
      </c>
      <c r="AD322" s="41"/>
      <c r="AE322" s="41"/>
      <c r="AF322" s="11" t="s">
        <v>137</v>
      </c>
      <c r="AH322" s="7" t="str">
        <f>Table1[[#This Row],[html_tag]]&amp;Table1[[#This Row],[html_type]]&amp;Table1[[#This Row],[html_modifier]]</f>
        <v/>
      </c>
      <c r="AL322" s="23" t="str">
        <f>IFERROR(_xlfn.XLOOKUP(Table1[[#This Row],[word]],Table57[English style name],Table57[Style type]),"")</f>
        <v/>
      </c>
      <c r="AM322" s="21"/>
      <c r="AN322" s="11"/>
    </row>
    <row r="323" spans="5:44">
      <c r="E323" s="76"/>
      <c r="F3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3" s="13" t="s">
        <v>337</v>
      </c>
      <c r="H323" s="13" t="s">
        <v>2986</v>
      </c>
      <c r="I323" s="12" t="str">
        <f>Table1[[#This Row],[type]]</f>
        <v>button</v>
      </c>
      <c r="J323" s="62" t="str">
        <f>Table1[[#This Row],[Column42]]&amp;IF(Table1[[#This Row],[Column13]]="","",Table1[[#This Row],[Column13]])&amp;IF(Table1[[#This Row],[mod]]="","",Table1[[#This Row],[mod]])</f>
        <v>button</v>
      </c>
      <c r="K3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3" t="s">
        <v>414</v>
      </c>
      <c r="Q3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3" s="29"/>
      <c r="AC323" s="25"/>
      <c r="AD323" s="41"/>
      <c r="AE323" s="41"/>
      <c r="AF323" s="11" t="s">
        <v>137</v>
      </c>
      <c r="AH323" s="7" t="str">
        <f>Table1[[#This Row],[html_tag]]&amp;Table1[[#This Row],[html_type]]&amp;Table1[[#This Row],[html_modifier]]</f>
        <v/>
      </c>
      <c r="AL323" s="23" t="str">
        <f>IFERROR(_xlfn.XLOOKUP(Table1[[#This Row],[word]],Table57[English style name],Table57[Style type]),"")</f>
        <v/>
      </c>
      <c r="AM323" s="21"/>
      <c r="AN323" s="11"/>
    </row>
    <row r="324" spans="5:44">
      <c r="E324" s="76"/>
      <c r="F3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4" s="13" t="s">
        <v>337</v>
      </c>
      <c r="H324" s="13" t="s">
        <v>2986</v>
      </c>
      <c r="I324" s="12" t="str">
        <f>Table1[[#This Row],[type]]</f>
        <v>button</v>
      </c>
      <c r="J324" s="62" t="str">
        <f>Table1[[#This Row],[Column42]]&amp;IF(Table1[[#This Row],[Column13]]="","",Table1[[#This Row],[Column13]])&amp;IF(Table1[[#This Row],[mod]]="","",Table1[[#This Row],[mod]])</f>
        <v>button</v>
      </c>
      <c r="K3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4" t="s">
        <v>414</v>
      </c>
      <c r="Q3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4" s="29" t="s">
        <v>3900</v>
      </c>
      <c r="AC324" s="25"/>
      <c r="AD324" s="41"/>
      <c r="AE324" s="41"/>
      <c r="AF324" s="11" t="s">
        <v>137</v>
      </c>
      <c r="AH324" s="7" t="str">
        <f>Table1[[#This Row],[html_tag]]&amp;Table1[[#This Row],[html_type]]&amp;Table1[[#This Row],[html_modifier]]</f>
        <v/>
      </c>
      <c r="AL324" s="23" t="str">
        <f>IFERROR(_xlfn.XLOOKUP(Table1[[#This Row],[word]],Table57[English style name],Table57[Style type]),"")</f>
        <v/>
      </c>
      <c r="AM324" s="21"/>
      <c r="AN324" s="11"/>
    </row>
    <row r="325" spans="5:44">
      <c r="E325" s="76"/>
      <c r="F3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5" s="13" t="s">
        <v>337</v>
      </c>
      <c r="H325" s="13" t="s">
        <v>2986</v>
      </c>
      <c r="I325" s="12" t="str">
        <f>Table1[[#This Row],[type]]</f>
        <v>button</v>
      </c>
      <c r="J325" s="62" t="str">
        <f>Table1[[#This Row],[Column42]]&amp;IF(Table1[[#This Row],[Column13]]="","",Table1[[#This Row],[Column13]])&amp;IF(Table1[[#This Row],[mod]]="","",Table1[[#This Row],[mod]])</f>
        <v>button</v>
      </c>
      <c r="K3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5" t="s">
        <v>414</v>
      </c>
      <c r="Q32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5" s="29"/>
      <c r="AC325" s="25"/>
      <c r="AD325" s="41"/>
      <c r="AE325" s="41"/>
      <c r="AF325" s="11" t="s">
        <v>137</v>
      </c>
      <c r="AH325" s="7" t="str">
        <f>Table1[[#This Row],[html_tag]]&amp;Table1[[#This Row],[html_type]]&amp;Table1[[#This Row],[html_modifier]]</f>
        <v/>
      </c>
      <c r="AL325" s="23" t="str">
        <f>IFERROR(_xlfn.XLOOKUP(Table1[[#This Row],[word]],Table57[English style name],Table57[Style type]),"")</f>
        <v/>
      </c>
      <c r="AM325" s="21"/>
      <c r="AN325" s="11"/>
    </row>
    <row r="326" spans="5:44">
      <c r="E326" s="76"/>
      <c r="F3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26" s="13"/>
      <c r="H326" s="13"/>
      <c r="I326" s="12" t="str">
        <f>Table1[[#This Row],[type]]</f>
        <v>button</v>
      </c>
      <c r="J326" s="62" t="str">
        <f>Table1[[#This Row],[Column42]]&amp;IF(Table1[[#This Row],[Column13]]="","",Table1[[#This Row],[Column13]])&amp;IF(Table1[[#This Row],[mod]]="","",Table1[[#This Row],[mod]])</f>
        <v>button</v>
      </c>
      <c r="K3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6" t="s">
        <v>414</v>
      </c>
      <c r="Q3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6" s="29"/>
      <c r="AC326" s="25"/>
      <c r="AD326" s="41"/>
      <c r="AE326" s="59" t="s">
        <v>8067</v>
      </c>
      <c r="AF326" s="11" t="s">
        <v>137</v>
      </c>
      <c r="AH326" s="7" t="str">
        <f>Table1[[#This Row],[html_tag]]&amp;Table1[[#This Row],[html_type]]&amp;Table1[[#This Row],[html_modifier]]</f>
        <v/>
      </c>
      <c r="AL326" s="23" t="str">
        <f>IFERROR(_xlfn.XLOOKUP(Table1[[#This Row],[word]],Table57[English style name],Table57[Style type]),"")</f>
        <v/>
      </c>
      <c r="AM326" s="21"/>
      <c r="AN326" s="11"/>
    </row>
    <row r="327" spans="5:44">
      <c r="E327" s="76"/>
      <c r="F3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27" s="13"/>
      <c r="H327" s="13"/>
      <c r="I327" s="12" t="str">
        <f>Table1[[#This Row],[type]]</f>
        <v>button</v>
      </c>
      <c r="J327" s="62" t="str">
        <f>Table1[[#This Row],[Column42]]&amp;IF(Table1[[#This Row],[Column13]]="","",Table1[[#This Row],[Column13]])&amp;IF(Table1[[#This Row],[mod]]="","",Table1[[#This Row],[mod]])</f>
        <v>button</v>
      </c>
      <c r="K3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7" t="s">
        <v>414</v>
      </c>
      <c r="Q3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7" s="29"/>
      <c r="AC327" s="25"/>
      <c r="AD327" s="41"/>
      <c r="AE327" s="59" t="s">
        <v>8032</v>
      </c>
      <c r="AF327" s="11" t="s">
        <v>137</v>
      </c>
      <c r="AH327" s="7" t="str">
        <f>Table1[[#This Row],[html_tag]]&amp;Table1[[#This Row],[html_type]]&amp;Table1[[#This Row],[html_modifier]]</f>
        <v/>
      </c>
      <c r="AL327" s="23" t="str">
        <f>IFERROR(_xlfn.XLOOKUP(Table1[[#This Row],[word]],Table57[English style name],Table57[Style type]),"")</f>
        <v/>
      </c>
      <c r="AM327" s="21"/>
      <c r="AN327" s="11"/>
    </row>
    <row r="328" spans="5:44">
      <c r="E328" s="76"/>
      <c r="F3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28" s="13"/>
      <c r="H328" s="13"/>
      <c r="I328" s="12" t="str">
        <f>Table1[[#This Row],[type]]</f>
        <v>button</v>
      </c>
      <c r="J328" s="62" t="str">
        <f>Table1[[#This Row],[Column42]]&amp;IF(Table1[[#This Row],[Column13]]="","",Table1[[#This Row],[Column13]])&amp;IF(Table1[[#This Row],[mod]]="","",Table1[[#This Row],[mod]])</f>
        <v>button</v>
      </c>
      <c r="K3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8" t="s">
        <v>414</v>
      </c>
      <c r="Q3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" s="29"/>
      <c r="AC328" s="25"/>
      <c r="AD328" s="41"/>
      <c r="AE328" s="41"/>
      <c r="AF328" s="11" t="s">
        <v>137</v>
      </c>
      <c r="AH328" s="7" t="str">
        <f>Table1[[#This Row],[html_tag]]&amp;Table1[[#This Row],[html_type]]&amp;Table1[[#This Row],[html_modifier]]</f>
        <v/>
      </c>
      <c r="AL328" s="23" t="str">
        <f>IFERROR(_xlfn.XLOOKUP(Table1[[#This Row],[word]],Table57[English style name],Table57[Style type]),"")</f>
        <v/>
      </c>
      <c r="AM328" s="21"/>
      <c r="AN328" s="11"/>
    </row>
    <row r="329" spans="5:44">
      <c r="E329" s="76"/>
      <c r="F3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29" s="13"/>
      <c r="H329" s="13"/>
      <c r="I329" s="12" t="str">
        <f>Table1[[#This Row],[type]]</f>
        <v>button</v>
      </c>
      <c r="J329" s="62" t="str">
        <f>Table1[[#This Row],[Column42]]&amp;IF(Table1[[#This Row],[Column13]]="","",Table1[[#This Row],[Column13]])&amp;IF(Table1[[#This Row],[mod]]="","",Table1[[#This Row],[mod]])</f>
        <v>button</v>
      </c>
      <c r="K3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9" t="s">
        <v>414</v>
      </c>
      <c r="Q3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9" s="29"/>
      <c r="AC329" s="25"/>
      <c r="AD329" s="41"/>
      <c r="AE329" s="59" t="s">
        <v>8147</v>
      </c>
      <c r="AF329" s="11" t="s">
        <v>137</v>
      </c>
      <c r="AH329" s="7" t="str">
        <f>Table1[[#This Row],[html_tag]]&amp;Table1[[#This Row],[html_type]]&amp;Table1[[#This Row],[html_modifier]]</f>
        <v/>
      </c>
      <c r="AL329" s="23" t="str">
        <f>IFERROR(_xlfn.XLOOKUP(Table1[[#This Row],[word]],Table57[English style name],Table57[Style type]),"")</f>
        <v/>
      </c>
      <c r="AM329" s="21"/>
      <c r="AN329" s="11"/>
    </row>
    <row r="330" spans="5:44">
      <c r="E330" s="76"/>
      <c r="F3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30" s="13"/>
      <c r="H330" s="13"/>
      <c r="I330" s="12" t="str">
        <f>Table1[[#This Row],[type]]</f>
        <v>button</v>
      </c>
      <c r="J330" s="62" t="str">
        <f>Table1[[#This Row],[Column42]]&amp;IF(Table1[[#This Row],[Column13]]="","",Table1[[#This Row],[Column13]])&amp;IF(Table1[[#This Row],[mod]]="","",Table1[[#This Row],[mod]])</f>
        <v>button</v>
      </c>
      <c r="K3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30" t="s">
        <v>414</v>
      </c>
      <c r="Q33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0" s="29"/>
      <c r="AC330" s="25"/>
      <c r="AD330" s="41"/>
      <c r="AE330" s="41"/>
      <c r="AF330" s="11" t="s">
        <v>137</v>
      </c>
      <c r="AH330" s="7" t="str">
        <f>Table1[[#This Row],[html_tag]]&amp;Table1[[#This Row],[html_type]]&amp;Table1[[#This Row],[html_modifier]]</f>
        <v/>
      </c>
      <c r="AL330" s="23" t="str">
        <f>IFERROR(_xlfn.XLOOKUP(Table1[[#This Row],[word]],Table57[English style name],Table57[Style type]),"")</f>
        <v/>
      </c>
      <c r="AM330" s="21"/>
      <c r="AN330" s="11"/>
    </row>
    <row r="331" spans="5:44">
      <c r="E331" s="76"/>
      <c r="F3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1" s="13" t="s">
        <v>337</v>
      </c>
      <c r="H331" s="13" t="s">
        <v>2986</v>
      </c>
      <c r="I331" s="12" t="str">
        <f>Table1[[#This Row],[type]]</f>
        <v>button</v>
      </c>
      <c r="J331" s="62" t="str">
        <f>Table1[[#This Row],[Column42]]&amp;IF(Table1[[#This Row],[Column13]]="","",Table1[[#This Row],[Column13]])&amp;IF(Table1[[#This Row],[mod]]="","",Table1[[#This Row],[mod]])</f>
        <v>button</v>
      </c>
      <c r="K3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31" t="s">
        <v>414</v>
      </c>
      <c r="Q3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" s="29" t="s">
        <v>3896</v>
      </c>
      <c r="AC331" s="25" t="s">
        <v>3570</v>
      </c>
      <c r="AD331" s="41"/>
      <c r="AE331" s="59" t="s">
        <v>3570</v>
      </c>
      <c r="AF331" s="11" t="s">
        <v>137</v>
      </c>
      <c r="AH331" s="1" t="str">
        <f>Table1[[#This Row],[html_tag]]&amp;Table1[[#This Row],[html_type]]&amp;Table1[[#This Row],[html_modifier]]</f>
        <v>&lt;button&gt;</v>
      </c>
      <c r="AI331" t="s">
        <v>137</v>
      </c>
      <c r="AL331" s="22" t="str">
        <f>IFERROR(_xlfn.XLOOKUP(Table1[[#This Row],[word]],Table57[English style name],Table57[Style type]),"")</f>
        <v/>
      </c>
      <c r="AM331" s="20"/>
      <c r="AN331" s="11"/>
      <c r="AQ331" s="6" t="s">
        <v>414</v>
      </c>
      <c r="AR331" t="s">
        <v>1313</v>
      </c>
    </row>
    <row r="332" spans="5:44">
      <c r="E332" s="76"/>
      <c r="F3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2" s="13" t="s">
        <v>337</v>
      </c>
      <c r="H332" s="13" t="s">
        <v>2986</v>
      </c>
      <c r="I332" s="12" t="str">
        <f>Table1[[#This Row],[type]]</f>
        <v>button</v>
      </c>
      <c r="J332" s="62" t="str">
        <f>Table1[[#This Row],[Column42]]&amp;IF(Table1[[#This Row],[Column13]]="","",Table1[[#This Row],[Column13]])&amp;IF(Table1[[#This Row],[mod]]="","",Table1[[#This Row],[mod]])</f>
        <v>button__badge</v>
      </c>
      <c r="K3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button__badge</v>
      </c>
      <c r="L332" t="s">
        <v>414</v>
      </c>
      <c r="M332" t="s">
        <v>1194</v>
      </c>
      <c r="Q3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2" s="29"/>
      <c r="AC332" s="25"/>
      <c r="AD332" s="41"/>
      <c r="AE332" s="41"/>
      <c r="AF332" s="11" t="s">
        <v>270</v>
      </c>
      <c r="AH332" s="1" t="str">
        <f>Table1[[#This Row],[html_tag]]&amp;Table1[[#This Row],[html_type]]&amp;Table1[[#This Row],[html_modifier]]</f>
        <v/>
      </c>
      <c r="AL332" s="22" t="str">
        <f>IFERROR(_xlfn.XLOOKUP(Table1[[#This Row],[word]],Table57[English style name],Table57[Style type]),"")</f>
        <v/>
      </c>
      <c r="AM332" s="20"/>
      <c r="AN332" s="11"/>
      <c r="AQ332" s="6" t="s">
        <v>1199</v>
      </c>
      <c r="AR332" t="s">
        <v>1195</v>
      </c>
    </row>
    <row r="333" spans="5:44">
      <c r="E333" s="76"/>
      <c r="F3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3" s="13" t="s">
        <v>337</v>
      </c>
      <c r="H333" s="13" t="s">
        <v>2986</v>
      </c>
      <c r="I333" s="12" t="str">
        <f>Table1[[#This Row],[type]]</f>
        <v>button</v>
      </c>
      <c r="J333" s="62" t="str">
        <f>Table1[[#This Row],[Column42]]&amp;IF(Table1[[#This Row],[Column13]]="","",Table1[[#This Row],[Column13]])&amp;IF(Table1[[#This Row],[mod]]="","",Table1[[#This Row],[mod]])</f>
        <v>button__link</v>
      </c>
      <c r="K3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button__link</v>
      </c>
      <c r="L333" t="s">
        <v>414</v>
      </c>
      <c r="O333" t="s">
        <v>477</v>
      </c>
      <c r="Q3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3" s="29" t="s">
        <v>3904</v>
      </c>
      <c r="AC333" s="25" t="s">
        <v>3577</v>
      </c>
      <c r="AD333" s="41" t="s">
        <v>3577</v>
      </c>
      <c r="AE333" s="59" t="s">
        <v>3577</v>
      </c>
      <c r="AF333" s="11"/>
      <c r="AH333" s="1" t="str">
        <f>Table1[[#This Row],[html_tag]]&amp;Table1[[#This Row],[html_type]]&amp;Table1[[#This Row],[html_modifier]]</f>
        <v/>
      </c>
      <c r="AL333" s="22" t="str">
        <f>IFERROR(_xlfn.XLOOKUP(Table1[[#This Row],[word]],Table57[English style name],Table57[Style type]),"")</f>
        <v/>
      </c>
      <c r="AM333" s="20"/>
      <c r="AN333" s="11"/>
      <c r="AQ333" s="14" t="s">
        <v>1324</v>
      </c>
      <c r="AR333" t="s">
        <v>1313</v>
      </c>
    </row>
    <row r="334" spans="5:44">
      <c r="E334" s="76"/>
      <c r="F3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4" s="13" t="s">
        <v>337</v>
      </c>
      <c r="H334" s="13" t="s">
        <v>2987</v>
      </c>
      <c r="I334" s="12" t="str">
        <f>Table1[[#This Row],[type]]</f>
        <v>button_group</v>
      </c>
      <c r="J334" s="62" t="str">
        <f>Table1[[#This Row],[Column42]]&amp;IF(Table1[[#This Row],[Column13]]="","",Table1[[#This Row],[Column13]])&amp;IF(Table1[[#This Row],[mod]]="","",Table1[[#This Row],[mod]])</f>
        <v>button_group</v>
      </c>
      <c r="K3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34" t="s">
        <v>1353</v>
      </c>
      <c r="Q3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4" s="29"/>
      <c r="AC334" s="25" t="s">
        <v>3593</v>
      </c>
      <c r="AD334" s="41"/>
      <c r="AE334" s="41"/>
      <c r="AF334" s="11" t="s">
        <v>166</v>
      </c>
      <c r="AH334" s="7" t="str">
        <f>Table1[[#This Row],[html_tag]]&amp;Table1[[#This Row],[html_type]]&amp;Table1[[#This Row],[html_modifier]]</f>
        <v/>
      </c>
      <c r="AL334" s="23" t="str">
        <f>IFERROR(_xlfn.XLOOKUP(Table1[[#This Row],[word]],Table57[English style name],Table57[Style type]),"")</f>
        <v/>
      </c>
      <c r="AM334" s="21"/>
      <c r="AN334" s="11"/>
    </row>
    <row r="335" spans="5:44">
      <c r="E335" s="76"/>
      <c r="F3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5" s="13" t="s">
        <v>337</v>
      </c>
      <c r="H335" s="13" t="s">
        <v>2987</v>
      </c>
      <c r="I335" s="12" t="str">
        <f>Table1[[#This Row],[type]]</f>
        <v>button_group</v>
      </c>
      <c r="J335" s="62" t="str">
        <f>Table1[[#This Row],[Column42]]&amp;IF(Table1[[#This Row],[Column13]]="","",Table1[[#This Row],[Column13]])&amp;IF(Table1[[#This Row],[mod]]="","",Table1[[#This Row],[mod]])</f>
        <v>button_group</v>
      </c>
      <c r="K3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35" t="s">
        <v>1353</v>
      </c>
      <c r="Q33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5" s="29"/>
      <c r="AC335" s="25" t="s">
        <v>3597</v>
      </c>
      <c r="AD335" s="41"/>
      <c r="AE335" s="41"/>
      <c r="AF335" s="11" t="s">
        <v>166</v>
      </c>
      <c r="AH335" s="7" t="str">
        <f>Table1[[#This Row],[html_tag]]&amp;Table1[[#This Row],[html_type]]&amp;Table1[[#This Row],[html_modifier]]</f>
        <v/>
      </c>
      <c r="AL335" s="23" t="str">
        <f>IFERROR(_xlfn.XLOOKUP(Table1[[#This Row],[word]],Table57[English style name],Table57[Style type]),"")</f>
        <v/>
      </c>
      <c r="AM335" s="21"/>
      <c r="AN335" s="11"/>
    </row>
    <row r="336" spans="5:44">
      <c r="E336" s="76"/>
      <c r="F3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6" s="13" t="s">
        <v>337</v>
      </c>
      <c r="H336" s="13" t="s">
        <v>2987</v>
      </c>
      <c r="I336" s="12" t="str">
        <f>Table1[[#This Row],[type]]</f>
        <v>button_group</v>
      </c>
      <c r="J336" s="62" t="str">
        <f>Table1[[#This Row],[Column42]]&amp;IF(Table1[[#This Row],[Column13]]="","",Table1[[#This Row],[Column13]])&amp;IF(Table1[[#This Row],[mod]]="","",Table1[[#This Row],[mod]])</f>
        <v>button_group</v>
      </c>
      <c r="K3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36" t="s">
        <v>1353</v>
      </c>
      <c r="Q3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6" s="29" t="s">
        <v>3916</v>
      </c>
      <c r="AC336" s="25" t="s">
        <v>3592</v>
      </c>
      <c r="AD336" s="41"/>
      <c r="AE336" s="59" t="s">
        <v>8163</v>
      </c>
      <c r="AF336" s="11" t="s">
        <v>166</v>
      </c>
      <c r="AH336" s="7" t="str">
        <f>Table1[[#This Row],[html_tag]]&amp;Table1[[#This Row],[html_type]]&amp;Table1[[#This Row],[html_modifier]]</f>
        <v/>
      </c>
      <c r="AL336" s="23" t="str">
        <f>IFERROR(_xlfn.XLOOKUP(Table1[[#This Row],[word]],Table57[English style name],Table57[Style type]),"")</f>
        <v/>
      </c>
      <c r="AM336" s="21"/>
      <c r="AN336" s="11"/>
    </row>
    <row r="337" spans="5:44">
      <c r="E337" s="76"/>
      <c r="F3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7" s="13" t="s">
        <v>337</v>
      </c>
      <c r="H337" s="13" t="s">
        <v>2987</v>
      </c>
      <c r="I337" s="12" t="str">
        <f>Table1[[#This Row],[type]]</f>
        <v>button_group</v>
      </c>
      <c r="J337" s="62" t="str">
        <f>Table1[[#This Row],[Column42]]&amp;IF(Table1[[#This Row],[Column13]]="","",Table1[[#This Row],[Column13]])&amp;IF(Table1[[#This Row],[mod]]="","",Table1[[#This Row],[mod]])</f>
        <v>button_group</v>
      </c>
      <c r="K3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37" t="s">
        <v>1353</v>
      </c>
      <c r="Q33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7" s="29" t="s">
        <v>3917</v>
      </c>
      <c r="AC337" s="25"/>
      <c r="AD337" s="41"/>
      <c r="AE337" s="41"/>
      <c r="AF337" s="11" t="s">
        <v>166</v>
      </c>
      <c r="AH337" s="7" t="str">
        <f>Table1[[#This Row],[html_tag]]&amp;Table1[[#This Row],[html_type]]&amp;Table1[[#This Row],[html_modifier]]</f>
        <v/>
      </c>
      <c r="AL337" s="23" t="str">
        <f>IFERROR(_xlfn.XLOOKUP(Table1[[#This Row],[word]],Table57[English style name],Table57[Style type]),"")</f>
        <v/>
      </c>
      <c r="AM337" s="21"/>
      <c r="AN337" s="11"/>
    </row>
    <row r="338" spans="5:44">
      <c r="E338" s="76"/>
      <c r="F3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8" s="13" t="s">
        <v>337</v>
      </c>
      <c r="H338" s="13" t="s">
        <v>2987</v>
      </c>
      <c r="I338" s="12" t="str">
        <f>Table1[[#This Row],[type]]</f>
        <v>button_group</v>
      </c>
      <c r="J338" s="62" t="str">
        <f>Table1[[#This Row],[Column42]]&amp;IF(Table1[[#This Row],[Column13]]="","",Table1[[#This Row],[Column13]])&amp;IF(Table1[[#This Row],[mod]]="","",Table1[[#This Row],[mod]])</f>
        <v>button_group__center</v>
      </c>
      <c r="K3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button_group__center</v>
      </c>
      <c r="L338" t="s">
        <v>1353</v>
      </c>
      <c r="N338" t="s">
        <v>425</v>
      </c>
      <c r="Q33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8" s="29" t="s">
        <v>3918</v>
      </c>
      <c r="AC338" s="25"/>
      <c r="AD338" s="41"/>
      <c r="AE338" s="41"/>
      <c r="AF338" s="11" t="s">
        <v>166</v>
      </c>
      <c r="AH338" s="7" t="str">
        <f>Table1[[#This Row],[html_tag]]&amp;Table1[[#This Row],[html_type]]&amp;Table1[[#This Row],[html_modifier]]</f>
        <v/>
      </c>
      <c r="AL338" s="23" t="str">
        <f>IFERROR(_xlfn.XLOOKUP(Table1[[#This Row],[word]],Table57[English style name],Table57[Style type]),"")</f>
        <v/>
      </c>
      <c r="AM338" s="21"/>
      <c r="AN338" s="11"/>
    </row>
    <row r="339" spans="5:44">
      <c r="E339" s="76"/>
      <c r="F3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9" s="13" t="s">
        <v>337</v>
      </c>
      <c r="H339" s="13" t="s">
        <v>2987</v>
      </c>
      <c r="I339" s="12" t="str">
        <f>Table1[[#This Row],[type]]</f>
        <v>button_group</v>
      </c>
      <c r="J339" s="62" t="str">
        <f>Table1[[#This Row],[Column42]]&amp;IF(Table1[[#This Row],[Column13]]="","",Table1[[#This Row],[Column13]])&amp;IF(Table1[[#This Row],[mod]]="","",Table1[[#This Row],[mod]])</f>
        <v>button_group__right</v>
      </c>
      <c r="K3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button_group__right</v>
      </c>
      <c r="L339" t="s">
        <v>1353</v>
      </c>
      <c r="N339" t="s">
        <v>617</v>
      </c>
      <c r="Q33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9" s="29" t="s">
        <v>3919</v>
      </c>
      <c r="AC339" s="25"/>
      <c r="AD339" s="41"/>
      <c r="AE339" s="41"/>
      <c r="AF339" s="11" t="s">
        <v>166</v>
      </c>
      <c r="AH339" s="7" t="str">
        <f>Table1[[#This Row],[html_tag]]&amp;Table1[[#This Row],[html_type]]&amp;Table1[[#This Row],[html_modifier]]</f>
        <v/>
      </c>
      <c r="AL339" s="23" t="str">
        <f>IFERROR(_xlfn.XLOOKUP(Table1[[#This Row],[word]],Table57[English style name],Table57[Style type]),"")</f>
        <v/>
      </c>
      <c r="AM339" s="21"/>
      <c r="AN339" s="11"/>
    </row>
    <row r="340" spans="5:44">
      <c r="E340" s="76"/>
      <c r="F3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0" s="13" t="s">
        <v>337</v>
      </c>
      <c r="H340" s="13" t="s">
        <v>2987</v>
      </c>
      <c r="I340" s="12" t="str">
        <f>Table1[[#This Row],[type]]</f>
        <v>button_group</v>
      </c>
      <c r="J340" s="62" t="str">
        <f>Table1[[#This Row],[Column42]]&amp;IF(Table1[[#This Row],[Column13]]="","",Table1[[#This Row],[Column13]])&amp;IF(Table1[[#This Row],[mod]]="","",Table1[[#This Row],[mod]])</f>
        <v>button_group--horizontal</v>
      </c>
      <c r="K3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40" t="s">
        <v>1353</v>
      </c>
      <c r="Q3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40" t="s">
        <v>3205</v>
      </c>
      <c r="AB340" s="29"/>
      <c r="AC340" s="25"/>
      <c r="AD340" s="41"/>
      <c r="AE340" s="41"/>
      <c r="AF340" s="11" t="s">
        <v>166</v>
      </c>
      <c r="AH340" s="1" t="str">
        <f>Table1[[#This Row],[html_tag]]&amp;Table1[[#This Row],[html_type]]&amp;Table1[[#This Row],[html_modifier]]</f>
        <v/>
      </c>
      <c r="AL340" s="22" t="str">
        <f>IFERROR(_xlfn.XLOOKUP(Table1[[#This Row],[word]],Table57[English style name],Table57[Style type]),"")</f>
        <v/>
      </c>
      <c r="AM340" s="20"/>
      <c r="AN340" s="11"/>
      <c r="AQ340" s="6" t="s">
        <v>1354</v>
      </c>
      <c r="AR340" t="s">
        <v>1352</v>
      </c>
    </row>
    <row r="341" spans="5:44">
      <c r="E341" s="76"/>
      <c r="F3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1" s="13" t="s">
        <v>337</v>
      </c>
      <c r="H341" s="13" t="s">
        <v>2987</v>
      </c>
      <c r="I341" s="12" t="str">
        <f>Table1[[#This Row],[type]]</f>
        <v>button_group</v>
      </c>
      <c r="J341" s="62" t="str">
        <f>Table1[[#This Row],[Column42]]&amp;IF(Table1[[#This Row],[Column13]]="","",Table1[[#This Row],[Column13]])&amp;IF(Table1[[#This Row],[mod]]="","",Table1[[#This Row],[mod]])</f>
        <v>button_group--lg</v>
      </c>
      <c r="K3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41" t="s">
        <v>1353</v>
      </c>
      <c r="Q34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41" t="s">
        <v>3114</v>
      </c>
      <c r="AB341" s="29"/>
      <c r="AC341" s="25" t="s">
        <v>3594</v>
      </c>
      <c r="AD341" s="41"/>
      <c r="AE341" s="41"/>
      <c r="AF341" s="11" t="s">
        <v>166</v>
      </c>
      <c r="AH341" s="7" t="str">
        <f>Table1[[#This Row],[html_tag]]&amp;Table1[[#This Row],[html_type]]&amp;Table1[[#This Row],[html_modifier]]</f>
        <v/>
      </c>
      <c r="AL341" s="23" t="str">
        <f>IFERROR(_xlfn.XLOOKUP(Table1[[#This Row],[word]],Table57[English style name],Table57[Style type]),"")</f>
        <v/>
      </c>
      <c r="AM341" s="21"/>
      <c r="AN341" s="11"/>
    </row>
    <row r="342" spans="5:44">
      <c r="E342" s="76"/>
      <c r="F3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2" s="13" t="s">
        <v>337</v>
      </c>
      <c r="H342" s="13" t="s">
        <v>2987</v>
      </c>
      <c r="I342" s="12" t="str">
        <f>Table1[[#This Row],[type]]</f>
        <v>button_group</v>
      </c>
      <c r="J342" s="62" t="str">
        <f>Table1[[#This Row],[Column42]]&amp;IF(Table1[[#This Row],[Column13]]="","",Table1[[#This Row],[Column13]])&amp;IF(Table1[[#This Row],[mod]]="","",Table1[[#This Row],[mod]])</f>
        <v>button_group--sm</v>
      </c>
      <c r="K3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42" t="s">
        <v>1353</v>
      </c>
      <c r="Q34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42" t="s">
        <v>3116</v>
      </c>
      <c r="AB342" s="29"/>
      <c r="AC342" s="25" t="s">
        <v>3595</v>
      </c>
      <c r="AD342" s="41"/>
      <c r="AE342" s="41"/>
      <c r="AF342" s="11" t="s">
        <v>166</v>
      </c>
      <c r="AH342" s="7" t="str">
        <f>Table1[[#This Row],[html_tag]]&amp;Table1[[#This Row],[html_type]]&amp;Table1[[#This Row],[html_modifier]]</f>
        <v/>
      </c>
      <c r="AL342" s="23" t="str">
        <f>IFERROR(_xlfn.XLOOKUP(Table1[[#This Row],[word]],Table57[English style name],Table57[Style type]),"")</f>
        <v/>
      </c>
      <c r="AM342" s="21"/>
      <c r="AN342" s="11"/>
    </row>
    <row r="343" spans="5:44">
      <c r="E343" s="76"/>
      <c r="F3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3" s="13" t="s">
        <v>337</v>
      </c>
      <c r="H343" s="13" t="s">
        <v>2987</v>
      </c>
      <c r="I343" s="12" t="str">
        <f>Table1[[#This Row],[type]]</f>
        <v>button_group</v>
      </c>
      <c r="J343" s="62" t="str">
        <f>Table1[[#This Row],[Column42]]&amp;IF(Table1[[#This Row],[Column13]]="","",Table1[[#This Row],[Column13]])&amp;IF(Table1[[#This Row],[mod]]="","",Table1[[#This Row],[mod]])</f>
        <v>button_group--square</v>
      </c>
      <c r="K3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43" t="s">
        <v>1353</v>
      </c>
      <c r="Q3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343" t="s">
        <v>3122</v>
      </c>
      <c r="AB343" s="29"/>
      <c r="AC343" s="25"/>
      <c r="AD343" s="41"/>
      <c r="AE343" s="41"/>
      <c r="AF343" s="11" t="s">
        <v>166</v>
      </c>
      <c r="AH343" s="1" t="str">
        <f>Table1[[#This Row],[html_tag]]&amp;Table1[[#This Row],[html_type]]&amp;Table1[[#This Row],[html_modifier]]</f>
        <v/>
      </c>
      <c r="AL343" s="22" t="str">
        <f>IFERROR(_xlfn.XLOOKUP(Table1[[#This Row],[word]],Table57[English style name],Table57[Style type]),"")</f>
        <v/>
      </c>
      <c r="AM343" s="20"/>
      <c r="AN343" s="11"/>
      <c r="AQ343" s="6" t="s">
        <v>1353</v>
      </c>
      <c r="AR343" t="s">
        <v>1352</v>
      </c>
    </row>
    <row r="344" spans="5:44">
      <c r="E344" s="76"/>
      <c r="F3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4" s="13" t="s">
        <v>337</v>
      </c>
      <c r="H344" s="13" t="s">
        <v>2987</v>
      </c>
      <c r="I344" s="12" t="str">
        <f>Table1[[#This Row],[type]]</f>
        <v>button_group</v>
      </c>
      <c r="J344" s="62" t="str">
        <f>Table1[[#This Row],[Column42]]&amp;IF(Table1[[#This Row],[Column13]]="","",Table1[[#This Row],[Column13]])&amp;IF(Table1[[#This Row],[mod]]="","",Table1[[#This Row],[mod]])</f>
        <v>button_group--vertical</v>
      </c>
      <c r="K3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44" t="s">
        <v>1353</v>
      </c>
      <c r="Q3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44" t="s">
        <v>2943</v>
      </c>
      <c r="AB344" s="29"/>
      <c r="AC344" s="25" t="s">
        <v>3596</v>
      </c>
      <c r="AD344" s="41"/>
      <c r="AE344" s="41"/>
      <c r="AF344" s="11" t="s">
        <v>166</v>
      </c>
      <c r="AH344" s="1" t="str">
        <f>Table1[[#This Row],[html_tag]]&amp;Table1[[#This Row],[html_type]]&amp;Table1[[#This Row],[html_modifier]]</f>
        <v/>
      </c>
      <c r="AL344" s="22" t="str">
        <f>IFERROR(_xlfn.XLOOKUP(Table1[[#This Row],[word]],Table57[English style name],Table57[Style type]),"")</f>
        <v/>
      </c>
      <c r="AM344" s="20"/>
      <c r="AN344" s="11"/>
      <c r="AQ344" s="6" t="s">
        <v>1351</v>
      </c>
      <c r="AR344" t="s">
        <v>1352</v>
      </c>
    </row>
    <row r="345" spans="5:44">
      <c r="E345" s="76"/>
      <c r="F3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5" s="13" t="s">
        <v>337</v>
      </c>
      <c r="H345" s="13" t="s">
        <v>2986</v>
      </c>
      <c r="I345" s="12" t="str">
        <f>Table1[[#This Row],[type]]</f>
        <v>button</v>
      </c>
      <c r="J345" s="62" t="str">
        <f>Table1[[#This Row],[Column42]]&amp;IF(Table1[[#This Row],[Column13]]="","",Table1[[#This Row],[Column13]])&amp;IF(Table1[[#This Row],[mod]]="","",Table1[[#This Row],[mod]])</f>
        <v>button--accent</v>
      </c>
      <c r="K3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45" t="s">
        <v>414</v>
      </c>
      <c r="Q3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345" t="s">
        <v>7394</v>
      </c>
      <c r="AB345" s="29"/>
      <c r="AC345" s="25"/>
      <c r="AD345" s="41" t="s">
        <v>6290</v>
      </c>
      <c r="AE345" s="41"/>
      <c r="AF345" s="11"/>
      <c r="AH345" s="1" t="str">
        <f>Table1[[#This Row],[html_tag]]&amp;Table1[[#This Row],[html_type]]&amp;Table1[[#This Row],[html_modifier]]</f>
        <v/>
      </c>
      <c r="AL345" s="22" t="str">
        <f>IFERROR(_xlfn.XLOOKUP(Table1[[#This Row],[word]],Table57[English style name],Table57[Style type]),"")</f>
        <v/>
      </c>
      <c r="AM345" s="20"/>
      <c r="AN345" s="11"/>
      <c r="AQ345" s="6" t="s">
        <v>1314</v>
      </c>
      <c r="AR345" t="s">
        <v>1313</v>
      </c>
    </row>
    <row r="346" spans="5:44">
      <c r="E346" s="76"/>
      <c r="F3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6" s="13" t="s">
        <v>337</v>
      </c>
      <c r="H346" s="13" t="s">
        <v>2986</v>
      </c>
      <c r="I346" s="12" t="str">
        <f>Table1[[#This Row],[type]]</f>
        <v>button</v>
      </c>
      <c r="J346" s="62" t="str">
        <f>Table1[[#This Row],[Column42]]&amp;IF(Table1[[#This Row],[Column13]]="","",Table1[[#This Row],[Column13]])&amp;IF(Table1[[#This Row],[mod]]="","",Table1[[#This Row],[mod]])</f>
        <v>button--active</v>
      </c>
      <c r="K3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46" t="s">
        <v>414</v>
      </c>
      <c r="Q3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46" t="s">
        <v>350</v>
      </c>
      <c r="AB346" s="29"/>
      <c r="AC346" s="25" t="s">
        <v>3598</v>
      </c>
      <c r="AD346" s="41" t="s">
        <v>6296</v>
      </c>
      <c r="AE346" s="41"/>
      <c r="AF346" s="11"/>
      <c r="AH346" s="7" t="str">
        <f>Table1[[#This Row],[html_tag]]&amp;Table1[[#This Row],[html_type]]&amp;Table1[[#This Row],[html_modifier]]</f>
        <v/>
      </c>
      <c r="AL346" s="23" t="str">
        <f>IFERROR(_xlfn.XLOOKUP(Table1[[#This Row],[word]],Table57[English style name],Table57[Style type]),"")</f>
        <v/>
      </c>
      <c r="AM346" s="21"/>
      <c r="AN346" s="11"/>
    </row>
    <row r="347" spans="5:44">
      <c r="E347" s="76"/>
      <c r="F3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7" s="13" t="s">
        <v>337</v>
      </c>
      <c r="H347" s="13" t="s">
        <v>2986</v>
      </c>
      <c r="I347" s="12" t="str">
        <f>Table1[[#This Row],[type]]</f>
        <v>button</v>
      </c>
      <c r="J347" s="62" t="str">
        <f>Table1[[#This Row],[Column42]]&amp;IF(Table1[[#This Row],[Column13]]="","",Table1[[#This Row],[Column13]])&amp;IF(Table1[[#This Row],[mod]]="","",Table1[[#This Row],[mod]])</f>
        <v>button--base</v>
      </c>
      <c r="K3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47" t="s">
        <v>414</v>
      </c>
      <c r="Q3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47" t="s">
        <v>338</v>
      </c>
      <c r="AB347" s="29"/>
      <c r="AC347" s="25"/>
      <c r="AD347" s="41"/>
      <c r="AE347" s="41"/>
      <c r="AF347" s="11"/>
      <c r="AH347" s="1" t="str">
        <f>Table1[[#This Row],[html_tag]]&amp;Table1[[#This Row],[html_type]]&amp;Table1[[#This Row],[html_modifier]]</f>
        <v/>
      </c>
      <c r="AL347" s="22" t="str">
        <f>IFERROR(_xlfn.XLOOKUP(Table1[[#This Row],[word]],Table57[English style name],Table57[Style type]),"")</f>
        <v/>
      </c>
      <c r="AM347" s="20"/>
      <c r="AN347" s="11"/>
      <c r="AQ347" s="6" t="s">
        <v>1315</v>
      </c>
      <c r="AR347" t="s">
        <v>1313</v>
      </c>
    </row>
    <row r="348" spans="5:44">
      <c r="E348" s="76"/>
      <c r="F3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8" s="13" t="s">
        <v>337</v>
      </c>
      <c r="H348" s="13" t="s">
        <v>2986</v>
      </c>
      <c r="I348" s="12" t="str">
        <f>Table1[[#This Row],[type]]</f>
        <v>button</v>
      </c>
      <c r="J348" s="62" t="str">
        <f>Table1[[#This Row],[Column42]]&amp;IF(Table1[[#This Row],[Column13]]="","",Table1[[#This Row],[Column13]])&amp;IF(Table1[[#This Row],[mod]]="","",Table1[[#This Row],[mod]])</f>
        <v>button--black</v>
      </c>
      <c r="K3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48" t="s">
        <v>414</v>
      </c>
      <c r="Q3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--black</v>
      </c>
      <c r="W348" t="s">
        <v>4563</v>
      </c>
      <c r="AB348" s="29" t="s">
        <v>3897</v>
      </c>
      <c r="AC348" s="25"/>
      <c r="AD348" s="41"/>
      <c r="AE348" s="41"/>
      <c r="AF348" s="11"/>
      <c r="AH348" s="7" t="str">
        <f>Table1[[#This Row],[html_tag]]&amp;Table1[[#This Row],[html_type]]&amp;Table1[[#This Row],[html_modifier]]</f>
        <v/>
      </c>
      <c r="AL348" s="23" t="str">
        <f>IFERROR(_xlfn.XLOOKUP(Table1[[#This Row],[word]],Table57[English style name],Table57[Style type]),"")</f>
        <v/>
      </c>
      <c r="AM348" s="21"/>
      <c r="AN348" s="11"/>
    </row>
    <row r="349" spans="5:44">
      <c r="E349" s="76"/>
      <c r="F3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9" s="13" t="s">
        <v>337</v>
      </c>
      <c r="H349" s="13" t="s">
        <v>2986</v>
      </c>
      <c r="I349" s="12" t="str">
        <f>Table1[[#This Row],[type]]</f>
        <v>button</v>
      </c>
      <c r="J349" s="62" t="str">
        <f>Table1[[#This Row],[Column42]]&amp;IF(Table1[[#This Row],[Column13]]="","",Table1[[#This Row],[Column13]])&amp;IF(Table1[[#This Row],[mod]]="","",Table1[[#This Row],[mod]])</f>
        <v>button--block</v>
      </c>
      <c r="K3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49" t="s">
        <v>414</v>
      </c>
      <c r="Q3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--block</v>
      </c>
      <c r="W349" t="s">
        <v>324</v>
      </c>
      <c r="AB349" s="29"/>
      <c r="AC349" s="25"/>
      <c r="AD349" s="41" t="s">
        <v>3599</v>
      </c>
      <c r="AE349" s="41"/>
      <c r="AF349" s="11"/>
      <c r="AH349" s="7" t="str">
        <f>Table1[[#This Row],[html_tag]]&amp;Table1[[#This Row],[html_type]]&amp;Table1[[#This Row],[html_modifier]]</f>
        <v/>
      </c>
      <c r="AL349" s="23" t="str">
        <f>IFERROR(_xlfn.XLOOKUP(Table1[[#This Row],[word]],Table57[English style name],Table57[Style type]),"")</f>
        <v/>
      </c>
      <c r="AM349" s="21"/>
      <c r="AN349" s="11"/>
    </row>
    <row r="350" spans="5:44">
      <c r="E350" s="76"/>
      <c r="F3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0" s="13" t="s">
        <v>337</v>
      </c>
      <c r="H350" s="13" t="s">
        <v>2986</v>
      </c>
      <c r="I350" s="12" t="str">
        <f>Table1[[#This Row],[type]]</f>
        <v>button</v>
      </c>
      <c r="J350" s="62" t="str">
        <f>Table1[[#This Row],[Column42]]&amp;IF(Table1[[#This Row],[Column13]]="","",Table1[[#This Row],[Column13]])&amp;IF(Table1[[#This Row],[mod]]="","",Table1[[#This Row],[mod]])</f>
        <v>button--close</v>
      </c>
      <c r="K3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0" t="s">
        <v>414</v>
      </c>
      <c r="Q3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R350" t="s">
        <v>3590</v>
      </c>
      <c r="U3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50" s="29"/>
      <c r="AC350" s="25" t="s">
        <v>3571</v>
      </c>
      <c r="AD350" s="41"/>
      <c r="AE350" s="41"/>
      <c r="AF350" s="11"/>
      <c r="AH350" s="7" t="str">
        <f>Table1[[#This Row],[html_tag]]&amp;Table1[[#This Row],[html_type]]&amp;Table1[[#This Row],[html_modifier]]</f>
        <v/>
      </c>
      <c r="AL350" s="23" t="str">
        <f>IFERROR(_xlfn.XLOOKUP(Table1[[#This Row],[word]],Table57[English style name],Table57[Style type]),"")</f>
        <v/>
      </c>
      <c r="AM350" s="21"/>
      <c r="AN350" s="11"/>
    </row>
    <row r="351" spans="5:44">
      <c r="E351" s="76"/>
      <c r="F3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1" s="13" t="s">
        <v>337</v>
      </c>
      <c r="H351" s="13" t="s">
        <v>2986</v>
      </c>
      <c r="I351" s="12" t="str">
        <f>Table1[[#This Row],[type]]</f>
        <v>button</v>
      </c>
      <c r="J351" s="62" t="str">
        <f>Table1[[#This Row],[Column42]]&amp;IF(Table1[[#This Row],[Column13]]="","",Table1[[#This Row],[Column13]])&amp;IF(Table1[[#This Row],[mod]]="","",Table1[[#This Row],[mod]])</f>
        <v>button--close--white</v>
      </c>
      <c r="K3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1" t="s">
        <v>414</v>
      </c>
      <c r="Q3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R351" t="s">
        <v>3590</v>
      </c>
      <c r="U3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351" t="s">
        <v>3591</v>
      </c>
      <c r="AB351" s="29"/>
      <c r="AC351" s="25" t="s">
        <v>3572</v>
      </c>
      <c r="AD351" s="41"/>
      <c r="AE351" s="41"/>
      <c r="AF351" s="11"/>
      <c r="AH351" s="7" t="str">
        <f>Table1[[#This Row],[html_tag]]&amp;Table1[[#This Row],[html_type]]&amp;Table1[[#This Row],[html_modifier]]</f>
        <v/>
      </c>
      <c r="AL351" s="23" t="str">
        <f>IFERROR(_xlfn.XLOOKUP(Table1[[#This Row],[word]],Table57[English style name],Table57[Style type]),"")</f>
        <v/>
      </c>
      <c r="AM351" s="21"/>
      <c r="AN351" s="11"/>
    </row>
    <row r="352" spans="5:44">
      <c r="E352" s="76"/>
      <c r="F3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52" s="13"/>
      <c r="H352" s="13"/>
      <c r="I352" s="12" t="str">
        <f>Table1[[#This Row],[type]]</f>
        <v>button</v>
      </c>
      <c r="J352" s="62" t="str">
        <f>Table1[[#This Row],[Column42]]&amp;IF(Table1[[#This Row],[Column13]]="","",Table1[[#This Row],[Column13]])&amp;IF(Table1[[#This Row],[mod]]="","",Table1[[#This Row],[mod]])</f>
        <v>button--count--transparant</v>
      </c>
      <c r="K3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2" t="s">
        <v>414</v>
      </c>
      <c r="Q3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--count</v>
      </c>
      <c r="S352" t="s">
        <v>10118</v>
      </c>
      <c r="U35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--transparant</v>
      </c>
      <c r="W352" t="s">
        <v>3707</v>
      </c>
      <c r="AB352" s="29"/>
      <c r="AC352" s="25"/>
      <c r="AD352" s="41"/>
      <c r="AE352" s="59" t="s">
        <v>8142</v>
      </c>
      <c r="AF352" s="11"/>
      <c r="AH352" s="7" t="str">
        <f>Table1[[#This Row],[html_tag]]&amp;Table1[[#This Row],[html_type]]&amp;Table1[[#This Row],[html_modifier]]</f>
        <v/>
      </c>
      <c r="AL352" s="23" t="str">
        <f>IFERROR(_xlfn.XLOOKUP(Table1[[#This Row],[word]],Table57[English style name],Table57[Style type]),"")</f>
        <v/>
      </c>
      <c r="AM352" s="21"/>
      <c r="AN352" s="11"/>
    </row>
    <row r="353" spans="1:47">
      <c r="E353" s="76"/>
      <c r="F3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3" s="13" t="s">
        <v>337</v>
      </c>
      <c r="H353" s="13" t="s">
        <v>2986</v>
      </c>
      <c r="I353" s="12" t="str">
        <f>Table1[[#This Row],[type]]</f>
        <v>button</v>
      </c>
      <c r="J353" s="62" t="str">
        <f>Table1[[#This Row],[Column42]]&amp;IF(Table1[[#This Row],[Column13]]="","",Table1[[#This Row],[Column13]])&amp;IF(Table1[[#This Row],[mod]]="","",Table1[[#This Row],[mod]])</f>
        <v>button--dark</v>
      </c>
      <c r="K3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3" t="s">
        <v>414</v>
      </c>
      <c r="Q3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53" t="s">
        <v>3501</v>
      </c>
      <c r="AB353" s="29" t="s">
        <v>3899</v>
      </c>
      <c r="AC353" s="25" t="s">
        <v>3574</v>
      </c>
      <c r="AD353" s="41"/>
      <c r="AE353" s="41"/>
      <c r="AF353" s="11"/>
      <c r="AH353" s="1" t="str">
        <f>Table1[[#This Row],[html_tag]]&amp;Table1[[#This Row],[html_type]]&amp;Table1[[#This Row],[html_modifier]]</f>
        <v/>
      </c>
      <c r="AL353" s="22" t="str">
        <f>IFERROR(_xlfn.XLOOKUP(Table1[[#This Row],[word]],Table57[English style name],Table57[Style type]),"")</f>
        <v/>
      </c>
      <c r="AM353" s="20"/>
      <c r="AN353" s="11"/>
    </row>
    <row r="354" spans="1:47">
      <c r="E354" s="76"/>
      <c r="F3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4" s="13" t="s">
        <v>337</v>
      </c>
      <c r="H354" s="13" t="s">
        <v>2986</v>
      </c>
      <c r="I354" s="12" t="str">
        <f>Table1[[#This Row],[type]]</f>
        <v>button</v>
      </c>
      <c r="J354" s="62" t="str">
        <f>Table1[[#This Row],[Column42]]&amp;IF(Table1[[#This Row],[Column13]]="","",Table1[[#This Row],[Column13]])&amp;IF(Table1[[#This Row],[mod]]="","",Table1[[#This Row],[mod]])</f>
        <v>button--dash</v>
      </c>
      <c r="K3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4" t="s">
        <v>414</v>
      </c>
      <c r="Q3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--dash</v>
      </c>
      <c r="R354" t="s">
        <v>7396</v>
      </c>
      <c r="U3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54" s="29"/>
      <c r="AC354" s="25"/>
      <c r="AD354" s="41" t="s">
        <v>6293</v>
      </c>
      <c r="AE354" s="41"/>
      <c r="AF354" s="11"/>
      <c r="AH354" s="7" t="str">
        <f>Table1[[#This Row],[html_tag]]&amp;Table1[[#This Row],[html_type]]&amp;Table1[[#This Row],[html_modifier]]</f>
        <v/>
      </c>
      <c r="AL354" s="23" t="str">
        <f>IFERROR(_xlfn.XLOOKUP(Table1[[#This Row],[word]],Table57[English style name],Table57[Style type]),"")</f>
        <v/>
      </c>
      <c r="AM354" s="21"/>
      <c r="AN354" s="11"/>
    </row>
    <row r="355" spans="1:47">
      <c r="E355" s="76"/>
      <c r="F3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5" s="13" t="s">
        <v>337</v>
      </c>
      <c r="H355" s="13" t="s">
        <v>2986</v>
      </c>
      <c r="I355" s="12" t="str">
        <f>Table1[[#This Row],[type]]</f>
        <v>button</v>
      </c>
      <c r="J355" s="62" t="str">
        <f>Table1[[#This Row],[Column42]]&amp;IF(Table1[[#This Row],[Column13]]="","",Table1[[#This Row],[Column13]])&amp;IF(Table1[[#This Row],[mod]]="","",Table1[[#This Row],[mod]])</f>
        <v>button--disabled</v>
      </c>
      <c r="K3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5" t="s">
        <v>414</v>
      </c>
      <c r="Q3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355" t="s">
        <v>3032</v>
      </c>
      <c r="AB355" s="29"/>
      <c r="AC355" s="25" t="s">
        <v>3603</v>
      </c>
      <c r="AD355" s="41" t="s">
        <v>6297</v>
      </c>
      <c r="AE355" s="41"/>
      <c r="AF355" s="11" t="s">
        <v>137</v>
      </c>
      <c r="AH355" s="1" t="str">
        <f>Table1[[#This Row],[html_tag]]&amp;Table1[[#This Row],[html_type]]&amp;Table1[[#This Row],[html_modifier]]</f>
        <v>:disabled</v>
      </c>
      <c r="AK355" t="s">
        <v>3024</v>
      </c>
      <c r="AL355" s="22" t="str">
        <f>IFERROR(_xlfn.XLOOKUP(Table1[[#This Row],[word]],Table57[English style name],Table57[Style type]),"")</f>
        <v/>
      </c>
      <c r="AM355" s="20"/>
      <c r="AN355" s="11"/>
      <c r="AQ355" s="6" t="s">
        <v>1319</v>
      </c>
      <c r="AR355" t="s">
        <v>1313</v>
      </c>
    </row>
    <row r="356" spans="1:47">
      <c r="E356" s="76"/>
      <c r="F3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6" s="13" t="s">
        <v>337</v>
      </c>
      <c r="H356" s="13" t="s">
        <v>2986</v>
      </c>
      <c r="I356" s="12" t="str">
        <f>Table1[[#This Row],[type]]</f>
        <v>button</v>
      </c>
      <c r="J356" s="62" t="str">
        <f>Table1[[#This Row],[Column42]]&amp;IF(Table1[[#This Row],[Column13]]="","",Table1[[#This Row],[Column13]])&amp;IF(Table1[[#This Row],[mod]]="","",Table1[[#This Row],[mod]])</f>
        <v>button--error</v>
      </c>
      <c r="K3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6" t="s">
        <v>414</v>
      </c>
      <c r="Q3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356" t="s">
        <v>3117</v>
      </c>
      <c r="AB356" s="29" t="s">
        <v>3898</v>
      </c>
      <c r="AC356" s="25" t="s">
        <v>3573</v>
      </c>
      <c r="AD356" s="41" t="s">
        <v>6291</v>
      </c>
      <c r="AE356" s="59" t="s">
        <v>3573</v>
      </c>
      <c r="AF356" s="11"/>
      <c r="AH356" s="1" t="str">
        <f>Table1[[#This Row],[html_tag]]&amp;Table1[[#This Row],[html_type]]&amp;Table1[[#This Row],[html_modifier]]</f>
        <v/>
      </c>
      <c r="AL356" s="22" t="str">
        <f>IFERROR(_xlfn.XLOOKUP(Table1[[#This Row],[word]],Table57[English style name],Table57[Style type]),"")</f>
        <v/>
      </c>
      <c r="AM356" s="20"/>
      <c r="AN356" s="11"/>
      <c r="AQ356" s="6" t="s">
        <v>1318</v>
      </c>
      <c r="AR356" t="s">
        <v>1313</v>
      </c>
    </row>
    <row r="357" spans="1:47">
      <c r="E357" s="76"/>
      <c r="F3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7" s="13" t="s">
        <v>337</v>
      </c>
      <c r="H357" s="13" t="s">
        <v>2986</v>
      </c>
      <c r="I357" s="12" t="str">
        <f>Table1[[#This Row],[type]]</f>
        <v>button</v>
      </c>
      <c r="J357" s="62" t="str">
        <f>Table1[[#This Row],[Column42]]&amp;IF(Table1[[#This Row],[Column13]]="","",Table1[[#This Row],[Column13]])&amp;IF(Table1[[#This Row],[mod]]="","",Table1[[#This Row],[mod]])</f>
        <v>button--fullwidth--white</v>
      </c>
      <c r="K3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7" t="s">
        <v>414</v>
      </c>
      <c r="Q3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--fullwidth</v>
      </c>
      <c r="S357" t="s">
        <v>4564</v>
      </c>
      <c r="U3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357" t="s">
        <v>3591</v>
      </c>
      <c r="AB357" s="29" t="s">
        <v>3915</v>
      </c>
      <c r="AC357" s="25"/>
      <c r="AD357" s="41"/>
      <c r="AE357" s="41"/>
      <c r="AF357" s="11"/>
      <c r="AH357" s="7" t="str">
        <f>Table1[[#This Row],[html_tag]]&amp;Table1[[#This Row],[html_type]]&amp;Table1[[#This Row],[html_modifier]]</f>
        <v/>
      </c>
      <c r="AL357" s="23" t="str">
        <f>IFERROR(_xlfn.XLOOKUP(Table1[[#This Row],[word]],Table57[English style name],Table57[Style type]),"")</f>
        <v/>
      </c>
      <c r="AM357" s="21"/>
      <c r="AN357" s="11"/>
    </row>
    <row r="358" spans="1:47">
      <c r="E358" s="76"/>
      <c r="F3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8" s="13" t="s">
        <v>337</v>
      </c>
      <c r="H358" s="13" t="s">
        <v>2986</v>
      </c>
      <c r="I358" s="12" t="str">
        <f>Table1[[#This Row],[type]]</f>
        <v>button</v>
      </c>
      <c r="J358" s="62" t="str">
        <f>Table1[[#This Row],[Column42]]&amp;IF(Table1[[#This Row],[Column13]]="","",Table1[[#This Row],[Column13]])&amp;IF(Table1[[#This Row],[mod]]="","",Table1[[#This Row],[mod]])</f>
        <v>button--ghost</v>
      </c>
      <c r="K3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8" t="s">
        <v>414</v>
      </c>
      <c r="Q3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358" t="s">
        <v>7395</v>
      </c>
      <c r="AB358" s="29"/>
      <c r="AC358" s="25"/>
      <c r="AD358" s="41" t="s">
        <v>6295</v>
      </c>
      <c r="AE358" s="41"/>
      <c r="AF358" s="11"/>
      <c r="AH358" s="7" t="str">
        <f>Table1[[#This Row],[html_tag]]&amp;Table1[[#This Row],[html_type]]&amp;Table1[[#This Row],[html_modifier]]</f>
        <v/>
      </c>
      <c r="AL358" s="23" t="str">
        <f>IFERROR(_xlfn.XLOOKUP(Table1[[#This Row],[word]],Table57[English style name],Table57[Style type]),"")</f>
        <v/>
      </c>
      <c r="AM358" s="21"/>
      <c r="AN358" s="11"/>
      <c r="AQ358" s="6" t="s">
        <v>1321</v>
      </c>
      <c r="AR358" t="s">
        <v>1313</v>
      </c>
    </row>
    <row r="359" spans="1:47">
      <c r="E359" s="76"/>
      <c r="F3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9" s="13" t="s">
        <v>337</v>
      </c>
      <c r="H359" s="13" t="s">
        <v>2986</v>
      </c>
      <c r="I359" s="12" t="str">
        <f>Table1[[#This Row],[type]]</f>
        <v>button</v>
      </c>
      <c r="J359" s="62" t="str">
        <f>Table1[[#This Row],[Column42]]&amp;IF(Table1[[#This Row],[Column13]]="","",Table1[[#This Row],[Column13]])&amp;IF(Table1[[#This Row],[mod]]="","",Table1[[#This Row],[mod]])</f>
        <v>button--hover</v>
      </c>
      <c r="K3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9" t="s">
        <v>414</v>
      </c>
      <c r="Q35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359" t="s">
        <v>3019</v>
      </c>
      <c r="AB359" s="29" t="s">
        <v>3920</v>
      </c>
      <c r="AC359" s="25"/>
      <c r="AD359" s="41"/>
      <c r="AE359" s="59" t="s">
        <v>8159</v>
      </c>
      <c r="AF359" s="11"/>
      <c r="AH359" s="7" t="str">
        <f>Table1[[#This Row],[html_tag]]&amp;Table1[[#This Row],[html_type]]&amp;Table1[[#This Row],[html_modifier]]</f>
        <v/>
      </c>
      <c r="AL359" s="23" t="str">
        <f>IFERROR(_xlfn.XLOOKUP(Table1[[#This Row],[word]],Table57[English style name],Table57[Style type]),"")</f>
        <v/>
      </c>
      <c r="AM359" s="21"/>
      <c r="AN359" s="11"/>
    </row>
    <row r="360" spans="1:47">
      <c r="E360" s="76"/>
      <c r="F3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0" s="13" t="s">
        <v>337</v>
      </c>
      <c r="H360" s="13" t="s">
        <v>2986</v>
      </c>
      <c r="I360" s="12" t="str">
        <f>Table1[[#This Row],[type]]</f>
        <v>button</v>
      </c>
      <c r="J360" s="62" t="str">
        <f>Table1[[#This Row],[Column42]]&amp;IF(Table1[[#This Row],[Column13]]="","",Table1[[#This Row],[Column13]])&amp;IF(Table1[[#This Row],[mod]]="","",Table1[[#This Row],[mod]])</f>
        <v>button--info</v>
      </c>
      <c r="K3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0" t="s">
        <v>414</v>
      </c>
      <c r="Q3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60" t="s">
        <v>3119</v>
      </c>
      <c r="AB360" s="29" t="s">
        <v>3901</v>
      </c>
      <c r="AC360" s="25" t="s">
        <v>3575</v>
      </c>
      <c r="AD360" s="41" t="s">
        <v>3575</v>
      </c>
      <c r="AE360" s="41"/>
      <c r="AF360" s="11"/>
      <c r="AH360" s="1" t="str">
        <f>Table1[[#This Row],[html_tag]]&amp;Table1[[#This Row],[html_type]]&amp;Table1[[#This Row],[html_modifier]]</f>
        <v/>
      </c>
      <c r="AL360" s="22" t="str">
        <f>IFERROR(_xlfn.XLOOKUP(Table1[[#This Row],[word]],Table57[English style name],Table57[Style type]),"")</f>
        <v/>
      </c>
      <c r="AM360" s="20"/>
      <c r="AN360" s="11"/>
      <c r="AQ360" s="14" t="s">
        <v>1323</v>
      </c>
      <c r="AR360" t="s">
        <v>1313</v>
      </c>
    </row>
    <row r="361" spans="1:47">
      <c r="E361" s="76"/>
      <c r="F3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1" s="13" t="s">
        <v>337</v>
      </c>
      <c r="H361" s="13" t="s">
        <v>2986</v>
      </c>
      <c r="I361" s="12" t="str">
        <f>Table1[[#This Row],[type]]</f>
        <v>button</v>
      </c>
      <c r="J361" s="62" t="str">
        <f>Table1[[#This Row],[Column42]]&amp;IF(Table1[[#This Row],[Column13]]="","",Table1[[#This Row],[Column13]])&amp;IF(Table1[[#This Row],[mod]]="","",Table1[[#This Row],[mod]])</f>
        <v>button--lg</v>
      </c>
      <c r="K3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1" t="s">
        <v>414</v>
      </c>
      <c r="Q3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61" t="s">
        <v>3114</v>
      </c>
      <c r="AB361" s="29" t="s">
        <v>3902</v>
      </c>
      <c r="AC361" s="25" t="s">
        <v>3600</v>
      </c>
      <c r="AD361" s="41" t="s">
        <v>3600</v>
      </c>
      <c r="AE361" s="59" t="s">
        <v>8071</v>
      </c>
      <c r="AF361" s="11"/>
      <c r="AH361" s="1" t="str">
        <f>Table1[[#This Row],[html_tag]]&amp;Table1[[#This Row],[html_type]]&amp;Table1[[#This Row],[html_modifier]]</f>
        <v/>
      </c>
      <c r="AL361" s="22" t="str">
        <f>IFERROR(_xlfn.XLOOKUP(Table1[[#This Row],[word]],Table57[English style name],Table57[Style type]),"")</f>
        <v/>
      </c>
      <c r="AM361" s="20"/>
      <c r="AN361" s="11"/>
      <c r="AQ361" s="14" t="s">
        <v>1333</v>
      </c>
      <c r="AR361" t="s">
        <v>1313</v>
      </c>
    </row>
    <row r="362" spans="1:47">
      <c r="A362" s="68"/>
      <c r="B362" s="68"/>
      <c r="C362" s="68"/>
      <c r="D362" s="69"/>
      <c r="E362" s="70"/>
      <c r="F362" s="81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62" s="13"/>
      <c r="H362" s="13"/>
      <c r="I362" s="71" t="str">
        <f>Table1[[#This Row],[type]]</f>
        <v>button</v>
      </c>
      <c r="J362" s="72" t="str">
        <f>Table1[[#This Row],[Column42]]&amp;IF(Table1[[#This Row],[Column13]]="","",Table1[[#This Row],[Column13]])&amp;IF(Table1[[#This Row],[mod]]="","",Table1[[#This Row],[mod]])</f>
        <v>button--light</v>
      </c>
      <c r="K362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2" t="s">
        <v>414</v>
      </c>
      <c r="Q362" s="82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2" s="81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362" t="s">
        <v>3503</v>
      </c>
      <c r="AB362" s="29" t="s">
        <v>3903</v>
      </c>
      <c r="AC362" s="25" t="s">
        <v>3576</v>
      </c>
      <c r="AD362" s="41"/>
      <c r="AE362" s="41"/>
      <c r="AF362" s="11"/>
      <c r="AH362" s="83" t="str">
        <f>Table1[[#This Row],[html_tag]]&amp;Table1[[#This Row],[html_type]]&amp;Table1[[#This Row],[html_modifier]]</f>
        <v/>
      </c>
      <c r="AL362" s="23" t="str">
        <f>IFERROR(_xlfn.XLOOKUP(Table1[[#This Row],[word]],Table57[English style name],Table57[Style type]),"")</f>
        <v/>
      </c>
      <c r="AM362" s="21"/>
      <c r="AN362" s="70"/>
      <c r="AO362" s="67"/>
      <c r="AP362" s="67"/>
      <c r="AQ362" s="67"/>
      <c r="AR362" s="67"/>
      <c r="AS362" s="67"/>
      <c r="AT362" s="67"/>
      <c r="AU362" s="67"/>
    </row>
    <row r="363" spans="1:47">
      <c r="E363" s="76"/>
      <c r="F3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3" s="13" t="s">
        <v>337</v>
      </c>
      <c r="H363" s="13" t="s">
        <v>2986</v>
      </c>
      <c r="I363" s="77" t="str">
        <f>Table1[[#This Row],[type]]</f>
        <v>button</v>
      </c>
      <c r="J363" s="62" t="str">
        <f>Table1[[#This Row],[Column42]]&amp;IF(Table1[[#This Row],[Column13]]="","",Table1[[#This Row],[Column13]])&amp;IF(Table1[[#This Row],[mod]]="","",Table1[[#This Row],[mod]])</f>
        <v>button--loading</v>
      </c>
      <c r="K3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3" t="s">
        <v>414</v>
      </c>
      <c r="Q3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--loading</v>
      </c>
      <c r="Z363" t="s">
        <v>3208</v>
      </c>
      <c r="AB363" s="29" t="s">
        <v>3905</v>
      </c>
      <c r="AC363" s="25"/>
      <c r="AD363" s="41"/>
      <c r="AE363" s="41"/>
      <c r="AF363" s="11"/>
      <c r="AH363" s="1" t="str">
        <f>Table1[[#This Row],[html_tag]]&amp;Table1[[#This Row],[html_type]]&amp;Table1[[#This Row],[html_modifier]]</f>
        <v/>
      </c>
      <c r="AL363" s="22" t="str">
        <f>IFERROR(_xlfn.XLOOKUP(Table1[[#This Row],[word]],Table57[English style name],Table57[Style type]),"")</f>
        <v/>
      </c>
      <c r="AM363" s="20"/>
      <c r="AN363" s="11"/>
      <c r="AQ363" s="14" t="s">
        <v>1325</v>
      </c>
      <c r="AR363" t="s">
        <v>1313</v>
      </c>
    </row>
    <row r="364" spans="1:47">
      <c r="E364" s="76"/>
      <c r="F3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4" s="13" t="s">
        <v>337</v>
      </c>
      <c r="H364" s="13" t="s">
        <v>2986</v>
      </c>
      <c r="I364" s="12" t="str">
        <f>Table1[[#This Row],[type]]</f>
        <v>button</v>
      </c>
      <c r="J364" s="62" t="str">
        <f>Table1[[#This Row],[Column42]]&amp;IF(Table1[[#This Row],[Column13]]="","",Table1[[#This Row],[Column13]])&amp;IF(Table1[[#This Row],[mod]]="","",Table1[[#This Row],[mod]])</f>
        <v>button--md</v>
      </c>
      <c r="K3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4" t="s">
        <v>414</v>
      </c>
      <c r="Q3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64" t="s">
        <v>3115</v>
      </c>
      <c r="AB364" s="29" t="s">
        <v>3906</v>
      </c>
      <c r="AC364" s="25"/>
      <c r="AD364" s="41" t="s">
        <v>6299</v>
      </c>
      <c r="AE364" s="41"/>
      <c r="AF364" s="11"/>
      <c r="AH364" s="1" t="str">
        <f>Table1[[#This Row],[html_tag]]&amp;Table1[[#This Row],[html_type]]&amp;Table1[[#This Row],[html_modifier]]</f>
        <v/>
      </c>
      <c r="AL364" s="22" t="str">
        <f>IFERROR(_xlfn.XLOOKUP(Table1[[#This Row],[word]],Table57[English style name],Table57[Style type]),"")</f>
        <v/>
      </c>
      <c r="AM364" s="20"/>
      <c r="AN364" s="11"/>
      <c r="AQ364" s="14" t="s">
        <v>1334</v>
      </c>
      <c r="AR364" t="s">
        <v>1313</v>
      </c>
    </row>
    <row r="365" spans="1:47">
      <c r="E365" s="76"/>
      <c r="F3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5" s="13" t="s">
        <v>337</v>
      </c>
      <c r="H365" s="13" t="s">
        <v>2986</v>
      </c>
      <c r="I365" s="12" t="str">
        <f>Table1[[#This Row],[type]]</f>
        <v>button</v>
      </c>
      <c r="J365" s="62" t="str">
        <f>Table1[[#This Row],[Column42]]&amp;IF(Table1[[#This Row],[Column13]]="","",Table1[[#This Row],[Column13]])&amp;IF(Table1[[#This Row],[mod]]="","",Table1[[#This Row],[mod]])</f>
        <v>button--neutral</v>
      </c>
      <c r="K3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5" t="s">
        <v>414</v>
      </c>
      <c r="Q3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365" t="s">
        <v>7393</v>
      </c>
      <c r="AB365" s="29"/>
      <c r="AC365" s="25"/>
      <c r="AD365" s="41" t="s">
        <v>6289</v>
      </c>
      <c r="AE365" s="41"/>
      <c r="AF365" s="11"/>
      <c r="AH365" s="7" t="str">
        <f>Table1[[#This Row],[html_tag]]&amp;Table1[[#This Row],[html_type]]&amp;Table1[[#This Row],[html_modifier]]</f>
        <v/>
      </c>
      <c r="AL365" s="23" t="str">
        <f>IFERROR(_xlfn.XLOOKUP(Table1[[#This Row],[word]],Table57[English style name],Table57[Style type]),"")</f>
        <v/>
      </c>
      <c r="AM365" s="21"/>
      <c r="AN365" s="11"/>
    </row>
    <row r="366" spans="1:47">
      <c r="E366" s="76"/>
      <c r="F3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6" s="13" t="s">
        <v>337</v>
      </c>
      <c r="H366" s="13" t="s">
        <v>2986</v>
      </c>
      <c r="I366" s="12" t="str">
        <f>Table1[[#This Row],[type]]</f>
        <v>button</v>
      </c>
      <c r="J366" s="62" t="str">
        <f>Table1[[#This Row],[Column42]]&amp;IF(Table1[[#This Row],[Column13]]="","",Table1[[#This Row],[Column13]])&amp;IF(Table1[[#This Row],[mod]]="","",Table1[[#This Row],[mod]])</f>
        <v>button--normal</v>
      </c>
      <c r="K3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6" t="s">
        <v>414</v>
      </c>
      <c r="Q3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--normal</v>
      </c>
      <c r="V366" t="s">
        <v>3079</v>
      </c>
      <c r="AB366" s="29" t="s">
        <v>3907</v>
      </c>
      <c r="AC366" s="25"/>
      <c r="AD366" s="41"/>
      <c r="AE366" s="41"/>
      <c r="AF366" s="11"/>
      <c r="AH366" s="7" t="str">
        <f>Table1[[#This Row],[html_tag]]&amp;Table1[[#This Row],[html_type]]&amp;Table1[[#This Row],[html_modifier]]</f>
        <v/>
      </c>
      <c r="AL366" s="23" t="str">
        <f>IFERROR(_xlfn.XLOOKUP(Table1[[#This Row],[word]],Table57[English style name],Table57[Style type]),"")</f>
        <v/>
      </c>
      <c r="AM366" s="21"/>
      <c r="AN366" s="11"/>
    </row>
    <row r="367" spans="1:47">
      <c r="E367" s="76"/>
      <c r="F3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7" s="13" t="s">
        <v>337</v>
      </c>
      <c r="H367" s="13" t="s">
        <v>2986</v>
      </c>
      <c r="I367" s="12" t="str">
        <f>Table1[[#This Row],[type]]</f>
        <v>button</v>
      </c>
      <c r="J367" s="62" t="str">
        <f>Table1[[#This Row],[Column42]]&amp;IF(Table1[[#This Row],[Column13]]="","",Table1[[#This Row],[Column13]])&amp;IF(Table1[[#This Row],[mod]]="","",Table1[[#This Row],[mod]])</f>
        <v>button--outline</v>
      </c>
      <c r="K3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7" t="s">
        <v>414</v>
      </c>
      <c r="Q3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67" t="s">
        <v>3458</v>
      </c>
      <c r="U3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67" s="29" t="s">
        <v>3921</v>
      </c>
      <c r="AC367" s="25"/>
      <c r="AD367" s="41" t="s">
        <v>6292</v>
      </c>
      <c r="AE367" s="59" t="s">
        <v>6292</v>
      </c>
      <c r="AF367" s="11"/>
      <c r="AH367" s="1" t="str">
        <f>Table1[[#This Row],[html_tag]]&amp;Table1[[#This Row],[html_type]]&amp;Table1[[#This Row],[html_modifier]]</f>
        <v/>
      </c>
      <c r="AL367" s="22" t="str">
        <f>IFERROR(_xlfn.XLOOKUP(Table1[[#This Row],[word]],Table57[English style name],Table57[Style type]),"")</f>
        <v/>
      </c>
      <c r="AM367" s="20"/>
      <c r="AN367" s="11"/>
      <c r="AQ367" s="6" t="s">
        <v>1326</v>
      </c>
      <c r="AR367" t="s">
        <v>1313</v>
      </c>
    </row>
    <row r="368" spans="1:47">
      <c r="E368" s="76"/>
      <c r="F3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8" s="13" t="s">
        <v>337</v>
      </c>
      <c r="H368" s="13" t="s">
        <v>2986</v>
      </c>
      <c r="I368" s="12" t="str">
        <f>Table1[[#This Row],[type]]</f>
        <v>button</v>
      </c>
      <c r="J368" s="62" t="str">
        <f>Table1[[#This Row],[Column42]]&amp;IF(Table1[[#This Row],[Column13]]="","",Table1[[#This Row],[Column13]])&amp;IF(Table1[[#This Row],[mod]]="","",Table1[[#This Row],[mod]])</f>
        <v>button--outline--dark</v>
      </c>
      <c r="K3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8" t="s">
        <v>414</v>
      </c>
      <c r="Q3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68" t="s">
        <v>3458</v>
      </c>
      <c r="U3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68" t="s">
        <v>3501</v>
      </c>
      <c r="AB368" s="29"/>
      <c r="AC368" s="25" t="s">
        <v>3579</v>
      </c>
      <c r="AD368" s="41"/>
      <c r="AE368" s="41"/>
      <c r="AF368" s="11"/>
      <c r="AH368" s="7" t="str">
        <f>Table1[[#This Row],[html_tag]]&amp;Table1[[#This Row],[html_type]]&amp;Table1[[#This Row],[html_modifier]]</f>
        <v/>
      </c>
      <c r="AL368" s="23" t="str">
        <f>IFERROR(_xlfn.XLOOKUP(Table1[[#This Row],[word]],Table57[English style name],Table57[Style type]),"")</f>
        <v/>
      </c>
      <c r="AM368" s="21"/>
      <c r="AN368" s="11"/>
    </row>
    <row r="369" spans="5:44">
      <c r="E369" s="76"/>
      <c r="F3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9" s="13" t="s">
        <v>337</v>
      </c>
      <c r="H369" s="13" t="s">
        <v>2986</v>
      </c>
      <c r="I369" s="12" t="str">
        <f>Table1[[#This Row],[type]]</f>
        <v>button</v>
      </c>
      <c r="J369" s="62" t="str">
        <f>Table1[[#This Row],[Column42]]&amp;IF(Table1[[#This Row],[Column13]]="","",Table1[[#This Row],[Column13]])&amp;IF(Table1[[#This Row],[mod]]="","",Table1[[#This Row],[mod]])</f>
        <v>button--outline--error</v>
      </c>
      <c r="K3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9" t="s">
        <v>414</v>
      </c>
      <c r="Q3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69" t="s">
        <v>3458</v>
      </c>
      <c r="U3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369" t="s">
        <v>3117</v>
      </c>
      <c r="AB369" s="29"/>
      <c r="AC369" s="25" t="s">
        <v>3578</v>
      </c>
      <c r="AD369" s="41"/>
      <c r="AE369" s="41"/>
      <c r="AF369" s="11"/>
      <c r="AH369" s="7" t="str">
        <f>Table1[[#This Row],[html_tag]]&amp;Table1[[#This Row],[html_type]]&amp;Table1[[#This Row],[html_modifier]]</f>
        <v/>
      </c>
      <c r="AL369" s="23" t="str">
        <f>IFERROR(_xlfn.XLOOKUP(Table1[[#This Row],[word]],Table57[English style name],Table57[Style type]),"")</f>
        <v/>
      </c>
      <c r="AM369" s="21"/>
      <c r="AN369" s="11"/>
    </row>
    <row r="370" spans="5:44">
      <c r="E370" s="76"/>
      <c r="F3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70" s="13"/>
      <c r="H370" s="13"/>
      <c r="I370" s="12" t="str">
        <f>Table1[[#This Row],[type]]</f>
        <v>button</v>
      </c>
      <c r="J370" s="62" t="str">
        <f>Table1[[#This Row],[Column42]]&amp;IF(Table1[[#This Row],[Column13]]="","",Table1[[#This Row],[Column13]])&amp;IF(Table1[[#This Row],[mod]]="","",Table1[[#This Row],[mod]])</f>
        <v>button--outline--focus</v>
      </c>
      <c r="K3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0" t="s">
        <v>414</v>
      </c>
      <c r="Q3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0" t="s">
        <v>3458</v>
      </c>
      <c r="U37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370" t="s">
        <v>3020</v>
      </c>
      <c r="AB370" s="29"/>
      <c r="AC370" s="25"/>
      <c r="AD370" s="41"/>
      <c r="AE370" s="59" t="s">
        <v>8116</v>
      </c>
      <c r="AF370" s="11"/>
      <c r="AH370" s="7" t="str">
        <f>Table1[[#This Row],[html_tag]]&amp;Table1[[#This Row],[html_type]]&amp;Table1[[#This Row],[html_modifier]]</f>
        <v/>
      </c>
      <c r="AL370" s="23" t="str">
        <f>IFERROR(_xlfn.XLOOKUP(Table1[[#This Row],[word]],Table57[English style name],Table57[Style type]),"")</f>
        <v/>
      </c>
      <c r="AM370" s="21"/>
      <c r="AN370" s="11"/>
    </row>
    <row r="371" spans="5:44">
      <c r="E371" s="76"/>
      <c r="F3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1" s="13" t="s">
        <v>337</v>
      </c>
      <c r="H371" s="13" t="s">
        <v>2986</v>
      </c>
      <c r="I371" s="12" t="str">
        <f>Table1[[#This Row],[type]]</f>
        <v>button</v>
      </c>
      <c r="J371" s="62" t="str">
        <f>Table1[[#This Row],[Column42]]&amp;IF(Table1[[#This Row],[Column13]]="","",Table1[[#This Row],[Column13]])&amp;IF(Table1[[#This Row],[mod]]="","",Table1[[#This Row],[mod]])</f>
        <v>button--outline--info</v>
      </c>
      <c r="K3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1" t="s">
        <v>414</v>
      </c>
      <c r="Q3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1" t="s">
        <v>3458</v>
      </c>
      <c r="U3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71" t="s">
        <v>3119</v>
      </c>
      <c r="AB371" s="29"/>
      <c r="AC371" s="25" t="s">
        <v>3580</v>
      </c>
      <c r="AD371" s="41"/>
      <c r="AE371" s="41"/>
      <c r="AF371" s="11"/>
      <c r="AH371" s="7" t="str">
        <f>Table1[[#This Row],[html_tag]]&amp;Table1[[#This Row],[html_type]]&amp;Table1[[#This Row],[html_modifier]]</f>
        <v/>
      </c>
      <c r="AL371" s="23" t="str">
        <f>IFERROR(_xlfn.XLOOKUP(Table1[[#This Row],[word]],Table57[English style name],Table57[Style type]),"")</f>
        <v/>
      </c>
      <c r="AM371" s="21"/>
      <c r="AN371" s="11"/>
    </row>
    <row r="372" spans="5:44">
      <c r="E372" s="76"/>
      <c r="F3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2" s="13" t="s">
        <v>337</v>
      </c>
      <c r="H372" s="13" t="s">
        <v>2986</v>
      </c>
      <c r="I372" s="12" t="str">
        <f>Table1[[#This Row],[type]]</f>
        <v>button</v>
      </c>
      <c r="J372" s="62" t="str">
        <f>Table1[[#This Row],[Column42]]&amp;IF(Table1[[#This Row],[Column13]]="","",Table1[[#This Row],[Column13]])&amp;IF(Table1[[#This Row],[mod]]="","",Table1[[#This Row],[mod]])</f>
        <v>button--outline--light</v>
      </c>
      <c r="K3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2" t="s">
        <v>414</v>
      </c>
      <c r="Q3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2" t="s">
        <v>3458</v>
      </c>
      <c r="U3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372" t="s">
        <v>3503</v>
      </c>
      <c r="AB372" s="29"/>
      <c r="AC372" s="25" t="s">
        <v>3581</v>
      </c>
      <c r="AD372" s="41"/>
      <c r="AE372" s="41"/>
      <c r="AF372" s="11"/>
      <c r="AH372" s="7" t="str">
        <f>Table1[[#This Row],[html_tag]]&amp;Table1[[#This Row],[html_type]]&amp;Table1[[#This Row],[html_modifier]]</f>
        <v/>
      </c>
      <c r="AL372" s="23" t="str">
        <f>IFERROR(_xlfn.XLOOKUP(Table1[[#This Row],[word]],Table57[English style name],Table57[Style type]),"")</f>
        <v/>
      </c>
      <c r="AM372" s="21"/>
      <c r="AN372" s="11"/>
    </row>
    <row r="373" spans="5:44">
      <c r="E373" s="76"/>
      <c r="F3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3" s="13" t="s">
        <v>337</v>
      </c>
      <c r="H373" s="13" t="s">
        <v>2986</v>
      </c>
      <c r="I373" s="12" t="str">
        <f>Table1[[#This Row],[type]]</f>
        <v>button</v>
      </c>
      <c r="J373" s="62" t="str">
        <f>Table1[[#This Row],[Column42]]&amp;IF(Table1[[#This Row],[Column13]]="","",Table1[[#This Row],[Column13]])&amp;IF(Table1[[#This Row],[mod]]="","",Table1[[#This Row],[mod]])</f>
        <v>button--outline--primary</v>
      </c>
      <c r="K3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3" t="s">
        <v>414</v>
      </c>
      <c r="Q3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3" t="s">
        <v>3458</v>
      </c>
      <c r="U3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373" t="s">
        <v>3164</v>
      </c>
      <c r="AB373" s="29"/>
      <c r="AC373" s="25" t="s">
        <v>3582</v>
      </c>
      <c r="AD373" s="41"/>
      <c r="AE373" s="41"/>
      <c r="AF373" s="11"/>
      <c r="AH373" s="7" t="str">
        <f>Table1[[#This Row],[html_tag]]&amp;Table1[[#This Row],[html_type]]&amp;Table1[[#This Row],[html_modifier]]</f>
        <v/>
      </c>
      <c r="AL373" s="23" t="str">
        <f>IFERROR(_xlfn.XLOOKUP(Table1[[#This Row],[word]],Table57[English style name],Table57[Style type]),"")</f>
        <v/>
      </c>
      <c r="AM373" s="21"/>
      <c r="AN373" s="11"/>
    </row>
    <row r="374" spans="5:44">
      <c r="E374" s="76"/>
      <c r="F3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4" s="13" t="s">
        <v>337</v>
      </c>
      <c r="H374" s="13" t="s">
        <v>2986</v>
      </c>
      <c r="I374" s="12" t="str">
        <f>Table1[[#This Row],[type]]</f>
        <v>button</v>
      </c>
      <c r="J374" s="62" t="str">
        <f>Table1[[#This Row],[Column42]]&amp;IF(Table1[[#This Row],[Column13]]="","",Table1[[#This Row],[Column13]])&amp;IF(Table1[[#This Row],[mod]]="","",Table1[[#This Row],[mod]])</f>
        <v>button--outline--secondary</v>
      </c>
      <c r="K3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4" t="s">
        <v>414</v>
      </c>
      <c r="Q3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4" t="s">
        <v>3458</v>
      </c>
      <c r="U3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374" t="s">
        <v>3502</v>
      </c>
      <c r="AB374" s="29"/>
      <c r="AC374" s="25" t="s">
        <v>3583</v>
      </c>
      <c r="AD374" s="41"/>
      <c r="AE374" s="41"/>
      <c r="AF374" s="11"/>
      <c r="AH374" s="7" t="str">
        <f>Table1[[#This Row],[html_tag]]&amp;Table1[[#This Row],[html_type]]&amp;Table1[[#This Row],[html_modifier]]</f>
        <v/>
      </c>
      <c r="AL374" s="23" t="str">
        <f>IFERROR(_xlfn.XLOOKUP(Table1[[#This Row],[word]],Table57[English style name],Table57[Style type]),"")</f>
        <v/>
      </c>
      <c r="AM374" s="21"/>
      <c r="AN374" s="11"/>
    </row>
    <row r="375" spans="5:44">
      <c r="E375" s="76"/>
      <c r="F3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5" s="13" t="s">
        <v>337</v>
      </c>
      <c r="H375" s="13" t="s">
        <v>2986</v>
      </c>
      <c r="I375" s="12" t="str">
        <f>Table1[[#This Row],[type]]</f>
        <v>button</v>
      </c>
      <c r="J375" s="62" t="str">
        <f>Table1[[#This Row],[Column42]]&amp;IF(Table1[[#This Row],[Column13]]="","",Table1[[#This Row],[Column13]])&amp;IF(Table1[[#This Row],[mod]]="","",Table1[[#This Row],[mod]])</f>
        <v>button--outline--success</v>
      </c>
      <c r="K3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5" t="s">
        <v>414</v>
      </c>
      <c r="Q3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5" t="s">
        <v>3458</v>
      </c>
      <c r="U3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75" t="s">
        <v>3120</v>
      </c>
      <c r="AB375" s="29"/>
      <c r="AC375" s="25" t="s">
        <v>3584</v>
      </c>
      <c r="AD375" s="41"/>
      <c r="AE375" s="41"/>
      <c r="AF375" s="11"/>
      <c r="AH375" s="7" t="str">
        <f>Table1[[#This Row],[html_tag]]&amp;Table1[[#This Row],[html_type]]&amp;Table1[[#This Row],[html_modifier]]</f>
        <v/>
      </c>
      <c r="AL375" s="23" t="str">
        <f>IFERROR(_xlfn.XLOOKUP(Table1[[#This Row],[word]],Table57[English style name],Table57[Style type]),"")</f>
        <v/>
      </c>
      <c r="AM375" s="21"/>
      <c r="AN375" s="11"/>
    </row>
    <row r="376" spans="5:44">
      <c r="E376" s="76"/>
      <c r="F3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6" s="13" t="s">
        <v>337</v>
      </c>
      <c r="H376" s="13" t="s">
        <v>2986</v>
      </c>
      <c r="I376" s="12" t="str">
        <f>Table1[[#This Row],[type]]</f>
        <v>button</v>
      </c>
      <c r="J376" s="62" t="str">
        <f>Table1[[#This Row],[Column42]]&amp;IF(Table1[[#This Row],[Column13]]="","",Table1[[#This Row],[Column13]])&amp;IF(Table1[[#This Row],[mod]]="","",Table1[[#This Row],[mod]])</f>
        <v>button--outline--warning</v>
      </c>
      <c r="K3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6" t="s">
        <v>414</v>
      </c>
      <c r="Q3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6" t="s">
        <v>3458</v>
      </c>
      <c r="U3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76" t="s">
        <v>3121</v>
      </c>
      <c r="AB376" s="29"/>
      <c r="AC376" s="25" t="s">
        <v>3585</v>
      </c>
      <c r="AD376" s="41"/>
      <c r="AE376" s="41"/>
      <c r="AF376" s="11"/>
      <c r="AH376" s="7" t="str">
        <f>Table1[[#This Row],[html_tag]]&amp;Table1[[#This Row],[html_type]]&amp;Table1[[#This Row],[html_modifier]]</f>
        <v/>
      </c>
      <c r="AL376" s="23" t="str">
        <f>IFERROR(_xlfn.XLOOKUP(Table1[[#This Row],[word]],Table57[English style name],Table57[Style type]),"")</f>
        <v/>
      </c>
      <c r="AM376" s="21"/>
      <c r="AN376" s="11"/>
    </row>
    <row r="377" spans="5:44">
      <c r="E377" s="76"/>
      <c r="F3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7" s="13" t="s">
        <v>337</v>
      </c>
      <c r="H377" s="13" t="s">
        <v>2986</v>
      </c>
      <c r="I377" s="12" t="str">
        <f>Table1[[#This Row],[type]]</f>
        <v>button</v>
      </c>
      <c r="J377" s="62" t="str">
        <f>Table1[[#This Row],[Column42]]&amp;IF(Table1[[#This Row],[Column13]]="","",Table1[[#This Row],[Column13]])&amp;IF(Table1[[#This Row],[mod]]="","",Table1[[#This Row],[mod]])</f>
        <v>button--pill</v>
      </c>
      <c r="K3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7" t="s">
        <v>414</v>
      </c>
      <c r="Q37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--pill</v>
      </c>
      <c r="W377" t="s">
        <v>3453</v>
      </c>
      <c r="AB377" s="29"/>
      <c r="AC377" s="25"/>
      <c r="AD377" s="41"/>
      <c r="AE377" s="41"/>
      <c r="AF377" s="11"/>
      <c r="AH377" s="1" t="str">
        <f>Table1[[#This Row],[html_tag]]&amp;Table1[[#This Row],[html_type]]&amp;Table1[[#This Row],[html_modifier]]</f>
        <v/>
      </c>
      <c r="AL377" s="22" t="str">
        <f>IFERROR(_xlfn.XLOOKUP(Table1[[#This Row],[word]],Table57[English style name],Table57[Style type]),"")</f>
        <v/>
      </c>
      <c r="AM377" s="20"/>
      <c r="AN377" s="11"/>
      <c r="AQ377" s="6" t="s">
        <v>1327</v>
      </c>
      <c r="AR377" t="s">
        <v>1313</v>
      </c>
    </row>
    <row r="378" spans="5:44">
      <c r="E378" s="76"/>
      <c r="F3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78" s="13"/>
      <c r="H378" s="13"/>
      <c r="I378" s="12" t="str">
        <f>Table1[[#This Row],[type]]</f>
        <v>button</v>
      </c>
      <c r="J378" s="62" t="str">
        <f>Table1[[#This Row],[Column42]]&amp;IF(Table1[[#This Row],[Column13]]="","",Table1[[#This Row],[Column13]])&amp;IF(Table1[[#This Row],[mod]]="","",Table1[[#This Row],[mod]])</f>
        <v>button--primary</v>
      </c>
      <c r="K3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8" t="s">
        <v>414</v>
      </c>
      <c r="Q3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7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378" t="s">
        <v>3164</v>
      </c>
      <c r="AB378" s="29" t="s">
        <v>3908</v>
      </c>
      <c r="AC378" s="25" t="s">
        <v>3586</v>
      </c>
      <c r="AD378" s="41" t="s">
        <v>3586</v>
      </c>
      <c r="AE378" s="59" t="s">
        <v>3586</v>
      </c>
      <c r="AF378" s="11"/>
      <c r="AH378" s="7" t="str">
        <f>Table1[[#This Row],[html_tag]]&amp;Table1[[#This Row],[html_type]]&amp;Table1[[#This Row],[html_modifier]]</f>
        <v/>
      </c>
      <c r="AL378" s="23" t="str">
        <f>IFERROR(_xlfn.XLOOKUP(Table1[[#This Row],[word]],Table57[English style name],Table57[Style type]),"")</f>
        <v/>
      </c>
      <c r="AM378" s="21"/>
      <c r="AN378" s="11"/>
      <c r="AQ378" t="s">
        <v>1328</v>
      </c>
      <c r="AR378" t="s">
        <v>1313</v>
      </c>
    </row>
    <row r="379" spans="5:44">
      <c r="E379" s="76"/>
      <c r="F3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9" s="13" t="s">
        <v>337</v>
      </c>
      <c r="H379" s="13" t="s">
        <v>2986</v>
      </c>
      <c r="I379" s="12" t="str">
        <f>Table1[[#This Row],[type]]</f>
        <v>button</v>
      </c>
      <c r="J379" s="62" t="str">
        <f>Table1[[#This Row],[Column42]]&amp;IF(Table1[[#This Row],[Column13]]="","",Table1[[#This Row],[Column13]])&amp;IF(Table1[[#This Row],[mod]]="","",Table1[[#This Row],[mod]])</f>
        <v>button--reset</v>
      </c>
      <c r="K3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9" t="s">
        <v>414</v>
      </c>
      <c r="Q3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379" s="15" t="s">
        <v>3093</v>
      </c>
      <c r="AB379" s="29"/>
      <c r="AC379" s="25"/>
      <c r="AD379" s="41"/>
      <c r="AE379" s="41"/>
      <c r="AF379" s="11"/>
      <c r="AH379" s="1" t="str">
        <f>Table1[[#This Row],[html_tag]]&amp;Table1[[#This Row],[html_type]]&amp;Table1[[#This Row],[html_modifier]]</f>
        <v/>
      </c>
      <c r="AL379" s="22" t="str">
        <f>IFERROR(_xlfn.XLOOKUP(Table1[[#This Row],[word]],Table57[English style name],Table57[Style type]),"")</f>
        <v/>
      </c>
      <c r="AM379" s="20"/>
      <c r="AN379" s="11"/>
      <c r="AQ379" s="14" t="s">
        <v>1329</v>
      </c>
      <c r="AR379" t="s">
        <v>1313</v>
      </c>
    </row>
    <row r="380" spans="5:44">
      <c r="E380" s="76"/>
      <c r="F3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0" s="13" t="s">
        <v>337</v>
      </c>
      <c r="H380" s="13" t="s">
        <v>2986</v>
      </c>
      <c r="I380" s="12" t="str">
        <f>Table1[[#This Row],[type]]</f>
        <v>button</v>
      </c>
      <c r="J380" s="62" t="str">
        <f>Table1[[#This Row],[Column42]]&amp;IF(Table1[[#This Row],[Column13]]="","",Table1[[#This Row],[Column13]])&amp;IF(Table1[[#This Row],[mod]]="","",Table1[[#This Row],[mod]])</f>
        <v>button--round</v>
      </c>
      <c r="K3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0" t="s">
        <v>414</v>
      </c>
      <c r="Q3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380" t="s">
        <v>3204</v>
      </c>
      <c r="AB380" s="29" t="s">
        <v>3909</v>
      </c>
      <c r="AC380" s="25"/>
      <c r="AD380" s="41" t="s">
        <v>6303</v>
      </c>
      <c r="AE380" s="41"/>
      <c r="AF380" s="11"/>
      <c r="AH380" s="1" t="str">
        <f>Table1[[#This Row],[html_tag]]&amp;Table1[[#This Row],[html_type]]&amp;Table1[[#This Row],[html_modifier]]</f>
        <v/>
      </c>
      <c r="AL380" s="22" t="str">
        <f>IFERROR(_xlfn.XLOOKUP(Table1[[#This Row],[word]],Table57[English style name],Table57[Style type]),"")</f>
        <v/>
      </c>
      <c r="AM380" s="20"/>
      <c r="AN380" s="11"/>
      <c r="AQ380" s="14" t="s">
        <v>1330</v>
      </c>
      <c r="AR380" t="s">
        <v>1313</v>
      </c>
    </row>
    <row r="381" spans="5:44">
      <c r="E381" s="76"/>
      <c r="F3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1" s="13" t="s">
        <v>337</v>
      </c>
      <c r="H381" s="13" t="s">
        <v>2986</v>
      </c>
      <c r="I381" s="12" t="str">
        <f>Table1[[#This Row],[type]]</f>
        <v>button</v>
      </c>
      <c r="J381" s="62" t="str">
        <f>Table1[[#This Row],[Column42]]&amp;IF(Table1[[#This Row],[Column13]]="","",Table1[[#This Row],[Column13]])&amp;IF(Table1[[#This Row],[mod]]="","",Table1[[#This Row],[mod]])</f>
        <v>button--secondary</v>
      </c>
      <c r="K3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1" t="s">
        <v>414</v>
      </c>
      <c r="Q3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381" t="s">
        <v>3502</v>
      </c>
      <c r="AB381" s="29"/>
      <c r="AC381" s="25" t="s">
        <v>3587</v>
      </c>
      <c r="AD381" s="41" t="s">
        <v>3587</v>
      </c>
      <c r="AE381" s="41"/>
      <c r="AF381" s="11"/>
      <c r="AH381" s="1" t="str">
        <f>Table1[[#This Row],[html_tag]]&amp;Table1[[#This Row],[html_type]]&amp;Table1[[#This Row],[html_modifier]]</f>
        <v/>
      </c>
      <c r="AL381" s="22" t="str">
        <f>IFERROR(_xlfn.XLOOKUP(Table1[[#This Row],[word]],Table57[English style name],Table57[Style type]),"")</f>
        <v/>
      </c>
      <c r="AM381" s="20"/>
      <c r="AN381" s="11"/>
      <c r="AQ381" s="6" t="s">
        <v>1331</v>
      </c>
      <c r="AR381" t="s">
        <v>1313</v>
      </c>
    </row>
    <row r="382" spans="5:44">
      <c r="E382" s="76"/>
      <c r="F3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2" s="13" t="s">
        <v>337</v>
      </c>
      <c r="H382" s="13" t="s">
        <v>2986</v>
      </c>
      <c r="I382" s="12" t="str">
        <f>Table1[[#This Row],[type]]</f>
        <v>button</v>
      </c>
      <c r="J382" s="62" t="str">
        <f>Table1[[#This Row],[Column42]]&amp;IF(Table1[[#This Row],[Column13]]="","",Table1[[#This Row],[Column13]])&amp;IF(Table1[[#This Row],[mod]]="","",Table1[[#This Row],[mod]])</f>
        <v>button--sm</v>
      </c>
      <c r="K3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2" t="s">
        <v>414</v>
      </c>
      <c r="Q3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82" t="s">
        <v>3116</v>
      </c>
      <c r="AB382" s="29" t="s">
        <v>3910</v>
      </c>
      <c r="AC382" s="25" t="s">
        <v>3601</v>
      </c>
      <c r="AD382" s="41" t="s">
        <v>3601</v>
      </c>
      <c r="AE382" s="59" t="s">
        <v>3601</v>
      </c>
      <c r="AF382" s="11"/>
      <c r="AH382" s="1" t="str">
        <f>Table1[[#This Row],[html_tag]]&amp;Table1[[#This Row],[html_type]]&amp;Table1[[#This Row],[html_modifier]]</f>
        <v/>
      </c>
      <c r="AL382" s="22" t="str">
        <f>IFERROR(_xlfn.XLOOKUP(Table1[[#This Row],[word]],Table57[English style name],Table57[Style type]),"")</f>
        <v/>
      </c>
      <c r="AM382" s="20"/>
      <c r="AN382" s="11"/>
      <c r="AQ382" s="14" t="s">
        <v>1335</v>
      </c>
      <c r="AR382" t="s">
        <v>1313</v>
      </c>
    </row>
    <row r="383" spans="5:44">
      <c r="E383" s="76"/>
      <c r="F3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3" s="13" t="s">
        <v>337</v>
      </c>
      <c r="H383" s="13" t="s">
        <v>2986</v>
      </c>
      <c r="I383" s="12" t="str">
        <f>Table1[[#This Row],[type]]</f>
        <v>button</v>
      </c>
      <c r="J383" s="62" t="str">
        <f>Table1[[#This Row],[Column42]]&amp;IF(Table1[[#This Row],[Column13]]="","",Table1[[#This Row],[Column13]])&amp;IF(Table1[[#This Row],[mod]]="","",Table1[[#This Row],[mod]])</f>
        <v>button--solid</v>
      </c>
      <c r="K3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3" t="s">
        <v>414</v>
      </c>
      <c r="Q3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--solid</v>
      </c>
      <c r="W383" t="s">
        <v>3615</v>
      </c>
      <c r="AB383" s="29"/>
      <c r="AC383" s="25"/>
      <c r="AD383" s="41"/>
      <c r="AE383" s="41"/>
      <c r="AF383" s="11"/>
      <c r="AH383" s="1" t="str">
        <f>Table1[[#This Row],[html_tag]]&amp;Table1[[#This Row],[html_type]]&amp;Table1[[#This Row],[html_modifier]]</f>
        <v/>
      </c>
      <c r="AL383" s="22" t="str">
        <f>IFERROR(_xlfn.XLOOKUP(Table1[[#This Row],[word]],Table57[English style name],Table57[Style type]),"")</f>
        <v/>
      </c>
      <c r="AM383" s="20"/>
      <c r="AN383" s="11"/>
      <c r="AQ383" s="6" t="s">
        <v>1338</v>
      </c>
      <c r="AR383" t="s">
        <v>1313</v>
      </c>
    </row>
    <row r="384" spans="5:44">
      <c r="E384" s="76"/>
      <c r="F3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4" s="13" t="s">
        <v>337</v>
      </c>
      <c r="H384" s="13" t="s">
        <v>2986</v>
      </c>
      <c r="I384" s="12" t="str">
        <f>Table1[[#This Row],[type]]</f>
        <v>button</v>
      </c>
      <c r="J384" s="62" t="str">
        <f>Table1[[#This Row],[Column42]]&amp;IF(Table1[[#This Row],[Column13]]="","",Table1[[#This Row],[Column13]])&amp;IF(Table1[[#This Row],[mod]]="","",Table1[[#This Row],[mod]])</f>
        <v>button--square</v>
      </c>
      <c r="K3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4" t="s">
        <v>414</v>
      </c>
      <c r="Q3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384" t="s">
        <v>3122</v>
      </c>
      <c r="AB384" s="29"/>
      <c r="AC384" s="25"/>
      <c r="AD384" s="41" t="s">
        <v>6302</v>
      </c>
      <c r="AE384" s="41"/>
      <c r="AF384" s="11"/>
      <c r="AH384" s="1" t="str">
        <f>Table1[[#This Row],[html_tag]]&amp;Table1[[#This Row],[html_type]]&amp;Table1[[#This Row],[html_modifier]]</f>
        <v/>
      </c>
      <c r="AL384" s="22" t="str">
        <f>IFERROR(_xlfn.XLOOKUP(Table1[[#This Row],[word]],Table57[English style name],Table57[Style type]),"")</f>
        <v/>
      </c>
      <c r="AM384" s="20"/>
      <c r="AN384" s="11"/>
      <c r="AQ384" s="6" t="s">
        <v>1340</v>
      </c>
      <c r="AR384" t="s">
        <v>1313</v>
      </c>
    </row>
    <row r="385" spans="5:44">
      <c r="E385" s="76"/>
      <c r="F3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5" s="13" t="s">
        <v>337</v>
      </c>
      <c r="H385" s="13" t="s">
        <v>2986</v>
      </c>
      <c r="I385" s="12" t="str">
        <f>Table1[[#This Row],[type]]</f>
        <v>button</v>
      </c>
      <c r="J385" s="62" t="str">
        <f>Table1[[#This Row],[Column42]]&amp;IF(Table1[[#This Row],[Column13]]="","",Table1[[#This Row],[Column13]])&amp;IF(Table1[[#This Row],[mod]]="","",Table1[[#This Row],[mod]])</f>
        <v>button--static</v>
      </c>
      <c r="K3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5" t="s">
        <v>414</v>
      </c>
      <c r="Q3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--static</v>
      </c>
      <c r="V385" t="s">
        <v>3448</v>
      </c>
      <c r="AB385" s="29" t="s">
        <v>3911</v>
      </c>
      <c r="AC385" s="25"/>
      <c r="AD385" s="41"/>
      <c r="AE385" s="41"/>
      <c r="AF385" s="11"/>
      <c r="AH385" s="7" t="str">
        <f>Table1[[#This Row],[html_tag]]&amp;Table1[[#This Row],[html_type]]&amp;Table1[[#This Row],[html_modifier]]</f>
        <v/>
      </c>
      <c r="AL385" s="23" t="str">
        <f>IFERROR(_xlfn.XLOOKUP(Table1[[#This Row],[word]],Table57[English style name],Table57[Style type]),"")</f>
        <v/>
      </c>
      <c r="AM385" s="21"/>
      <c r="AN385" s="11"/>
    </row>
    <row r="386" spans="5:44">
      <c r="E386" s="76"/>
      <c r="F3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6" s="13" t="s">
        <v>337</v>
      </c>
      <c r="H386" s="13" t="s">
        <v>2986</v>
      </c>
      <c r="I386" s="12" t="str">
        <f>Table1[[#This Row],[type]]</f>
        <v>button</v>
      </c>
      <c r="J386" s="62" t="str">
        <f>Table1[[#This Row],[Column42]]&amp;IF(Table1[[#This Row],[Column13]]="","",Table1[[#This Row],[Column13]])&amp;IF(Table1[[#This Row],[mod]]="","",Table1[[#This Row],[mod]])</f>
        <v>button--success</v>
      </c>
      <c r="K3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6" t="s">
        <v>414</v>
      </c>
      <c r="Q3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86" t="s">
        <v>3120</v>
      </c>
      <c r="AB386" s="29" t="s">
        <v>3912</v>
      </c>
      <c r="AC386" s="25" t="s">
        <v>3588</v>
      </c>
      <c r="AD386" s="41" t="s">
        <v>3588</v>
      </c>
      <c r="AE386" s="41"/>
      <c r="AF386" s="11"/>
      <c r="AH386" s="1" t="str">
        <f>Table1[[#This Row],[html_tag]]&amp;Table1[[#This Row],[html_type]]&amp;Table1[[#This Row],[html_modifier]]</f>
        <v/>
      </c>
      <c r="AL386" s="22" t="str">
        <f>IFERROR(_xlfn.XLOOKUP(Table1[[#This Row],[word]],Table57[English style name],Table57[Style type]),"")</f>
        <v/>
      </c>
      <c r="AM386" s="20"/>
      <c r="AN386" s="11"/>
      <c r="AQ386" s="14" t="s">
        <v>1341</v>
      </c>
      <c r="AR386" t="s">
        <v>1313</v>
      </c>
    </row>
    <row r="387" spans="5:44">
      <c r="E387" s="76"/>
      <c r="F3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7" s="13" t="s">
        <v>337</v>
      </c>
      <c r="H387" s="13" t="s">
        <v>2986</v>
      </c>
      <c r="I387" s="12" t="str">
        <f>Table1[[#This Row],[type]]</f>
        <v>button</v>
      </c>
      <c r="J387" s="62" t="str">
        <f>Table1[[#This Row],[Column42]]&amp;IF(Table1[[#This Row],[Column13]]="","",Table1[[#This Row],[Column13]])&amp;IF(Table1[[#This Row],[mod]]="","",Table1[[#This Row],[mod]])</f>
        <v>button--txt</v>
      </c>
      <c r="K3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7" t="s">
        <v>414</v>
      </c>
      <c r="Q38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--txt</v>
      </c>
      <c r="S387" t="s">
        <v>10196</v>
      </c>
      <c r="U3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87" s="29" t="s">
        <v>3913</v>
      </c>
      <c r="AC387" s="25"/>
      <c r="AD387" s="41"/>
      <c r="AE387" s="41"/>
      <c r="AF387" s="11"/>
      <c r="AH387" s="7" t="str">
        <f>Table1[[#This Row],[html_tag]]&amp;Table1[[#This Row],[html_type]]&amp;Table1[[#This Row],[html_modifier]]</f>
        <v/>
      </c>
      <c r="AL387" s="23" t="str">
        <f>IFERROR(_xlfn.XLOOKUP(Table1[[#This Row],[word]],Table57[English style name],Table57[Style type]),"")</f>
        <v/>
      </c>
      <c r="AM387" s="21"/>
      <c r="AN387" s="11"/>
    </row>
    <row r="388" spans="5:44">
      <c r="E388" s="76"/>
      <c r="F3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8" s="13" t="s">
        <v>337</v>
      </c>
      <c r="H388" s="13" t="s">
        <v>2986</v>
      </c>
      <c r="I388" s="12" t="str">
        <f>Table1[[#This Row],[type]]</f>
        <v>button</v>
      </c>
      <c r="J388" s="62" t="str">
        <f>Table1[[#This Row],[Column42]]&amp;IF(Table1[[#This Row],[Column13]]="","",Table1[[#This Row],[Column13]])&amp;IF(Table1[[#This Row],[mod]]="","",Table1[[#This Row],[mod]])</f>
        <v>button--visible--focus</v>
      </c>
      <c r="K3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8" t="s">
        <v>414</v>
      </c>
      <c r="Q3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R388" t="s">
        <v>2967</v>
      </c>
      <c r="U3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388" t="s">
        <v>3020</v>
      </c>
      <c r="AB388" s="29"/>
      <c r="AC388" s="25"/>
      <c r="AD388" s="41"/>
      <c r="AE388" s="59" t="s">
        <v>8157</v>
      </c>
      <c r="AF388" s="11"/>
      <c r="AH388" s="1" t="str">
        <f>Table1[[#This Row],[html_tag]]&amp;Table1[[#This Row],[html_type]]&amp;Table1[[#This Row],[html_modifier]]</f>
        <v/>
      </c>
      <c r="AL388" s="22" t="str">
        <f>IFERROR(_xlfn.XLOOKUP(Table1[[#This Row],[word]],Table57[English style name],Table57[Style type]),"")</f>
        <v/>
      </c>
      <c r="AM388" s="20"/>
      <c r="AN388" s="11"/>
      <c r="AQ388" s="6" t="s">
        <v>1320</v>
      </c>
      <c r="AR388" t="s">
        <v>1313</v>
      </c>
    </row>
    <row r="389" spans="5:44">
      <c r="E389" s="76"/>
      <c r="F3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9" s="13" t="s">
        <v>337</v>
      </c>
      <c r="H389" s="13" t="s">
        <v>2986</v>
      </c>
      <c r="I389" s="12" t="str">
        <f>Table1[[#This Row],[type]]</f>
        <v>button</v>
      </c>
      <c r="J389" s="62" t="str">
        <f>Table1[[#This Row],[Column42]]&amp;IF(Table1[[#This Row],[Column13]]="","",Table1[[#This Row],[Column13]])&amp;IF(Table1[[#This Row],[mod]]="","",Table1[[#This Row],[mod]])</f>
        <v>button--warning</v>
      </c>
      <c r="K3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9" t="s">
        <v>414</v>
      </c>
      <c r="Q3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89" t="s">
        <v>3121</v>
      </c>
      <c r="AB389" s="29" t="s">
        <v>3914</v>
      </c>
      <c r="AC389" s="25" t="s">
        <v>3589</v>
      </c>
      <c r="AD389" s="41" t="s">
        <v>3589</v>
      </c>
      <c r="AE389" s="41"/>
      <c r="AF389" s="11"/>
      <c r="AH389" s="1" t="str">
        <f>Table1[[#This Row],[html_tag]]&amp;Table1[[#This Row],[html_type]]&amp;Table1[[#This Row],[html_modifier]]</f>
        <v/>
      </c>
      <c r="AL389" s="22" t="str">
        <f>IFERROR(_xlfn.XLOOKUP(Table1[[#This Row],[word]],Table57[English style name],Table57[Style type]),"")</f>
        <v/>
      </c>
      <c r="AM389" s="20"/>
      <c r="AN389" s="11"/>
      <c r="AQ389" s="14" t="s">
        <v>1342</v>
      </c>
      <c r="AR389" t="s">
        <v>1313</v>
      </c>
    </row>
    <row r="390" spans="5:44">
      <c r="E390" s="76"/>
      <c r="F3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0" s="13" t="s">
        <v>337</v>
      </c>
      <c r="H390" s="13" t="s">
        <v>2986</v>
      </c>
      <c r="I390" s="12" t="str">
        <f>Table1[[#This Row],[type]]</f>
        <v>button</v>
      </c>
      <c r="J390" s="62" t="str">
        <f>Table1[[#This Row],[Column42]]&amp;IF(Table1[[#This Row],[Column13]]="","",Table1[[#This Row],[Column13]])&amp;IF(Table1[[#This Row],[mod]]="","",Table1[[#This Row],[mod]])</f>
        <v>button--xl</v>
      </c>
      <c r="K3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90" t="s">
        <v>414</v>
      </c>
      <c r="Q3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90" t="s">
        <v>3126</v>
      </c>
      <c r="AB390" s="29"/>
      <c r="AC390" s="25"/>
      <c r="AD390" s="41" t="s">
        <v>6300</v>
      </c>
      <c r="AE390" s="41"/>
      <c r="AF390" s="11"/>
      <c r="AH390" s="1" t="str">
        <f>Table1[[#This Row],[html_tag]]&amp;Table1[[#This Row],[html_type]]&amp;Table1[[#This Row],[html_modifier]]</f>
        <v/>
      </c>
      <c r="AL390" s="22" t="str">
        <f>IFERROR(_xlfn.XLOOKUP(Table1[[#This Row],[word]],Table57[English style name],Table57[Style type]),"")</f>
        <v/>
      </c>
      <c r="AM390" s="20"/>
      <c r="AN390" s="11"/>
      <c r="AQ390" s="14" t="s">
        <v>1336</v>
      </c>
      <c r="AR390" t="s">
        <v>1313</v>
      </c>
    </row>
    <row r="391" spans="5:44">
      <c r="E391" s="76"/>
      <c r="F3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1" s="13" t="s">
        <v>337</v>
      </c>
      <c r="H391" s="13" t="s">
        <v>2986</v>
      </c>
      <c r="I391" s="12" t="str">
        <f>Table1[[#This Row],[type]]</f>
        <v>button</v>
      </c>
      <c r="J391" s="62" t="str">
        <f>Table1[[#This Row],[Column42]]&amp;IF(Table1[[#This Row],[Column13]]="","",Table1[[#This Row],[Column13]])&amp;IF(Table1[[#This Row],[mod]]="","",Table1[[#This Row],[mod]])</f>
        <v>button--xs</v>
      </c>
      <c r="K3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91" t="s">
        <v>414</v>
      </c>
      <c r="Q3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391" t="s">
        <v>3127</v>
      </c>
      <c r="AB391" s="29"/>
      <c r="AC391" s="25"/>
      <c r="AD391" s="41" t="s">
        <v>6298</v>
      </c>
      <c r="AE391" s="41"/>
      <c r="AF391" s="11"/>
      <c r="AH391" s="1" t="str">
        <f>Table1[[#This Row],[html_tag]]&amp;Table1[[#This Row],[html_type]]&amp;Table1[[#This Row],[html_modifier]]</f>
        <v/>
      </c>
      <c r="AL391" s="22" t="str">
        <f>IFERROR(_xlfn.XLOOKUP(Table1[[#This Row],[word]],Table57[English style name],Table57[Style type]),"")</f>
        <v/>
      </c>
      <c r="AM391" s="20"/>
      <c r="AN391" s="11"/>
      <c r="AQ391" s="14" t="s">
        <v>1337</v>
      </c>
      <c r="AR391" t="s">
        <v>1313</v>
      </c>
    </row>
    <row r="392" spans="5:44">
      <c r="E392" s="76"/>
      <c r="F3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392" s="13" t="s">
        <v>337</v>
      </c>
      <c r="H392" s="13" t="s">
        <v>2988</v>
      </c>
      <c r="I392" s="12" t="str">
        <f>Table1[[#This Row],[type]]</f>
        <v>canvas</v>
      </c>
      <c r="J392" s="62" t="str">
        <f>Table1[[#This Row],[Column42]]&amp;IF(Table1[[#This Row],[Column13]]="","",Table1[[#This Row],[Column13]])&amp;IF(Table1[[#This Row],[mod]]="","",Table1[[#This Row],[mod]])</f>
        <v>canvas</v>
      </c>
      <c r="K3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</v>
      </c>
      <c r="L392" t="s">
        <v>419</v>
      </c>
      <c r="Q3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2" s="29"/>
      <c r="AC392" s="25"/>
      <c r="AD392" s="41"/>
      <c r="AE392" s="41"/>
      <c r="AF392" s="11" t="s">
        <v>139</v>
      </c>
      <c r="AH392" s="1" t="str">
        <f>Table1[[#This Row],[html_tag]]&amp;Table1[[#This Row],[html_type]]&amp;Table1[[#This Row],[html_modifier]]</f>
        <v>&lt;canvas&gt;</v>
      </c>
      <c r="AI392" t="s">
        <v>139</v>
      </c>
      <c r="AL392" s="22" t="str">
        <f>IFERROR(_xlfn.XLOOKUP(Table1[[#This Row],[word]],Table57[English style name],Table57[Style type]),"")</f>
        <v/>
      </c>
      <c r="AM392" s="20"/>
      <c r="AN392" s="11"/>
      <c r="AQ392" s="6" t="s">
        <v>419</v>
      </c>
      <c r="AR392" t="s">
        <v>1365</v>
      </c>
    </row>
    <row r="393" spans="5:44">
      <c r="E393" s="76"/>
      <c r="F3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393" s="13" t="s">
        <v>337</v>
      </c>
      <c r="H393" s="13" t="s">
        <v>2988</v>
      </c>
      <c r="I393" s="12" t="str">
        <f>Table1[[#This Row],[type]]</f>
        <v>canvas</v>
      </c>
      <c r="J393" s="62" t="str">
        <f>Table1[[#This Row],[Column42]]&amp;IF(Table1[[#This Row],[Column13]]="","",Table1[[#This Row],[Column13]])&amp;IF(Table1[[#This Row],[mod]]="","",Table1[[#This Row],[mod]])</f>
        <v>canvas__child</v>
      </c>
      <c r="K3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canvas__child</v>
      </c>
      <c r="L393" t="s">
        <v>419</v>
      </c>
      <c r="M393" t="s">
        <v>7421</v>
      </c>
      <c r="Q3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3" s="29"/>
      <c r="AC393" s="25"/>
      <c r="AD393" s="41"/>
      <c r="AE393" s="41"/>
      <c r="AF393" s="11"/>
      <c r="AH393" s="1" t="str">
        <f>Table1[[#This Row],[html_tag]]&amp;Table1[[#This Row],[html_type]]&amp;Table1[[#This Row],[html_modifier]]</f>
        <v/>
      </c>
      <c r="AL393" s="22" t="str">
        <f>IFERROR(_xlfn.XLOOKUP(Table1[[#This Row],[word]],Table57[English style name],Table57[Style type]),"")</f>
        <v/>
      </c>
      <c r="AM393" s="20"/>
      <c r="AN393" s="11"/>
      <c r="AQ393" s="6" t="s">
        <v>1366</v>
      </c>
      <c r="AR393" t="s">
        <v>1365</v>
      </c>
    </row>
    <row r="394" spans="5:44">
      <c r="E394" s="76"/>
      <c r="F3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394" s="13" t="s">
        <v>337</v>
      </c>
      <c r="H394" s="13" t="s">
        <v>2988</v>
      </c>
      <c r="I394" s="12" t="str">
        <f>Table1[[#This Row],[type]]</f>
        <v>canvas</v>
      </c>
      <c r="J394" s="62" t="str">
        <f>Table1[[#This Row],[Column42]]&amp;IF(Table1[[#This Row],[Column13]]="","",Table1[[#This Row],[Column13]])&amp;IF(Table1[[#This Row],[mod]]="","",Table1[[#This Row],[mod]])</f>
        <v>canvas--color</v>
      </c>
      <c r="K3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</v>
      </c>
      <c r="L394" t="s">
        <v>419</v>
      </c>
      <c r="Q3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--color</v>
      </c>
      <c r="W394" t="s">
        <v>3083</v>
      </c>
      <c r="AB394" s="29"/>
      <c r="AC394" s="25" t="s">
        <v>4995</v>
      </c>
      <c r="AD394" s="41"/>
      <c r="AE394" s="41"/>
      <c r="AF394" s="11"/>
      <c r="AH394" s="1" t="str">
        <f>Table1[[#This Row],[html_tag]]&amp;Table1[[#This Row],[html_type]]&amp;Table1[[#This Row],[html_modifier]]</f>
        <v/>
      </c>
      <c r="AL394" s="22" t="str">
        <f>IFERROR(_xlfn.XLOOKUP(Table1[[#This Row],[word]],Table57[English style name],Table57[Style type]),"")</f>
        <v/>
      </c>
      <c r="AM394" s="20"/>
      <c r="AN394" s="11"/>
      <c r="AQ394" s="6" t="s">
        <v>1367</v>
      </c>
      <c r="AR394" t="s">
        <v>1365</v>
      </c>
    </row>
    <row r="395" spans="5:44">
      <c r="E395" s="76"/>
      <c r="F3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395" s="13" t="s">
        <v>337</v>
      </c>
      <c r="H395" s="13" t="s">
        <v>2988</v>
      </c>
      <c r="I395" s="12" t="str">
        <f>Table1[[#This Row],[type]]</f>
        <v>canvas</v>
      </c>
      <c r="J395" s="62" t="str">
        <f>Table1[[#This Row],[Column42]]&amp;IF(Table1[[#This Row],[Column13]]="","",Table1[[#This Row],[Column13]])&amp;IF(Table1[[#This Row],[mod]]="","",Table1[[#This Row],[mod]])</f>
        <v>canvas--gradient</v>
      </c>
      <c r="K3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</v>
      </c>
      <c r="L395" t="s">
        <v>419</v>
      </c>
      <c r="Q3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--gradient</v>
      </c>
      <c r="W395" t="s">
        <v>3131</v>
      </c>
      <c r="AB395" s="29"/>
      <c r="AC395" s="25"/>
      <c r="AD395" s="41"/>
      <c r="AE395" s="41"/>
      <c r="AF395" s="11"/>
      <c r="AH395" s="1" t="str">
        <f>Table1[[#This Row],[html_tag]]&amp;Table1[[#This Row],[html_type]]&amp;Table1[[#This Row],[html_modifier]]</f>
        <v/>
      </c>
      <c r="AL395" s="22" t="str">
        <f>IFERROR(_xlfn.XLOOKUP(Table1[[#This Row],[word]],Table57[English style name],Table57[Style type]),"")</f>
        <v/>
      </c>
      <c r="AM395" s="20"/>
      <c r="AN395" s="11"/>
      <c r="AQ395" s="6" t="s">
        <v>1368</v>
      </c>
      <c r="AR395" t="s">
        <v>1365</v>
      </c>
    </row>
    <row r="396" spans="5:44">
      <c r="E396" s="76"/>
      <c r="F3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96" s="13" t="s">
        <v>337</v>
      </c>
      <c r="H396" s="13" t="s">
        <v>2987</v>
      </c>
      <c r="I396" s="12" t="str">
        <f>Table1[[#This Row],[type]]</f>
        <v>card</v>
      </c>
      <c r="J396" s="62" t="str">
        <f>Table1[[#This Row],[Column42]]&amp;IF(Table1[[#This Row],[Column13]]="","",Table1[[#This Row],[Column13]])&amp;IF(Table1[[#This Row],[mod]]="","",Table1[[#This Row],[mod]])</f>
        <v>card</v>
      </c>
      <c r="K3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96" t="s">
        <v>3082</v>
      </c>
      <c r="Q39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6" s="29"/>
      <c r="AC396" s="25"/>
      <c r="AD396" s="41" t="s">
        <v>6330</v>
      </c>
      <c r="AE396" s="41"/>
      <c r="AF396" s="11"/>
      <c r="AH396" s="7" t="str">
        <f>Table1[[#This Row],[html_tag]]&amp;Table1[[#This Row],[html_type]]&amp;Table1[[#This Row],[html_modifier]]</f>
        <v/>
      </c>
      <c r="AL396" s="23" t="str">
        <f>IFERROR(_xlfn.XLOOKUP(Table1[[#This Row],[word]],Table57[English style name],Table57[Style type]),"")</f>
        <v/>
      </c>
      <c r="AM396" s="21"/>
      <c r="AN396" s="11"/>
    </row>
    <row r="397" spans="5:44">
      <c r="E397" s="76"/>
      <c r="F3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97" s="13" t="s">
        <v>337</v>
      </c>
      <c r="H397" s="13" t="s">
        <v>2987</v>
      </c>
      <c r="I397" s="12" t="str">
        <f>Table1[[#This Row],[type]]</f>
        <v>card</v>
      </c>
      <c r="J397" s="62" t="str">
        <f>Table1[[#This Row],[Column42]]&amp;IF(Table1[[#This Row],[Column13]]="","",Table1[[#This Row],[Column13]])&amp;IF(Table1[[#This Row],[mod]]="","",Table1[[#This Row],[mod]])</f>
        <v>card</v>
      </c>
      <c r="K3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97" t="s">
        <v>3082</v>
      </c>
      <c r="Q39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7" s="29"/>
      <c r="AC397" s="25"/>
      <c r="AD397" s="41" t="s">
        <v>6329</v>
      </c>
      <c r="AE397" s="41"/>
      <c r="AF397" s="11"/>
      <c r="AH397" s="7" t="str">
        <f>Table1[[#This Row],[html_tag]]&amp;Table1[[#This Row],[html_type]]&amp;Table1[[#This Row],[html_modifier]]</f>
        <v/>
      </c>
      <c r="AL397" s="23" t="str">
        <f>IFERROR(_xlfn.XLOOKUP(Table1[[#This Row],[word]],Table57[English style name],Table57[Style type]),"")</f>
        <v/>
      </c>
      <c r="AM397" s="21"/>
      <c r="AN397" s="11"/>
    </row>
    <row r="398" spans="5:44">
      <c r="E398" s="76"/>
      <c r="F3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98" s="13" t="s">
        <v>337</v>
      </c>
      <c r="H398" s="13" t="s">
        <v>2987</v>
      </c>
      <c r="I398" s="12" t="str">
        <f>Table1[[#This Row],[type]]</f>
        <v>card</v>
      </c>
      <c r="J398" s="62" t="str">
        <f>Table1[[#This Row],[Column42]]&amp;IF(Table1[[#This Row],[Column13]]="","",Table1[[#This Row],[Column13]])&amp;IF(Table1[[#This Row],[mod]]="","",Table1[[#This Row],[mod]])</f>
        <v>card</v>
      </c>
      <c r="K3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98" t="s">
        <v>3082</v>
      </c>
      <c r="P398" s="6" t="s">
        <v>1407</v>
      </c>
      <c r="Q3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8" s="29"/>
      <c r="AC398" s="25" t="s">
        <v>3647</v>
      </c>
      <c r="AD398" s="41"/>
      <c r="AE398" s="41"/>
      <c r="AF398" s="11"/>
      <c r="AH398" s="1" t="str">
        <f>Table1[[#This Row],[html_tag]]&amp;Table1[[#This Row],[html_type]]&amp;Table1[[#This Row],[html_modifier]]</f>
        <v/>
      </c>
      <c r="AL398" s="22" t="str">
        <f>IFERROR(_xlfn.XLOOKUP(Table1[[#This Row],[word]],Table57[English style name],Table57[Style type]),"")</f>
        <v/>
      </c>
      <c r="AM398" s="20"/>
      <c r="AN398" s="11"/>
      <c r="AQ398" s="6" t="s">
        <v>1407</v>
      </c>
      <c r="AR398" t="s">
        <v>1394</v>
      </c>
    </row>
    <row r="399" spans="5:44">
      <c r="E399" s="76"/>
      <c r="F3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99" s="13" t="s">
        <v>337</v>
      </c>
      <c r="H399" s="13" t="s">
        <v>2987</v>
      </c>
      <c r="I399" s="12" t="str">
        <f>Table1[[#This Row],[type]]</f>
        <v>card</v>
      </c>
      <c r="J399" s="62" t="str">
        <f>Table1[[#This Row],[Column42]]&amp;IF(Table1[[#This Row],[Column13]]="","",Table1[[#This Row],[Column13]])&amp;IF(Table1[[#This Row],[mod]]="","",Table1[[#This Row],[mod]])</f>
        <v>card</v>
      </c>
      <c r="K3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99" t="s">
        <v>3082</v>
      </c>
      <c r="P399" s="6" t="s">
        <v>1408</v>
      </c>
      <c r="Q3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9" s="29"/>
      <c r="AC399" s="25" t="s">
        <v>3648</v>
      </c>
      <c r="AD399" s="41"/>
      <c r="AE399" s="41"/>
      <c r="AF399" s="11"/>
      <c r="AH399" s="1" t="str">
        <f>Table1[[#This Row],[html_tag]]&amp;Table1[[#This Row],[html_type]]&amp;Table1[[#This Row],[html_modifier]]</f>
        <v/>
      </c>
      <c r="AL399" s="22" t="str">
        <f>IFERROR(_xlfn.XLOOKUP(Table1[[#This Row],[word]],Table57[English style name],Table57[Style type]),"")</f>
        <v/>
      </c>
      <c r="AM399" s="20"/>
      <c r="AN399" s="11"/>
      <c r="AQ399" s="6" t="s">
        <v>1408</v>
      </c>
      <c r="AR399" t="s">
        <v>1394</v>
      </c>
    </row>
    <row r="400" spans="5:44">
      <c r="E400" s="76"/>
      <c r="F4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0" s="13" t="s">
        <v>337</v>
      </c>
      <c r="H400" s="13" t="s">
        <v>2987</v>
      </c>
      <c r="I400" s="12" t="str">
        <f>Table1[[#This Row],[type]]</f>
        <v>card</v>
      </c>
      <c r="J400" s="62" t="str">
        <f>Table1[[#This Row],[Column42]]&amp;IF(Table1[[#This Row],[Column13]]="","",Table1[[#This Row],[Column13]])&amp;IF(Table1[[#This Row],[mod]]="","",Table1[[#This Row],[mod]])</f>
        <v>card</v>
      </c>
      <c r="K4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0" t="s">
        <v>3082</v>
      </c>
      <c r="P400" s="6" t="s">
        <v>1412</v>
      </c>
      <c r="Q4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0" s="29"/>
      <c r="AC400" s="25" t="s">
        <v>3650</v>
      </c>
      <c r="AD400" s="41"/>
      <c r="AE400" s="41"/>
      <c r="AF400" s="11"/>
      <c r="AH400" s="1" t="str">
        <f>Table1[[#This Row],[html_tag]]&amp;Table1[[#This Row],[html_type]]&amp;Table1[[#This Row],[html_modifier]]</f>
        <v/>
      </c>
      <c r="AL400" s="22" t="str">
        <f>IFERROR(_xlfn.XLOOKUP(Table1[[#This Row],[word]],Table57[English style name],Table57[Style type]),"")</f>
        <v/>
      </c>
      <c r="AM400" s="20"/>
      <c r="AN400" s="11"/>
      <c r="AQ400" s="6" t="s">
        <v>1412</v>
      </c>
      <c r="AR400" t="s">
        <v>1394</v>
      </c>
    </row>
    <row r="401" spans="5:44">
      <c r="E401" s="76"/>
      <c r="F4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1" s="13" t="s">
        <v>337</v>
      </c>
      <c r="H401" s="13" t="s">
        <v>2987</v>
      </c>
      <c r="I401" s="12" t="str">
        <f>Table1[[#This Row],[type]]</f>
        <v>card</v>
      </c>
      <c r="J401" s="62" t="str">
        <f>Table1[[#This Row],[Column42]]&amp;IF(Table1[[#This Row],[Column13]]="","",Table1[[#This Row],[Column13]])&amp;IF(Table1[[#This Row],[mod]]="","",Table1[[#This Row],[mod]])</f>
        <v>card</v>
      </c>
      <c r="K4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1" t="s">
        <v>3082</v>
      </c>
      <c r="P401" s="6" t="s">
        <v>1385</v>
      </c>
      <c r="Q4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1" s="29"/>
      <c r="AC401" s="25"/>
      <c r="AD401" s="41"/>
      <c r="AE401" s="41"/>
      <c r="AF401" s="11"/>
      <c r="AH401" s="1" t="str">
        <f>Table1[[#This Row],[html_tag]]&amp;Table1[[#This Row],[html_type]]&amp;Table1[[#This Row],[html_modifier]]</f>
        <v/>
      </c>
      <c r="AL401" s="22" t="str">
        <f>IFERROR(_xlfn.XLOOKUP(Table1[[#This Row],[word]],Table57[English style name],Table57[Style type]),"")</f>
        <v/>
      </c>
      <c r="AM401" s="20"/>
      <c r="AN401" s="11"/>
      <c r="AQ401" s="6" t="s">
        <v>1385</v>
      </c>
      <c r="AR401" t="s">
        <v>1372</v>
      </c>
    </row>
    <row r="402" spans="5:44">
      <c r="E402" s="76"/>
      <c r="F4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2" s="13" t="s">
        <v>337</v>
      </c>
      <c r="H402" s="13" t="s">
        <v>2987</v>
      </c>
      <c r="I402" s="12" t="str">
        <f>Table1[[#This Row],[type]]</f>
        <v>card</v>
      </c>
      <c r="J402" s="62" t="str">
        <f>Table1[[#This Row],[Column42]]&amp;IF(Table1[[#This Row],[Column13]]="","",Table1[[#This Row],[Column13]])&amp;IF(Table1[[#This Row],[mod]]="","",Table1[[#This Row],[mod]])</f>
        <v>card</v>
      </c>
      <c r="K4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2" t="s">
        <v>3082</v>
      </c>
      <c r="P402" s="6" t="s">
        <v>1386</v>
      </c>
      <c r="Q4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2" s="29"/>
      <c r="AC402" s="25"/>
      <c r="AD402" s="41"/>
      <c r="AE402" s="41"/>
      <c r="AF402" s="11"/>
      <c r="AH402" s="1" t="str">
        <f>Table1[[#This Row],[html_tag]]&amp;Table1[[#This Row],[html_type]]&amp;Table1[[#This Row],[html_modifier]]</f>
        <v/>
      </c>
      <c r="AL402" s="22" t="str">
        <f>IFERROR(_xlfn.XLOOKUP(Table1[[#This Row],[word]],Table57[English style name],Table57[Style type]),"")</f>
        <v/>
      </c>
      <c r="AM402" s="20"/>
      <c r="AN402" s="11"/>
      <c r="AQ402" s="6" t="s">
        <v>1386</v>
      </c>
      <c r="AR402" t="s">
        <v>1372</v>
      </c>
    </row>
    <row r="403" spans="5:44">
      <c r="E403" s="76"/>
      <c r="F4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3" s="13" t="s">
        <v>337</v>
      </c>
      <c r="H403" s="13" t="s">
        <v>2987</v>
      </c>
      <c r="I403" s="12" t="str">
        <f>Table1[[#This Row],[type]]</f>
        <v>card</v>
      </c>
      <c r="J403" s="62" t="str">
        <f>Table1[[#This Row],[Column42]]&amp;IF(Table1[[#This Row],[Column13]]="","",Table1[[#This Row],[Column13]])&amp;IF(Table1[[#This Row],[mod]]="","",Table1[[#This Row],[mod]])</f>
        <v>card</v>
      </c>
      <c r="K4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3" t="s">
        <v>3082</v>
      </c>
      <c r="Q40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3" s="29"/>
      <c r="AC403" s="25"/>
      <c r="AD403" s="41"/>
      <c r="AE403" s="41"/>
      <c r="AF403" s="11"/>
      <c r="AH403" s="7" t="str">
        <f>Table1[[#This Row],[html_tag]]&amp;Table1[[#This Row],[html_type]]&amp;Table1[[#This Row],[html_modifier]]</f>
        <v/>
      </c>
      <c r="AL403" s="23" t="str">
        <f>IFERROR(_xlfn.XLOOKUP(Table1[[#This Row],[word]],Table57[English style name],Table57[Style type]),"")</f>
        <v/>
      </c>
      <c r="AM403" s="21"/>
      <c r="AN403" s="11"/>
    </row>
    <row r="404" spans="5:44">
      <c r="E404" s="76"/>
      <c r="F4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4" s="13" t="s">
        <v>337</v>
      </c>
      <c r="H404" s="13" t="s">
        <v>2987</v>
      </c>
      <c r="I404" s="12" t="str">
        <f>Table1[[#This Row],[type]]</f>
        <v>card</v>
      </c>
      <c r="J404" s="62" t="str">
        <f>Table1[[#This Row],[Column42]]&amp;IF(Table1[[#This Row],[Column13]]="","",Table1[[#This Row],[Column13]])&amp;IF(Table1[[#This Row],[mod]]="","",Table1[[#This Row],[mod]])</f>
        <v>card</v>
      </c>
      <c r="K4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4" t="s">
        <v>3082</v>
      </c>
      <c r="Q40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4" s="29"/>
      <c r="AC404" s="25" t="s">
        <v>3659</v>
      </c>
      <c r="AD404" s="41"/>
      <c r="AE404" s="41"/>
      <c r="AF404" s="11"/>
      <c r="AH404" s="7" t="str">
        <f>Table1[[#This Row],[html_tag]]&amp;Table1[[#This Row],[html_type]]&amp;Table1[[#This Row],[html_modifier]]</f>
        <v/>
      </c>
      <c r="AL404" s="23" t="str">
        <f>IFERROR(_xlfn.XLOOKUP(Table1[[#This Row],[word]],Table57[English style name],Table57[Style type]),"")</f>
        <v/>
      </c>
      <c r="AM404" s="21"/>
      <c r="AN404" s="11"/>
    </row>
    <row r="405" spans="5:44">
      <c r="E405" s="76"/>
      <c r="F4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5" s="13" t="s">
        <v>337</v>
      </c>
      <c r="H405" s="13" t="s">
        <v>2987</v>
      </c>
      <c r="I405" s="12" t="str">
        <f>Table1[[#This Row],[type]]</f>
        <v>card</v>
      </c>
      <c r="J405" s="62" t="str">
        <f>Table1[[#This Row],[Column42]]&amp;IF(Table1[[#This Row],[Column13]]="","",Table1[[#This Row],[Column13]])&amp;IF(Table1[[#This Row],[mod]]="","",Table1[[#This Row],[mod]])</f>
        <v>card</v>
      </c>
      <c r="K4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5" t="s">
        <v>3082</v>
      </c>
      <c r="Q40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5" s="29"/>
      <c r="AC405" s="25" t="s">
        <v>3662</v>
      </c>
      <c r="AD405" s="41"/>
      <c r="AE405" s="41"/>
      <c r="AF405" s="11"/>
      <c r="AH405" s="7" t="str">
        <f>Table1[[#This Row],[html_tag]]&amp;Table1[[#This Row],[html_type]]&amp;Table1[[#This Row],[html_modifier]]</f>
        <v/>
      </c>
      <c r="AL405" s="23" t="str">
        <f>IFERROR(_xlfn.XLOOKUP(Table1[[#This Row],[word]],Table57[English style name],Table57[Style type]),"")</f>
        <v/>
      </c>
      <c r="AM405" s="21"/>
      <c r="AN405" s="11"/>
    </row>
    <row r="406" spans="5:44">
      <c r="E406" s="76"/>
      <c r="F4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6" s="13" t="s">
        <v>337</v>
      </c>
      <c r="H406" s="13" t="s">
        <v>2987</v>
      </c>
      <c r="I406" s="12" t="str">
        <f>Table1[[#This Row],[type]]</f>
        <v>card</v>
      </c>
      <c r="J406" s="62" t="str">
        <f>Table1[[#This Row],[Column42]]&amp;IF(Table1[[#This Row],[Column13]]="","",Table1[[#This Row],[Column13]])&amp;IF(Table1[[#This Row],[mod]]="","",Table1[[#This Row],[mod]])</f>
        <v>card</v>
      </c>
      <c r="K4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6" t="s">
        <v>3082</v>
      </c>
      <c r="Q4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6" s="29" t="s">
        <v>3923</v>
      </c>
      <c r="AC406" s="25" t="s">
        <v>3660</v>
      </c>
      <c r="AD406" s="41" t="s">
        <v>3660</v>
      </c>
      <c r="AE406" s="41"/>
      <c r="AF406" s="11" t="s">
        <v>264</v>
      </c>
      <c r="AH406" s="1" t="str">
        <f>Table1[[#This Row],[html_tag]]&amp;Table1[[#This Row],[html_type]]&amp;Table1[[#This Row],[html_modifier]]</f>
        <v/>
      </c>
      <c r="AL406" s="22" t="str">
        <f>IFERROR(_xlfn.XLOOKUP(Table1[[#This Row],[word]],Table57[English style name],Table57[Style type]),"")</f>
        <v/>
      </c>
      <c r="AM406" s="20"/>
      <c r="AN406" s="11"/>
      <c r="AQ406" s="6" t="s">
        <v>1373</v>
      </c>
      <c r="AR406" t="s">
        <v>1372</v>
      </c>
    </row>
    <row r="407" spans="5:44">
      <c r="E407" s="76"/>
      <c r="F4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7" s="13" t="s">
        <v>337</v>
      </c>
      <c r="H407" s="13" t="s">
        <v>2987</v>
      </c>
      <c r="I407" s="12" t="str">
        <f>Table1[[#This Row],[type]]</f>
        <v>card</v>
      </c>
      <c r="J407" s="62" t="str">
        <f>Table1[[#This Row],[Column42]]&amp;IF(Table1[[#This Row],[Column13]]="","",Table1[[#This Row],[Column13]])&amp;IF(Table1[[#This Row],[mod]]="","",Table1[[#This Row],[mod]])</f>
        <v>card</v>
      </c>
      <c r="K4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7" t="s">
        <v>3082</v>
      </c>
      <c r="Q4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7" s="29" t="s">
        <v>3649</v>
      </c>
      <c r="AC407" s="25" t="s">
        <v>3649</v>
      </c>
      <c r="AD407" s="41"/>
      <c r="AE407" s="41"/>
      <c r="AF407" s="11"/>
      <c r="AH407" s="1" t="str">
        <f>Table1[[#This Row],[html_tag]]&amp;Table1[[#This Row],[html_type]]&amp;Table1[[#This Row],[html_modifier]]</f>
        <v/>
      </c>
      <c r="AL407" s="22" t="str">
        <f>IFERROR(_xlfn.XLOOKUP(Table1[[#This Row],[word]],Table57[English style name],Table57[Style type]),"")</f>
        <v/>
      </c>
      <c r="AM407" s="20"/>
      <c r="AN407" s="11"/>
      <c r="AQ407" s="6" t="s">
        <v>1376</v>
      </c>
      <c r="AR407" t="s">
        <v>1372</v>
      </c>
    </row>
    <row r="408" spans="5:44">
      <c r="E408" s="76"/>
      <c r="F4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8" s="13" t="s">
        <v>337</v>
      </c>
      <c r="H408" s="13" t="s">
        <v>2987</v>
      </c>
      <c r="I408" s="12" t="str">
        <f>Table1[[#This Row],[type]]</f>
        <v>card</v>
      </c>
      <c r="J408" s="62" t="str">
        <f>Table1[[#This Row],[Column42]]&amp;IF(Table1[[#This Row],[Column13]]="","",Table1[[#This Row],[Column13]])&amp;IF(Table1[[#This Row],[mod]]="","",Table1[[#This Row],[mod]])</f>
        <v>card</v>
      </c>
      <c r="K4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8" t="s">
        <v>3082</v>
      </c>
      <c r="Q4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8" s="29" t="s">
        <v>3651</v>
      </c>
      <c r="AC408" s="25" t="s">
        <v>3651</v>
      </c>
      <c r="AD408" s="41"/>
      <c r="AE408" s="41"/>
      <c r="AF408" s="11"/>
      <c r="AH408" s="1" t="str">
        <f>Table1[[#This Row],[html_tag]]&amp;Table1[[#This Row],[html_type]]&amp;Table1[[#This Row],[html_modifier]]</f>
        <v/>
      </c>
      <c r="AL408" s="22" t="str">
        <f>IFERROR(_xlfn.XLOOKUP(Table1[[#This Row],[word]],Table57[English style name],Table57[Style type]),"")</f>
        <v/>
      </c>
      <c r="AM408" s="20"/>
      <c r="AN408" s="11"/>
      <c r="AQ408" s="6" t="s">
        <v>1377</v>
      </c>
      <c r="AR408" t="s">
        <v>1372</v>
      </c>
    </row>
    <row r="409" spans="5:44">
      <c r="E409" s="76"/>
      <c r="F4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9" s="13" t="s">
        <v>337</v>
      </c>
      <c r="H409" s="13" t="s">
        <v>2987</v>
      </c>
      <c r="I409" s="12" t="str">
        <f>Table1[[#This Row],[type]]</f>
        <v>card</v>
      </c>
      <c r="J409" s="62" t="str">
        <f>Table1[[#This Row],[Column42]]&amp;IF(Table1[[#This Row],[Column13]]="","",Table1[[#This Row],[Column13]])&amp;IF(Table1[[#This Row],[mod]]="","",Table1[[#This Row],[mod]])</f>
        <v>card</v>
      </c>
      <c r="K4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9" t="s">
        <v>3082</v>
      </c>
      <c r="Q4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9" s="29" t="s">
        <v>3928</v>
      </c>
      <c r="AC409" s="25"/>
      <c r="AD409" s="41"/>
      <c r="AE409" s="41"/>
      <c r="AF409" s="11"/>
      <c r="AH409" s="1" t="str">
        <f>Table1[[#This Row],[html_tag]]&amp;Table1[[#This Row],[html_type]]&amp;Table1[[#This Row],[html_modifier]]</f>
        <v/>
      </c>
      <c r="AL409" s="22" t="str">
        <f>IFERROR(_xlfn.XLOOKUP(Table1[[#This Row],[word]],Table57[English style name],Table57[Style type]),"")</f>
        <v/>
      </c>
      <c r="AM409" s="20"/>
      <c r="AN409" s="11"/>
      <c r="AQ409" s="6" t="s">
        <v>1388</v>
      </c>
      <c r="AR409" t="s">
        <v>1372</v>
      </c>
    </row>
    <row r="410" spans="5:44">
      <c r="E410" s="76"/>
      <c r="F4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0" s="13" t="s">
        <v>337</v>
      </c>
      <c r="H410" s="13" t="s">
        <v>2987</v>
      </c>
      <c r="I410" s="12" t="str">
        <f>Table1[[#This Row],[type]]</f>
        <v>card</v>
      </c>
      <c r="J410" s="62" t="str">
        <f>Table1[[#This Row],[Column42]]&amp;IF(Table1[[#This Row],[Column13]]="","",Table1[[#This Row],[Column13]])&amp;IF(Table1[[#This Row],[mod]]="","",Table1[[#This Row],[mod]])</f>
        <v>card</v>
      </c>
      <c r="K4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10" t="s">
        <v>3082</v>
      </c>
      <c r="Q4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0" s="29"/>
      <c r="AC410" s="25"/>
      <c r="AD410" s="41" t="s">
        <v>6331</v>
      </c>
      <c r="AE410" s="41"/>
      <c r="AF410" s="11"/>
      <c r="AH410" s="7" t="str">
        <f>Table1[[#This Row],[html_tag]]&amp;Table1[[#This Row],[html_type]]&amp;Table1[[#This Row],[html_modifier]]</f>
        <v/>
      </c>
      <c r="AL410" s="23" t="str">
        <f>IFERROR(_xlfn.XLOOKUP(Table1[[#This Row],[word]],Table57[English style name],Table57[Style type]),"")</f>
        <v/>
      </c>
      <c r="AM410" s="21"/>
      <c r="AN410" s="11"/>
    </row>
    <row r="411" spans="5:44">
      <c r="E411" s="76"/>
      <c r="F4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1" s="13" t="s">
        <v>337</v>
      </c>
      <c r="H411" s="13" t="s">
        <v>2987</v>
      </c>
      <c r="I411" s="12" t="str">
        <f>Table1[[#This Row],[type]]</f>
        <v>card</v>
      </c>
      <c r="J411" s="62" t="str">
        <f>Table1[[#This Row],[Column42]]&amp;IF(Table1[[#This Row],[Column13]]="","",Table1[[#This Row],[Column13]])&amp;IF(Table1[[#This Row],[mod]]="","",Table1[[#This Row],[mod]])</f>
        <v>card__actions</v>
      </c>
      <c r="K4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card__actions</v>
      </c>
      <c r="L411" t="s">
        <v>3082</v>
      </c>
      <c r="O411" t="s">
        <v>10214</v>
      </c>
      <c r="Q4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1" s="29" t="s">
        <v>3924</v>
      </c>
      <c r="AC411" s="25" t="s">
        <v>3657</v>
      </c>
      <c r="AD411" s="41" t="s">
        <v>6328</v>
      </c>
      <c r="AE411" s="41"/>
      <c r="AF411" s="11"/>
      <c r="AH411" s="1" t="str">
        <f>Table1[[#This Row],[html_tag]]&amp;Table1[[#This Row],[html_type]]&amp;Table1[[#This Row],[html_modifier]]</f>
        <v/>
      </c>
      <c r="AL411" s="22" t="str">
        <f>IFERROR(_xlfn.XLOOKUP(Table1[[#This Row],[word]],Table57[English style name],Table57[Style type]),"")</f>
        <v/>
      </c>
      <c r="AM411" s="20"/>
      <c r="AN411" s="11"/>
      <c r="AQ411" s="6" t="s">
        <v>1387</v>
      </c>
      <c r="AR411" t="s">
        <v>1372</v>
      </c>
    </row>
    <row r="412" spans="5:44">
      <c r="E412" s="76"/>
      <c r="F4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2" s="13" t="s">
        <v>337</v>
      </c>
      <c r="H412" s="13" t="s">
        <v>2987</v>
      </c>
      <c r="I412" s="12" t="str">
        <f>Table1[[#This Row],[type]]</f>
        <v>card</v>
      </c>
      <c r="J412" s="62" t="str">
        <f>Table1[[#This Row],[Column42]]&amp;IF(Table1[[#This Row],[Column13]]="","",Table1[[#This Row],[Column13]])&amp;IF(Table1[[#This Row],[mod]]="","",Table1[[#This Row],[mod]])</f>
        <v>card__bottom</v>
      </c>
      <c r="K4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card__bottom</v>
      </c>
      <c r="L412" t="s">
        <v>3082</v>
      </c>
      <c r="N412" t="s">
        <v>3186</v>
      </c>
      <c r="Q4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2" s="29"/>
      <c r="AC412" s="25" t="s">
        <v>3654</v>
      </c>
      <c r="AD412" s="41"/>
      <c r="AE412" s="41"/>
      <c r="AF412" s="11"/>
      <c r="AH412" s="1" t="str">
        <f>Table1[[#This Row],[html_tag]]&amp;Table1[[#This Row],[html_type]]&amp;Table1[[#This Row],[html_modifier]]</f>
        <v/>
      </c>
      <c r="AL412" s="22" t="str">
        <f>IFERROR(_xlfn.XLOOKUP(Table1[[#This Row],[word]],Table57[English style name],Table57[Style type]),"")</f>
        <v/>
      </c>
      <c r="AM412" s="20"/>
      <c r="AN412" s="11"/>
      <c r="AQ412" s="6" t="s">
        <v>1404</v>
      </c>
      <c r="AR412" t="s">
        <v>1394</v>
      </c>
    </row>
    <row r="413" spans="5:44">
      <c r="E413" s="76"/>
      <c r="F4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3" s="13" t="s">
        <v>337</v>
      </c>
      <c r="H413" s="13" t="s">
        <v>2987</v>
      </c>
      <c r="I413" s="12" t="str">
        <f>Table1[[#This Row],[type]]</f>
        <v>card</v>
      </c>
      <c r="J413" s="62" t="str">
        <f>Table1[[#This Row],[Column42]]&amp;IF(Table1[[#This Row],[Column13]]="","",Table1[[#This Row],[Column13]])&amp;IF(Table1[[#This Row],[mod]]="","",Table1[[#This Row],[mod]])</f>
        <v>card__center</v>
      </c>
      <c r="K4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card__center</v>
      </c>
      <c r="L413" t="s">
        <v>3082</v>
      </c>
      <c r="N413" t="s">
        <v>425</v>
      </c>
      <c r="Q41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3" s="29" t="s">
        <v>3927</v>
      </c>
      <c r="AC413" s="25"/>
      <c r="AD413" s="41"/>
      <c r="AE413" s="41"/>
      <c r="AF413" s="11"/>
      <c r="AH413" s="7" t="str">
        <f>Table1[[#This Row],[html_tag]]&amp;Table1[[#This Row],[html_type]]&amp;Table1[[#This Row],[html_modifier]]</f>
        <v/>
      </c>
      <c r="AL413" s="23" t="str">
        <f>IFERROR(_xlfn.XLOOKUP(Table1[[#This Row],[word]],Table57[English style name],Table57[Style type]),"")</f>
        <v/>
      </c>
      <c r="AM413" s="21"/>
      <c r="AN413" s="11"/>
    </row>
    <row r="414" spans="5:44">
      <c r="E414" s="76"/>
      <c r="F4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4" s="13" t="s">
        <v>337</v>
      </c>
      <c r="H414" s="13" t="s">
        <v>2987</v>
      </c>
      <c r="I414" s="12" t="str">
        <f>Table1[[#This Row],[type]]</f>
        <v>card</v>
      </c>
      <c r="J414" s="62" t="str">
        <f>Table1[[#This Row],[Column42]]&amp;IF(Table1[[#This Row],[Column13]]="","",Table1[[#This Row],[Column13]])&amp;IF(Table1[[#This Row],[mod]]="","",Table1[[#This Row],[mod]])</f>
        <v>card__extended</v>
      </c>
      <c r="K4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card__extended</v>
      </c>
      <c r="L414" t="s">
        <v>3082</v>
      </c>
      <c r="M414" t="s">
        <v>3385</v>
      </c>
      <c r="Q4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4" s="29"/>
      <c r="AC414" s="25"/>
      <c r="AD414" s="41"/>
      <c r="AE414" s="41"/>
      <c r="AF414" s="11" t="s">
        <v>181</v>
      </c>
      <c r="AH414" s="1" t="str">
        <f>Table1[[#This Row],[html_tag]]&amp;Table1[[#This Row],[html_type]]&amp;Table1[[#This Row],[html_modifier]]</f>
        <v/>
      </c>
      <c r="AL414" s="22" t="str">
        <f>IFERROR(_xlfn.XLOOKUP(Table1[[#This Row],[word]],Table57[English style name],Table57[Style type]),"")</f>
        <v/>
      </c>
      <c r="AM414" s="20"/>
      <c r="AN414" s="11"/>
      <c r="AQ414" s="6" t="s">
        <v>1410</v>
      </c>
      <c r="AR414" t="s">
        <v>1394</v>
      </c>
    </row>
    <row r="415" spans="5:44">
      <c r="E415" s="76"/>
      <c r="F4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5" s="13" t="s">
        <v>337</v>
      </c>
      <c r="H415" s="13" t="s">
        <v>2987</v>
      </c>
      <c r="I415" s="12" t="str">
        <f>Table1[[#This Row],[type]]</f>
        <v>card</v>
      </c>
      <c r="J415" s="62" t="str">
        <f>Table1[[#This Row],[Column42]]&amp;IF(Table1[[#This Row],[Column13]]="","",Table1[[#This Row],[Column13]])&amp;IF(Table1[[#This Row],[mod]]="","",Table1[[#This Row],[mod]])</f>
        <v>card__extended</v>
      </c>
      <c r="K4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card__extended</v>
      </c>
      <c r="L415" t="s">
        <v>3082</v>
      </c>
      <c r="M415" t="s">
        <v>3385</v>
      </c>
      <c r="Q4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5" s="29"/>
      <c r="AC415" s="25"/>
      <c r="AD415" s="41"/>
      <c r="AE415" s="41"/>
      <c r="AF415" s="11" t="s">
        <v>190</v>
      </c>
      <c r="AH415" s="1" t="str">
        <f>Table1[[#This Row],[html_tag]]&amp;Table1[[#This Row],[html_type]]&amp;Table1[[#This Row],[html_modifier]]</f>
        <v/>
      </c>
      <c r="AL415" s="22" t="str">
        <f>IFERROR(_xlfn.XLOOKUP(Table1[[#This Row],[word]],Table57[English style name],Table57[Style type]),"")</f>
        <v/>
      </c>
      <c r="AM415" s="20"/>
      <c r="AN415" s="11"/>
      <c r="AQ415" s="6" t="s">
        <v>1411</v>
      </c>
      <c r="AR415" t="s">
        <v>1394</v>
      </c>
    </row>
    <row r="416" spans="5:44">
      <c r="E416" s="76"/>
      <c r="F4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6" s="13" t="s">
        <v>337</v>
      </c>
      <c r="H416" s="13" t="s">
        <v>2987</v>
      </c>
      <c r="I416" s="12" t="str">
        <f>Table1[[#This Row],[type]]</f>
        <v>card</v>
      </c>
      <c r="J416" s="62" t="str">
        <f>Table1[[#This Row],[Column42]]&amp;IF(Table1[[#This Row],[Column13]]="","",Table1[[#This Row],[Column13]])&amp;IF(Table1[[#This Row],[mod]]="","",Table1[[#This Row],[mod]])</f>
        <v>card__extended--horizontal</v>
      </c>
      <c r="K4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card__extended</v>
      </c>
      <c r="L416" t="s">
        <v>3082</v>
      </c>
      <c r="M416" t="s">
        <v>3385</v>
      </c>
      <c r="Q4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416" t="s">
        <v>3205</v>
      </c>
      <c r="AB416" s="29"/>
      <c r="AC416" s="25"/>
      <c r="AD416" s="41"/>
      <c r="AE416" s="41"/>
      <c r="AF416" s="11"/>
      <c r="AH416" s="1" t="str">
        <f>Table1[[#This Row],[html_tag]]&amp;Table1[[#This Row],[html_type]]&amp;Table1[[#This Row],[html_modifier]]</f>
        <v/>
      </c>
      <c r="AL416" s="22" t="str">
        <f>IFERROR(_xlfn.XLOOKUP(Table1[[#This Row],[word]],Table57[English style name],Table57[Style type]),"")</f>
        <v/>
      </c>
      <c r="AM416" s="20"/>
      <c r="AN416" s="11"/>
      <c r="AQ416" s="6" t="s">
        <v>1409</v>
      </c>
      <c r="AR416" t="s">
        <v>1394</v>
      </c>
    </row>
    <row r="417" spans="5:46">
      <c r="E417" s="76"/>
      <c r="F4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7" s="13" t="s">
        <v>337</v>
      </c>
      <c r="H417" s="13" t="s">
        <v>2987</v>
      </c>
      <c r="I417" s="12" t="str">
        <f>Table1[[#This Row],[type]]</f>
        <v>card</v>
      </c>
      <c r="J417" s="62" t="str">
        <f>Table1[[#This Row],[Column42]]&amp;IF(Table1[[#This Row],[Column13]]="","",Table1[[#This Row],[Column13]])&amp;IF(Table1[[#This Row],[mod]]="","",Table1[[#This Row],[mod]])</f>
        <v>card__full</v>
      </c>
      <c r="K4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card__full</v>
      </c>
      <c r="L417" t="s">
        <v>3082</v>
      </c>
      <c r="N417" t="s">
        <v>3444</v>
      </c>
      <c r="Q4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7" s="29"/>
      <c r="AC417" s="25" t="s">
        <v>3655</v>
      </c>
      <c r="AD417" s="41" t="s">
        <v>6332</v>
      </c>
      <c r="AE417" s="41"/>
      <c r="AF417" s="11"/>
      <c r="AH417" s="1" t="str">
        <f>Table1[[#This Row],[html_tag]]&amp;Table1[[#This Row],[html_type]]&amp;Table1[[#This Row],[html_modifier]]</f>
        <v/>
      </c>
      <c r="AL417" s="22" t="str">
        <f>IFERROR(_xlfn.XLOOKUP(Table1[[#This Row],[word]],Table57[English style name],Table57[Style type]),"")</f>
        <v/>
      </c>
      <c r="AM417" s="20"/>
      <c r="AN417" s="11"/>
      <c r="AQ417" s="6" t="s">
        <v>1406</v>
      </c>
      <c r="AR417" t="s">
        <v>1394</v>
      </c>
    </row>
    <row r="418" spans="5:46">
      <c r="E418" s="76"/>
      <c r="F4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8" s="13" t="s">
        <v>337</v>
      </c>
      <c r="H418" s="13" t="s">
        <v>2987</v>
      </c>
      <c r="I418" s="12" t="str">
        <f>Table1[[#This Row],[type]]</f>
        <v>card</v>
      </c>
      <c r="J418" s="62" t="str">
        <f>Table1[[#This Row],[Column42]]&amp;IF(Table1[[#This Row],[Column13]]="","",Table1[[#This Row],[Column13]])&amp;IF(Table1[[#This Row],[mod]]="","",Table1[[#This Row],[mod]])</f>
        <v>card__icon</v>
      </c>
      <c r="K4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card__icon</v>
      </c>
      <c r="L418" t="s">
        <v>3082</v>
      </c>
      <c r="O418" t="s">
        <v>3101</v>
      </c>
      <c r="Q41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8" s="29" t="s">
        <v>3925</v>
      </c>
      <c r="AC418" s="25"/>
      <c r="AD418" s="41"/>
      <c r="AE418" s="41"/>
      <c r="AF418" s="11"/>
      <c r="AH418" s="7" t="str">
        <f>Table1[[#This Row],[html_tag]]&amp;Table1[[#This Row],[html_type]]&amp;Table1[[#This Row],[html_modifier]]</f>
        <v/>
      </c>
      <c r="AL418" s="23" t="str">
        <f>IFERROR(_xlfn.XLOOKUP(Table1[[#This Row],[word]],Table57[English style name],Table57[Style type]),"")</f>
        <v/>
      </c>
      <c r="AM418" s="21"/>
      <c r="AN418" s="11"/>
    </row>
    <row r="419" spans="5:46">
      <c r="E419" s="76"/>
      <c r="F4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9" s="13" t="s">
        <v>337</v>
      </c>
      <c r="H419" s="13" t="s">
        <v>2987</v>
      </c>
      <c r="I419" s="12" t="str">
        <f>Table1[[#This Row],[type]]</f>
        <v>card</v>
      </c>
      <c r="J419" s="62" t="str">
        <f>Table1[[#This Row],[Column42]]&amp;IF(Table1[[#This Row],[Column13]]="","",Table1[[#This Row],[Column13]])&amp;IF(Table1[[#This Row],[mod]]="","",Table1[[#This Row],[mod]])</f>
        <v>card__pills</v>
      </c>
      <c r="K4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card__pills</v>
      </c>
      <c r="L419" t="s">
        <v>3082</v>
      </c>
      <c r="O419" t="s">
        <v>10229</v>
      </c>
      <c r="Q4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9" s="29"/>
      <c r="AC419" s="25" t="s">
        <v>3652</v>
      </c>
      <c r="AD419" s="41"/>
      <c r="AE419" s="41"/>
      <c r="AF419" s="11"/>
      <c r="AH419" s="7" t="str">
        <f>Table1[[#This Row],[html_tag]]&amp;Table1[[#This Row],[html_type]]&amp;Table1[[#This Row],[html_modifier]]</f>
        <v/>
      </c>
      <c r="AL419" s="23" t="str">
        <f>IFERROR(_xlfn.XLOOKUP(Table1[[#This Row],[word]],Table57[English style name],Table57[Style type]),"")</f>
        <v/>
      </c>
      <c r="AM419" s="21"/>
      <c r="AN419" s="11"/>
    </row>
    <row r="420" spans="5:46">
      <c r="E420" s="76"/>
      <c r="F4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0" s="13" t="s">
        <v>337</v>
      </c>
      <c r="H420" s="13" t="s">
        <v>2987</v>
      </c>
      <c r="I420" s="12" t="str">
        <f>Table1[[#This Row],[type]]</f>
        <v>card</v>
      </c>
      <c r="J420" s="62" t="str">
        <f>Table1[[#This Row],[Column42]]&amp;IF(Table1[[#This Row],[Column13]]="","",Table1[[#This Row],[Column13]])&amp;IF(Table1[[#This Row],[mod]]="","",Table1[[#This Row],[mod]])</f>
        <v>card__subtitle</v>
      </c>
      <c r="K4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card__subtitle</v>
      </c>
      <c r="L420" t="s">
        <v>3082</v>
      </c>
      <c r="O420" t="s">
        <v>3359</v>
      </c>
      <c r="Q4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0" s="29"/>
      <c r="AC420" s="25" t="s">
        <v>3658</v>
      </c>
      <c r="AD420" s="41"/>
      <c r="AE420" s="41"/>
      <c r="AF420" s="11" t="s">
        <v>1140</v>
      </c>
      <c r="AH420" s="1" t="str">
        <f>Table1[[#This Row],[html_tag]]&amp;Table1[[#This Row],[html_type]]&amp;Table1[[#This Row],[html_modifier]]</f>
        <v/>
      </c>
      <c r="AL420" s="22" t="str">
        <f>IFERROR(_xlfn.XLOOKUP(Table1[[#This Row],[word]],Table57[English style name],Table57[Style type]),"")</f>
        <v/>
      </c>
      <c r="AM420" s="20"/>
      <c r="AN420" s="11"/>
      <c r="AQ420" s="6" t="s">
        <v>1390</v>
      </c>
      <c r="AR420" t="s">
        <v>1372</v>
      </c>
    </row>
    <row r="421" spans="5:46">
      <c r="E421" s="76"/>
      <c r="F4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1" s="13" t="s">
        <v>337</v>
      </c>
      <c r="H421" s="13" t="s">
        <v>2987</v>
      </c>
      <c r="I421" s="12" t="str">
        <f>Table1[[#This Row],[type]]</f>
        <v>card</v>
      </c>
      <c r="J421" s="62" t="str">
        <f>Table1[[#This Row],[Column42]]&amp;IF(Table1[[#This Row],[Column13]]="","",Table1[[#This Row],[Column13]])&amp;IF(Table1[[#This Row],[mod]]="","",Table1[[#This Row],[mod]])</f>
        <v>card__tabs</v>
      </c>
      <c r="K4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card__tabs</v>
      </c>
      <c r="L421" t="s">
        <v>3082</v>
      </c>
      <c r="O421" t="s">
        <v>4567</v>
      </c>
      <c r="Q4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1" s="29"/>
      <c r="AC421" s="25" t="s">
        <v>3653</v>
      </c>
      <c r="AD421" s="41"/>
      <c r="AE421" s="41"/>
      <c r="AF421" s="11"/>
      <c r="AH421" s="7" t="str">
        <f>Table1[[#This Row],[html_tag]]&amp;Table1[[#This Row],[html_type]]&amp;Table1[[#This Row],[html_modifier]]</f>
        <v/>
      </c>
      <c r="AL421" s="23" t="str">
        <f>IFERROR(_xlfn.XLOOKUP(Table1[[#This Row],[word]],Table57[English style name],Table57[Style type]),"")</f>
        <v/>
      </c>
      <c r="AM421" s="21"/>
      <c r="AN421" s="11"/>
    </row>
    <row r="422" spans="5:46">
      <c r="E422" s="76"/>
      <c r="F4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2" s="13" t="s">
        <v>337</v>
      </c>
      <c r="H422" s="13" t="s">
        <v>2987</v>
      </c>
      <c r="I422" s="12" t="str">
        <f>Table1[[#This Row],[type]]</f>
        <v>card</v>
      </c>
      <c r="J422" s="62" t="str">
        <f>Table1[[#This Row],[Column42]]&amp;IF(Table1[[#This Row],[Column13]]="","",Table1[[#This Row],[Column13]])&amp;IF(Table1[[#This Row],[mod]]="","",Table1[[#This Row],[mod]])</f>
        <v>card__text</v>
      </c>
      <c r="K4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card__text</v>
      </c>
      <c r="L422" t="s">
        <v>3082</v>
      </c>
      <c r="O422" t="s">
        <v>403</v>
      </c>
      <c r="Q4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2" s="29"/>
      <c r="AC422" s="25" t="s">
        <v>3663</v>
      </c>
      <c r="AD422" s="41"/>
      <c r="AE422" s="41"/>
      <c r="AF422" s="11"/>
      <c r="AH422" s="1" t="str">
        <f>Table1[[#This Row],[html_tag]]&amp;Table1[[#This Row],[html_type]]&amp;Table1[[#This Row],[html_modifier]]</f>
        <v/>
      </c>
      <c r="AL422" s="22" t="str">
        <f>IFERROR(_xlfn.XLOOKUP(Table1[[#This Row],[word]],Table57[English style name],Table57[Style type]),"")</f>
        <v/>
      </c>
      <c r="AM422" s="20"/>
      <c r="AN422" s="11"/>
      <c r="AQ422" s="6" t="s">
        <v>1391</v>
      </c>
      <c r="AR422" t="s">
        <v>1372</v>
      </c>
    </row>
    <row r="423" spans="5:46">
      <c r="E423" s="76"/>
      <c r="F4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3" s="13" t="s">
        <v>337</v>
      </c>
      <c r="H423" s="13" t="s">
        <v>2987</v>
      </c>
      <c r="I423" s="12" t="str">
        <f>Table1[[#This Row],[type]]</f>
        <v>card</v>
      </c>
      <c r="J423" s="62" t="str">
        <f>Table1[[#This Row],[Column42]]&amp;IF(Table1[[#This Row],[Column13]]="","",Table1[[#This Row],[Column13]])&amp;IF(Table1[[#This Row],[mod]]="","",Table1[[#This Row],[mod]])</f>
        <v>card__title</v>
      </c>
      <c r="K4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card__title</v>
      </c>
      <c r="L423" t="s">
        <v>3082</v>
      </c>
      <c r="O423" t="s">
        <v>333</v>
      </c>
      <c r="Q4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3" s="29" t="s">
        <v>3926</v>
      </c>
      <c r="AC423" s="25" t="s">
        <v>3661</v>
      </c>
      <c r="AD423" s="41" t="s">
        <v>4715</v>
      </c>
      <c r="AE423" s="41"/>
      <c r="AF423" s="11" t="s">
        <v>1139</v>
      </c>
      <c r="AH423" s="1" t="str">
        <f>Table1[[#This Row],[html_tag]]&amp;Table1[[#This Row],[html_type]]&amp;Table1[[#This Row],[html_modifier]]</f>
        <v/>
      </c>
      <c r="AL423" s="22" t="str">
        <f>IFERROR(_xlfn.XLOOKUP(Table1[[#This Row],[word]],Table57[English style name],Table57[Style type]),"")</f>
        <v/>
      </c>
      <c r="AM423" s="20"/>
      <c r="AN423" s="11"/>
      <c r="AQ423" s="6" t="s">
        <v>1392</v>
      </c>
      <c r="AR423" t="s">
        <v>1372</v>
      </c>
    </row>
    <row r="424" spans="5:46">
      <c r="E424" s="76"/>
      <c r="F4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4" s="13" t="s">
        <v>337</v>
      </c>
      <c r="H424" s="13" t="s">
        <v>2987</v>
      </c>
      <c r="I424" s="12" t="str">
        <f>Table1[[#This Row],[type]]</f>
        <v>card</v>
      </c>
      <c r="J424" s="62" t="str">
        <f>Table1[[#This Row],[Column42]]&amp;IF(Table1[[#This Row],[Column13]]="","",Table1[[#This Row],[Column13]])&amp;IF(Table1[[#This Row],[mod]]="","",Table1[[#This Row],[mod]])</f>
        <v>card__top</v>
      </c>
      <c r="K4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card__top</v>
      </c>
      <c r="L424" t="s">
        <v>3082</v>
      </c>
      <c r="N424" t="s">
        <v>3182</v>
      </c>
      <c r="Q4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4" s="29"/>
      <c r="AC424" s="25" t="s">
        <v>3656</v>
      </c>
      <c r="AD424" s="41"/>
      <c r="AE424" s="41"/>
      <c r="AF424" s="11"/>
      <c r="AH424" s="1" t="str">
        <f>Table1[[#This Row],[html_tag]]&amp;Table1[[#This Row],[html_type]]&amp;Table1[[#This Row],[html_modifier]]</f>
        <v/>
      </c>
      <c r="AL424" s="22" t="str">
        <f>IFERROR(_xlfn.XLOOKUP(Table1[[#This Row],[word]],Table57[English style name],Table57[Style type]),"")</f>
        <v/>
      </c>
      <c r="AM424" s="20"/>
      <c r="AN424" s="11"/>
      <c r="AQ424" s="6" t="s">
        <v>1405</v>
      </c>
      <c r="AR424" t="s">
        <v>1394</v>
      </c>
      <c r="AS424" s="6" t="s">
        <v>1389</v>
      </c>
      <c r="AT424" t="s">
        <v>1372</v>
      </c>
    </row>
    <row r="425" spans="5:46">
      <c r="E425" s="76"/>
      <c r="F4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5" s="13" t="s">
        <v>337</v>
      </c>
      <c r="H425" s="13" t="s">
        <v>2987</v>
      </c>
      <c r="I425" s="12" t="str">
        <f>Table1[[#This Row],[type]]</f>
        <v>card</v>
      </c>
      <c r="J425" s="62" t="str">
        <f>Table1[[#This Row],[Column42]]&amp;IF(Table1[[#This Row],[Column13]]="","",Table1[[#This Row],[Column13]])&amp;IF(Table1[[#This Row],[mod]]="","",Table1[[#This Row],[mod]])</f>
        <v>card--base</v>
      </c>
      <c r="K4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25" t="s">
        <v>3082</v>
      </c>
      <c r="Q4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25" t="s">
        <v>338</v>
      </c>
      <c r="AB425" s="29" t="s">
        <v>3646</v>
      </c>
      <c r="AC425" s="26" t="s">
        <v>3646</v>
      </c>
      <c r="AD425" s="41" t="s">
        <v>3646</v>
      </c>
      <c r="AE425" s="41"/>
      <c r="AF425" s="11" t="s">
        <v>114</v>
      </c>
      <c r="AH425" s="1" t="str">
        <f>Table1[[#This Row],[html_tag]]&amp;Table1[[#This Row],[html_type]]&amp;Table1[[#This Row],[html_modifier]]</f>
        <v/>
      </c>
      <c r="AL425" s="22" t="str">
        <f>IFERROR(_xlfn.XLOOKUP(Table1[[#This Row],[word]],Table57[English style name],Table57[Style type]),"")</f>
        <v/>
      </c>
      <c r="AM425" s="20"/>
      <c r="AN425" s="11"/>
      <c r="AQ425" s="6" t="s">
        <v>1371</v>
      </c>
      <c r="AR425" t="s">
        <v>1372</v>
      </c>
    </row>
    <row r="426" spans="5:46">
      <c r="E426" s="76"/>
      <c r="F4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6" s="13" t="s">
        <v>337</v>
      </c>
      <c r="H426" s="13" t="s">
        <v>2987</v>
      </c>
      <c r="I426" s="12" t="str">
        <f>Table1[[#This Row],[type]]</f>
        <v>card</v>
      </c>
      <c r="J426" s="62" t="str">
        <f>Table1[[#This Row],[Column42]]&amp;IF(Table1[[#This Row],[Column13]]="","",Table1[[#This Row],[Column13]])&amp;IF(Table1[[#This Row],[mod]]="","",Table1[[#This Row],[mod]])</f>
        <v>card--danger</v>
      </c>
      <c r="K4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26" t="s">
        <v>3082</v>
      </c>
      <c r="Q4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426" t="s">
        <v>3163</v>
      </c>
      <c r="AB426" s="29"/>
      <c r="AC426" s="25"/>
      <c r="AD426" s="41"/>
      <c r="AE426" s="41"/>
      <c r="AF426" s="11"/>
      <c r="AH426" s="1" t="str">
        <f>Table1[[#This Row],[html_tag]]&amp;Table1[[#This Row],[html_type]]&amp;Table1[[#This Row],[html_modifier]]</f>
        <v/>
      </c>
      <c r="AL426" s="22" t="str">
        <f>IFERROR(_xlfn.XLOOKUP(Table1[[#This Row],[word]],Table57[English style name],Table57[Style type]),"")</f>
        <v/>
      </c>
      <c r="AM426" s="20"/>
      <c r="AN426" s="11"/>
      <c r="AQ426" s="6" t="s">
        <v>1393</v>
      </c>
      <c r="AR426" t="s">
        <v>1394</v>
      </c>
    </row>
    <row r="427" spans="5:46">
      <c r="E427" s="76"/>
      <c r="F4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7" s="13" t="s">
        <v>337</v>
      </c>
      <c r="H427" s="13" t="s">
        <v>2987</v>
      </c>
      <c r="I427" s="12" t="str">
        <f>Table1[[#This Row],[type]]</f>
        <v>card</v>
      </c>
      <c r="J427" s="62" t="str">
        <f>Table1[[#This Row],[Column42]]&amp;IF(Table1[[#This Row],[Column13]]="","",Table1[[#This Row],[Column13]])&amp;IF(Table1[[#This Row],[mod]]="","",Table1[[#This Row],[mod]])</f>
        <v>card--elevated</v>
      </c>
      <c r="K4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27" t="s">
        <v>3082</v>
      </c>
      <c r="P427" s="6" t="s">
        <v>1374</v>
      </c>
      <c r="Q4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--elevated</v>
      </c>
      <c r="S427" t="s">
        <v>10230</v>
      </c>
      <c r="U4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7" s="29"/>
      <c r="AC427" s="25"/>
      <c r="AD427" s="41"/>
      <c r="AE427" s="41"/>
      <c r="AF427" s="11"/>
      <c r="AH427" s="1" t="str">
        <f>Table1[[#This Row],[html_tag]]&amp;Table1[[#This Row],[html_type]]&amp;Table1[[#This Row],[html_modifier]]</f>
        <v/>
      </c>
      <c r="AL427" s="22" t="str">
        <f>IFERROR(_xlfn.XLOOKUP(Table1[[#This Row],[word]],Table57[English style name],Table57[Style type]),"")</f>
        <v/>
      </c>
      <c r="AM427" s="20"/>
      <c r="AN427" s="11"/>
      <c r="AQ427" s="6" t="s">
        <v>1374</v>
      </c>
      <c r="AR427" t="s">
        <v>1372</v>
      </c>
    </row>
    <row r="428" spans="5:46">
      <c r="E428" s="76"/>
      <c r="F4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8" s="13" t="s">
        <v>337</v>
      </c>
      <c r="H428" s="13" t="s">
        <v>2987</v>
      </c>
      <c r="I428" s="12" t="str">
        <f>Table1[[#This Row],[type]]</f>
        <v>card</v>
      </c>
      <c r="J428" s="62" t="str">
        <f>Table1[[#This Row],[Column42]]&amp;IF(Table1[[#This Row],[Column13]]="","",Table1[[#This Row],[Column13]])&amp;IF(Table1[[#This Row],[mod]]="","",Table1[[#This Row],[mod]])</f>
        <v>card--flat</v>
      </c>
      <c r="K4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28" t="s">
        <v>3082</v>
      </c>
      <c r="P428" s="6" t="s">
        <v>1375</v>
      </c>
      <c r="Q4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--flat</v>
      </c>
      <c r="S428" t="s">
        <v>10231</v>
      </c>
      <c r="U4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8" s="29"/>
      <c r="AC428" s="25"/>
      <c r="AD428" s="41"/>
      <c r="AE428" s="41"/>
      <c r="AF428" s="11"/>
      <c r="AH428" s="1" t="str">
        <f>Table1[[#This Row],[html_tag]]&amp;Table1[[#This Row],[html_type]]&amp;Table1[[#This Row],[html_modifier]]</f>
        <v/>
      </c>
      <c r="AL428" s="22" t="str">
        <f>IFERROR(_xlfn.XLOOKUP(Table1[[#This Row],[word]],Table57[English style name],Table57[Style type]),"")</f>
        <v/>
      </c>
      <c r="AM428" s="20"/>
      <c r="AN428" s="11"/>
      <c r="AQ428" s="6" t="s">
        <v>1375</v>
      </c>
      <c r="AR428" t="s">
        <v>1372</v>
      </c>
    </row>
    <row r="429" spans="5:46">
      <c r="E429" s="76"/>
      <c r="F4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9" s="13" t="s">
        <v>337</v>
      </c>
      <c r="H429" s="13" t="s">
        <v>2987</v>
      </c>
      <c r="I429" s="12" t="str">
        <f>Table1[[#This Row],[type]]</f>
        <v>card</v>
      </c>
      <c r="J429" s="62" t="str">
        <f>Table1[[#This Row],[Column42]]&amp;IF(Table1[[#This Row],[Column13]]="","",Table1[[#This Row],[Column13]])&amp;IF(Table1[[#This Row],[mod]]="","",Table1[[#This Row],[mod]])</f>
        <v>card--horizontal</v>
      </c>
      <c r="K4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29" t="s">
        <v>3082</v>
      </c>
      <c r="Q4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429" t="s">
        <v>3205</v>
      </c>
      <c r="AB429" s="29"/>
      <c r="AC429" s="25"/>
      <c r="AD429" s="41"/>
      <c r="AE429" s="41"/>
      <c r="AF429" s="11"/>
      <c r="AH429" s="1" t="str">
        <f>Table1[[#This Row],[html_tag]]&amp;Table1[[#This Row],[html_type]]&amp;Table1[[#This Row],[html_modifier]]</f>
        <v/>
      </c>
      <c r="AL429" s="22" t="str">
        <f>IFERROR(_xlfn.XLOOKUP(Table1[[#This Row],[word]],Table57[English style name],Table57[Style type]),"")</f>
        <v/>
      </c>
      <c r="AM429" s="20"/>
      <c r="AN429" s="11"/>
      <c r="AQ429" s="6" t="s">
        <v>1378</v>
      </c>
      <c r="AR429" t="s">
        <v>1372</v>
      </c>
    </row>
    <row r="430" spans="5:46">
      <c r="E430" s="76"/>
      <c r="F4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0" s="13" t="s">
        <v>337</v>
      </c>
      <c r="H430" s="13" t="s">
        <v>2987</v>
      </c>
      <c r="I430" s="12" t="str">
        <f>Table1[[#This Row],[type]]</f>
        <v>card</v>
      </c>
      <c r="J430" s="62" t="str">
        <f>Table1[[#This Row],[Column42]]&amp;IF(Table1[[#This Row],[Column13]]="","",Table1[[#This Row],[Column13]])&amp;IF(Table1[[#This Row],[mod]]="","",Table1[[#This Row],[mod]])</f>
        <v>card--hover</v>
      </c>
      <c r="K4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0" t="s">
        <v>3082</v>
      </c>
      <c r="Q4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430" t="s">
        <v>3019</v>
      </c>
      <c r="AB430" s="29"/>
      <c r="AC430" s="25"/>
      <c r="AD430" s="41"/>
      <c r="AE430" s="41"/>
      <c r="AF430" s="11"/>
      <c r="AH430" s="1" t="str">
        <f>Table1[[#This Row],[html_tag]]&amp;Table1[[#This Row],[html_type]]&amp;Table1[[#This Row],[html_modifier]]</f>
        <v/>
      </c>
      <c r="AL430" s="22" t="str">
        <f>IFERROR(_xlfn.XLOOKUP(Table1[[#This Row],[word]],Table57[English style name],Table57[Style type]),"")</f>
        <v/>
      </c>
      <c r="AM430" s="20"/>
      <c r="AN430" s="11"/>
      <c r="AQ430" s="6" t="s">
        <v>1379</v>
      </c>
      <c r="AR430" t="s">
        <v>1372</v>
      </c>
    </row>
    <row r="431" spans="5:46">
      <c r="E431" s="76"/>
      <c r="F4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1" s="13" t="s">
        <v>337</v>
      </c>
      <c r="H431" s="13" t="s">
        <v>2987</v>
      </c>
      <c r="I431" s="12" t="str">
        <f>Table1[[#This Row],[type]]</f>
        <v>card</v>
      </c>
      <c r="J431" s="62" t="str">
        <f>Table1[[#This Row],[Column42]]&amp;IF(Table1[[#This Row],[Column13]]="","",Table1[[#This Row],[Column13]])&amp;IF(Table1[[#This Row],[mod]]="","",Table1[[#This Row],[mod]])</f>
        <v>card--info</v>
      </c>
      <c r="K4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1" t="s">
        <v>3082</v>
      </c>
      <c r="Q4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431" t="s">
        <v>3119</v>
      </c>
      <c r="AB431" s="29"/>
      <c r="AC431" s="25"/>
      <c r="AD431" s="41"/>
      <c r="AE431" s="41"/>
      <c r="AF431" s="11"/>
      <c r="AH431" s="1" t="str">
        <f>Table1[[#This Row],[html_tag]]&amp;Table1[[#This Row],[html_type]]&amp;Table1[[#This Row],[html_modifier]]</f>
        <v/>
      </c>
      <c r="AL431" s="22" t="str">
        <f>IFERROR(_xlfn.XLOOKUP(Table1[[#This Row],[word]],Table57[English style name],Table57[Style type]),"")</f>
        <v/>
      </c>
      <c r="AM431" s="20"/>
      <c r="AN431" s="11"/>
      <c r="AQ431" s="6" t="s">
        <v>1395</v>
      </c>
      <c r="AR431" t="s">
        <v>1394</v>
      </c>
    </row>
    <row r="432" spans="5:46">
      <c r="E432" s="76"/>
      <c r="F4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2" s="13" t="s">
        <v>337</v>
      </c>
      <c r="H432" s="13" t="s">
        <v>2987</v>
      </c>
      <c r="I432" s="12" t="str">
        <f>Table1[[#This Row],[type]]</f>
        <v>card</v>
      </c>
      <c r="J432" s="62" t="str">
        <f>Table1[[#This Row],[Column42]]&amp;IF(Table1[[#This Row],[Column13]]="","",Table1[[#This Row],[Column13]])&amp;IF(Table1[[#This Row],[mod]]="","",Table1[[#This Row],[mod]])</f>
        <v>card--interactive</v>
      </c>
      <c r="K4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2" t="s">
        <v>3082</v>
      </c>
      <c r="Q4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--interactive</v>
      </c>
      <c r="R432" t="s">
        <v>3457</v>
      </c>
      <c r="U4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32" s="29"/>
      <c r="AC432" s="25"/>
      <c r="AD432" s="41"/>
      <c r="AE432" s="41"/>
      <c r="AF432" s="11"/>
      <c r="AH432" s="1" t="str">
        <f>Table1[[#This Row],[html_tag]]&amp;Table1[[#This Row],[html_type]]&amp;Table1[[#This Row],[html_modifier]]</f>
        <v>:active</v>
      </c>
      <c r="AK432" t="s">
        <v>3015</v>
      </c>
      <c r="AL432" s="22" t="str">
        <f>IFERROR(_xlfn.XLOOKUP(Table1[[#This Row],[word]],Table57[English style name],Table57[Style type]),"")</f>
        <v/>
      </c>
      <c r="AM432" s="20"/>
      <c r="AN432" s="11"/>
      <c r="AQ432" s="6" t="s">
        <v>1380</v>
      </c>
      <c r="AR432" t="s">
        <v>1372</v>
      </c>
    </row>
    <row r="433" spans="5:44">
      <c r="E433" s="76"/>
      <c r="F4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3" s="13" t="s">
        <v>337</v>
      </c>
      <c r="H433" s="13" t="s">
        <v>2987</v>
      </c>
      <c r="I433" s="12" t="str">
        <f>Table1[[#This Row],[type]]</f>
        <v>card</v>
      </c>
      <c r="J433" s="62" t="str">
        <f>Table1[[#This Row],[Column42]]&amp;IF(Table1[[#This Row],[Column13]]="","",Table1[[#This Row],[Column13]])&amp;IF(Table1[[#This Row],[mod]]="","",Table1[[#This Row],[mod]])</f>
        <v>card--lg</v>
      </c>
      <c r="K4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3" t="s">
        <v>3082</v>
      </c>
      <c r="Q4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433" t="s">
        <v>3114</v>
      </c>
      <c r="AB433" s="29"/>
      <c r="AC433" s="25"/>
      <c r="AD433" s="41" t="s">
        <v>6336</v>
      </c>
      <c r="AE433" s="41"/>
      <c r="AF433" s="11" t="s">
        <v>114</v>
      </c>
      <c r="AH433" s="1" t="str">
        <f>Table1[[#This Row],[html_tag]]&amp;Table1[[#This Row],[html_type]]&amp;Table1[[#This Row],[html_modifier]]</f>
        <v/>
      </c>
      <c r="AL433" s="22" t="str">
        <f>IFERROR(_xlfn.XLOOKUP(Table1[[#This Row],[word]],Table57[English style name],Table57[Style type]),"")</f>
        <v/>
      </c>
      <c r="AM433" s="20"/>
      <c r="AN433" s="11"/>
      <c r="AQ433" s="14" t="s">
        <v>1382</v>
      </c>
      <c r="AR433" t="s">
        <v>1372</v>
      </c>
    </row>
    <row r="434" spans="5:44">
      <c r="E434" s="76"/>
      <c r="F4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4" s="13" t="s">
        <v>337</v>
      </c>
      <c r="H434" s="13" t="s">
        <v>2987</v>
      </c>
      <c r="I434" s="12" t="str">
        <f>Table1[[#This Row],[type]]</f>
        <v>card</v>
      </c>
      <c r="J434" s="62" t="str">
        <f>Table1[[#This Row],[Column42]]&amp;IF(Table1[[#This Row],[Column13]]="","",Table1[[#This Row],[Column13]])&amp;IF(Table1[[#This Row],[mod]]="","",Table1[[#This Row],[mod]])</f>
        <v>card--md</v>
      </c>
      <c r="K4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4" t="s">
        <v>3082</v>
      </c>
      <c r="Q4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434" t="s">
        <v>3115</v>
      </c>
      <c r="AB434" s="29"/>
      <c r="AC434" s="25"/>
      <c r="AD434" s="41" t="s">
        <v>6335</v>
      </c>
      <c r="AE434" s="41"/>
      <c r="AF434" s="11" t="s">
        <v>114</v>
      </c>
      <c r="AH434" s="1" t="str">
        <f>Table1[[#This Row],[html_tag]]&amp;Table1[[#This Row],[html_type]]&amp;Table1[[#This Row],[html_modifier]]</f>
        <v/>
      </c>
      <c r="AL434" s="22" t="str">
        <f>IFERROR(_xlfn.XLOOKUP(Table1[[#This Row],[word]],Table57[English style name],Table57[Style type]),"")</f>
        <v/>
      </c>
      <c r="AM434" s="20"/>
      <c r="AN434" s="11"/>
      <c r="AQ434" s="14" t="s">
        <v>1383</v>
      </c>
      <c r="AR434" t="s">
        <v>1372</v>
      </c>
    </row>
    <row r="435" spans="5:44">
      <c r="E435" s="76"/>
      <c r="F4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5" s="13" t="s">
        <v>337</v>
      </c>
      <c r="H435" s="13" t="s">
        <v>2987</v>
      </c>
      <c r="I435" s="12" t="str">
        <f>Table1[[#This Row],[type]]</f>
        <v>card</v>
      </c>
      <c r="J435" s="62" t="str">
        <f>Table1[[#This Row],[Column42]]&amp;IF(Table1[[#This Row],[Column13]]="","",Table1[[#This Row],[Column13]])&amp;IF(Table1[[#This Row],[mod]]="","",Table1[[#This Row],[mod]])</f>
        <v>card--outline</v>
      </c>
      <c r="K4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5" t="s">
        <v>3082</v>
      </c>
      <c r="Q4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35" t="s">
        <v>3458</v>
      </c>
      <c r="U4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35" s="29"/>
      <c r="AC435" s="25"/>
      <c r="AD435" s="41"/>
      <c r="AE435" s="41"/>
      <c r="AF435" s="11" t="s">
        <v>114</v>
      </c>
      <c r="AH435" s="1" t="str">
        <f>Table1[[#This Row],[html_tag]]&amp;Table1[[#This Row],[html_type]]&amp;Table1[[#This Row],[html_modifier]]</f>
        <v/>
      </c>
      <c r="AL435" s="22" t="str">
        <f>IFERROR(_xlfn.XLOOKUP(Table1[[#This Row],[word]],Table57[English style name],Table57[Style type]),"")</f>
        <v/>
      </c>
      <c r="AM435" s="20"/>
      <c r="AN435" s="11"/>
      <c r="AQ435" s="6" t="s">
        <v>1381</v>
      </c>
      <c r="AR435" t="s">
        <v>1372</v>
      </c>
    </row>
    <row r="436" spans="5:44">
      <c r="E436" s="76"/>
      <c r="F4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6" s="13" t="s">
        <v>337</v>
      </c>
      <c r="H436" s="13" t="s">
        <v>2987</v>
      </c>
      <c r="I436" s="12" t="str">
        <f>Table1[[#This Row],[type]]</f>
        <v>card</v>
      </c>
      <c r="J436" s="62" t="str">
        <f>Table1[[#This Row],[Column42]]&amp;IF(Table1[[#This Row],[Column13]]="","",Table1[[#This Row],[Column13]])&amp;IF(Table1[[#This Row],[mod]]="","",Table1[[#This Row],[mod]])</f>
        <v>card--outline--danger</v>
      </c>
      <c r="K4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6" t="s">
        <v>3082</v>
      </c>
      <c r="Q4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36" t="s">
        <v>3458</v>
      </c>
      <c r="U4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436" t="s">
        <v>3163</v>
      </c>
      <c r="AB436" s="29"/>
      <c r="AC436" s="25"/>
      <c r="AD436" s="41"/>
      <c r="AE436" s="41"/>
      <c r="AF436" s="11" t="s">
        <v>114</v>
      </c>
      <c r="AH436" s="1" t="str">
        <f>Table1[[#This Row],[html_tag]]&amp;Table1[[#This Row],[html_type]]&amp;Table1[[#This Row],[html_modifier]]</f>
        <v/>
      </c>
      <c r="AL436" s="22" t="str">
        <f>IFERROR(_xlfn.XLOOKUP(Table1[[#This Row],[word]],Table57[English style name],Table57[Style type]),"")</f>
        <v/>
      </c>
      <c r="AM436" s="20"/>
      <c r="AN436" s="11"/>
      <c r="AQ436" s="6" t="s">
        <v>1396</v>
      </c>
      <c r="AR436" t="s">
        <v>1394</v>
      </c>
    </row>
    <row r="437" spans="5:44">
      <c r="E437" s="76"/>
      <c r="F4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7" s="13" t="s">
        <v>337</v>
      </c>
      <c r="H437" s="13" t="s">
        <v>2987</v>
      </c>
      <c r="I437" s="12" t="str">
        <f>Table1[[#This Row],[type]]</f>
        <v>card</v>
      </c>
      <c r="J437" s="62" t="str">
        <f>Table1[[#This Row],[Column42]]&amp;IF(Table1[[#This Row],[Column13]]="","",Table1[[#This Row],[Column13]])&amp;IF(Table1[[#This Row],[mod]]="","",Table1[[#This Row],[mod]])</f>
        <v>card--outline--info</v>
      </c>
      <c r="K4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7" t="s">
        <v>3082</v>
      </c>
      <c r="Q4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37" t="s">
        <v>3458</v>
      </c>
      <c r="U4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437" t="s">
        <v>3119</v>
      </c>
      <c r="AB437" s="29"/>
      <c r="AC437" s="25"/>
      <c r="AD437" s="41"/>
      <c r="AE437" s="41"/>
      <c r="AF437" s="11" t="s">
        <v>114</v>
      </c>
      <c r="AH437" s="1" t="str">
        <f>Table1[[#This Row],[html_tag]]&amp;Table1[[#This Row],[html_type]]&amp;Table1[[#This Row],[html_modifier]]</f>
        <v/>
      </c>
      <c r="AL437" s="22" t="str">
        <f>IFERROR(_xlfn.XLOOKUP(Table1[[#This Row],[word]],Table57[English style name],Table57[Style type]),"")</f>
        <v/>
      </c>
      <c r="AM437" s="20"/>
      <c r="AN437" s="11"/>
      <c r="AQ437" s="6" t="s">
        <v>1397</v>
      </c>
      <c r="AR437" t="s">
        <v>1394</v>
      </c>
    </row>
    <row r="438" spans="5:44">
      <c r="E438" s="76"/>
      <c r="F4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8" s="13" t="s">
        <v>337</v>
      </c>
      <c r="H438" s="13" t="s">
        <v>2987</v>
      </c>
      <c r="I438" s="12" t="str">
        <f>Table1[[#This Row],[type]]</f>
        <v>card</v>
      </c>
      <c r="J438" s="62" t="str">
        <f>Table1[[#This Row],[Column42]]&amp;IF(Table1[[#This Row],[Column13]]="","",Table1[[#This Row],[Column13]])&amp;IF(Table1[[#This Row],[mod]]="","",Table1[[#This Row],[mod]])</f>
        <v>card--outline--primary</v>
      </c>
      <c r="K4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8" t="s">
        <v>3082</v>
      </c>
      <c r="Q4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38" t="s">
        <v>3458</v>
      </c>
      <c r="U4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438" t="s">
        <v>3164</v>
      </c>
      <c r="AB438" s="29"/>
      <c r="AC438" s="25"/>
      <c r="AD438" s="41"/>
      <c r="AE438" s="41"/>
      <c r="AF438" s="11" t="s">
        <v>114</v>
      </c>
      <c r="AH438" s="1" t="str">
        <f>Table1[[#This Row],[html_tag]]&amp;Table1[[#This Row],[html_type]]&amp;Table1[[#This Row],[html_modifier]]</f>
        <v/>
      </c>
      <c r="AL438" s="22" t="str">
        <f>IFERROR(_xlfn.XLOOKUP(Table1[[#This Row],[word]],Table57[English style name],Table57[Style type]),"")</f>
        <v/>
      </c>
      <c r="AM438" s="20"/>
      <c r="AN438" s="11"/>
      <c r="AQ438" s="6" t="s">
        <v>1398</v>
      </c>
      <c r="AR438" t="s">
        <v>1394</v>
      </c>
    </row>
    <row r="439" spans="5:44">
      <c r="E439" s="76"/>
      <c r="F4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9" s="13" t="s">
        <v>337</v>
      </c>
      <c r="H439" s="13" t="s">
        <v>2987</v>
      </c>
      <c r="I439" s="12" t="str">
        <f>Table1[[#This Row],[type]]</f>
        <v>card</v>
      </c>
      <c r="J439" s="62" t="str">
        <f>Table1[[#This Row],[Column42]]&amp;IF(Table1[[#This Row],[Column13]]="","",Table1[[#This Row],[Column13]])&amp;IF(Table1[[#This Row],[mod]]="","",Table1[[#This Row],[mod]])</f>
        <v>card--outline--success</v>
      </c>
      <c r="K4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9" t="s">
        <v>3082</v>
      </c>
      <c r="Q4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39" t="s">
        <v>3458</v>
      </c>
      <c r="U4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439" t="s">
        <v>3120</v>
      </c>
      <c r="AB439" s="29"/>
      <c r="AC439" s="25"/>
      <c r="AD439" s="41"/>
      <c r="AE439" s="41"/>
      <c r="AF439" s="11" t="s">
        <v>114</v>
      </c>
      <c r="AH439" s="1" t="str">
        <f>Table1[[#This Row],[html_tag]]&amp;Table1[[#This Row],[html_type]]&amp;Table1[[#This Row],[html_modifier]]</f>
        <v/>
      </c>
      <c r="AL439" s="22" t="str">
        <f>IFERROR(_xlfn.XLOOKUP(Table1[[#This Row],[word]],Table57[English style name],Table57[Style type]),"")</f>
        <v/>
      </c>
      <c r="AM439" s="20"/>
      <c r="AN439" s="11"/>
      <c r="AQ439" s="6" t="s">
        <v>1399</v>
      </c>
      <c r="AR439" t="s">
        <v>1394</v>
      </c>
    </row>
    <row r="440" spans="5:44">
      <c r="E440" s="76"/>
      <c r="F4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0" s="13" t="s">
        <v>337</v>
      </c>
      <c r="H440" s="13" t="s">
        <v>2987</v>
      </c>
      <c r="I440" s="12" t="str">
        <f>Table1[[#This Row],[type]]</f>
        <v>card</v>
      </c>
      <c r="J440" s="62" t="str">
        <f>Table1[[#This Row],[Column42]]&amp;IF(Table1[[#This Row],[Column13]]="","",Table1[[#This Row],[Column13]])&amp;IF(Table1[[#This Row],[mod]]="","",Table1[[#This Row],[mod]])</f>
        <v>card--outline--warning</v>
      </c>
      <c r="K4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0" t="s">
        <v>3082</v>
      </c>
      <c r="Q4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40" t="s">
        <v>3458</v>
      </c>
      <c r="U4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440" t="s">
        <v>3121</v>
      </c>
      <c r="AB440" s="29"/>
      <c r="AC440" s="25"/>
      <c r="AD440" s="41"/>
      <c r="AE440" s="41"/>
      <c r="AF440" s="11" t="s">
        <v>114</v>
      </c>
      <c r="AH440" s="1" t="str">
        <f>Table1[[#This Row],[html_tag]]&amp;Table1[[#This Row],[html_type]]&amp;Table1[[#This Row],[html_modifier]]</f>
        <v/>
      </c>
      <c r="AL440" s="22" t="str">
        <f>IFERROR(_xlfn.XLOOKUP(Table1[[#This Row],[word]],Table57[English style name],Table57[Style type]),"")</f>
        <v/>
      </c>
      <c r="AM440" s="20"/>
      <c r="AN440" s="11"/>
      <c r="AQ440" s="6" t="s">
        <v>1400</v>
      </c>
      <c r="AR440" t="s">
        <v>1394</v>
      </c>
    </row>
    <row r="441" spans="5:44">
      <c r="E441" s="76"/>
      <c r="F4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1" s="13" t="s">
        <v>337</v>
      </c>
      <c r="H441" s="13" t="s">
        <v>2987</v>
      </c>
      <c r="I441" s="12" t="str">
        <f>Table1[[#This Row],[type]]</f>
        <v>card</v>
      </c>
      <c r="J441" s="62" t="str">
        <f>Table1[[#This Row],[Column42]]&amp;IF(Table1[[#This Row],[Column13]]="","",Table1[[#This Row],[Column13]])&amp;IF(Table1[[#This Row],[mod]]="","",Table1[[#This Row],[mod]])</f>
        <v>card--primary</v>
      </c>
      <c r="K4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1" t="s">
        <v>3082</v>
      </c>
      <c r="Q4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441" t="s">
        <v>3164</v>
      </c>
      <c r="AB441" s="29"/>
      <c r="AC441" s="25"/>
      <c r="AD441" s="41"/>
      <c r="AE441" s="41"/>
      <c r="AF441" s="11" t="s">
        <v>114</v>
      </c>
      <c r="AH441" s="1" t="str">
        <f>Table1[[#This Row],[html_tag]]&amp;Table1[[#This Row],[html_type]]&amp;Table1[[#This Row],[html_modifier]]</f>
        <v/>
      </c>
      <c r="AL441" s="22" t="str">
        <f>IFERROR(_xlfn.XLOOKUP(Table1[[#This Row],[word]],Table57[English style name],Table57[Style type]),"")</f>
        <v/>
      </c>
      <c r="AM441" s="20"/>
      <c r="AN441" s="11"/>
      <c r="AQ441" s="6" t="s">
        <v>1401</v>
      </c>
      <c r="AR441" t="s">
        <v>1394</v>
      </c>
    </row>
    <row r="442" spans="5:44">
      <c r="E442" s="76"/>
      <c r="F4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2" s="13" t="s">
        <v>337</v>
      </c>
      <c r="H442" s="13" t="s">
        <v>2987</v>
      </c>
      <c r="I442" s="12" t="str">
        <f>Table1[[#This Row],[type]]</f>
        <v>card</v>
      </c>
      <c r="J442" s="62" t="str">
        <f>Table1[[#This Row],[Column42]]&amp;IF(Table1[[#This Row],[Column13]]="","",Table1[[#This Row],[Column13]])&amp;IF(Table1[[#This Row],[mod]]="","",Table1[[#This Row],[mod]])</f>
        <v>card--sm</v>
      </c>
      <c r="K4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2" t="s">
        <v>3082</v>
      </c>
      <c r="Q4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442" t="s">
        <v>3116</v>
      </c>
      <c r="AB442" s="29"/>
      <c r="AC442" s="25"/>
      <c r="AD442" s="41" t="s">
        <v>6334</v>
      </c>
      <c r="AE442" s="41"/>
      <c r="AF442" s="11" t="s">
        <v>114</v>
      </c>
      <c r="AH442" s="1" t="str">
        <f>Table1[[#This Row],[html_tag]]&amp;Table1[[#This Row],[html_type]]&amp;Table1[[#This Row],[html_modifier]]</f>
        <v/>
      </c>
      <c r="AL442" s="22" t="str">
        <f>IFERROR(_xlfn.XLOOKUP(Table1[[#This Row],[word]],Table57[English style name],Table57[Style type]),"")</f>
        <v/>
      </c>
      <c r="AM442" s="20"/>
      <c r="AN442" s="11"/>
      <c r="AQ442" s="14" t="s">
        <v>1384</v>
      </c>
      <c r="AR442" t="s">
        <v>1372</v>
      </c>
    </row>
    <row r="443" spans="5:44">
      <c r="E443" s="76"/>
      <c r="F4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3" s="13" t="s">
        <v>337</v>
      </c>
      <c r="H443" s="13" t="s">
        <v>2987</v>
      </c>
      <c r="I443" s="12" t="str">
        <f>Table1[[#This Row],[type]]</f>
        <v>card</v>
      </c>
      <c r="J443" s="62" t="str">
        <f>Table1[[#This Row],[Column42]]&amp;IF(Table1[[#This Row],[Column13]]="","",Table1[[#This Row],[Column13]])&amp;IF(Table1[[#This Row],[mod]]="","",Table1[[#This Row],[mod]])</f>
        <v>card--success</v>
      </c>
      <c r="K4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3" t="s">
        <v>3082</v>
      </c>
      <c r="Q4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443" t="s">
        <v>3120</v>
      </c>
      <c r="AB443" s="29"/>
      <c r="AC443" s="25"/>
      <c r="AD443" s="41"/>
      <c r="AE443" s="41"/>
      <c r="AF443" s="11" t="s">
        <v>114</v>
      </c>
      <c r="AH443" s="1" t="str">
        <f>Table1[[#This Row],[html_tag]]&amp;Table1[[#This Row],[html_type]]&amp;Table1[[#This Row],[html_modifier]]</f>
        <v/>
      </c>
      <c r="AL443" s="22" t="str">
        <f>IFERROR(_xlfn.XLOOKUP(Table1[[#This Row],[word]],Table57[English style name],Table57[Style type]),"")</f>
        <v/>
      </c>
      <c r="AM443" s="20"/>
      <c r="AN443" s="11"/>
      <c r="AQ443" s="6" t="s">
        <v>1402</v>
      </c>
      <c r="AR443" t="s">
        <v>1394</v>
      </c>
    </row>
    <row r="444" spans="5:44">
      <c r="E444" s="76"/>
      <c r="F4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4" s="13" t="s">
        <v>337</v>
      </c>
      <c r="H444" s="13" t="s">
        <v>2987</v>
      </c>
      <c r="I444" s="12" t="str">
        <f>Table1[[#This Row],[type]]</f>
        <v>card</v>
      </c>
      <c r="J444" s="62" t="str">
        <f>Table1[[#This Row],[Column42]]&amp;IF(Table1[[#This Row],[Column13]]="","",Table1[[#This Row],[Column13]])&amp;IF(Table1[[#This Row],[mod]]="","",Table1[[#This Row],[mod]])</f>
        <v>card--warning</v>
      </c>
      <c r="K4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4" t="s">
        <v>3082</v>
      </c>
      <c r="Q4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444" t="s">
        <v>3121</v>
      </c>
      <c r="AB444" s="29"/>
      <c r="AC444" s="25"/>
      <c r="AD444" s="41"/>
      <c r="AE444" s="41"/>
      <c r="AF444" s="11" t="s">
        <v>114</v>
      </c>
      <c r="AH444" s="1" t="str">
        <f>Table1[[#This Row],[html_tag]]&amp;Table1[[#This Row],[html_type]]&amp;Table1[[#This Row],[html_modifier]]</f>
        <v/>
      </c>
      <c r="AL444" s="22" t="str">
        <f>IFERROR(_xlfn.XLOOKUP(Table1[[#This Row],[word]],Table57[English style name],Table57[Style type]),"")</f>
        <v/>
      </c>
      <c r="AM444" s="20"/>
      <c r="AN444" s="11"/>
      <c r="AQ444" s="6" t="s">
        <v>1403</v>
      </c>
      <c r="AR444" t="s">
        <v>1394</v>
      </c>
    </row>
    <row r="445" spans="5:44">
      <c r="E445" s="76"/>
      <c r="F4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5" s="13" t="s">
        <v>337</v>
      </c>
      <c r="H445" s="13" t="s">
        <v>2987</v>
      </c>
      <c r="I445" s="12" t="str">
        <f>Table1[[#This Row],[type]]</f>
        <v>card</v>
      </c>
      <c r="J445" s="62" t="str">
        <f>Table1[[#This Row],[Column42]]&amp;IF(Table1[[#This Row],[Column13]]="","",Table1[[#This Row],[Column13]])&amp;IF(Table1[[#This Row],[mod]]="","",Table1[[#This Row],[mod]])</f>
        <v>card--xl</v>
      </c>
      <c r="K4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5" t="s">
        <v>3082</v>
      </c>
      <c r="Q4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445" t="s">
        <v>3126</v>
      </c>
      <c r="AB445" s="29"/>
      <c r="AC445" s="25"/>
      <c r="AD445" s="41" t="s">
        <v>6337</v>
      </c>
      <c r="AE445" s="41"/>
      <c r="AF445" s="11" t="s">
        <v>114</v>
      </c>
      <c r="AH445" s="7" t="str">
        <f>Table1[[#This Row],[html_tag]]&amp;Table1[[#This Row],[html_type]]&amp;Table1[[#This Row],[html_modifier]]</f>
        <v/>
      </c>
      <c r="AL445" s="23" t="str">
        <f>IFERROR(_xlfn.XLOOKUP(Table1[[#This Row],[word]],Table57[English style name],Table57[Style type]),"")</f>
        <v/>
      </c>
      <c r="AM445" s="21"/>
      <c r="AN445" s="11"/>
    </row>
    <row r="446" spans="5:44">
      <c r="E446" s="76"/>
      <c r="F4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6" s="13" t="s">
        <v>337</v>
      </c>
      <c r="H446" s="13" t="s">
        <v>2987</v>
      </c>
      <c r="I446" s="12" t="str">
        <f>Table1[[#This Row],[type]]</f>
        <v>card</v>
      </c>
      <c r="J446" s="62" t="str">
        <f>Table1[[#This Row],[Column42]]&amp;IF(Table1[[#This Row],[Column13]]="","",Table1[[#This Row],[Column13]])&amp;IF(Table1[[#This Row],[mod]]="","",Table1[[#This Row],[mod]])</f>
        <v>card--xs</v>
      </c>
      <c r="K4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6" t="s">
        <v>3082</v>
      </c>
      <c r="Q4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446" t="s">
        <v>3127</v>
      </c>
      <c r="AB446" s="29"/>
      <c r="AC446" s="25"/>
      <c r="AD446" s="41" t="s">
        <v>6333</v>
      </c>
      <c r="AE446" s="41"/>
      <c r="AF446" s="11" t="s">
        <v>114</v>
      </c>
      <c r="AH446" s="7" t="str">
        <f>Table1[[#This Row],[html_tag]]&amp;Table1[[#This Row],[html_type]]&amp;Table1[[#This Row],[html_modifier]]</f>
        <v/>
      </c>
      <c r="AL446" s="23" t="str">
        <f>IFERROR(_xlfn.XLOOKUP(Table1[[#This Row],[word]],Table57[English style name],Table57[Style type]),"")</f>
        <v/>
      </c>
      <c r="AM446" s="21"/>
      <c r="AN446" s="11"/>
    </row>
    <row r="447" spans="5:44">
      <c r="E447" s="76"/>
      <c r="F4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47" s="13"/>
      <c r="H447" s="13"/>
      <c r="I447" s="12" t="str">
        <f>Table1[[#This Row],[type]]</f>
        <v>carousel</v>
      </c>
      <c r="J447" s="62" t="str">
        <f>Table1[[#This Row],[Column42]]&amp;IF(Table1[[#This Row],[Column13]]="","",Table1[[#This Row],[Column13]])&amp;IF(Table1[[#This Row],[mod]]="","",Table1[[#This Row],[mod]])</f>
        <v>carousel</v>
      </c>
      <c r="K4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47" t="s">
        <v>3128</v>
      </c>
      <c r="Q4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47" s="29"/>
      <c r="AC447" s="25"/>
      <c r="AD447" s="41" t="s">
        <v>3614</v>
      </c>
      <c r="AE447" s="41"/>
      <c r="AF447" s="11"/>
      <c r="AH447" s="7" t="str">
        <f>Table1[[#This Row],[html_tag]]&amp;Table1[[#This Row],[html_type]]&amp;Table1[[#This Row],[html_modifier]]</f>
        <v/>
      </c>
      <c r="AL447" s="23" t="str">
        <f>IFERROR(_xlfn.XLOOKUP(Table1[[#This Row],[word]],Table57[English style name],Table57[Style type]),"")</f>
        <v/>
      </c>
      <c r="AM447" s="21"/>
      <c r="AN447" s="11"/>
    </row>
    <row r="448" spans="5:44">
      <c r="E448" s="76"/>
      <c r="F4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48" s="13"/>
      <c r="H448" s="13"/>
      <c r="I448" s="12" t="str">
        <f>Table1[[#This Row],[type]]</f>
        <v>carousel</v>
      </c>
      <c r="J448" s="62" t="str">
        <f>Table1[[#This Row],[Column42]]&amp;IF(Table1[[#This Row],[Column13]]="","",Table1[[#This Row],[Column13]])&amp;IF(Table1[[#This Row],[mod]]="","",Table1[[#This Row],[mod]])</f>
        <v>carousel</v>
      </c>
      <c r="K4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48" t="s">
        <v>3128</v>
      </c>
      <c r="Q4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48" s="29"/>
      <c r="AC448" s="25"/>
      <c r="AD448" s="41" t="s">
        <v>4716</v>
      </c>
      <c r="AE448" s="41"/>
      <c r="AF448" s="11"/>
      <c r="AH448" s="7" t="str">
        <f>Table1[[#This Row],[html_tag]]&amp;Table1[[#This Row],[html_type]]&amp;Table1[[#This Row],[html_modifier]]</f>
        <v/>
      </c>
      <c r="AL448" s="23" t="str">
        <f>IFERROR(_xlfn.XLOOKUP(Table1[[#This Row],[word]],Table57[English style name],Table57[Style type]),"")</f>
        <v/>
      </c>
      <c r="AM448" s="21"/>
      <c r="AN448" s="11"/>
    </row>
    <row r="449" spans="5:44">
      <c r="E449" s="76"/>
      <c r="F4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49" s="13" t="s">
        <v>337</v>
      </c>
      <c r="H449" s="13" t="s">
        <v>2987</v>
      </c>
      <c r="I449" s="12" t="str">
        <f>Table1[[#This Row],[type]]</f>
        <v>carousel</v>
      </c>
      <c r="J449" s="62" t="str">
        <f>Table1[[#This Row],[Column42]]&amp;IF(Table1[[#This Row],[Column13]]="","",Table1[[#This Row],[Column13]])&amp;IF(Table1[[#This Row],[mod]]="","",Table1[[#This Row],[mod]])</f>
        <v>carousel</v>
      </c>
      <c r="K4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49" t="s">
        <v>3128</v>
      </c>
      <c r="P449" s="6" t="s">
        <v>1415</v>
      </c>
      <c r="Q4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49" s="29"/>
      <c r="AC449" s="25"/>
      <c r="AD449" s="41"/>
      <c r="AE449" s="41"/>
      <c r="AF449" s="11"/>
      <c r="AH449" s="1" t="str">
        <f>Table1[[#This Row],[html_tag]]&amp;Table1[[#This Row],[html_type]]&amp;Table1[[#This Row],[html_modifier]]</f>
        <v/>
      </c>
      <c r="AL449" s="22" t="str">
        <f>IFERROR(_xlfn.XLOOKUP(Table1[[#This Row],[word]],Table57[English style name],Table57[Style type]),"")</f>
        <v/>
      </c>
      <c r="AM449" s="20"/>
      <c r="AN449" s="11"/>
      <c r="AQ449" s="6" t="s">
        <v>1415</v>
      </c>
      <c r="AR449" t="s">
        <v>1414</v>
      </c>
    </row>
    <row r="450" spans="5:44">
      <c r="E450" s="76"/>
      <c r="F4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0" s="13" t="s">
        <v>337</v>
      </c>
      <c r="H450" s="13" t="s">
        <v>2987</v>
      </c>
      <c r="I450" s="12" t="str">
        <f>Table1[[#This Row],[type]]</f>
        <v>carousel</v>
      </c>
      <c r="J450" s="62" t="str">
        <f>Table1[[#This Row],[Column42]]&amp;IF(Table1[[#This Row],[Column13]]="","",Table1[[#This Row],[Column13]])&amp;IF(Table1[[#This Row],[mod]]="","",Table1[[#This Row],[mod]])</f>
        <v>carousel</v>
      </c>
      <c r="K4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50" t="s">
        <v>3128</v>
      </c>
      <c r="Q4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0" s="29"/>
      <c r="AC450" s="26" t="s">
        <v>3605</v>
      </c>
      <c r="AD450" s="43"/>
      <c r="AE450" s="43"/>
      <c r="AF450" s="11"/>
      <c r="AH450" s="7" t="str">
        <f>Table1[[#This Row],[html_tag]]&amp;Table1[[#This Row],[html_type]]&amp;Table1[[#This Row],[html_modifier]]</f>
        <v/>
      </c>
      <c r="AL450" s="23" t="str">
        <f>IFERROR(_xlfn.XLOOKUP(Table1[[#This Row],[word]],Table57[English style name],Table57[Style type]),"")</f>
        <v/>
      </c>
      <c r="AM450" s="21"/>
      <c r="AN450" s="11"/>
    </row>
    <row r="451" spans="5:44">
      <c r="E451" s="76"/>
      <c r="F4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1" s="13" t="s">
        <v>337</v>
      </c>
      <c r="H451" s="13" t="s">
        <v>2987</v>
      </c>
      <c r="I451" s="12" t="str">
        <f>Table1[[#This Row],[type]]</f>
        <v>carousel</v>
      </c>
      <c r="J451" s="62" t="str">
        <f>Table1[[#This Row],[Column42]]&amp;IF(Table1[[#This Row],[Column13]]="","",Table1[[#This Row],[Column13]])&amp;IF(Table1[[#This Row],[mod]]="","",Table1[[#This Row],[mod]])</f>
        <v>carousel</v>
      </c>
      <c r="K4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51" t="s">
        <v>3128</v>
      </c>
      <c r="Q4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1" s="29"/>
      <c r="AC451" s="25" t="s">
        <v>3611</v>
      </c>
      <c r="AD451" s="41"/>
      <c r="AE451" s="41"/>
      <c r="AF451" s="11"/>
      <c r="AH451" s="7" t="str">
        <f>Table1[[#This Row],[html_tag]]&amp;Table1[[#This Row],[html_type]]&amp;Table1[[#This Row],[html_modifier]]</f>
        <v/>
      </c>
      <c r="AL451" s="23" t="str">
        <f>IFERROR(_xlfn.XLOOKUP(Table1[[#This Row],[word]],Table57[English style name],Table57[Style type]),"")</f>
        <v/>
      </c>
      <c r="AM451" s="21"/>
      <c r="AN451" s="11"/>
    </row>
    <row r="452" spans="5:44">
      <c r="E452" s="76"/>
      <c r="F4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2" s="13" t="s">
        <v>337</v>
      </c>
      <c r="H452" s="13" t="s">
        <v>2987</v>
      </c>
      <c r="I452" s="12" t="str">
        <f>Table1[[#This Row],[type]]</f>
        <v>carousel</v>
      </c>
      <c r="J452" s="62" t="str">
        <f>Table1[[#This Row],[Column42]]&amp;IF(Table1[[#This Row],[Column13]]="","",Table1[[#This Row],[Column13]])&amp;IF(Table1[[#This Row],[mod]]="","",Table1[[#This Row],[mod]])</f>
        <v>carousel</v>
      </c>
      <c r="K4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52" t="s">
        <v>3128</v>
      </c>
      <c r="Q4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2" s="29"/>
      <c r="AC452" s="25" t="s">
        <v>3613</v>
      </c>
      <c r="AD452" s="41"/>
      <c r="AE452" s="41"/>
      <c r="AF452" s="11"/>
      <c r="AH452" s="7" t="str">
        <f>Table1[[#This Row],[html_tag]]&amp;Table1[[#This Row],[html_type]]&amp;Table1[[#This Row],[html_modifier]]</f>
        <v/>
      </c>
      <c r="AL452" s="23" t="str">
        <f>IFERROR(_xlfn.XLOOKUP(Table1[[#This Row],[word]],Table57[English style name],Table57[Style type]),"")</f>
        <v/>
      </c>
      <c r="AM452" s="21"/>
      <c r="AN452" s="11"/>
    </row>
    <row r="453" spans="5:44">
      <c r="E453" s="76"/>
      <c r="F4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3" s="13" t="s">
        <v>337</v>
      </c>
      <c r="H453" s="13" t="s">
        <v>2987</v>
      </c>
      <c r="I453" s="12" t="str">
        <f>Table1[[#This Row],[type]]</f>
        <v>carousel</v>
      </c>
      <c r="J453" s="62" t="str">
        <f>Table1[[#This Row],[Column42]]&amp;IF(Table1[[#This Row],[Column13]]="","",Table1[[#This Row],[Column13]])&amp;IF(Table1[[#This Row],[mod]]="","",Table1[[#This Row],[mod]])</f>
        <v>carousel__caption</v>
      </c>
      <c r="K4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carousel__caption</v>
      </c>
      <c r="L453" t="s">
        <v>3128</v>
      </c>
      <c r="M453" t="s">
        <v>329</v>
      </c>
      <c r="Q4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3" s="29"/>
      <c r="AC453" s="25" t="s">
        <v>3606</v>
      </c>
      <c r="AD453" s="41"/>
      <c r="AE453" s="41"/>
      <c r="AF453" s="11"/>
      <c r="AH453" s="7" t="str">
        <f>Table1[[#This Row],[html_tag]]&amp;Table1[[#This Row],[html_type]]&amp;Table1[[#This Row],[html_modifier]]</f>
        <v/>
      </c>
      <c r="AL453" s="23" t="str">
        <f>IFERROR(_xlfn.XLOOKUP(Table1[[#This Row],[word]],Table57[English style name],Table57[Style type]),"")</f>
        <v/>
      </c>
      <c r="AM453" s="21"/>
      <c r="AN453" s="11"/>
    </row>
    <row r="454" spans="5:44">
      <c r="E454" s="76"/>
      <c r="F4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54" s="13"/>
      <c r="H454" s="13"/>
      <c r="I454" s="12" t="str">
        <f>Table1[[#This Row],[type]]</f>
        <v>carousel</v>
      </c>
      <c r="J454" s="62" t="str">
        <f>Table1[[#This Row],[Column42]]&amp;IF(Table1[[#This Row],[Column13]]="","",Table1[[#This Row],[Column13]])&amp;IF(Table1[[#This Row],[mod]]="","",Table1[[#This Row],[mod]])</f>
        <v>carousel__center</v>
      </c>
      <c r="K4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carousel__center</v>
      </c>
      <c r="L454" t="s">
        <v>3128</v>
      </c>
      <c r="N454" t="s">
        <v>425</v>
      </c>
      <c r="Q4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4" s="29"/>
      <c r="AC454" s="25"/>
      <c r="AD454" s="41" t="s">
        <v>6352</v>
      </c>
      <c r="AE454" s="41"/>
      <c r="AF454" s="11"/>
      <c r="AH454" s="7" t="str">
        <f>Table1[[#This Row],[html_tag]]&amp;Table1[[#This Row],[html_type]]&amp;Table1[[#This Row],[html_modifier]]</f>
        <v/>
      </c>
      <c r="AL454" s="23" t="str">
        <f>IFERROR(_xlfn.XLOOKUP(Table1[[#This Row],[word]],Table57[English style name],Table57[Style type]),"")</f>
        <v/>
      </c>
      <c r="AM454" s="21"/>
      <c r="AN454" s="11"/>
    </row>
    <row r="455" spans="5:44">
      <c r="E455" s="76"/>
      <c r="F4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5" s="13" t="s">
        <v>337</v>
      </c>
      <c r="H455" s="13" t="s">
        <v>2987</v>
      </c>
      <c r="I455" s="12" t="str">
        <f>Table1[[#This Row],[type]]</f>
        <v>carousel</v>
      </c>
      <c r="J455" s="62" t="str">
        <f>Table1[[#This Row],[Column42]]&amp;IF(Table1[[#This Row],[Column13]]="","",Table1[[#This Row],[Column13]])&amp;IF(Table1[[#This Row],[mod]]="","",Table1[[#This Row],[mod]])</f>
        <v>carousel__control</v>
      </c>
      <c r="K4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</v>
      </c>
      <c r="L455" t="s">
        <v>3128</v>
      </c>
      <c r="M455" t="s">
        <v>3616</v>
      </c>
      <c r="Q4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5" s="29"/>
      <c r="AC455" s="25" t="s">
        <v>3609</v>
      </c>
      <c r="AD455" s="41"/>
      <c r="AE455" s="41"/>
      <c r="AF455" s="11"/>
      <c r="AH455" s="7" t="str">
        <f>Table1[[#This Row],[html_tag]]&amp;Table1[[#This Row],[html_type]]&amp;Table1[[#This Row],[html_modifier]]</f>
        <v/>
      </c>
      <c r="AL455" s="23" t="str">
        <f>IFERROR(_xlfn.XLOOKUP(Table1[[#This Row],[word]],Table57[English style name],Table57[Style type]),"")</f>
        <v/>
      </c>
      <c r="AM455" s="21"/>
      <c r="AN455" s="11"/>
    </row>
    <row r="456" spans="5:44">
      <c r="E456" s="76"/>
      <c r="F4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6" s="13" t="s">
        <v>337</v>
      </c>
      <c r="H456" s="13" t="s">
        <v>2987</v>
      </c>
      <c r="I456" s="12" t="str">
        <f>Table1[[#This Row],[type]]</f>
        <v>carousel</v>
      </c>
      <c r="J456" s="62" t="str">
        <f>Table1[[#This Row],[Column42]]&amp;IF(Table1[[#This Row],[Column13]]="","",Table1[[#This Row],[Column13]])&amp;IF(Table1[[#This Row],[mod]]="","",Table1[[#This Row],[mod]])</f>
        <v>carousel__control</v>
      </c>
      <c r="K4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</v>
      </c>
      <c r="L456" t="s">
        <v>3128</v>
      </c>
      <c r="M456" t="s">
        <v>3616</v>
      </c>
      <c r="Q45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6" s="29"/>
      <c r="AC456" s="25" t="s">
        <v>3607</v>
      </c>
      <c r="AD456" s="41"/>
      <c r="AE456" s="41"/>
      <c r="AF456" s="11"/>
      <c r="AH456" s="7" t="str">
        <f>Table1[[#This Row],[html_tag]]&amp;Table1[[#This Row],[html_type]]&amp;Table1[[#This Row],[html_modifier]]</f>
        <v/>
      </c>
      <c r="AL456" s="23" t="str">
        <f>IFERROR(_xlfn.XLOOKUP(Table1[[#This Row],[word]],Table57[English style name],Table57[Style type]),"")</f>
        <v/>
      </c>
      <c r="AM456" s="21"/>
      <c r="AN456" s="11"/>
    </row>
    <row r="457" spans="5:44">
      <c r="E457" s="76"/>
      <c r="F4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7" s="13" t="s">
        <v>337</v>
      </c>
      <c r="H457" s="13" t="s">
        <v>2987</v>
      </c>
      <c r="I457" s="12" t="str">
        <f>Table1[[#This Row],[type]]</f>
        <v>carousel</v>
      </c>
      <c r="J457" s="62" t="str">
        <f>Table1[[#This Row],[Column42]]&amp;IF(Table1[[#This Row],[Column13]]="","",Table1[[#This Row],[Column13]])&amp;IF(Table1[[#This Row],[mod]]="","",Table1[[#This Row],[mod]])</f>
        <v>carousel__control__icon</v>
      </c>
      <c r="K4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carousel__control__icon</v>
      </c>
      <c r="L457" t="s">
        <v>3128</v>
      </c>
      <c r="M457" t="s">
        <v>3616</v>
      </c>
      <c r="O457" t="s">
        <v>3101</v>
      </c>
      <c r="Q4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7" s="29"/>
      <c r="AC457" s="25" t="s">
        <v>3610</v>
      </c>
      <c r="AD457" s="41"/>
      <c r="AE457" s="41"/>
      <c r="AF457" s="11"/>
      <c r="AH457" s="7" t="str">
        <f>Table1[[#This Row],[html_tag]]&amp;Table1[[#This Row],[html_type]]&amp;Table1[[#This Row],[html_modifier]]</f>
        <v/>
      </c>
      <c r="AL457" s="23" t="str">
        <f>IFERROR(_xlfn.XLOOKUP(Table1[[#This Row],[word]],Table57[English style name],Table57[Style type]),"")</f>
        <v/>
      </c>
      <c r="AM457" s="21"/>
      <c r="AN457" s="11"/>
    </row>
    <row r="458" spans="5:44">
      <c r="E458" s="76"/>
      <c r="F4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8" s="13" t="s">
        <v>337</v>
      </c>
      <c r="H458" s="13" t="s">
        <v>2987</v>
      </c>
      <c r="I458" s="12" t="str">
        <f>Table1[[#This Row],[type]]</f>
        <v>carousel</v>
      </c>
      <c r="J458" s="62" t="str">
        <f>Table1[[#This Row],[Column42]]&amp;IF(Table1[[#This Row],[Column13]]="","",Table1[[#This Row],[Column13]])&amp;IF(Table1[[#This Row],[mod]]="","",Table1[[#This Row],[mod]])</f>
        <v>carousel__control__icon</v>
      </c>
      <c r="K4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carousel__control__icon</v>
      </c>
      <c r="L458" t="s">
        <v>3128</v>
      </c>
      <c r="M458" t="s">
        <v>3616</v>
      </c>
      <c r="O458" t="s">
        <v>3101</v>
      </c>
      <c r="Q4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8" s="29"/>
      <c r="AC458" s="25" t="s">
        <v>3608</v>
      </c>
      <c r="AD458" s="41"/>
      <c r="AE458" s="41"/>
      <c r="AF458" s="11"/>
      <c r="AH458" s="7" t="str">
        <f>Table1[[#This Row],[html_tag]]&amp;Table1[[#This Row],[html_type]]&amp;Table1[[#This Row],[html_modifier]]</f>
        <v/>
      </c>
      <c r="AL458" s="23" t="str">
        <f>IFERROR(_xlfn.XLOOKUP(Table1[[#This Row],[word]],Table57[English style name],Table57[Style type]),"")</f>
        <v/>
      </c>
      <c r="AM458" s="21"/>
      <c r="AN458" s="11"/>
    </row>
    <row r="459" spans="5:44">
      <c r="E459" s="76"/>
      <c r="F4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59" s="13"/>
      <c r="H459" s="13"/>
      <c r="I459" s="12" t="str">
        <f>Table1[[#This Row],[type]]</f>
        <v>carousel</v>
      </c>
      <c r="J459" s="62" t="str">
        <f>Table1[[#This Row],[Column42]]&amp;IF(Table1[[#This Row],[Column13]]="","",Table1[[#This Row],[Column13]])&amp;IF(Table1[[#This Row],[mod]]="","",Table1[[#This Row],[mod]])</f>
        <v>carousel__end</v>
      </c>
      <c r="K4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carousel__end</v>
      </c>
      <c r="L459" t="s">
        <v>3128</v>
      </c>
      <c r="N459" t="s">
        <v>3194</v>
      </c>
      <c r="Q45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9" s="29"/>
      <c r="AC459" s="25"/>
      <c r="AD459" s="41" t="s">
        <v>6353</v>
      </c>
      <c r="AE459" s="41"/>
      <c r="AF459" s="11"/>
      <c r="AH459" s="7" t="str">
        <f>Table1[[#This Row],[html_tag]]&amp;Table1[[#This Row],[html_type]]&amp;Table1[[#This Row],[html_modifier]]</f>
        <v/>
      </c>
      <c r="AL459" s="23" t="str">
        <f>IFERROR(_xlfn.XLOOKUP(Table1[[#This Row],[word]],Table57[English style name],Table57[Style type]),"")</f>
        <v/>
      </c>
      <c r="AM459" s="21"/>
      <c r="AN459" s="11"/>
    </row>
    <row r="460" spans="5:44">
      <c r="E460" s="76"/>
      <c r="F4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0" s="13" t="s">
        <v>337</v>
      </c>
      <c r="H460" s="13" t="s">
        <v>2987</v>
      </c>
      <c r="I460" s="12" t="str">
        <f>Table1[[#This Row],[type]]</f>
        <v>carousel</v>
      </c>
      <c r="J460" s="62" t="str">
        <f>Table1[[#This Row],[Column42]]&amp;IF(Table1[[#This Row],[Column13]]="","",Table1[[#This Row],[Column13]])&amp;IF(Table1[[#This Row],[mod]]="","",Table1[[#This Row],[mod]])</f>
        <v>carousel__item</v>
      </c>
      <c r="K4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460" t="s">
        <v>3128</v>
      </c>
      <c r="M460" t="s">
        <v>3168</v>
      </c>
      <c r="P460" s="6" t="s">
        <v>1417</v>
      </c>
      <c r="Q4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0" s="29"/>
      <c r="AC460" s="25"/>
      <c r="AD460" s="41"/>
      <c r="AE460" s="41"/>
      <c r="AF460" s="11"/>
      <c r="AH460" s="1" t="str">
        <f>Table1[[#This Row],[html_tag]]&amp;Table1[[#This Row],[html_type]]&amp;Table1[[#This Row],[html_modifier]]</f>
        <v/>
      </c>
      <c r="AL460" s="22" t="str">
        <f>IFERROR(_xlfn.XLOOKUP(Table1[[#This Row],[word]],Table57[English style name],Table57[Style type]),"")</f>
        <v/>
      </c>
      <c r="AM460" s="20"/>
      <c r="AN460" s="11"/>
      <c r="AQ460" s="6" t="s">
        <v>1417</v>
      </c>
      <c r="AR460" t="s">
        <v>1414</v>
      </c>
    </row>
    <row r="461" spans="5:44">
      <c r="E461" s="76"/>
      <c r="F4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1" s="13" t="s">
        <v>337</v>
      </c>
      <c r="H461" s="13" t="s">
        <v>2987</v>
      </c>
      <c r="I461" s="12" t="str">
        <f>Table1[[#This Row],[type]]</f>
        <v>carousel</v>
      </c>
      <c r="J461" s="62" t="str">
        <f>Table1[[#This Row],[Column42]]&amp;IF(Table1[[#This Row],[Column13]]="","",Table1[[#This Row],[Column13]])&amp;IF(Table1[[#This Row],[mod]]="","",Table1[[#This Row],[mod]])</f>
        <v>carousel__item</v>
      </c>
      <c r="K4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461" t="s">
        <v>3128</v>
      </c>
      <c r="M461" t="s">
        <v>3168</v>
      </c>
      <c r="P461" s="6" t="s">
        <v>1423</v>
      </c>
      <c r="Q4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1" s="29"/>
      <c r="AC461" s="25"/>
      <c r="AD461" s="41"/>
      <c r="AE461" s="41"/>
      <c r="AF461" s="11"/>
      <c r="AH461" s="1" t="str">
        <f>Table1[[#This Row],[html_tag]]&amp;Table1[[#This Row],[html_type]]&amp;Table1[[#This Row],[html_modifier]]</f>
        <v/>
      </c>
      <c r="AL461" s="22" t="str">
        <f>IFERROR(_xlfn.XLOOKUP(Table1[[#This Row],[word]],Table57[English style name],Table57[Style type]),"")</f>
        <v/>
      </c>
      <c r="AM461" s="20"/>
      <c r="AN461" s="11"/>
      <c r="AQ461" s="6" t="s">
        <v>1423</v>
      </c>
      <c r="AR461" t="s">
        <v>1414</v>
      </c>
    </row>
    <row r="462" spans="5:44">
      <c r="E462" s="76"/>
      <c r="F4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2" s="13" t="s">
        <v>337</v>
      </c>
      <c r="H462" s="13" t="s">
        <v>2987</v>
      </c>
      <c r="I462" s="12" t="str">
        <f>Table1[[#This Row],[type]]</f>
        <v>carousel</v>
      </c>
      <c r="J462" s="62" t="str">
        <f>Table1[[#This Row],[Column42]]&amp;IF(Table1[[#This Row],[Column13]]="","",Table1[[#This Row],[Column13]])&amp;IF(Table1[[#This Row],[mod]]="","",Table1[[#This Row],[mod]])</f>
        <v>carousel__item__body</v>
      </c>
      <c r="K4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carousel__item__body</v>
      </c>
      <c r="L462" t="s">
        <v>3128</v>
      </c>
      <c r="M462" t="s">
        <v>3168</v>
      </c>
      <c r="O462" t="s">
        <v>337</v>
      </c>
      <c r="P462" s="6" t="s">
        <v>1422</v>
      </c>
      <c r="Q4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2" s="29"/>
      <c r="AC462" s="25"/>
      <c r="AD462" s="41"/>
      <c r="AE462" s="41"/>
      <c r="AF462" s="11"/>
      <c r="AH462" s="1" t="str">
        <f>Table1[[#This Row],[html_tag]]&amp;Table1[[#This Row],[html_type]]&amp;Table1[[#This Row],[html_modifier]]</f>
        <v/>
      </c>
      <c r="AL462" s="22" t="str">
        <f>IFERROR(_xlfn.XLOOKUP(Table1[[#This Row],[word]],Table57[English style name],Table57[Style type]),"")</f>
        <v/>
      </c>
      <c r="AM462" s="20"/>
      <c r="AN462" s="11"/>
      <c r="AQ462" s="6" t="s">
        <v>1422</v>
      </c>
      <c r="AR462" t="s">
        <v>1414</v>
      </c>
    </row>
    <row r="463" spans="5:44">
      <c r="E463" s="76"/>
      <c r="F4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3" s="13" t="s">
        <v>337</v>
      </c>
      <c r="H463" s="13" t="s">
        <v>2987</v>
      </c>
      <c r="I463" s="12" t="str">
        <f>Table1[[#This Row],[type]]</f>
        <v>carousel</v>
      </c>
      <c r="J463" s="62" t="str">
        <f>Table1[[#This Row],[Column42]]&amp;IF(Table1[[#This Row],[Column13]]="","",Table1[[#This Row],[Column13]])&amp;IF(Table1[[#This Row],[mod]]="","",Table1[[#This Row],[mod]])</f>
        <v>carousel__item__heading</v>
      </c>
      <c r="K4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carousel__item__heading</v>
      </c>
      <c r="L463" t="s">
        <v>3128</v>
      </c>
      <c r="M463" t="s">
        <v>3168</v>
      </c>
      <c r="O463" t="s">
        <v>100</v>
      </c>
      <c r="P463" s="6" t="s">
        <v>1420</v>
      </c>
      <c r="Q4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3" s="29"/>
      <c r="AC463" s="25"/>
      <c r="AD463" s="41"/>
      <c r="AE463" s="41"/>
      <c r="AF463" s="11"/>
      <c r="AH463" s="1" t="str">
        <f>Table1[[#This Row],[html_tag]]&amp;Table1[[#This Row],[html_type]]&amp;Table1[[#This Row],[html_modifier]]</f>
        <v/>
      </c>
      <c r="AL463" s="22" t="str">
        <f>IFERROR(_xlfn.XLOOKUP(Table1[[#This Row],[word]],Table57[English style name],Table57[Style type]),"")</f>
        <v/>
      </c>
      <c r="AM463" s="20"/>
      <c r="AN463" s="11"/>
      <c r="AQ463" s="6" t="s">
        <v>1420</v>
      </c>
      <c r="AR463" t="s">
        <v>1414</v>
      </c>
    </row>
    <row r="464" spans="5:44">
      <c r="E464" s="76"/>
      <c r="F4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4" s="13" t="s">
        <v>337</v>
      </c>
      <c r="H464" s="13" t="s">
        <v>2987</v>
      </c>
      <c r="I464" s="12" t="str">
        <f>Table1[[#This Row],[type]]</f>
        <v>carousel</v>
      </c>
      <c r="J464" s="62" t="str">
        <f>Table1[[#This Row],[Column42]]&amp;IF(Table1[[#This Row],[Column13]]="","",Table1[[#This Row],[Column13]])&amp;IF(Table1[[#This Row],[mod]]="","",Table1[[#This Row],[mod]])</f>
        <v>carousel__item__image</v>
      </c>
      <c r="K4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carousel__item__image</v>
      </c>
      <c r="L464" t="s">
        <v>3128</v>
      </c>
      <c r="M464" t="s">
        <v>3168</v>
      </c>
      <c r="O464" t="s">
        <v>3088</v>
      </c>
      <c r="P464" s="6" t="s">
        <v>1421</v>
      </c>
      <c r="Q4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4" s="29"/>
      <c r="AC464" s="25"/>
      <c r="AD464" s="41"/>
      <c r="AE464" s="41"/>
      <c r="AF464" s="11"/>
      <c r="AH464" s="1" t="str">
        <f>Table1[[#This Row],[html_tag]]&amp;Table1[[#This Row],[html_type]]&amp;Table1[[#This Row],[html_modifier]]</f>
        <v/>
      </c>
      <c r="AL464" s="22" t="str">
        <f>IFERROR(_xlfn.XLOOKUP(Table1[[#This Row],[word]],Table57[English style name],Table57[Style type]),"")</f>
        <v/>
      </c>
      <c r="AM464" s="20"/>
      <c r="AN464" s="11"/>
      <c r="AQ464" s="6" t="s">
        <v>1421</v>
      </c>
      <c r="AR464" t="s">
        <v>1414</v>
      </c>
    </row>
    <row r="465" spans="5:44">
      <c r="E465" s="76"/>
      <c r="F4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5" s="13" t="s">
        <v>337</v>
      </c>
      <c r="H465" s="13" t="s">
        <v>2987</v>
      </c>
      <c r="I465" s="12" t="str">
        <f>Table1[[#This Row],[type]]</f>
        <v>carousel</v>
      </c>
      <c r="J465" s="62" t="str">
        <f>Table1[[#This Row],[Column42]]&amp;IF(Table1[[#This Row],[Column13]]="","",Table1[[#This Row],[Column13]])&amp;IF(Table1[[#This Row],[mod]]="","",Table1[[#This Row],[mod]])</f>
        <v>carousel__item--base</v>
      </c>
      <c r="K4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465" t="s">
        <v>3128</v>
      </c>
      <c r="M465" t="s">
        <v>3168</v>
      </c>
      <c r="P465" s="6" t="s">
        <v>1416</v>
      </c>
      <c r="Q46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65" t="s">
        <v>338</v>
      </c>
      <c r="AB465" s="29"/>
      <c r="AC465" s="25"/>
      <c r="AD465" s="41"/>
      <c r="AE465" s="41"/>
      <c r="AF465" s="11"/>
      <c r="AH465" s="1" t="str">
        <f>Table1[[#This Row],[html_tag]]&amp;Table1[[#This Row],[html_type]]&amp;Table1[[#This Row],[html_modifier]]</f>
        <v/>
      </c>
      <c r="AL465" s="22" t="str">
        <f>IFERROR(_xlfn.XLOOKUP(Table1[[#This Row],[word]],Table57[English style name],Table57[Style type]),"")</f>
        <v/>
      </c>
      <c r="AM465" s="20"/>
      <c r="AN465" s="11"/>
      <c r="AQ465" s="6" t="s">
        <v>1416</v>
      </c>
      <c r="AR465" t="s">
        <v>1414</v>
      </c>
    </row>
    <row r="466" spans="5:44">
      <c r="E466" s="76"/>
      <c r="F4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6" s="13" t="s">
        <v>337</v>
      </c>
      <c r="H466" s="13" t="s">
        <v>2987</v>
      </c>
      <c r="I466" s="12" t="str">
        <f>Table1[[#This Row],[type]]</f>
        <v>carousel</v>
      </c>
      <c r="J466" s="62" t="str">
        <f>Table1[[#This Row],[Column42]]&amp;IF(Table1[[#This Row],[Column13]]="","",Table1[[#This Row],[Column13]])&amp;IF(Table1[[#This Row],[mod]]="","",Table1[[#This Row],[mod]])</f>
        <v>carousel__item--base</v>
      </c>
      <c r="K4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466" t="s">
        <v>3128</v>
      </c>
      <c r="M466" t="s">
        <v>3168</v>
      </c>
      <c r="P466" s="6" t="s">
        <v>1419</v>
      </c>
      <c r="Q46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66" t="s">
        <v>338</v>
      </c>
      <c r="AB466" s="29"/>
      <c r="AC466" s="25" t="s">
        <v>3614</v>
      </c>
      <c r="AD466" s="41"/>
      <c r="AE466" s="41"/>
      <c r="AF466" s="11"/>
      <c r="AH466" s="1" t="str">
        <f>Table1[[#This Row],[html_tag]]&amp;Table1[[#This Row],[html_type]]&amp;Table1[[#This Row],[html_modifier]]</f>
        <v/>
      </c>
      <c r="AL466" s="22" t="str">
        <f>IFERROR(_xlfn.XLOOKUP(Table1[[#This Row],[word]],Table57[English style name],Table57[Style type]),"")</f>
        <v/>
      </c>
      <c r="AM466" s="20"/>
      <c r="AN466" s="11"/>
      <c r="AQ466" s="6" t="s">
        <v>1419</v>
      </c>
      <c r="AR466" t="s">
        <v>1414</v>
      </c>
    </row>
    <row r="467" spans="5:44">
      <c r="E467" s="76"/>
      <c r="F4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67" s="13"/>
      <c r="H467" s="13"/>
      <c r="I467" s="12" t="str">
        <f>Table1[[#This Row],[type]]</f>
        <v>carousel</v>
      </c>
      <c r="J467" s="62" t="str">
        <f>Table1[[#This Row],[Column42]]&amp;IF(Table1[[#This Row],[Column13]]="","",Table1[[#This Row],[Column13]])&amp;IF(Table1[[#This Row],[mod]]="","",Table1[[#This Row],[mod]])</f>
        <v>carousel__start</v>
      </c>
      <c r="K4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carousel__start</v>
      </c>
      <c r="L467" t="s">
        <v>3128</v>
      </c>
      <c r="N467" t="s">
        <v>3193</v>
      </c>
      <c r="Q4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7" s="29"/>
      <c r="AC467" s="25"/>
      <c r="AD467" s="41" t="s">
        <v>6351</v>
      </c>
      <c r="AE467" s="41"/>
      <c r="AF467" s="11"/>
      <c r="AH467" s="7" t="str">
        <f>Table1[[#This Row],[html_tag]]&amp;Table1[[#This Row],[html_type]]&amp;Table1[[#This Row],[html_modifier]]</f>
        <v/>
      </c>
      <c r="AL467" s="23" t="str">
        <f>IFERROR(_xlfn.XLOOKUP(Table1[[#This Row],[word]],Table57[English style name],Table57[Style type]),"")</f>
        <v/>
      </c>
      <c r="AM467" s="21"/>
      <c r="AN467" s="11"/>
    </row>
    <row r="468" spans="5:44">
      <c r="E468" s="76"/>
      <c r="F4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8" s="13" t="s">
        <v>337</v>
      </c>
      <c r="H468" s="13" t="s">
        <v>2987</v>
      </c>
      <c r="I468" s="12" t="str">
        <f>Table1[[#This Row],[type]]</f>
        <v>carousel</v>
      </c>
      <c r="J468" s="62" t="str">
        <f>Table1[[#This Row],[Column42]]&amp;IF(Table1[[#This Row],[Column13]]="","",Table1[[#This Row],[Column13]])&amp;IF(Table1[[#This Row],[mod]]="","",Table1[[#This Row],[mod]])</f>
        <v>carousel--base</v>
      </c>
      <c r="K4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68" t="s">
        <v>3128</v>
      </c>
      <c r="P468" s="6" t="s">
        <v>1413</v>
      </c>
      <c r="Q4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68" t="s">
        <v>338</v>
      </c>
      <c r="AB468" s="29"/>
      <c r="AC468" s="25"/>
      <c r="AD468" s="41"/>
      <c r="AE468" s="41"/>
      <c r="AF468" s="11"/>
      <c r="AH468" s="1" t="str">
        <f>Table1[[#This Row],[html_tag]]&amp;Table1[[#This Row],[html_type]]&amp;Table1[[#This Row],[html_modifier]]</f>
        <v/>
      </c>
      <c r="AL468" s="22" t="str">
        <f>IFERROR(_xlfn.XLOOKUP(Table1[[#This Row],[word]],Table57[English style name],Table57[Style type]),"")</f>
        <v/>
      </c>
      <c r="AM468" s="20"/>
      <c r="AN468" s="11"/>
      <c r="AQ468" s="6" t="s">
        <v>1413</v>
      </c>
      <c r="AR468" t="s">
        <v>1414</v>
      </c>
    </row>
    <row r="469" spans="5:44">
      <c r="E469" s="76"/>
      <c r="F4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9" s="13" t="s">
        <v>337</v>
      </c>
      <c r="H469" s="13" t="s">
        <v>2987</v>
      </c>
      <c r="I469" s="12" t="str">
        <f>Table1[[#This Row],[type]]</f>
        <v>carousel</v>
      </c>
      <c r="J469" s="62" t="str">
        <f>Table1[[#This Row],[Column42]]&amp;IF(Table1[[#This Row],[Column13]]="","",Table1[[#This Row],[Column13]])&amp;IF(Table1[[#This Row],[mod]]="","",Table1[[#This Row],[mod]])</f>
        <v>carousel--base</v>
      </c>
      <c r="K4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69" t="s">
        <v>3128</v>
      </c>
      <c r="P469" s="6" t="s">
        <v>1418</v>
      </c>
      <c r="Q4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69" t="s">
        <v>338</v>
      </c>
      <c r="AB469" s="29"/>
      <c r="AC469" s="25" t="s">
        <v>3612</v>
      </c>
      <c r="AD469" s="41"/>
      <c r="AE469" s="41"/>
      <c r="AF469" s="11"/>
      <c r="AH469" s="1" t="str">
        <f>Table1[[#This Row],[html_tag]]&amp;Table1[[#This Row],[html_type]]&amp;Table1[[#This Row],[html_modifier]]</f>
        <v/>
      </c>
      <c r="AL469" s="22" t="str">
        <f>IFERROR(_xlfn.XLOOKUP(Table1[[#This Row],[word]],Table57[English style name],Table57[Style type]),"")</f>
        <v/>
      </c>
      <c r="AM469" s="20"/>
      <c r="AN469" s="11"/>
      <c r="AQ469" s="6" t="s">
        <v>1418</v>
      </c>
      <c r="AR469" t="s">
        <v>1414</v>
      </c>
    </row>
    <row r="470" spans="5:44">
      <c r="E470" s="76"/>
      <c r="F4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0" s="13"/>
      <c r="H470" s="13"/>
      <c r="I470" s="12" t="str">
        <f>Table1[[#This Row],[type]]</f>
        <v>carousel</v>
      </c>
      <c r="J470" s="62" t="str">
        <f>Table1[[#This Row],[Column42]]&amp;IF(Table1[[#This Row],[Column13]]="","",Table1[[#This Row],[Column13]])&amp;IF(Table1[[#This Row],[mod]]="","",Table1[[#This Row],[mod]])</f>
        <v>carousel--horizontal</v>
      </c>
      <c r="K4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70" t="s">
        <v>3128</v>
      </c>
      <c r="Q4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470" t="s">
        <v>3205</v>
      </c>
      <c r="AB470" s="29"/>
      <c r="AC470" s="25"/>
      <c r="AD470" s="41" t="s">
        <v>6354</v>
      </c>
      <c r="AE470" s="41"/>
      <c r="AF470" s="11"/>
      <c r="AH470" s="7" t="str">
        <f>Table1[[#This Row],[html_tag]]&amp;Table1[[#This Row],[html_type]]&amp;Table1[[#This Row],[html_modifier]]</f>
        <v/>
      </c>
      <c r="AL470" s="23" t="str">
        <f>IFERROR(_xlfn.XLOOKUP(Table1[[#This Row],[word]],Table57[English style name],Table57[Style type]),"")</f>
        <v/>
      </c>
      <c r="AM470" s="21"/>
      <c r="AN470" s="11"/>
    </row>
    <row r="471" spans="5:44">
      <c r="E471" s="76"/>
      <c r="F4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1" s="13"/>
      <c r="H471" s="13"/>
      <c r="I471" s="12" t="str">
        <f>Table1[[#This Row],[type]]</f>
        <v>carousel</v>
      </c>
      <c r="J471" s="62" t="str">
        <f>Table1[[#This Row],[Column42]]&amp;IF(Table1[[#This Row],[Column13]]="","",Table1[[#This Row],[Column13]])&amp;IF(Table1[[#This Row],[mod]]="","",Table1[[#This Row],[mod]])</f>
        <v>carousel--vertical</v>
      </c>
      <c r="K4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71" t="s">
        <v>3128</v>
      </c>
      <c r="Q4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471" t="s">
        <v>2943</v>
      </c>
      <c r="AB471" s="29"/>
      <c r="AC471" s="25"/>
      <c r="AD471" s="41" t="s">
        <v>6355</v>
      </c>
      <c r="AE471" s="41"/>
      <c r="AF471" s="11"/>
      <c r="AH471" s="7" t="str">
        <f>Table1[[#This Row],[html_tag]]&amp;Table1[[#This Row],[html_type]]&amp;Table1[[#This Row],[html_modifier]]</f>
        <v/>
      </c>
      <c r="AL471" s="23" t="str">
        <f>IFERROR(_xlfn.XLOOKUP(Table1[[#This Row],[word]],Table57[English style name],Table57[Style type]),"")</f>
        <v/>
      </c>
      <c r="AM471" s="21"/>
      <c r="AN471" s="11"/>
    </row>
    <row r="472" spans="5:44">
      <c r="E472" s="76"/>
      <c r="F4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2" s="13"/>
      <c r="H472" s="13"/>
      <c r="I472" s="12" t="str">
        <f>Table1[[#This Row],[type]]</f>
        <v>character</v>
      </c>
      <c r="J472" s="62" t="str">
        <f>Table1[[#This Row],[Column42]]&amp;IF(Table1[[#This Row],[Column13]]="","",Table1[[#This Row],[Column13]])&amp;IF(Table1[[#This Row],[mod]]="","",Table1[[#This Row],[mod]])</f>
        <v>character</v>
      </c>
      <c r="K4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472" t="s">
        <v>65</v>
      </c>
      <c r="Q4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2" s="29"/>
      <c r="AC472" s="25"/>
      <c r="AD472" s="41"/>
      <c r="AE472" s="41"/>
      <c r="AF472" s="11"/>
      <c r="AH472" s="7" t="str">
        <f>Table1[[#This Row],[html_tag]]&amp;Table1[[#This Row],[html_type]]&amp;Table1[[#This Row],[html_modifier]]</f>
        <v/>
      </c>
      <c r="AJ472" s="76"/>
      <c r="AL472" s="23" t="str">
        <f>IFERROR(_xlfn.XLOOKUP(Table1[[#This Row],[word]],Table57[English style name],Table57[Style type]),"")</f>
        <v/>
      </c>
      <c r="AM472" s="21"/>
      <c r="AN472" s="11"/>
    </row>
    <row r="473" spans="5:44">
      <c r="E473" s="76"/>
      <c r="F4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3" s="13"/>
      <c r="H473" s="13"/>
      <c r="I473" s="12" t="str">
        <f>Table1[[#This Row],[type]]</f>
        <v>character</v>
      </c>
      <c r="J473" s="62" t="str">
        <f>Table1[[#This Row],[Column42]]&amp;IF(Table1[[#This Row],[Column13]]="","",Table1[[#This Row],[Column13]])&amp;IF(Table1[[#This Row],[mod]]="","",Table1[[#This Row],[mod]])</f>
        <v>character</v>
      </c>
      <c r="K4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473" t="s">
        <v>65</v>
      </c>
      <c r="Q4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3" s="29"/>
      <c r="AC473" s="25"/>
      <c r="AD473" s="41"/>
      <c r="AE473" s="41"/>
      <c r="AF473" s="11"/>
      <c r="AH473" s="1"/>
      <c r="AJ473" s="76"/>
      <c r="AL473" s="22" t="str">
        <f>IFERROR(_xlfn.XLOOKUP(Table1[[#This Row],[word]],Table57[English style name],Table57[Style type]),"")</f>
        <v/>
      </c>
      <c r="AM473" s="20"/>
      <c r="AN473" s="11"/>
    </row>
    <row r="474" spans="5:44">
      <c r="E474" s="76"/>
      <c r="F4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4" s="13"/>
      <c r="H474" s="13"/>
      <c r="I474" s="12" t="str">
        <f>Table1[[#This Row],[type]]</f>
        <v>character</v>
      </c>
      <c r="J474" s="62" t="str">
        <f>Table1[[#This Row],[Column42]]&amp;IF(Table1[[#This Row],[Column13]]="","",Table1[[#This Row],[Column13]])&amp;IF(Table1[[#This Row],[mod]]="","",Table1[[#This Row],[mod]])</f>
        <v>character__.text-*-center</v>
      </c>
      <c r="K4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character__.text-*-center</v>
      </c>
      <c r="L474" t="s">
        <v>65</v>
      </c>
      <c r="O474" t="s">
        <v>3758</v>
      </c>
      <c r="P474" t="s">
        <v>3758</v>
      </c>
      <c r="Q4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4" s="29"/>
      <c r="AC474" s="25" t="s">
        <v>3758</v>
      </c>
      <c r="AD474" s="41"/>
      <c r="AE474" s="41"/>
      <c r="AF474" s="11"/>
      <c r="AH474" s="7" t="str">
        <f>Table1[[#This Row],[html_tag]]&amp;Table1[[#This Row],[html_type]]&amp;Table1[[#This Row],[html_modifier]]</f>
        <v/>
      </c>
      <c r="AL474" s="23" t="str">
        <f>IFERROR(_xlfn.XLOOKUP(Table1[[#This Row],[word]],Table57[English style name],Table57[Style type]),"")</f>
        <v/>
      </c>
      <c r="AM474" s="21"/>
      <c r="AN474" s="11"/>
    </row>
    <row r="475" spans="5:44">
      <c r="E475" s="76"/>
      <c r="F4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5" s="13"/>
      <c r="H475" s="13"/>
      <c r="I475" s="12" t="str">
        <f>Table1[[#This Row],[type]]</f>
        <v>character</v>
      </c>
      <c r="J475" s="62" t="str">
        <f>Table1[[#This Row],[Column42]]&amp;IF(Table1[[#This Row],[Column13]]="","",Table1[[#This Row],[Column13]])&amp;IF(Table1[[#This Row],[mod]]="","",Table1[[#This Row],[mod]])</f>
        <v>character__.text-*-left</v>
      </c>
      <c r="K4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character__.text-*-left</v>
      </c>
      <c r="L475" t="s">
        <v>65</v>
      </c>
      <c r="O475" t="s">
        <v>3759</v>
      </c>
      <c r="P475" t="s">
        <v>3759</v>
      </c>
      <c r="Q4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5" s="29"/>
      <c r="AC475" s="25" t="s">
        <v>3759</v>
      </c>
      <c r="AD475" s="41"/>
      <c r="AE475" s="41"/>
      <c r="AF475" s="11"/>
      <c r="AH475" s="7" t="str">
        <f>Table1[[#This Row],[html_tag]]&amp;Table1[[#This Row],[html_type]]&amp;Table1[[#This Row],[html_modifier]]</f>
        <v/>
      </c>
      <c r="AJ475" s="76"/>
      <c r="AL475" s="23" t="str">
        <f>IFERROR(_xlfn.XLOOKUP(Table1[[#This Row],[word]],Table57[English style name],Table57[Style type]),"")</f>
        <v/>
      </c>
      <c r="AM475" s="21"/>
      <c r="AN475" s="11"/>
    </row>
    <row r="476" spans="5:44">
      <c r="E476" s="76"/>
      <c r="F4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6" s="13"/>
      <c r="H476" s="13"/>
      <c r="I476" s="12" t="str">
        <f>Table1[[#This Row],[type]]</f>
        <v>character</v>
      </c>
      <c r="J476" s="62" t="str">
        <f>Table1[[#This Row],[Column42]]&amp;IF(Table1[[#This Row],[Column13]]="","",Table1[[#This Row],[Column13]])&amp;IF(Table1[[#This Row],[mod]]="","",Table1[[#This Row],[mod]])</f>
        <v>character__.text-*-right</v>
      </c>
      <c r="K4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character__.text-*-right</v>
      </c>
      <c r="L476" t="s">
        <v>65</v>
      </c>
      <c r="O476" t="s">
        <v>3760</v>
      </c>
      <c r="P476" t="s">
        <v>3760</v>
      </c>
      <c r="Q4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6" s="29"/>
      <c r="AC476" s="25" t="s">
        <v>3760</v>
      </c>
      <c r="AD476" s="41"/>
      <c r="AE476" s="41"/>
      <c r="AF476" s="11"/>
      <c r="AH476" s="7" t="str">
        <f>Table1[[#This Row],[html_tag]]&amp;Table1[[#This Row],[html_type]]&amp;Table1[[#This Row],[html_modifier]]</f>
        <v/>
      </c>
      <c r="AJ476" s="76"/>
      <c r="AL476" s="23" t="str">
        <f>IFERROR(_xlfn.XLOOKUP(Table1[[#This Row],[word]],Table57[English style name],Table57[Style type]),"")</f>
        <v/>
      </c>
      <c r="AM476" s="21"/>
      <c r="AN476" s="11"/>
    </row>
    <row r="477" spans="5:44">
      <c r="E477" s="76"/>
      <c r="F4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7" s="13"/>
      <c r="H477" s="13"/>
      <c r="I477" s="12" t="str">
        <f>Table1[[#This Row],[type]]</f>
        <v>character</v>
      </c>
      <c r="J477" s="62" t="str">
        <f>Table1[[#This Row],[Column42]]&amp;IF(Table1[[#This Row],[Column13]]="","",Table1[[#This Row],[Column13]])&amp;IF(Table1[[#This Row],[mod]]="","",Table1[[#This Row],[mod]])</f>
        <v>character__.text-black-50</v>
      </c>
      <c r="K4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character__.text-black-50</v>
      </c>
      <c r="L477" t="s">
        <v>65</v>
      </c>
      <c r="O477" t="s">
        <v>3761</v>
      </c>
      <c r="P477" t="s">
        <v>3761</v>
      </c>
      <c r="Q4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7" s="29"/>
      <c r="AC477" s="25" t="s">
        <v>3761</v>
      </c>
      <c r="AD477" s="41"/>
      <c r="AE477" s="41"/>
      <c r="AF477" s="11"/>
      <c r="AH477" s="7" t="str">
        <f>Table1[[#This Row],[html_tag]]&amp;Table1[[#This Row],[html_type]]&amp;Table1[[#This Row],[html_modifier]]</f>
        <v/>
      </c>
      <c r="AJ477" s="76"/>
      <c r="AL477" s="23" t="str">
        <f>IFERROR(_xlfn.XLOOKUP(Table1[[#This Row],[word]],Table57[English style name],Table57[Style type]),"")</f>
        <v/>
      </c>
      <c r="AM477" s="21"/>
      <c r="AN477" s="11"/>
    </row>
    <row r="478" spans="5:44">
      <c r="E478" s="76"/>
      <c r="F4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8" s="13"/>
      <c r="H478" s="13"/>
      <c r="I478" s="12" t="str">
        <f>Table1[[#This Row],[type]]</f>
        <v>character</v>
      </c>
      <c r="J478" s="62" t="str">
        <f>Table1[[#This Row],[Column42]]&amp;IF(Table1[[#This Row],[Column13]]="","",Table1[[#This Row],[Column13]])&amp;IF(Table1[[#This Row],[mod]]="","",Table1[[#This Row],[mod]])</f>
        <v>character__.text-body</v>
      </c>
      <c r="K4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character__.text-body</v>
      </c>
      <c r="L478" t="s">
        <v>65</v>
      </c>
      <c r="O478" t="s">
        <v>3762</v>
      </c>
      <c r="P478" t="s">
        <v>3762</v>
      </c>
      <c r="Q4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8" s="29"/>
      <c r="AC478" s="25" t="s">
        <v>3762</v>
      </c>
      <c r="AD478" s="41"/>
      <c r="AE478" s="41"/>
      <c r="AF478" s="11"/>
      <c r="AH478" s="7" t="str">
        <f>Table1[[#This Row],[html_tag]]&amp;Table1[[#This Row],[html_type]]&amp;Table1[[#This Row],[html_modifier]]</f>
        <v/>
      </c>
      <c r="AJ478" s="76"/>
      <c r="AL478" s="23" t="str">
        <f>IFERROR(_xlfn.XLOOKUP(Table1[[#This Row],[word]],Table57[English style name],Table57[Style type]),"")</f>
        <v/>
      </c>
      <c r="AM478" s="21"/>
      <c r="AN478" s="11"/>
    </row>
    <row r="479" spans="5:44">
      <c r="E479" s="76"/>
      <c r="F4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9" s="13"/>
      <c r="H479" s="13"/>
      <c r="I479" s="12" t="str">
        <f>Table1[[#This Row],[type]]</f>
        <v>character</v>
      </c>
      <c r="J479" s="62" t="str">
        <f>Table1[[#This Row],[Column42]]&amp;IF(Table1[[#This Row],[Column13]]="","",Table1[[#This Row],[Column13]])&amp;IF(Table1[[#This Row],[mod]]="","",Table1[[#This Row],[mod]])</f>
        <v>character__.text-capitalize</v>
      </c>
      <c r="K4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character__.text-capitalize</v>
      </c>
      <c r="L479" t="s">
        <v>65</v>
      </c>
      <c r="O479" t="s">
        <v>3763</v>
      </c>
      <c r="P479" t="s">
        <v>3763</v>
      </c>
      <c r="Q4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9" s="29"/>
      <c r="AC479" s="25" t="s">
        <v>3763</v>
      </c>
      <c r="AD479" s="41"/>
      <c r="AE479" s="41"/>
      <c r="AF479" s="11"/>
      <c r="AH479" s="7" t="str">
        <f>Table1[[#This Row],[html_tag]]&amp;Table1[[#This Row],[html_type]]&amp;Table1[[#This Row],[html_modifier]]</f>
        <v/>
      </c>
      <c r="AJ479" s="76"/>
      <c r="AL479" s="23" t="str">
        <f>IFERROR(_xlfn.XLOOKUP(Table1[[#This Row],[word]],Table57[English style name],Table57[Style type]),"")</f>
        <v/>
      </c>
      <c r="AM479" s="21"/>
      <c r="AN479" s="11"/>
    </row>
    <row r="480" spans="5:44">
      <c r="E480" s="76"/>
      <c r="F4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0" s="13"/>
      <c r="H480" s="13"/>
      <c r="I480" s="12" t="str">
        <f>Table1[[#This Row],[type]]</f>
        <v>character</v>
      </c>
      <c r="J480" s="62" t="str">
        <f>Table1[[#This Row],[Column42]]&amp;IF(Table1[[#This Row],[Column13]]="","",Table1[[#This Row],[Column13]])&amp;IF(Table1[[#This Row],[mod]]="","",Table1[[#This Row],[mod]])</f>
        <v>character__.text-decoration-none</v>
      </c>
      <c r="K4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character__.text-decoration-none</v>
      </c>
      <c r="L480" t="s">
        <v>65</v>
      </c>
      <c r="O480" t="s">
        <v>3764</v>
      </c>
      <c r="P480" t="s">
        <v>3764</v>
      </c>
      <c r="Q48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0" s="29"/>
      <c r="AC480" s="25" t="s">
        <v>3764</v>
      </c>
      <c r="AD480" s="41"/>
      <c r="AE480" s="41"/>
      <c r="AF480" s="11"/>
      <c r="AH480" s="7" t="str">
        <f>Table1[[#This Row],[html_tag]]&amp;Table1[[#This Row],[html_type]]&amp;Table1[[#This Row],[html_modifier]]</f>
        <v/>
      </c>
      <c r="AJ480" s="76"/>
      <c r="AL480" s="23" t="str">
        <f>IFERROR(_xlfn.XLOOKUP(Table1[[#This Row],[word]],Table57[English style name],Table57[Style type]),"")</f>
        <v/>
      </c>
      <c r="AM480" s="21"/>
      <c r="AN480" s="11"/>
    </row>
    <row r="481" spans="3:44">
      <c r="E481" s="76"/>
      <c r="F4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1" s="13"/>
      <c r="H481" s="13"/>
      <c r="I481" s="12" t="str">
        <f>Table1[[#This Row],[type]]</f>
        <v>character</v>
      </c>
      <c r="J481" s="62" t="str">
        <f>Table1[[#This Row],[Column42]]&amp;IF(Table1[[#This Row],[Column13]]="","",Table1[[#This Row],[Column13]])&amp;IF(Table1[[#This Row],[mod]]="","",Table1[[#This Row],[mod]])</f>
        <v>character__.text-hide</v>
      </c>
      <c r="K4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character__.text-hide</v>
      </c>
      <c r="L481" t="s">
        <v>65</v>
      </c>
      <c r="O481" t="s">
        <v>3765</v>
      </c>
      <c r="P481" t="s">
        <v>3765</v>
      </c>
      <c r="Q48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1" s="29"/>
      <c r="AC481" s="25" t="s">
        <v>3765</v>
      </c>
      <c r="AD481" s="41"/>
      <c r="AE481" s="41"/>
      <c r="AF481" s="11"/>
      <c r="AH481" s="7" t="str">
        <f>Table1[[#This Row],[html_tag]]&amp;Table1[[#This Row],[html_type]]&amp;Table1[[#This Row],[html_modifier]]</f>
        <v/>
      </c>
      <c r="AL481" s="23" t="str">
        <f>IFERROR(_xlfn.XLOOKUP(Table1[[#This Row],[word]],Table57[English style name],Table57[Style type]),"")</f>
        <v/>
      </c>
      <c r="AM481" s="21"/>
      <c r="AN481" s="11"/>
    </row>
    <row r="482" spans="3:44">
      <c r="E482" s="76"/>
      <c r="F4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2" s="13"/>
      <c r="H482" s="13"/>
      <c r="I482" s="12" t="str">
        <f>Table1[[#This Row],[type]]</f>
        <v>character</v>
      </c>
      <c r="J482" s="62" t="str">
        <f>Table1[[#This Row],[Column42]]&amp;IF(Table1[[#This Row],[Column13]]="","",Table1[[#This Row],[Column13]])&amp;IF(Table1[[#This Row],[mod]]="","",Table1[[#This Row],[mod]])</f>
        <v>character__.text-justify</v>
      </c>
      <c r="K4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character__.text-justify</v>
      </c>
      <c r="L482" t="s">
        <v>65</v>
      </c>
      <c r="O482" t="s">
        <v>3766</v>
      </c>
      <c r="P482" t="s">
        <v>3766</v>
      </c>
      <c r="Q4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2" s="29"/>
      <c r="AC482" s="25" t="s">
        <v>3766</v>
      </c>
      <c r="AD482" s="41"/>
      <c r="AE482" s="41"/>
      <c r="AF482" s="11"/>
      <c r="AH482" s="7" t="str">
        <f>Table1[[#This Row],[html_tag]]&amp;Table1[[#This Row],[html_type]]&amp;Table1[[#This Row],[html_modifier]]</f>
        <v/>
      </c>
      <c r="AL482" s="23" t="str">
        <f>IFERROR(_xlfn.XLOOKUP(Table1[[#This Row],[word]],Table57[English style name],Table57[Style type]),"")</f>
        <v/>
      </c>
      <c r="AM482" s="21"/>
      <c r="AN482" s="11"/>
    </row>
    <row r="483" spans="3:44">
      <c r="E483" s="76"/>
      <c r="F4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3" s="13"/>
      <c r="H483" s="13"/>
      <c r="I483" s="12" t="str">
        <f>Table1[[#This Row],[type]]</f>
        <v>character</v>
      </c>
      <c r="J483" s="62" t="str">
        <f>Table1[[#This Row],[Column42]]&amp;IF(Table1[[#This Row],[Column13]]="","",Table1[[#This Row],[Column13]])&amp;IF(Table1[[#This Row],[mod]]="","",Table1[[#This Row],[mod]])</f>
        <v>character__.text-monospace</v>
      </c>
      <c r="K4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character__.text-monospace</v>
      </c>
      <c r="L483" t="s">
        <v>65</v>
      </c>
      <c r="O483" t="s">
        <v>3768</v>
      </c>
      <c r="P483" t="s">
        <v>3768</v>
      </c>
      <c r="Q48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3" s="29"/>
      <c r="AC483" s="25" t="s">
        <v>3768</v>
      </c>
      <c r="AD483" s="41"/>
      <c r="AE483" s="41"/>
      <c r="AF483" s="11"/>
      <c r="AH483" s="7" t="str">
        <f>Table1[[#This Row],[html_tag]]&amp;Table1[[#This Row],[html_type]]&amp;Table1[[#This Row],[html_modifier]]</f>
        <v/>
      </c>
      <c r="AL483" s="23" t="str">
        <f>IFERROR(_xlfn.XLOOKUP(Table1[[#This Row],[word]],Table57[English style name],Table57[Style type]),"")</f>
        <v/>
      </c>
      <c r="AM483" s="21"/>
      <c r="AN483" s="11"/>
    </row>
    <row r="484" spans="3:44">
      <c r="E484" s="76"/>
      <c r="F4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4" s="13"/>
      <c r="H484" s="13"/>
      <c r="I484" s="12" t="str">
        <f>Table1[[#This Row],[type]]</f>
        <v>character</v>
      </c>
      <c r="J484" s="62" t="str">
        <f>Table1[[#This Row],[Column42]]&amp;IF(Table1[[#This Row],[Column13]]="","",Table1[[#This Row],[Column13]])&amp;IF(Table1[[#This Row],[mod]]="","",Table1[[#This Row],[mod]])</f>
        <v>character__.text-muted</v>
      </c>
      <c r="K4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character__.text-muted</v>
      </c>
      <c r="L484" t="s">
        <v>65</v>
      </c>
      <c r="O484" t="s">
        <v>3769</v>
      </c>
      <c r="P484" t="s">
        <v>3769</v>
      </c>
      <c r="Q48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4" s="29"/>
      <c r="AC484" s="25" t="s">
        <v>3769</v>
      </c>
      <c r="AD484" s="41"/>
      <c r="AE484" s="41"/>
      <c r="AF484" s="11"/>
      <c r="AH484" s="7" t="str">
        <f>Table1[[#This Row],[html_tag]]&amp;Table1[[#This Row],[html_type]]&amp;Table1[[#This Row],[html_modifier]]</f>
        <v/>
      </c>
      <c r="AL484" s="23" t="str">
        <f>IFERROR(_xlfn.XLOOKUP(Table1[[#This Row],[word]],Table57[English style name],Table57[Style type]),"")</f>
        <v/>
      </c>
      <c r="AM484" s="21"/>
      <c r="AN484" s="11"/>
    </row>
    <row r="485" spans="3:44">
      <c r="E485" s="76"/>
      <c r="F4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5" s="13"/>
      <c r="H485" s="13"/>
      <c r="I485" s="12" t="str">
        <f>Table1[[#This Row],[type]]</f>
        <v>character</v>
      </c>
      <c r="J485" s="62" t="str">
        <f>Table1[[#This Row],[Column42]]&amp;IF(Table1[[#This Row],[Column13]]="","",Table1[[#This Row],[Column13]])&amp;IF(Table1[[#This Row],[mod]]="","",Table1[[#This Row],[mod]])</f>
        <v>character__.text-nowrap</v>
      </c>
      <c r="K4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character__.text-nowrap</v>
      </c>
      <c r="L485" t="s">
        <v>65</v>
      </c>
      <c r="O485" t="s">
        <v>3770</v>
      </c>
      <c r="P485" t="s">
        <v>3770</v>
      </c>
      <c r="Q4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5" s="29"/>
      <c r="AC485" s="25" t="s">
        <v>3770</v>
      </c>
      <c r="AD485" s="41"/>
      <c r="AE485" s="41"/>
      <c r="AF485" s="11"/>
      <c r="AH485" s="7" t="str">
        <f>Table1[[#This Row],[html_tag]]&amp;Table1[[#This Row],[html_type]]&amp;Table1[[#This Row],[html_modifier]]</f>
        <v/>
      </c>
      <c r="AJ485" s="76"/>
      <c r="AL485" s="23" t="str">
        <f>IFERROR(_xlfn.XLOOKUP(Table1[[#This Row],[word]],Table57[English style name],Table57[Style type]),"")</f>
        <v/>
      </c>
      <c r="AM485" s="21"/>
      <c r="AN485" s="11"/>
    </row>
    <row r="486" spans="3:44">
      <c r="E486" s="76"/>
      <c r="F4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6" s="13"/>
      <c r="H486" s="13"/>
      <c r="I486" s="12" t="str">
        <f>Table1[[#This Row],[type]]</f>
        <v>character</v>
      </c>
      <c r="J486" s="62" t="str">
        <f>Table1[[#This Row],[Column42]]&amp;IF(Table1[[#This Row],[Column13]]="","",Table1[[#This Row],[Column13]])&amp;IF(Table1[[#This Row],[mod]]="","",Table1[[#This Row],[mod]])</f>
        <v>character__.text-truncate</v>
      </c>
      <c r="K4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character__.text-truncate</v>
      </c>
      <c r="L486" t="s">
        <v>65</v>
      </c>
      <c r="O486" t="s">
        <v>3771</v>
      </c>
      <c r="P486" t="s">
        <v>3771</v>
      </c>
      <c r="Q48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6" s="29"/>
      <c r="AC486" s="25" t="s">
        <v>3771</v>
      </c>
      <c r="AD486" s="41"/>
      <c r="AE486" s="41"/>
      <c r="AF486" s="11"/>
      <c r="AH486" s="7" t="str">
        <f>Table1[[#This Row],[html_tag]]&amp;Table1[[#This Row],[html_type]]&amp;Table1[[#This Row],[html_modifier]]</f>
        <v/>
      </c>
      <c r="AJ486" s="76"/>
      <c r="AL486" s="23" t="str">
        <f>IFERROR(_xlfn.XLOOKUP(Table1[[#This Row],[word]],Table57[English style name],Table57[Style type]),"")</f>
        <v/>
      </c>
      <c r="AM486" s="21"/>
      <c r="AN486" s="11"/>
    </row>
    <row r="487" spans="3:44">
      <c r="E487" s="76"/>
      <c r="F4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7" s="13"/>
      <c r="H487" s="13"/>
      <c r="I487" s="12" t="str">
        <f>Table1[[#This Row],[type]]</f>
        <v>character</v>
      </c>
      <c r="J487" s="62" t="str">
        <f>Table1[[#This Row],[Column42]]&amp;IF(Table1[[#This Row],[Column13]]="","",Table1[[#This Row],[Column13]])&amp;IF(Table1[[#This Row],[mod]]="","",Table1[[#This Row],[mod]])</f>
        <v>character__.text-white-50</v>
      </c>
      <c r="K4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character__.text-white-50</v>
      </c>
      <c r="L487" t="s">
        <v>65</v>
      </c>
      <c r="O487" t="s">
        <v>3773</v>
      </c>
      <c r="P487" t="s">
        <v>3773</v>
      </c>
      <c r="Q48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7" s="29"/>
      <c r="AC487" s="25" t="s">
        <v>3773</v>
      </c>
      <c r="AD487" s="41"/>
      <c r="AE487" s="41"/>
      <c r="AF487" s="11"/>
      <c r="AH487" s="7" t="str">
        <f>Table1[[#This Row],[html_tag]]&amp;Table1[[#This Row],[html_type]]&amp;Table1[[#This Row],[html_modifier]]</f>
        <v/>
      </c>
      <c r="AJ487" s="76"/>
      <c r="AL487" s="23" t="str">
        <f>IFERROR(_xlfn.XLOOKUP(Table1[[#This Row],[word]],Table57[English style name],Table57[Style type]),"")</f>
        <v/>
      </c>
      <c r="AM487" s="21"/>
      <c r="AN487" s="11"/>
    </row>
    <row r="488" spans="3:44">
      <c r="E488" s="76"/>
      <c r="F4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8" s="13"/>
      <c r="H488" s="13"/>
      <c r="I488" s="12" t="str">
        <f>Table1[[#This Row],[type]]</f>
        <v>character</v>
      </c>
      <c r="J488" s="62" t="str">
        <f>Table1[[#This Row],[Column42]]&amp;IF(Table1[[#This Row],[Column13]]="","",Table1[[#This Row],[Column13]])&amp;IF(Table1[[#This Row],[mod]]="","",Table1[[#This Row],[mod]])</f>
        <v>character__&lt;q&gt;</v>
      </c>
      <c r="K4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character__&lt;q&gt;</v>
      </c>
      <c r="L488" t="s">
        <v>65</v>
      </c>
      <c r="O488" t="s">
        <v>249</v>
      </c>
      <c r="Q48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8" s="29"/>
      <c r="AC488" s="25"/>
      <c r="AD488" s="41"/>
      <c r="AE488" s="41"/>
      <c r="AF488" s="11" t="s">
        <v>249</v>
      </c>
      <c r="AH488" s="1" t="str">
        <f>Table1[[#This Row],[html_tag]]&amp;Table1[[#This Row],[html_type]]&amp;Table1[[#This Row],[html_modifier]]</f>
        <v>&lt;q&gt;</v>
      </c>
      <c r="AI488" t="s">
        <v>249</v>
      </c>
      <c r="AL488" s="22" t="str">
        <f>IFERROR(_xlfn.XLOOKUP(Table1[[#This Row],[word]],Table57[English style name],Table57[Style type]),"")</f>
        <v/>
      </c>
      <c r="AM488" s="20"/>
      <c r="AN488" s="11"/>
    </row>
    <row r="489" spans="3:44">
      <c r="E489" s="76"/>
      <c r="F4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9" s="13"/>
      <c r="H489" s="13"/>
      <c r="I489" s="12" t="str">
        <f>Table1[[#This Row],[type]]</f>
        <v>character</v>
      </c>
      <c r="J489" s="62" t="str">
        <f>Table1[[#This Row],[Column42]]&amp;IF(Table1[[#This Row],[Column13]]="","",Table1[[#This Row],[Column13]])&amp;IF(Table1[[#This Row],[mod]]="","",Table1[[#This Row],[mod]])</f>
        <v>character__&lt;strike&gt;</v>
      </c>
      <c r="K4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character__&lt;strike&gt;</v>
      </c>
      <c r="L489" t="s">
        <v>65</v>
      </c>
      <c r="O489" t="s">
        <v>271</v>
      </c>
      <c r="Q48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9" s="29"/>
      <c r="AC489" s="25"/>
      <c r="AD489" s="41"/>
      <c r="AE489" s="41"/>
      <c r="AF489" s="11" t="s">
        <v>271</v>
      </c>
      <c r="AH489" s="1" t="str">
        <f>Table1[[#This Row],[html_tag]]&amp;Table1[[#This Row],[html_type]]&amp;Table1[[#This Row],[html_modifier]]</f>
        <v>&lt;strike&gt;</v>
      </c>
      <c r="AI489" t="s">
        <v>271</v>
      </c>
      <c r="AL489" s="22" t="str">
        <f>IFERROR(_xlfn.XLOOKUP(Table1[[#This Row],[word]],Table57[English style name],Table57[Style type]),"")</f>
        <v/>
      </c>
      <c r="AM489" s="20"/>
      <c r="AN489" s="11"/>
    </row>
    <row r="490" spans="3:44">
      <c r="E490" s="76"/>
      <c r="F4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0" s="13"/>
      <c r="H490" s="13"/>
      <c r="I490" s="12" t="str">
        <f>Table1[[#This Row],[type]]</f>
        <v>character</v>
      </c>
      <c r="J490" s="62" t="str">
        <f>Table1[[#This Row],[Column42]]&amp;IF(Table1[[#This Row],[Column13]]="","",Table1[[#This Row],[Column13]])&amp;IF(Table1[[#This Row],[mod]]="","",Table1[[#This Row],[mod]])</f>
        <v>character__&lt;strong&gt;</v>
      </c>
      <c r="K4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character__&lt;strong&gt;</v>
      </c>
      <c r="L490" t="s">
        <v>65</v>
      </c>
      <c r="O490" t="s">
        <v>67</v>
      </c>
      <c r="Q49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0" s="29"/>
      <c r="AC490" s="25"/>
      <c r="AD490" s="41"/>
      <c r="AE490" s="41"/>
      <c r="AF490" s="11" t="s">
        <v>67</v>
      </c>
      <c r="AH490" s="1" t="str">
        <f>Table1[[#This Row],[html_tag]]&amp;Table1[[#This Row],[html_type]]&amp;Table1[[#This Row],[html_modifier]]</f>
        <v>&lt;strong&gt;</v>
      </c>
      <c r="AI490" t="s">
        <v>67</v>
      </c>
      <c r="AL490" s="22" t="str">
        <f>IFERROR(_xlfn.XLOOKUP(Table1[[#This Row],[word]],Table57[English style name],Table57[Style type]),"")</f>
        <v/>
      </c>
      <c r="AM490" s="20"/>
      <c r="AN490" s="11"/>
    </row>
    <row r="491" spans="3:44">
      <c r="E491" s="76"/>
      <c r="F4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1" s="13" t="s">
        <v>2992</v>
      </c>
      <c r="H491" s="13" t="s">
        <v>1</v>
      </c>
      <c r="I491" s="12" t="str">
        <f>Table1[[#This Row],[type]]</f>
        <v>character</v>
      </c>
      <c r="J491" s="62" t="str">
        <f>Table1[[#This Row],[Column42]]&amp;IF(Table1[[#This Row],[Column13]]="","",Table1[[#This Row],[Column13]])&amp;IF(Table1[[#This Row],[mod]]="","",Table1[[#This Row],[mod]])</f>
        <v>character__abbreviation</v>
      </c>
      <c r="K4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character__abbreviation</v>
      </c>
      <c r="L491" t="s">
        <v>65</v>
      </c>
      <c r="M491" t="s">
        <v>2997</v>
      </c>
      <c r="Q4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1" s="29"/>
      <c r="AC491" s="25"/>
      <c r="AD491" s="41"/>
      <c r="AE491" s="41"/>
      <c r="AF491" s="11"/>
      <c r="AH491" s="1" t="str">
        <f>Table1[[#This Row],[html_tag]]&amp;Table1[[#This Row],[html_type]]&amp;Table1[[#This Row],[html_modifier]]</f>
        <v/>
      </c>
      <c r="AI491" s="19"/>
      <c r="AJ491" s="76"/>
      <c r="AL491" s="22" t="str">
        <f>IFERROR(_xlfn.XLOOKUP(Table1[[#This Row],[word]],Table57[English style name],Table57[Style type]),"")</f>
        <v/>
      </c>
      <c r="AM491" s="20"/>
      <c r="AN491" s="11"/>
      <c r="AQ491" s="14" t="s">
        <v>2468</v>
      </c>
      <c r="AR491" t="s">
        <v>2467</v>
      </c>
    </row>
    <row r="492" spans="3:44">
      <c r="E492" s="76"/>
      <c r="F4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2" s="13" t="s">
        <v>2992</v>
      </c>
      <c r="H492" s="13" t="s">
        <v>1</v>
      </c>
      <c r="I492" s="12" t="str">
        <f>Table1[[#This Row],[type]]</f>
        <v>character</v>
      </c>
      <c r="J492" s="62" t="str">
        <f>Table1[[#This Row],[Column42]]&amp;IF(Table1[[#This Row],[Column13]]="","",Table1[[#This Row],[Column13]])&amp;IF(Table1[[#This Row],[mod]]="","",Table1[[#This Row],[mod]])</f>
        <v>character__abbreviation--base</v>
      </c>
      <c r="K4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character__abbreviation</v>
      </c>
      <c r="L492" t="s">
        <v>65</v>
      </c>
      <c r="M492" t="s">
        <v>2997</v>
      </c>
      <c r="P492" s="14"/>
      <c r="Q4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92" t="s">
        <v>338</v>
      </c>
      <c r="AB492" s="29"/>
      <c r="AC492" s="25"/>
      <c r="AD492" s="41"/>
      <c r="AE492" s="41"/>
      <c r="AF492" s="11" t="s">
        <v>105</v>
      </c>
      <c r="AH492" s="1" t="str">
        <f>Table1[[#This Row],[html_tag]]&amp;Table1[[#This Row],[html_type]]&amp;Table1[[#This Row],[html_modifier]]</f>
        <v>&lt;abbr&gt;</v>
      </c>
      <c r="AI492" t="s">
        <v>105</v>
      </c>
      <c r="AJ492" s="76"/>
      <c r="AL492" s="22" t="str">
        <f>IFERROR(_xlfn.XLOOKUP(Table1[[#This Row],[word]],Table57[English style name],Table57[Style type]),"")</f>
        <v/>
      </c>
      <c r="AM492" s="20"/>
      <c r="AN492" s="11"/>
      <c r="AQ492" s="14" t="s">
        <v>2466</v>
      </c>
      <c r="AR492" t="s">
        <v>2467</v>
      </c>
    </row>
    <row r="493" spans="3:44">
      <c r="E493" s="76"/>
      <c r="F4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3" s="13" t="s">
        <v>2992</v>
      </c>
      <c r="H493" s="13" t="s">
        <v>1</v>
      </c>
      <c r="I493" s="12" t="str">
        <f>Table1[[#This Row],[type]]</f>
        <v>character</v>
      </c>
      <c r="J493" s="62" t="str">
        <f>Table1[[#This Row],[Column42]]&amp;IF(Table1[[#This Row],[Column13]]="","",Table1[[#This Row],[Column13]])&amp;IF(Table1[[#This Row],[mod]]="","",Table1[[#This Row],[mod]])</f>
        <v>character__abbreviation--touchscreen</v>
      </c>
      <c r="K4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character__abbreviation</v>
      </c>
      <c r="L493" t="s">
        <v>65</v>
      </c>
      <c r="M493" t="s">
        <v>2997</v>
      </c>
      <c r="P493" s="14"/>
      <c r="Q4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--touchscreen</v>
      </c>
      <c r="R493" t="s">
        <v>3195</v>
      </c>
      <c r="U4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3" s="29"/>
      <c r="AC493" s="25"/>
      <c r="AD493" s="41"/>
      <c r="AE493" s="41"/>
      <c r="AF493" s="11"/>
      <c r="AH493" s="1" t="str">
        <f>Table1[[#This Row],[html_tag]]&amp;Table1[[#This Row],[html_type]]&amp;Table1[[#This Row],[html_modifier]]</f>
        <v/>
      </c>
      <c r="AJ493" s="76"/>
      <c r="AL493" s="22" t="str">
        <f>IFERROR(_xlfn.XLOOKUP(Table1[[#This Row],[word]],Table57[English style name],Table57[Style type]),"")</f>
        <v/>
      </c>
      <c r="AM493" s="20"/>
      <c r="AN493" s="11"/>
      <c r="AQ493" s="14" t="s">
        <v>2469</v>
      </c>
      <c r="AR493" t="s">
        <v>2467</v>
      </c>
    </row>
    <row r="494" spans="3:44">
      <c r="C494">
        <v>1</v>
      </c>
      <c r="D494" t="s">
        <v>3397</v>
      </c>
      <c r="E494" s="76"/>
      <c r="F4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4" s="13" t="s">
        <v>2992</v>
      </c>
      <c r="H494" s="13" t="s">
        <v>1</v>
      </c>
      <c r="I494" s="12" t="str">
        <f>Table1[[#This Row],[type]]</f>
        <v>character</v>
      </c>
      <c r="J494" s="62" t="str">
        <f>Table1[[#This Row],[Column42]]&amp;IF(Table1[[#This Row],[Column13]]="","",Table1[[#This Row],[Column13]])&amp;IF(Table1[[#This Row],[mod]]="","",Table1[[#This Row],[mod]])</f>
        <v>character__acronym</v>
      </c>
      <c r="K4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character__acronym</v>
      </c>
      <c r="L494" t="s">
        <v>65</v>
      </c>
      <c r="M494" t="s">
        <v>365</v>
      </c>
      <c r="Q49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4" s="29"/>
      <c r="AC494" s="25"/>
      <c r="AD494" s="41"/>
      <c r="AE494" s="41"/>
      <c r="AF494" s="11" t="s">
        <v>107</v>
      </c>
      <c r="AH494" s="1" t="str">
        <f>Table1[[#This Row],[html_tag]]&amp;Table1[[#This Row],[html_type]]&amp;Table1[[#This Row],[html_modifier]]</f>
        <v>&lt;acronym&gt;</v>
      </c>
      <c r="AI494" t="s">
        <v>107</v>
      </c>
      <c r="AJ494" s="76"/>
      <c r="AL494" s="22" t="str">
        <f>IFERROR(_xlfn.XLOOKUP(Table1[[#This Row],[word]],Table57[English style name],Table57[Style type]),"")</f>
        <v>Character</v>
      </c>
      <c r="AM494" s="20" t="s">
        <v>650</v>
      </c>
      <c r="AN494" s="11"/>
    </row>
    <row r="495" spans="3:44">
      <c r="E495" s="76"/>
      <c r="F4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5" s="13" t="s">
        <v>2992</v>
      </c>
      <c r="H495" s="13" t="s">
        <v>1</v>
      </c>
      <c r="I495" s="12" t="str">
        <f>Table1[[#This Row],[type]]</f>
        <v>character</v>
      </c>
      <c r="J495" s="62" t="str">
        <f>Table1[[#This Row],[Column42]]&amp;IF(Table1[[#This Row],[Column13]]="","",Table1[[#This Row],[Column13]])&amp;IF(Table1[[#This Row],[mod]]="","",Table1[[#This Row],[mod]])</f>
        <v>character__bold</v>
      </c>
      <c r="K4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character__bold</v>
      </c>
      <c r="L495" t="s">
        <v>65</v>
      </c>
      <c r="M495" t="s">
        <v>3000</v>
      </c>
      <c r="P495" s="6"/>
      <c r="Q4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5" s="29"/>
      <c r="AC495" s="25"/>
      <c r="AD495" s="41"/>
      <c r="AE495" s="41"/>
      <c r="AF495" s="11" t="s">
        <v>120</v>
      </c>
      <c r="AH495" s="1" t="str">
        <f>Table1[[#This Row],[html_tag]]&amp;Table1[[#This Row],[html_type]]&amp;Table1[[#This Row],[html_modifier]]</f>
        <v>&lt;b&gt;</v>
      </c>
      <c r="AI495" t="s">
        <v>120</v>
      </c>
      <c r="AJ495" s="76"/>
      <c r="AL495" s="22" t="str">
        <f>IFERROR(_xlfn.XLOOKUP(Table1[[#This Row],[word]],Table57[English style name],Table57[Style type]),"")</f>
        <v/>
      </c>
      <c r="AM495" s="20"/>
      <c r="AN495" s="11"/>
      <c r="AQ495" s="6" t="s">
        <v>2662</v>
      </c>
      <c r="AR495" t="s">
        <v>2663</v>
      </c>
    </row>
    <row r="496" spans="3:44">
      <c r="C496">
        <v>1</v>
      </c>
      <c r="D496" t="s">
        <v>3215</v>
      </c>
      <c r="E496" s="76"/>
      <c r="F4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6" s="13" t="s">
        <v>2992</v>
      </c>
      <c r="H496" s="13" t="s">
        <v>1</v>
      </c>
      <c r="I496" s="12" t="str">
        <f>Table1[[#This Row],[type]]</f>
        <v>character</v>
      </c>
      <c r="J496" s="62" t="str">
        <f>Table1[[#This Row],[Column42]]&amp;IF(Table1[[#This Row],[Column13]]="","",Table1[[#This Row],[Column13]])&amp;IF(Table1[[#This Row],[mod]]="","",Table1[[#This Row],[mod]])</f>
        <v>character__book__title</v>
      </c>
      <c r="K4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character__book__title</v>
      </c>
      <c r="L496" t="s">
        <v>65</v>
      </c>
      <c r="M496" t="s">
        <v>3378</v>
      </c>
      <c r="O496" t="s">
        <v>333</v>
      </c>
      <c r="Q49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6" s="29"/>
      <c r="AC496" s="25"/>
      <c r="AD496" s="41"/>
      <c r="AE496" s="41"/>
      <c r="AF496" s="11" t="s">
        <v>144</v>
      </c>
      <c r="AG496" t="s">
        <v>144</v>
      </c>
      <c r="AH496" s="1" t="str">
        <f>Table1[[#This Row],[html_tag]]&amp;Table1[[#This Row],[html_type]]&amp;Table1[[#This Row],[html_modifier]]</f>
        <v/>
      </c>
      <c r="AL496" s="22" t="str">
        <f>IFERROR(_xlfn.XLOOKUP(Table1[[#This Row],[word]],Table57[English style name],Table57[Style type]),"")</f>
        <v>Character</v>
      </c>
      <c r="AM496" s="20" t="s">
        <v>676</v>
      </c>
      <c r="AN496" s="11"/>
    </row>
    <row r="497" spans="3:46">
      <c r="C497">
        <v>1</v>
      </c>
      <c r="D497" t="s">
        <v>3397</v>
      </c>
      <c r="E497" s="76"/>
      <c r="F4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7" s="13" t="s">
        <v>2992</v>
      </c>
      <c r="H497" s="13" t="s">
        <v>1</v>
      </c>
      <c r="I497" s="12" t="str">
        <f>Table1[[#This Row],[type]]</f>
        <v>character</v>
      </c>
      <c r="J497" s="62" t="str">
        <f>Table1[[#This Row],[Column42]]&amp;IF(Table1[[#This Row],[Column13]]="","",Table1[[#This Row],[Column13]])&amp;IF(Table1[[#This Row],[mod]]="","",Table1[[#This Row],[mod]])</f>
        <v>character__cite</v>
      </c>
      <c r="K4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character__cite</v>
      </c>
      <c r="L497" t="s">
        <v>65</v>
      </c>
      <c r="M497" t="s">
        <v>428</v>
      </c>
      <c r="Q4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7" s="29"/>
      <c r="AC497" s="25"/>
      <c r="AD497" s="41"/>
      <c r="AE497" s="41"/>
      <c r="AF497" s="11" t="s">
        <v>144</v>
      </c>
      <c r="AG497" t="s">
        <v>144</v>
      </c>
      <c r="AH497" s="1" t="str">
        <f>Table1[[#This Row],[html_tag]]&amp;Table1[[#This Row],[html_type]]&amp;Table1[[#This Row],[html_modifier]]</f>
        <v>&lt;cite&gt;</v>
      </c>
      <c r="AI497" t="s">
        <v>144</v>
      </c>
      <c r="AJ497" s="76"/>
      <c r="AL497" s="22" t="str">
        <f>IFERROR(_xlfn.XLOOKUP(Table1[[#This Row],[word]],Table57[English style name],Table57[Style type]),"")</f>
        <v>Character</v>
      </c>
      <c r="AM497" s="20" t="s">
        <v>652</v>
      </c>
      <c r="AN497" s="11"/>
      <c r="AQ497" s="6" t="s">
        <v>1440</v>
      </c>
      <c r="AR497" t="s">
        <v>1441</v>
      </c>
    </row>
    <row r="498" spans="3:46">
      <c r="C498">
        <v>1</v>
      </c>
      <c r="E498" s="76"/>
      <c r="F4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8" s="13" t="s">
        <v>2992</v>
      </c>
      <c r="H498" s="13" t="s">
        <v>1</v>
      </c>
      <c r="I498" s="12" t="str">
        <f>Table1[[#This Row],[type]]</f>
        <v>character</v>
      </c>
      <c r="J498" s="62" t="str">
        <f>Table1[[#This Row],[Column42]]&amp;IF(Table1[[#This Row],[Column13]]="","",Table1[[#This Row],[Column13]])&amp;IF(Table1[[#This Row],[mod]]="","",Table1[[#This Row],[mod]])</f>
        <v>character__code</v>
      </c>
      <c r="K4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character__code</v>
      </c>
      <c r="L498" t="s">
        <v>65</v>
      </c>
      <c r="M498" t="s">
        <v>432</v>
      </c>
      <c r="Q49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8" s="29"/>
      <c r="AC498" s="25"/>
      <c r="AD498" s="41"/>
      <c r="AE498" s="41"/>
      <c r="AF498" s="11" t="s">
        <v>310</v>
      </c>
      <c r="AH498" s="1" t="str">
        <f>Table1[[#This Row],[html_tag]]&amp;Table1[[#This Row],[html_type]]&amp;Table1[[#This Row],[html_modifier]]</f>
        <v>&lt;var&gt;</v>
      </c>
      <c r="AI498" t="s">
        <v>310</v>
      </c>
      <c r="AJ498" s="76"/>
      <c r="AL498" s="22" t="str">
        <f>IFERROR(_xlfn.XLOOKUP(Table1[[#This Row],[word]],Table57[English style name],Table57[Style type]),"")</f>
        <v>Character</v>
      </c>
      <c r="AM498" s="20" t="s">
        <v>664</v>
      </c>
      <c r="AN498" s="11"/>
    </row>
    <row r="499" spans="3:46">
      <c r="C499">
        <v>1</v>
      </c>
      <c r="D499" t="s">
        <v>3397</v>
      </c>
      <c r="E499" s="76"/>
      <c r="F4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9" s="13" t="s">
        <v>2992</v>
      </c>
      <c r="H499" s="13" t="s">
        <v>1</v>
      </c>
      <c r="I499" s="12" t="str">
        <f>Table1[[#This Row],[type]]</f>
        <v>character</v>
      </c>
      <c r="J499" s="62" t="str">
        <f>Table1[[#This Row],[Column42]]&amp;IF(Table1[[#This Row],[Column13]]="","",Table1[[#This Row],[Column13]])&amp;IF(Table1[[#This Row],[mod]]="","",Table1[[#This Row],[mod]])</f>
        <v>character__code</v>
      </c>
      <c r="K4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character__code</v>
      </c>
      <c r="L499" t="s">
        <v>65</v>
      </c>
      <c r="M499" t="s">
        <v>432</v>
      </c>
      <c r="Q49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9" s="29"/>
      <c r="AC499" s="25"/>
      <c r="AD499" s="41"/>
      <c r="AE499" s="41"/>
      <c r="AF499" s="11" t="s">
        <v>207</v>
      </c>
      <c r="AH499" s="1" t="str">
        <f>Table1[[#This Row],[html_tag]]&amp;Table1[[#This Row],[html_type]]&amp;Table1[[#This Row],[html_modifier]]</f>
        <v>&lt;kbd&gt;</v>
      </c>
      <c r="AI499" t="s">
        <v>207</v>
      </c>
      <c r="AJ499" s="76"/>
      <c r="AL499" s="22" t="str">
        <f>IFERROR(_xlfn.XLOOKUP(Table1[[#This Row],[word]],Table57[English style name],Table57[Style type]),"")</f>
        <v>Character</v>
      </c>
      <c r="AM499" s="20" t="s">
        <v>658</v>
      </c>
      <c r="AN499" s="11"/>
    </row>
    <row r="500" spans="3:46">
      <c r="C500">
        <v>1</v>
      </c>
      <c r="D500" t="s">
        <v>3397</v>
      </c>
      <c r="E500" s="76"/>
      <c r="F5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0" s="13" t="s">
        <v>2992</v>
      </c>
      <c r="H500" s="13" t="s">
        <v>1</v>
      </c>
      <c r="I500" s="12" t="str">
        <f>Table1[[#This Row],[type]]</f>
        <v>character</v>
      </c>
      <c r="J500" s="62" t="str">
        <f>Table1[[#This Row],[Column42]]&amp;IF(Table1[[#This Row],[Column13]]="","",Table1[[#This Row],[Column13]])&amp;IF(Table1[[#This Row],[mod]]="","",Table1[[#This Row],[mod]])</f>
        <v>character__code</v>
      </c>
      <c r="K5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character__code</v>
      </c>
      <c r="L500" t="s">
        <v>65</v>
      </c>
      <c r="M500" t="s">
        <v>432</v>
      </c>
      <c r="Q5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0" s="29"/>
      <c r="AC500" s="25"/>
      <c r="AD500" s="41"/>
      <c r="AE500" s="41"/>
      <c r="AF500" s="11" t="s">
        <v>146</v>
      </c>
      <c r="AH500" s="1" t="str">
        <f>Table1[[#This Row],[html_tag]]&amp;Table1[[#This Row],[html_type]]&amp;Table1[[#This Row],[html_modifier]]</f>
        <v>&lt;code&gt;</v>
      </c>
      <c r="AI500" t="s">
        <v>146</v>
      </c>
      <c r="AJ500" s="76"/>
      <c r="AL500" s="22" t="str">
        <f>IFERROR(_xlfn.XLOOKUP(Table1[[#This Row],[word]],Table57[English style name],Table57[Style type]),"")</f>
        <v>Character</v>
      </c>
      <c r="AM500" s="20" t="s">
        <v>654</v>
      </c>
      <c r="AN500" s="11"/>
      <c r="AQ500" s="6" t="s">
        <v>2470</v>
      </c>
      <c r="AR500" t="s">
        <v>2471</v>
      </c>
    </row>
    <row r="501" spans="3:46">
      <c r="C501">
        <v>1</v>
      </c>
      <c r="D501" t="s">
        <v>3215</v>
      </c>
      <c r="E501" s="76"/>
      <c r="F5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1" s="13" t="s">
        <v>2992</v>
      </c>
      <c r="H501" s="13" t="s">
        <v>1</v>
      </c>
      <c r="I501" s="12" t="str">
        <f>Table1[[#This Row],[type]]</f>
        <v>character</v>
      </c>
      <c r="J501" s="62" t="str">
        <f>Table1[[#This Row],[Column42]]&amp;IF(Table1[[#This Row],[Column13]]="","",Table1[[#This Row],[Column13]])&amp;IF(Table1[[#This Row],[mod]]="","",Table1[[#This Row],[mod]])</f>
        <v>character__default</v>
      </c>
      <c r="K5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character__default</v>
      </c>
      <c r="L501" t="s">
        <v>65</v>
      </c>
      <c r="M501" t="s">
        <v>3004</v>
      </c>
      <c r="Q5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1" s="29"/>
      <c r="AC501" s="25"/>
      <c r="AD501" s="41"/>
      <c r="AE501" s="41"/>
      <c r="AF501" s="11" t="s">
        <v>239</v>
      </c>
      <c r="AG501" t="s">
        <v>239</v>
      </c>
      <c r="AH501" s="1" t="str">
        <f>Table1[[#This Row],[html_tag]]&amp;Table1[[#This Row],[html_type]]&amp;Table1[[#This Row],[html_modifier]]</f>
        <v/>
      </c>
      <c r="AJ501" s="76"/>
      <c r="AL501" s="22" t="str">
        <f>IFERROR(_xlfn.XLOOKUP(Table1[[#This Row],[word]],Table57[English style name],Table57[Style type]),"")</f>
        <v>Character</v>
      </c>
      <c r="AM501" s="20" t="s">
        <v>642</v>
      </c>
      <c r="AN501" s="11"/>
    </row>
    <row r="502" spans="3:46">
      <c r="C502">
        <v>1</v>
      </c>
      <c r="D502" t="s">
        <v>3397</v>
      </c>
      <c r="E502" s="76"/>
      <c r="F5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2" s="13" t="s">
        <v>2992</v>
      </c>
      <c r="H502" s="13" t="s">
        <v>1</v>
      </c>
      <c r="I502" s="12" t="str">
        <f>Table1[[#This Row],[type]]</f>
        <v>character</v>
      </c>
      <c r="J502" s="62" t="str">
        <f>Table1[[#This Row],[Column42]]&amp;IF(Table1[[#This Row],[Column13]]="","",Table1[[#This Row],[Column13]])&amp;IF(Table1[[#This Row],[mod]]="","",Table1[[#This Row],[mod]])</f>
        <v>character__definition</v>
      </c>
      <c r="K5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character__definition</v>
      </c>
      <c r="L502" t="s">
        <v>65</v>
      </c>
      <c r="M502" t="s">
        <v>342</v>
      </c>
      <c r="Q50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2" s="29"/>
      <c r="AC502" s="25"/>
      <c r="AD502" s="41"/>
      <c r="AE502" s="41"/>
      <c r="AF502" s="11" t="s">
        <v>161</v>
      </c>
      <c r="AH502" s="1" t="str">
        <f>Table1[[#This Row],[html_tag]]&amp;Table1[[#This Row],[html_type]]&amp;Table1[[#This Row],[html_modifier]]</f>
        <v>&lt;dfn&gt;</v>
      </c>
      <c r="AI502" t="s">
        <v>161</v>
      </c>
      <c r="AL502" s="22" t="str">
        <f>IFERROR(_xlfn.XLOOKUP(Table1[[#This Row],[word]],Table57[English style name],Table57[Style type]),"")</f>
        <v>Character</v>
      </c>
      <c r="AM502" s="20" t="s">
        <v>656</v>
      </c>
      <c r="AN502" s="11"/>
    </row>
    <row r="503" spans="3:46">
      <c r="E503" s="76"/>
      <c r="F5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3" s="13" t="s">
        <v>2992</v>
      </c>
      <c r="H503" s="13" t="s">
        <v>1</v>
      </c>
      <c r="I503" s="12" t="str">
        <f>Table1[[#This Row],[type]]</f>
        <v>character</v>
      </c>
      <c r="J503" s="62" t="str">
        <f>Table1[[#This Row],[Column42]]&amp;IF(Table1[[#This Row],[Column13]]="","",Table1[[#This Row],[Column13]])&amp;IF(Table1[[#This Row],[mod]]="","",Table1[[#This Row],[mod]])</f>
        <v>character__dropcap</v>
      </c>
      <c r="K5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3" t="s">
        <v>65</v>
      </c>
      <c r="M503" t="s">
        <v>2472</v>
      </c>
      <c r="P503" s="6" t="s">
        <v>2475</v>
      </c>
      <c r="Q5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3" s="29"/>
      <c r="AC503" s="25"/>
      <c r="AD503" s="41"/>
      <c r="AE503" s="41"/>
      <c r="AF503" s="11"/>
      <c r="AH503" s="1" t="str">
        <f>Table1[[#This Row],[html_tag]]&amp;Table1[[#This Row],[html_type]]&amp;Table1[[#This Row],[html_modifier]]</f>
        <v/>
      </c>
      <c r="AL503" s="22" t="str">
        <f>IFERROR(_xlfn.XLOOKUP(Table1[[#This Row],[word]],Table57[English style name],Table57[Style type]),"")</f>
        <v/>
      </c>
      <c r="AM503" s="20"/>
      <c r="AN503" s="11"/>
      <c r="AQ503" s="6" t="s">
        <v>2475</v>
      </c>
      <c r="AR503" t="s">
        <v>2473</v>
      </c>
      <c r="AS503" s="6" t="s">
        <v>2477</v>
      </c>
      <c r="AT503" t="s">
        <v>2473</v>
      </c>
    </row>
    <row r="504" spans="3:46">
      <c r="E504" s="76"/>
      <c r="F5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4" s="13" t="s">
        <v>2992</v>
      </c>
      <c r="H504" s="13" t="s">
        <v>1</v>
      </c>
      <c r="I504" s="12" t="str">
        <f>Table1[[#This Row],[type]]</f>
        <v>character</v>
      </c>
      <c r="J504" s="62" t="str">
        <f>Table1[[#This Row],[Column42]]&amp;IF(Table1[[#This Row],[Column13]]="","",Table1[[#This Row],[Column13]])&amp;IF(Table1[[#This Row],[mod]]="","",Table1[[#This Row],[mod]])</f>
        <v>character__dropcap</v>
      </c>
      <c r="K5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4" t="s">
        <v>65</v>
      </c>
      <c r="M504" t="s">
        <v>2472</v>
      </c>
      <c r="P504" s="6" t="s">
        <v>2472</v>
      </c>
      <c r="Q5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4" s="29"/>
      <c r="AC504" s="25"/>
      <c r="AD504" s="41"/>
      <c r="AE504" s="41"/>
      <c r="AF504" s="11"/>
      <c r="AH504" s="1" t="str">
        <f>Table1[[#This Row],[html_tag]]&amp;Table1[[#This Row],[html_type]]&amp;Table1[[#This Row],[html_modifier]]</f>
        <v/>
      </c>
      <c r="AL504" s="22" t="str">
        <f>IFERROR(_xlfn.XLOOKUP(Table1[[#This Row],[word]],Table57[English style name],Table57[Style type]),"")</f>
        <v/>
      </c>
      <c r="AM504" s="20"/>
      <c r="AN504" s="11"/>
      <c r="AQ504" s="6" t="s">
        <v>2472</v>
      </c>
      <c r="AR504" t="s">
        <v>2473</v>
      </c>
    </row>
    <row r="505" spans="3:46">
      <c r="E505" s="76"/>
      <c r="F5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5" s="13" t="s">
        <v>2992</v>
      </c>
      <c r="H505" s="13" t="s">
        <v>1</v>
      </c>
      <c r="I505" s="12" t="str">
        <f>Table1[[#This Row],[type]]</f>
        <v>character</v>
      </c>
      <c r="J505" s="62" t="str">
        <f>Table1[[#This Row],[Column42]]&amp;IF(Table1[[#This Row],[Column13]]="","",Table1[[#This Row],[Column13]])&amp;IF(Table1[[#This Row],[mod]]="","",Table1[[#This Row],[mod]])</f>
        <v>character__dropcap</v>
      </c>
      <c r="K5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5" t="s">
        <v>65</v>
      </c>
      <c r="M505" t="s">
        <v>2472</v>
      </c>
      <c r="P505" s="6" t="s">
        <v>2479</v>
      </c>
      <c r="Q5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5" s="29"/>
      <c r="AC505" s="25"/>
      <c r="AD505" s="41"/>
      <c r="AE505" s="41"/>
      <c r="AF505" s="11"/>
      <c r="AH505" s="1" t="str">
        <f>Table1[[#This Row],[html_tag]]&amp;Table1[[#This Row],[html_type]]&amp;Table1[[#This Row],[html_modifier]]</f>
        <v/>
      </c>
      <c r="AL505" s="22" t="str">
        <f>IFERROR(_xlfn.XLOOKUP(Table1[[#This Row],[word]],Table57[English style name],Table57[Style type]),"")</f>
        <v/>
      </c>
      <c r="AM505" s="20"/>
      <c r="AN505" s="11"/>
      <c r="AQ505" s="6" t="s">
        <v>2479</v>
      </c>
      <c r="AR505" t="s">
        <v>2473</v>
      </c>
    </row>
    <row r="506" spans="3:46">
      <c r="E506" s="76"/>
      <c r="F5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6" s="13" t="s">
        <v>2992</v>
      </c>
      <c r="H506" s="13" t="s">
        <v>1</v>
      </c>
      <c r="I506" s="12" t="str">
        <f>Table1[[#This Row],[type]]</f>
        <v>character</v>
      </c>
      <c r="J506" s="62" t="str">
        <f>Table1[[#This Row],[Column42]]&amp;IF(Table1[[#This Row],[Column13]]="","",Table1[[#This Row],[Column13]])&amp;IF(Table1[[#This Row],[mod]]="","",Table1[[#This Row],[mod]])</f>
        <v>character__dropcap</v>
      </c>
      <c r="K5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6" t="s">
        <v>65</v>
      </c>
      <c r="M506" t="s">
        <v>2472</v>
      </c>
      <c r="P506" s="6" t="s">
        <v>2481</v>
      </c>
      <c r="Q5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6" s="29"/>
      <c r="AC506" s="25"/>
      <c r="AD506" s="41"/>
      <c r="AE506" s="41"/>
      <c r="AF506" s="11"/>
      <c r="AH506" s="1" t="str">
        <f>Table1[[#This Row],[html_tag]]&amp;Table1[[#This Row],[html_type]]&amp;Table1[[#This Row],[html_modifier]]</f>
        <v/>
      </c>
      <c r="AL506" s="22" t="str">
        <f>IFERROR(_xlfn.XLOOKUP(Table1[[#This Row],[word]],Table57[English style name],Table57[Style type]),"")</f>
        <v/>
      </c>
      <c r="AM506" s="20"/>
      <c r="AN506" s="11"/>
      <c r="AQ506" s="6" t="s">
        <v>2481</v>
      </c>
      <c r="AR506" t="s">
        <v>2473</v>
      </c>
    </row>
    <row r="507" spans="3:46">
      <c r="E507" s="76"/>
      <c r="F5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7" s="13" t="s">
        <v>2992</v>
      </c>
      <c r="H507" s="13" t="s">
        <v>1</v>
      </c>
      <c r="I507" s="12" t="str">
        <f>Table1[[#This Row],[type]]</f>
        <v>character</v>
      </c>
      <c r="J507" s="62" t="str">
        <f>Table1[[#This Row],[Column42]]&amp;IF(Table1[[#This Row],[Column13]]="","",Table1[[#This Row],[Column13]])&amp;IF(Table1[[#This Row],[mod]]="","",Table1[[#This Row],[mod]])</f>
        <v>character__dropcap</v>
      </c>
      <c r="K5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7" t="s">
        <v>65</v>
      </c>
      <c r="M507" t="s">
        <v>2472</v>
      </c>
      <c r="P507" s="6" t="s">
        <v>2482</v>
      </c>
      <c r="Q5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7" s="29"/>
      <c r="AC507" s="25"/>
      <c r="AD507" s="41"/>
      <c r="AE507" s="41"/>
      <c r="AF507" s="11"/>
      <c r="AH507" s="1" t="str">
        <f>Table1[[#This Row],[html_tag]]&amp;Table1[[#This Row],[html_type]]&amp;Table1[[#This Row],[html_modifier]]</f>
        <v/>
      </c>
      <c r="AL507" s="22" t="str">
        <f>IFERROR(_xlfn.XLOOKUP(Table1[[#This Row],[word]],Table57[English style name],Table57[Style type]),"")</f>
        <v/>
      </c>
      <c r="AM507" s="20"/>
      <c r="AN507" s="11"/>
      <c r="AQ507" s="6" t="s">
        <v>2482</v>
      </c>
      <c r="AR507" t="s">
        <v>2473</v>
      </c>
    </row>
    <row r="508" spans="3:46">
      <c r="E508" s="76"/>
      <c r="F5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8" s="13" t="s">
        <v>2992</v>
      </c>
      <c r="H508" s="13" t="s">
        <v>1</v>
      </c>
      <c r="I508" s="12" t="str">
        <f>Table1[[#This Row],[type]]</f>
        <v>character</v>
      </c>
      <c r="J508" s="62" t="str">
        <f>Table1[[#This Row],[Column42]]&amp;IF(Table1[[#This Row],[Column13]]="","",Table1[[#This Row],[Column13]])&amp;IF(Table1[[#This Row],[mod]]="","",Table1[[#This Row],[mod]])</f>
        <v>character__dropcap--base</v>
      </c>
      <c r="K5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8" t="s">
        <v>65</v>
      </c>
      <c r="M508" t="s">
        <v>2472</v>
      </c>
      <c r="P508" s="6" t="s">
        <v>2474</v>
      </c>
      <c r="Q5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08" t="s">
        <v>338</v>
      </c>
      <c r="AB508" s="29"/>
      <c r="AC508" s="25"/>
      <c r="AD508" s="41"/>
      <c r="AE508" s="41"/>
      <c r="AF508" s="11"/>
      <c r="AH508" s="1" t="str">
        <f>Table1[[#This Row],[html_tag]]&amp;Table1[[#This Row],[html_type]]&amp;Table1[[#This Row],[html_modifier]]</f>
        <v/>
      </c>
      <c r="AL508" s="22" t="str">
        <f>IFERROR(_xlfn.XLOOKUP(Table1[[#This Row],[word]],Table57[English style name],Table57[Style type]),"")</f>
        <v/>
      </c>
      <c r="AM508" s="20"/>
      <c r="AN508" s="11"/>
      <c r="AQ508" s="6" t="s">
        <v>2474</v>
      </c>
      <c r="AR508" t="s">
        <v>2473</v>
      </c>
    </row>
    <row r="509" spans="3:46">
      <c r="E509" s="76"/>
      <c r="F5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9" s="13" t="s">
        <v>2992</v>
      </c>
      <c r="H509" s="13" t="s">
        <v>1</v>
      </c>
      <c r="I509" s="12" t="str">
        <f>Table1[[#This Row],[type]]</f>
        <v>character</v>
      </c>
      <c r="J509" s="62" t="str">
        <f>Table1[[#This Row],[Column42]]&amp;IF(Table1[[#This Row],[Column13]]="","",Table1[[#This Row],[Column13]])&amp;IF(Table1[[#This Row],[mod]]="","",Table1[[#This Row],[mod]])</f>
        <v>character__dropcap--lg</v>
      </c>
      <c r="K5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9" t="s">
        <v>65</v>
      </c>
      <c r="M509" t="s">
        <v>2472</v>
      </c>
      <c r="P509" s="14" t="s">
        <v>2484</v>
      </c>
      <c r="Q5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509" t="s">
        <v>3114</v>
      </c>
      <c r="AB509" s="29"/>
      <c r="AC509" s="25"/>
      <c r="AD509" s="41"/>
      <c r="AE509" s="41"/>
      <c r="AF509" s="11"/>
      <c r="AH509" s="1" t="str">
        <f>Table1[[#This Row],[html_tag]]&amp;Table1[[#This Row],[html_type]]&amp;Table1[[#This Row],[html_modifier]]</f>
        <v/>
      </c>
      <c r="AL509" s="22" t="str">
        <f>IFERROR(_xlfn.XLOOKUP(Table1[[#This Row],[word]],Table57[English style name],Table57[Style type]),"")</f>
        <v/>
      </c>
      <c r="AM509" s="20"/>
      <c r="AN509" s="11"/>
      <c r="AQ509" s="14" t="s">
        <v>2484</v>
      </c>
      <c r="AR509" t="s">
        <v>2473</v>
      </c>
    </row>
    <row r="510" spans="3:46">
      <c r="E510" s="76"/>
      <c r="F5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0" s="13" t="s">
        <v>2992</v>
      </c>
      <c r="H510" s="13" t="s">
        <v>1</v>
      </c>
      <c r="I510" s="12" t="str">
        <f>Table1[[#This Row],[type]]</f>
        <v>character</v>
      </c>
      <c r="J510" s="62" t="str">
        <f>Table1[[#This Row],[Column42]]&amp;IF(Table1[[#This Row],[Column13]]="","",Table1[[#This Row],[Column13]])&amp;IF(Table1[[#This Row],[mod]]="","",Table1[[#This Row],[mod]])</f>
        <v>character__dropcap--round</v>
      </c>
      <c r="K5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10" t="s">
        <v>65</v>
      </c>
      <c r="M510" t="s">
        <v>2472</v>
      </c>
      <c r="P510" s="6" t="s">
        <v>2480</v>
      </c>
      <c r="Q5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510" t="s">
        <v>3204</v>
      </c>
      <c r="AB510" s="29"/>
      <c r="AC510" s="25"/>
      <c r="AD510" s="41"/>
      <c r="AE510" s="41"/>
      <c r="AF510" s="11"/>
      <c r="AH510" s="1" t="str">
        <f>Table1[[#This Row],[html_tag]]&amp;Table1[[#This Row],[html_type]]&amp;Table1[[#This Row],[html_modifier]]</f>
        <v/>
      </c>
      <c r="AL510" s="22" t="str">
        <f>IFERROR(_xlfn.XLOOKUP(Table1[[#This Row],[word]],Table57[English style name],Table57[Style type]),"")</f>
        <v/>
      </c>
      <c r="AM510" s="20"/>
      <c r="AN510" s="11"/>
      <c r="AQ510" s="6" t="s">
        <v>2480</v>
      </c>
      <c r="AR510" t="s">
        <v>2473</v>
      </c>
    </row>
    <row r="511" spans="3:46">
      <c r="E511" s="76"/>
      <c r="F5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1" s="13" t="s">
        <v>2992</v>
      </c>
      <c r="H511" s="13" t="s">
        <v>1</v>
      </c>
      <c r="I511" s="12" t="str">
        <f>Table1[[#This Row],[type]]</f>
        <v>character</v>
      </c>
      <c r="J511" s="62" t="str">
        <f>Table1[[#This Row],[Column42]]&amp;IF(Table1[[#This Row],[Column13]]="","",Table1[[#This Row],[Column13]])&amp;IF(Table1[[#This Row],[mod]]="","",Table1[[#This Row],[mod]])</f>
        <v>character__dropcap--round</v>
      </c>
      <c r="K5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11" t="s">
        <v>65</v>
      </c>
      <c r="M511" t="s">
        <v>2472</v>
      </c>
      <c r="P511" s="6" t="s">
        <v>2478</v>
      </c>
      <c r="Q5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511" t="s">
        <v>3204</v>
      </c>
      <c r="AB511" s="29"/>
      <c r="AC511" s="25"/>
      <c r="AD511" s="41"/>
      <c r="AE511" s="41"/>
      <c r="AF511" s="11"/>
      <c r="AH511" s="1" t="str">
        <f>Table1[[#This Row],[html_tag]]&amp;Table1[[#This Row],[html_type]]&amp;Table1[[#This Row],[html_modifier]]</f>
        <v/>
      </c>
      <c r="AL511" s="22" t="str">
        <f>IFERROR(_xlfn.XLOOKUP(Table1[[#This Row],[word]],Table57[English style name],Table57[Style type]),"")</f>
        <v/>
      </c>
      <c r="AM511" s="20"/>
      <c r="AN511" s="11"/>
      <c r="AQ511" s="6" t="s">
        <v>2478</v>
      </c>
      <c r="AR511" t="s">
        <v>2473</v>
      </c>
      <c r="AS511" s="6" t="s">
        <v>2476</v>
      </c>
      <c r="AT511" t="s">
        <v>2473</v>
      </c>
    </row>
    <row r="512" spans="3:46">
      <c r="E512" s="76"/>
      <c r="F5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2" s="13" t="s">
        <v>2992</v>
      </c>
      <c r="H512" s="13" t="s">
        <v>1</v>
      </c>
      <c r="I512" s="12" t="str">
        <f>Table1[[#This Row],[type]]</f>
        <v>character</v>
      </c>
      <c r="J512" s="62" t="str">
        <f>Table1[[#This Row],[Column42]]&amp;IF(Table1[[#This Row],[Column13]]="","",Table1[[#This Row],[Column13]])&amp;IF(Table1[[#This Row],[mod]]="","",Table1[[#This Row],[mod]])</f>
        <v>character__dropcap--underline--lg</v>
      </c>
      <c r="K5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12" t="s">
        <v>65</v>
      </c>
      <c r="M512" t="s">
        <v>2472</v>
      </c>
      <c r="P512" s="14" t="s">
        <v>2483</v>
      </c>
      <c r="Q5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--underline--lg</v>
      </c>
      <c r="W512" t="s">
        <v>3113</v>
      </c>
      <c r="AA512" t="s">
        <v>3114</v>
      </c>
      <c r="AB512" s="29"/>
      <c r="AC512" s="25"/>
      <c r="AD512" s="41"/>
      <c r="AE512" s="41"/>
      <c r="AF512" s="11"/>
      <c r="AH512" s="1" t="str">
        <f>Table1[[#This Row],[html_tag]]&amp;Table1[[#This Row],[html_type]]&amp;Table1[[#This Row],[html_modifier]]</f>
        <v/>
      </c>
      <c r="AL512" s="22" t="str">
        <f>IFERROR(_xlfn.XLOOKUP(Table1[[#This Row],[word]],Table57[English style name],Table57[Style type]),"")</f>
        <v/>
      </c>
      <c r="AM512" s="20"/>
      <c r="AN512" s="11"/>
      <c r="AQ512" s="14" t="s">
        <v>2483</v>
      </c>
      <c r="AR512" t="s">
        <v>2473</v>
      </c>
    </row>
    <row r="513" spans="3:44">
      <c r="C513">
        <v>1</v>
      </c>
      <c r="D513" t="s">
        <v>3215</v>
      </c>
      <c r="E513" s="76"/>
      <c r="F5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3" s="13" t="s">
        <v>2992</v>
      </c>
      <c r="H513" s="13" t="s">
        <v>1</v>
      </c>
      <c r="I513" s="12" t="str">
        <f>Table1[[#This Row],[type]]</f>
        <v>character</v>
      </c>
      <c r="J513" s="62" t="str">
        <f>Table1[[#This Row],[Column42]]&amp;IF(Table1[[#This Row],[Column13]]="","",Table1[[#This Row],[Column13]])&amp;IF(Table1[[#This Row],[mod]]="","",Table1[[#This Row],[mod]])</f>
        <v>character__emphasis</v>
      </c>
      <c r="K5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3" t="s">
        <v>65</v>
      </c>
      <c r="M513" t="s">
        <v>70</v>
      </c>
      <c r="Q51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3" s="29"/>
      <c r="AC513" s="25"/>
      <c r="AD513" s="41"/>
      <c r="AE513" s="41"/>
      <c r="AF513" s="11" t="s">
        <v>71</v>
      </c>
      <c r="AG513" t="s">
        <v>3218</v>
      </c>
      <c r="AH513" s="1" t="str">
        <f>Table1[[#This Row],[html_tag]]&amp;Table1[[#This Row],[html_type]]&amp;Table1[[#This Row],[html_modifier]]</f>
        <v/>
      </c>
      <c r="AL513" s="22" t="str">
        <f>IFERROR(_xlfn.XLOOKUP(Table1[[#This Row],[word]],Table57[English style name],Table57[Style type]),"")</f>
        <v>Character</v>
      </c>
      <c r="AM513" s="20" t="s">
        <v>668</v>
      </c>
      <c r="AN513" s="11"/>
    </row>
    <row r="514" spans="3:44">
      <c r="C514">
        <v>1</v>
      </c>
      <c r="D514" t="s">
        <v>3215</v>
      </c>
      <c r="E514" s="76"/>
      <c r="F5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4" s="13" t="s">
        <v>2992</v>
      </c>
      <c r="H514" s="13" t="s">
        <v>1</v>
      </c>
      <c r="I514" s="12" t="str">
        <f>Table1[[#This Row],[type]]</f>
        <v>character</v>
      </c>
      <c r="J514" s="62" t="str">
        <f>Table1[[#This Row],[Column42]]&amp;IF(Table1[[#This Row],[Column13]]="","",Table1[[#This Row],[Column13]])&amp;IF(Table1[[#This Row],[mod]]="","",Table1[[#This Row],[mod]])</f>
        <v>character__emphasis</v>
      </c>
      <c r="K5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4" t="s">
        <v>65</v>
      </c>
      <c r="M514" t="s">
        <v>70</v>
      </c>
      <c r="Q5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4" s="29"/>
      <c r="AC514" s="25"/>
      <c r="AD514" s="41"/>
      <c r="AE514" s="41"/>
      <c r="AF514" s="11" t="s">
        <v>71</v>
      </c>
      <c r="AG514" t="s">
        <v>3217</v>
      </c>
      <c r="AH514" s="1" t="str">
        <f>Table1[[#This Row],[html_tag]]&amp;Table1[[#This Row],[html_type]]&amp;Table1[[#This Row],[html_modifier]]</f>
        <v/>
      </c>
      <c r="AL514" s="22" t="str">
        <f>IFERROR(_xlfn.XLOOKUP(Table1[[#This Row],[word]],Table57[English style name],Table57[Style type]),"")</f>
        <v>Character</v>
      </c>
      <c r="AM514" s="20" t="s">
        <v>670</v>
      </c>
      <c r="AN514" s="11"/>
    </row>
    <row r="515" spans="3:44">
      <c r="E515" s="76"/>
      <c r="F5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5" s="13" t="s">
        <v>2992</v>
      </c>
      <c r="H515" s="13" t="s">
        <v>1</v>
      </c>
      <c r="I515" s="12" t="str">
        <f>Table1[[#This Row],[type]]</f>
        <v>character</v>
      </c>
      <c r="J515" s="62" t="str">
        <f>Table1[[#This Row],[Column42]]&amp;IF(Table1[[#This Row],[Column13]]="","",Table1[[#This Row],[Column13]])&amp;IF(Table1[[#This Row],[mod]]="","",Table1[[#This Row],[mod]])</f>
        <v>character__emphasis</v>
      </c>
      <c r="K5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5" t="s">
        <v>65</v>
      </c>
      <c r="M515" t="s">
        <v>70</v>
      </c>
      <c r="P515" s="6" t="s">
        <v>1580</v>
      </c>
      <c r="Q5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5" s="29"/>
      <c r="AC515" s="25"/>
      <c r="AD515" s="41"/>
      <c r="AE515" s="41"/>
      <c r="AF515" s="11" t="s">
        <v>71</v>
      </c>
      <c r="AH515" s="1" t="str">
        <f>Table1[[#This Row],[html_tag]]&amp;Table1[[#This Row],[html_type]]&amp;Table1[[#This Row],[html_modifier]]</f>
        <v/>
      </c>
      <c r="AL515" s="22" t="str">
        <f>IFERROR(_xlfn.XLOOKUP(Table1[[#This Row],[word]],Table57[English style name],Table57[Style type]),"")</f>
        <v/>
      </c>
      <c r="AM515" s="20"/>
      <c r="AN515" s="11"/>
      <c r="AQ515" s="6" t="s">
        <v>1580</v>
      </c>
      <c r="AR515" t="s">
        <v>1579</v>
      </c>
    </row>
    <row r="516" spans="3:44">
      <c r="E516" s="76"/>
      <c r="F5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6" s="13" t="s">
        <v>2992</v>
      </c>
      <c r="H516" s="13" t="s">
        <v>1</v>
      </c>
      <c r="I516" s="12" t="str">
        <f>Table1[[#This Row],[type]]</f>
        <v>character</v>
      </c>
      <c r="J516" s="62" t="str">
        <f>Table1[[#This Row],[Column42]]&amp;IF(Table1[[#This Row],[Column13]]="","",Table1[[#This Row],[Column13]])&amp;IF(Table1[[#This Row],[mod]]="","",Table1[[#This Row],[mod]])</f>
        <v>character__emphasis</v>
      </c>
      <c r="K5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6" t="s">
        <v>65</v>
      </c>
      <c r="M516" t="s">
        <v>70</v>
      </c>
      <c r="P516" s="6" t="s">
        <v>1581</v>
      </c>
      <c r="Q5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6" s="29"/>
      <c r="AC516" s="25"/>
      <c r="AD516" s="41"/>
      <c r="AE516" s="41"/>
      <c r="AF516" s="11" t="s">
        <v>71</v>
      </c>
      <c r="AH516" s="1" t="str">
        <f>Table1[[#This Row],[html_tag]]&amp;Table1[[#This Row],[html_type]]&amp;Table1[[#This Row],[html_modifier]]</f>
        <v/>
      </c>
      <c r="AL516" s="22" t="str">
        <f>IFERROR(_xlfn.XLOOKUP(Table1[[#This Row],[word]],Table57[English style name],Table57[Style type]),"")</f>
        <v/>
      </c>
      <c r="AM516" s="20"/>
      <c r="AN516" s="11"/>
      <c r="AQ516" s="6" t="s">
        <v>1581</v>
      </c>
      <c r="AR516" t="s">
        <v>1579</v>
      </c>
    </row>
    <row r="517" spans="3:44">
      <c r="E517" s="76"/>
      <c r="F5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7" s="13" t="s">
        <v>2992</v>
      </c>
      <c r="H517" s="13" t="s">
        <v>1</v>
      </c>
      <c r="I517" s="12" t="str">
        <f>Table1[[#This Row],[type]]</f>
        <v>character</v>
      </c>
      <c r="J517" s="62" t="str">
        <f>Table1[[#This Row],[Column42]]&amp;IF(Table1[[#This Row],[Column13]]="","",Table1[[#This Row],[Column13]])&amp;IF(Table1[[#This Row],[mod]]="","",Table1[[#This Row],[mod]])</f>
        <v>character__emphasis</v>
      </c>
      <c r="K5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7" t="s">
        <v>65</v>
      </c>
      <c r="M517" t="s">
        <v>70</v>
      </c>
      <c r="P517" s="6" t="s">
        <v>1582</v>
      </c>
      <c r="Q5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7" s="29"/>
      <c r="AC517" s="25"/>
      <c r="AD517" s="41"/>
      <c r="AE517" s="41"/>
      <c r="AF517" s="11" t="s">
        <v>71</v>
      </c>
      <c r="AH517" s="1" t="str">
        <f>Table1[[#This Row],[html_tag]]&amp;Table1[[#This Row],[html_type]]&amp;Table1[[#This Row],[html_modifier]]</f>
        <v/>
      </c>
      <c r="AL517" s="22" t="str">
        <f>IFERROR(_xlfn.XLOOKUP(Table1[[#This Row],[word]],Table57[English style name],Table57[Style type]),"")</f>
        <v/>
      </c>
      <c r="AM517" s="20"/>
      <c r="AN517" s="11"/>
      <c r="AQ517" s="6" t="s">
        <v>1582</v>
      </c>
      <c r="AR517" t="s">
        <v>1579</v>
      </c>
    </row>
    <row r="518" spans="3:44">
      <c r="E518" s="76"/>
      <c r="F5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8" s="13" t="s">
        <v>2992</v>
      </c>
      <c r="H518" s="13" t="s">
        <v>1</v>
      </c>
      <c r="I518" s="12" t="str">
        <f>Table1[[#This Row],[type]]</f>
        <v>character</v>
      </c>
      <c r="J518" s="62" t="str">
        <f>Table1[[#This Row],[Column42]]&amp;IF(Table1[[#This Row],[Column13]]="","",Table1[[#This Row],[Column13]])&amp;IF(Table1[[#This Row],[mod]]="","",Table1[[#This Row],[mod]])</f>
        <v>character__emphasis</v>
      </c>
      <c r="K5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8" t="s">
        <v>65</v>
      </c>
      <c r="M518" t="s">
        <v>70</v>
      </c>
      <c r="P518" s="6" t="s">
        <v>1583</v>
      </c>
      <c r="Q5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8" s="29"/>
      <c r="AC518" s="25"/>
      <c r="AD518" s="41"/>
      <c r="AE518" s="41"/>
      <c r="AF518" s="11" t="s">
        <v>71</v>
      </c>
      <c r="AH518" s="1" t="str">
        <f>Table1[[#This Row],[html_tag]]&amp;Table1[[#This Row],[html_type]]&amp;Table1[[#This Row],[html_modifier]]</f>
        <v/>
      </c>
      <c r="AL518" s="22" t="str">
        <f>IFERROR(_xlfn.XLOOKUP(Table1[[#This Row],[word]],Table57[English style name],Table57[Style type]),"")</f>
        <v/>
      </c>
      <c r="AM518" s="20"/>
      <c r="AN518" s="11"/>
      <c r="AQ518" s="6" t="s">
        <v>1583</v>
      </c>
      <c r="AR518" t="s">
        <v>1579</v>
      </c>
    </row>
    <row r="519" spans="3:44">
      <c r="E519" s="76"/>
      <c r="F5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9" s="13" t="s">
        <v>2992</v>
      </c>
      <c r="H519" s="13" t="s">
        <v>1</v>
      </c>
      <c r="I519" s="12" t="str">
        <f>Table1[[#This Row],[type]]</f>
        <v>character</v>
      </c>
      <c r="J519" s="62" t="str">
        <f>Table1[[#This Row],[Column42]]&amp;IF(Table1[[#This Row],[Column13]]="","",Table1[[#This Row],[Column13]])&amp;IF(Table1[[#This Row],[mod]]="","",Table1[[#This Row],[mod]])</f>
        <v>character__emphasis</v>
      </c>
      <c r="K5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9" t="s">
        <v>65</v>
      </c>
      <c r="M519" t="s">
        <v>70</v>
      </c>
      <c r="P519" s="6" t="s">
        <v>1584</v>
      </c>
      <c r="Q5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9" s="29"/>
      <c r="AC519" s="25"/>
      <c r="AD519" s="41"/>
      <c r="AE519" s="41"/>
      <c r="AF519" s="11" t="s">
        <v>71</v>
      </c>
      <c r="AH519" s="1" t="str">
        <f>Table1[[#This Row],[html_tag]]&amp;Table1[[#This Row],[html_type]]&amp;Table1[[#This Row],[html_modifier]]</f>
        <v/>
      </c>
      <c r="AL519" s="22" t="str">
        <f>IFERROR(_xlfn.XLOOKUP(Table1[[#This Row],[word]],Table57[English style name],Table57[Style type]),"")</f>
        <v/>
      </c>
      <c r="AM519" s="20"/>
      <c r="AN519" s="11"/>
      <c r="AQ519" s="6" t="s">
        <v>1584</v>
      </c>
      <c r="AR519" t="s">
        <v>1579</v>
      </c>
    </row>
    <row r="520" spans="3:44">
      <c r="E520" s="76"/>
      <c r="F5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0" s="13" t="s">
        <v>2992</v>
      </c>
      <c r="H520" s="13" t="s">
        <v>1</v>
      </c>
      <c r="I520" s="12" t="str">
        <f>Table1[[#This Row],[type]]</f>
        <v>character</v>
      </c>
      <c r="J520" s="62" t="str">
        <f>Table1[[#This Row],[Column42]]&amp;IF(Table1[[#This Row],[Column13]]="","",Table1[[#This Row],[Column13]])&amp;IF(Table1[[#This Row],[mod]]="","",Table1[[#This Row],[mod]])</f>
        <v>character__emphasis</v>
      </c>
      <c r="K5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20" t="s">
        <v>65</v>
      </c>
      <c r="M520" t="s">
        <v>70</v>
      </c>
      <c r="P520" s="6" t="s">
        <v>1585</v>
      </c>
      <c r="Q5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0" s="29"/>
      <c r="AC520" s="25"/>
      <c r="AD520" s="41"/>
      <c r="AE520" s="41"/>
      <c r="AF520" s="11" t="s">
        <v>71</v>
      </c>
      <c r="AH520" s="1" t="str">
        <f>Table1[[#This Row],[html_tag]]&amp;Table1[[#This Row],[html_type]]&amp;Table1[[#This Row],[html_modifier]]</f>
        <v/>
      </c>
      <c r="AL520" s="22" t="str">
        <f>IFERROR(_xlfn.XLOOKUP(Table1[[#This Row],[word]],Table57[English style name],Table57[Style type]),"")</f>
        <v/>
      </c>
      <c r="AM520" s="20"/>
      <c r="AN520" s="11"/>
      <c r="AQ520" s="6" t="s">
        <v>1585</v>
      </c>
      <c r="AR520" t="s">
        <v>1579</v>
      </c>
    </row>
    <row r="521" spans="3:44">
      <c r="C521">
        <v>1</v>
      </c>
      <c r="D521" t="s">
        <v>3215</v>
      </c>
      <c r="E521" s="76"/>
      <c r="F5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1" s="13" t="s">
        <v>2992</v>
      </c>
      <c r="H521" s="13" t="s">
        <v>1</v>
      </c>
      <c r="I521" s="12" t="str">
        <f>Table1[[#This Row],[type]]</f>
        <v>character</v>
      </c>
      <c r="J521" s="62" t="str">
        <f>Table1[[#This Row],[Column42]]&amp;IF(Table1[[#This Row],[Column13]]="","",Table1[[#This Row],[Column13]])&amp;IF(Table1[[#This Row],[mod]]="","",Table1[[#This Row],[mod]])</f>
        <v>character__emphasis</v>
      </c>
      <c r="K5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21" t="s">
        <v>65</v>
      </c>
      <c r="M521" t="s">
        <v>70</v>
      </c>
      <c r="P521" t="s">
        <v>442</v>
      </c>
      <c r="Q5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1" s="29"/>
      <c r="AC521" s="25"/>
      <c r="AD521" s="41"/>
      <c r="AE521" s="41"/>
      <c r="AF521" s="11" t="s">
        <v>71</v>
      </c>
      <c r="AG521" t="s">
        <v>71</v>
      </c>
      <c r="AH521" s="1" t="str">
        <f>Table1[[#This Row],[html_tag]]&amp;Table1[[#This Row],[html_type]]&amp;Table1[[#This Row],[html_modifier]]</f>
        <v>&lt;em&gt;</v>
      </c>
      <c r="AI521" t="s">
        <v>71</v>
      </c>
      <c r="AL521" s="22" t="str">
        <f>IFERROR(_xlfn.XLOOKUP(Table1[[#This Row],[word]],Table57[English style name],Table57[Style type]),"")</f>
        <v>Character</v>
      </c>
      <c r="AM521" s="20" t="s">
        <v>442</v>
      </c>
      <c r="AN521" s="11"/>
      <c r="AO521" t="s">
        <v>72</v>
      </c>
      <c r="AP521" t="s">
        <v>73</v>
      </c>
      <c r="AQ521" s="6" t="s">
        <v>1578</v>
      </c>
      <c r="AR521" t="s">
        <v>1579</v>
      </c>
    </row>
    <row r="522" spans="3:44">
      <c r="E522" s="76"/>
      <c r="F5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2" s="13" t="s">
        <v>2992</v>
      </c>
      <c r="H522" s="13" t="s">
        <v>1</v>
      </c>
      <c r="I522" s="12" t="str">
        <f>Table1[[#This Row],[type]]</f>
        <v>character</v>
      </c>
      <c r="J522" s="62" t="str">
        <f>Table1[[#This Row],[Column42]]&amp;IF(Table1[[#This Row],[Column13]]="","",Table1[[#This Row],[Column13]])&amp;IF(Table1[[#This Row],[mod]]="","",Table1[[#This Row],[mod]])</f>
        <v>character__emphasis--smallcaps</v>
      </c>
      <c r="K5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22" t="s">
        <v>65</v>
      </c>
      <c r="M522" t="s">
        <v>70</v>
      </c>
      <c r="P522" t="s">
        <v>74</v>
      </c>
      <c r="Q5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--smallcaps</v>
      </c>
      <c r="S522" t="s">
        <v>2996</v>
      </c>
      <c r="U5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2" s="29"/>
      <c r="AC522" s="25"/>
      <c r="AD522" s="41"/>
      <c r="AE522" s="41"/>
      <c r="AF522" s="11" t="s">
        <v>71</v>
      </c>
      <c r="AH522" s="1" t="str">
        <f>Table1[[#This Row],[html_tag]]&amp;Table1[[#This Row],[html_type]]&amp;Table1[[#This Row],[html_modifier]]</f>
        <v/>
      </c>
      <c r="AL522" s="22" t="str">
        <f>IFERROR(_xlfn.XLOOKUP(Table1[[#This Row],[word]],Table57[English style name],Table57[Style type]),"")</f>
        <v/>
      </c>
      <c r="AM522" s="20"/>
      <c r="AN522" s="11"/>
      <c r="AO522" t="s">
        <v>75</v>
      </c>
      <c r="AP522" t="s">
        <v>76</v>
      </c>
      <c r="AQ522" t="s">
        <v>74</v>
      </c>
    </row>
    <row r="523" spans="3:44">
      <c r="C523">
        <v>1</v>
      </c>
      <c r="D523" t="s">
        <v>3215</v>
      </c>
      <c r="E523" s="76"/>
      <c r="F5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3" s="13" t="s">
        <v>2992</v>
      </c>
      <c r="H523" s="13" t="s">
        <v>1</v>
      </c>
      <c r="I523" s="12" t="str">
        <f>Table1[[#This Row],[type]]</f>
        <v>character</v>
      </c>
      <c r="J523" s="62" t="str">
        <f>Table1[[#This Row],[Column42]]&amp;IF(Table1[[#This Row],[Column13]]="","",Table1[[#This Row],[Column13]])&amp;IF(Table1[[#This Row],[mod]]="","",Table1[[#This Row],[mod]])</f>
        <v>character__emphasis--strong</v>
      </c>
      <c r="K5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23" t="s">
        <v>65</v>
      </c>
      <c r="M523" t="s">
        <v>70</v>
      </c>
      <c r="Q5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--strong</v>
      </c>
      <c r="W523" t="s">
        <v>501</v>
      </c>
      <c r="AB523" s="29"/>
      <c r="AC523" s="25"/>
      <c r="AD523" s="41"/>
      <c r="AE523" s="41"/>
      <c r="AF523" s="11" t="s">
        <v>67</v>
      </c>
      <c r="AG523" t="s">
        <v>67</v>
      </c>
      <c r="AH523" s="1" t="str">
        <f>Table1[[#This Row],[html_tag]]&amp;Table1[[#This Row],[html_type]]&amp;Table1[[#This Row],[html_modifier]]</f>
        <v>&lt;strong&gt;</v>
      </c>
      <c r="AI523" t="s">
        <v>67</v>
      </c>
      <c r="AL523" s="22" t="str">
        <f>IFERROR(_xlfn.XLOOKUP(Table1[[#This Row],[word]],Table57[English style name],Table57[Style type]),"")</f>
        <v>Character</v>
      </c>
      <c r="AM523" s="20" t="s">
        <v>647</v>
      </c>
      <c r="AN523" s="11"/>
      <c r="AO523" t="s">
        <v>68</v>
      </c>
      <c r="AP523" t="s">
        <v>69</v>
      </c>
      <c r="AQ523" s="14" t="s">
        <v>66</v>
      </c>
    </row>
    <row r="524" spans="3:44">
      <c r="C524">
        <v>1</v>
      </c>
      <c r="D524" t="s">
        <v>3226</v>
      </c>
      <c r="E524" s="76"/>
      <c r="F5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4" s="13" t="s">
        <v>2992</v>
      </c>
      <c r="H524" s="13" t="s">
        <v>1</v>
      </c>
      <c r="I524" s="12" t="str">
        <f>Table1[[#This Row],[type]]</f>
        <v>character</v>
      </c>
      <c r="J524" s="62" t="str">
        <f>Table1[[#This Row],[Column42]]&amp;IF(Table1[[#This Row],[Column13]]="","",Table1[[#This Row],[Column13]])&amp;IF(Table1[[#This Row],[mod]]="","",Table1[[#This Row],[mod]])</f>
        <v>character__FollowedHyperlink</v>
      </c>
      <c r="K5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character__FollowedHyperlink</v>
      </c>
      <c r="L524" t="s">
        <v>65</v>
      </c>
      <c r="O524" t="s">
        <v>645</v>
      </c>
      <c r="P524" t="s">
        <v>645</v>
      </c>
      <c r="Q5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4" s="29"/>
      <c r="AC524" s="25"/>
      <c r="AD524" s="41"/>
      <c r="AE524" s="41"/>
      <c r="AF524" s="11" t="s">
        <v>78</v>
      </c>
      <c r="AG524" t="s">
        <v>3228</v>
      </c>
      <c r="AH524" s="1" t="str">
        <f>Table1[[#This Row],[html_tag]]&amp;Table1[[#This Row],[html_type]]&amp;Table1[[#This Row],[html_modifier]]</f>
        <v/>
      </c>
      <c r="AL524" s="22" t="str">
        <f>IFERROR(_xlfn.XLOOKUP(Table1[[#This Row],[word]],Table57[English style name],Table57[Style type]),"")</f>
        <v>Character</v>
      </c>
      <c r="AM524" s="20" t="s">
        <v>645</v>
      </c>
      <c r="AN524" s="11"/>
    </row>
    <row r="525" spans="3:44">
      <c r="C525">
        <v>1</v>
      </c>
      <c r="D525" t="s">
        <v>3230</v>
      </c>
      <c r="E525" s="76"/>
      <c r="F5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5" s="13" t="s">
        <v>2992</v>
      </c>
      <c r="H525" s="13" t="s">
        <v>1</v>
      </c>
      <c r="I525" s="12" t="str">
        <f>Table1[[#This Row],[type]]</f>
        <v>character</v>
      </c>
      <c r="J525" s="62" t="str">
        <f>Table1[[#This Row],[Column42]]&amp;IF(Table1[[#This Row],[Column13]]="","",Table1[[#This Row],[Column13]])&amp;IF(Table1[[#This Row],[mod]]="","",Table1[[#This Row],[mod]])</f>
        <v>character__Hashtag</v>
      </c>
      <c r="K5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character__Hashtag</v>
      </c>
      <c r="L525" t="s">
        <v>65</v>
      </c>
      <c r="O525" t="s">
        <v>679</v>
      </c>
      <c r="P525" t="s">
        <v>679</v>
      </c>
      <c r="Q52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5" s="29"/>
      <c r="AC525" s="25"/>
      <c r="AD525" s="41"/>
      <c r="AE525" s="41"/>
      <c r="AF525" s="11" t="s">
        <v>78</v>
      </c>
      <c r="AG525" t="s">
        <v>3233</v>
      </c>
      <c r="AH525" s="1" t="str">
        <f>Table1[[#This Row],[html_tag]]&amp;Table1[[#This Row],[html_type]]&amp;Table1[[#This Row],[html_modifier]]</f>
        <v/>
      </c>
      <c r="AL525" s="22" t="str">
        <f>IFERROR(_xlfn.XLOOKUP(Table1[[#This Row],[word]],Table57[English style name],Table57[Style type]),"")</f>
        <v>Character</v>
      </c>
      <c r="AM525" s="20" t="s">
        <v>679</v>
      </c>
      <c r="AN525" s="11"/>
    </row>
    <row r="526" spans="3:44">
      <c r="C526">
        <v>1</v>
      </c>
      <c r="D526" t="s">
        <v>3215</v>
      </c>
      <c r="E526" s="76"/>
      <c r="F5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6" s="13" t="s">
        <v>2992</v>
      </c>
      <c r="H526" s="13" t="s">
        <v>1</v>
      </c>
      <c r="I526" s="12" t="str">
        <f>Table1[[#This Row],[type]]</f>
        <v>character</v>
      </c>
      <c r="J526" s="62" t="str">
        <f>Table1[[#This Row],[Column42]]&amp;IF(Table1[[#This Row],[Column13]]="","",Table1[[#This Row],[Column13]])&amp;IF(Table1[[#This Row],[mod]]="","",Table1[[#This Row],[mod]])</f>
        <v>character__HTML Typewriter</v>
      </c>
      <c r="K5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character__HTML Typewriter</v>
      </c>
      <c r="L526" t="s">
        <v>65</v>
      </c>
      <c r="O526" t="s">
        <v>662</v>
      </c>
      <c r="P526" t="s">
        <v>662</v>
      </c>
      <c r="Q5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6" s="29"/>
      <c r="AC526" s="25"/>
      <c r="AD526" s="41"/>
      <c r="AE526" s="41"/>
      <c r="AF526" s="11" t="s">
        <v>305</v>
      </c>
      <c r="AG526" t="s">
        <v>3216</v>
      </c>
      <c r="AH526" s="1" t="str">
        <f>Table1[[#This Row],[html_tag]]&amp;Table1[[#This Row],[html_type]]&amp;Table1[[#This Row],[html_modifier]]</f>
        <v/>
      </c>
      <c r="AL526" s="22" t="str">
        <f>IFERROR(_xlfn.XLOOKUP(Table1[[#This Row],[word]],Table57[English style name],Table57[Style type]),"")</f>
        <v>Character</v>
      </c>
      <c r="AM526" s="20" t="s">
        <v>662</v>
      </c>
      <c r="AN526" s="11"/>
    </row>
    <row r="527" spans="3:44">
      <c r="C527">
        <v>1</v>
      </c>
      <c r="D527" t="s">
        <v>3226</v>
      </c>
      <c r="E527" s="76"/>
      <c r="F5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7" s="13" t="s">
        <v>2992</v>
      </c>
      <c r="H527" s="13" t="s">
        <v>1</v>
      </c>
      <c r="I527" s="12" t="str">
        <f>Table1[[#This Row],[type]]</f>
        <v>character</v>
      </c>
      <c r="J527" s="62" t="str">
        <f>Table1[[#This Row],[Column42]]&amp;IF(Table1[[#This Row],[Column13]]="","",Table1[[#This Row],[Column13]])&amp;IF(Table1[[#This Row],[mod]]="","",Table1[[#This Row],[mod]])</f>
        <v>character__hyperlink</v>
      </c>
      <c r="K5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27" t="s">
        <v>65</v>
      </c>
      <c r="M527" t="s">
        <v>2995</v>
      </c>
      <c r="Q5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7" s="29"/>
      <c r="AC527" s="25"/>
      <c r="AD527" s="41" t="s">
        <v>6790</v>
      </c>
      <c r="AE527" s="41"/>
      <c r="AF527" s="11" t="s">
        <v>78</v>
      </c>
      <c r="AG527" t="s">
        <v>3227</v>
      </c>
      <c r="AH527" s="1" t="str">
        <f>Table1[[#This Row],[html_tag]]&amp;Table1[[#This Row],[html_type]]&amp;Table1[[#This Row],[html_modifier]]</f>
        <v>&lt;a&gt;</v>
      </c>
      <c r="AI527" t="s">
        <v>78</v>
      </c>
      <c r="AL527" s="22" t="str">
        <f>IFERROR(_xlfn.XLOOKUP(Table1[[#This Row],[word]],Table57[English style name],Table57[Style type]),"")</f>
        <v>Character</v>
      </c>
      <c r="AM527" s="20" t="s">
        <v>358</v>
      </c>
      <c r="AN527" s="11"/>
    </row>
    <row r="528" spans="3:44">
      <c r="E528" s="76"/>
      <c r="F5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28" s="13"/>
      <c r="H528" s="13"/>
      <c r="I528" s="12" t="str">
        <f>Table1[[#This Row],[type]]</f>
        <v>character</v>
      </c>
      <c r="J528" s="62" t="str">
        <f>Table1[[#This Row],[Column42]]&amp;IF(Table1[[#This Row],[Column13]]="","",Table1[[#This Row],[Column13]])&amp;IF(Table1[[#This Row],[mod]]="","",Table1[[#This Row],[mod]])</f>
        <v>character__hyperlink__&lt;link&gt;</v>
      </c>
      <c r="K5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character__hyperlink__&lt;link&gt;</v>
      </c>
      <c r="L528" t="s">
        <v>65</v>
      </c>
      <c r="M528" t="s">
        <v>2995</v>
      </c>
      <c r="O528" t="s">
        <v>213</v>
      </c>
      <c r="Q5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8" s="29"/>
      <c r="AC528" s="25"/>
      <c r="AD528" s="41"/>
      <c r="AE528" s="41"/>
      <c r="AF528" s="11" t="s">
        <v>213</v>
      </c>
      <c r="AH528" s="1" t="str">
        <f>Table1[[#This Row],[html_tag]]&amp;Table1[[#This Row],[html_type]]&amp;Table1[[#This Row],[html_modifier]]</f>
        <v>&lt;link&gt;</v>
      </c>
      <c r="AI528" t="s">
        <v>213</v>
      </c>
      <c r="AL528" s="22" t="str">
        <f>IFERROR(_xlfn.XLOOKUP(Table1[[#This Row],[word]],Table57[English style name],Table57[Style type]),"")</f>
        <v/>
      </c>
      <c r="AM528" s="20"/>
      <c r="AN528" s="11"/>
    </row>
    <row r="529" spans="5:44">
      <c r="E529" s="76"/>
      <c r="F5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29" s="13"/>
      <c r="H529" s="13"/>
      <c r="I529" s="12" t="str">
        <f>Table1[[#This Row],[type]]</f>
        <v>character</v>
      </c>
      <c r="J529" s="62" t="str">
        <f>Table1[[#This Row],[Column42]]&amp;IF(Table1[[#This Row],[Column13]]="","",Table1[[#This Row],[Column13]])&amp;IF(Table1[[#This Row],[mod]]="","",Table1[[#This Row],[mod]])</f>
        <v>character__hyperlink--accent</v>
      </c>
      <c r="K5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29" t="s">
        <v>65</v>
      </c>
      <c r="M529" t="s">
        <v>2995</v>
      </c>
      <c r="Q52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529" t="s">
        <v>7394</v>
      </c>
      <c r="AB529" s="29"/>
      <c r="AC529" s="25"/>
      <c r="AD529" s="41" t="s">
        <v>6793</v>
      </c>
      <c r="AE529" s="41"/>
      <c r="AF529" s="11"/>
      <c r="AH529" s="7" t="str">
        <f>Table1[[#This Row],[html_tag]]&amp;Table1[[#This Row],[html_type]]&amp;Table1[[#This Row],[html_modifier]]</f>
        <v/>
      </c>
      <c r="AL529" s="23" t="str">
        <f>IFERROR(_xlfn.XLOOKUP(Table1[[#This Row],[word]],Table57[English style name],Table57[Style type]),"")</f>
        <v/>
      </c>
      <c r="AM529" s="21"/>
      <c r="AN529" s="11"/>
    </row>
    <row r="530" spans="5:44">
      <c r="E530" s="76"/>
      <c r="F5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0" s="13" t="s">
        <v>2992</v>
      </c>
      <c r="H530" s="13" t="s">
        <v>1</v>
      </c>
      <c r="I530" s="12" t="str">
        <f>Table1[[#This Row],[type]]</f>
        <v>character</v>
      </c>
      <c r="J530" s="62" t="str">
        <f>Table1[[#This Row],[Column42]]&amp;IF(Table1[[#This Row],[Column13]]="","",Table1[[#This Row],[Column13]])&amp;IF(Table1[[#This Row],[mod]]="","",Table1[[#This Row],[mod]])</f>
        <v>character__hyperlink--active</v>
      </c>
      <c r="K5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0" t="s">
        <v>65</v>
      </c>
      <c r="M530" t="s">
        <v>2995</v>
      </c>
      <c r="Q5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530" t="s">
        <v>350</v>
      </c>
      <c r="AB530" s="29"/>
      <c r="AC530" s="25"/>
      <c r="AD530" s="41"/>
      <c r="AE530" s="41"/>
      <c r="AF530" s="11" t="s">
        <v>78</v>
      </c>
      <c r="AH530" s="1" t="str">
        <f>Table1[[#This Row],[html_tag]]&amp;Table1[[#This Row],[html_type]]&amp;Table1[[#This Row],[html_modifier]]</f>
        <v>&lt;a&gt;:active</v>
      </c>
      <c r="AI530" t="s">
        <v>78</v>
      </c>
      <c r="AK530" t="s">
        <v>3015</v>
      </c>
      <c r="AL530" s="22" t="str">
        <f>IFERROR(_xlfn.XLOOKUP(Table1[[#This Row],[word]],Table57[English style name],Table57[Style type]),"")</f>
        <v/>
      </c>
      <c r="AM530" s="20"/>
      <c r="AN530" s="11"/>
    </row>
    <row r="531" spans="5:44">
      <c r="E531" s="76"/>
      <c r="F5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1" s="13" t="s">
        <v>2992</v>
      </c>
      <c r="H531" s="13" t="s">
        <v>1</v>
      </c>
      <c r="I531" s="12" t="str">
        <f>Table1[[#This Row],[type]]</f>
        <v>character</v>
      </c>
      <c r="J531" s="62" t="str">
        <f>Table1[[#This Row],[Column42]]&amp;IF(Table1[[#This Row],[Column13]]="","",Table1[[#This Row],[Column13]])&amp;IF(Table1[[#This Row],[mod]]="","",Table1[[#This Row],[mod]])</f>
        <v>character__hyperlink--base</v>
      </c>
      <c r="K5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1" t="s">
        <v>65</v>
      </c>
      <c r="M531" t="s">
        <v>2995</v>
      </c>
      <c r="P531" s="6" t="s">
        <v>2485</v>
      </c>
      <c r="Q5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31" t="s">
        <v>338</v>
      </c>
      <c r="AB531" s="29"/>
      <c r="AC531" s="25"/>
      <c r="AD531" s="41"/>
      <c r="AE531" s="41"/>
      <c r="AF531" s="11" t="s">
        <v>78</v>
      </c>
      <c r="AH531" s="1" t="str">
        <f>Table1[[#This Row],[html_tag]]&amp;Table1[[#This Row],[html_type]]&amp;Table1[[#This Row],[html_modifier]]</f>
        <v/>
      </c>
      <c r="AL531" s="22" t="str">
        <f>IFERROR(_xlfn.XLOOKUP(Table1[[#This Row],[word]],Table57[English style name],Table57[Style type]),"")</f>
        <v/>
      </c>
      <c r="AM531" s="20"/>
      <c r="AN531" s="11"/>
      <c r="AQ531" s="6" t="s">
        <v>2485</v>
      </c>
      <c r="AR531" t="s">
        <v>2486</v>
      </c>
    </row>
    <row r="532" spans="5:44">
      <c r="E532" s="76"/>
      <c r="F5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2" s="13" t="s">
        <v>2992</v>
      </c>
      <c r="H532" s="13" t="s">
        <v>1</v>
      </c>
      <c r="I532" s="12" t="str">
        <f>Table1[[#This Row],[type]]</f>
        <v>character</v>
      </c>
      <c r="J532" s="62" t="str">
        <f>Table1[[#This Row],[Column42]]&amp;IF(Table1[[#This Row],[Column13]]="","",Table1[[#This Row],[Column13]])&amp;IF(Table1[[#This Row],[mod]]="","",Table1[[#This Row],[mod]])</f>
        <v>character__hyperlink--clean</v>
      </c>
      <c r="K5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2" t="s">
        <v>65</v>
      </c>
      <c r="M532" t="s">
        <v>2995</v>
      </c>
      <c r="P532" s="6" t="s">
        <v>2487</v>
      </c>
      <c r="Q5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--clean</v>
      </c>
      <c r="S532" t="s">
        <v>3077</v>
      </c>
      <c r="U5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32" s="29"/>
      <c r="AC532" s="25"/>
      <c r="AD532" s="41"/>
      <c r="AE532" s="41"/>
      <c r="AF532" s="11" t="s">
        <v>78</v>
      </c>
      <c r="AH532" s="1" t="str">
        <f>Table1[[#This Row],[html_tag]]&amp;Table1[[#This Row],[html_type]]&amp;Table1[[#This Row],[html_modifier]]</f>
        <v/>
      </c>
      <c r="AL532" s="22" t="str">
        <f>IFERROR(_xlfn.XLOOKUP(Table1[[#This Row],[word]],Table57[English style name],Table57[Style type]),"")</f>
        <v/>
      </c>
      <c r="AM532" s="20"/>
      <c r="AN532" s="11"/>
      <c r="AQ532" s="6" t="s">
        <v>2487</v>
      </c>
      <c r="AR532" t="s">
        <v>2486</v>
      </c>
    </row>
    <row r="533" spans="5:44">
      <c r="E533" s="76"/>
      <c r="F5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33" s="13"/>
      <c r="H533" s="13"/>
      <c r="I533" s="12" t="str">
        <f>Table1[[#This Row],[type]]</f>
        <v>character</v>
      </c>
      <c r="J533" s="62" t="str">
        <f>Table1[[#This Row],[Column42]]&amp;IF(Table1[[#This Row],[Column13]]="","",Table1[[#This Row],[Column13]])&amp;IF(Table1[[#This Row],[mod]]="","",Table1[[#This Row],[mod]])</f>
        <v>character__hyperlink--dark</v>
      </c>
      <c r="K5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3" t="s">
        <v>65</v>
      </c>
      <c r="M533" t="s">
        <v>2995</v>
      </c>
      <c r="Q53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V533" t="s">
        <v>3501</v>
      </c>
      <c r="AB533" s="29"/>
      <c r="AC533" s="25" t="s">
        <v>3850</v>
      </c>
      <c r="AD533" s="41"/>
      <c r="AE533" s="41"/>
      <c r="AF533" s="11"/>
      <c r="AH533" s="7" t="str">
        <f>Table1[[#This Row],[html_tag]]&amp;Table1[[#This Row],[html_type]]&amp;Table1[[#This Row],[html_modifier]]</f>
        <v/>
      </c>
      <c r="AL533" s="23" t="str">
        <f>IFERROR(_xlfn.XLOOKUP(Table1[[#This Row],[word]],Table57[English style name],Table57[Style type]),"")</f>
        <v/>
      </c>
      <c r="AM533" s="21"/>
      <c r="AN533" s="11"/>
    </row>
    <row r="534" spans="5:44">
      <c r="E534" s="76"/>
      <c r="F5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34" s="13"/>
      <c r="H534" s="13"/>
      <c r="I534" s="12" t="str">
        <f>Table1[[#This Row],[type]]</f>
        <v>character</v>
      </c>
      <c r="J534" s="62" t="str">
        <f>Table1[[#This Row],[Column42]]&amp;IF(Table1[[#This Row],[Column13]]="","",Table1[[#This Row],[Column13]])&amp;IF(Table1[[#This Row],[mod]]="","",Table1[[#This Row],[mod]])</f>
        <v>character__hyperlink--error</v>
      </c>
      <c r="K5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4" t="s">
        <v>65</v>
      </c>
      <c r="M534" t="s">
        <v>2995</v>
      </c>
      <c r="Q5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534" t="s">
        <v>3117</v>
      </c>
      <c r="AB534" s="29"/>
      <c r="AC534" s="25" t="s">
        <v>3849</v>
      </c>
      <c r="AD534" s="41" t="s">
        <v>6794</v>
      </c>
      <c r="AE534" s="41"/>
      <c r="AF534" s="11"/>
      <c r="AH534" s="7" t="str">
        <f>Table1[[#This Row],[html_tag]]&amp;Table1[[#This Row],[html_type]]&amp;Table1[[#This Row],[html_modifier]]</f>
        <v/>
      </c>
      <c r="AL534" s="23" t="str">
        <f>IFERROR(_xlfn.XLOOKUP(Table1[[#This Row],[word]],Table57[English style name],Table57[Style type]),"")</f>
        <v/>
      </c>
      <c r="AM534" s="21"/>
      <c r="AN534" s="11"/>
    </row>
    <row r="535" spans="5:44">
      <c r="E535" s="76"/>
      <c r="F5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5" s="13" t="s">
        <v>2992</v>
      </c>
      <c r="H535" s="13" t="s">
        <v>1</v>
      </c>
      <c r="I535" s="12" t="str">
        <f>Table1[[#This Row],[type]]</f>
        <v>character</v>
      </c>
      <c r="J535" s="62" t="str">
        <f>Table1[[#This Row],[Column42]]&amp;IF(Table1[[#This Row],[Column13]]="","",Table1[[#This Row],[Column13]])&amp;IF(Table1[[#This Row],[mod]]="","",Table1[[#This Row],[mod]])</f>
        <v>character__hyperlink--external</v>
      </c>
      <c r="K5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5" t="s">
        <v>65</v>
      </c>
      <c r="M535" t="s">
        <v>2995</v>
      </c>
      <c r="P535" t="s">
        <v>77</v>
      </c>
      <c r="Q5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--external</v>
      </c>
      <c r="S535" t="s">
        <v>3868</v>
      </c>
      <c r="U5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35" s="29"/>
      <c r="AC535" s="25"/>
      <c r="AD535" s="41"/>
      <c r="AE535" s="41"/>
      <c r="AF535" s="11" t="s">
        <v>78</v>
      </c>
      <c r="AH535" s="1" t="str">
        <f>Table1[[#This Row],[html_tag]]&amp;Table1[[#This Row],[html_type]]&amp;Table1[[#This Row],[html_modifier]]</f>
        <v/>
      </c>
      <c r="AL535" s="22" t="str">
        <f>IFERROR(_xlfn.XLOOKUP(Table1[[#This Row],[word]],Table57[English style name],Table57[Style type]),"")</f>
        <v/>
      </c>
      <c r="AM535" s="20"/>
      <c r="AN535" s="11"/>
      <c r="AO535" t="s">
        <v>79</v>
      </c>
      <c r="AP535" t="s">
        <v>80</v>
      </c>
      <c r="AQ535" t="s">
        <v>77</v>
      </c>
    </row>
    <row r="536" spans="5:44">
      <c r="E536" s="76"/>
      <c r="F5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6" s="13" t="s">
        <v>2992</v>
      </c>
      <c r="H536" s="13" t="s">
        <v>1</v>
      </c>
      <c r="I536" s="12" t="str">
        <f>Table1[[#This Row],[type]]</f>
        <v>character</v>
      </c>
      <c r="J536" s="62" t="str">
        <f>Table1[[#This Row],[Column42]]&amp;IF(Table1[[#This Row],[Column13]]="","",Table1[[#This Row],[Column13]])&amp;IF(Table1[[#This Row],[mod]]="","",Table1[[#This Row],[mod]])</f>
        <v>character__hyperlink--focus</v>
      </c>
      <c r="K5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6" t="s">
        <v>65</v>
      </c>
      <c r="M536" t="s">
        <v>2995</v>
      </c>
      <c r="Q5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536" t="s">
        <v>3020</v>
      </c>
      <c r="AB536" s="29"/>
      <c r="AC536" s="25"/>
      <c r="AD536" s="41"/>
      <c r="AE536" s="41"/>
      <c r="AF536" s="11" t="s">
        <v>78</v>
      </c>
      <c r="AH536" s="1" t="str">
        <f>Table1[[#This Row],[html_tag]]&amp;Table1[[#This Row],[html_type]]&amp;Table1[[#This Row],[html_modifier]]</f>
        <v>&lt;a&gt;:focus</v>
      </c>
      <c r="AI536" t="s">
        <v>78</v>
      </c>
      <c r="AK536" t="s">
        <v>3016</v>
      </c>
      <c r="AL536" s="22" t="str">
        <f>IFERROR(_xlfn.XLOOKUP(Table1[[#This Row],[word]],Table57[English style name],Table57[Style type]),"")</f>
        <v/>
      </c>
      <c r="AM536" s="20"/>
      <c r="AN536" s="11"/>
    </row>
    <row r="537" spans="5:44">
      <c r="E537" s="76"/>
      <c r="F5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7" s="13" t="s">
        <v>2992</v>
      </c>
      <c r="H537" s="13" t="s">
        <v>1</v>
      </c>
      <c r="I537" s="12" t="str">
        <f>Table1[[#This Row],[type]]</f>
        <v>character</v>
      </c>
      <c r="J537" s="62" t="str">
        <f>Table1[[#This Row],[Column42]]&amp;IF(Table1[[#This Row],[Column13]]="","",Table1[[#This Row],[Column13]])&amp;IF(Table1[[#This Row],[mod]]="","",Table1[[#This Row],[mod]])</f>
        <v>character__hyperlink--hover</v>
      </c>
      <c r="K5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7" t="s">
        <v>65</v>
      </c>
      <c r="M537" t="s">
        <v>2995</v>
      </c>
      <c r="Q5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537" t="s">
        <v>3019</v>
      </c>
      <c r="AB537" s="29"/>
      <c r="AC537" s="25"/>
      <c r="AD537" s="41" t="s">
        <v>6791</v>
      </c>
      <c r="AE537" s="41"/>
      <c r="AF537" s="11" t="s">
        <v>78</v>
      </c>
      <c r="AH537" s="1" t="str">
        <f>Table1[[#This Row],[html_tag]]&amp;Table1[[#This Row],[html_type]]&amp;Table1[[#This Row],[html_modifier]]</f>
        <v>&lt;a&gt;:hover</v>
      </c>
      <c r="AI537" t="s">
        <v>78</v>
      </c>
      <c r="AK537" t="s">
        <v>3014</v>
      </c>
      <c r="AL537" s="22" t="str">
        <f>IFERROR(_xlfn.XLOOKUP(Table1[[#This Row],[word]],Table57[English style name],Table57[Style type]),"")</f>
        <v/>
      </c>
      <c r="AM537" s="20"/>
      <c r="AN537" s="11"/>
    </row>
    <row r="538" spans="5:44">
      <c r="E538" s="76"/>
      <c r="F5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38" s="13"/>
      <c r="H538" s="13"/>
      <c r="I538" s="12" t="str">
        <f>Table1[[#This Row],[type]]</f>
        <v>character</v>
      </c>
      <c r="J538" s="62" t="str">
        <f>Table1[[#This Row],[Column42]]&amp;IF(Table1[[#This Row],[Column13]]="","",Table1[[#This Row],[Column13]])&amp;IF(Table1[[#This Row],[mod]]="","",Table1[[#This Row],[mod]])</f>
        <v>character__hyperlink--info</v>
      </c>
      <c r="K5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8" t="s">
        <v>65</v>
      </c>
      <c r="M538" t="s">
        <v>2995</v>
      </c>
      <c r="Q53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538" t="s">
        <v>3119</v>
      </c>
      <c r="AB538" s="29"/>
      <c r="AC538" s="25" t="s">
        <v>3851</v>
      </c>
      <c r="AD538" s="41" t="s">
        <v>3851</v>
      </c>
      <c r="AE538" s="41"/>
      <c r="AF538" s="11"/>
      <c r="AH538" s="7" t="str">
        <f>Table1[[#This Row],[html_tag]]&amp;Table1[[#This Row],[html_type]]&amp;Table1[[#This Row],[html_modifier]]</f>
        <v/>
      </c>
      <c r="AL538" s="23" t="str">
        <f>IFERROR(_xlfn.XLOOKUP(Table1[[#This Row],[word]],Table57[English style name],Table57[Style type]),"")</f>
        <v/>
      </c>
      <c r="AM538" s="21"/>
      <c r="AN538" s="11"/>
    </row>
    <row r="539" spans="5:44">
      <c r="E539" s="76"/>
      <c r="F5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9" s="13" t="s">
        <v>2992</v>
      </c>
      <c r="H539" s="13" t="s">
        <v>1</v>
      </c>
      <c r="I539" s="12" t="str">
        <f>Table1[[#This Row],[type]]</f>
        <v>character</v>
      </c>
      <c r="J539" s="62" t="str">
        <f>Table1[[#This Row],[Column42]]&amp;IF(Table1[[#This Row],[Column13]]="","",Table1[[#This Row],[Column13]])&amp;IF(Table1[[#This Row],[mod]]="","",Table1[[#This Row],[mod]])</f>
        <v>character__hyperlink--internal</v>
      </c>
      <c r="K5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9" t="s">
        <v>65</v>
      </c>
      <c r="M539" t="s">
        <v>2995</v>
      </c>
      <c r="P539" t="s">
        <v>81</v>
      </c>
      <c r="Q5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--internal</v>
      </c>
      <c r="S539" t="s">
        <v>3867</v>
      </c>
      <c r="U5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39" s="29"/>
      <c r="AC539" s="25"/>
      <c r="AD539" s="41"/>
      <c r="AE539" s="41"/>
      <c r="AF539" s="11" t="s">
        <v>78</v>
      </c>
      <c r="AH539" s="1" t="str">
        <f>Table1[[#This Row],[html_tag]]&amp;Table1[[#This Row],[html_type]]&amp;Table1[[#This Row],[html_modifier]]</f>
        <v/>
      </c>
      <c r="AL539" s="22" t="str">
        <f>IFERROR(_xlfn.XLOOKUP(Table1[[#This Row],[word]],Table57[English style name],Table57[Style type]),"")</f>
        <v/>
      </c>
      <c r="AM539" s="20"/>
      <c r="AN539" s="11"/>
      <c r="AO539" t="s">
        <v>82</v>
      </c>
      <c r="AP539" t="s">
        <v>83</v>
      </c>
      <c r="AQ539" t="s">
        <v>81</v>
      </c>
    </row>
    <row r="540" spans="5:44">
      <c r="E540" s="76"/>
      <c r="F5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0" s="13"/>
      <c r="H540" s="13"/>
      <c r="I540" s="12" t="str">
        <f>Table1[[#This Row],[type]]</f>
        <v>character</v>
      </c>
      <c r="J540" s="62" t="str">
        <f>Table1[[#This Row],[Column42]]&amp;IF(Table1[[#This Row],[Column13]]="","",Table1[[#This Row],[Column13]])&amp;IF(Table1[[#This Row],[mod]]="","",Table1[[#This Row],[mod]])</f>
        <v>character__hyperlink--light</v>
      </c>
      <c r="K5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0" t="s">
        <v>65</v>
      </c>
      <c r="M540" t="s">
        <v>2995</v>
      </c>
      <c r="Q54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V540" t="s">
        <v>3503</v>
      </c>
      <c r="AB540" s="29"/>
      <c r="AC540" s="25" t="s">
        <v>3852</v>
      </c>
      <c r="AD540" s="41"/>
      <c r="AE540" s="41"/>
      <c r="AF540" s="11"/>
      <c r="AH540" s="7" t="str">
        <f>Table1[[#This Row],[html_tag]]&amp;Table1[[#This Row],[html_type]]&amp;Table1[[#This Row],[html_modifier]]</f>
        <v/>
      </c>
      <c r="AL540" s="23" t="str">
        <f>IFERROR(_xlfn.XLOOKUP(Table1[[#This Row],[word]],Table57[English style name],Table57[Style type]),"")</f>
        <v/>
      </c>
      <c r="AM540" s="21"/>
      <c r="AN540" s="11"/>
    </row>
    <row r="541" spans="5:44">
      <c r="E541" s="76"/>
      <c r="F5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1" s="13" t="s">
        <v>2992</v>
      </c>
      <c r="H541" s="13" t="s">
        <v>1</v>
      </c>
      <c r="I541" s="12" t="str">
        <f>Table1[[#This Row],[type]]</f>
        <v>character</v>
      </c>
      <c r="J541" s="62" t="str">
        <f>Table1[[#This Row],[Column42]]&amp;IF(Table1[[#This Row],[Column13]]="","",Table1[[#This Row],[Column13]])&amp;IF(Table1[[#This Row],[mod]]="","",Table1[[#This Row],[mod]])</f>
        <v>character__hyperlink--line</v>
      </c>
      <c r="K5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1" t="s">
        <v>65</v>
      </c>
      <c r="M541" t="s">
        <v>2995</v>
      </c>
      <c r="P541" s="6" t="s">
        <v>2488</v>
      </c>
      <c r="Q5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</v>
      </c>
      <c r="S541" t="s">
        <v>2993</v>
      </c>
      <c r="U5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41" s="29"/>
      <c r="AC541" s="25"/>
      <c r="AD541" s="41"/>
      <c r="AE541" s="41"/>
      <c r="AF541" s="11" t="s">
        <v>78</v>
      </c>
      <c r="AH541" s="1" t="str">
        <f>Table1[[#This Row],[html_tag]]&amp;Table1[[#This Row],[html_type]]&amp;Table1[[#This Row],[html_modifier]]</f>
        <v/>
      </c>
      <c r="AL541" s="22" t="str">
        <f>IFERROR(_xlfn.XLOOKUP(Table1[[#This Row],[word]],Table57[English style name],Table57[Style type]),"")</f>
        <v/>
      </c>
      <c r="AM541" s="20"/>
      <c r="AN541" s="11"/>
      <c r="AQ541" s="6" t="s">
        <v>2488</v>
      </c>
      <c r="AR541" t="s">
        <v>2486</v>
      </c>
    </row>
    <row r="542" spans="5:44">
      <c r="E542" s="76"/>
      <c r="F5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2" s="13" t="s">
        <v>2992</v>
      </c>
      <c r="H542" s="13" t="s">
        <v>1</v>
      </c>
      <c r="I542" s="12" t="str">
        <f>Table1[[#This Row],[type]]</f>
        <v>character</v>
      </c>
      <c r="J542" s="62" t="str">
        <f>Table1[[#This Row],[Column42]]&amp;IF(Table1[[#This Row],[Column13]]="","",Table1[[#This Row],[Column13]])&amp;IF(Table1[[#This Row],[mod]]="","",Table1[[#This Row],[mod]])</f>
        <v>character__hyperlink--line_alt</v>
      </c>
      <c r="K5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2" t="s">
        <v>65</v>
      </c>
      <c r="M542" t="s">
        <v>2995</v>
      </c>
      <c r="P542" s="6" t="s">
        <v>2489</v>
      </c>
      <c r="Q5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--line_alt</v>
      </c>
      <c r="S542" t="s">
        <v>3078</v>
      </c>
      <c r="U5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42" s="29"/>
      <c r="AC542" s="25"/>
      <c r="AD542" s="41"/>
      <c r="AE542" s="41"/>
      <c r="AF542" s="11" t="s">
        <v>78</v>
      </c>
      <c r="AH542" s="1" t="str">
        <f>Table1[[#This Row],[html_tag]]&amp;Table1[[#This Row],[html_type]]&amp;Table1[[#This Row],[html_modifier]]</f>
        <v/>
      </c>
      <c r="AL542" s="22" t="str">
        <f>IFERROR(_xlfn.XLOOKUP(Table1[[#This Row],[word]],Table57[English style name],Table57[Style type]),"")</f>
        <v/>
      </c>
      <c r="AM542" s="20"/>
      <c r="AN542" s="11"/>
      <c r="AQ542" s="6" t="s">
        <v>2489</v>
      </c>
      <c r="AR542" t="s">
        <v>2486</v>
      </c>
    </row>
    <row r="543" spans="5:44">
      <c r="E543" s="76"/>
      <c r="F5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3" s="13" t="s">
        <v>2992</v>
      </c>
      <c r="H543" s="13" t="s">
        <v>1</v>
      </c>
      <c r="I543" s="12" t="str">
        <f>Table1[[#This Row],[type]]</f>
        <v>character</v>
      </c>
      <c r="J543" s="62" t="str">
        <f>Table1[[#This Row],[Column42]]&amp;IF(Table1[[#This Row],[Column13]]="","",Table1[[#This Row],[Column13]])&amp;IF(Table1[[#This Row],[mod]]="","",Table1[[#This Row],[mod]])</f>
        <v>character__hyperlink--link</v>
      </c>
      <c r="K5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3" t="s">
        <v>65</v>
      </c>
      <c r="M543" t="s">
        <v>2995</v>
      </c>
      <c r="Q5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543" t="s">
        <v>477</v>
      </c>
      <c r="AB543" s="29"/>
      <c r="AC543" s="25"/>
      <c r="AD543" s="41"/>
      <c r="AE543" s="41"/>
      <c r="AF543" s="11" t="s">
        <v>78</v>
      </c>
      <c r="AH543" s="1" t="str">
        <f>Table1[[#This Row],[html_tag]]&amp;Table1[[#This Row],[html_type]]&amp;Table1[[#This Row],[html_modifier]]</f>
        <v>&lt;a&gt;:link</v>
      </c>
      <c r="AI543" t="s">
        <v>78</v>
      </c>
      <c r="AK543" t="s">
        <v>3012</v>
      </c>
      <c r="AL543" s="22" t="str">
        <f>IFERROR(_xlfn.XLOOKUP(Table1[[#This Row],[word]],Table57[English style name],Table57[Style type]),"")</f>
        <v/>
      </c>
      <c r="AM543" s="20"/>
      <c r="AN543" s="11"/>
    </row>
    <row r="544" spans="5:44">
      <c r="E544" s="76"/>
      <c r="F5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4" s="13"/>
      <c r="H544" s="13"/>
      <c r="I544" s="12" t="str">
        <f>Table1[[#This Row],[type]]</f>
        <v>character</v>
      </c>
      <c r="J544" s="62" t="str">
        <f>Table1[[#This Row],[Column42]]&amp;IF(Table1[[#This Row],[Column13]]="","",Table1[[#This Row],[Column13]])&amp;IF(Table1[[#This Row],[mod]]="","",Table1[[#This Row],[mod]])</f>
        <v>character__hyperlink--neutral</v>
      </c>
      <c r="K5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4" t="s">
        <v>65</v>
      </c>
      <c r="M544" t="s">
        <v>2995</v>
      </c>
      <c r="Q5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544" t="s">
        <v>7393</v>
      </c>
      <c r="AB544" s="29"/>
      <c r="AC544" s="25"/>
      <c r="AD544" s="41" t="s">
        <v>6792</v>
      </c>
      <c r="AE544" s="41"/>
      <c r="AF544" s="11"/>
      <c r="AH544" s="7" t="str">
        <f>Table1[[#This Row],[html_tag]]&amp;Table1[[#This Row],[html_type]]&amp;Table1[[#This Row],[html_modifier]]</f>
        <v/>
      </c>
      <c r="AL544" s="23" t="str">
        <f>IFERROR(_xlfn.XLOOKUP(Table1[[#This Row],[word]],Table57[English style name],Table57[Style type]),"")</f>
        <v/>
      </c>
      <c r="AM544" s="21"/>
      <c r="AN544" s="11"/>
    </row>
    <row r="545" spans="3:46">
      <c r="E545" s="76"/>
      <c r="F5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5" s="13" t="s">
        <v>2992</v>
      </c>
      <c r="H545" s="13" t="s">
        <v>1</v>
      </c>
      <c r="I545" s="12" t="str">
        <f>Table1[[#This Row],[type]]</f>
        <v>character</v>
      </c>
      <c r="J545" s="62" t="str">
        <f>Table1[[#This Row],[Column42]]&amp;IF(Table1[[#This Row],[Column13]]="","",Table1[[#This Row],[Column13]])&amp;IF(Table1[[#This Row],[mod]]="","",Table1[[#This Row],[mod]])</f>
        <v>character__hyperlink--normal</v>
      </c>
      <c r="K5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5" t="s">
        <v>65</v>
      </c>
      <c r="M545" t="s">
        <v>2995</v>
      </c>
      <c r="P545" s="6" t="s">
        <v>2490</v>
      </c>
      <c r="Q5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--normal</v>
      </c>
      <c r="V545" t="s">
        <v>3079</v>
      </c>
      <c r="AB545" s="29"/>
      <c r="AC545" s="25"/>
      <c r="AD545" s="41"/>
      <c r="AE545" s="41"/>
      <c r="AF545" s="11" t="s">
        <v>78</v>
      </c>
      <c r="AH545" s="1" t="str">
        <f>Table1[[#This Row],[html_tag]]&amp;Table1[[#This Row],[html_type]]&amp;Table1[[#This Row],[html_modifier]]</f>
        <v/>
      </c>
      <c r="AL545" s="22" t="str">
        <f>IFERROR(_xlfn.XLOOKUP(Table1[[#This Row],[word]],Table57[English style name],Table57[Style type]),"")</f>
        <v/>
      </c>
      <c r="AM545" s="20"/>
      <c r="AN545" s="11"/>
      <c r="AQ545" s="6" t="s">
        <v>2490</v>
      </c>
      <c r="AR545" t="s">
        <v>2486</v>
      </c>
    </row>
    <row r="546" spans="3:46">
      <c r="E546" s="76"/>
      <c r="F5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6" s="13"/>
      <c r="H546" s="13"/>
      <c r="I546" s="12" t="str">
        <f>Table1[[#This Row],[type]]</f>
        <v>character</v>
      </c>
      <c r="J546" s="62" t="str">
        <f>Table1[[#This Row],[Column42]]&amp;IF(Table1[[#This Row],[Column13]]="","",Table1[[#This Row],[Column13]])&amp;IF(Table1[[#This Row],[mod]]="","",Table1[[#This Row],[mod]])</f>
        <v>character__hyperlink--primary</v>
      </c>
      <c r="K5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6" t="s">
        <v>65</v>
      </c>
      <c r="M546" t="s">
        <v>2995</v>
      </c>
      <c r="Q5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546" t="s">
        <v>3164</v>
      </c>
      <c r="AB546" s="29"/>
      <c r="AC546" s="25" t="s">
        <v>3853</v>
      </c>
      <c r="AD546" s="41" t="s">
        <v>3853</v>
      </c>
      <c r="AE546" s="41"/>
      <c r="AF546" s="11"/>
      <c r="AH546" s="7" t="str">
        <f>Table1[[#This Row],[html_tag]]&amp;Table1[[#This Row],[html_type]]&amp;Table1[[#This Row],[html_modifier]]</f>
        <v/>
      </c>
      <c r="AL546" s="23" t="str">
        <f>IFERROR(_xlfn.XLOOKUP(Table1[[#This Row],[word]],Table57[English style name],Table57[Style type]),"")</f>
        <v/>
      </c>
      <c r="AM546" s="21"/>
      <c r="AN546" s="11"/>
    </row>
    <row r="547" spans="3:46">
      <c r="E547" s="76"/>
      <c r="F5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7" s="13"/>
      <c r="H547" s="13"/>
      <c r="I547" s="12" t="str">
        <f>Table1[[#This Row],[type]]</f>
        <v>character</v>
      </c>
      <c r="J547" s="62" t="str">
        <f>Table1[[#This Row],[Column42]]&amp;IF(Table1[[#This Row],[Column13]]="","",Table1[[#This Row],[Column13]])&amp;IF(Table1[[#This Row],[mod]]="","",Table1[[#This Row],[mod]])</f>
        <v>character__hyperlink--secondary</v>
      </c>
      <c r="K5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7" t="s">
        <v>65</v>
      </c>
      <c r="M547" t="s">
        <v>2995</v>
      </c>
      <c r="Q5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547" t="s">
        <v>3502</v>
      </c>
      <c r="AB547" s="29"/>
      <c r="AC547" s="25" t="s">
        <v>3854</v>
      </c>
      <c r="AD547" s="41" t="s">
        <v>3854</v>
      </c>
      <c r="AE547" s="41"/>
      <c r="AF547" s="11"/>
      <c r="AH547" s="7" t="str">
        <f>Table1[[#This Row],[html_tag]]&amp;Table1[[#This Row],[html_type]]&amp;Table1[[#This Row],[html_modifier]]</f>
        <v/>
      </c>
      <c r="AL547" s="23" t="str">
        <f>IFERROR(_xlfn.XLOOKUP(Table1[[#This Row],[word]],Table57[English style name],Table57[Style type]),"")</f>
        <v/>
      </c>
      <c r="AM547" s="21"/>
      <c r="AN547" s="11"/>
    </row>
    <row r="548" spans="3:46">
      <c r="C548">
        <v>1</v>
      </c>
      <c r="D548" t="s">
        <v>3226</v>
      </c>
      <c r="E548" s="76"/>
      <c r="F5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8" s="13" t="s">
        <v>2992</v>
      </c>
      <c r="H548" s="13" t="s">
        <v>1</v>
      </c>
      <c r="I548" s="12" t="str">
        <f>Table1[[#This Row],[type]]</f>
        <v>character</v>
      </c>
      <c r="J548" s="62" t="str">
        <f>Table1[[#This Row],[Column42]]&amp;IF(Table1[[#This Row],[Column13]]="","",Table1[[#This Row],[Column13]])&amp;IF(Table1[[#This Row],[mod]]="","",Table1[[#This Row],[mod]])</f>
        <v>character__hyperlink--smart</v>
      </c>
      <c r="K5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8" t="s">
        <v>65</v>
      </c>
      <c r="M548" t="s">
        <v>2995</v>
      </c>
      <c r="P548" t="s">
        <v>678</v>
      </c>
      <c r="Q5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--smart</v>
      </c>
      <c r="S548" t="s">
        <v>3866</v>
      </c>
      <c r="U5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48" s="29"/>
      <c r="AC548" s="25"/>
      <c r="AD548" s="41"/>
      <c r="AE548" s="41"/>
      <c r="AF548" s="11" t="s">
        <v>78</v>
      </c>
      <c r="AG548" t="s">
        <v>3229</v>
      </c>
      <c r="AH548" s="1" t="str">
        <f>Table1[[#This Row],[html_tag]]&amp;Table1[[#This Row],[html_type]]&amp;Table1[[#This Row],[html_modifier]]</f>
        <v/>
      </c>
      <c r="AL548" s="22" t="str">
        <f>IFERROR(_xlfn.XLOOKUP(Table1[[#This Row],[word]],Table57[English style name],Table57[Style type]),"")</f>
        <v>Character</v>
      </c>
      <c r="AM548" s="20" t="s">
        <v>678</v>
      </c>
      <c r="AN548" s="11"/>
    </row>
    <row r="549" spans="3:46">
      <c r="E549" s="76"/>
      <c r="F5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9" s="13"/>
      <c r="H549" s="13"/>
      <c r="I549" s="12" t="str">
        <f>Table1[[#This Row],[type]]</f>
        <v>character</v>
      </c>
      <c r="J549" s="62" t="str">
        <f>Table1[[#This Row],[Column42]]&amp;IF(Table1[[#This Row],[Column13]]="","",Table1[[#This Row],[Column13]])&amp;IF(Table1[[#This Row],[mod]]="","",Table1[[#This Row],[mod]])</f>
        <v>character__hyperlink--success</v>
      </c>
      <c r="K5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9" t="s">
        <v>65</v>
      </c>
      <c r="M549" t="s">
        <v>2995</v>
      </c>
      <c r="Q5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549" t="s">
        <v>3120</v>
      </c>
      <c r="AB549" s="29"/>
      <c r="AC549" s="25" t="s">
        <v>3855</v>
      </c>
      <c r="AD549" s="41" t="s">
        <v>3855</v>
      </c>
      <c r="AE549" s="41"/>
      <c r="AF549" s="11"/>
      <c r="AH549" s="7" t="str">
        <f>Table1[[#This Row],[html_tag]]&amp;Table1[[#This Row],[html_type]]&amp;Table1[[#This Row],[html_modifier]]</f>
        <v/>
      </c>
      <c r="AL549" s="23" t="str">
        <f>IFERROR(_xlfn.XLOOKUP(Table1[[#This Row],[word]],Table57[English style name],Table57[Style type]),"")</f>
        <v/>
      </c>
      <c r="AM549" s="21"/>
      <c r="AN549" s="11"/>
    </row>
    <row r="550" spans="3:46">
      <c r="E550" s="76"/>
      <c r="F5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0" s="13" t="s">
        <v>2992</v>
      </c>
      <c r="H550" s="13" t="s">
        <v>1</v>
      </c>
      <c r="I550" s="12" t="str">
        <f>Table1[[#This Row],[type]]</f>
        <v>character</v>
      </c>
      <c r="J550" s="62" t="str">
        <f>Table1[[#This Row],[Column42]]&amp;IF(Table1[[#This Row],[Column13]]="","",Table1[[#This Row],[Column13]])&amp;IF(Table1[[#This Row],[mod]]="","",Table1[[#This Row],[mod]])</f>
        <v>character__hyperlink--visited</v>
      </c>
      <c r="K5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50" t="s">
        <v>65</v>
      </c>
      <c r="M550" t="s">
        <v>2995</v>
      </c>
      <c r="Q5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--visited</v>
      </c>
      <c r="Z550" t="s">
        <v>3018</v>
      </c>
      <c r="AB550" s="29"/>
      <c r="AC550" s="25"/>
      <c r="AD550" s="41"/>
      <c r="AE550" s="41"/>
      <c r="AF550" s="11" t="s">
        <v>78</v>
      </c>
      <c r="AH550" s="1" t="str">
        <f>Table1[[#This Row],[html_tag]]&amp;Table1[[#This Row],[html_type]]&amp;Table1[[#This Row],[html_modifier]]</f>
        <v>&lt;a&gt;:visited</v>
      </c>
      <c r="AI550" t="s">
        <v>78</v>
      </c>
      <c r="AK550" t="s">
        <v>3013</v>
      </c>
      <c r="AL550" s="22" t="str">
        <f>IFERROR(_xlfn.XLOOKUP(Table1[[#This Row],[word]],Table57[English style name],Table57[Style type]),"")</f>
        <v/>
      </c>
      <c r="AM550" s="20"/>
      <c r="AN550" s="11"/>
    </row>
    <row r="551" spans="3:46">
      <c r="E551" s="76"/>
      <c r="F5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51" s="13"/>
      <c r="H551" s="13"/>
      <c r="I551" s="12" t="str">
        <f>Table1[[#This Row],[type]]</f>
        <v>character</v>
      </c>
      <c r="J551" s="62" t="str">
        <f>Table1[[#This Row],[Column42]]&amp;IF(Table1[[#This Row],[Column13]]="","",Table1[[#This Row],[Column13]])&amp;IF(Table1[[#This Row],[mod]]="","",Table1[[#This Row],[mod]])</f>
        <v>character__hyperlink--warning</v>
      </c>
      <c r="K5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51" t="s">
        <v>65</v>
      </c>
      <c r="M551" t="s">
        <v>2995</v>
      </c>
      <c r="Q5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551" t="s">
        <v>3121</v>
      </c>
      <c r="AB551" s="29"/>
      <c r="AC551" s="25" t="s">
        <v>3856</v>
      </c>
      <c r="AD551" s="41" t="s">
        <v>3856</v>
      </c>
      <c r="AE551" s="41"/>
      <c r="AF551" s="11"/>
      <c r="AH551" s="7" t="str">
        <f>Table1[[#This Row],[html_tag]]&amp;Table1[[#This Row],[html_type]]&amp;Table1[[#This Row],[html_modifier]]</f>
        <v/>
      </c>
      <c r="AL551" s="23" t="str">
        <f>IFERROR(_xlfn.XLOOKUP(Table1[[#This Row],[word]],Table57[English style name],Table57[Style type]),"")</f>
        <v/>
      </c>
      <c r="AM551" s="21"/>
      <c r="AN551" s="11"/>
    </row>
    <row r="552" spans="3:46">
      <c r="E552" s="76"/>
      <c r="F5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2" s="13" t="s">
        <v>2992</v>
      </c>
      <c r="H552" s="13" t="s">
        <v>1</v>
      </c>
      <c r="I552" s="12" t="str">
        <f>Table1[[#This Row],[type]]</f>
        <v>character</v>
      </c>
      <c r="J552" s="62" t="str">
        <f>Table1[[#This Row],[Column42]]&amp;IF(Table1[[#This Row],[Column13]]="","",Table1[[#This Row],[Column13]])&amp;IF(Table1[[#This Row],[mod]]="","",Table1[[#This Row],[mod]])</f>
        <v>character__italic</v>
      </c>
      <c r="K5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character__italic</v>
      </c>
      <c r="L552" t="s">
        <v>65</v>
      </c>
      <c r="M552" t="s">
        <v>3001</v>
      </c>
      <c r="P552" s="6" t="s">
        <v>2668</v>
      </c>
      <c r="Q5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2" s="29"/>
      <c r="AC552" s="25"/>
      <c r="AD552" s="41"/>
      <c r="AE552" s="41"/>
      <c r="AF552" s="11" t="s">
        <v>197</v>
      </c>
      <c r="AH552" s="1" t="str">
        <f>Table1[[#This Row],[html_tag]]&amp;Table1[[#This Row],[html_type]]&amp;Table1[[#This Row],[html_modifier]]</f>
        <v>&lt;i&gt;</v>
      </c>
      <c r="AI552" t="s">
        <v>197</v>
      </c>
      <c r="AL552" s="22" t="str">
        <f>IFERROR(_xlfn.XLOOKUP(Table1[[#This Row],[word]],Table57[English style name],Table57[Style type]),"")</f>
        <v/>
      </c>
      <c r="AM552" s="20"/>
      <c r="AN552" s="11"/>
      <c r="AQ552" s="6" t="s">
        <v>2668</v>
      </c>
      <c r="AR552" t="s">
        <v>2669</v>
      </c>
    </row>
    <row r="553" spans="3:46">
      <c r="E553" s="76"/>
      <c r="F5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3" s="13" t="s">
        <v>2992</v>
      </c>
      <c r="H553" s="13" t="s">
        <v>1</v>
      </c>
      <c r="I553" s="12" t="str">
        <f>Table1[[#This Row],[type]]</f>
        <v>character</v>
      </c>
      <c r="J553" s="62" t="str">
        <f>Table1[[#This Row],[Column42]]&amp;IF(Table1[[#This Row],[Column13]]="","",Table1[[#This Row],[Column13]])&amp;IF(Table1[[#This Row],[mod]]="","",Table1[[#This Row],[mod]])</f>
        <v>character__line</v>
      </c>
      <c r="K5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3" t="s">
        <v>65</v>
      </c>
      <c r="M553" t="s">
        <v>2993</v>
      </c>
      <c r="Q5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3" s="29"/>
      <c r="AC553" s="25"/>
      <c r="AD553" s="41"/>
      <c r="AE553" s="41"/>
      <c r="AF553" s="11"/>
      <c r="AH553" s="1" t="str">
        <f>Table1[[#This Row],[html_tag]]&amp;Table1[[#This Row],[html_type]]&amp;Table1[[#This Row],[html_modifier]]</f>
        <v/>
      </c>
      <c r="AL553" s="22" t="str">
        <f>IFERROR(_xlfn.XLOOKUP(Table1[[#This Row],[word]],Table57[English style name],Table57[Style type]),"")</f>
        <v/>
      </c>
      <c r="AM553" s="20"/>
      <c r="AN553" s="11"/>
      <c r="AQ553" s="6" t="s">
        <v>2491</v>
      </c>
      <c r="AR553" t="s">
        <v>2492</v>
      </c>
    </row>
    <row r="554" spans="3:46">
      <c r="E554" s="76"/>
      <c r="F5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4" s="13" t="s">
        <v>2992</v>
      </c>
      <c r="H554" s="13" t="s">
        <v>1</v>
      </c>
      <c r="I554" s="12" t="str">
        <f>Table1[[#This Row],[type]]</f>
        <v>character</v>
      </c>
      <c r="J554" s="62" t="str">
        <f>Table1[[#This Row],[Column42]]&amp;IF(Table1[[#This Row],[Column13]]="","",Table1[[#This Row],[Column13]])&amp;IF(Table1[[#This Row],[mod]]="","",Table1[[#This Row],[mod]])</f>
        <v>character__line</v>
      </c>
      <c r="K5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4" t="s">
        <v>65</v>
      </c>
      <c r="M554" t="s">
        <v>2993</v>
      </c>
      <c r="P554" s="6" t="s">
        <v>2500</v>
      </c>
      <c r="Q5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4" s="29"/>
      <c r="AC554" s="25"/>
      <c r="AD554" s="41"/>
      <c r="AE554" s="41"/>
      <c r="AF554" s="11"/>
      <c r="AH554" s="1" t="str">
        <f>Table1[[#This Row],[html_tag]]&amp;Table1[[#This Row],[html_type]]&amp;Table1[[#This Row],[html_modifier]]</f>
        <v/>
      </c>
      <c r="AL554" s="22" t="str">
        <f>IFERROR(_xlfn.XLOOKUP(Table1[[#This Row],[word]],Table57[English style name],Table57[Style type]),"")</f>
        <v/>
      </c>
      <c r="AM554" s="20"/>
      <c r="AN554" s="11"/>
      <c r="AQ554" s="6" t="s">
        <v>2500</v>
      </c>
      <c r="AR554" t="s">
        <v>2492</v>
      </c>
    </row>
    <row r="555" spans="3:46">
      <c r="C555">
        <v>1</v>
      </c>
      <c r="D555" t="s">
        <v>3230</v>
      </c>
      <c r="E555" s="76"/>
      <c r="F5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5" s="13" t="s">
        <v>2992</v>
      </c>
      <c r="H555" s="13" t="s">
        <v>1</v>
      </c>
      <c r="I555" s="12" t="str">
        <f>Table1[[#This Row],[type]]</f>
        <v>character</v>
      </c>
      <c r="J555" s="62" t="str">
        <f>Table1[[#This Row],[Column42]]&amp;IF(Table1[[#This Row],[Column13]]="","",Table1[[#This Row],[Column13]])&amp;IF(Table1[[#This Row],[mod]]="","",Table1[[#This Row],[mod]])</f>
        <v>character__Line Number</v>
      </c>
      <c r="K5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 Number</v>
      </c>
      <c r="L555" t="s">
        <v>65</v>
      </c>
      <c r="O555" t="s">
        <v>636</v>
      </c>
      <c r="P555" t="s">
        <v>636</v>
      </c>
      <c r="Q5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5" s="29"/>
      <c r="AC555" s="25"/>
      <c r="AD555" s="41"/>
      <c r="AE555" s="41"/>
      <c r="AF555" s="11" t="s">
        <v>270</v>
      </c>
      <c r="AG555" t="s">
        <v>3231</v>
      </c>
      <c r="AH555" s="1" t="str">
        <f>Table1[[#This Row],[html_tag]]&amp;Table1[[#This Row],[html_type]]&amp;Table1[[#This Row],[html_modifier]]</f>
        <v/>
      </c>
      <c r="AL555" s="22" t="str">
        <f>IFERROR(_xlfn.XLOOKUP(Table1[[#This Row],[word]],Table57[English style name],Table57[Style type]),"")</f>
        <v>Character</v>
      </c>
      <c r="AM555" s="20" t="s">
        <v>636</v>
      </c>
      <c r="AN555" s="11"/>
    </row>
    <row r="556" spans="3:46">
      <c r="E556" s="76"/>
      <c r="F5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6" s="13" t="s">
        <v>2992</v>
      </c>
      <c r="H556" s="13" t="s">
        <v>1</v>
      </c>
      <c r="I556" s="12" t="str">
        <f>Table1[[#This Row],[type]]</f>
        <v>character</v>
      </c>
      <c r="J556" s="62" t="str">
        <f>Table1[[#This Row],[Column42]]&amp;IF(Table1[[#This Row],[Column13]]="","",Table1[[#This Row],[Column13]])&amp;IF(Table1[[#This Row],[mod]]="","",Table1[[#This Row],[mod]])</f>
        <v>character__line--alt</v>
      </c>
      <c r="K5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6" t="s">
        <v>65</v>
      </c>
      <c r="M556" t="s">
        <v>2993</v>
      </c>
      <c r="Q5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--alt</v>
      </c>
      <c r="S556" t="s">
        <v>10183</v>
      </c>
      <c r="U5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6" s="29"/>
      <c r="AC556" s="25"/>
      <c r="AD556" s="41"/>
      <c r="AE556" s="41"/>
      <c r="AF556" s="11"/>
      <c r="AH556" s="1" t="str">
        <f>Table1[[#This Row],[html_tag]]&amp;Table1[[#This Row],[html_type]]&amp;Table1[[#This Row],[html_modifier]]</f>
        <v/>
      </c>
      <c r="AL556" s="22" t="str">
        <f>IFERROR(_xlfn.XLOOKUP(Table1[[#This Row],[word]],Table57[English style name],Table57[Style type]),"")</f>
        <v/>
      </c>
      <c r="AM556" s="20"/>
      <c r="AN556" s="11"/>
      <c r="AQ556" s="6" t="s">
        <v>2499</v>
      </c>
      <c r="AR556" t="s">
        <v>2492</v>
      </c>
    </row>
    <row r="557" spans="3:46">
      <c r="E557" s="76"/>
      <c r="F5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7" s="13" t="s">
        <v>2992</v>
      </c>
      <c r="H557" s="13" t="s">
        <v>1</v>
      </c>
      <c r="I557" s="12" t="str">
        <f>Table1[[#This Row],[type]]</f>
        <v>character</v>
      </c>
      <c r="J557" s="62" t="str">
        <f>Table1[[#This Row],[Column42]]&amp;IF(Table1[[#This Row],[Column13]]="","",Table1[[#This Row],[Column13]])&amp;IF(Table1[[#This Row],[mod]]="","",Table1[[#This Row],[mod]])</f>
        <v>character__line--base</v>
      </c>
      <c r="K5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7" t="s">
        <v>65</v>
      </c>
      <c r="M557" t="s">
        <v>2993</v>
      </c>
      <c r="P557" s="6" t="s">
        <v>2501</v>
      </c>
      <c r="Q5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57" t="s">
        <v>338</v>
      </c>
      <c r="AB557" s="29"/>
      <c r="AC557" s="25"/>
      <c r="AD557" s="41"/>
      <c r="AE557" s="41"/>
      <c r="AF557" s="11"/>
      <c r="AH557" s="1" t="str">
        <f>Table1[[#This Row],[html_tag]]&amp;Table1[[#This Row],[html_type]]&amp;Table1[[#This Row],[html_modifier]]</f>
        <v/>
      </c>
      <c r="AL557" s="22" t="str">
        <f>IFERROR(_xlfn.XLOOKUP(Table1[[#This Row],[word]],Table57[English style name],Table57[Style type]),"")</f>
        <v/>
      </c>
      <c r="AM557" s="20"/>
      <c r="AN557" s="11"/>
      <c r="AQ557" s="6" t="s">
        <v>2501</v>
      </c>
      <c r="AR557" t="s">
        <v>2492</v>
      </c>
    </row>
    <row r="558" spans="3:46">
      <c r="E558" s="76"/>
      <c r="F5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8" s="13" t="s">
        <v>2992</v>
      </c>
      <c r="H558" s="13" t="s">
        <v>1</v>
      </c>
      <c r="I558" s="12" t="str">
        <f>Table1[[#This Row],[type]]</f>
        <v>character</v>
      </c>
      <c r="J558" s="62" t="str">
        <f>Table1[[#This Row],[Column42]]&amp;IF(Table1[[#This Row],[Column13]]="","",Table1[[#This Row],[Column13]])&amp;IF(Table1[[#This Row],[mod]]="","",Table1[[#This Row],[mod]])</f>
        <v>character__line--over</v>
      </c>
      <c r="K5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8" t="s">
        <v>65</v>
      </c>
      <c r="M558" t="s">
        <v>2993</v>
      </c>
      <c r="Q5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--over</v>
      </c>
      <c r="R558" t="s">
        <v>10184</v>
      </c>
      <c r="U5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8" s="29"/>
      <c r="AC558" s="25"/>
      <c r="AD558" s="41"/>
      <c r="AE558" s="41"/>
      <c r="AF558" s="11"/>
      <c r="AH558" s="1" t="str">
        <f>Table1[[#This Row],[html_tag]]&amp;Table1[[#This Row],[html_type]]&amp;Table1[[#This Row],[html_modifier]]</f>
        <v/>
      </c>
      <c r="AL558" s="22" t="str">
        <f>IFERROR(_xlfn.XLOOKUP(Table1[[#This Row],[word]],Table57[English style name],Table57[Style type]),"")</f>
        <v/>
      </c>
      <c r="AM558" s="20"/>
      <c r="AN558" s="11"/>
      <c r="AQ558" s="6" t="s">
        <v>2493</v>
      </c>
      <c r="AR558" t="s">
        <v>2492</v>
      </c>
      <c r="AS558" s="6" t="s">
        <v>2493</v>
      </c>
      <c r="AT558" t="s">
        <v>2492</v>
      </c>
    </row>
    <row r="559" spans="3:46">
      <c r="E559" s="76"/>
      <c r="F5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9" s="13" t="s">
        <v>2992</v>
      </c>
      <c r="H559" s="13" t="s">
        <v>1</v>
      </c>
      <c r="I559" s="12" t="str">
        <f>Table1[[#This Row],[type]]</f>
        <v>character</v>
      </c>
      <c r="J559" s="62" t="str">
        <f>Table1[[#This Row],[Column42]]&amp;IF(Table1[[#This Row],[Column13]]="","",Table1[[#This Row],[Column13]])&amp;IF(Table1[[#This Row],[mod]]="","",Table1[[#This Row],[mod]])</f>
        <v>character__line--over--alt</v>
      </c>
      <c r="K5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9" t="s">
        <v>65</v>
      </c>
      <c r="M559" t="s">
        <v>2993</v>
      </c>
      <c r="Q5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--over--alt</v>
      </c>
      <c r="R559" t="s">
        <v>10184</v>
      </c>
      <c r="S559" t="s">
        <v>10183</v>
      </c>
      <c r="U5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9" s="29"/>
      <c r="AC559" s="25"/>
      <c r="AD559" s="41"/>
      <c r="AE559" s="41"/>
      <c r="AF559" s="11"/>
      <c r="AH559" s="1" t="str">
        <f>Table1[[#This Row],[html_tag]]&amp;Table1[[#This Row],[html_type]]&amp;Table1[[#This Row],[html_modifier]]</f>
        <v/>
      </c>
      <c r="AL559" s="22" t="str">
        <f>IFERROR(_xlfn.XLOOKUP(Table1[[#This Row],[word]],Table57[English style name],Table57[Style type]),"")</f>
        <v/>
      </c>
      <c r="AM559" s="20"/>
      <c r="AN559" s="11"/>
      <c r="AQ559" s="6" t="s">
        <v>2494</v>
      </c>
      <c r="AR559" t="s">
        <v>2492</v>
      </c>
      <c r="AS559" s="6" t="s">
        <v>2494</v>
      </c>
      <c r="AT559" t="s">
        <v>2492</v>
      </c>
    </row>
    <row r="560" spans="3:46">
      <c r="E560" s="76"/>
      <c r="F5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0" s="13" t="s">
        <v>2992</v>
      </c>
      <c r="H560" s="13" t="s">
        <v>1</v>
      </c>
      <c r="I560" s="12" t="str">
        <f>Table1[[#This Row],[type]]</f>
        <v>character</v>
      </c>
      <c r="J560" s="62" t="str">
        <f>Table1[[#This Row],[Column42]]&amp;IF(Table1[[#This Row],[Column13]]="","",Table1[[#This Row],[Column13]])&amp;IF(Table1[[#This Row],[mod]]="","",Table1[[#This Row],[mod]])</f>
        <v>character__line--through</v>
      </c>
      <c r="K5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60" t="s">
        <v>65</v>
      </c>
      <c r="M560" t="s">
        <v>2993</v>
      </c>
      <c r="Q5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--through</v>
      </c>
      <c r="R560" t="s">
        <v>10185</v>
      </c>
      <c r="U5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0" s="29"/>
      <c r="AC560" s="25"/>
      <c r="AD560" s="41"/>
      <c r="AE560" s="41"/>
      <c r="AF560" s="11"/>
      <c r="AH560" s="1" t="str">
        <f>Table1[[#This Row],[html_tag]]&amp;Table1[[#This Row],[html_type]]&amp;Table1[[#This Row],[html_modifier]]</f>
        <v/>
      </c>
      <c r="AL560" s="22" t="str">
        <f>IFERROR(_xlfn.XLOOKUP(Table1[[#This Row],[word]],Table57[English style name],Table57[Style type]),"")</f>
        <v/>
      </c>
      <c r="AM560" s="20"/>
      <c r="AN560" s="11"/>
      <c r="AQ560" s="6" t="s">
        <v>2495</v>
      </c>
      <c r="AR560" t="s">
        <v>2492</v>
      </c>
      <c r="AS560" s="6" t="s">
        <v>2495</v>
      </c>
      <c r="AT560" t="s">
        <v>2492</v>
      </c>
    </row>
    <row r="561" spans="3:46">
      <c r="E561" s="76"/>
      <c r="F5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1" s="13" t="s">
        <v>2992</v>
      </c>
      <c r="H561" s="13" t="s">
        <v>1</v>
      </c>
      <c r="I561" s="12" t="str">
        <f>Table1[[#This Row],[type]]</f>
        <v>character</v>
      </c>
      <c r="J561" s="62" t="str">
        <f>Table1[[#This Row],[Column42]]&amp;IF(Table1[[#This Row],[Column13]]="","",Table1[[#This Row],[Column13]])&amp;IF(Table1[[#This Row],[mod]]="","",Table1[[#This Row],[mod]])</f>
        <v>character__line--through--alt</v>
      </c>
      <c r="K5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61" t="s">
        <v>65</v>
      </c>
      <c r="M561" t="s">
        <v>2993</v>
      </c>
      <c r="Q5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--through--alt</v>
      </c>
      <c r="R561" t="s">
        <v>10185</v>
      </c>
      <c r="S561" t="s">
        <v>10183</v>
      </c>
      <c r="U5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1" s="29"/>
      <c r="AC561" s="25"/>
      <c r="AD561" s="41"/>
      <c r="AE561" s="41"/>
      <c r="AF561" s="11"/>
      <c r="AH561" s="1" t="str">
        <f>Table1[[#This Row],[html_tag]]&amp;Table1[[#This Row],[html_type]]&amp;Table1[[#This Row],[html_modifier]]</f>
        <v/>
      </c>
      <c r="AL561" s="22" t="str">
        <f>IFERROR(_xlfn.XLOOKUP(Table1[[#This Row],[word]],Table57[English style name],Table57[Style type]),"")</f>
        <v/>
      </c>
      <c r="AM561" s="20"/>
      <c r="AN561" s="11"/>
      <c r="AQ561" s="6" t="s">
        <v>2496</v>
      </c>
      <c r="AR561" t="s">
        <v>2492</v>
      </c>
      <c r="AS561" s="6" t="s">
        <v>2496</v>
      </c>
      <c r="AT561" t="s">
        <v>2492</v>
      </c>
    </row>
    <row r="562" spans="3:46">
      <c r="E562" s="76"/>
      <c r="F5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2" s="13" t="s">
        <v>2992</v>
      </c>
      <c r="H562" s="13" t="s">
        <v>1</v>
      </c>
      <c r="I562" s="12" t="str">
        <f>Table1[[#This Row],[type]]</f>
        <v>character</v>
      </c>
      <c r="J562" s="62" t="str">
        <f>Table1[[#This Row],[Column42]]&amp;IF(Table1[[#This Row],[Column13]]="","",Table1[[#This Row],[Column13]])&amp;IF(Table1[[#This Row],[mod]]="","",Table1[[#This Row],[mod]])</f>
        <v>character__line--under</v>
      </c>
      <c r="K5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62" t="s">
        <v>65</v>
      </c>
      <c r="M562" t="s">
        <v>2993</v>
      </c>
      <c r="Q5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--under</v>
      </c>
      <c r="R562" t="s">
        <v>10186</v>
      </c>
      <c r="U5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2" s="29"/>
      <c r="AC562" s="25"/>
      <c r="AD562" s="41"/>
      <c r="AE562" s="41"/>
      <c r="AF562" s="11"/>
      <c r="AH562" s="1" t="str">
        <f>Table1[[#This Row],[html_tag]]&amp;Table1[[#This Row],[html_type]]&amp;Table1[[#This Row],[html_modifier]]</f>
        <v/>
      </c>
      <c r="AL562" s="22" t="str">
        <f>IFERROR(_xlfn.XLOOKUP(Table1[[#This Row],[word]],Table57[English style name],Table57[Style type]),"")</f>
        <v/>
      </c>
      <c r="AM562" s="20"/>
      <c r="AN562" s="11"/>
      <c r="AQ562" s="6" t="s">
        <v>2497</v>
      </c>
      <c r="AR562" t="s">
        <v>2492</v>
      </c>
      <c r="AS562" s="6" t="s">
        <v>2497</v>
      </c>
      <c r="AT562" t="s">
        <v>2492</v>
      </c>
    </row>
    <row r="563" spans="3:46">
      <c r="E563" s="76"/>
      <c r="F5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3" s="13" t="s">
        <v>2992</v>
      </c>
      <c r="H563" s="13" t="s">
        <v>1</v>
      </c>
      <c r="I563" s="12" t="str">
        <f>Table1[[#This Row],[type]]</f>
        <v>character</v>
      </c>
      <c r="J563" s="62" t="str">
        <f>Table1[[#This Row],[Column42]]&amp;IF(Table1[[#This Row],[Column13]]="","",Table1[[#This Row],[Column13]])&amp;IF(Table1[[#This Row],[mod]]="","",Table1[[#This Row],[mod]])</f>
        <v>character__line--under--alt</v>
      </c>
      <c r="K5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63" t="s">
        <v>65</v>
      </c>
      <c r="M563" t="s">
        <v>2993</v>
      </c>
      <c r="Q5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--under--alt</v>
      </c>
      <c r="R563" t="s">
        <v>10186</v>
      </c>
      <c r="S563" t="s">
        <v>10183</v>
      </c>
      <c r="U5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3" s="29"/>
      <c r="AC563" s="25"/>
      <c r="AD563" s="41"/>
      <c r="AE563" s="41"/>
      <c r="AF563" s="11"/>
      <c r="AH563" s="1" t="str">
        <f>Table1[[#This Row],[html_tag]]&amp;Table1[[#This Row],[html_type]]&amp;Table1[[#This Row],[html_modifier]]</f>
        <v/>
      </c>
      <c r="AL563" s="22" t="str">
        <f>IFERROR(_xlfn.XLOOKUP(Table1[[#This Row],[word]],Table57[English style name],Table57[Style type]),"")</f>
        <v/>
      </c>
      <c r="AM563" s="20"/>
      <c r="AN563" s="11"/>
      <c r="AQ563" s="6" t="s">
        <v>2498</v>
      </c>
      <c r="AR563" t="s">
        <v>2492</v>
      </c>
      <c r="AS563" s="6" t="s">
        <v>2498</v>
      </c>
      <c r="AT563" t="s">
        <v>2492</v>
      </c>
    </row>
    <row r="564" spans="3:46">
      <c r="E564" s="76"/>
      <c r="F5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4" s="13" t="s">
        <v>2992</v>
      </c>
      <c r="H564" s="13" t="s">
        <v>1</v>
      </c>
      <c r="I564" s="12" t="str">
        <f>Table1[[#This Row],[type]]</f>
        <v>character</v>
      </c>
      <c r="J564" s="62" t="str">
        <f>Table1[[#This Row],[Column42]]&amp;IF(Table1[[#This Row],[Column13]]="","",Table1[[#This Row],[Column13]])&amp;IF(Table1[[#This Row],[mod]]="","",Table1[[#This Row],[mod]])</f>
        <v>character__mark</v>
      </c>
      <c r="K5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character__mark</v>
      </c>
      <c r="L564" t="s">
        <v>65</v>
      </c>
      <c r="M564" t="s">
        <v>561</v>
      </c>
      <c r="P564" s="6" t="s">
        <v>2502</v>
      </c>
      <c r="Q5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4" s="29"/>
      <c r="AC564" s="25"/>
      <c r="AD564" s="41"/>
      <c r="AE564" s="41"/>
      <c r="AF564" s="11"/>
      <c r="AH564" s="1" t="str">
        <f>Table1[[#This Row],[html_tag]]&amp;Table1[[#This Row],[html_type]]&amp;Table1[[#This Row],[html_modifier]]</f>
        <v/>
      </c>
      <c r="AL564" s="22" t="str">
        <f>IFERROR(_xlfn.XLOOKUP(Table1[[#This Row],[word]],Table57[English style name],Table57[Style type]),"")</f>
        <v/>
      </c>
      <c r="AM564" s="20"/>
      <c r="AN564" s="11"/>
      <c r="AQ564" s="6" t="s">
        <v>2502</v>
      </c>
      <c r="AR564" t="s">
        <v>2503</v>
      </c>
    </row>
    <row r="565" spans="3:46">
      <c r="C565">
        <v>1</v>
      </c>
      <c r="D565" t="s">
        <v>3234</v>
      </c>
      <c r="E565" s="76"/>
      <c r="F5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5" s="13" t="s">
        <v>2992</v>
      </c>
      <c r="H565" s="13" t="s">
        <v>1</v>
      </c>
      <c r="I565" s="12" t="str">
        <f>Table1[[#This Row],[type]]</f>
        <v>character</v>
      </c>
      <c r="J565" s="62" t="str">
        <f>Table1[[#This Row],[Column42]]&amp;IF(Table1[[#This Row],[Column13]]="","",Table1[[#This Row],[Column13]])&amp;IF(Table1[[#This Row],[mod]]="","",Table1[[#This Row],[mod]])</f>
        <v>character__Mention</v>
      </c>
      <c r="K5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character__Mention</v>
      </c>
      <c r="L565" t="s">
        <v>65</v>
      </c>
      <c r="O565" t="s">
        <v>677</v>
      </c>
      <c r="P565" t="s">
        <v>677</v>
      </c>
      <c r="Q5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5" s="29"/>
      <c r="AC565" s="25"/>
      <c r="AD565" s="41"/>
      <c r="AE565" s="41"/>
      <c r="AF565" s="11" t="s">
        <v>78</v>
      </c>
      <c r="AG565" t="s">
        <v>3235</v>
      </c>
      <c r="AH565" s="1" t="str">
        <f>Table1[[#This Row],[html_tag]]&amp;Table1[[#This Row],[html_type]]&amp;Table1[[#This Row],[html_modifier]]</f>
        <v/>
      </c>
      <c r="AL565" s="22" t="str">
        <f>IFERROR(_xlfn.XLOOKUP(Table1[[#This Row],[word]],Table57[English style name],Table57[Style type]),"")</f>
        <v>Character</v>
      </c>
      <c r="AM565" s="20" t="s">
        <v>677</v>
      </c>
      <c r="AN565" s="11"/>
    </row>
    <row r="566" spans="3:46">
      <c r="E566" s="76"/>
      <c r="F5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6" s="13" t="s">
        <v>2992</v>
      </c>
      <c r="H566" s="13" t="s">
        <v>1</v>
      </c>
      <c r="I566" s="12" t="str">
        <f>Table1[[#This Row],[type]]</f>
        <v>character</v>
      </c>
      <c r="J566" s="62" t="str">
        <f>Table1[[#This Row],[Column42]]&amp;IF(Table1[[#This Row],[Column13]]="","",Table1[[#This Row],[Column13]])&amp;IF(Table1[[#This Row],[mod]]="","",Table1[[#This Row],[mod]])</f>
        <v>character__oblique</v>
      </c>
      <c r="K5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character__oblique</v>
      </c>
      <c r="L566" t="s">
        <v>65</v>
      </c>
      <c r="M566" t="s">
        <v>2998</v>
      </c>
      <c r="P566" s="6" t="s">
        <v>2157</v>
      </c>
      <c r="Q56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6" s="29"/>
      <c r="AC566" s="25"/>
      <c r="AD566" s="41"/>
      <c r="AE566" s="41"/>
      <c r="AF566" s="11"/>
      <c r="AH566" s="1" t="str">
        <f>Table1[[#This Row],[html_tag]]&amp;Table1[[#This Row],[html_type]]&amp;Table1[[#This Row],[html_modifier]]</f>
        <v/>
      </c>
      <c r="AL566" s="22" t="str">
        <f>IFERROR(_xlfn.XLOOKUP(Table1[[#This Row],[word]],Table57[English style name],Table57[Style type]),"")</f>
        <v/>
      </c>
      <c r="AM566" s="20"/>
      <c r="AN566" s="11"/>
      <c r="AQ566" s="6" t="s">
        <v>2157</v>
      </c>
      <c r="AR566" t="s">
        <v>2158</v>
      </c>
      <c r="AS566" s="6" t="s">
        <v>2159</v>
      </c>
      <c r="AT566" t="s">
        <v>2158</v>
      </c>
    </row>
    <row r="567" spans="3:46">
      <c r="C567">
        <v>1</v>
      </c>
      <c r="D567" t="s">
        <v>3230</v>
      </c>
      <c r="E567" s="76"/>
      <c r="F5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7" s="13" t="s">
        <v>2992</v>
      </c>
      <c r="H567" s="13" t="s">
        <v>1</v>
      </c>
      <c r="I567" s="12" t="str">
        <f>Table1[[#This Row],[type]]</f>
        <v>character</v>
      </c>
      <c r="J567" s="62" t="str">
        <f>Table1[[#This Row],[Column42]]&amp;IF(Table1[[#This Row],[Column13]]="","",Table1[[#This Row],[Column13]])&amp;IF(Table1[[#This Row],[mod]]="","",Table1[[#This Row],[mod]])</f>
        <v>character__page</v>
      </c>
      <c r="K5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character__page</v>
      </c>
      <c r="L567" t="s">
        <v>65</v>
      </c>
      <c r="M567" t="s">
        <v>2237</v>
      </c>
      <c r="P567" t="s">
        <v>638</v>
      </c>
      <c r="Q5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7" s="29"/>
      <c r="AC567" s="25"/>
      <c r="AD567" s="41"/>
      <c r="AE567" s="41"/>
      <c r="AF567" s="11" t="s">
        <v>270</v>
      </c>
      <c r="AG567" t="s">
        <v>3232</v>
      </c>
      <c r="AH567" s="1" t="str">
        <f>Table1[[#This Row],[html_tag]]&amp;Table1[[#This Row],[html_type]]&amp;Table1[[#This Row],[html_modifier]]</f>
        <v/>
      </c>
      <c r="AL567" s="22" t="str">
        <f>IFERROR(_xlfn.XLOOKUP(Table1[[#This Row],[word]],Table57[English style name],Table57[Style type]),"")</f>
        <v>Character</v>
      </c>
      <c r="AM567" s="20" t="s">
        <v>638</v>
      </c>
      <c r="AN567" s="11"/>
    </row>
    <row r="568" spans="3:46">
      <c r="C568">
        <v>1</v>
      </c>
      <c r="D568" t="s">
        <v>3215</v>
      </c>
      <c r="E568" s="76"/>
      <c r="F5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8" s="13" t="s">
        <v>2992</v>
      </c>
      <c r="H568" s="13" t="s">
        <v>1</v>
      </c>
      <c r="I568" s="12" t="str">
        <f>Table1[[#This Row],[type]]</f>
        <v>character</v>
      </c>
      <c r="J568" s="62" t="str">
        <f>Table1[[#This Row],[Column42]]&amp;IF(Table1[[#This Row],[Column13]]="","",Table1[[#This Row],[Column13]])&amp;IF(Table1[[#This Row],[mod]]="","",Table1[[#This Row],[mod]])</f>
        <v>character__placeholder__text</v>
      </c>
      <c r="K5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character__placeholder__text</v>
      </c>
      <c r="L568" t="s">
        <v>65</v>
      </c>
      <c r="M568" t="s">
        <v>2244</v>
      </c>
      <c r="O568" t="s">
        <v>403</v>
      </c>
      <c r="Q5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8" s="29"/>
      <c r="AC568" s="25"/>
      <c r="AD568" s="41"/>
      <c r="AE568" s="41"/>
      <c r="AF568" s="11" t="s">
        <v>270</v>
      </c>
      <c r="AG568" t="s">
        <v>3219</v>
      </c>
      <c r="AH568" s="1" t="str">
        <f>Table1[[#This Row],[html_tag]]&amp;Table1[[#This Row],[html_type]]&amp;Table1[[#This Row],[html_modifier]]</f>
        <v/>
      </c>
      <c r="AL568" s="22" t="str">
        <f>IFERROR(_xlfn.XLOOKUP(Table1[[#This Row],[word]],Table57[English style name],Table57[Style type]),"")</f>
        <v>Character</v>
      </c>
      <c r="AM568" s="20" t="s">
        <v>666</v>
      </c>
      <c r="AN568" s="11"/>
    </row>
    <row r="569" spans="3:46">
      <c r="E569" s="76"/>
      <c r="F5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9" s="13" t="s">
        <v>2992</v>
      </c>
      <c r="H569" s="13" t="s">
        <v>1</v>
      </c>
      <c r="I569" s="12" t="str">
        <f>Table1[[#This Row],[type]]</f>
        <v>character</v>
      </c>
      <c r="J569" s="62" t="str">
        <f>Table1[[#This Row],[Column42]]&amp;IF(Table1[[#This Row],[Column13]]="","",Table1[[#This Row],[Column13]])&amp;IF(Table1[[#This Row],[mod]]="","",Table1[[#This Row],[mod]])</f>
        <v>character__quote</v>
      </c>
      <c r="K5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character__quote</v>
      </c>
      <c r="L569" t="s">
        <v>65</v>
      </c>
      <c r="M569" t="s">
        <v>322</v>
      </c>
      <c r="P569" s="6" t="s">
        <v>2506</v>
      </c>
      <c r="Q5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9" s="29"/>
      <c r="AC569" s="25"/>
      <c r="AD569" s="41"/>
      <c r="AE569" s="41"/>
      <c r="AF569" s="11"/>
      <c r="AH569" s="1" t="str">
        <f>Table1[[#This Row],[html_tag]]&amp;Table1[[#This Row],[html_type]]&amp;Table1[[#This Row],[html_modifier]]</f>
        <v/>
      </c>
      <c r="AL569" s="22" t="str">
        <f>IFERROR(_xlfn.XLOOKUP(Table1[[#This Row],[word]],Table57[English style name],Table57[Style type]),"")</f>
        <v/>
      </c>
      <c r="AM569" s="20"/>
      <c r="AN569" s="11"/>
      <c r="AQ569" s="6" t="s">
        <v>2506</v>
      </c>
      <c r="AR569" t="s">
        <v>2505</v>
      </c>
    </row>
    <row r="570" spans="3:46">
      <c r="E570" s="76"/>
      <c r="F5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0" s="13" t="s">
        <v>2992</v>
      </c>
      <c r="H570" s="13" t="s">
        <v>1</v>
      </c>
      <c r="I570" s="12" t="str">
        <f>Table1[[#This Row],[type]]</f>
        <v>character</v>
      </c>
      <c r="J570" s="62" t="str">
        <f>Table1[[#This Row],[Column42]]&amp;IF(Table1[[#This Row],[Column13]]="","",Table1[[#This Row],[Column13]])&amp;IF(Table1[[#This Row],[mod]]="","",Table1[[#This Row],[mod]])</f>
        <v>character__quote</v>
      </c>
      <c r="K5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character__quote</v>
      </c>
      <c r="L570" t="s">
        <v>65</v>
      </c>
      <c r="M570" t="s">
        <v>322</v>
      </c>
      <c r="P570" s="6" t="s">
        <v>2507</v>
      </c>
      <c r="Q5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0" s="29"/>
      <c r="AC570" s="25"/>
      <c r="AD570" s="41"/>
      <c r="AE570" s="41"/>
      <c r="AF570" s="11"/>
      <c r="AH570" s="1" t="str">
        <f>Table1[[#This Row],[html_tag]]&amp;Table1[[#This Row],[html_type]]&amp;Table1[[#This Row],[html_modifier]]</f>
        <v/>
      </c>
      <c r="AL570" s="22" t="str">
        <f>IFERROR(_xlfn.XLOOKUP(Table1[[#This Row],[word]],Table57[English style name],Table57[Style type]),"")</f>
        <v/>
      </c>
      <c r="AM570" s="20"/>
      <c r="AN570" s="11"/>
      <c r="AQ570" s="6" t="s">
        <v>2507</v>
      </c>
      <c r="AR570" t="s">
        <v>2505</v>
      </c>
    </row>
    <row r="571" spans="3:46">
      <c r="E571" s="76"/>
      <c r="F5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1" s="13" t="s">
        <v>2992</v>
      </c>
      <c r="H571" s="13" t="s">
        <v>1</v>
      </c>
      <c r="I571" s="12" t="str">
        <f>Table1[[#This Row],[type]]</f>
        <v>character</v>
      </c>
      <c r="J571" s="62" t="str">
        <f>Table1[[#This Row],[Column42]]&amp;IF(Table1[[#This Row],[Column13]]="","",Table1[[#This Row],[Column13]])&amp;IF(Table1[[#This Row],[mod]]="","",Table1[[#This Row],[mod]])</f>
        <v>character__quote--base</v>
      </c>
      <c r="K5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character__quote</v>
      </c>
      <c r="L571" t="s">
        <v>65</v>
      </c>
      <c r="M571" t="s">
        <v>322</v>
      </c>
      <c r="P571" s="6" t="s">
        <v>2504</v>
      </c>
      <c r="Q5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71" t="s">
        <v>338</v>
      </c>
      <c r="AB571" s="29"/>
      <c r="AC571" s="25"/>
      <c r="AD571" s="41"/>
      <c r="AE571" s="41"/>
      <c r="AF571" s="11"/>
      <c r="AH571" s="1" t="str">
        <f>Table1[[#This Row],[html_tag]]&amp;Table1[[#This Row],[html_type]]&amp;Table1[[#This Row],[html_modifier]]</f>
        <v/>
      </c>
      <c r="AL571" s="22" t="str">
        <f>IFERROR(_xlfn.XLOOKUP(Table1[[#This Row],[word]],Table57[English style name],Table57[Style type]),"")</f>
        <v/>
      </c>
      <c r="AM571" s="20"/>
      <c r="AN571" s="11"/>
      <c r="AQ571" s="6" t="s">
        <v>2504</v>
      </c>
      <c r="AR571" t="s">
        <v>2505</v>
      </c>
    </row>
    <row r="572" spans="3:46">
      <c r="C572">
        <v>1</v>
      </c>
      <c r="D572" t="s">
        <v>3221</v>
      </c>
      <c r="E572" s="76"/>
      <c r="F5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2" s="13" t="s">
        <v>2992</v>
      </c>
      <c r="H572" s="13" t="s">
        <v>1</v>
      </c>
      <c r="I572" s="12" t="str">
        <f>Table1[[#This Row],[type]]</f>
        <v>character</v>
      </c>
      <c r="J572" s="62" t="str">
        <f>Table1[[#This Row],[Column42]]&amp;IF(Table1[[#This Row],[Column13]]="","",Table1[[#This Row],[Column13]])&amp;IF(Table1[[#This Row],[mod]]="","",Table1[[#This Row],[mod]])</f>
        <v>character__reference</v>
      </c>
      <c r="K5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</v>
      </c>
      <c r="L572" t="s">
        <v>65</v>
      </c>
      <c r="M572" t="s">
        <v>3237</v>
      </c>
      <c r="P572" t="s">
        <v>672</v>
      </c>
      <c r="Q5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2" s="29"/>
      <c r="AC572" s="25"/>
      <c r="AD572" s="41"/>
      <c r="AE572" s="41"/>
      <c r="AF572" s="11" t="s">
        <v>78</v>
      </c>
      <c r="AG572" t="s">
        <v>3225</v>
      </c>
      <c r="AH572" s="1" t="str">
        <f>Table1[[#This Row],[html_tag]]&amp;Table1[[#This Row],[html_type]]&amp;Table1[[#This Row],[html_modifier]]</f>
        <v/>
      </c>
      <c r="AL572" s="22" t="str">
        <f>IFERROR(_xlfn.XLOOKUP(Table1[[#This Row],[word]],Table57[English style name],Table57[Style type]),"")</f>
        <v>Character</v>
      </c>
      <c r="AM572" s="20" t="s">
        <v>672</v>
      </c>
      <c r="AN572" s="11"/>
    </row>
    <row r="573" spans="3:46">
      <c r="C573">
        <v>1</v>
      </c>
      <c r="D573" t="s">
        <v>3221</v>
      </c>
      <c r="E573" s="76"/>
      <c r="F5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3" s="13" t="s">
        <v>2992</v>
      </c>
      <c r="H573" s="13" t="s">
        <v>1</v>
      </c>
      <c r="I573" s="12" t="str">
        <f>Table1[[#This Row],[type]]</f>
        <v>character</v>
      </c>
      <c r="J573" s="62" t="str">
        <f>Table1[[#This Row],[Column42]]&amp;IF(Table1[[#This Row],[Column13]]="","",Table1[[#This Row],[Column13]])&amp;IF(Table1[[#This Row],[mod]]="","",Table1[[#This Row],[mod]])</f>
        <v>character__reference</v>
      </c>
      <c r="K5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</v>
      </c>
      <c r="L573" t="s">
        <v>65</v>
      </c>
      <c r="M573" t="s">
        <v>3237</v>
      </c>
      <c r="P573" t="s">
        <v>674</v>
      </c>
      <c r="Q5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3" s="29"/>
      <c r="AC573" s="25"/>
      <c r="AD573" s="41"/>
      <c r="AE573" s="41"/>
      <c r="AF573" s="11" t="s">
        <v>67</v>
      </c>
      <c r="AG573" t="s">
        <v>3224</v>
      </c>
      <c r="AH573" s="1" t="str">
        <f>Table1[[#This Row],[html_tag]]&amp;Table1[[#This Row],[html_type]]&amp;Table1[[#This Row],[html_modifier]]</f>
        <v/>
      </c>
      <c r="AL573" s="22" t="str">
        <f>IFERROR(_xlfn.XLOOKUP(Table1[[#This Row],[word]],Table57[English style name],Table57[Style type]),"")</f>
        <v>Character</v>
      </c>
      <c r="AM573" s="20" t="s">
        <v>674</v>
      </c>
      <c r="AN573" s="11"/>
    </row>
    <row r="574" spans="3:46">
      <c r="C574">
        <v>1</v>
      </c>
      <c r="D574" t="s">
        <v>3221</v>
      </c>
      <c r="E574" s="76"/>
      <c r="F5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4" s="13" t="s">
        <v>2992</v>
      </c>
      <c r="H574" s="13" t="s">
        <v>1</v>
      </c>
      <c r="I574" s="12" t="str">
        <f>Table1[[#This Row],[type]]</f>
        <v>character</v>
      </c>
      <c r="J574" s="62" t="str">
        <f>Table1[[#This Row],[Column42]]&amp;IF(Table1[[#This Row],[Column13]]="","",Table1[[#This Row],[Column13]])&amp;IF(Table1[[#This Row],[mod]]="","",Table1[[#This Row],[mod]])</f>
        <v>character__reference</v>
      </c>
      <c r="K5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</v>
      </c>
      <c r="L574" t="s">
        <v>65</v>
      </c>
      <c r="M574" t="s">
        <v>3237</v>
      </c>
      <c r="P574" t="s">
        <v>632</v>
      </c>
      <c r="Q5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4" s="29"/>
      <c r="AC574" s="25"/>
      <c r="AD574" s="41"/>
      <c r="AE574" s="41"/>
      <c r="AF574" s="11" t="s">
        <v>278</v>
      </c>
      <c r="AG574" t="s">
        <v>3222</v>
      </c>
      <c r="AH574" s="1" t="str">
        <f>Table1[[#This Row],[html_tag]]&amp;Table1[[#This Row],[html_type]]&amp;Table1[[#This Row],[html_modifier]]</f>
        <v/>
      </c>
      <c r="AL574" s="22" t="str">
        <f>IFERROR(_xlfn.XLOOKUP(Table1[[#This Row],[word]],Table57[English style name],Table57[Style type]),"")</f>
        <v>Character</v>
      </c>
      <c r="AM574" s="20" t="s">
        <v>632</v>
      </c>
      <c r="AN574" s="11"/>
    </row>
    <row r="575" spans="3:46">
      <c r="C575">
        <v>1</v>
      </c>
      <c r="D575" t="s">
        <v>3221</v>
      </c>
      <c r="E575" s="76"/>
      <c r="F5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5" s="13" t="s">
        <v>2992</v>
      </c>
      <c r="H575" s="13" t="s">
        <v>1</v>
      </c>
      <c r="I575" s="12" t="str">
        <f>Table1[[#This Row],[type]]</f>
        <v>character</v>
      </c>
      <c r="J575" s="62" t="str">
        <f>Table1[[#This Row],[Column42]]&amp;IF(Table1[[#This Row],[Column13]]="","",Table1[[#This Row],[Column13]])&amp;IF(Table1[[#This Row],[mod]]="","",Table1[[#This Row],[mod]])</f>
        <v>character__reference</v>
      </c>
      <c r="K5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</v>
      </c>
      <c r="L575" t="s">
        <v>65</v>
      </c>
      <c r="M575" t="s">
        <v>3237</v>
      </c>
      <c r="P575" t="s">
        <v>640</v>
      </c>
      <c r="Q5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5" s="29"/>
      <c r="AC575" s="25"/>
      <c r="AD575" s="41"/>
      <c r="AE575" s="41"/>
      <c r="AF575" s="11" t="s">
        <v>278</v>
      </c>
      <c r="AG575" t="s">
        <v>3223</v>
      </c>
      <c r="AH575" s="1" t="str">
        <f>Table1[[#This Row],[html_tag]]&amp;Table1[[#This Row],[html_type]]&amp;Table1[[#This Row],[html_modifier]]</f>
        <v/>
      </c>
      <c r="AL575" s="22" t="str">
        <f>IFERROR(_xlfn.XLOOKUP(Table1[[#This Row],[word]],Table57[English style name],Table57[Style type]),"")</f>
        <v>Character</v>
      </c>
      <c r="AM575" s="20" t="s">
        <v>640</v>
      </c>
      <c r="AN575" s="11"/>
    </row>
    <row r="576" spans="3:46">
      <c r="C576">
        <v>1</v>
      </c>
      <c r="D576" t="s">
        <v>3221</v>
      </c>
      <c r="E576" s="76"/>
      <c r="F5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6" s="13" t="s">
        <v>2992</v>
      </c>
      <c r="H576" s="13" t="s">
        <v>1</v>
      </c>
      <c r="I576" s="12" t="str">
        <f>Table1[[#This Row],[type]]</f>
        <v>character</v>
      </c>
      <c r="J576" s="62" t="str">
        <f>Table1[[#This Row],[Column42]]&amp;IF(Table1[[#This Row],[Column13]]="","",Table1[[#This Row],[Column13]])&amp;IF(Table1[[#This Row],[mod]]="","",Table1[[#This Row],[mod]])</f>
        <v>character__reference</v>
      </c>
      <c r="K5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</v>
      </c>
      <c r="L576" t="s">
        <v>65</v>
      </c>
      <c r="M576" t="s">
        <v>3237</v>
      </c>
      <c r="Q5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6" s="29"/>
      <c r="AC576" s="25"/>
      <c r="AD576" s="41"/>
      <c r="AE576" s="41"/>
      <c r="AF576" s="11" t="s">
        <v>278</v>
      </c>
      <c r="AG576" t="s">
        <v>3220</v>
      </c>
      <c r="AH576" s="1" t="str">
        <f>Table1[[#This Row],[html_tag]]&amp;Table1[[#This Row],[html_type]]&amp;Table1[[#This Row],[html_modifier]]</f>
        <v/>
      </c>
      <c r="AL576" s="22" t="str">
        <f>IFERROR(_xlfn.XLOOKUP(Table1[[#This Row],[word]],Table57[English style name],Table57[Style type]),"")</f>
        <v>Character</v>
      </c>
      <c r="AM576" s="20" t="s">
        <v>634</v>
      </c>
      <c r="AN576" s="11"/>
    </row>
    <row r="577" spans="3:44">
      <c r="C577">
        <v>1</v>
      </c>
      <c r="D577" t="s">
        <v>3397</v>
      </c>
      <c r="E577" s="76"/>
      <c r="F5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7" s="13" t="s">
        <v>2992</v>
      </c>
      <c r="H577" s="13" t="s">
        <v>1</v>
      </c>
      <c r="I577" s="12" t="str">
        <f>Table1[[#This Row],[type]]</f>
        <v>character</v>
      </c>
      <c r="J577" s="62" t="str">
        <f>Table1[[#This Row],[Column42]]&amp;IF(Table1[[#This Row],[Column13]]="","",Table1[[#This Row],[Column13]])&amp;IF(Table1[[#This Row],[mod]]="","",Table1[[#This Row],[mod]])</f>
        <v>character__sample</v>
      </c>
      <c r="K5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character__sample</v>
      </c>
      <c r="L577" t="s">
        <v>65</v>
      </c>
      <c r="M577" t="s">
        <v>3414</v>
      </c>
      <c r="Q5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7" s="29"/>
      <c r="AC577" s="25"/>
      <c r="AD577" s="41"/>
      <c r="AE577" s="41"/>
      <c r="AF577" s="11" t="s">
        <v>259</v>
      </c>
      <c r="AH577" s="1" t="str">
        <f>Table1[[#This Row],[html_tag]]&amp;Table1[[#This Row],[html_type]]&amp;Table1[[#This Row],[html_modifier]]</f>
        <v>&lt;samp&gt;</v>
      </c>
      <c r="AI577" t="s">
        <v>259</v>
      </c>
      <c r="AL577" s="22" t="str">
        <f>IFERROR(_xlfn.XLOOKUP(Table1[[#This Row],[word]],Table57[English style name],Table57[Style type]),"")</f>
        <v>Character</v>
      </c>
      <c r="AM577" s="20" t="s">
        <v>660</v>
      </c>
      <c r="AN577" s="11"/>
    </row>
    <row r="578" spans="3:44">
      <c r="E578" s="76"/>
      <c r="F5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8" s="13" t="s">
        <v>2992</v>
      </c>
      <c r="H578" s="13" t="s">
        <v>1</v>
      </c>
      <c r="I578" s="12" t="str">
        <f>Table1[[#This Row],[type]]</f>
        <v>character</v>
      </c>
      <c r="J578" s="62" t="str">
        <f>Table1[[#This Row],[Column42]]&amp;IF(Table1[[#This Row],[Column13]]="","",Table1[[#This Row],[Column13]])&amp;IF(Table1[[#This Row],[mod]]="","",Table1[[#This Row],[mod]])</f>
        <v>character__special</v>
      </c>
      <c r="K5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578" t="s">
        <v>65</v>
      </c>
      <c r="M578" t="s">
        <v>2999</v>
      </c>
      <c r="P578" s="6" t="s">
        <v>2618</v>
      </c>
      <c r="Q57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8" s="29"/>
      <c r="AC578" s="25"/>
      <c r="AD578" s="41"/>
      <c r="AE578" s="41"/>
      <c r="AF578" s="11"/>
      <c r="AH578" s="1" t="str">
        <f>Table1[[#This Row],[html_tag]]&amp;Table1[[#This Row],[html_type]]&amp;Table1[[#This Row],[html_modifier]]</f>
        <v/>
      </c>
      <c r="AL578" s="22" t="str">
        <f>IFERROR(_xlfn.XLOOKUP(Table1[[#This Row],[word]],Table57[English style name],Table57[Style type]),"")</f>
        <v/>
      </c>
      <c r="AM578" s="20"/>
      <c r="AN578" s="11"/>
      <c r="AQ578" s="6" t="s">
        <v>2618</v>
      </c>
      <c r="AR578" t="s">
        <v>2616</v>
      </c>
    </row>
    <row r="579" spans="3:44">
      <c r="E579" s="76"/>
      <c r="F5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9" s="13" t="s">
        <v>2992</v>
      </c>
      <c r="H579" s="13" t="s">
        <v>1</v>
      </c>
      <c r="I579" s="12" t="str">
        <f>Table1[[#This Row],[type]]</f>
        <v>character</v>
      </c>
      <c r="J579" s="62" t="str">
        <f>Table1[[#This Row],[Column42]]&amp;IF(Table1[[#This Row],[Column13]]="","",Table1[[#This Row],[Column13]])&amp;IF(Table1[[#This Row],[mod]]="","",Table1[[#This Row],[mod]])</f>
        <v>character__special--lg</v>
      </c>
      <c r="K5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579" t="s">
        <v>65</v>
      </c>
      <c r="M579" t="s">
        <v>2999</v>
      </c>
      <c r="P579" s="6" t="s">
        <v>2617</v>
      </c>
      <c r="Q5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579" t="s">
        <v>3114</v>
      </c>
      <c r="AB579" s="29"/>
      <c r="AC579" s="25"/>
      <c r="AD579" s="41"/>
      <c r="AE579" s="41"/>
      <c r="AF579" s="11"/>
      <c r="AH579" s="1" t="str">
        <f>Table1[[#This Row],[html_tag]]&amp;Table1[[#This Row],[html_type]]&amp;Table1[[#This Row],[html_modifier]]</f>
        <v/>
      </c>
      <c r="AL579" s="22" t="str">
        <f>IFERROR(_xlfn.XLOOKUP(Table1[[#This Row],[word]],Table57[English style name],Table57[Style type]),"")</f>
        <v/>
      </c>
      <c r="AM579" s="20"/>
      <c r="AN579" s="11"/>
      <c r="AQ579" s="6" t="s">
        <v>2617</v>
      </c>
      <c r="AR579" t="s">
        <v>2616</v>
      </c>
    </row>
    <row r="580" spans="3:44">
      <c r="E580" s="76"/>
      <c r="F5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0" s="13" t="s">
        <v>2992</v>
      </c>
      <c r="H580" s="13" t="s">
        <v>1</v>
      </c>
      <c r="I580" s="12" t="str">
        <f>Table1[[#This Row],[type]]</f>
        <v>character</v>
      </c>
      <c r="J580" s="62" t="str">
        <f>Table1[[#This Row],[Column42]]&amp;IF(Table1[[#This Row],[Column13]]="","",Table1[[#This Row],[Column13]])&amp;IF(Table1[[#This Row],[mod]]="","",Table1[[#This Row],[mod]])</f>
        <v>character__special--sm</v>
      </c>
      <c r="K5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580" t="s">
        <v>65</v>
      </c>
      <c r="M580" t="s">
        <v>2999</v>
      </c>
      <c r="P580" s="6" t="s">
        <v>2619</v>
      </c>
      <c r="Q5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580" s="3" t="s">
        <v>3116</v>
      </c>
      <c r="AB580" s="29"/>
      <c r="AC580" s="25"/>
      <c r="AD580" s="41"/>
      <c r="AE580" s="41"/>
      <c r="AF580" s="11"/>
      <c r="AH580" s="1" t="str">
        <f>Table1[[#This Row],[html_tag]]&amp;Table1[[#This Row],[html_type]]&amp;Table1[[#This Row],[html_modifier]]</f>
        <v/>
      </c>
      <c r="AL580" s="22" t="str">
        <f>IFERROR(_xlfn.XLOOKUP(Table1[[#This Row],[word]],Table57[English style name],Table57[Style type]),"")</f>
        <v/>
      </c>
      <c r="AM580" s="20"/>
      <c r="AN580" s="11"/>
      <c r="AQ580" s="6" t="s">
        <v>2619</v>
      </c>
      <c r="AR580" t="s">
        <v>2616</v>
      </c>
    </row>
    <row r="581" spans="3:44">
      <c r="E581" s="76"/>
      <c r="F5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1" s="13" t="s">
        <v>2992</v>
      </c>
      <c r="H581" s="13" t="s">
        <v>1</v>
      </c>
      <c r="I581" s="12" t="str">
        <f>Table1[[#This Row],[type]]</f>
        <v>character</v>
      </c>
      <c r="J581" s="62" t="str">
        <f>Table1[[#This Row],[Column42]]&amp;IF(Table1[[#This Row],[Column13]]="","",Table1[[#This Row],[Column13]])&amp;IF(Table1[[#This Row],[mod]]="","",Table1[[#This Row],[mod]])</f>
        <v>character__special--xl</v>
      </c>
      <c r="K5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581" t="s">
        <v>65</v>
      </c>
      <c r="M581" t="s">
        <v>2999</v>
      </c>
      <c r="P581" s="6" t="s">
        <v>2615</v>
      </c>
      <c r="Q5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581" t="s">
        <v>3126</v>
      </c>
      <c r="AB581" s="29"/>
      <c r="AC581" s="25"/>
      <c r="AD581" s="41"/>
      <c r="AE581" s="41"/>
      <c r="AF581" s="11"/>
      <c r="AH581" s="1" t="str">
        <f>Table1[[#This Row],[html_tag]]&amp;Table1[[#This Row],[html_type]]&amp;Table1[[#This Row],[html_modifier]]</f>
        <v/>
      </c>
      <c r="AL581" s="22" t="str">
        <f>IFERROR(_xlfn.XLOOKUP(Table1[[#This Row],[word]],Table57[English style name],Table57[Style type]),"")</f>
        <v/>
      </c>
      <c r="AM581" s="20"/>
      <c r="AN581" s="11"/>
      <c r="AQ581" s="6" t="s">
        <v>2615</v>
      </c>
      <c r="AR581" t="s">
        <v>2616</v>
      </c>
    </row>
    <row r="582" spans="3:44">
      <c r="C582">
        <v>1</v>
      </c>
      <c r="D582" t="s">
        <v>3234</v>
      </c>
      <c r="E582" s="76"/>
      <c r="F5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2" s="13" t="s">
        <v>2992</v>
      </c>
      <c r="H582" s="13" t="s">
        <v>1</v>
      </c>
      <c r="I582" s="12" t="str">
        <f>Table1[[#This Row],[type]]</f>
        <v>character</v>
      </c>
      <c r="J582" s="62" t="str">
        <f>Table1[[#This Row],[Column42]]&amp;IF(Table1[[#This Row],[Column13]]="","",Table1[[#This Row],[Column13]])&amp;IF(Table1[[#This Row],[mod]]="","",Table1[[#This Row],[mod]])</f>
        <v>character__Unresolved Mention</v>
      </c>
      <c r="K5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character__Unresolved Mention</v>
      </c>
      <c r="L582" t="s">
        <v>65</v>
      </c>
      <c r="O582" t="s">
        <v>680</v>
      </c>
      <c r="P582" t="s">
        <v>680</v>
      </c>
      <c r="Q5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2" s="29"/>
      <c r="AC582" s="25"/>
      <c r="AD582" s="41"/>
      <c r="AE582" s="41"/>
      <c r="AF582" s="11" t="s">
        <v>270</v>
      </c>
      <c r="AG582" t="s">
        <v>3236</v>
      </c>
      <c r="AH582" s="1" t="str">
        <f>Table1[[#This Row],[html_tag]]&amp;Table1[[#This Row],[html_type]]&amp;Table1[[#This Row],[html_modifier]]</f>
        <v/>
      </c>
      <c r="AL582" s="22" t="str">
        <f>IFERROR(_xlfn.XLOOKUP(Table1[[#This Row],[word]],Table57[English style name],Table57[Style type]),"")</f>
        <v>Character</v>
      </c>
      <c r="AM582" s="20" t="s">
        <v>680</v>
      </c>
      <c r="AN582" s="11"/>
    </row>
    <row r="583" spans="3:44">
      <c r="E583" s="76"/>
      <c r="F5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3" s="13" t="s">
        <v>2992</v>
      </c>
      <c r="H583" s="13" t="s">
        <v>1</v>
      </c>
      <c r="I583" s="12" t="str">
        <f>Table1[[#This Row],[type]]</f>
        <v>character</v>
      </c>
      <c r="J583" s="62" t="str">
        <f>Table1[[#This Row],[Column42]]&amp;IF(Table1[[#This Row],[Column13]]="","",Table1[[#This Row],[Column13]])&amp;IF(Table1[[#This Row],[mod]]="","",Table1[[#This Row],[mod]])</f>
        <v>character--base</v>
      </c>
      <c r="K5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3" t="s">
        <v>65</v>
      </c>
      <c r="P583" s="6" t="s">
        <v>1239</v>
      </c>
      <c r="Q5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83" t="s">
        <v>338</v>
      </c>
      <c r="AB583" s="29"/>
      <c r="AC583" s="25"/>
      <c r="AD583" s="41"/>
      <c r="AE583" s="41"/>
      <c r="AF583" s="11"/>
      <c r="AH583" s="1" t="str">
        <f>Table1[[#This Row],[html_tag]]&amp;Table1[[#This Row],[html_type]]&amp;Table1[[#This Row],[html_modifier]]</f>
        <v/>
      </c>
      <c r="AL583" s="22" t="str">
        <f>IFERROR(_xlfn.XLOOKUP(Table1[[#This Row],[word]],Table57[English style name],Table57[Style type]),"")</f>
        <v/>
      </c>
      <c r="AM583" s="20"/>
      <c r="AN583" s="11"/>
      <c r="AQ583" s="6" t="s">
        <v>1239</v>
      </c>
      <c r="AR583" t="s">
        <v>1240</v>
      </c>
    </row>
    <row r="584" spans="3:44">
      <c r="E584" s="76"/>
      <c r="F5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4" s="13" t="s">
        <v>2992</v>
      </c>
      <c r="H584" s="13" t="s">
        <v>1</v>
      </c>
      <c r="I584" s="12" t="str">
        <f>Table1[[#This Row],[type]]</f>
        <v>character</v>
      </c>
      <c r="J584" s="62" t="str">
        <f>Table1[[#This Row],[Column42]]&amp;IF(Table1[[#This Row],[Column13]]="","",Table1[[#This Row],[Column13]])&amp;IF(Table1[[#This Row],[mod]]="","",Table1[[#This Row],[mod]])</f>
        <v>character--case</v>
      </c>
      <c r="K5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4" t="s">
        <v>65</v>
      </c>
      <c r="Q5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</v>
      </c>
      <c r="R584" t="s">
        <v>3003</v>
      </c>
      <c r="U5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4" s="29"/>
      <c r="AC584" s="25"/>
      <c r="AD584" s="41"/>
      <c r="AE584" s="41"/>
      <c r="AF584" s="11" t="s">
        <v>239</v>
      </c>
      <c r="AH584" s="1" t="str">
        <f>Table1[[#This Row],[html_tag]]&amp;Table1[[#This Row],[html_type]]&amp;Table1[[#This Row],[html_modifier]]</f>
        <v/>
      </c>
      <c r="AL584" s="22" t="str">
        <f>IFERROR(_xlfn.XLOOKUP(Table1[[#This Row],[word]],Table57[English style name],Table57[Style type]),"")</f>
        <v/>
      </c>
      <c r="AM584" s="20"/>
      <c r="AN584" s="11"/>
      <c r="AQ584" s="6" t="s">
        <v>2930</v>
      </c>
      <c r="AR584" t="s">
        <v>2917</v>
      </c>
    </row>
    <row r="585" spans="3:44">
      <c r="E585" s="76"/>
      <c r="F5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5" s="13" t="s">
        <v>2992</v>
      </c>
      <c r="H585" s="13" t="s">
        <v>1</v>
      </c>
      <c r="I585" s="12" t="str">
        <f>Table1[[#This Row],[type]]</f>
        <v>character</v>
      </c>
      <c r="J585" s="62" t="str">
        <f>Table1[[#This Row],[Column42]]&amp;IF(Table1[[#This Row],[Column13]]="","",Table1[[#This Row],[Column13]])&amp;IF(Table1[[#This Row],[mod]]="","",Table1[[#This Row],[mod]])</f>
        <v>character--case</v>
      </c>
      <c r="K5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5" t="s">
        <v>65</v>
      </c>
      <c r="Q5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</v>
      </c>
      <c r="R585" t="s">
        <v>3003</v>
      </c>
      <c r="U5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5" s="29"/>
      <c r="AC585" s="25"/>
      <c r="AD585" s="41"/>
      <c r="AE585" s="41"/>
      <c r="AF585" s="11"/>
      <c r="AH585" s="1" t="str">
        <f>Table1[[#This Row],[html_tag]]&amp;Table1[[#This Row],[html_type]]&amp;Table1[[#This Row],[html_modifier]]</f>
        <v/>
      </c>
      <c r="AL585" s="22" t="str">
        <f>IFERROR(_xlfn.XLOOKUP(Table1[[#This Row],[word]],Table57[English style name],Table57[Style type]),"")</f>
        <v/>
      </c>
      <c r="AM585" s="20"/>
      <c r="AN585" s="11"/>
      <c r="AQ585" s="6" t="s">
        <v>2931</v>
      </c>
      <c r="AR585" t="s">
        <v>2917</v>
      </c>
    </row>
    <row r="586" spans="3:44">
      <c r="E586" s="76"/>
      <c r="F5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6" s="13" t="s">
        <v>2992</v>
      </c>
      <c r="H586" s="13" t="s">
        <v>1</v>
      </c>
      <c r="I586" s="12" t="str">
        <f>Table1[[#This Row],[type]]</f>
        <v>character</v>
      </c>
      <c r="J586" s="62" t="str">
        <f>Table1[[#This Row],[Column42]]&amp;IF(Table1[[#This Row],[Column13]]="","",Table1[[#This Row],[Column13]])&amp;IF(Table1[[#This Row],[mod]]="","",Table1[[#This Row],[mod]])</f>
        <v>character--case--caps</v>
      </c>
      <c r="K5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6" t="s">
        <v>65</v>
      </c>
      <c r="Q5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--case--caps</v>
      </c>
      <c r="R586" t="s">
        <v>3003</v>
      </c>
      <c r="S586" t="s">
        <v>3394</v>
      </c>
      <c r="U5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6" s="29"/>
      <c r="AC586" s="25"/>
      <c r="AD586" s="41"/>
      <c r="AE586" s="41"/>
      <c r="AF586" s="11"/>
      <c r="AH586" s="1" t="str">
        <f>Table1[[#This Row],[html_tag]]&amp;Table1[[#This Row],[html_type]]&amp;Table1[[#This Row],[html_modifier]]</f>
        <v/>
      </c>
      <c r="AL586" s="22" t="str">
        <f>IFERROR(_xlfn.XLOOKUP(Table1[[#This Row],[word]],Table57[English style name],Table57[Style type]),"")</f>
        <v/>
      </c>
      <c r="AM586" s="20"/>
      <c r="AN586" s="11"/>
      <c r="AQ586" s="6" t="s">
        <v>2918</v>
      </c>
      <c r="AR586" t="s">
        <v>2917</v>
      </c>
    </row>
    <row r="587" spans="3:44">
      <c r="E587" s="76"/>
      <c r="F5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7" s="13" t="s">
        <v>2992</v>
      </c>
      <c r="H587" s="13" t="s">
        <v>1</v>
      </c>
      <c r="I587" s="12" t="str">
        <f>Table1[[#This Row],[type]]</f>
        <v>character</v>
      </c>
      <c r="J587" s="62" t="str">
        <f>Table1[[#This Row],[Column42]]&amp;IF(Table1[[#This Row],[Column13]]="","",Table1[[#This Row],[Column13]])&amp;IF(Table1[[#This Row],[mod]]="","",Table1[[#This Row],[mod]])</f>
        <v>character--case--inherit</v>
      </c>
      <c r="K5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7" t="s">
        <v>65</v>
      </c>
      <c r="Q5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--case--inherit</v>
      </c>
      <c r="R587" t="s">
        <v>3003</v>
      </c>
      <c r="S587" t="s">
        <v>10197</v>
      </c>
      <c r="U5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7" s="29"/>
      <c r="AC587" s="25"/>
      <c r="AD587" s="41"/>
      <c r="AE587" s="41"/>
      <c r="AF587" s="11"/>
      <c r="AH587" s="1" t="str">
        <f>Table1[[#This Row],[html_tag]]&amp;Table1[[#This Row],[html_type]]&amp;Table1[[#This Row],[html_modifier]]</f>
        <v/>
      </c>
      <c r="AL587" s="22" t="str">
        <f>IFERROR(_xlfn.XLOOKUP(Table1[[#This Row],[word]],Table57[English style name],Table57[Style type]),"")</f>
        <v/>
      </c>
      <c r="AM587" s="20"/>
      <c r="AN587" s="11"/>
      <c r="AQ587" s="6" t="s">
        <v>2919</v>
      </c>
      <c r="AR587" t="s">
        <v>2917</v>
      </c>
    </row>
    <row r="588" spans="3:44">
      <c r="E588" s="76"/>
      <c r="F5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8" s="13" t="s">
        <v>2992</v>
      </c>
      <c r="H588" s="13" t="s">
        <v>1</v>
      </c>
      <c r="I588" s="12" t="str">
        <f>Table1[[#This Row],[type]]</f>
        <v>character</v>
      </c>
      <c r="J588" s="62" t="str">
        <f>Table1[[#This Row],[Column42]]&amp;IF(Table1[[#This Row],[Column13]]="","",Table1[[#This Row],[Column13]])&amp;IF(Table1[[#This Row],[mod]]="","",Table1[[#This Row],[mod]])</f>
        <v>character--case--initial</v>
      </c>
      <c r="K5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8" t="s">
        <v>65</v>
      </c>
      <c r="Q5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--case--initial</v>
      </c>
      <c r="R588" t="s">
        <v>3003</v>
      </c>
      <c r="S588" t="s">
        <v>10198</v>
      </c>
      <c r="U5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8" s="29"/>
      <c r="AC588" s="25"/>
      <c r="AD588" s="41"/>
      <c r="AE588" s="41"/>
      <c r="AF588" s="11"/>
      <c r="AH588" s="1" t="str">
        <f>Table1[[#This Row],[html_tag]]&amp;Table1[[#This Row],[html_type]]&amp;Table1[[#This Row],[html_modifier]]</f>
        <v/>
      </c>
      <c r="AL588" s="22" t="str">
        <f>IFERROR(_xlfn.XLOOKUP(Table1[[#This Row],[word]],Table57[English style name],Table57[Style type]),"")</f>
        <v/>
      </c>
      <c r="AM588" s="20"/>
      <c r="AN588" s="11"/>
      <c r="AQ588" s="6" t="s">
        <v>2920</v>
      </c>
      <c r="AR588" t="s">
        <v>2917</v>
      </c>
    </row>
    <row r="589" spans="3:44">
      <c r="E589" s="76"/>
      <c r="F5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9" s="13" t="s">
        <v>2992</v>
      </c>
      <c r="H589" s="13" t="s">
        <v>1</v>
      </c>
      <c r="I589" s="12" t="str">
        <f>Table1[[#This Row],[type]]</f>
        <v>character</v>
      </c>
      <c r="J589" s="62" t="str">
        <f>Table1[[#This Row],[Column42]]&amp;IF(Table1[[#This Row],[Column13]]="","",Table1[[#This Row],[Column13]])&amp;IF(Table1[[#This Row],[mod]]="","",Table1[[#This Row],[mod]])</f>
        <v>character--case--lowercase</v>
      </c>
      <c r="K5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9" t="s">
        <v>65</v>
      </c>
      <c r="Q5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--case--lowercase</v>
      </c>
      <c r="R589" t="s">
        <v>3003</v>
      </c>
      <c r="S589" t="s">
        <v>10199</v>
      </c>
      <c r="U5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9" s="29"/>
      <c r="AC589" s="25" t="s">
        <v>3767</v>
      </c>
      <c r="AD589" s="41"/>
      <c r="AE589" s="41"/>
      <c r="AF589" s="11"/>
      <c r="AH589" s="1" t="str">
        <f>Table1[[#This Row],[html_tag]]&amp;Table1[[#This Row],[html_type]]&amp;Table1[[#This Row],[html_modifier]]</f>
        <v/>
      </c>
      <c r="AL589" s="22" t="str">
        <f>IFERROR(_xlfn.XLOOKUP(Table1[[#This Row],[word]],Table57[English style name],Table57[Style type]),"")</f>
        <v/>
      </c>
      <c r="AM589" s="20"/>
      <c r="AN589" s="11"/>
      <c r="AQ589" s="6" t="s">
        <v>2921</v>
      </c>
      <c r="AR589" t="s">
        <v>2917</v>
      </c>
    </row>
    <row r="590" spans="3:44">
      <c r="E590" s="76"/>
      <c r="F5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0" s="13" t="s">
        <v>2992</v>
      </c>
      <c r="H590" s="13" t="s">
        <v>1</v>
      </c>
      <c r="I590" s="12" t="str">
        <f>Table1[[#This Row],[type]]</f>
        <v>character</v>
      </c>
      <c r="J590" s="62" t="str">
        <f>Table1[[#This Row],[Column42]]&amp;IF(Table1[[#This Row],[Column13]]="","",Table1[[#This Row],[Column13]])&amp;IF(Table1[[#This Row],[mod]]="","",Table1[[#This Row],[mod]])</f>
        <v>character--case--petite_caps</v>
      </c>
      <c r="K5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0" t="s">
        <v>65</v>
      </c>
      <c r="Q5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--case--petite_caps</v>
      </c>
      <c r="R590" t="s">
        <v>3003</v>
      </c>
      <c r="S590" t="s">
        <v>10200</v>
      </c>
      <c r="U5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0" s="29"/>
      <c r="AC590" s="25"/>
      <c r="AD590" s="41"/>
      <c r="AE590" s="41"/>
      <c r="AF590" s="11"/>
      <c r="AH590" s="1" t="str">
        <f>Table1[[#This Row],[html_tag]]&amp;Table1[[#This Row],[html_type]]&amp;Table1[[#This Row],[html_modifier]]</f>
        <v/>
      </c>
      <c r="AL590" s="22" t="str">
        <f>IFERROR(_xlfn.XLOOKUP(Table1[[#This Row],[word]],Table57[English style name],Table57[Style type]),"")</f>
        <v/>
      </c>
      <c r="AM590" s="20"/>
      <c r="AN590" s="11"/>
      <c r="AQ590" s="6" t="s">
        <v>2922</v>
      </c>
      <c r="AR590" t="s">
        <v>2917</v>
      </c>
    </row>
    <row r="591" spans="3:44">
      <c r="E591" s="76"/>
      <c r="F5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1" s="13" t="s">
        <v>2992</v>
      </c>
      <c r="H591" s="13" t="s">
        <v>1</v>
      </c>
      <c r="I591" s="12" t="str">
        <f>Table1[[#This Row],[type]]</f>
        <v>character</v>
      </c>
      <c r="J591" s="62" t="str">
        <f>Table1[[#This Row],[Column42]]&amp;IF(Table1[[#This Row],[Column13]]="","",Table1[[#This Row],[Column13]])&amp;IF(Table1[[#This Row],[mod]]="","",Table1[[#This Row],[mod]])</f>
        <v>character--case--petite_caps_all</v>
      </c>
      <c r="K5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1" t="s">
        <v>65</v>
      </c>
      <c r="Q5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--case--petite_caps_all</v>
      </c>
      <c r="R591" t="s">
        <v>3003</v>
      </c>
      <c r="S591" t="s">
        <v>10209</v>
      </c>
      <c r="U5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1" s="29"/>
      <c r="AC591" s="25"/>
      <c r="AD591" s="41"/>
      <c r="AE591" s="41"/>
      <c r="AF591" s="11"/>
      <c r="AH591" s="1" t="str">
        <f>Table1[[#This Row],[html_tag]]&amp;Table1[[#This Row],[html_type]]&amp;Table1[[#This Row],[html_modifier]]</f>
        <v/>
      </c>
      <c r="AL591" s="22" t="str">
        <f>IFERROR(_xlfn.XLOOKUP(Table1[[#This Row],[word]],Table57[English style name],Table57[Style type]),"")</f>
        <v/>
      </c>
      <c r="AM591" s="20"/>
      <c r="AN591" s="11"/>
      <c r="AQ591" s="6" t="s">
        <v>2916</v>
      </c>
      <c r="AR591" t="s">
        <v>2917</v>
      </c>
    </row>
    <row r="592" spans="3:44">
      <c r="E592" s="76"/>
      <c r="F5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2" s="13" t="s">
        <v>2992</v>
      </c>
      <c r="H592" s="13" t="s">
        <v>1</v>
      </c>
      <c r="I592" s="12" t="str">
        <f>Table1[[#This Row],[type]]</f>
        <v>character</v>
      </c>
      <c r="J592" s="62" t="str">
        <f>Table1[[#This Row],[Column42]]&amp;IF(Table1[[#This Row],[Column13]]="","",Table1[[#This Row],[Column13]])&amp;IF(Table1[[#This Row],[mod]]="","",Table1[[#This Row],[mod]])</f>
        <v>character--case--smallcaps</v>
      </c>
      <c r="K5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2" t="s">
        <v>65</v>
      </c>
      <c r="Q5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--case--smallcaps</v>
      </c>
      <c r="R592" t="s">
        <v>3003</v>
      </c>
      <c r="S592" t="s">
        <v>2996</v>
      </c>
      <c r="U5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2" s="29"/>
      <c r="AC592" s="25"/>
      <c r="AD592" s="41"/>
      <c r="AE592" s="41"/>
      <c r="AF592" s="11"/>
      <c r="AH592" s="1" t="str">
        <f>Table1[[#This Row],[html_tag]]&amp;Table1[[#This Row],[html_type]]&amp;Table1[[#This Row],[html_modifier]]</f>
        <v/>
      </c>
      <c r="AL592" s="22" t="str">
        <f>IFERROR(_xlfn.XLOOKUP(Table1[[#This Row],[word]],Table57[English style name],Table57[Style type]),"")</f>
        <v/>
      </c>
      <c r="AM592" s="20"/>
      <c r="AN592" s="11"/>
      <c r="AQ592" s="6" t="s">
        <v>2923</v>
      </c>
      <c r="AR592" t="s">
        <v>2917</v>
      </c>
    </row>
    <row r="593" spans="5:44">
      <c r="E593" s="76"/>
      <c r="F5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3" s="13" t="s">
        <v>2992</v>
      </c>
      <c r="H593" s="13" t="s">
        <v>1</v>
      </c>
      <c r="I593" s="12" t="str">
        <f>Table1[[#This Row],[type]]</f>
        <v>character</v>
      </c>
      <c r="J593" s="62" t="str">
        <f>Table1[[#This Row],[Column42]]&amp;IF(Table1[[#This Row],[Column13]]="","",Table1[[#This Row],[Column13]])&amp;IF(Table1[[#This Row],[mod]]="","",Table1[[#This Row],[mod]])</f>
        <v>character--case--smallcaps_all</v>
      </c>
      <c r="K5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3" t="s">
        <v>65</v>
      </c>
      <c r="Q5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--case--smallcaps_all</v>
      </c>
      <c r="R593" t="s">
        <v>3003</v>
      </c>
      <c r="S593" t="s">
        <v>10208</v>
      </c>
      <c r="U5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3" s="29"/>
      <c r="AC593" s="25"/>
      <c r="AD593" s="41"/>
      <c r="AE593" s="41"/>
      <c r="AF593" s="11"/>
      <c r="AH593" s="1" t="str">
        <f>Table1[[#This Row],[html_tag]]&amp;Table1[[#This Row],[html_type]]&amp;Table1[[#This Row],[html_modifier]]</f>
        <v/>
      </c>
      <c r="AL593" s="22" t="str">
        <f>IFERROR(_xlfn.XLOOKUP(Table1[[#This Row],[word]],Table57[English style name],Table57[Style type]),"")</f>
        <v/>
      </c>
      <c r="AM593" s="20"/>
      <c r="AN593" s="11"/>
      <c r="AQ593" s="6" t="s">
        <v>2924</v>
      </c>
      <c r="AR593" t="s">
        <v>2917</v>
      </c>
    </row>
    <row r="594" spans="5:44">
      <c r="E594" s="76"/>
      <c r="F5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4" s="13" t="s">
        <v>2992</v>
      </c>
      <c r="H594" s="13" t="s">
        <v>1</v>
      </c>
      <c r="I594" s="12" t="str">
        <f>Table1[[#This Row],[type]]</f>
        <v>character</v>
      </c>
      <c r="J594" s="62" t="str">
        <f>Table1[[#This Row],[Column42]]&amp;IF(Table1[[#This Row],[Column13]]="","",Table1[[#This Row],[Column13]])&amp;IF(Table1[[#This Row],[mod]]="","",Table1[[#This Row],[mod]])</f>
        <v>character--case--style</v>
      </c>
      <c r="K5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4" t="s">
        <v>65</v>
      </c>
      <c r="Q5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--case--style</v>
      </c>
      <c r="R594" t="s">
        <v>3003</v>
      </c>
      <c r="S594" t="s">
        <v>587</v>
      </c>
      <c r="U5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4" s="29"/>
      <c r="AC594" s="25"/>
      <c r="AD594" s="41"/>
      <c r="AE594" s="41"/>
      <c r="AF594" s="11"/>
      <c r="AH594" s="1" t="str">
        <f>Table1[[#This Row],[html_tag]]&amp;Table1[[#This Row],[html_type]]&amp;Table1[[#This Row],[html_modifier]]</f>
        <v/>
      </c>
      <c r="AL594" s="22" t="str">
        <f>IFERROR(_xlfn.XLOOKUP(Table1[[#This Row],[word]],Table57[English style name],Table57[Style type]),"")</f>
        <v/>
      </c>
      <c r="AM594" s="20"/>
      <c r="AN594" s="11"/>
      <c r="AQ594" s="6" t="s">
        <v>2925</v>
      </c>
      <c r="AR594" t="s">
        <v>2917</v>
      </c>
    </row>
    <row r="595" spans="5:44">
      <c r="E595" s="76"/>
      <c r="F5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5" s="13" t="s">
        <v>2992</v>
      </c>
      <c r="H595" s="13" t="s">
        <v>1</v>
      </c>
      <c r="I595" s="12" t="str">
        <f>Table1[[#This Row],[type]]</f>
        <v>character</v>
      </c>
      <c r="J595" s="62" t="str">
        <f>Table1[[#This Row],[Column42]]&amp;IF(Table1[[#This Row],[Column13]]="","",Table1[[#This Row],[Column13]])&amp;IF(Table1[[#This Row],[mod]]="","",Table1[[#This Row],[mod]])</f>
        <v>character--case--titling_caps</v>
      </c>
      <c r="K5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5" t="s">
        <v>65</v>
      </c>
      <c r="Q5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--case--titling_caps</v>
      </c>
      <c r="R595" t="s">
        <v>3003</v>
      </c>
      <c r="S595" t="s">
        <v>10207</v>
      </c>
      <c r="U5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5" s="29"/>
      <c r="AC595" s="25"/>
      <c r="AD595" s="41"/>
      <c r="AE595" s="41"/>
      <c r="AF595" s="11"/>
      <c r="AH595" s="1" t="str">
        <f>Table1[[#This Row],[html_tag]]&amp;Table1[[#This Row],[html_type]]&amp;Table1[[#This Row],[html_modifier]]</f>
        <v/>
      </c>
      <c r="AL595" s="22" t="str">
        <f>IFERROR(_xlfn.XLOOKUP(Table1[[#This Row],[word]],Table57[English style name],Table57[Style type]),"")</f>
        <v/>
      </c>
      <c r="AM595" s="20"/>
      <c r="AN595" s="11"/>
      <c r="AQ595" s="6" t="s">
        <v>2926</v>
      </c>
      <c r="AR595" t="s">
        <v>2917</v>
      </c>
    </row>
    <row r="596" spans="5:44">
      <c r="E596" s="76"/>
      <c r="F5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6" s="13" t="s">
        <v>2992</v>
      </c>
      <c r="H596" s="13" t="s">
        <v>1</v>
      </c>
      <c r="I596" s="12" t="str">
        <f>Table1[[#This Row],[type]]</f>
        <v>character</v>
      </c>
      <c r="J596" s="62" t="str">
        <f>Table1[[#This Row],[Column42]]&amp;IF(Table1[[#This Row],[Column13]]="","",Table1[[#This Row],[Column13]])&amp;IF(Table1[[#This Row],[mod]]="","",Table1[[#This Row],[mod]])</f>
        <v>character--case--unicase</v>
      </c>
      <c r="K5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6" t="s">
        <v>65</v>
      </c>
      <c r="Q5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--case--unicase</v>
      </c>
      <c r="R596" t="s">
        <v>3003</v>
      </c>
      <c r="S596" t="s">
        <v>10206</v>
      </c>
      <c r="U5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6" s="29"/>
      <c r="AC596" s="25"/>
      <c r="AD596" s="41"/>
      <c r="AE596" s="41"/>
      <c r="AF596" s="11"/>
      <c r="AH596" s="1" t="str">
        <f>Table1[[#This Row],[html_tag]]&amp;Table1[[#This Row],[html_type]]&amp;Table1[[#This Row],[html_modifier]]</f>
        <v/>
      </c>
      <c r="AL596" s="22" t="str">
        <f>IFERROR(_xlfn.XLOOKUP(Table1[[#This Row],[word]],Table57[English style name],Table57[Style type]),"")</f>
        <v/>
      </c>
      <c r="AM596" s="20"/>
      <c r="AN596" s="11"/>
      <c r="AQ596" s="6" t="s">
        <v>2927</v>
      </c>
      <c r="AR596" t="s">
        <v>2917</v>
      </c>
    </row>
    <row r="597" spans="5:44">
      <c r="E597" s="76"/>
      <c r="F5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7" s="13" t="s">
        <v>2992</v>
      </c>
      <c r="H597" s="13" t="s">
        <v>1</v>
      </c>
      <c r="I597" s="12" t="str">
        <f>Table1[[#This Row],[type]]</f>
        <v>character</v>
      </c>
      <c r="J597" s="62" t="str">
        <f>Table1[[#This Row],[Column42]]&amp;IF(Table1[[#This Row],[Column13]]="","",Table1[[#This Row],[Column13]])&amp;IF(Table1[[#This Row],[mod]]="","",Table1[[#This Row],[mod]])</f>
        <v>character--case--unset</v>
      </c>
      <c r="K5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7" t="s">
        <v>65</v>
      </c>
      <c r="Q5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--case--unset</v>
      </c>
      <c r="R597" t="s">
        <v>3003</v>
      </c>
      <c r="S597" t="s">
        <v>10205</v>
      </c>
      <c r="U5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7" s="29"/>
      <c r="AC597" s="25"/>
      <c r="AD597" s="41"/>
      <c r="AE597" s="41"/>
      <c r="AF597" s="11"/>
      <c r="AH597" s="1" t="str">
        <f>Table1[[#This Row],[html_tag]]&amp;Table1[[#This Row],[html_type]]&amp;Table1[[#This Row],[html_modifier]]</f>
        <v/>
      </c>
      <c r="AL597" s="22" t="str">
        <f>IFERROR(_xlfn.XLOOKUP(Table1[[#This Row],[word]],Table57[English style name],Table57[Style type]),"")</f>
        <v/>
      </c>
      <c r="AM597" s="20"/>
      <c r="AN597" s="11"/>
      <c r="AQ597" s="6" t="s">
        <v>2928</v>
      </c>
      <c r="AR597" t="s">
        <v>2917</v>
      </c>
    </row>
    <row r="598" spans="5:44">
      <c r="E598" s="76"/>
      <c r="F5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8" s="13" t="s">
        <v>2992</v>
      </c>
      <c r="H598" s="13" t="s">
        <v>1</v>
      </c>
      <c r="I598" s="12" t="str">
        <f>Table1[[#This Row],[type]]</f>
        <v>character</v>
      </c>
      <c r="J598" s="62" t="str">
        <f>Table1[[#This Row],[Column42]]&amp;IF(Table1[[#This Row],[Column13]]="","",Table1[[#This Row],[Column13]])&amp;IF(Table1[[#This Row],[mod]]="","",Table1[[#This Row],[mod]])</f>
        <v>character--case--uppercase</v>
      </c>
      <c r="K5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8" t="s">
        <v>65</v>
      </c>
      <c r="Q5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--case--uppercase</v>
      </c>
      <c r="R598" t="s">
        <v>3003</v>
      </c>
      <c r="S598" t="s">
        <v>10204</v>
      </c>
      <c r="U5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8" s="29"/>
      <c r="AC598" s="25" t="s">
        <v>3772</v>
      </c>
      <c r="AD598" s="41"/>
      <c r="AE598" s="41"/>
      <c r="AF598" s="11"/>
      <c r="AH598" s="1" t="str">
        <f>Table1[[#This Row],[html_tag]]&amp;Table1[[#This Row],[html_type]]&amp;Table1[[#This Row],[html_modifier]]</f>
        <v/>
      </c>
      <c r="AL598" s="22" t="str">
        <f>IFERROR(_xlfn.XLOOKUP(Table1[[#This Row],[word]],Table57[English style name],Table57[Style type]),"")</f>
        <v/>
      </c>
      <c r="AM598" s="20"/>
      <c r="AN598" s="11"/>
      <c r="AQ598" s="6" t="s">
        <v>2929</v>
      </c>
      <c r="AR598" t="s">
        <v>2917</v>
      </c>
    </row>
    <row r="599" spans="5:44">
      <c r="E599" s="76"/>
      <c r="F5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9" s="13" t="s">
        <v>2992</v>
      </c>
      <c r="H599" s="13" t="s">
        <v>1</v>
      </c>
      <c r="I599" s="12" t="str">
        <f>Table1[[#This Row],[type]]</f>
        <v>character</v>
      </c>
      <c r="J599" s="62" t="str">
        <f>Table1[[#This Row],[Column42]]&amp;IF(Table1[[#This Row],[Column13]]="","",Table1[[#This Row],[Column13]])&amp;IF(Table1[[#This Row],[mod]]="","",Table1[[#This Row],[mod]])</f>
        <v>character--default</v>
      </c>
      <c r="K5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9" t="s">
        <v>65</v>
      </c>
      <c r="P599" t="s">
        <v>3758</v>
      </c>
      <c r="Q5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599" t="s">
        <v>3004</v>
      </c>
      <c r="AB599" s="29"/>
      <c r="AC599" s="25"/>
      <c r="AD599" s="41"/>
      <c r="AE599" s="41"/>
      <c r="AF599" s="11"/>
      <c r="AH599" s="1" t="str">
        <f>Table1[[#This Row],[html_tag]]&amp;Table1[[#This Row],[html_type]]&amp;Table1[[#This Row],[html_modifier]]</f>
        <v/>
      </c>
      <c r="AL599" s="22" t="str">
        <f>IFERROR(_xlfn.XLOOKUP(Table1[[#This Row],[word]],Table57[English style name],Table57[Style type]),"")</f>
        <v/>
      </c>
      <c r="AM599" s="20"/>
      <c r="AN599" s="11"/>
      <c r="AQ599" s="6" t="s">
        <v>1237</v>
      </c>
      <c r="AR599" t="s">
        <v>1238</v>
      </c>
    </row>
    <row r="600" spans="5:44">
      <c r="E600" s="76"/>
      <c r="F6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0" s="13" t="s">
        <v>2992</v>
      </c>
      <c r="H600" s="13" t="s">
        <v>1</v>
      </c>
      <c r="I600" s="12" t="str">
        <f>Table1[[#This Row],[type]]</f>
        <v>character</v>
      </c>
      <c r="J600" s="62" t="str">
        <f>Table1[[#This Row],[Column42]]&amp;IF(Table1[[#This Row],[Column13]]="","",Table1[[#This Row],[Column13]])&amp;IF(Table1[[#This Row],[mod]]="","",Table1[[#This Row],[mod]])</f>
        <v>character--script--script_base--base</v>
      </c>
      <c r="K6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0" t="s">
        <v>65</v>
      </c>
      <c r="Q6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--script--script_base</v>
      </c>
      <c r="R600" t="s">
        <v>580</v>
      </c>
      <c r="S600" t="s">
        <v>10203</v>
      </c>
      <c r="U6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00" t="s">
        <v>338</v>
      </c>
      <c r="AB600" s="29"/>
      <c r="AC600" s="25"/>
      <c r="AD600" s="41"/>
      <c r="AE600" s="41"/>
      <c r="AF600" s="11"/>
      <c r="AH600" s="1" t="str">
        <f>Table1[[#This Row],[html_tag]]&amp;Table1[[#This Row],[html_type]]&amp;Table1[[#This Row],[html_modifier]]</f>
        <v/>
      </c>
      <c r="AL600" s="22" t="str">
        <f>IFERROR(_xlfn.XLOOKUP(Table1[[#This Row],[word]],Table57[English style name],Table57[Style type]),"")</f>
        <v/>
      </c>
      <c r="AM600" s="20"/>
      <c r="AN600" s="11"/>
      <c r="AQ600" s="6" t="s">
        <v>2932</v>
      </c>
      <c r="AR600" t="s">
        <v>2933</v>
      </c>
    </row>
    <row r="601" spans="5:44">
      <c r="E601" s="76"/>
      <c r="F6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1" s="13" t="s">
        <v>2992</v>
      </c>
      <c r="H601" s="13" t="s">
        <v>1</v>
      </c>
      <c r="I601" s="12" t="str">
        <f>Table1[[#This Row],[type]]</f>
        <v>character</v>
      </c>
      <c r="J601" s="62" t="str">
        <f>Table1[[#This Row],[Column42]]&amp;IF(Table1[[#This Row],[Column13]]="","",Table1[[#This Row],[Column13]])&amp;IF(Table1[[#This Row],[mod]]="","",Table1[[#This Row],[mod]])</f>
        <v>character--script--script_sub</v>
      </c>
      <c r="K6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1" t="s">
        <v>65</v>
      </c>
      <c r="Q6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--script--script_sub</v>
      </c>
      <c r="R601" t="s">
        <v>580</v>
      </c>
      <c r="S601" t="s">
        <v>10201</v>
      </c>
      <c r="U6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1" s="29"/>
      <c r="AC601" s="25"/>
      <c r="AD601" s="41"/>
      <c r="AE601" s="41"/>
      <c r="AF601" s="11"/>
      <c r="AH601" s="1" t="str">
        <f>Table1[[#This Row],[html_tag]]&amp;Table1[[#This Row],[html_type]]&amp;Table1[[#This Row],[html_modifier]]</f>
        <v/>
      </c>
      <c r="AL601" s="22" t="str">
        <f>IFERROR(_xlfn.XLOOKUP(Table1[[#This Row],[word]],Table57[English style name],Table57[Style type]),"")</f>
        <v/>
      </c>
      <c r="AM601" s="20"/>
      <c r="AN601" s="11"/>
      <c r="AQ601" s="6" t="s">
        <v>2934</v>
      </c>
      <c r="AR601" t="s">
        <v>2933</v>
      </c>
    </row>
    <row r="602" spans="5:44">
      <c r="E602" s="76"/>
      <c r="F6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2" s="13" t="s">
        <v>2992</v>
      </c>
      <c r="H602" s="13" t="s">
        <v>1</v>
      </c>
      <c r="I602" s="12" t="str">
        <f>Table1[[#This Row],[type]]</f>
        <v>character</v>
      </c>
      <c r="J602" s="62" t="str">
        <f>Table1[[#This Row],[Column42]]&amp;IF(Table1[[#This Row],[Column13]]="","",Table1[[#This Row],[Column13]])&amp;IF(Table1[[#This Row],[mod]]="","",Table1[[#This Row],[mod]])</f>
        <v>character--script--script_super</v>
      </c>
      <c r="K6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2" t="s">
        <v>65</v>
      </c>
      <c r="Q6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--script--script_super</v>
      </c>
      <c r="R602" t="s">
        <v>580</v>
      </c>
      <c r="S602" t="s">
        <v>10202</v>
      </c>
      <c r="U6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2" s="29"/>
      <c r="AC602" s="25"/>
      <c r="AD602" s="41"/>
      <c r="AE602" s="41"/>
      <c r="AF602" s="11"/>
      <c r="AH602" s="1" t="str">
        <f>Table1[[#This Row],[html_tag]]&amp;Table1[[#This Row],[html_type]]&amp;Table1[[#This Row],[html_modifier]]</f>
        <v/>
      </c>
      <c r="AL602" s="22" t="str">
        <f>IFERROR(_xlfn.XLOOKUP(Table1[[#This Row],[word]],Table57[English style name],Table57[Style type]),"")</f>
        <v/>
      </c>
      <c r="AM602" s="20"/>
      <c r="AN602" s="11"/>
      <c r="AQ602" s="6" t="s">
        <v>2935</v>
      </c>
      <c r="AR602" t="s">
        <v>2933</v>
      </c>
    </row>
    <row r="603" spans="5:44">
      <c r="E603" s="76"/>
      <c r="F6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3" s="13" t="s">
        <v>2992</v>
      </c>
      <c r="H603" s="13" t="s">
        <v>1</v>
      </c>
      <c r="I603" s="12" t="str">
        <f>Table1[[#This Row],[type]]</f>
        <v>character</v>
      </c>
      <c r="J603" s="62" t="str">
        <f>Table1[[#This Row],[Column42]]&amp;IF(Table1[[#This Row],[Column13]]="","",Table1[[#This Row],[Column13]])&amp;IF(Table1[[#This Row],[mod]]="","",Table1[[#This Row],[mod]])</f>
        <v>character--small</v>
      </c>
      <c r="K6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3" t="s">
        <v>65</v>
      </c>
      <c r="Q6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</v>
      </c>
      <c r="R603" t="s">
        <v>341</v>
      </c>
      <c r="U6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A603" s="3"/>
      <c r="AB603" s="29"/>
      <c r="AC603" s="25"/>
      <c r="AD603" s="41"/>
      <c r="AE603" s="41"/>
      <c r="AF603" s="11" t="s">
        <v>267</v>
      </c>
      <c r="AH603" s="1" t="str">
        <f>Table1[[#This Row],[html_tag]]&amp;Table1[[#This Row],[html_type]]&amp;Table1[[#This Row],[html_modifier]]</f>
        <v>&lt;small&gt;</v>
      </c>
      <c r="AI603" t="s">
        <v>267</v>
      </c>
      <c r="AL603" s="22" t="str">
        <f>IFERROR(_xlfn.XLOOKUP(Table1[[#This Row],[word]],Table57[English style name],Table57[Style type]),"")</f>
        <v/>
      </c>
      <c r="AM603" s="20"/>
      <c r="AN603" s="11"/>
      <c r="AQ603" s="6" t="s">
        <v>2936</v>
      </c>
      <c r="AR603" t="s">
        <v>2937</v>
      </c>
    </row>
    <row r="604" spans="5:44">
      <c r="E604" s="76"/>
      <c r="F6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4" s="13" t="s">
        <v>2992</v>
      </c>
      <c r="H604" s="13" t="s">
        <v>1</v>
      </c>
      <c r="I604" s="12" t="str">
        <f>Table1[[#This Row],[type]]</f>
        <v>character</v>
      </c>
      <c r="J604" s="62" t="str">
        <f>Table1[[#This Row],[Column42]]&amp;IF(Table1[[#This Row],[Column13]]="","",Table1[[#This Row],[Column13]])&amp;IF(Table1[[#This Row],[mod]]="","",Table1[[#This Row],[mod]])</f>
        <v>character--small--bold</v>
      </c>
      <c r="K6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4" t="s">
        <v>65</v>
      </c>
      <c r="Q6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--small--bold</v>
      </c>
      <c r="R604" t="s">
        <v>341</v>
      </c>
      <c r="S604" t="s">
        <v>3000</v>
      </c>
      <c r="U6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A604" s="3"/>
      <c r="AB604" s="29"/>
      <c r="AC604" s="25"/>
      <c r="AD604" s="41"/>
      <c r="AE604" s="41"/>
      <c r="AF604" s="11"/>
      <c r="AH604" s="1" t="str">
        <f>Table1[[#This Row],[html_tag]]&amp;Table1[[#This Row],[html_type]]&amp;Table1[[#This Row],[html_modifier]]</f>
        <v/>
      </c>
      <c r="AL604" s="22" t="str">
        <f>IFERROR(_xlfn.XLOOKUP(Table1[[#This Row],[word]],Table57[English style name],Table57[Style type]),"")</f>
        <v/>
      </c>
      <c r="AM604" s="20"/>
      <c r="AN604" s="11"/>
      <c r="AQ604" s="6" t="s">
        <v>2938</v>
      </c>
      <c r="AR604" t="s">
        <v>2937</v>
      </c>
    </row>
    <row r="605" spans="5:44">
      <c r="E605" s="76"/>
      <c r="F6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5" s="13" t="s">
        <v>2992</v>
      </c>
      <c r="H605" s="13" t="s">
        <v>1</v>
      </c>
      <c r="I605" s="12" t="str">
        <f>Table1[[#This Row],[type]]</f>
        <v>character</v>
      </c>
      <c r="J605" s="62" t="str">
        <f>Table1[[#This Row],[Column42]]&amp;IF(Table1[[#This Row],[Column13]]="","",Table1[[#This Row],[Column13]])&amp;IF(Table1[[#This Row],[mod]]="","",Table1[[#This Row],[mod]])</f>
        <v>character--small--italic</v>
      </c>
      <c r="K6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5" t="s">
        <v>65</v>
      </c>
      <c r="Q6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--small--italic</v>
      </c>
      <c r="R605" t="s">
        <v>341</v>
      </c>
      <c r="S605" t="s">
        <v>3001</v>
      </c>
      <c r="U6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A605" s="3"/>
      <c r="AB605" s="29"/>
      <c r="AC605" s="25"/>
      <c r="AD605" s="41"/>
      <c r="AE605" s="41"/>
      <c r="AF605" s="11"/>
      <c r="AH605" s="1" t="str">
        <f>Table1[[#This Row],[html_tag]]&amp;Table1[[#This Row],[html_type]]&amp;Table1[[#This Row],[html_modifier]]</f>
        <v/>
      </c>
      <c r="AL605" s="22" t="str">
        <f>IFERROR(_xlfn.XLOOKUP(Table1[[#This Row],[word]],Table57[English style name],Table57[Style type]),"")</f>
        <v/>
      </c>
      <c r="AM605" s="20"/>
      <c r="AN605" s="11"/>
      <c r="AQ605" s="6" t="s">
        <v>2939</v>
      </c>
      <c r="AR605" t="s">
        <v>2937</v>
      </c>
    </row>
    <row r="606" spans="5:44">
      <c r="E606" s="76"/>
      <c r="F6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06" s="13"/>
      <c r="H606" s="13"/>
      <c r="I606" s="12" t="str">
        <f>Table1[[#This Row],[type]]</f>
        <v>chat</v>
      </c>
      <c r="J606" s="62" t="str">
        <f>Table1[[#This Row],[Column42]]&amp;IF(Table1[[#This Row],[Column13]]="","",Table1[[#This Row],[Column13]])&amp;IF(Table1[[#This Row],[mod]]="","",Table1[[#This Row],[mod]])</f>
        <v>chat</v>
      </c>
      <c r="K6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</v>
      </c>
      <c r="L606" t="s">
        <v>6356</v>
      </c>
      <c r="Q6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6" s="29"/>
      <c r="AC606" s="25"/>
      <c r="AD606" s="41" t="s">
        <v>6393</v>
      </c>
      <c r="AE606" s="41"/>
      <c r="AF606" s="11" t="s">
        <v>190</v>
      </c>
      <c r="AH606" s="7" t="str">
        <f>Table1[[#This Row],[html_tag]]&amp;Table1[[#This Row],[html_type]]&amp;Table1[[#This Row],[html_modifier]]</f>
        <v/>
      </c>
      <c r="AL606" s="23" t="str">
        <f>IFERROR(_xlfn.XLOOKUP(Table1[[#This Row],[word]],Table57[English style name],Table57[Style type]),"")</f>
        <v/>
      </c>
      <c r="AM606" s="21"/>
      <c r="AN606" s="11"/>
    </row>
    <row r="607" spans="5:44">
      <c r="E607" s="76"/>
      <c r="F6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07" s="13"/>
      <c r="H607" s="13"/>
      <c r="I607" s="12" t="str">
        <f>Table1[[#This Row],[type]]</f>
        <v>chat</v>
      </c>
      <c r="J607" s="62" t="str">
        <f>Table1[[#This Row],[Column42]]&amp;IF(Table1[[#This Row],[Column13]]="","",Table1[[#This Row],[Column13]])&amp;IF(Table1[[#This Row],[mod]]="","",Table1[[#This Row],[mod]])</f>
        <v>chat</v>
      </c>
      <c r="K6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</v>
      </c>
      <c r="L607" t="s">
        <v>6356</v>
      </c>
      <c r="Q60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7" s="29"/>
      <c r="AC607" s="25"/>
      <c r="AD607" s="41" t="s">
        <v>6394</v>
      </c>
      <c r="AE607" s="41"/>
      <c r="AF607" s="11" t="s">
        <v>181</v>
      </c>
      <c r="AH607" s="7" t="str">
        <f>Table1[[#This Row],[html_tag]]&amp;Table1[[#This Row],[html_type]]&amp;Table1[[#This Row],[html_modifier]]</f>
        <v/>
      </c>
      <c r="AL607" s="23" t="str">
        <f>IFERROR(_xlfn.XLOOKUP(Table1[[#This Row],[word]],Table57[English style name],Table57[Style type]),"")</f>
        <v/>
      </c>
      <c r="AM607" s="21"/>
      <c r="AN607" s="11"/>
    </row>
    <row r="608" spans="5:44">
      <c r="E608" s="76"/>
      <c r="F6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08" s="13"/>
      <c r="H608" s="13"/>
      <c r="I608" s="12" t="str">
        <f>Table1[[#This Row],[type]]</f>
        <v>chat</v>
      </c>
      <c r="J608" s="62" t="str">
        <f>Table1[[#This Row],[Column42]]&amp;IF(Table1[[#This Row],[Column13]]="","",Table1[[#This Row],[Column13]])&amp;IF(Table1[[#This Row],[mod]]="","",Table1[[#This Row],[mod]])</f>
        <v>chat</v>
      </c>
      <c r="K6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</v>
      </c>
      <c r="L608" t="s">
        <v>6356</v>
      </c>
      <c r="Q60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8" s="29"/>
      <c r="AC608" s="25"/>
      <c r="AD608" s="41" t="s">
        <v>6388</v>
      </c>
      <c r="AE608" s="41"/>
      <c r="AF608" s="11" t="s">
        <v>264</v>
      </c>
      <c r="AH608" s="7" t="str">
        <f>Table1[[#This Row],[html_tag]]&amp;Table1[[#This Row],[html_type]]&amp;Table1[[#This Row],[html_modifier]]</f>
        <v/>
      </c>
      <c r="AL608" s="23" t="str">
        <f>IFERROR(_xlfn.XLOOKUP(Table1[[#This Row],[word]],Table57[English style name],Table57[Style type]),"")</f>
        <v/>
      </c>
      <c r="AM608" s="21"/>
      <c r="AN608" s="11"/>
    </row>
    <row r="609" spans="1:47">
      <c r="E609" s="76"/>
      <c r="F6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09" s="13"/>
      <c r="H609" s="13"/>
      <c r="I609" s="12" t="str">
        <f>Table1[[#This Row],[type]]</f>
        <v>chat</v>
      </c>
      <c r="J609" s="62" t="str">
        <f>Table1[[#This Row],[Column42]]&amp;IF(Table1[[#This Row],[Column13]]="","",Table1[[#This Row],[Column13]])&amp;IF(Table1[[#This Row],[mod]]="","",Table1[[#This Row],[mod]])</f>
        <v>chat__message</v>
      </c>
      <c r="K6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09" t="s">
        <v>6356</v>
      </c>
      <c r="M609" t="s">
        <v>4566</v>
      </c>
      <c r="Q60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9" s="29"/>
      <c r="AC609" s="25"/>
      <c r="AD609" s="41" t="s">
        <v>6389</v>
      </c>
      <c r="AE609" s="41"/>
      <c r="AF609" s="11" t="s">
        <v>201</v>
      </c>
      <c r="AH609" s="7" t="str">
        <f>Table1[[#This Row],[html_tag]]&amp;Table1[[#This Row],[html_type]]&amp;Table1[[#This Row],[html_modifier]]</f>
        <v/>
      </c>
      <c r="AL609" s="23" t="str">
        <f>IFERROR(_xlfn.XLOOKUP(Table1[[#This Row],[word]],Table57[English style name],Table57[Style type]),"")</f>
        <v/>
      </c>
      <c r="AM609" s="21"/>
      <c r="AN609" s="11"/>
    </row>
    <row r="610" spans="1:47">
      <c r="E610" s="76"/>
      <c r="F6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0" s="13"/>
      <c r="H610" s="13"/>
      <c r="I610" s="12" t="str">
        <f>Table1[[#This Row],[type]]</f>
        <v>chat</v>
      </c>
      <c r="J610" s="62" t="str">
        <f>Table1[[#This Row],[Column42]]&amp;IF(Table1[[#This Row],[Column13]]="","",Table1[[#This Row],[Column13]])&amp;IF(Table1[[#This Row],[mod]]="","",Table1[[#This Row],[mod]])</f>
        <v>chat__message</v>
      </c>
      <c r="K6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0" t="s">
        <v>6356</v>
      </c>
      <c r="M610" t="s">
        <v>4566</v>
      </c>
      <c r="Q6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0" s="29"/>
      <c r="AC610" s="25"/>
      <c r="AD610" s="41" t="s">
        <v>6390</v>
      </c>
      <c r="AE610" s="41"/>
      <c r="AF610" s="11" t="s">
        <v>190</v>
      </c>
      <c r="AH610" s="7" t="str">
        <f>Table1[[#This Row],[html_tag]]&amp;Table1[[#This Row],[html_type]]&amp;Table1[[#This Row],[html_modifier]]</f>
        <v/>
      </c>
      <c r="AL610" s="23" t="str">
        <f>IFERROR(_xlfn.XLOOKUP(Table1[[#This Row],[word]],Table57[English style name],Table57[Style type]),"")</f>
        <v/>
      </c>
      <c r="AM610" s="21"/>
      <c r="AN610" s="11"/>
    </row>
    <row r="611" spans="1:47">
      <c r="E611" s="76"/>
      <c r="F6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1" s="13"/>
      <c r="H611" s="13"/>
      <c r="I611" s="12" t="str">
        <f>Table1[[#This Row],[type]]</f>
        <v>chat</v>
      </c>
      <c r="J611" s="62" t="str">
        <f>Table1[[#This Row],[Column42]]&amp;IF(Table1[[#This Row],[Column13]]="","",Table1[[#This Row],[Column13]])&amp;IF(Table1[[#This Row],[mod]]="","",Table1[[#This Row],[mod]])</f>
        <v>chat__message</v>
      </c>
      <c r="K6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1" t="s">
        <v>6356</v>
      </c>
      <c r="M611" t="s">
        <v>4566</v>
      </c>
      <c r="Q61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1" s="29"/>
      <c r="AC611" s="25"/>
      <c r="AD611" s="41" t="s">
        <v>6391</v>
      </c>
      <c r="AE611" s="41"/>
      <c r="AF611" s="11" t="s">
        <v>181</v>
      </c>
      <c r="AH611" s="7" t="str">
        <f>Table1[[#This Row],[html_tag]]&amp;Table1[[#This Row],[html_type]]&amp;Table1[[#This Row],[html_modifier]]</f>
        <v/>
      </c>
      <c r="AL611" s="23" t="str">
        <f>IFERROR(_xlfn.XLOOKUP(Table1[[#This Row],[word]],Table57[English style name],Table57[Style type]),"")</f>
        <v/>
      </c>
      <c r="AM611" s="21"/>
      <c r="AN611" s="11"/>
    </row>
    <row r="612" spans="1:47">
      <c r="E612" s="76"/>
      <c r="F6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2" s="13"/>
      <c r="H612" s="13"/>
      <c r="I612" s="12" t="str">
        <f>Table1[[#This Row],[type]]</f>
        <v>chat</v>
      </c>
      <c r="J612" s="62" t="str">
        <f>Table1[[#This Row],[Column42]]&amp;IF(Table1[[#This Row],[Column13]]="","",Table1[[#This Row],[Column13]])&amp;IF(Table1[[#This Row],[mod]]="","",Table1[[#This Row],[mod]])</f>
        <v>chat__message</v>
      </c>
      <c r="K6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2" t="s">
        <v>6356</v>
      </c>
      <c r="M612" t="s">
        <v>4566</v>
      </c>
      <c r="Q61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2" s="29"/>
      <c r="AC612" s="25"/>
      <c r="AD612" s="41" t="s">
        <v>6392</v>
      </c>
      <c r="AE612" s="41"/>
      <c r="AF612" s="11" t="s">
        <v>166</v>
      </c>
      <c r="AH612" s="7" t="str">
        <f>Table1[[#This Row],[html_tag]]&amp;Table1[[#This Row],[html_type]]&amp;Table1[[#This Row],[html_modifier]]</f>
        <v/>
      </c>
      <c r="AL612" s="23" t="str">
        <f>IFERROR(_xlfn.XLOOKUP(Table1[[#This Row],[word]],Table57[English style name],Table57[Style type]),"")</f>
        <v/>
      </c>
      <c r="AM612" s="21"/>
      <c r="AN612" s="11"/>
    </row>
    <row r="613" spans="1:47">
      <c r="A613" s="68"/>
      <c r="B613" s="68"/>
      <c r="C613" s="68"/>
      <c r="D613" s="69"/>
      <c r="E613" s="84"/>
      <c r="F613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3" s="13"/>
      <c r="H613" s="13"/>
      <c r="I613" s="85" t="str">
        <f>Table1[[#This Row],[type]]</f>
        <v>chat</v>
      </c>
      <c r="J613" s="72" t="str">
        <f>Table1[[#This Row],[Column42]]&amp;IF(Table1[[#This Row],[Column13]]="","",Table1[[#This Row],[Column13]])&amp;IF(Table1[[#This Row],[mod]]="","",Table1[[#This Row],[mod]])</f>
        <v>chat__message</v>
      </c>
      <c r="K613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3" t="s">
        <v>6356</v>
      </c>
      <c r="M613" t="s">
        <v>4566</v>
      </c>
      <c r="Q613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3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3" s="29"/>
      <c r="AC613" s="25"/>
      <c r="AD613" s="41"/>
      <c r="AE613" s="41"/>
      <c r="AF613" s="11" t="s">
        <v>211</v>
      </c>
      <c r="AH613" s="75" t="str">
        <f>Table1[[#This Row],[html_tag]]&amp;Table1[[#This Row],[html_type]]&amp;Table1[[#This Row],[html_modifier]]</f>
        <v/>
      </c>
      <c r="AL613" s="23" t="str">
        <f>IFERROR(_xlfn.XLOOKUP(Table1[[#This Row],[word]],Table57[English style name],Table57[Style type]),"")</f>
        <v/>
      </c>
      <c r="AM613" s="21"/>
      <c r="AN613" s="70"/>
      <c r="AO613" s="67"/>
      <c r="AP613" s="67"/>
      <c r="AQ613" s="67"/>
      <c r="AR613" s="67"/>
      <c r="AS613" s="67"/>
      <c r="AT613" s="67"/>
      <c r="AU613" s="67"/>
    </row>
    <row r="614" spans="1:47">
      <c r="A614" s="68"/>
      <c r="B614" s="68"/>
      <c r="C614" s="68"/>
      <c r="D614" s="69"/>
      <c r="E614" s="84"/>
      <c r="F614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4" s="13"/>
      <c r="H614" s="13"/>
      <c r="I614" s="85" t="str">
        <f>Table1[[#This Row],[type]]</f>
        <v>chat</v>
      </c>
      <c r="J614" s="72" t="str">
        <f>Table1[[#This Row],[Column42]]&amp;IF(Table1[[#This Row],[Column13]]="","",Table1[[#This Row],[Column13]])&amp;IF(Table1[[#This Row],[mod]]="","",Table1[[#This Row],[mod]])</f>
        <v>chat__message__timestamp</v>
      </c>
      <c r="K614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chat__message__timestamp</v>
      </c>
      <c r="L614" t="s">
        <v>6356</v>
      </c>
      <c r="M614" t="s">
        <v>4566</v>
      </c>
      <c r="O614" t="s">
        <v>2830</v>
      </c>
      <c r="Q614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4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4" s="29"/>
      <c r="AC614" s="25"/>
      <c r="AD614" s="41"/>
      <c r="AE614" s="41"/>
      <c r="AF614" s="11" t="s">
        <v>298</v>
      </c>
      <c r="AH614" s="75" t="str">
        <f>Table1[[#This Row],[html_tag]]&amp;Table1[[#This Row],[html_type]]&amp;Table1[[#This Row],[html_modifier]]</f>
        <v/>
      </c>
      <c r="AL614" s="23" t="str">
        <f>IFERROR(_xlfn.XLOOKUP(Table1[[#This Row],[word]],Table57[English style name],Table57[Style type]),"")</f>
        <v/>
      </c>
      <c r="AM614" s="21"/>
      <c r="AN614" s="70"/>
      <c r="AO614" s="67"/>
      <c r="AP614" s="67"/>
      <c r="AQ614" s="67"/>
      <c r="AR614" s="67"/>
      <c r="AS614" s="67"/>
      <c r="AT614" s="67"/>
      <c r="AU614" s="67"/>
    </row>
    <row r="615" spans="1:47">
      <c r="E615" s="76"/>
      <c r="F6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5" s="13"/>
      <c r="H615" s="13"/>
      <c r="I615" s="12" t="str">
        <f>Table1[[#This Row],[type]]</f>
        <v>chat</v>
      </c>
      <c r="J615" s="62" t="str">
        <f>Table1[[#This Row],[Column42]]&amp;IF(Table1[[#This Row],[Column13]]="","",Table1[[#This Row],[Column13]])&amp;IF(Table1[[#This Row],[mod]]="","",Table1[[#This Row],[mod]])</f>
        <v>chat__message--accent</v>
      </c>
      <c r="K6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5" t="s">
        <v>6356</v>
      </c>
      <c r="M615" t="s">
        <v>4566</v>
      </c>
      <c r="Q6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615" t="s">
        <v>7394</v>
      </c>
      <c r="AB615" s="29"/>
      <c r="AC615" s="25"/>
      <c r="AD615" s="41" t="s">
        <v>6398</v>
      </c>
      <c r="AE615" s="41"/>
      <c r="AF615" s="11" t="s">
        <v>166</v>
      </c>
      <c r="AH615" s="7" t="str">
        <f>Table1[[#This Row],[html_tag]]&amp;Table1[[#This Row],[html_type]]&amp;Table1[[#This Row],[html_modifier]]</f>
        <v/>
      </c>
      <c r="AL615" s="23" t="str">
        <f>IFERROR(_xlfn.XLOOKUP(Table1[[#This Row],[word]],Table57[English style name],Table57[Style type]),"")</f>
        <v/>
      </c>
      <c r="AM615" s="21"/>
      <c r="AN615" s="11"/>
    </row>
    <row r="616" spans="1:47">
      <c r="E616" s="76"/>
      <c r="F6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6" s="13"/>
      <c r="H616" s="13"/>
      <c r="I616" s="12" t="str">
        <f>Table1[[#This Row],[type]]</f>
        <v>chat</v>
      </c>
      <c r="J616" s="62" t="str">
        <f>Table1[[#This Row],[Column42]]&amp;IF(Table1[[#This Row],[Column13]]="","",Table1[[#This Row],[Column13]])&amp;IF(Table1[[#This Row],[mod]]="","",Table1[[#This Row],[mod]])</f>
        <v>chat__message--error</v>
      </c>
      <c r="K6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6" t="s">
        <v>6356</v>
      </c>
      <c r="M616" t="s">
        <v>4566</v>
      </c>
      <c r="Q61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616" t="s">
        <v>3117</v>
      </c>
      <c r="AB616" s="29"/>
      <c r="AC616" s="25"/>
      <c r="AD616" s="41" t="s">
        <v>6402</v>
      </c>
      <c r="AE616" s="41"/>
      <c r="AF616" s="11" t="s">
        <v>166</v>
      </c>
      <c r="AH616" s="7" t="str">
        <f>Table1[[#This Row],[html_tag]]&amp;Table1[[#This Row],[html_type]]&amp;Table1[[#This Row],[html_modifier]]</f>
        <v/>
      </c>
      <c r="AL616" s="23" t="str">
        <f>IFERROR(_xlfn.XLOOKUP(Table1[[#This Row],[word]],Table57[English style name],Table57[Style type]),"")</f>
        <v/>
      </c>
      <c r="AM616" s="21"/>
      <c r="AN616" s="11"/>
    </row>
    <row r="617" spans="1:47">
      <c r="A617" s="68"/>
      <c r="B617" s="68"/>
      <c r="C617" s="68"/>
      <c r="D617" s="69"/>
      <c r="E617" s="84"/>
      <c r="F617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7" s="13"/>
      <c r="H617" s="13"/>
      <c r="I617" s="85" t="str">
        <f>Table1[[#This Row],[type]]</f>
        <v>chat</v>
      </c>
      <c r="J617" s="72" t="str">
        <f>Table1[[#This Row],[Column42]]&amp;IF(Table1[[#This Row],[Column13]]="","",Table1[[#This Row],[Column13]])&amp;IF(Table1[[#This Row],[mod]]="","",Table1[[#This Row],[mod]])</f>
        <v>chat__message--incoming</v>
      </c>
      <c r="K617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7" t="s">
        <v>6356</v>
      </c>
      <c r="M617" t="s">
        <v>4566</v>
      </c>
      <c r="Q617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--incoming</v>
      </c>
      <c r="R617" t="s">
        <v>10187</v>
      </c>
      <c r="U617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7" s="29"/>
      <c r="AC617" s="25"/>
      <c r="AD617" s="41"/>
      <c r="AE617" s="41"/>
      <c r="AF617" s="11" t="s">
        <v>211</v>
      </c>
      <c r="AH617" s="75" t="str">
        <f>Table1[[#This Row],[html_tag]]&amp;Table1[[#This Row],[html_type]]&amp;Table1[[#This Row],[html_modifier]]</f>
        <v/>
      </c>
      <c r="AL617" s="23" t="str">
        <f>IFERROR(_xlfn.XLOOKUP(Table1[[#This Row],[word]],Table57[English style name],Table57[Style type]),"")</f>
        <v/>
      </c>
      <c r="AM617" s="21"/>
      <c r="AN617" s="70"/>
      <c r="AO617" s="67"/>
      <c r="AP617" s="67"/>
      <c r="AQ617" s="67"/>
      <c r="AR617" s="67"/>
      <c r="AS617" s="67"/>
      <c r="AT617" s="67"/>
      <c r="AU617" s="67"/>
    </row>
    <row r="618" spans="1:47">
      <c r="E618" s="76"/>
      <c r="F6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8" s="13"/>
      <c r="H618" s="13"/>
      <c r="I618" s="12" t="str">
        <f>Table1[[#This Row],[type]]</f>
        <v>chat</v>
      </c>
      <c r="J618" s="62" t="str">
        <f>Table1[[#This Row],[Column42]]&amp;IF(Table1[[#This Row],[Column13]]="","",Table1[[#This Row],[Column13]])&amp;IF(Table1[[#This Row],[mod]]="","",Table1[[#This Row],[mod]])</f>
        <v>chat__message--info</v>
      </c>
      <c r="K6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8" t="s">
        <v>6356</v>
      </c>
      <c r="M618" t="s">
        <v>4566</v>
      </c>
      <c r="Q61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618" t="s">
        <v>3119</v>
      </c>
      <c r="AB618" s="29"/>
      <c r="AC618" s="25"/>
      <c r="AD618" s="41" t="s">
        <v>6399</v>
      </c>
      <c r="AE618" s="41"/>
      <c r="AF618" s="11" t="s">
        <v>166</v>
      </c>
      <c r="AH618" s="7" t="str">
        <f>Table1[[#This Row],[html_tag]]&amp;Table1[[#This Row],[html_type]]&amp;Table1[[#This Row],[html_modifier]]</f>
        <v/>
      </c>
      <c r="AL618" s="23" t="str">
        <f>IFERROR(_xlfn.XLOOKUP(Table1[[#This Row],[word]],Table57[English style name],Table57[Style type]),"")</f>
        <v/>
      </c>
      <c r="AM618" s="21"/>
      <c r="AN618" s="11"/>
    </row>
    <row r="619" spans="1:47">
      <c r="E619" s="76"/>
      <c r="F6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9" s="13"/>
      <c r="H619" s="13"/>
      <c r="I619" s="12" t="str">
        <f>Table1[[#This Row],[type]]</f>
        <v>chat</v>
      </c>
      <c r="J619" s="62" t="str">
        <f>Table1[[#This Row],[Column42]]&amp;IF(Table1[[#This Row],[Column13]]="","",Table1[[#This Row],[Column13]])&amp;IF(Table1[[#This Row],[mod]]="","",Table1[[#This Row],[mod]])</f>
        <v>chat__message--neutral</v>
      </c>
      <c r="K6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9" t="s">
        <v>6356</v>
      </c>
      <c r="M619" t="s">
        <v>4566</v>
      </c>
      <c r="Q6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619" t="s">
        <v>7393</v>
      </c>
      <c r="AB619" s="29"/>
      <c r="AC619" s="25"/>
      <c r="AD619" s="41" t="s">
        <v>6395</v>
      </c>
      <c r="AE619" s="41"/>
      <c r="AF619" s="11" t="s">
        <v>166</v>
      </c>
      <c r="AH619" s="7" t="str">
        <f>Table1[[#This Row],[html_tag]]&amp;Table1[[#This Row],[html_type]]&amp;Table1[[#This Row],[html_modifier]]</f>
        <v/>
      </c>
      <c r="AL619" s="23" t="str">
        <f>IFERROR(_xlfn.XLOOKUP(Table1[[#This Row],[word]],Table57[English style name],Table57[Style type]),"")</f>
        <v/>
      </c>
      <c r="AM619" s="21"/>
      <c r="AN619" s="11"/>
    </row>
    <row r="620" spans="1:47">
      <c r="A620" s="68"/>
      <c r="B620" s="68"/>
      <c r="C620" s="68"/>
      <c r="D620" s="69"/>
      <c r="E620" s="84"/>
      <c r="F620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0" s="13"/>
      <c r="H620" s="13"/>
      <c r="I620" s="85" t="str">
        <f>Table1[[#This Row],[type]]</f>
        <v>chat</v>
      </c>
      <c r="J620" s="72" t="str">
        <f>Table1[[#This Row],[Column42]]&amp;IF(Table1[[#This Row],[Column13]]="","",Table1[[#This Row],[Column13]])&amp;IF(Table1[[#This Row],[mod]]="","",Table1[[#This Row],[mod]])</f>
        <v>chat__message--outgoing</v>
      </c>
      <c r="K620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20" t="s">
        <v>6356</v>
      </c>
      <c r="M620" t="s">
        <v>4566</v>
      </c>
      <c r="Q620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--outgoing</v>
      </c>
      <c r="R620" t="s">
        <v>10188</v>
      </c>
      <c r="U620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20" s="29"/>
      <c r="AC620" s="25"/>
      <c r="AD620" s="41"/>
      <c r="AE620" s="41"/>
      <c r="AF620" s="11" t="s">
        <v>211</v>
      </c>
      <c r="AH620" s="75" t="str">
        <f>Table1[[#This Row],[html_tag]]&amp;Table1[[#This Row],[html_type]]&amp;Table1[[#This Row],[html_modifier]]</f>
        <v/>
      </c>
      <c r="AL620" s="23" t="str">
        <f>IFERROR(_xlfn.XLOOKUP(Table1[[#This Row],[word]],Table57[English style name],Table57[Style type]),"")</f>
        <v/>
      </c>
      <c r="AM620" s="21"/>
      <c r="AN620" s="70"/>
      <c r="AO620" s="67"/>
      <c r="AP620" s="67"/>
      <c r="AQ620" s="67"/>
      <c r="AR620" s="67"/>
      <c r="AS620" s="67"/>
      <c r="AT620" s="67"/>
      <c r="AU620" s="67"/>
    </row>
    <row r="621" spans="1:47">
      <c r="E621" s="76"/>
      <c r="F6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1" s="13"/>
      <c r="H621" s="13"/>
      <c r="I621" s="12" t="str">
        <f>Table1[[#This Row],[type]]</f>
        <v>chat</v>
      </c>
      <c r="J621" s="62" t="str">
        <f>Table1[[#This Row],[Column42]]&amp;IF(Table1[[#This Row],[Column13]]="","",Table1[[#This Row],[Column13]])&amp;IF(Table1[[#This Row],[mod]]="","",Table1[[#This Row],[mod]])</f>
        <v>chat__message--primary</v>
      </c>
      <c r="K6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21" t="s">
        <v>6356</v>
      </c>
      <c r="M621" t="s">
        <v>4566</v>
      </c>
      <c r="Q6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621" t="s">
        <v>3164</v>
      </c>
      <c r="AB621" s="29"/>
      <c r="AC621" s="25"/>
      <c r="AD621" s="41" t="s">
        <v>6396</v>
      </c>
      <c r="AE621" s="41"/>
      <c r="AF621" s="11" t="s">
        <v>166</v>
      </c>
      <c r="AH621" s="7" t="str">
        <f>Table1[[#This Row],[html_tag]]&amp;Table1[[#This Row],[html_type]]&amp;Table1[[#This Row],[html_modifier]]</f>
        <v/>
      </c>
      <c r="AL621" s="23" t="str">
        <f>IFERROR(_xlfn.XLOOKUP(Table1[[#This Row],[word]],Table57[English style name],Table57[Style type]),"")</f>
        <v/>
      </c>
      <c r="AM621" s="21"/>
      <c r="AN621" s="11"/>
    </row>
    <row r="622" spans="1:47">
      <c r="E622" s="76"/>
      <c r="F6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2" s="13"/>
      <c r="H622" s="13"/>
      <c r="I622" s="12" t="str">
        <f>Table1[[#This Row],[type]]</f>
        <v>chat</v>
      </c>
      <c r="J622" s="62" t="str">
        <f>Table1[[#This Row],[Column42]]&amp;IF(Table1[[#This Row],[Column13]]="","",Table1[[#This Row],[Column13]])&amp;IF(Table1[[#This Row],[mod]]="","",Table1[[#This Row],[mod]])</f>
        <v>chat__message--secondary</v>
      </c>
      <c r="K6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22" t="s">
        <v>6356</v>
      </c>
      <c r="M622" t="s">
        <v>4566</v>
      </c>
      <c r="Q6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622" t="s">
        <v>3502</v>
      </c>
      <c r="AB622" s="29"/>
      <c r="AC622" s="25"/>
      <c r="AD622" s="41" t="s">
        <v>6397</v>
      </c>
      <c r="AE622" s="41"/>
      <c r="AF622" s="11" t="s">
        <v>166</v>
      </c>
      <c r="AH622" s="7" t="str">
        <f>Table1[[#This Row],[html_tag]]&amp;Table1[[#This Row],[html_type]]&amp;Table1[[#This Row],[html_modifier]]</f>
        <v/>
      </c>
      <c r="AL622" s="23" t="str">
        <f>IFERROR(_xlfn.XLOOKUP(Table1[[#This Row],[word]],Table57[English style name],Table57[Style type]),"")</f>
        <v/>
      </c>
      <c r="AM622" s="21"/>
      <c r="AN622" s="11"/>
    </row>
    <row r="623" spans="1:47">
      <c r="E623" s="76"/>
      <c r="F6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3" s="13"/>
      <c r="H623" s="13"/>
      <c r="I623" s="12" t="str">
        <f>Table1[[#This Row],[type]]</f>
        <v>chat</v>
      </c>
      <c r="J623" s="62" t="str">
        <f>Table1[[#This Row],[Column42]]&amp;IF(Table1[[#This Row],[Column13]]="","",Table1[[#This Row],[Column13]])&amp;IF(Table1[[#This Row],[mod]]="","",Table1[[#This Row],[mod]])</f>
        <v>chat__message--success</v>
      </c>
      <c r="K6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23" t="s">
        <v>6356</v>
      </c>
      <c r="M623" t="s">
        <v>4566</v>
      </c>
      <c r="Q6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623" t="s">
        <v>3120</v>
      </c>
      <c r="AB623" s="29"/>
      <c r="AC623" s="25"/>
      <c r="AD623" s="41" t="s">
        <v>6400</v>
      </c>
      <c r="AE623" s="41"/>
      <c r="AF623" s="11" t="s">
        <v>166</v>
      </c>
      <c r="AH623" s="7" t="str">
        <f>Table1[[#This Row],[html_tag]]&amp;Table1[[#This Row],[html_type]]&amp;Table1[[#This Row],[html_modifier]]</f>
        <v/>
      </c>
      <c r="AL623" s="23" t="str">
        <f>IFERROR(_xlfn.XLOOKUP(Table1[[#This Row],[word]],Table57[English style name],Table57[Style type]),"")</f>
        <v/>
      </c>
      <c r="AM623" s="21"/>
      <c r="AN623" s="11"/>
    </row>
    <row r="624" spans="1:47">
      <c r="E624" s="76"/>
      <c r="F6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4" s="13"/>
      <c r="H624" s="13"/>
      <c r="I624" s="12" t="str">
        <f>Table1[[#This Row],[type]]</f>
        <v>chat</v>
      </c>
      <c r="J624" s="62" t="str">
        <f>Table1[[#This Row],[Column42]]&amp;IF(Table1[[#This Row],[Column13]]="","",Table1[[#This Row],[Column13]])&amp;IF(Table1[[#This Row],[mod]]="","",Table1[[#This Row],[mod]])</f>
        <v>chat__message--warning</v>
      </c>
      <c r="K6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24" t="s">
        <v>6356</v>
      </c>
      <c r="M624" t="s">
        <v>4566</v>
      </c>
      <c r="Q6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624" t="s">
        <v>3121</v>
      </c>
      <c r="AB624" s="29"/>
      <c r="AC624" s="25"/>
      <c r="AD624" s="41" t="s">
        <v>6401</v>
      </c>
      <c r="AE624" s="41"/>
      <c r="AF624" s="11" t="s">
        <v>166</v>
      </c>
      <c r="AH624" s="7" t="str">
        <f>Table1[[#This Row],[html_tag]]&amp;Table1[[#This Row],[html_type]]&amp;Table1[[#This Row],[html_modifier]]</f>
        <v/>
      </c>
      <c r="AL624" s="23" t="str">
        <f>IFERROR(_xlfn.XLOOKUP(Table1[[#This Row],[word]],Table57[English style name],Table57[Style type]),"")</f>
        <v/>
      </c>
      <c r="AM624" s="21"/>
      <c r="AN624" s="11"/>
    </row>
    <row r="625" spans="1:47">
      <c r="A625" s="68"/>
      <c r="B625" s="68"/>
      <c r="C625" s="68"/>
      <c r="D625" s="69"/>
      <c r="E625" s="84"/>
      <c r="F625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5" s="13"/>
      <c r="H625" s="13"/>
      <c r="I625" s="85" t="str">
        <f>Table1[[#This Row],[type]]</f>
        <v>chat</v>
      </c>
      <c r="J625" s="72" t="str">
        <f>Table1[[#This Row],[Column42]]&amp;IF(Table1[[#This Row],[Column13]]="","",Table1[[#This Row],[Column13]])&amp;IF(Table1[[#This Row],[mod]]="","",Table1[[#This Row],[mod]])</f>
        <v>chat__thread</v>
      </c>
      <c r="K625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chat__thread</v>
      </c>
      <c r="L625" t="s">
        <v>6356</v>
      </c>
      <c r="M625" t="s">
        <v>10189</v>
      </c>
      <c r="Q625" s="6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5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25" s="29"/>
      <c r="AC625" s="25"/>
      <c r="AD625" s="41"/>
      <c r="AE625" s="41"/>
      <c r="AF625" s="11" t="s">
        <v>231</v>
      </c>
      <c r="AH625" s="75" t="str">
        <f>Table1[[#This Row],[html_tag]]&amp;Table1[[#This Row],[html_type]]&amp;Table1[[#This Row],[html_modifier]]</f>
        <v/>
      </c>
      <c r="AL625" s="23" t="str">
        <f>IFERROR(_xlfn.XLOOKUP(Table1[[#This Row],[word]],Table57[English style name],Table57[Style type]),"")</f>
        <v/>
      </c>
      <c r="AM625" s="21"/>
      <c r="AN625" s="70"/>
      <c r="AO625" s="67"/>
      <c r="AP625" s="67"/>
      <c r="AQ625" s="67"/>
      <c r="AR625" s="67"/>
      <c r="AS625" s="67"/>
      <c r="AT625" s="67"/>
      <c r="AU625" s="67"/>
    </row>
    <row r="626" spans="1:47">
      <c r="E626" s="76"/>
      <c r="F6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body/molecules/chip.scss</v>
      </c>
      <c r="G626" s="13" t="s">
        <v>337</v>
      </c>
      <c r="H626" s="13" t="s">
        <v>2987</v>
      </c>
      <c r="I626" s="12" t="str">
        <f>Table1[[#This Row],[type]]</f>
        <v>chip</v>
      </c>
      <c r="J626" s="62" t="str">
        <f>Table1[[#This Row],[Column42]]&amp;IF(Table1[[#This Row],[Column13]]="","",Table1[[#This Row],[Column13]])&amp;IF(Table1[[#This Row],[mod]]="","",Table1[[#This Row],[mod]])</f>
        <v>chip--base</v>
      </c>
      <c r="K6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</v>
      </c>
      <c r="L626" t="s">
        <v>3105</v>
      </c>
      <c r="P626" t="s">
        <v>3759</v>
      </c>
      <c r="Q6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26" t="s">
        <v>338</v>
      </c>
      <c r="AB626" s="29"/>
      <c r="AC626" s="25"/>
      <c r="AD626" s="41"/>
      <c r="AE626" s="41"/>
      <c r="AF626" s="11"/>
      <c r="AH626" s="1" t="str">
        <f>Table1[[#This Row],[html_tag]]&amp;Table1[[#This Row],[html_type]]&amp;Table1[[#This Row],[html_modifier]]</f>
        <v/>
      </c>
      <c r="AL626" s="22" t="str">
        <f>IFERROR(_xlfn.XLOOKUP(Table1[[#This Row],[word]],Table57[English style name],Table57[Style type]),"")</f>
        <v/>
      </c>
      <c r="AM626" s="20"/>
      <c r="AN626" s="11"/>
      <c r="AQ626" s="6" t="s">
        <v>1435</v>
      </c>
      <c r="AR626" t="s">
        <v>1436</v>
      </c>
    </row>
    <row r="627" spans="1:47">
      <c r="E627" s="76"/>
      <c r="F6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27" s="13" t="s">
        <v>337</v>
      </c>
      <c r="H627" s="13" t="s">
        <v>2987</v>
      </c>
      <c r="I627" s="12" t="str">
        <f>Table1[[#This Row],[type]]</f>
        <v>chips</v>
      </c>
      <c r="J627" s="62" t="str">
        <f>Table1[[#This Row],[Column42]]&amp;IF(Table1[[#This Row],[Column13]]="","",Table1[[#This Row],[Column13]])&amp;IF(Table1[[#This Row],[mod]]="","",Table1[[#This Row],[mod]])</f>
        <v>chips--base</v>
      </c>
      <c r="K6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chips</v>
      </c>
      <c r="L627" t="s">
        <v>3463</v>
      </c>
      <c r="P627" t="s">
        <v>3760</v>
      </c>
      <c r="Q6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27" t="s">
        <v>338</v>
      </c>
      <c r="AB627" s="29"/>
      <c r="AC627" s="25"/>
      <c r="AD627" s="41"/>
      <c r="AE627" s="41"/>
      <c r="AF627" s="11"/>
      <c r="AH627" s="1" t="str">
        <f>Table1[[#This Row],[html_tag]]&amp;Table1[[#This Row],[html_type]]&amp;Table1[[#This Row],[html_modifier]]</f>
        <v/>
      </c>
      <c r="AL627" s="22" t="str">
        <f>IFERROR(_xlfn.XLOOKUP(Table1[[#This Row],[word]],Table57[English style name],Table57[Style type]),"")</f>
        <v/>
      </c>
      <c r="AM627" s="20"/>
      <c r="AN627" s="11"/>
      <c r="AQ627" s="6" t="s">
        <v>1437</v>
      </c>
      <c r="AR627" t="s">
        <v>1436</v>
      </c>
    </row>
    <row r="628" spans="1:47">
      <c r="E628" s="76"/>
      <c r="F6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28" s="13" t="s">
        <v>337</v>
      </c>
      <c r="H628" s="13" t="s">
        <v>2987</v>
      </c>
      <c r="I628" s="12" t="str">
        <f>Table1[[#This Row],[type]]</f>
        <v>chips</v>
      </c>
      <c r="J628" s="62" t="str">
        <f>Table1[[#This Row],[Column42]]&amp;IF(Table1[[#This Row],[Column13]]="","",Table1[[#This Row],[Column13]])&amp;IF(Table1[[#This Row],[mod]]="","",Table1[[#This Row],[mod]])</f>
        <v>chips--empty_label</v>
      </c>
      <c r="K6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chips</v>
      </c>
      <c r="L628" t="s">
        <v>3463</v>
      </c>
      <c r="P628" t="s">
        <v>3761</v>
      </c>
      <c r="Q6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--empty_label</v>
      </c>
      <c r="R628" t="s">
        <v>3464</v>
      </c>
      <c r="U6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28" s="29"/>
      <c r="AC628" s="25"/>
      <c r="AD628" s="41"/>
      <c r="AE628" s="41"/>
      <c r="AF628" s="11" t="s">
        <v>166</v>
      </c>
      <c r="AH628" s="1" t="str">
        <f>Table1[[#This Row],[html_tag]]&amp;Table1[[#This Row],[html_type]]&amp;Table1[[#This Row],[html_modifier]]</f>
        <v/>
      </c>
      <c r="AL628" s="22" t="str">
        <f>IFERROR(_xlfn.XLOOKUP(Table1[[#This Row],[word]],Table57[English style name],Table57[Style type]),"")</f>
        <v/>
      </c>
      <c r="AM628" s="20"/>
      <c r="AN628" s="11"/>
      <c r="AQ628" s="6" t="s">
        <v>1438</v>
      </c>
      <c r="AR628" t="s">
        <v>1436</v>
      </c>
    </row>
    <row r="629" spans="1:47">
      <c r="E629" s="76"/>
      <c r="F6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29" s="13" t="s">
        <v>337</v>
      </c>
      <c r="H629" s="13" t="s">
        <v>2987</v>
      </c>
      <c r="I629" s="12" t="str">
        <f>Table1[[#This Row],[type]]</f>
        <v>chips</v>
      </c>
      <c r="J629" s="62" t="str">
        <f>Table1[[#This Row],[Column42]]&amp;IF(Table1[[#This Row],[Column13]]="","",Table1[[#This Row],[Column13]])&amp;IF(Table1[[#This Row],[mod]]="","",Table1[[#This Row],[mod]])</f>
        <v>chips--with_prefix</v>
      </c>
      <c r="K6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chips</v>
      </c>
      <c r="L629" t="s">
        <v>3463</v>
      </c>
      <c r="P629" t="s">
        <v>3762</v>
      </c>
      <c r="Q6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--with_prefix</v>
      </c>
      <c r="R629" t="s">
        <v>3465</v>
      </c>
      <c r="U6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29" s="29"/>
      <c r="AC629" s="25"/>
      <c r="AD629" s="41"/>
      <c r="AE629" s="41"/>
      <c r="AF629" s="11"/>
      <c r="AH629" s="1" t="str">
        <f>Table1[[#This Row],[html_tag]]&amp;Table1[[#This Row],[html_type]]&amp;Table1[[#This Row],[html_modifier]]</f>
        <v/>
      </c>
      <c r="AL629" s="22" t="str">
        <f>IFERROR(_xlfn.XLOOKUP(Table1[[#This Row],[word]],Table57[English style name],Table57[Style type]),"")</f>
        <v/>
      </c>
      <c r="AM629" s="20"/>
      <c r="AN629" s="11"/>
      <c r="AQ629" s="6" t="s">
        <v>1439</v>
      </c>
      <c r="AR629" t="s">
        <v>1436</v>
      </c>
    </row>
    <row r="630" spans="1:47">
      <c r="E630" s="76"/>
      <c r="F6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head/layout/clearfix.scss</v>
      </c>
      <c r="G630" s="13" t="s">
        <v>461</v>
      </c>
      <c r="H630" s="13" t="s">
        <v>2991</v>
      </c>
      <c r="I630" s="12" t="str">
        <f>Table1[[#This Row],[type]]</f>
        <v>clearfix</v>
      </c>
      <c r="J630" s="62" t="str">
        <f>Table1[[#This Row],[Column42]]&amp;IF(Table1[[#This Row],[Column13]]="","",Table1[[#This Row],[Column13]])&amp;IF(Table1[[#This Row],[mod]]="","",Table1[[#This Row],[mod]])</f>
        <v>clearfix</v>
      </c>
      <c r="K6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clearfix</v>
      </c>
      <c r="L630" t="s">
        <v>1442</v>
      </c>
      <c r="P630" t="s">
        <v>3763</v>
      </c>
      <c r="Q6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0" s="29"/>
      <c r="AC630" s="25"/>
      <c r="AD630" s="41"/>
      <c r="AE630" s="41"/>
      <c r="AF630" s="11"/>
      <c r="AH630" s="1" t="str">
        <f>Table1[[#This Row],[html_tag]]&amp;Table1[[#This Row],[html_type]]&amp;Table1[[#This Row],[html_modifier]]</f>
        <v/>
      </c>
      <c r="AL630" s="22" t="str">
        <f>IFERROR(_xlfn.XLOOKUP(Table1[[#This Row],[word]],Table57[English style name],Table57[Style type]),"")</f>
        <v/>
      </c>
      <c r="AM630" s="20"/>
      <c r="AN630" s="11"/>
      <c r="AQ630" s="6" t="s">
        <v>1442</v>
      </c>
      <c r="AR630" t="s">
        <v>1443</v>
      </c>
    </row>
    <row r="631" spans="1:47">
      <c r="E631" s="76"/>
      <c r="F6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body/atoms/click.scss</v>
      </c>
      <c r="G631" s="13" t="s">
        <v>337</v>
      </c>
      <c r="H631" s="13" t="s">
        <v>2986</v>
      </c>
      <c r="I631" s="12" t="str">
        <f>Table1[[#This Row],[type]]</f>
        <v>click</v>
      </c>
      <c r="J631" s="62" t="str">
        <f>Table1[[#This Row],[Column42]]&amp;IF(Table1[[#This Row],[Column13]]="","",Table1[[#This Row],[Column13]])&amp;IF(Table1[[#This Row],[mod]]="","",Table1[[#This Row],[mod]])</f>
        <v>click</v>
      </c>
      <c r="K6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click</v>
      </c>
      <c r="L631" t="s">
        <v>1463</v>
      </c>
      <c r="P631" t="s">
        <v>3764</v>
      </c>
      <c r="Q6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1" s="29"/>
      <c r="AC631" s="25"/>
      <c r="AD631" s="41"/>
      <c r="AE631" s="41"/>
      <c r="AF631" s="11"/>
      <c r="AH631" s="1" t="str">
        <f>Table1[[#This Row],[html_tag]]&amp;Table1[[#This Row],[html_type]]&amp;Table1[[#This Row],[html_modifier]]</f>
        <v/>
      </c>
      <c r="AL631" s="22" t="str">
        <f>IFERROR(_xlfn.XLOOKUP(Table1[[#This Row],[word]],Table57[English style name],Table57[Style type]),"")</f>
        <v/>
      </c>
      <c r="AM631" s="20"/>
      <c r="AN631" s="11"/>
      <c r="AQ631" s="6" t="s">
        <v>1463</v>
      </c>
      <c r="AR631" t="s">
        <v>1464</v>
      </c>
    </row>
    <row r="632" spans="1:47">
      <c r="E632" s="76"/>
      <c r="F6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2" s="13" t="s">
        <v>337</v>
      </c>
      <c r="H632" s="13" t="s">
        <v>2987</v>
      </c>
      <c r="I632" s="12" t="str">
        <f>Table1[[#This Row],[type]]</f>
        <v>collection</v>
      </c>
      <c r="J632" s="62" t="str">
        <f>Table1[[#This Row],[Column42]]&amp;IF(Table1[[#This Row],[Column13]]="","",Table1[[#This Row],[Column13]])&amp;IF(Table1[[#This Row],[mod]]="","",Table1[[#This Row],[mod]])</f>
        <v>collection__badge--badges</v>
      </c>
      <c r="K6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collection__badge</v>
      </c>
      <c r="L632" t="s">
        <v>10127</v>
      </c>
      <c r="M632" t="s">
        <v>1194</v>
      </c>
      <c r="Q63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--badges</v>
      </c>
      <c r="S632" t="s">
        <v>10125</v>
      </c>
      <c r="U63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2" s="29"/>
      <c r="AC632" s="25" t="s">
        <v>10120</v>
      </c>
      <c r="AD632" s="41"/>
      <c r="AE632" s="41"/>
      <c r="AF632" s="11" t="s">
        <v>270</v>
      </c>
      <c r="AH632" s="7" t="str">
        <f>Table1[[#This Row],[html_tag]]&amp;Table1[[#This Row],[html_type]]&amp;Table1[[#This Row],[html_modifier]]</f>
        <v/>
      </c>
      <c r="AL632" s="23" t="str">
        <f>IFERROR(_xlfn.XLOOKUP(Table1[[#This Row],[word]],Table57[English style name],Table57[Style type]),"")</f>
        <v/>
      </c>
      <c r="AM632" s="21"/>
      <c r="AN632" s="11"/>
    </row>
    <row r="633" spans="1:47">
      <c r="E633" s="76"/>
      <c r="F6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3" s="13" t="s">
        <v>337</v>
      </c>
      <c r="H633" s="13" t="s">
        <v>2987</v>
      </c>
      <c r="I633" s="12" t="str">
        <f>Table1[[#This Row],[type]]</f>
        <v>collection</v>
      </c>
      <c r="J633" s="62" t="str">
        <f>Table1[[#This Row],[Column42]]&amp;IF(Table1[[#This Row],[Column13]]="","",Table1[[#This Row],[Column13]])&amp;IF(Table1[[#This Row],[mod]]="","",Table1[[#This Row],[mod]])</f>
        <v>collection__item</v>
      </c>
      <c r="K6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33" t="s">
        <v>10127</v>
      </c>
      <c r="M633" t="s">
        <v>3168</v>
      </c>
      <c r="Q6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3" s="29"/>
      <c r="AC633" s="25"/>
      <c r="AD633" s="41"/>
      <c r="AE633" s="41"/>
      <c r="AF633" s="11"/>
      <c r="AH633" s="1" t="str">
        <f>Table1[[#This Row],[html_tag]]&amp;Table1[[#This Row],[html_type]]&amp;Table1[[#This Row],[html_modifier]]</f>
        <v/>
      </c>
      <c r="AL633" s="22" t="str">
        <f>IFERROR(_xlfn.XLOOKUP(Table1[[#This Row],[word]],Table57[English style name],Table57[Style type]),"")</f>
        <v/>
      </c>
      <c r="AM633" s="20"/>
      <c r="AN633" s="11"/>
      <c r="AQ633" s="6" t="s">
        <v>2057</v>
      </c>
      <c r="AR633" t="s">
        <v>2043</v>
      </c>
    </row>
    <row r="634" spans="1:47">
      <c r="E634" s="76"/>
      <c r="F6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4" s="13" t="s">
        <v>337</v>
      </c>
      <c r="H634" s="13" t="s">
        <v>2987</v>
      </c>
      <c r="I634" s="12" t="str">
        <f>Table1[[#This Row],[type]]</f>
        <v>collection</v>
      </c>
      <c r="J634" s="62" t="str">
        <f>Table1[[#This Row],[Column42]]&amp;IF(Table1[[#This Row],[Column13]]="","",Table1[[#This Row],[Column13]])&amp;IF(Table1[[#This Row],[mod]]="","",Table1[[#This Row],[mod]])</f>
        <v>collection__item</v>
      </c>
      <c r="K6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34" t="s">
        <v>10127</v>
      </c>
      <c r="M634" t="s">
        <v>3168</v>
      </c>
      <c r="Q6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4" s="29"/>
      <c r="AC634" s="25" t="s">
        <v>5210</v>
      </c>
      <c r="AD634" s="41"/>
      <c r="AE634" s="41"/>
      <c r="AF634" s="11"/>
      <c r="AH634" s="1" t="str">
        <f>Table1[[#This Row],[html_tag]]&amp;Table1[[#This Row],[html_type]]&amp;Table1[[#This Row],[html_modifier]]</f>
        <v/>
      </c>
      <c r="AL634" s="22" t="str">
        <f>IFERROR(_xlfn.XLOOKUP(Table1[[#This Row],[word]],Table57[English style name],Table57[Style type]),"")</f>
        <v/>
      </c>
      <c r="AM634" s="20"/>
      <c r="AN634" s="11"/>
      <c r="AQ634" s="6" t="s">
        <v>2047</v>
      </c>
      <c r="AR634" t="s">
        <v>2043</v>
      </c>
    </row>
    <row r="635" spans="1:47">
      <c r="E635" s="76"/>
      <c r="F6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5" s="13" t="s">
        <v>337</v>
      </c>
      <c r="H635" s="13" t="s">
        <v>2987</v>
      </c>
      <c r="I635" s="12" t="str">
        <f>Table1[[#This Row],[type]]</f>
        <v>collection</v>
      </c>
      <c r="J635" s="62" t="str">
        <f>Table1[[#This Row],[Column42]]&amp;IF(Table1[[#This Row],[Column13]]="","",Table1[[#This Row],[Column13]])&amp;IF(Table1[[#This Row],[mod]]="","",Table1[[#This Row],[mod]])</f>
        <v>collection__item__heading</v>
      </c>
      <c r="K6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collection__item__heading</v>
      </c>
      <c r="L635" t="s">
        <v>10127</v>
      </c>
      <c r="M635" t="s">
        <v>3168</v>
      </c>
      <c r="O635" t="s">
        <v>100</v>
      </c>
      <c r="Q6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5" s="29"/>
      <c r="AC635" s="25"/>
      <c r="AD635" s="41"/>
      <c r="AE635" s="41"/>
      <c r="AF635" s="11"/>
      <c r="AH635" s="1" t="str">
        <f>Table1[[#This Row],[html_tag]]&amp;Table1[[#This Row],[html_type]]&amp;Table1[[#This Row],[html_modifier]]</f>
        <v/>
      </c>
      <c r="AL635" s="22" t="str">
        <f>IFERROR(_xlfn.XLOOKUP(Table1[[#This Row],[word]],Table57[English style name],Table57[Style type]),"")</f>
        <v/>
      </c>
      <c r="AM635" s="20"/>
      <c r="AN635" s="11"/>
      <c r="AQ635" s="6" t="s">
        <v>2056</v>
      </c>
      <c r="AR635" t="s">
        <v>2043</v>
      </c>
    </row>
    <row r="636" spans="1:47">
      <c r="E636" s="76"/>
      <c r="F6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6" s="13" t="s">
        <v>337</v>
      </c>
      <c r="H636" s="13" t="s">
        <v>2987</v>
      </c>
      <c r="I636" s="12" t="str">
        <f>Table1[[#This Row],[type]]</f>
        <v>collection</v>
      </c>
      <c r="J636" s="62" t="str">
        <f>Table1[[#This Row],[Column42]]&amp;IF(Table1[[#This Row],[Column13]]="","",Table1[[#This Row],[Column13]])&amp;IF(Table1[[#This Row],[mod]]="","",Table1[[#This Row],[mod]])</f>
        <v>collection__item__text</v>
      </c>
      <c r="K6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collection__item__text</v>
      </c>
      <c r="L636" t="s">
        <v>10127</v>
      </c>
      <c r="M636" t="s">
        <v>3168</v>
      </c>
      <c r="O636" t="s">
        <v>403</v>
      </c>
      <c r="Q6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6" s="29"/>
      <c r="AC636" s="25"/>
      <c r="AD636" s="41"/>
      <c r="AE636" s="41"/>
      <c r="AF636" s="11"/>
      <c r="AH636" s="1" t="str">
        <f>Table1[[#This Row],[html_tag]]&amp;Table1[[#This Row],[html_type]]&amp;Table1[[#This Row],[html_modifier]]</f>
        <v/>
      </c>
      <c r="AL636" s="22" t="str">
        <f>IFERROR(_xlfn.XLOOKUP(Table1[[#This Row],[word]],Table57[English style name],Table57[Style type]),"")</f>
        <v/>
      </c>
      <c r="AM636" s="20"/>
      <c r="AN636" s="11"/>
      <c r="AQ636" s="6" t="s">
        <v>2058</v>
      </c>
      <c r="AR636" t="s">
        <v>2043</v>
      </c>
    </row>
    <row r="637" spans="1:47">
      <c r="E637" s="76"/>
      <c r="F6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7" s="13" t="s">
        <v>337</v>
      </c>
      <c r="H637" s="13" t="s">
        <v>2987</v>
      </c>
      <c r="I637" s="12" t="str">
        <f>Table1[[#This Row],[type]]</f>
        <v>collection</v>
      </c>
      <c r="J637" s="62" t="str">
        <f>Table1[[#This Row],[Column42]]&amp;IF(Table1[[#This Row],[Column13]]="","",Table1[[#This Row],[Column13]])&amp;IF(Table1[[#This Row],[mod]]="","",Table1[[#This Row],[mod]])</f>
        <v>collection__item--action</v>
      </c>
      <c r="K6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37" t="s">
        <v>10127</v>
      </c>
      <c r="M637" t="s">
        <v>3168</v>
      </c>
      <c r="Q6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--action</v>
      </c>
      <c r="S637" t="s">
        <v>10124</v>
      </c>
      <c r="U6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7" s="29"/>
      <c r="AC637" s="25" t="s">
        <v>5211</v>
      </c>
      <c r="AD637" s="41"/>
      <c r="AE637" s="41"/>
      <c r="AF637" s="11"/>
      <c r="AH637" s="1" t="str">
        <f>Table1[[#This Row],[html_tag]]&amp;Table1[[#This Row],[html_type]]&amp;Table1[[#This Row],[html_modifier]]</f>
        <v/>
      </c>
      <c r="AL637" s="22" t="str">
        <f>IFERROR(_xlfn.XLOOKUP(Table1[[#This Row],[word]],Table57[English style name],Table57[Style type]),"")</f>
        <v/>
      </c>
      <c r="AM637" s="20"/>
      <c r="AN637" s="11"/>
      <c r="AQ637" s="6" t="s">
        <v>2048</v>
      </c>
      <c r="AR637" t="s">
        <v>2043</v>
      </c>
    </row>
    <row r="638" spans="1:47">
      <c r="E638" s="76"/>
      <c r="F6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8" s="13" t="s">
        <v>337</v>
      </c>
      <c r="H638" s="13" t="s">
        <v>2987</v>
      </c>
      <c r="I638" s="12" t="str">
        <f>Table1[[#This Row],[type]]</f>
        <v>collection</v>
      </c>
      <c r="J638" s="62" t="str">
        <f>Table1[[#This Row],[Column42]]&amp;IF(Table1[[#This Row],[Column13]]="","",Table1[[#This Row],[Column13]])&amp;IF(Table1[[#This Row],[mod]]="","",Table1[[#This Row],[mod]])</f>
        <v>collection__item--active</v>
      </c>
      <c r="K6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38" t="s">
        <v>10127</v>
      </c>
      <c r="M638" t="s">
        <v>3168</v>
      </c>
      <c r="Q6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638" t="s">
        <v>350</v>
      </c>
      <c r="AB638" s="29"/>
      <c r="AC638" s="25" t="s">
        <v>10122</v>
      </c>
      <c r="AD638" s="41"/>
      <c r="AE638" s="41"/>
      <c r="AF638" s="11"/>
      <c r="AH638" s="1" t="str">
        <f>Table1[[#This Row],[html_tag]]&amp;Table1[[#This Row],[html_type]]&amp;Table1[[#This Row],[html_modifier]]</f>
        <v>:active</v>
      </c>
      <c r="AK638" t="s">
        <v>3015</v>
      </c>
      <c r="AL638" s="22" t="str">
        <f>IFERROR(_xlfn.XLOOKUP(Table1[[#This Row],[word]],Table57[English style name],Table57[Style type]),"")</f>
        <v/>
      </c>
      <c r="AM638" s="20"/>
      <c r="AN638" s="11"/>
      <c r="AQ638" s="6" t="s">
        <v>2049</v>
      </c>
      <c r="AR638" t="s">
        <v>2043</v>
      </c>
    </row>
    <row r="639" spans="1:47">
      <c r="E639" s="76"/>
      <c r="F6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9" s="13" t="s">
        <v>337</v>
      </c>
      <c r="H639" s="13" t="s">
        <v>2987</v>
      </c>
      <c r="I639" s="12" t="str">
        <f>Table1[[#This Row],[type]]</f>
        <v>collection</v>
      </c>
      <c r="J639" s="62" t="str">
        <f>Table1[[#This Row],[Column42]]&amp;IF(Table1[[#This Row],[Column13]]="","",Table1[[#This Row],[Column13]])&amp;IF(Table1[[#This Row],[mod]]="","",Table1[[#This Row],[mod]])</f>
        <v>collection__item--disabled</v>
      </c>
      <c r="K6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39" t="s">
        <v>10127</v>
      </c>
      <c r="M639" t="s">
        <v>3168</v>
      </c>
      <c r="Q6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639" t="s">
        <v>3032</v>
      </c>
      <c r="AB639" s="29"/>
      <c r="AC639" s="25" t="s">
        <v>10123</v>
      </c>
      <c r="AD639" s="41"/>
      <c r="AE639" s="41"/>
      <c r="AF639" s="11"/>
      <c r="AH639" s="1" t="str">
        <f>Table1[[#This Row],[html_tag]]&amp;Table1[[#This Row],[html_type]]&amp;Table1[[#This Row],[html_modifier]]</f>
        <v>:disabled</v>
      </c>
      <c r="AK639" t="s">
        <v>3024</v>
      </c>
      <c r="AL639" s="22" t="str">
        <f>IFERROR(_xlfn.XLOOKUP(Table1[[#This Row],[word]],Table57[English style name],Table57[Style type]),"")</f>
        <v/>
      </c>
      <c r="AM639" s="20"/>
      <c r="AN639" s="11"/>
      <c r="AQ639" s="6" t="s">
        <v>2051</v>
      </c>
      <c r="AR639" t="s">
        <v>2043</v>
      </c>
    </row>
    <row r="640" spans="1:47">
      <c r="E640" s="76"/>
      <c r="F6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0" s="13" t="s">
        <v>337</v>
      </c>
      <c r="H640" s="13" t="s">
        <v>2987</v>
      </c>
      <c r="I640" s="12" t="str">
        <f>Table1[[#This Row],[type]]</f>
        <v>collection</v>
      </c>
      <c r="J640" s="62" t="str">
        <f>Table1[[#This Row],[Column42]]&amp;IF(Table1[[#This Row],[Column13]]="","",Table1[[#This Row],[Column13]])&amp;IF(Table1[[#This Row],[mod]]="","",Table1[[#This Row],[mod]])</f>
        <v>collection__item--error</v>
      </c>
      <c r="K6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0" t="s">
        <v>10127</v>
      </c>
      <c r="M640" t="s">
        <v>3168</v>
      </c>
      <c r="Q6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640" t="s">
        <v>3117</v>
      </c>
      <c r="AB640" s="29"/>
      <c r="AC640" s="25" t="s">
        <v>5212</v>
      </c>
      <c r="AD640" s="41"/>
      <c r="AE640" s="41"/>
      <c r="AF640" s="11"/>
      <c r="AH640" s="1" t="str">
        <f>Table1[[#This Row],[html_tag]]&amp;Table1[[#This Row],[html_type]]&amp;Table1[[#This Row],[html_modifier]]</f>
        <v/>
      </c>
      <c r="AL640" s="22" t="str">
        <f>IFERROR(_xlfn.XLOOKUP(Table1[[#This Row],[word]],Table57[English style name],Table57[Style type]),"")</f>
        <v/>
      </c>
      <c r="AM640" s="20"/>
      <c r="AN640" s="11"/>
      <c r="AQ640" s="6" t="s">
        <v>2050</v>
      </c>
      <c r="AR640" t="s">
        <v>2043</v>
      </c>
    </row>
    <row r="641" spans="5:44">
      <c r="E641" s="76"/>
      <c r="F6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1" s="13" t="s">
        <v>337</v>
      </c>
      <c r="H641" s="13" t="s">
        <v>2987</v>
      </c>
      <c r="I641" s="12" t="str">
        <f>Table1[[#This Row],[type]]</f>
        <v>collection</v>
      </c>
      <c r="J641" s="62" t="str">
        <f>Table1[[#This Row],[Column42]]&amp;IF(Table1[[#This Row],[Column13]]="","",Table1[[#This Row],[Column13]])&amp;IF(Table1[[#This Row],[mod]]="","",Table1[[#This Row],[mod]])</f>
        <v>collection__item--info</v>
      </c>
      <c r="K6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1" t="s">
        <v>10127</v>
      </c>
      <c r="M641" t="s">
        <v>3168</v>
      </c>
      <c r="Q6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641" t="s">
        <v>3119</v>
      </c>
      <c r="AB641" s="29"/>
      <c r="AC641" s="25" t="s">
        <v>5214</v>
      </c>
      <c r="AD641" s="41"/>
      <c r="AE641" s="41"/>
      <c r="AF641" s="11"/>
      <c r="AH641" s="1" t="str">
        <f>Table1[[#This Row],[html_tag]]&amp;Table1[[#This Row],[html_type]]&amp;Table1[[#This Row],[html_modifier]]</f>
        <v/>
      </c>
      <c r="AL641" s="22" t="str">
        <f>IFERROR(_xlfn.XLOOKUP(Table1[[#This Row],[word]],Table57[English style name],Table57[Style type]),"")</f>
        <v/>
      </c>
      <c r="AM641" s="20"/>
      <c r="AN641" s="11"/>
      <c r="AQ641" s="6" t="s">
        <v>2052</v>
      </c>
      <c r="AR641" t="s">
        <v>2043</v>
      </c>
    </row>
    <row r="642" spans="5:44">
      <c r="E642" s="76"/>
      <c r="F6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2" s="13" t="s">
        <v>337</v>
      </c>
      <c r="H642" s="13" t="s">
        <v>2987</v>
      </c>
      <c r="I642" s="12" t="str">
        <f>Table1[[#This Row],[type]]</f>
        <v>collection</v>
      </c>
      <c r="J642" s="62" t="str">
        <f>Table1[[#This Row],[Column42]]&amp;IF(Table1[[#This Row],[Column13]]="","",Table1[[#This Row],[Column13]])&amp;IF(Table1[[#This Row],[mod]]="","",Table1[[#This Row],[mod]])</f>
        <v>collection__item--primary</v>
      </c>
      <c r="K6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2" t="s">
        <v>10127</v>
      </c>
      <c r="M642" t="s">
        <v>3168</v>
      </c>
      <c r="Q6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642" t="s">
        <v>3164</v>
      </c>
      <c r="AB642" s="29"/>
      <c r="AC642" s="25" t="s">
        <v>5216</v>
      </c>
      <c r="AD642" s="41"/>
      <c r="AE642" s="41"/>
      <c r="AF642" s="11"/>
      <c r="AH642" s="1" t="str">
        <f>Table1[[#This Row],[html_tag]]&amp;Table1[[#This Row],[html_type]]&amp;Table1[[#This Row],[html_modifier]]</f>
        <v/>
      </c>
      <c r="AL642" s="22" t="str">
        <f>IFERROR(_xlfn.XLOOKUP(Table1[[#This Row],[word]],Table57[English style name],Table57[Style type]),"")</f>
        <v/>
      </c>
      <c r="AM642" s="20"/>
      <c r="AN642" s="11"/>
      <c r="AQ642" s="6" t="s">
        <v>2053</v>
      </c>
      <c r="AR642" t="s">
        <v>2043</v>
      </c>
    </row>
    <row r="643" spans="5:44">
      <c r="E643" s="76"/>
      <c r="F6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3" s="13" t="s">
        <v>337</v>
      </c>
      <c r="H643" s="13" t="s">
        <v>2987</v>
      </c>
      <c r="I643" s="12" t="str">
        <f>Table1[[#This Row],[type]]</f>
        <v>collection</v>
      </c>
      <c r="J643" s="62" t="str">
        <f>Table1[[#This Row],[Column42]]&amp;IF(Table1[[#This Row],[Column13]]="","",Table1[[#This Row],[Column13]])&amp;IF(Table1[[#This Row],[mod]]="","",Table1[[#This Row],[mod]])</f>
        <v>collection__item--secondary</v>
      </c>
      <c r="K6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3" t="s">
        <v>10127</v>
      </c>
      <c r="M643" t="s">
        <v>3168</v>
      </c>
      <c r="Q6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Z643" t="s">
        <v>3502</v>
      </c>
      <c r="AB643" s="29"/>
      <c r="AC643" s="25" t="s">
        <v>5217</v>
      </c>
      <c r="AD643" s="41"/>
      <c r="AE643" s="41"/>
      <c r="AF643" s="11"/>
      <c r="AH643" s="7" t="str">
        <f>Table1[[#This Row],[html_tag]]&amp;Table1[[#This Row],[html_type]]&amp;Table1[[#This Row],[html_modifier]]</f>
        <v/>
      </c>
      <c r="AL643" s="23" t="str">
        <f>IFERROR(_xlfn.XLOOKUP(Table1[[#This Row],[word]],Table57[English style name],Table57[Style type]),"")</f>
        <v/>
      </c>
      <c r="AM643" s="21"/>
      <c r="AN643" s="11"/>
    </row>
    <row r="644" spans="5:44">
      <c r="E644" s="76"/>
      <c r="F6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4" s="13" t="s">
        <v>337</v>
      </c>
      <c r="H644" s="13" t="s">
        <v>2987</v>
      </c>
      <c r="I644" s="12" t="str">
        <f>Table1[[#This Row],[type]]</f>
        <v>collection</v>
      </c>
      <c r="J644" s="62" t="str">
        <f>Table1[[#This Row],[Column42]]&amp;IF(Table1[[#This Row],[Column13]]="","",Table1[[#This Row],[Column13]])&amp;IF(Table1[[#This Row],[mod]]="","",Table1[[#This Row],[mod]])</f>
        <v>collection__item--success</v>
      </c>
      <c r="K6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4" t="s">
        <v>10127</v>
      </c>
      <c r="M644" t="s">
        <v>3168</v>
      </c>
      <c r="Q6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644" t="s">
        <v>3120</v>
      </c>
      <c r="AB644" s="29"/>
      <c r="AC644" s="25" t="s">
        <v>5218</v>
      </c>
      <c r="AD644" s="41"/>
      <c r="AE644" s="41"/>
      <c r="AF644" s="11"/>
      <c r="AH644" s="1" t="str">
        <f>Table1[[#This Row],[html_tag]]&amp;Table1[[#This Row],[html_type]]&amp;Table1[[#This Row],[html_modifier]]</f>
        <v/>
      </c>
      <c r="AL644" s="22" t="str">
        <f>IFERROR(_xlfn.XLOOKUP(Table1[[#This Row],[word]],Table57[English style name],Table57[Style type]),"")</f>
        <v/>
      </c>
      <c r="AM644" s="20"/>
      <c r="AN644" s="11"/>
      <c r="AQ644" s="6" t="s">
        <v>2054</v>
      </c>
      <c r="AR644" t="s">
        <v>2043</v>
      </c>
    </row>
    <row r="645" spans="5:44">
      <c r="E645" s="76"/>
      <c r="F6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5" s="13" t="s">
        <v>337</v>
      </c>
      <c r="H645" s="13" t="s">
        <v>2987</v>
      </c>
      <c r="I645" s="12" t="str">
        <f>Table1[[#This Row],[type]]</f>
        <v>collection</v>
      </c>
      <c r="J645" s="62" t="str">
        <f>Table1[[#This Row],[Column42]]&amp;IF(Table1[[#This Row],[Column13]]="","",Table1[[#This Row],[Column13]])&amp;IF(Table1[[#This Row],[mod]]="","",Table1[[#This Row],[mod]])</f>
        <v>collection__item--warning</v>
      </c>
      <c r="K6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5" t="s">
        <v>10127</v>
      </c>
      <c r="M645" t="s">
        <v>3168</v>
      </c>
      <c r="Q6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645" t="s">
        <v>3121</v>
      </c>
      <c r="AB645" s="29"/>
      <c r="AC645" s="25" t="s">
        <v>5219</v>
      </c>
      <c r="AD645" s="41"/>
      <c r="AE645" s="41"/>
      <c r="AF645" s="11"/>
      <c r="AH645" s="1" t="str">
        <f>Table1[[#This Row],[html_tag]]&amp;Table1[[#This Row],[html_type]]&amp;Table1[[#This Row],[html_modifier]]</f>
        <v/>
      </c>
      <c r="AL645" s="22" t="str">
        <f>IFERROR(_xlfn.XLOOKUP(Table1[[#This Row],[word]],Table57[English style name],Table57[Style type]),"")</f>
        <v/>
      </c>
      <c r="AM645" s="20"/>
      <c r="AN645" s="11"/>
      <c r="AQ645" s="6" t="s">
        <v>2055</v>
      </c>
      <c r="AR645" t="s">
        <v>2043</v>
      </c>
    </row>
    <row r="646" spans="5:44">
      <c r="E646" s="76"/>
      <c r="F6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6" s="13" t="s">
        <v>337</v>
      </c>
      <c r="H646" s="13" t="s">
        <v>2987</v>
      </c>
      <c r="I646" s="12" t="str">
        <f>Table1[[#This Row],[type]]</f>
        <v>collection</v>
      </c>
      <c r="J646" s="62" t="str">
        <f>Table1[[#This Row],[Column42]]&amp;IF(Table1[[#This Row],[Column13]]="","",Table1[[#This Row],[Column13]])&amp;IF(Table1[[#This Row],[mod]]="","",Table1[[#This Row],[mod]])</f>
        <v>collection__number</v>
      </c>
      <c r="K6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collection__number</v>
      </c>
      <c r="L646" t="s">
        <v>10127</v>
      </c>
      <c r="M646" t="s">
        <v>3090</v>
      </c>
      <c r="Q6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46" s="29"/>
      <c r="AC646" s="25"/>
      <c r="AD646" s="41"/>
      <c r="AE646" s="41"/>
      <c r="AF646" s="11"/>
      <c r="AH646" s="1" t="str">
        <f>Table1[[#This Row],[html_tag]]&amp;Table1[[#This Row],[html_type]]&amp;Table1[[#This Row],[html_modifier]]</f>
        <v/>
      </c>
      <c r="AL646" s="22" t="str">
        <f>IFERROR(_xlfn.XLOOKUP(Table1[[#This Row],[word]],Table57[English style name],Table57[Style type]),"")</f>
        <v/>
      </c>
      <c r="AM646" s="20"/>
      <c r="AN646" s="11"/>
      <c r="AQ646" s="6" t="s">
        <v>2046</v>
      </c>
      <c r="AR646" t="s">
        <v>2043</v>
      </c>
    </row>
    <row r="647" spans="5:44">
      <c r="E647" s="76"/>
      <c r="F6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7" s="13" t="s">
        <v>337</v>
      </c>
      <c r="H647" s="13" t="s">
        <v>2987</v>
      </c>
      <c r="I647" s="12" t="str">
        <f>Table1[[#This Row],[type]]</f>
        <v>collection</v>
      </c>
      <c r="J647" s="62" t="str">
        <f>Table1[[#This Row],[Column42]]&amp;IF(Table1[[#This Row],[Column13]]="","",Table1[[#This Row],[Column13]])&amp;IF(Table1[[#This Row],[mod]]="","",Table1[[#This Row],[mod]])</f>
        <v>collection--base</v>
      </c>
      <c r="K6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47" t="s">
        <v>10127</v>
      </c>
      <c r="Q6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47" t="s">
        <v>338</v>
      </c>
      <c r="AB647" s="29"/>
      <c r="AC647" s="25" t="s">
        <v>5202</v>
      </c>
      <c r="AD647" s="41"/>
      <c r="AE647" s="41"/>
      <c r="AF647" s="11"/>
      <c r="AH647" s="1" t="str">
        <f>Table1[[#This Row],[html_tag]]&amp;Table1[[#This Row],[html_type]]&amp;Table1[[#This Row],[html_modifier]]</f>
        <v/>
      </c>
      <c r="AL647" s="22" t="str">
        <f>IFERROR(_xlfn.XLOOKUP(Table1[[#This Row],[word]],Table57[English style name],Table57[Style type]),"")</f>
        <v/>
      </c>
      <c r="AM647" s="20"/>
      <c r="AN647" s="11"/>
      <c r="AQ647" s="6" t="s">
        <v>2042</v>
      </c>
      <c r="AR647" t="s">
        <v>2043</v>
      </c>
    </row>
    <row r="648" spans="5:44">
      <c r="E648" s="76"/>
      <c r="F6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8" s="13" t="s">
        <v>337</v>
      </c>
      <c r="H648" s="13" t="s">
        <v>2987</v>
      </c>
      <c r="I648" s="12" t="str">
        <f>Table1[[#This Row],[type]]</f>
        <v>collection</v>
      </c>
      <c r="J648" s="62" t="str">
        <f>Table1[[#This Row],[Column42]]&amp;IF(Table1[[#This Row],[Column13]]="","",Table1[[#This Row],[Column13]])&amp;IF(Table1[[#This Row],[mod]]="","",Table1[[#This Row],[mod]])</f>
        <v>collection--dark</v>
      </c>
      <c r="K6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48" t="s">
        <v>10127</v>
      </c>
      <c r="Q6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648" t="s">
        <v>3501</v>
      </c>
      <c r="AB648" s="29"/>
      <c r="AC648" s="25" t="s">
        <v>5213</v>
      </c>
      <c r="AD648" s="41"/>
      <c r="AE648" s="41"/>
      <c r="AF648" s="11"/>
      <c r="AH648" s="7" t="str">
        <f>Table1[[#This Row],[html_tag]]&amp;Table1[[#This Row],[html_type]]&amp;Table1[[#This Row],[html_modifier]]</f>
        <v/>
      </c>
      <c r="AL648" s="23" t="str">
        <f>IFERROR(_xlfn.XLOOKUP(Table1[[#This Row],[word]],Table57[English style name],Table57[Style type]),"")</f>
        <v/>
      </c>
      <c r="AM648" s="21"/>
      <c r="AN648" s="11"/>
    </row>
    <row r="649" spans="5:44">
      <c r="E649" s="76"/>
      <c r="F6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9" s="13" t="s">
        <v>337</v>
      </c>
      <c r="H649" s="13" t="s">
        <v>2987</v>
      </c>
      <c r="I649" s="12" t="str">
        <f>Table1[[#This Row],[type]]</f>
        <v>collection</v>
      </c>
      <c r="J649" s="62" t="str">
        <f>Table1[[#This Row],[Column42]]&amp;IF(Table1[[#This Row],[Column13]]="","",Table1[[#This Row],[Column13]])&amp;IF(Table1[[#This Row],[mod]]="","",Table1[[#This Row],[mod]])</f>
        <v>collection--flex</v>
      </c>
      <c r="K6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49" t="s">
        <v>10127</v>
      </c>
      <c r="Q6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--flex</v>
      </c>
      <c r="X649" t="s">
        <v>1231</v>
      </c>
      <c r="AB649" s="29"/>
      <c r="AC649" s="25" t="s">
        <v>10121</v>
      </c>
      <c r="AD649" s="41"/>
      <c r="AE649" s="41"/>
      <c r="AF649" s="11"/>
      <c r="AH649" s="7" t="str">
        <f>Table1[[#This Row],[html_tag]]&amp;Table1[[#This Row],[html_type]]&amp;Table1[[#This Row],[html_modifier]]</f>
        <v/>
      </c>
      <c r="AL649" s="23" t="str">
        <f>IFERROR(_xlfn.XLOOKUP(Table1[[#This Row],[word]],Table57[English style name],Table57[Style type]),"")</f>
        <v/>
      </c>
      <c r="AM649" s="21"/>
      <c r="AN649" s="11"/>
    </row>
    <row r="650" spans="5:44">
      <c r="E650" s="76"/>
      <c r="F6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0" s="13" t="s">
        <v>337</v>
      </c>
      <c r="H650" s="13" t="s">
        <v>2987</v>
      </c>
      <c r="I650" s="12" t="str">
        <f>Table1[[#This Row],[type]]</f>
        <v>collection</v>
      </c>
      <c r="J650" s="62" t="str">
        <f>Table1[[#This Row],[Column42]]&amp;IF(Table1[[#This Row],[Column13]]="","",Table1[[#This Row],[Column13]])&amp;IF(Table1[[#This Row],[mod]]="","",Table1[[#This Row],[mod]])</f>
        <v>collection--flush</v>
      </c>
      <c r="K6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0" t="s">
        <v>10127</v>
      </c>
      <c r="Q6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--flush</v>
      </c>
      <c r="X650" t="s">
        <v>3167</v>
      </c>
      <c r="AB650" s="29"/>
      <c r="AC650" s="25" t="s">
        <v>5203</v>
      </c>
      <c r="AD650" s="41"/>
      <c r="AE650" s="41"/>
      <c r="AF650" s="11"/>
      <c r="AH650" s="1" t="str">
        <f>Table1[[#This Row],[html_tag]]&amp;Table1[[#This Row],[html_type]]&amp;Table1[[#This Row],[html_modifier]]</f>
        <v/>
      </c>
      <c r="AL650" s="22" t="str">
        <f>IFERROR(_xlfn.XLOOKUP(Table1[[#This Row],[word]],Table57[English style name],Table57[Style type]),"")</f>
        <v/>
      </c>
      <c r="AM650" s="20"/>
      <c r="AN650" s="11"/>
      <c r="AQ650" s="6" t="s">
        <v>2044</v>
      </c>
      <c r="AR650" t="s">
        <v>2043</v>
      </c>
    </row>
    <row r="651" spans="5:44">
      <c r="E651" s="76"/>
      <c r="F6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1" s="13" t="s">
        <v>337</v>
      </c>
      <c r="H651" s="13" t="s">
        <v>2987</v>
      </c>
      <c r="I651" s="12" t="str">
        <f>Table1[[#This Row],[type]]</f>
        <v>collection</v>
      </c>
      <c r="J651" s="62" t="str">
        <f>Table1[[#This Row],[Column42]]&amp;IF(Table1[[#This Row],[Column13]]="","",Table1[[#This Row],[Column13]])&amp;IF(Table1[[#This Row],[mod]]="","",Table1[[#This Row],[mod]])</f>
        <v>collection--horizontal</v>
      </c>
      <c r="K6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1" t="s">
        <v>10127</v>
      </c>
      <c r="Q6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651" t="s">
        <v>3205</v>
      </c>
      <c r="AB651" s="29"/>
      <c r="AC651" s="25" t="s">
        <v>5204</v>
      </c>
      <c r="AD651" s="41"/>
      <c r="AE651" s="41"/>
      <c r="AF651" s="11"/>
      <c r="AH651" s="1" t="str">
        <f>Table1[[#This Row],[html_tag]]&amp;Table1[[#This Row],[html_type]]&amp;Table1[[#This Row],[html_modifier]]</f>
        <v/>
      </c>
      <c r="AL651" s="22" t="str">
        <f>IFERROR(_xlfn.XLOOKUP(Table1[[#This Row],[word]],Table57[English style name],Table57[Style type]),"")</f>
        <v/>
      </c>
      <c r="AM651" s="20"/>
      <c r="AN651" s="11"/>
      <c r="AQ651" s="6" t="s">
        <v>2045</v>
      </c>
      <c r="AR651" t="s">
        <v>2043</v>
      </c>
    </row>
    <row r="652" spans="5:44">
      <c r="E652" s="76"/>
      <c r="F6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2" s="13" t="s">
        <v>337</v>
      </c>
      <c r="H652" s="13" t="s">
        <v>2987</v>
      </c>
      <c r="I652" s="12" t="str">
        <f>Table1[[#This Row],[type]]</f>
        <v>collection</v>
      </c>
      <c r="J652" s="62" t="str">
        <f>Table1[[#This Row],[Column42]]&amp;IF(Table1[[#This Row],[Column13]]="","",Table1[[#This Row],[Column13]])&amp;IF(Table1[[#This Row],[mod]]="","",Table1[[#This Row],[mod]])</f>
        <v>collection--lg</v>
      </c>
      <c r="K6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2" t="s">
        <v>10127</v>
      </c>
      <c r="Q6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652" t="s">
        <v>3114</v>
      </c>
      <c r="AB652" s="29"/>
      <c r="AC652" s="25" t="s">
        <v>5205</v>
      </c>
      <c r="AD652" s="41"/>
      <c r="AE652" s="41"/>
      <c r="AF652" s="11"/>
      <c r="AH652" s="7" t="str">
        <f>Table1[[#This Row],[html_tag]]&amp;Table1[[#This Row],[html_type]]&amp;Table1[[#This Row],[html_modifier]]</f>
        <v/>
      </c>
      <c r="AL652" s="23" t="str">
        <f>IFERROR(_xlfn.XLOOKUP(Table1[[#This Row],[word]],Table57[English style name],Table57[Style type]),"")</f>
        <v/>
      </c>
      <c r="AM652" s="21"/>
      <c r="AN652" s="11"/>
    </row>
    <row r="653" spans="5:44">
      <c r="E653" s="76"/>
      <c r="F6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3" s="13" t="s">
        <v>337</v>
      </c>
      <c r="H653" s="13" t="s">
        <v>2987</v>
      </c>
      <c r="I653" s="12" t="str">
        <f>Table1[[#This Row],[type]]</f>
        <v>collection</v>
      </c>
      <c r="J653" s="62" t="str">
        <f>Table1[[#This Row],[Column42]]&amp;IF(Table1[[#This Row],[Column13]]="","",Table1[[#This Row],[Column13]])&amp;IF(Table1[[#This Row],[mod]]="","",Table1[[#This Row],[mod]])</f>
        <v>collection--light</v>
      </c>
      <c r="K6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3" t="s">
        <v>10127</v>
      </c>
      <c r="Q6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653" t="s">
        <v>3503</v>
      </c>
      <c r="AB653" s="29"/>
      <c r="AC653" s="25" t="s">
        <v>5215</v>
      </c>
      <c r="AD653" s="41"/>
      <c r="AE653" s="41"/>
      <c r="AF653" s="11"/>
      <c r="AH653" s="7" t="str">
        <f>Table1[[#This Row],[html_tag]]&amp;Table1[[#This Row],[html_type]]&amp;Table1[[#This Row],[html_modifier]]</f>
        <v/>
      </c>
      <c r="AL653" s="23" t="str">
        <f>IFERROR(_xlfn.XLOOKUP(Table1[[#This Row],[word]],Table57[English style name],Table57[Style type]),"")</f>
        <v/>
      </c>
      <c r="AM653" s="21"/>
      <c r="AN653" s="11"/>
    </row>
    <row r="654" spans="5:44">
      <c r="E654" s="76"/>
      <c r="F6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4" s="13" t="s">
        <v>337</v>
      </c>
      <c r="H654" s="13" t="s">
        <v>2987</v>
      </c>
      <c r="I654" s="12" t="str">
        <f>Table1[[#This Row],[type]]</f>
        <v>collection</v>
      </c>
      <c r="J654" s="62" t="str">
        <f>Table1[[#This Row],[Column42]]&amp;IF(Table1[[#This Row],[Column13]]="","",Table1[[#This Row],[Column13]])&amp;IF(Table1[[#This Row],[mod]]="","",Table1[[#This Row],[mod]])</f>
        <v>collection--md</v>
      </c>
      <c r="K6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4" t="s">
        <v>10127</v>
      </c>
      <c r="Q6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654" t="s">
        <v>3115</v>
      </c>
      <c r="AB654" s="29"/>
      <c r="AC654" s="25" t="s">
        <v>5206</v>
      </c>
      <c r="AD654" s="41"/>
      <c r="AE654" s="41"/>
      <c r="AF654" s="11"/>
      <c r="AH654" s="7" t="str">
        <f>Table1[[#This Row],[html_tag]]&amp;Table1[[#This Row],[html_type]]&amp;Table1[[#This Row],[html_modifier]]</f>
        <v/>
      </c>
      <c r="AL654" s="23" t="str">
        <f>IFERROR(_xlfn.XLOOKUP(Table1[[#This Row],[word]],Table57[English style name],Table57[Style type]),"")</f>
        <v/>
      </c>
      <c r="AM654" s="21"/>
      <c r="AN654" s="11"/>
    </row>
    <row r="655" spans="5:44">
      <c r="E655" s="76"/>
      <c r="F6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5" s="13" t="s">
        <v>337</v>
      </c>
      <c r="H655" s="13" t="s">
        <v>2987</v>
      </c>
      <c r="I655" s="12" t="str">
        <f>Table1[[#This Row],[type]]</f>
        <v>collection</v>
      </c>
      <c r="J655" s="62" t="str">
        <f>Table1[[#This Row],[Column42]]&amp;IF(Table1[[#This Row],[Column13]]="","",Table1[[#This Row],[Column13]])&amp;IF(Table1[[#This Row],[mod]]="","",Table1[[#This Row],[mod]])</f>
        <v>collection--sm</v>
      </c>
      <c r="K6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5" t="s">
        <v>10127</v>
      </c>
      <c r="Q6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655" t="s">
        <v>3116</v>
      </c>
      <c r="AB655" s="29"/>
      <c r="AC655" s="25" t="s">
        <v>5207</v>
      </c>
      <c r="AD655" s="41"/>
      <c r="AE655" s="41"/>
      <c r="AF655" s="11"/>
      <c r="AH655" s="7" t="str">
        <f>Table1[[#This Row],[html_tag]]&amp;Table1[[#This Row],[html_type]]&amp;Table1[[#This Row],[html_modifier]]</f>
        <v/>
      </c>
      <c r="AL655" s="23" t="str">
        <f>IFERROR(_xlfn.XLOOKUP(Table1[[#This Row],[word]],Table57[English style name],Table57[Style type]),"")</f>
        <v/>
      </c>
      <c r="AM655" s="21"/>
      <c r="AN655" s="11"/>
    </row>
    <row r="656" spans="5:44">
      <c r="E656" s="76"/>
      <c r="F6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6" s="13" t="s">
        <v>337</v>
      </c>
      <c r="H656" s="13" t="s">
        <v>2987</v>
      </c>
      <c r="I656" s="12" t="str">
        <f>Table1[[#This Row],[type]]</f>
        <v>collection</v>
      </c>
      <c r="J656" s="62" t="str">
        <f>Table1[[#This Row],[Column42]]&amp;IF(Table1[[#This Row],[Column13]]="","",Table1[[#This Row],[Column13]])&amp;IF(Table1[[#This Row],[mod]]="","",Table1[[#This Row],[mod]])</f>
        <v>collection--xl</v>
      </c>
      <c r="K6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6" t="s">
        <v>10127</v>
      </c>
      <c r="Q65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656" t="s">
        <v>3126</v>
      </c>
      <c r="AB656" s="29"/>
      <c r="AC656" s="25" t="s">
        <v>5208</v>
      </c>
      <c r="AD656" s="41"/>
      <c r="AE656" s="41"/>
      <c r="AF656" s="11"/>
      <c r="AH656" s="7" t="str">
        <f>Table1[[#This Row],[html_tag]]&amp;Table1[[#This Row],[html_type]]&amp;Table1[[#This Row],[html_modifier]]</f>
        <v/>
      </c>
      <c r="AL656" s="23" t="str">
        <f>IFERROR(_xlfn.XLOOKUP(Table1[[#This Row],[word]],Table57[English style name],Table57[Style type]),"")</f>
        <v/>
      </c>
      <c r="AM656" s="21"/>
      <c r="AN656" s="11"/>
    </row>
    <row r="657" spans="5:44">
      <c r="E657" s="76"/>
      <c r="F6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7" s="13" t="s">
        <v>337</v>
      </c>
      <c r="H657" s="13" t="s">
        <v>2987</v>
      </c>
      <c r="I657" s="12" t="str">
        <f>Table1[[#This Row],[type]]</f>
        <v>collection</v>
      </c>
      <c r="J657" s="62" t="str">
        <f>Table1[[#This Row],[Column42]]&amp;IF(Table1[[#This Row],[Column13]]="","",Table1[[#This Row],[Column13]])&amp;IF(Table1[[#This Row],[mod]]="","",Table1[[#This Row],[mod]])</f>
        <v>collection--xs</v>
      </c>
      <c r="K6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7" t="s">
        <v>10127</v>
      </c>
      <c r="Q6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657" t="s">
        <v>3127</v>
      </c>
      <c r="AB657" s="29"/>
      <c r="AC657" s="25"/>
      <c r="AD657" s="41"/>
      <c r="AE657" s="41"/>
      <c r="AF657" s="11"/>
      <c r="AH657" s="7" t="str">
        <f>Table1[[#This Row],[html_tag]]&amp;Table1[[#This Row],[html_type]]&amp;Table1[[#This Row],[html_modifier]]</f>
        <v/>
      </c>
      <c r="AL657" s="23" t="str">
        <f>IFERROR(_xlfn.XLOOKUP(Table1[[#This Row],[word]],Table57[English style name],Table57[Style type]),"")</f>
        <v/>
      </c>
      <c r="AM657" s="21"/>
      <c r="AN657" s="11"/>
    </row>
    <row r="658" spans="5:44">
      <c r="E658" s="76"/>
      <c r="F6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8" s="13" t="s">
        <v>337</v>
      </c>
      <c r="H658" s="13" t="s">
        <v>2987</v>
      </c>
      <c r="I658" s="12" t="str">
        <f>Table1[[#This Row],[type]]</f>
        <v>collection</v>
      </c>
      <c r="J658" s="62" t="str">
        <f>Table1[[#This Row],[Column42]]&amp;IF(Table1[[#This Row],[Column13]]="","",Table1[[#This Row],[Column13]])&amp;IF(Table1[[#This Row],[mod]]="","",Table1[[#This Row],[mod]])</f>
        <v>collection--xxl</v>
      </c>
      <c r="K6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8" t="s">
        <v>10127</v>
      </c>
      <c r="Q6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658" t="s">
        <v>3869</v>
      </c>
      <c r="AB658" s="29"/>
      <c r="AC658" s="25" t="s">
        <v>5209</v>
      </c>
      <c r="AD658" s="41"/>
      <c r="AE658" s="41"/>
      <c r="AF658" s="11"/>
      <c r="AH658" s="7" t="str">
        <f>Table1[[#This Row],[html_tag]]&amp;Table1[[#This Row],[html_type]]&amp;Table1[[#This Row],[html_modifier]]</f>
        <v/>
      </c>
      <c r="AL658" s="23" t="str">
        <f>IFERROR(_xlfn.XLOOKUP(Table1[[#This Row],[word]],Table57[English style name],Table57[Style type]),"")</f>
        <v/>
      </c>
      <c r="AM658" s="21"/>
      <c r="AN658" s="11"/>
    </row>
    <row r="659" spans="5:44">
      <c r="E659" s="76"/>
      <c r="F6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59" s="13"/>
      <c r="H659" s="13"/>
      <c r="I659" s="12" t="str">
        <f>Table1[[#This Row],[type]]</f>
        <v>compare</v>
      </c>
      <c r="J659" s="62" t="str">
        <f>Table1[[#This Row],[Column42]]&amp;IF(Table1[[#This Row],[Column13]]="","",Table1[[#This Row],[Column13]])&amp;IF(Table1[[#This Row],[mod]]="","",Table1[[#This Row],[mod]])</f>
        <v>compare</v>
      </c>
      <c r="K6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659" t="s">
        <v>3446</v>
      </c>
      <c r="Q65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59" s="29"/>
      <c r="AC659" s="25"/>
      <c r="AD659" s="41" t="s">
        <v>6836</v>
      </c>
      <c r="AE659" s="41"/>
      <c r="AF659" s="11"/>
      <c r="AH659" s="7" t="str">
        <f>Table1[[#This Row],[html_tag]]&amp;Table1[[#This Row],[html_type]]&amp;Table1[[#This Row],[html_modifier]]</f>
        <v/>
      </c>
      <c r="AL659" s="23" t="str">
        <f>IFERROR(_xlfn.XLOOKUP(Table1[[#This Row],[word]],Table57[English style name],Table57[Style type]),"")</f>
        <v/>
      </c>
      <c r="AM659" s="21"/>
      <c r="AN659" s="11"/>
    </row>
    <row r="660" spans="5:44">
      <c r="E660" s="76"/>
      <c r="F6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60" s="13"/>
      <c r="H660" s="13"/>
      <c r="I660" s="12" t="str">
        <f>Table1[[#This Row],[type]]</f>
        <v>compare</v>
      </c>
      <c r="J660" s="62" t="str">
        <f>Table1[[#This Row],[Column42]]&amp;IF(Table1[[#This Row],[Column13]]="","",Table1[[#This Row],[Column13]])&amp;IF(Table1[[#This Row],[mod]]="","",Table1[[#This Row],[mod]])</f>
        <v>compare</v>
      </c>
      <c r="K6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660" t="s">
        <v>3446</v>
      </c>
      <c r="Q66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0" s="29"/>
      <c r="AC660" s="25"/>
      <c r="AD660" s="41" t="s">
        <v>6835</v>
      </c>
      <c r="AE660" s="41"/>
      <c r="AF660" s="11"/>
      <c r="AH660" s="7" t="str">
        <f>Table1[[#This Row],[html_tag]]&amp;Table1[[#This Row],[html_type]]&amp;Table1[[#This Row],[html_modifier]]</f>
        <v/>
      </c>
      <c r="AL660" s="23" t="str">
        <f>IFERROR(_xlfn.XLOOKUP(Table1[[#This Row],[word]],Table57[English style name],Table57[Style type]),"")</f>
        <v/>
      </c>
      <c r="AM660" s="21"/>
      <c r="AN660" s="11"/>
    </row>
    <row r="661" spans="5:44">
      <c r="E661" s="76"/>
      <c r="F6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61" s="13"/>
      <c r="H661" s="13"/>
      <c r="I661" s="12" t="str">
        <f>Table1[[#This Row],[type]]</f>
        <v>compare</v>
      </c>
      <c r="J661" s="62" t="str">
        <f>Table1[[#This Row],[Column42]]&amp;IF(Table1[[#This Row],[Column13]]="","",Table1[[#This Row],[Column13]])&amp;IF(Table1[[#This Row],[mod]]="","",Table1[[#This Row],[mod]])</f>
        <v>compare</v>
      </c>
      <c r="K6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661" t="s">
        <v>3446</v>
      </c>
      <c r="Q66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1" s="29"/>
      <c r="AC661" s="25"/>
      <c r="AD661" s="41" t="s">
        <v>6834</v>
      </c>
      <c r="AE661" s="41"/>
      <c r="AF661" s="11"/>
      <c r="AH661" s="7" t="str">
        <f>Table1[[#This Row],[html_tag]]&amp;Table1[[#This Row],[html_type]]&amp;Table1[[#This Row],[html_modifier]]</f>
        <v/>
      </c>
      <c r="AL661" s="23" t="str">
        <f>IFERROR(_xlfn.XLOOKUP(Table1[[#This Row],[word]],Table57[English style name],Table57[Style type]),"")</f>
        <v/>
      </c>
      <c r="AM661" s="21"/>
      <c r="AN661" s="11"/>
    </row>
    <row r="662" spans="5:44">
      <c r="E662" s="76"/>
      <c r="F6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62" s="13"/>
      <c r="H662" s="13"/>
      <c r="I662" s="12" t="str">
        <f>Table1[[#This Row],[type]]</f>
        <v>compare</v>
      </c>
      <c r="J662" s="62" t="str">
        <f>Table1[[#This Row],[Column42]]&amp;IF(Table1[[#This Row],[Column13]]="","",Table1[[#This Row],[Column13]])&amp;IF(Table1[[#This Row],[mod]]="","",Table1[[#This Row],[mod]])</f>
        <v>compare</v>
      </c>
      <c r="K6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662" t="s">
        <v>3446</v>
      </c>
      <c r="Q66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2" s="29"/>
      <c r="AC662" s="25"/>
      <c r="AD662" s="41" t="s">
        <v>6833</v>
      </c>
      <c r="AE662" s="41"/>
      <c r="AF662" s="11"/>
      <c r="AH662" s="7" t="str">
        <f>Table1[[#This Row],[html_tag]]&amp;Table1[[#This Row],[html_type]]&amp;Table1[[#This Row],[html_modifier]]</f>
        <v/>
      </c>
      <c r="AL662" s="23" t="str">
        <f>IFERROR(_xlfn.XLOOKUP(Table1[[#This Row],[word]],Table57[English style name],Table57[Style type]),"")</f>
        <v/>
      </c>
      <c r="AM662" s="21"/>
      <c r="AN662" s="11"/>
    </row>
    <row r="663" spans="5:44">
      <c r="E663" s="76"/>
      <c r="F6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3" s="13" t="s">
        <v>337</v>
      </c>
      <c r="H663" s="13" t="s">
        <v>2987</v>
      </c>
      <c r="I663" s="12" t="str">
        <f>Table1[[#This Row],[type]]</f>
        <v>content</v>
      </c>
      <c r="J663" s="62" t="str">
        <f>Table1[[#This Row],[Column42]]&amp;IF(Table1[[#This Row],[Column13]]="","",Table1[[#This Row],[Column13]])&amp;IF(Table1[[#This Row],[mod]]="","",Table1[[#This Row],[mod]])</f>
        <v>content__cover__title--cover</v>
      </c>
      <c r="K6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content__cover__title</v>
      </c>
      <c r="L663" t="s">
        <v>2990</v>
      </c>
      <c r="M663" t="s">
        <v>3156</v>
      </c>
      <c r="O663" t="s">
        <v>333</v>
      </c>
      <c r="P663" t="s">
        <v>3771</v>
      </c>
      <c r="Q6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3" t="s">
        <v>3156</v>
      </c>
      <c r="U6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3" s="29"/>
      <c r="AC663" s="25"/>
      <c r="AD663" s="41"/>
      <c r="AE663" s="41"/>
      <c r="AF663" s="11"/>
      <c r="AH663" s="1" t="str">
        <f>Table1[[#This Row],[html_tag]]&amp;Table1[[#This Row],[html_type]]&amp;Table1[[#This Row],[html_modifier]]</f>
        <v/>
      </c>
      <c r="AL663" s="22" t="str">
        <f>IFERROR(_xlfn.XLOOKUP(Table1[[#This Row],[word]],Table57[English style name],Table57[Style type]),"")</f>
        <v/>
      </c>
      <c r="AM663" s="20"/>
      <c r="AN663" s="11"/>
      <c r="AQ663" s="6" t="s">
        <v>1462</v>
      </c>
      <c r="AR663" t="s">
        <v>1457</v>
      </c>
    </row>
    <row r="664" spans="5:44">
      <c r="E664" s="76"/>
      <c r="F6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4" s="13" t="s">
        <v>337</v>
      </c>
      <c r="H664" s="13" t="s">
        <v>2987</v>
      </c>
      <c r="I664" s="12" t="str">
        <f>Table1[[#This Row],[type]]</f>
        <v>content</v>
      </c>
      <c r="J664" s="62" t="str">
        <f>Table1[[#This Row],[Column42]]&amp;IF(Table1[[#This Row],[Column13]]="","",Table1[[#This Row],[Column13]])&amp;IF(Table1[[#This Row],[mod]]="","",Table1[[#This Row],[mod]])</f>
        <v>content--cover</v>
      </c>
      <c r="K6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664" t="s">
        <v>2990</v>
      </c>
      <c r="P664" t="s">
        <v>3773</v>
      </c>
      <c r="Q6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4" t="s">
        <v>3156</v>
      </c>
      <c r="U6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4" s="29"/>
      <c r="AC664" s="25"/>
      <c r="AD664" s="41"/>
      <c r="AE664" s="41"/>
      <c r="AF664" s="11"/>
      <c r="AH664" s="1" t="str">
        <f>Table1[[#This Row],[html_tag]]&amp;Table1[[#This Row],[html_type]]&amp;Table1[[#This Row],[html_modifier]]</f>
        <v/>
      </c>
      <c r="AL664" s="22" t="str">
        <f>IFERROR(_xlfn.XLOOKUP(Table1[[#This Row],[word]],Table57[English style name],Table57[Style type]),"")</f>
        <v/>
      </c>
      <c r="AM664" s="20"/>
      <c r="AN664" s="11"/>
      <c r="AQ664" s="6" t="s">
        <v>1456</v>
      </c>
      <c r="AR664" t="s">
        <v>1457</v>
      </c>
    </row>
    <row r="665" spans="5:44">
      <c r="E665" s="76"/>
      <c r="F6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5" s="13" t="s">
        <v>337</v>
      </c>
      <c r="H665" s="13" t="s">
        <v>2987</v>
      </c>
      <c r="I665" s="12" t="str">
        <f>Table1[[#This Row],[type]]</f>
        <v>content</v>
      </c>
      <c r="J665" s="62" t="str">
        <f>Table1[[#This Row],[Column42]]&amp;IF(Table1[[#This Row],[Column13]]="","",Table1[[#This Row],[Column13]])&amp;IF(Table1[[#This Row],[mod]]="","",Table1[[#This Row],[mod]])</f>
        <v>content--cover</v>
      </c>
      <c r="K6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665" t="s">
        <v>2990</v>
      </c>
      <c r="P665" s="6" t="s">
        <v>1459</v>
      </c>
      <c r="Q66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5" t="s">
        <v>3156</v>
      </c>
      <c r="U6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5" s="29"/>
      <c r="AC665" s="25"/>
      <c r="AD665" s="41"/>
      <c r="AE665" s="41"/>
      <c r="AF665" s="11"/>
      <c r="AH665" s="1" t="str">
        <f>Table1[[#This Row],[html_tag]]&amp;Table1[[#This Row],[html_type]]&amp;Table1[[#This Row],[html_modifier]]</f>
        <v/>
      </c>
      <c r="AL665" s="22" t="str">
        <f>IFERROR(_xlfn.XLOOKUP(Table1[[#This Row],[word]],Table57[English style name],Table57[Style type]),"")</f>
        <v/>
      </c>
      <c r="AM665" s="20"/>
      <c r="AN665" s="11"/>
      <c r="AQ665" s="6" t="s">
        <v>1459</v>
      </c>
      <c r="AR665" t="s">
        <v>1457</v>
      </c>
    </row>
    <row r="666" spans="5:44">
      <c r="E666" s="76"/>
      <c r="F6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6" s="13" t="s">
        <v>337</v>
      </c>
      <c r="H666" s="13" t="s">
        <v>2987</v>
      </c>
      <c r="I666" s="12" t="str">
        <f>Table1[[#This Row],[type]]</f>
        <v>content</v>
      </c>
      <c r="J666" s="62" t="str">
        <f>Table1[[#This Row],[Column42]]&amp;IF(Table1[[#This Row],[Column13]]="","",Table1[[#This Row],[Column13]])&amp;IF(Table1[[#This Row],[mod]]="","",Table1[[#This Row],[mod]])</f>
        <v>content--cover</v>
      </c>
      <c r="K6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666" t="s">
        <v>2990</v>
      </c>
      <c r="P666" s="6" t="s">
        <v>1461</v>
      </c>
      <c r="Q66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6" t="s">
        <v>3156</v>
      </c>
      <c r="U6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6" s="29"/>
      <c r="AC666" s="25"/>
      <c r="AD666" s="41"/>
      <c r="AE666" s="41"/>
      <c r="AF666" s="11"/>
      <c r="AH666" s="1" t="str">
        <f>Table1[[#This Row],[html_tag]]&amp;Table1[[#This Row],[html_type]]&amp;Table1[[#This Row],[html_modifier]]</f>
        <v/>
      </c>
      <c r="AL666" s="22" t="str">
        <f>IFERROR(_xlfn.XLOOKUP(Table1[[#This Row],[word]],Table57[English style name],Table57[Style type]),"")</f>
        <v/>
      </c>
      <c r="AM666" s="20"/>
      <c r="AN666" s="11"/>
      <c r="AQ666" s="6" t="s">
        <v>1461</v>
      </c>
      <c r="AR666" t="s">
        <v>1457</v>
      </c>
    </row>
    <row r="667" spans="5:44">
      <c r="E667" s="76"/>
      <c r="F6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7" s="13" t="s">
        <v>337</v>
      </c>
      <c r="H667" s="13" t="s">
        <v>2987</v>
      </c>
      <c r="I667" s="12" t="str">
        <f>Table1[[#This Row],[type]]</f>
        <v>content</v>
      </c>
      <c r="J667" s="62" t="str">
        <f>Table1[[#This Row],[Column42]]&amp;IF(Table1[[#This Row],[Column13]]="","",Table1[[#This Row],[Column13]])&amp;IF(Table1[[#This Row],[mod]]="","",Table1[[#This Row],[mod]])</f>
        <v>content--cover</v>
      </c>
      <c r="K6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667" t="s">
        <v>2990</v>
      </c>
      <c r="Q6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7" t="s">
        <v>3156</v>
      </c>
      <c r="U6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7" s="29"/>
      <c r="AC667" s="25"/>
      <c r="AD667" s="41"/>
      <c r="AE667" s="41"/>
      <c r="AF667" s="11"/>
      <c r="AH667" s="1" t="str">
        <f>Table1[[#This Row],[html_tag]]&amp;Table1[[#This Row],[html_type]]&amp;Table1[[#This Row],[html_modifier]]</f>
        <v/>
      </c>
      <c r="AL667" s="22" t="str">
        <f>IFERROR(_xlfn.XLOOKUP(Table1[[#This Row],[word]],Table57[English style name],Table57[Style type]),"")</f>
        <v/>
      </c>
      <c r="AM667" s="20"/>
      <c r="AN667" s="11"/>
      <c r="AQ667" s="6" t="s">
        <v>1460</v>
      </c>
      <c r="AR667" t="s">
        <v>1457</v>
      </c>
    </row>
    <row r="668" spans="5:44">
      <c r="E668" s="76"/>
      <c r="F6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8" s="13" t="s">
        <v>337</v>
      </c>
      <c r="H668" s="13" t="s">
        <v>2987</v>
      </c>
      <c r="I668" s="12" t="str">
        <f>Table1[[#This Row],[type]]</f>
        <v>content</v>
      </c>
      <c r="J668" s="62" t="str">
        <f>Table1[[#This Row],[Column42]]&amp;IF(Table1[[#This Row],[Column13]]="","",Table1[[#This Row],[Column13]])&amp;IF(Table1[[#This Row],[mod]]="","",Table1[[#This Row],[mod]])</f>
        <v>content--cover--base</v>
      </c>
      <c r="K6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668" t="s">
        <v>2990</v>
      </c>
      <c r="P668" s="6" t="s">
        <v>1458</v>
      </c>
      <c r="Q6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8" t="s">
        <v>3156</v>
      </c>
      <c r="U6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68" t="s">
        <v>338</v>
      </c>
      <c r="AB668" s="29"/>
      <c r="AC668" s="25"/>
      <c r="AD668" s="41"/>
      <c r="AE668" s="41"/>
      <c r="AF668" s="11"/>
      <c r="AH668" s="1" t="str">
        <f>Table1[[#This Row],[html_tag]]&amp;Table1[[#This Row],[html_type]]&amp;Table1[[#This Row],[html_modifier]]</f>
        <v/>
      </c>
      <c r="AL668" s="22" t="str">
        <f>IFERROR(_xlfn.XLOOKUP(Table1[[#This Row],[word]],Table57[English style name],Table57[Style type]),"")</f>
        <v/>
      </c>
      <c r="AM668" s="20"/>
      <c r="AN668" s="11"/>
      <c r="AQ668" s="6" t="s">
        <v>1458</v>
      </c>
      <c r="AR668" t="s">
        <v>1457</v>
      </c>
    </row>
    <row r="669" spans="5:44">
      <c r="E669" s="76"/>
      <c r="F6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countdown.scss</v>
      </c>
      <c r="G669" s="13"/>
      <c r="H669" s="13"/>
      <c r="I669" s="12" t="str">
        <f>Table1[[#This Row],[type]]</f>
        <v>countdown</v>
      </c>
      <c r="J669" s="62" t="str">
        <f>Table1[[#This Row],[Column42]]&amp;IF(Table1[[#This Row],[Column13]]="","",Table1[[#This Row],[Column13]])&amp;IF(Table1[[#This Row],[mod]]="","",Table1[[#This Row],[mod]])</f>
        <v>countdown</v>
      </c>
      <c r="K6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countdown</v>
      </c>
      <c r="L669" t="s">
        <v>6418</v>
      </c>
      <c r="Q6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9" s="29"/>
      <c r="AC669" s="25"/>
      <c r="AD669" s="41" t="s">
        <v>6832</v>
      </c>
      <c r="AE669" s="41"/>
      <c r="AF669" s="11"/>
      <c r="AH669" s="7" t="str">
        <f>Table1[[#This Row],[html_tag]]&amp;Table1[[#This Row],[html_type]]&amp;Table1[[#This Row],[html_modifier]]</f>
        <v/>
      </c>
      <c r="AL669" s="23" t="str">
        <f>IFERROR(_xlfn.XLOOKUP(Table1[[#This Row],[word]],Table57[English style name],Table57[Style type]),"")</f>
        <v/>
      </c>
      <c r="AM669" s="21"/>
      <c r="AN669" s="11"/>
    </row>
    <row r="670" spans="5:44">
      <c r="E670" s="76"/>
      <c r="F6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0" s="13" t="s">
        <v>337</v>
      </c>
      <c r="H670" s="13" t="s">
        <v>2986</v>
      </c>
      <c r="I670" s="12" t="str">
        <f>Table1[[#This Row],[type]]</f>
        <v>cursor</v>
      </c>
      <c r="J670" s="62" t="str">
        <f>Table1[[#This Row],[Column42]]&amp;IF(Table1[[#This Row],[Column13]]="","",Table1[[#This Row],[Column13]])&amp;IF(Table1[[#This Row],[mod]]="","",Table1[[#This Row],[mod]])</f>
        <v>cursor</v>
      </c>
      <c r="K6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0" t="s">
        <v>1465</v>
      </c>
      <c r="P670" s="6" t="s">
        <v>1465</v>
      </c>
      <c r="Q6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0" s="29"/>
      <c r="AC670" s="25"/>
      <c r="AD670" s="41"/>
      <c r="AE670" s="41"/>
      <c r="AF670" s="11"/>
      <c r="AH670" s="1" t="str">
        <f>Table1[[#This Row],[html_tag]]&amp;Table1[[#This Row],[html_type]]&amp;Table1[[#This Row],[html_modifier]]</f>
        <v/>
      </c>
      <c r="AL670" s="22" t="str">
        <f>IFERROR(_xlfn.XLOOKUP(Table1[[#This Row],[word]],Table57[English style name],Table57[Style type]),"")</f>
        <v/>
      </c>
      <c r="AM670" s="20"/>
      <c r="AN670" s="11"/>
      <c r="AQ670" s="6" t="s">
        <v>1465</v>
      </c>
      <c r="AR670" t="s">
        <v>1464</v>
      </c>
    </row>
    <row r="671" spans="5:44">
      <c r="E671" s="76"/>
      <c r="F6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1" s="13" t="s">
        <v>337</v>
      </c>
      <c r="H671" s="13" t="s">
        <v>2986</v>
      </c>
      <c r="I671" s="12" t="str">
        <f>Table1[[#This Row],[type]]</f>
        <v>cursor</v>
      </c>
      <c r="J671" s="62" t="str">
        <f>Table1[[#This Row],[Column42]]&amp;IF(Table1[[#This Row],[Column13]]="","",Table1[[#This Row],[Column13]])&amp;IF(Table1[[#This Row],[mod]]="","",Table1[[#This Row],[mod]])</f>
        <v>cursor</v>
      </c>
      <c r="K6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1" t="s">
        <v>1465</v>
      </c>
      <c r="P671" s="6" t="s">
        <v>1466</v>
      </c>
      <c r="Q6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1" s="29"/>
      <c r="AC671" s="25"/>
      <c r="AD671" s="41"/>
      <c r="AE671" s="41"/>
      <c r="AF671" s="11"/>
      <c r="AH671" s="1" t="str">
        <f>Table1[[#This Row],[html_tag]]&amp;Table1[[#This Row],[html_type]]&amp;Table1[[#This Row],[html_modifier]]</f>
        <v/>
      </c>
      <c r="AL671" s="22" t="str">
        <f>IFERROR(_xlfn.XLOOKUP(Table1[[#This Row],[word]],Table57[English style name],Table57[Style type]),"")</f>
        <v/>
      </c>
      <c r="AM671" s="20"/>
      <c r="AN671" s="11"/>
      <c r="AQ671" s="6" t="s">
        <v>1466</v>
      </c>
      <c r="AR671" t="s">
        <v>1464</v>
      </c>
    </row>
    <row r="672" spans="5:44">
      <c r="E672" s="76"/>
      <c r="F6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2" s="13" t="s">
        <v>337</v>
      </c>
      <c r="H672" s="13" t="s">
        <v>2986</v>
      </c>
      <c r="I672" s="12" t="str">
        <f>Table1[[#This Row],[type]]</f>
        <v>cursor</v>
      </c>
      <c r="J672" s="62" t="str">
        <f>Table1[[#This Row],[Column42]]&amp;IF(Table1[[#This Row],[Column13]]="","",Table1[[#This Row],[Column13]])&amp;IF(Table1[[#This Row],[mod]]="","",Table1[[#This Row],[mod]])</f>
        <v>cursor</v>
      </c>
      <c r="K6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2" t="s">
        <v>1465</v>
      </c>
      <c r="P672" s="6" t="s">
        <v>1467</v>
      </c>
      <c r="Q67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2" s="29"/>
      <c r="AC672" s="25"/>
      <c r="AD672" s="41"/>
      <c r="AE672" s="41"/>
      <c r="AF672" s="11"/>
      <c r="AH672" s="1" t="str">
        <f>Table1[[#This Row],[html_tag]]&amp;Table1[[#This Row],[html_type]]&amp;Table1[[#This Row],[html_modifier]]</f>
        <v/>
      </c>
      <c r="AL672" s="22" t="str">
        <f>IFERROR(_xlfn.XLOOKUP(Table1[[#This Row],[word]],Table57[English style name],Table57[Style type]),"")</f>
        <v/>
      </c>
      <c r="AM672" s="20"/>
      <c r="AN672" s="11"/>
      <c r="AQ672" s="6" t="s">
        <v>1467</v>
      </c>
      <c r="AR672" t="s">
        <v>1464</v>
      </c>
    </row>
    <row r="673" spans="5:44">
      <c r="E673" s="76"/>
      <c r="F6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3" s="13" t="s">
        <v>337</v>
      </c>
      <c r="H673" s="13" t="s">
        <v>2986</v>
      </c>
      <c r="I673" s="12" t="str">
        <f>Table1[[#This Row],[type]]</f>
        <v>cursor</v>
      </c>
      <c r="J673" s="62" t="str">
        <f>Table1[[#This Row],[Column42]]&amp;IF(Table1[[#This Row],[Column13]]="","",Table1[[#This Row],[Column13]])&amp;IF(Table1[[#This Row],[mod]]="","",Table1[[#This Row],[mod]])</f>
        <v>cursor</v>
      </c>
      <c r="K6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3" t="s">
        <v>1465</v>
      </c>
      <c r="P673" s="6" t="s">
        <v>1468</v>
      </c>
      <c r="Q67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3" s="29"/>
      <c r="AC673" s="25"/>
      <c r="AD673" s="41"/>
      <c r="AE673" s="41"/>
      <c r="AF673" s="11"/>
      <c r="AH673" s="1" t="str">
        <f>Table1[[#This Row],[html_tag]]&amp;Table1[[#This Row],[html_type]]&amp;Table1[[#This Row],[html_modifier]]</f>
        <v/>
      </c>
      <c r="AL673" s="22" t="str">
        <f>IFERROR(_xlfn.XLOOKUP(Table1[[#This Row],[word]],Table57[English style name],Table57[Style type]),"")</f>
        <v/>
      </c>
      <c r="AM673" s="20"/>
      <c r="AN673" s="11"/>
      <c r="AQ673" s="6" t="s">
        <v>1468</v>
      </c>
      <c r="AR673" t="s">
        <v>1464</v>
      </c>
    </row>
    <row r="674" spans="5:44">
      <c r="E674" s="76"/>
      <c r="F6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4" s="13" t="s">
        <v>337</v>
      </c>
      <c r="H674" s="13" t="s">
        <v>2986</v>
      </c>
      <c r="I674" s="12" t="str">
        <f>Table1[[#This Row],[type]]</f>
        <v>cursor</v>
      </c>
      <c r="J674" s="62" t="str">
        <f>Table1[[#This Row],[Column42]]&amp;IF(Table1[[#This Row],[Column13]]="","",Table1[[#This Row],[Column13]])&amp;IF(Table1[[#This Row],[mod]]="","",Table1[[#This Row],[mod]])</f>
        <v>cursor</v>
      </c>
      <c r="K6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4" t="s">
        <v>1465</v>
      </c>
      <c r="P674" s="6" t="s">
        <v>1469</v>
      </c>
      <c r="Q67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4" s="29"/>
      <c r="AC674" s="25"/>
      <c r="AD674" s="41"/>
      <c r="AE674" s="41"/>
      <c r="AF674" s="11"/>
      <c r="AH674" s="1" t="str">
        <f>Table1[[#This Row],[html_tag]]&amp;Table1[[#This Row],[html_type]]&amp;Table1[[#This Row],[html_modifier]]</f>
        <v/>
      </c>
      <c r="AL674" s="22" t="str">
        <f>IFERROR(_xlfn.XLOOKUP(Table1[[#This Row],[word]],Table57[English style name],Table57[Style type]),"")</f>
        <v/>
      </c>
      <c r="AM674" s="20"/>
      <c r="AN674" s="11"/>
      <c r="AQ674" s="6" t="s">
        <v>1469</v>
      </c>
      <c r="AR674" t="s">
        <v>1464</v>
      </c>
    </row>
    <row r="675" spans="5:44">
      <c r="E675" s="76"/>
      <c r="F6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5" s="13" t="s">
        <v>337</v>
      </c>
      <c r="H675" s="13" t="s">
        <v>2986</v>
      </c>
      <c r="I675" s="12" t="str">
        <f>Table1[[#This Row],[type]]</f>
        <v>cursor</v>
      </c>
      <c r="J675" s="62" t="str">
        <f>Table1[[#This Row],[Column42]]&amp;IF(Table1[[#This Row],[Column13]]="","",Table1[[#This Row],[Column13]])&amp;IF(Table1[[#This Row],[mod]]="","",Table1[[#This Row],[mod]])</f>
        <v>cursor</v>
      </c>
      <c r="K6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5" t="s">
        <v>1465</v>
      </c>
      <c r="P675" s="6" t="s">
        <v>1471</v>
      </c>
      <c r="Q67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5" s="29"/>
      <c r="AC675" s="25"/>
      <c r="AD675" s="41"/>
      <c r="AE675" s="41"/>
      <c r="AF675" s="11"/>
      <c r="AH675" s="1" t="str">
        <f>Table1[[#This Row],[html_tag]]&amp;Table1[[#This Row],[html_type]]&amp;Table1[[#This Row],[html_modifier]]</f>
        <v/>
      </c>
      <c r="AL675" s="22" t="str">
        <f>IFERROR(_xlfn.XLOOKUP(Table1[[#This Row],[word]],Table57[English style name],Table57[Style type]),"")</f>
        <v/>
      </c>
      <c r="AM675" s="20"/>
      <c r="AN675" s="11"/>
      <c r="AQ675" s="6" t="s">
        <v>1471</v>
      </c>
      <c r="AR675" t="s">
        <v>1464</v>
      </c>
    </row>
    <row r="676" spans="5:44">
      <c r="E676" s="76"/>
      <c r="F6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6" s="13" t="s">
        <v>337</v>
      </c>
      <c r="H676" s="13" t="s">
        <v>2986</v>
      </c>
      <c r="I676" s="12" t="str">
        <f>Table1[[#This Row],[type]]</f>
        <v>cursor</v>
      </c>
      <c r="J676" s="62" t="str">
        <f>Table1[[#This Row],[Column42]]&amp;IF(Table1[[#This Row],[Column13]]="","",Table1[[#This Row],[Column13]])&amp;IF(Table1[[#This Row],[mod]]="","",Table1[[#This Row],[mod]])</f>
        <v>cursor</v>
      </c>
      <c r="K6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6" t="s">
        <v>1465</v>
      </c>
      <c r="P676" s="6" t="s">
        <v>1472</v>
      </c>
      <c r="Q67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6" s="29"/>
      <c r="AC676" s="25"/>
      <c r="AD676" s="41"/>
      <c r="AE676" s="41"/>
      <c r="AF676" s="11"/>
      <c r="AH676" s="1" t="str">
        <f>Table1[[#This Row],[html_tag]]&amp;Table1[[#This Row],[html_type]]&amp;Table1[[#This Row],[html_modifier]]</f>
        <v/>
      </c>
      <c r="AL676" s="22" t="str">
        <f>IFERROR(_xlfn.XLOOKUP(Table1[[#This Row],[word]],Table57[English style name],Table57[Style type]),"")</f>
        <v/>
      </c>
      <c r="AM676" s="20"/>
      <c r="AN676" s="11"/>
      <c r="AQ676" s="6" t="s">
        <v>1472</v>
      </c>
      <c r="AR676" t="s">
        <v>1464</v>
      </c>
    </row>
    <row r="677" spans="5:44">
      <c r="E677" s="76"/>
      <c r="F6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7" s="13" t="s">
        <v>337</v>
      </c>
      <c r="H677" s="13" t="s">
        <v>2986</v>
      </c>
      <c r="I677" s="12" t="str">
        <f>Table1[[#This Row],[type]]</f>
        <v>cursor</v>
      </c>
      <c r="J677" s="62" t="str">
        <f>Table1[[#This Row],[Column42]]&amp;IF(Table1[[#This Row],[Column13]]="","",Table1[[#This Row],[Column13]])&amp;IF(Table1[[#This Row],[mod]]="","",Table1[[#This Row],[mod]])</f>
        <v>cursor</v>
      </c>
      <c r="K6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7" t="s">
        <v>1465</v>
      </c>
      <c r="P677" s="6" t="s">
        <v>1473</v>
      </c>
      <c r="Q67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7" s="29"/>
      <c r="AC677" s="25"/>
      <c r="AD677" s="41"/>
      <c r="AE677" s="41"/>
      <c r="AF677" s="11"/>
      <c r="AH677" s="1" t="str">
        <f>Table1[[#This Row],[html_tag]]&amp;Table1[[#This Row],[html_type]]&amp;Table1[[#This Row],[html_modifier]]</f>
        <v/>
      </c>
      <c r="AL677" s="22" t="str">
        <f>IFERROR(_xlfn.XLOOKUP(Table1[[#This Row],[word]],Table57[English style name],Table57[Style type]),"")</f>
        <v/>
      </c>
      <c r="AM677" s="20"/>
      <c r="AN677" s="11"/>
      <c r="AQ677" s="6" t="s">
        <v>1473</v>
      </c>
      <c r="AR677" t="s">
        <v>1464</v>
      </c>
    </row>
    <row r="678" spans="5:44">
      <c r="E678" s="76"/>
      <c r="F6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8" s="13" t="s">
        <v>337</v>
      </c>
      <c r="H678" s="13" t="s">
        <v>2986</v>
      </c>
      <c r="I678" s="12" t="str">
        <f>Table1[[#This Row],[type]]</f>
        <v>cursor</v>
      </c>
      <c r="J678" s="62" t="str">
        <f>Table1[[#This Row],[Column42]]&amp;IF(Table1[[#This Row],[Column13]]="","",Table1[[#This Row],[Column13]])&amp;IF(Table1[[#This Row],[mod]]="","",Table1[[#This Row],[mod]])</f>
        <v>cursor</v>
      </c>
      <c r="K6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8" t="s">
        <v>1465</v>
      </c>
      <c r="P678" s="6" t="s">
        <v>1474</v>
      </c>
      <c r="Q67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8" s="29"/>
      <c r="AC678" s="25"/>
      <c r="AD678" s="41"/>
      <c r="AE678" s="41"/>
      <c r="AF678" s="11"/>
      <c r="AH678" s="1" t="str">
        <f>Table1[[#This Row],[html_tag]]&amp;Table1[[#This Row],[html_type]]&amp;Table1[[#This Row],[html_modifier]]</f>
        <v/>
      </c>
      <c r="AL678" s="22" t="str">
        <f>IFERROR(_xlfn.XLOOKUP(Table1[[#This Row],[word]],Table57[English style name],Table57[Style type]),"")</f>
        <v/>
      </c>
      <c r="AM678" s="20"/>
      <c r="AN678" s="11"/>
      <c r="AQ678" s="6" t="s">
        <v>1474</v>
      </c>
      <c r="AR678" t="s">
        <v>1464</v>
      </c>
    </row>
    <row r="679" spans="5:44">
      <c r="E679" s="76"/>
      <c r="F6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9" s="13" t="s">
        <v>337</v>
      </c>
      <c r="H679" s="13" t="s">
        <v>2986</v>
      </c>
      <c r="I679" s="12" t="str">
        <f>Table1[[#This Row],[type]]</f>
        <v>cursor</v>
      </c>
      <c r="J679" s="62" t="str">
        <f>Table1[[#This Row],[Column42]]&amp;IF(Table1[[#This Row],[Column13]]="","",Table1[[#This Row],[Column13]])&amp;IF(Table1[[#This Row],[mod]]="","",Table1[[#This Row],[mod]])</f>
        <v>cursor</v>
      </c>
      <c r="K6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9" t="s">
        <v>1465</v>
      </c>
      <c r="P679" s="6" t="s">
        <v>1475</v>
      </c>
      <c r="Q6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9" s="29"/>
      <c r="AC679" s="25"/>
      <c r="AD679" s="41"/>
      <c r="AE679" s="41"/>
      <c r="AF679" s="11"/>
      <c r="AH679" s="1" t="str">
        <f>Table1[[#This Row],[html_tag]]&amp;Table1[[#This Row],[html_type]]&amp;Table1[[#This Row],[html_modifier]]</f>
        <v/>
      </c>
      <c r="AL679" s="22" t="str">
        <f>IFERROR(_xlfn.XLOOKUP(Table1[[#This Row],[word]],Table57[English style name],Table57[Style type]),"")</f>
        <v/>
      </c>
      <c r="AM679" s="20"/>
      <c r="AN679" s="11"/>
      <c r="AQ679" s="6" t="s">
        <v>1475</v>
      </c>
      <c r="AR679" t="s">
        <v>1464</v>
      </c>
    </row>
    <row r="680" spans="5:44">
      <c r="E680" s="76"/>
      <c r="F6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0" s="13" t="s">
        <v>337</v>
      </c>
      <c r="H680" s="13" t="s">
        <v>2986</v>
      </c>
      <c r="I680" s="12" t="str">
        <f>Table1[[#This Row],[type]]</f>
        <v>cursor</v>
      </c>
      <c r="J680" s="62" t="str">
        <f>Table1[[#This Row],[Column42]]&amp;IF(Table1[[#This Row],[Column13]]="","",Table1[[#This Row],[Column13]])&amp;IF(Table1[[#This Row],[mod]]="","",Table1[[#This Row],[mod]])</f>
        <v>cursor</v>
      </c>
      <c r="K6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0" t="s">
        <v>1465</v>
      </c>
      <c r="P680" s="6" t="s">
        <v>1476</v>
      </c>
      <c r="Q6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0" s="29"/>
      <c r="AC680" s="25"/>
      <c r="AD680" s="41"/>
      <c r="AE680" s="41"/>
      <c r="AF680" s="11"/>
      <c r="AH680" s="1" t="str">
        <f>Table1[[#This Row],[html_tag]]&amp;Table1[[#This Row],[html_type]]&amp;Table1[[#This Row],[html_modifier]]</f>
        <v/>
      </c>
      <c r="AL680" s="22" t="str">
        <f>IFERROR(_xlfn.XLOOKUP(Table1[[#This Row],[word]],Table57[English style name],Table57[Style type]),"")</f>
        <v/>
      </c>
      <c r="AM680" s="20"/>
      <c r="AN680" s="11"/>
      <c r="AQ680" s="6" t="s">
        <v>1476</v>
      </c>
      <c r="AR680" t="s">
        <v>1464</v>
      </c>
    </row>
    <row r="681" spans="5:44">
      <c r="E681" s="76"/>
      <c r="F6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1" s="13" t="s">
        <v>337</v>
      </c>
      <c r="H681" s="13" t="s">
        <v>2986</v>
      </c>
      <c r="I681" s="12" t="str">
        <f>Table1[[#This Row],[type]]</f>
        <v>cursor</v>
      </c>
      <c r="J681" s="62" t="str">
        <f>Table1[[#This Row],[Column42]]&amp;IF(Table1[[#This Row],[Column13]]="","",Table1[[#This Row],[Column13]])&amp;IF(Table1[[#This Row],[mod]]="","",Table1[[#This Row],[mod]])</f>
        <v>cursor</v>
      </c>
      <c r="K6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1" t="s">
        <v>1465</v>
      </c>
      <c r="P681" s="6" t="s">
        <v>1477</v>
      </c>
      <c r="Q6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1" s="29"/>
      <c r="AC681" s="25"/>
      <c r="AD681" s="41"/>
      <c r="AE681" s="41"/>
      <c r="AF681" s="11"/>
      <c r="AH681" s="1" t="str">
        <f>Table1[[#This Row],[html_tag]]&amp;Table1[[#This Row],[html_type]]&amp;Table1[[#This Row],[html_modifier]]</f>
        <v/>
      </c>
      <c r="AL681" s="22" t="str">
        <f>IFERROR(_xlfn.XLOOKUP(Table1[[#This Row],[word]],Table57[English style name],Table57[Style type]),"")</f>
        <v/>
      </c>
      <c r="AM681" s="20"/>
      <c r="AN681" s="11"/>
      <c r="AQ681" s="6" t="s">
        <v>1477</v>
      </c>
      <c r="AR681" t="s">
        <v>1464</v>
      </c>
    </row>
    <row r="682" spans="5:44">
      <c r="E682" s="76"/>
      <c r="F6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2" s="13" t="s">
        <v>337</v>
      </c>
      <c r="H682" s="13" t="s">
        <v>2986</v>
      </c>
      <c r="I682" s="12" t="str">
        <f>Table1[[#This Row],[type]]</f>
        <v>cursor</v>
      </c>
      <c r="J682" s="62" t="str">
        <f>Table1[[#This Row],[Column42]]&amp;IF(Table1[[#This Row],[Column13]]="","",Table1[[#This Row],[Column13]])&amp;IF(Table1[[#This Row],[mod]]="","",Table1[[#This Row],[mod]])</f>
        <v>cursor</v>
      </c>
      <c r="K6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2" t="s">
        <v>1465</v>
      </c>
      <c r="P682" s="6" t="s">
        <v>1478</v>
      </c>
      <c r="Q6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2" s="29"/>
      <c r="AC682" s="25"/>
      <c r="AD682" s="41"/>
      <c r="AE682" s="41"/>
      <c r="AF682" s="11"/>
      <c r="AH682" s="1" t="str">
        <f>Table1[[#This Row],[html_tag]]&amp;Table1[[#This Row],[html_type]]&amp;Table1[[#This Row],[html_modifier]]</f>
        <v/>
      </c>
      <c r="AL682" s="22" t="str">
        <f>IFERROR(_xlfn.XLOOKUP(Table1[[#This Row],[word]],Table57[English style name],Table57[Style type]),"")</f>
        <v/>
      </c>
      <c r="AM682" s="20"/>
      <c r="AN682" s="11"/>
      <c r="AQ682" s="6" t="s">
        <v>1478</v>
      </c>
      <c r="AR682" t="s">
        <v>1464</v>
      </c>
    </row>
    <row r="683" spans="5:44">
      <c r="E683" s="76"/>
      <c r="F6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3" s="13" t="s">
        <v>337</v>
      </c>
      <c r="H683" s="13" t="s">
        <v>2986</v>
      </c>
      <c r="I683" s="12" t="str">
        <f>Table1[[#This Row],[type]]</f>
        <v>cursor</v>
      </c>
      <c r="J683" s="62" t="str">
        <f>Table1[[#This Row],[Column42]]&amp;IF(Table1[[#This Row],[Column13]]="","",Table1[[#This Row],[Column13]])&amp;IF(Table1[[#This Row],[mod]]="","",Table1[[#This Row],[mod]])</f>
        <v>cursor</v>
      </c>
      <c r="K6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3" t="s">
        <v>1465</v>
      </c>
      <c r="P683" s="6" t="s">
        <v>1479</v>
      </c>
      <c r="Q6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3" s="29"/>
      <c r="AC683" s="25"/>
      <c r="AD683" s="41"/>
      <c r="AE683" s="41"/>
      <c r="AF683" s="11"/>
      <c r="AH683" s="1" t="str">
        <f>Table1[[#This Row],[html_tag]]&amp;Table1[[#This Row],[html_type]]&amp;Table1[[#This Row],[html_modifier]]</f>
        <v/>
      </c>
      <c r="AL683" s="22" t="str">
        <f>IFERROR(_xlfn.XLOOKUP(Table1[[#This Row],[word]],Table57[English style name],Table57[Style type]),"")</f>
        <v/>
      </c>
      <c r="AM683" s="20"/>
      <c r="AN683" s="11"/>
      <c r="AQ683" s="6" t="s">
        <v>1479</v>
      </c>
      <c r="AR683" t="s">
        <v>1464</v>
      </c>
    </row>
    <row r="684" spans="5:44">
      <c r="E684" s="76"/>
      <c r="F6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4" s="13" t="s">
        <v>337</v>
      </c>
      <c r="H684" s="13" t="s">
        <v>2986</v>
      </c>
      <c r="I684" s="12" t="str">
        <f>Table1[[#This Row],[type]]</f>
        <v>cursor</v>
      </c>
      <c r="J684" s="62" t="str">
        <f>Table1[[#This Row],[Column42]]&amp;IF(Table1[[#This Row],[Column13]]="","",Table1[[#This Row],[Column13]])&amp;IF(Table1[[#This Row],[mod]]="","",Table1[[#This Row],[mod]])</f>
        <v>cursor</v>
      </c>
      <c r="K6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4" t="s">
        <v>1465</v>
      </c>
      <c r="P684" s="6" t="s">
        <v>1480</v>
      </c>
      <c r="Q6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4" s="29"/>
      <c r="AC684" s="25"/>
      <c r="AD684" s="41"/>
      <c r="AE684" s="41"/>
      <c r="AF684" s="11"/>
      <c r="AH684" s="1" t="str">
        <f>Table1[[#This Row],[html_tag]]&amp;Table1[[#This Row],[html_type]]&amp;Table1[[#This Row],[html_modifier]]</f>
        <v/>
      </c>
      <c r="AL684" s="22" t="str">
        <f>IFERROR(_xlfn.XLOOKUP(Table1[[#This Row],[word]],Table57[English style name],Table57[Style type]),"")</f>
        <v/>
      </c>
      <c r="AM684" s="20"/>
      <c r="AN684" s="11"/>
      <c r="AQ684" s="6" t="s">
        <v>1480</v>
      </c>
      <c r="AR684" t="s">
        <v>1464</v>
      </c>
    </row>
    <row r="685" spans="5:44">
      <c r="E685" s="76"/>
      <c r="F6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5" s="13" t="s">
        <v>337</v>
      </c>
      <c r="H685" s="13" t="s">
        <v>2986</v>
      </c>
      <c r="I685" s="12" t="str">
        <f>Table1[[#This Row],[type]]</f>
        <v>cursor</v>
      </c>
      <c r="J685" s="62" t="str">
        <f>Table1[[#This Row],[Column42]]&amp;IF(Table1[[#This Row],[Column13]]="","",Table1[[#This Row],[Column13]])&amp;IF(Table1[[#This Row],[mod]]="","",Table1[[#This Row],[mod]])</f>
        <v>cursor</v>
      </c>
      <c r="K6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5" t="s">
        <v>1465</v>
      </c>
      <c r="P685" s="6" t="s">
        <v>1481</v>
      </c>
      <c r="Q6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5" s="29"/>
      <c r="AC685" s="25"/>
      <c r="AD685" s="41"/>
      <c r="AE685" s="41"/>
      <c r="AF685" s="11"/>
      <c r="AH685" s="1" t="str">
        <f>Table1[[#This Row],[html_tag]]&amp;Table1[[#This Row],[html_type]]&amp;Table1[[#This Row],[html_modifier]]</f>
        <v/>
      </c>
      <c r="AL685" s="22" t="str">
        <f>IFERROR(_xlfn.XLOOKUP(Table1[[#This Row],[word]],Table57[English style name],Table57[Style type]),"")</f>
        <v/>
      </c>
      <c r="AM685" s="20"/>
      <c r="AN685" s="11"/>
      <c r="AQ685" s="6" t="s">
        <v>1481</v>
      </c>
      <c r="AR685" t="s">
        <v>1464</v>
      </c>
    </row>
    <row r="686" spans="5:44">
      <c r="E686" s="76"/>
      <c r="F6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6" s="13" t="s">
        <v>337</v>
      </c>
      <c r="H686" s="13" t="s">
        <v>2986</v>
      </c>
      <c r="I686" s="12" t="str">
        <f>Table1[[#This Row],[type]]</f>
        <v>cursor</v>
      </c>
      <c r="J686" s="62" t="str">
        <f>Table1[[#This Row],[Column42]]&amp;IF(Table1[[#This Row],[Column13]]="","",Table1[[#This Row],[Column13]])&amp;IF(Table1[[#This Row],[mod]]="","",Table1[[#This Row],[mod]])</f>
        <v>cursor</v>
      </c>
      <c r="K6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6" t="s">
        <v>1465</v>
      </c>
      <c r="P686" s="6" t="s">
        <v>1482</v>
      </c>
      <c r="Q6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6" s="29"/>
      <c r="AC686" s="25"/>
      <c r="AD686" s="41"/>
      <c r="AE686" s="41"/>
      <c r="AF686" s="11"/>
      <c r="AH686" s="1" t="str">
        <f>Table1[[#This Row],[html_tag]]&amp;Table1[[#This Row],[html_type]]&amp;Table1[[#This Row],[html_modifier]]</f>
        <v/>
      </c>
      <c r="AL686" s="22" t="str">
        <f>IFERROR(_xlfn.XLOOKUP(Table1[[#This Row],[word]],Table57[English style name],Table57[Style type]),"")</f>
        <v/>
      </c>
      <c r="AM686" s="20"/>
      <c r="AN686" s="11"/>
      <c r="AQ686" s="6" t="s">
        <v>1482</v>
      </c>
      <c r="AR686" t="s">
        <v>1464</v>
      </c>
    </row>
    <row r="687" spans="5:44">
      <c r="E687" s="76"/>
      <c r="F6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7" s="13" t="s">
        <v>337</v>
      </c>
      <c r="H687" s="13" t="s">
        <v>2986</v>
      </c>
      <c r="I687" s="12" t="str">
        <f>Table1[[#This Row],[type]]</f>
        <v>cursor</v>
      </c>
      <c r="J687" s="62" t="str">
        <f>Table1[[#This Row],[Column42]]&amp;IF(Table1[[#This Row],[Column13]]="","",Table1[[#This Row],[Column13]])&amp;IF(Table1[[#This Row],[mod]]="","",Table1[[#This Row],[mod]])</f>
        <v>cursor</v>
      </c>
      <c r="K6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7" t="s">
        <v>1465</v>
      </c>
      <c r="P687" s="6" t="s">
        <v>1483</v>
      </c>
      <c r="Q6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7" s="29"/>
      <c r="AC687" s="25"/>
      <c r="AD687" s="41"/>
      <c r="AE687" s="41"/>
      <c r="AF687" s="11"/>
      <c r="AH687" s="1" t="str">
        <f>Table1[[#This Row],[html_tag]]&amp;Table1[[#This Row],[html_type]]&amp;Table1[[#This Row],[html_modifier]]</f>
        <v/>
      </c>
      <c r="AL687" s="22" t="str">
        <f>IFERROR(_xlfn.XLOOKUP(Table1[[#This Row],[word]],Table57[English style name],Table57[Style type]),"")</f>
        <v/>
      </c>
      <c r="AM687" s="20"/>
      <c r="AN687" s="11"/>
      <c r="AQ687" s="6" t="s">
        <v>1483</v>
      </c>
      <c r="AR687" t="s">
        <v>1464</v>
      </c>
    </row>
    <row r="688" spans="5:44">
      <c r="E688" s="76"/>
      <c r="F6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8" s="13" t="s">
        <v>337</v>
      </c>
      <c r="H688" s="13" t="s">
        <v>2986</v>
      </c>
      <c r="I688" s="12" t="str">
        <f>Table1[[#This Row],[type]]</f>
        <v>cursor</v>
      </c>
      <c r="J688" s="62" t="str">
        <f>Table1[[#This Row],[Column42]]&amp;IF(Table1[[#This Row],[Column13]]="","",Table1[[#This Row],[Column13]])&amp;IF(Table1[[#This Row],[mod]]="","",Table1[[#This Row],[mod]])</f>
        <v>cursor</v>
      </c>
      <c r="K6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8" t="s">
        <v>1465</v>
      </c>
      <c r="P688" s="6" t="s">
        <v>1484</v>
      </c>
      <c r="Q6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8" s="29"/>
      <c r="AC688" s="25"/>
      <c r="AD688" s="41"/>
      <c r="AE688" s="41"/>
      <c r="AF688" s="11"/>
      <c r="AH688" s="1" t="str">
        <f>Table1[[#This Row],[html_tag]]&amp;Table1[[#This Row],[html_type]]&amp;Table1[[#This Row],[html_modifier]]</f>
        <v/>
      </c>
      <c r="AL688" s="22" t="str">
        <f>IFERROR(_xlfn.XLOOKUP(Table1[[#This Row],[word]],Table57[English style name],Table57[Style type]),"")</f>
        <v/>
      </c>
      <c r="AM688" s="20"/>
      <c r="AN688" s="11"/>
      <c r="AQ688" s="6" t="s">
        <v>1484</v>
      </c>
      <c r="AR688" t="s">
        <v>1464</v>
      </c>
    </row>
    <row r="689" spans="5:44">
      <c r="E689" s="76"/>
      <c r="F6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9" s="13" t="s">
        <v>337</v>
      </c>
      <c r="H689" s="13" t="s">
        <v>2986</v>
      </c>
      <c r="I689" s="12" t="str">
        <f>Table1[[#This Row],[type]]</f>
        <v>cursor</v>
      </c>
      <c r="J689" s="62" t="str">
        <f>Table1[[#This Row],[Column42]]&amp;IF(Table1[[#This Row],[Column13]]="","",Table1[[#This Row],[Column13]])&amp;IF(Table1[[#This Row],[mod]]="","",Table1[[#This Row],[mod]])</f>
        <v>cursor</v>
      </c>
      <c r="K6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9" t="s">
        <v>1465</v>
      </c>
      <c r="P689" s="6" t="s">
        <v>1485</v>
      </c>
      <c r="Q6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9" s="29"/>
      <c r="AC689" s="25"/>
      <c r="AD689" s="41"/>
      <c r="AE689" s="41"/>
      <c r="AF689" s="11"/>
      <c r="AH689" s="1" t="str">
        <f>Table1[[#This Row],[html_tag]]&amp;Table1[[#This Row],[html_type]]&amp;Table1[[#This Row],[html_modifier]]</f>
        <v/>
      </c>
      <c r="AL689" s="22" t="str">
        <f>IFERROR(_xlfn.XLOOKUP(Table1[[#This Row],[word]],Table57[English style name],Table57[Style type]),"")</f>
        <v/>
      </c>
      <c r="AM689" s="20"/>
      <c r="AN689" s="11"/>
      <c r="AQ689" s="6" t="s">
        <v>1485</v>
      </c>
      <c r="AR689" t="s">
        <v>1464</v>
      </c>
    </row>
    <row r="690" spans="5:44">
      <c r="E690" s="76"/>
      <c r="F6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0" s="13" t="s">
        <v>337</v>
      </c>
      <c r="H690" s="13" t="s">
        <v>2986</v>
      </c>
      <c r="I690" s="12" t="str">
        <f>Table1[[#This Row],[type]]</f>
        <v>cursor</v>
      </c>
      <c r="J690" s="62" t="str">
        <f>Table1[[#This Row],[Column42]]&amp;IF(Table1[[#This Row],[Column13]]="","",Table1[[#This Row],[Column13]])&amp;IF(Table1[[#This Row],[mod]]="","",Table1[[#This Row],[mod]])</f>
        <v>cursor</v>
      </c>
      <c r="K6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0" t="s">
        <v>1465</v>
      </c>
      <c r="P690" s="6" t="s">
        <v>1486</v>
      </c>
      <c r="Q6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0" s="29"/>
      <c r="AC690" s="25"/>
      <c r="AD690" s="41"/>
      <c r="AE690" s="41"/>
      <c r="AF690" s="11"/>
      <c r="AH690" s="1" t="str">
        <f>Table1[[#This Row],[html_tag]]&amp;Table1[[#This Row],[html_type]]&amp;Table1[[#This Row],[html_modifier]]</f>
        <v/>
      </c>
      <c r="AL690" s="22" t="str">
        <f>IFERROR(_xlfn.XLOOKUP(Table1[[#This Row],[word]],Table57[English style name],Table57[Style type]),"")</f>
        <v/>
      </c>
      <c r="AM690" s="20"/>
      <c r="AN690" s="11"/>
      <c r="AQ690" s="6" t="s">
        <v>1486</v>
      </c>
      <c r="AR690" t="s">
        <v>1464</v>
      </c>
    </row>
    <row r="691" spans="5:44">
      <c r="E691" s="76"/>
      <c r="F6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1" s="13" t="s">
        <v>337</v>
      </c>
      <c r="H691" s="13" t="s">
        <v>2986</v>
      </c>
      <c r="I691" s="12" t="str">
        <f>Table1[[#This Row],[type]]</f>
        <v>cursor</v>
      </c>
      <c r="J691" s="62" t="str">
        <f>Table1[[#This Row],[Column42]]&amp;IF(Table1[[#This Row],[Column13]]="","",Table1[[#This Row],[Column13]])&amp;IF(Table1[[#This Row],[mod]]="","",Table1[[#This Row],[mod]])</f>
        <v>cursor</v>
      </c>
      <c r="K6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1" t="s">
        <v>1465</v>
      </c>
      <c r="P691" s="6" t="s">
        <v>1487</v>
      </c>
      <c r="Q6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1" s="29"/>
      <c r="AC691" s="25"/>
      <c r="AD691" s="41"/>
      <c r="AE691" s="41"/>
      <c r="AF691" s="11"/>
      <c r="AH691" s="1" t="str">
        <f>Table1[[#This Row],[html_tag]]&amp;Table1[[#This Row],[html_type]]&amp;Table1[[#This Row],[html_modifier]]</f>
        <v/>
      </c>
      <c r="AL691" s="22" t="str">
        <f>IFERROR(_xlfn.XLOOKUP(Table1[[#This Row],[word]],Table57[English style name],Table57[Style type]),"")</f>
        <v/>
      </c>
      <c r="AM691" s="20"/>
      <c r="AN691" s="11"/>
      <c r="AQ691" s="6" t="s">
        <v>1487</v>
      </c>
      <c r="AR691" t="s">
        <v>1464</v>
      </c>
    </row>
    <row r="692" spans="5:44">
      <c r="E692" s="76"/>
      <c r="F6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2" s="13" t="s">
        <v>337</v>
      </c>
      <c r="H692" s="13" t="s">
        <v>2986</v>
      </c>
      <c r="I692" s="12" t="str">
        <f>Table1[[#This Row],[type]]</f>
        <v>cursor</v>
      </c>
      <c r="J692" s="62" t="str">
        <f>Table1[[#This Row],[Column42]]&amp;IF(Table1[[#This Row],[Column13]]="","",Table1[[#This Row],[Column13]])&amp;IF(Table1[[#This Row],[mod]]="","",Table1[[#This Row],[mod]])</f>
        <v>cursor</v>
      </c>
      <c r="K6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2" t="s">
        <v>1465</v>
      </c>
      <c r="P692" s="6" t="s">
        <v>1488</v>
      </c>
      <c r="Q6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2" s="29"/>
      <c r="AC692" s="25"/>
      <c r="AD692" s="41"/>
      <c r="AE692" s="41"/>
      <c r="AF692" s="11"/>
      <c r="AH692" s="1" t="str">
        <f>Table1[[#This Row],[html_tag]]&amp;Table1[[#This Row],[html_type]]&amp;Table1[[#This Row],[html_modifier]]</f>
        <v/>
      </c>
      <c r="AL692" s="22" t="str">
        <f>IFERROR(_xlfn.XLOOKUP(Table1[[#This Row],[word]],Table57[English style name],Table57[Style type]),"")</f>
        <v/>
      </c>
      <c r="AM692" s="20"/>
      <c r="AN692" s="11"/>
      <c r="AQ692" s="6" t="s">
        <v>1488</v>
      </c>
      <c r="AR692" t="s">
        <v>1464</v>
      </c>
    </row>
    <row r="693" spans="5:44">
      <c r="E693" s="76"/>
      <c r="F6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3" s="13" t="s">
        <v>337</v>
      </c>
      <c r="H693" s="13" t="s">
        <v>2986</v>
      </c>
      <c r="I693" s="12" t="str">
        <f>Table1[[#This Row],[type]]</f>
        <v>cursor</v>
      </c>
      <c r="J693" s="62" t="str">
        <f>Table1[[#This Row],[Column42]]&amp;IF(Table1[[#This Row],[Column13]]="","",Table1[[#This Row],[Column13]])&amp;IF(Table1[[#This Row],[mod]]="","",Table1[[#This Row],[mod]])</f>
        <v>cursor</v>
      </c>
      <c r="K6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3" t="s">
        <v>1465</v>
      </c>
      <c r="P693" s="6" t="s">
        <v>1489</v>
      </c>
      <c r="Q6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3" s="29"/>
      <c r="AC693" s="25"/>
      <c r="AD693" s="41"/>
      <c r="AE693" s="41"/>
      <c r="AF693" s="11"/>
      <c r="AH693" s="1" t="str">
        <f>Table1[[#This Row],[html_tag]]&amp;Table1[[#This Row],[html_type]]&amp;Table1[[#This Row],[html_modifier]]</f>
        <v/>
      </c>
      <c r="AL693" s="22" t="str">
        <f>IFERROR(_xlfn.XLOOKUP(Table1[[#This Row],[word]],Table57[English style name],Table57[Style type]),"")</f>
        <v/>
      </c>
      <c r="AM693" s="20"/>
      <c r="AN693" s="11"/>
      <c r="AQ693" s="6" t="s">
        <v>1489</v>
      </c>
      <c r="AR693" t="s">
        <v>1464</v>
      </c>
    </row>
    <row r="694" spans="5:44">
      <c r="E694" s="76"/>
      <c r="F6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4" s="13" t="s">
        <v>337</v>
      </c>
      <c r="H694" s="13" t="s">
        <v>2986</v>
      </c>
      <c r="I694" s="12" t="str">
        <f>Table1[[#This Row],[type]]</f>
        <v>cursor</v>
      </c>
      <c r="J694" s="62" t="str">
        <f>Table1[[#This Row],[Column42]]&amp;IF(Table1[[#This Row],[Column13]]="","",Table1[[#This Row],[Column13]])&amp;IF(Table1[[#This Row],[mod]]="","",Table1[[#This Row],[mod]])</f>
        <v>cursor</v>
      </c>
      <c r="K6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4" t="s">
        <v>1465</v>
      </c>
      <c r="P694" s="6" t="s">
        <v>1490</v>
      </c>
      <c r="Q6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4" s="29"/>
      <c r="AC694" s="25"/>
      <c r="AD694" s="41"/>
      <c r="AE694" s="41"/>
      <c r="AF694" s="11"/>
      <c r="AH694" s="1" t="str">
        <f>Table1[[#This Row],[html_tag]]&amp;Table1[[#This Row],[html_type]]&amp;Table1[[#This Row],[html_modifier]]</f>
        <v/>
      </c>
      <c r="AL694" s="22" t="str">
        <f>IFERROR(_xlfn.XLOOKUP(Table1[[#This Row],[word]],Table57[English style name],Table57[Style type]),"")</f>
        <v/>
      </c>
      <c r="AM694" s="20"/>
      <c r="AN694" s="11"/>
      <c r="AQ694" s="6" t="s">
        <v>1490</v>
      </c>
      <c r="AR694" t="s">
        <v>1464</v>
      </c>
    </row>
    <row r="695" spans="5:44">
      <c r="E695" s="76"/>
      <c r="F6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5" s="13" t="s">
        <v>337</v>
      </c>
      <c r="H695" s="13" t="s">
        <v>2986</v>
      </c>
      <c r="I695" s="12" t="str">
        <f>Table1[[#This Row],[type]]</f>
        <v>cursor</v>
      </c>
      <c r="J695" s="62" t="str">
        <f>Table1[[#This Row],[Column42]]&amp;IF(Table1[[#This Row],[Column13]]="","",Table1[[#This Row],[Column13]])&amp;IF(Table1[[#This Row],[mod]]="","",Table1[[#This Row],[mod]])</f>
        <v>cursor</v>
      </c>
      <c r="K6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5" t="s">
        <v>1465</v>
      </c>
      <c r="P695" s="6" t="s">
        <v>1492</v>
      </c>
      <c r="Q6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5" s="29"/>
      <c r="AC695" s="25"/>
      <c r="AD695" s="41"/>
      <c r="AE695" s="41"/>
      <c r="AF695" s="11"/>
      <c r="AH695" s="1" t="str">
        <f>Table1[[#This Row],[html_tag]]&amp;Table1[[#This Row],[html_type]]&amp;Table1[[#This Row],[html_modifier]]</f>
        <v/>
      </c>
      <c r="AL695" s="22" t="str">
        <f>IFERROR(_xlfn.XLOOKUP(Table1[[#This Row],[word]],Table57[English style name],Table57[Style type]),"")</f>
        <v/>
      </c>
      <c r="AM695" s="20"/>
      <c r="AN695" s="11"/>
      <c r="AQ695" s="6" t="s">
        <v>1492</v>
      </c>
      <c r="AR695" t="s">
        <v>1464</v>
      </c>
    </row>
    <row r="696" spans="5:44">
      <c r="E696" s="76"/>
      <c r="F6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6" s="13" t="s">
        <v>337</v>
      </c>
      <c r="H696" s="13" t="s">
        <v>2986</v>
      </c>
      <c r="I696" s="12" t="str">
        <f>Table1[[#This Row],[type]]</f>
        <v>cursor</v>
      </c>
      <c r="J696" s="62" t="str">
        <f>Table1[[#This Row],[Column42]]&amp;IF(Table1[[#This Row],[Column13]]="","",Table1[[#This Row],[Column13]])&amp;IF(Table1[[#This Row],[mod]]="","",Table1[[#This Row],[mod]])</f>
        <v>cursor__text</v>
      </c>
      <c r="K6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cursor__text</v>
      </c>
      <c r="L696" t="s">
        <v>1465</v>
      </c>
      <c r="O696" t="s">
        <v>403</v>
      </c>
      <c r="P696" s="6"/>
      <c r="Q6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6" s="29"/>
      <c r="AC696" s="25"/>
      <c r="AD696" s="41"/>
      <c r="AE696" s="41"/>
      <c r="AF696" s="11"/>
      <c r="AH696" s="1" t="str">
        <f>Table1[[#This Row],[html_tag]]&amp;Table1[[#This Row],[html_type]]&amp;Table1[[#This Row],[html_modifier]]</f>
        <v/>
      </c>
      <c r="AL696" s="22" t="str">
        <f>IFERROR(_xlfn.XLOOKUP(Table1[[#This Row],[word]],Table57[English style name],Table57[Style type]),"")</f>
        <v/>
      </c>
      <c r="AM696" s="20"/>
      <c r="AN696" s="11"/>
      <c r="AQ696" s="6" t="s">
        <v>1491</v>
      </c>
      <c r="AR696" t="s">
        <v>1464</v>
      </c>
    </row>
    <row r="697" spans="5:44">
      <c r="E697" s="76"/>
      <c r="F6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7" s="13" t="s">
        <v>337</v>
      </c>
      <c r="H697" s="13" t="s">
        <v>2986</v>
      </c>
      <c r="I697" s="12" t="str">
        <f>Table1[[#This Row],[type]]</f>
        <v>cursor</v>
      </c>
      <c r="J697" s="62" t="str">
        <f>Table1[[#This Row],[Column42]]&amp;IF(Table1[[#This Row],[Column13]]="","",Table1[[#This Row],[Column13]])&amp;IF(Table1[[#This Row],[mod]]="","",Table1[[#This Row],[mod]])</f>
        <v>cursor--default</v>
      </c>
      <c r="K6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7" t="s">
        <v>1465</v>
      </c>
      <c r="Q6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697" t="s">
        <v>3004</v>
      </c>
      <c r="AB697" s="29"/>
      <c r="AC697" s="25"/>
      <c r="AD697" s="41"/>
      <c r="AE697" s="41"/>
      <c r="AF697" s="11"/>
      <c r="AH697" s="1" t="str">
        <f>Table1[[#This Row],[html_tag]]&amp;Table1[[#This Row],[html_type]]&amp;Table1[[#This Row],[html_modifier]]</f>
        <v/>
      </c>
      <c r="AL697" s="22" t="str">
        <f>IFERROR(_xlfn.XLOOKUP(Table1[[#This Row],[word]],Table57[English style name],Table57[Style type]),"")</f>
        <v/>
      </c>
      <c r="AM697" s="20"/>
      <c r="AN697" s="11"/>
      <c r="AQ697" s="6" t="s">
        <v>1470</v>
      </c>
      <c r="AR697" t="s">
        <v>1464</v>
      </c>
    </row>
    <row r="698" spans="5:44">
      <c r="E698" s="76"/>
      <c r="F6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698" s="13"/>
      <c r="H698" s="13"/>
      <c r="I698" s="12" t="str">
        <f>Table1[[#This Row],[type]]</f>
        <v>dial</v>
      </c>
      <c r="J698" s="62" t="str">
        <f>Table1[[#This Row],[Column42]]&amp;IF(Table1[[#This Row],[Column13]]="","",Table1[[#This Row],[Column13]])&amp;IF(Table1[[#This Row],[mod]]="","",Table1[[#This Row],[mod]])</f>
        <v>dial</v>
      </c>
      <c r="K6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698" t="s">
        <v>6881</v>
      </c>
      <c r="Q69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8" s="29"/>
      <c r="AC698" s="25"/>
      <c r="AD698" s="41" t="s">
        <v>6879</v>
      </c>
      <c r="AE698" s="41"/>
      <c r="AF698" s="11"/>
      <c r="AH698" s="7" t="str">
        <f>Table1[[#This Row],[html_tag]]&amp;Table1[[#This Row],[html_type]]&amp;Table1[[#This Row],[html_modifier]]</f>
        <v/>
      </c>
      <c r="AL698" s="23" t="str">
        <f>IFERROR(_xlfn.XLOOKUP(Table1[[#This Row],[word]],Table57[English style name],Table57[Style type]),"")</f>
        <v/>
      </c>
      <c r="AM698" s="21"/>
      <c r="AN698" s="11"/>
    </row>
    <row r="699" spans="5:44">
      <c r="E699" s="76"/>
      <c r="F6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699" s="13"/>
      <c r="H699" s="13"/>
      <c r="I699" s="12" t="str">
        <f>Table1[[#This Row],[type]]</f>
        <v>dial</v>
      </c>
      <c r="J699" s="62" t="str">
        <f>Table1[[#This Row],[Column42]]&amp;IF(Table1[[#This Row],[Column13]]="","",Table1[[#This Row],[Column13]])&amp;IF(Table1[[#This Row],[mod]]="","",Table1[[#This Row],[mod]])</f>
        <v>dial</v>
      </c>
      <c r="K6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699" t="s">
        <v>6881</v>
      </c>
      <c r="Q69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9" s="29"/>
      <c r="AC699" s="25"/>
      <c r="AD699" s="41" t="s">
        <v>6880</v>
      </c>
      <c r="AE699" s="41"/>
      <c r="AF699" s="11"/>
      <c r="AH699" s="7" t="str">
        <f>Table1[[#This Row],[html_tag]]&amp;Table1[[#This Row],[html_type]]&amp;Table1[[#This Row],[html_modifier]]</f>
        <v/>
      </c>
      <c r="AL699" s="23" t="str">
        <f>IFERROR(_xlfn.XLOOKUP(Table1[[#This Row],[word]],Table57[English style name],Table57[Style type]),"")</f>
        <v/>
      </c>
      <c r="AM699" s="21"/>
      <c r="AN699" s="11"/>
    </row>
    <row r="700" spans="5:44">
      <c r="E700" s="76"/>
      <c r="F7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00" s="13"/>
      <c r="H700" s="13"/>
      <c r="I700" s="12" t="str">
        <f>Table1[[#This Row],[type]]</f>
        <v>dial</v>
      </c>
      <c r="J700" s="62" t="str">
        <f>Table1[[#This Row],[Column42]]&amp;IF(Table1[[#This Row],[Column13]]="","",Table1[[#This Row],[Column13]])&amp;IF(Table1[[#This Row],[mod]]="","",Table1[[#This Row],[mod]])</f>
        <v>dial</v>
      </c>
      <c r="K7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700" t="s">
        <v>6881</v>
      </c>
      <c r="Q70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0" s="29"/>
      <c r="AC700" s="25"/>
      <c r="AD700" s="41" t="s">
        <v>6878</v>
      </c>
      <c r="AE700" s="41"/>
      <c r="AF700" s="11"/>
      <c r="AH700" s="7" t="str">
        <f>Table1[[#This Row],[html_tag]]&amp;Table1[[#This Row],[html_type]]&amp;Table1[[#This Row],[html_modifier]]</f>
        <v/>
      </c>
      <c r="AL700" s="23" t="str">
        <f>IFERROR(_xlfn.XLOOKUP(Table1[[#This Row],[word]],Table57[English style name],Table57[Style type]),"")</f>
        <v/>
      </c>
      <c r="AM700" s="21"/>
      <c r="AN700" s="11"/>
    </row>
    <row r="701" spans="5:44">
      <c r="E701" s="76"/>
      <c r="F7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01" s="13"/>
      <c r="H701" s="13"/>
      <c r="I701" s="12" t="str">
        <f>Table1[[#This Row],[type]]</f>
        <v>dial</v>
      </c>
      <c r="J701" s="62" t="str">
        <f>Table1[[#This Row],[Column42]]&amp;IF(Table1[[#This Row],[Column13]]="","",Table1[[#This Row],[Column13]])&amp;IF(Table1[[#This Row],[mod]]="","",Table1[[#This Row],[mod]])</f>
        <v>dial</v>
      </c>
      <c r="K7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701" t="s">
        <v>6881</v>
      </c>
      <c r="Q7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1" s="29"/>
      <c r="AC701" s="25"/>
      <c r="AD701" s="41" t="s">
        <v>6877</v>
      </c>
      <c r="AE701" s="41"/>
      <c r="AF701" s="11"/>
      <c r="AH701" s="7" t="str">
        <f>Table1[[#This Row],[html_tag]]&amp;Table1[[#This Row],[html_type]]&amp;Table1[[#This Row],[html_modifier]]</f>
        <v/>
      </c>
      <c r="AL701" s="23" t="str">
        <f>IFERROR(_xlfn.XLOOKUP(Table1[[#This Row],[word]],Table57[English style name],Table57[Style type]),"")</f>
        <v/>
      </c>
      <c r="AM701" s="21"/>
      <c r="AN701" s="11"/>
    </row>
    <row r="702" spans="5:44">
      <c r="E702" s="76"/>
      <c r="F7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2" s="13" t="s">
        <v>337</v>
      </c>
      <c r="H702" s="13" t="s">
        <v>2986</v>
      </c>
      <c r="I702" s="12" t="str">
        <f>Table1[[#This Row],[type]]</f>
        <v>dim</v>
      </c>
      <c r="J702" s="62" t="str">
        <f>Table1[[#This Row],[Column42]]&amp;IF(Table1[[#This Row],[Column13]]="","",Table1[[#This Row],[Column13]])&amp;IF(Table1[[#This Row],[mod]]="","",Table1[[#This Row],[mod]])</f>
        <v>dim</v>
      </c>
      <c r="K7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</v>
      </c>
      <c r="L702" t="s">
        <v>1507</v>
      </c>
      <c r="P702" s="6"/>
      <c r="Q7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2" s="29"/>
      <c r="AC702" s="25"/>
      <c r="AD702" s="41"/>
      <c r="AE702" s="41"/>
      <c r="AF702" s="11"/>
      <c r="AH702" s="1" t="str">
        <f>Table1[[#This Row],[html_tag]]&amp;Table1[[#This Row],[html_type]]&amp;Table1[[#This Row],[html_modifier]]</f>
        <v/>
      </c>
      <c r="AL702" s="22" t="str">
        <f>IFERROR(_xlfn.XLOOKUP(Table1[[#This Row],[word]],Table57[English style name],Table57[Style type]),"")</f>
        <v/>
      </c>
      <c r="AM702" s="20"/>
      <c r="AN702" s="11"/>
      <c r="AQ702" s="6" t="s">
        <v>1507</v>
      </c>
      <c r="AR702" t="s">
        <v>1508</v>
      </c>
    </row>
    <row r="703" spans="5:44">
      <c r="E703" s="76"/>
      <c r="F7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3" s="13" t="s">
        <v>337</v>
      </c>
      <c r="H703" s="13" t="s">
        <v>2986</v>
      </c>
      <c r="I703" s="12" t="str">
        <f>Table1[[#This Row],[type]]</f>
        <v>dim</v>
      </c>
      <c r="J703" s="62" t="str">
        <f>Table1[[#This Row],[Column42]]&amp;IF(Table1[[#This Row],[Column13]]="","",Table1[[#This Row],[Column13]])&amp;IF(Table1[[#This Row],[mod]]="","",Table1[[#This Row],[mod]])</f>
        <v>dim__box</v>
      </c>
      <c r="K7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</v>
      </c>
      <c r="L703" t="s">
        <v>1507</v>
      </c>
      <c r="M703" t="s">
        <v>3206</v>
      </c>
      <c r="P703" s="6"/>
      <c r="Q7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3" s="29"/>
      <c r="AC703" s="25"/>
      <c r="AD703" s="41"/>
      <c r="AE703" s="41"/>
      <c r="AF703" s="11"/>
      <c r="AH703" s="1" t="str">
        <f>Table1[[#This Row],[html_tag]]&amp;Table1[[#This Row],[html_type]]&amp;Table1[[#This Row],[html_modifier]]</f>
        <v/>
      </c>
      <c r="AL703" s="22" t="str">
        <f>IFERROR(_xlfn.XLOOKUP(Table1[[#This Row],[word]],Table57[English style name],Table57[Style type]),"")</f>
        <v/>
      </c>
      <c r="AM703" s="20"/>
      <c r="AN703" s="11"/>
      <c r="AQ703" s="6" t="s">
        <v>1512</v>
      </c>
      <c r="AR703" t="s">
        <v>1508</v>
      </c>
    </row>
    <row r="704" spans="5:44">
      <c r="E704" s="76"/>
      <c r="F7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4" s="13" t="s">
        <v>337</v>
      </c>
      <c r="H704" s="13" t="s">
        <v>2986</v>
      </c>
      <c r="I704" s="12" t="str">
        <f>Table1[[#This Row],[type]]</f>
        <v>dim</v>
      </c>
      <c r="J704" s="62" t="str">
        <f>Table1[[#This Row],[Column42]]&amp;IF(Table1[[#This Row],[Column13]]="","",Table1[[#This Row],[Column13]])&amp;IF(Table1[[#This Row],[mod]]="","",Table1[[#This Row],[mod]])</f>
        <v>dim__box__bottom</v>
      </c>
      <c r="K7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dim__box__bottom</v>
      </c>
      <c r="L704" t="s">
        <v>1507</v>
      </c>
      <c r="M704" t="s">
        <v>3206</v>
      </c>
      <c r="N704" t="s">
        <v>3186</v>
      </c>
      <c r="P704" s="6"/>
      <c r="Q7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4" s="29"/>
      <c r="AC704" s="25"/>
      <c r="AD704" s="41"/>
      <c r="AE704" s="41"/>
      <c r="AF704" s="11"/>
      <c r="AH704" s="1" t="str">
        <f>Table1[[#This Row],[html_tag]]&amp;Table1[[#This Row],[html_type]]&amp;Table1[[#This Row],[html_modifier]]</f>
        <v/>
      </c>
      <c r="AL704" s="22" t="str">
        <f>IFERROR(_xlfn.XLOOKUP(Table1[[#This Row],[word]],Table57[English style name],Table57[Style type]),"")</f>
        <v/>
      </c>
      <c r="AM704" s="20"/>
      <c r="AN704" s="11"/>
      <c r="AQ704" s="6" t="s">
        <v>1513</v>
      </c>
      <c r="AR704" t="s">
        <v>1508</v>
      </c>
    </row>
    <row r="705" spans="5:44">
      <c r="E705" s="76"/>
      <c r="F7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5" s="13" t="s">
        <v>337</v>
      </c>
      <c r="H705" s="13" t="s">
        <v>2986</v>
      </c>
      <c r="I705" s="12" t="str">
        <f>Table1[[#This Row],[type]]</f>
        <v>dim</v>
      </c>
      <c r="J705" s="62" t="str">
        <f>Table1[[#This Row],[Column42]]&amp;IF(Table1[[#This Row],[Column13]]="","",Table1[[#This Row],[Column13]])&amp;IF(Table1[[#This Row],[mod]]="","",Table1[[#This Row],[mod]])</f>
        <v>dim__box__left</v>
      </c>
      <c r="K7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dim__box__left</v>
      </c>
      <c r="L705" t="s">
        <v>1507</v>
      </c>
      <c r="M705" t="s">
        <v>3206</v>
      </c>
      <c r="N705" t="s">
        <v>616</v>
      </c>
      <c r="P705" s="6"/>
      <c r="Q7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5" s="29"/>
      <c r="AC705" s="25"/>
      <c r="AD705" s="41"/>
      <c r="AE705" s="41"/>
      <c r="AF705" s="11"/>
      <c r="AH705" s="1" t="str">
        <f>Table1[[#This Row],[html_tag]]&amp;Table1[[#This Row],[html_type]]&amp;Table1[[#This Row],[html_modifier]]</f>
        <v/>
      </c>
      <c r="AL705" s="22" t="str">
        <f>IFERROR(_xlfn.XLOOKUP(Table1[[#This Row],[word]],Table57[English style name],Table57[Style type]),"")</f>
        <v/>
      </c>
      <c r="AM705" s="20"/>
      <c r="AN705" s="11"/>
      <c r="AQ705" s="6" t="s">
        <v>1514</v>
      </c>
      <c r="AR705" t="s">
        <v>1508</v>
      </c>
    </row>
    <row r="706" spans="5:44">
      <c r="E706" s="76"/>
      <c r="F7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6" s="13" t="s">
        <v>337</v>
      </c>
      <c r="H706" s="13" t="s">
        <v>2986</v>
      </c>
      <c r="I706" s="12" t="str">
        <f>Table1[[#This Row],[type]]</f>
        <v>dim</v>
      </c>
      <c r="J706" s="62" t="str">
        <f>Table1[[#This Row],[Column42]]&amp;IF(Table1[[#This Row],[Column13]]="","",Table1[[#This Row],[Column13]])&amp;IF(Table1[[#This Row],[mod]]="","",Table1[[#This Row],[mod]])</f>
        <v>dim__box__right</v>
      </c>
      <c r="K7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dim__box__right</v>
      </c>
      <c r="L706" t="s">
        <v>1507</v>
      </c>
      <c r="M706" t="s">
        <v>3206</v>
      </c>
      <c r="N706" t="s">
        <v>617</v>
      </c>
      <c r="P706" s="6"/>
      <c r="Q7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6" s="29"/>
      <c r="AC706" s="25"/>
      <c r="AD706" s="41"/>
      <c r="AE706" s="41"/>
      <c r="AF706" s="11"/>
      <c r="AH706" s="1" t="str">
        <f>Table1[[#This Row],[html_tag]]&amp;Table1[[#This Row],[html_type]]&amp;Table1[[#This Row],[html_modifier]]</f>
        <v/>
      </c>
      <c r="AL706" s="22" t="str">
        <f>IFERROR(_xlfn.XLOOKUP(Table1[[#This Row],[word]],Table57[English style name],Table57[Style type]),"")</f>
        <v/>
      </c>
      <c r="AM706" s="20"/>
      <c r="AN706" s="11"/>
      <c r="AQ706" s="6" t="s">
        <v>1515</v>
      </c>
      <c r="AR706" t="s">
        <v>1508</v>
      </c>
    </row>
    <row r="707" spans="5:44">
      <c r="E707" s="76"/>
      <c r="F7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7" s="13" t="s">
        <v>337</v>
      </c>
      <c r="H707" s="13" t="s">
        <v>2986</v>
      </c>
      <c r="I707" s="12" t="str">
        <f>Table1[[#This Row],[type]]</f>
        <v>dim</v>
      </c>
      <c r="J707" s="62" t="str">
        <f>Table1[[#This Row],[Column42]]&amp;IF(Table1[[#This Row],[Column13]]="","",Table1[[#This Row],[Column13]])&amp;IF(Table1[[#This Row],[mod]]="","",Table1[[#This Row],[mod]])</f>
        <v>dim__box__top</v>
      </c>
      <c r="K7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dim__box__top</v>
      </c>
      <c r="L707" t="s">
        <v>1507</v>
      </c>
      <c r="M707" t="s">
        <v>3206</v>
      </c>
      <c r="N707" t="s">
        <v>3182</v>
      </c>
      <c r="P707" s="6"/>
      <c r="Q7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7" s="29"/>
      <c r="AC707" s="25"/>
      <c r="AD707" s="41"/>
      <c r="AE707" s="41"/>
      <c r="AF707" s="11"/>
      <c r="AH707" s="1" t="str">
        <f>Table1[[#This Row],[html_tag]]&amp;Table1[[#This Row],[html_type]]&amp;Table1[[#This Row],[html_modifier]]</f>
        <v/>
      </c>
      <c r="AL707" s="22" t="str">
        <f>IFERROR(_xlfn.XLOOKUP(Table1[[#This Row],[word]],Table57[English style name],Table57[Style type]),"")</f>
        <v/>
      </c>
      <c r="AM707" s="20"/>
      <c r="AN707" s="11"/>
      <c r="AQ707" s="6" t="s">
        <v>1516</v>
      </c>
      <c r="AR707" t="s">
        <v>1508</v>
      </c>
    </row>
    <row r="708" spans="5:44">
      <c r="E708" s="76"/>
      <c r="F7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8" s="13" t="s">
        <v>337</v>
      </c>
      <c r="H708" s="13" t="s">
        <v>2986</v>
      </c>
      <c r="I708" s="12" t="str">
        <f>Table1[[#This Row],[type]]</f>
        <v>dim</v>
      </c>
      <c r="J708" s="62" t="str">
        <f>Table1[[#This Row],[Column42]]&amp;IF(Table1[[#This Row],[Column13]]="","",Table1[[#This Row],[Column13]])&amp;IF(Table1[[#This Row],[mod]]="","",Table1[[#This Row],[mod]])</f>
        <v>dim__line--horizontal</v>
      </c>
      <c r="K7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dim__line</v>
      </c>
      <c r="L708" t="s">
        <v>1507</v>
      </c>
      <c r="M708" t="s">
        <v>2993</v>
      </c>
      <c r="P708" s="6"/>
      <c r="Q7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708" t="s">
        <v>3205</v>
      </c>
      <c r="AB708" s="29"/>
      <c r="AC708" s="25"/>
      <c r="AD708" s="41"/>
      <c r="AE708" s="41"/>
      <c r="AF708" s="11"/>
      <c r="AH708" s="1" t="str">
        <f>Table1[[#This Row],[html_tag]]&amp;Table1[[#This Row],[html_type]]&amp;Table1[[#This Row],[html_modifier]]</f>
        <v/>
      </c>
      <c r="AL708" s="22" t="str">
        <f>IFERROR(_xlfn.XLOOKUP(Table1[[#This Row],[word]],Table57[English style name],Table57[Style type]),"")</f>
        <v/>
      </c>
      <c r="AM708" s="20"/>
      <c r="AN708" s="11"/>
      <c r="AQ708" s="6" t="s">
        <v>1517</v>
      </c>
      <c r="AR708" t="s">
        <v>1508</v>
      </c>
    </row>
    <row r="709" spans="5:44">
      <c r="E709" s="76"/>
      <c r="F7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9" s="13" t="s">
        <v>337</v>
      </c>
      <c r="H709" s="13" t="s">
        <v>2986</v>
      </c>
      <c r="I709" s="12" t="str">
        <f>Table1[[#This Row],[type]]</f>
        <v>dim</v>
      </c>
      <c r="J709" s="62" t="str">
        <f>Table1[[#This Row],[Column42]]&amp;IF(Table1[[#This Row],[Column13]]="","",Table1[[#This Row],[Column13]])&amp;IF(Table1[[#This Row],[mod]]="","",Table1[[#This Row],[mod]])</f>
        <v>dim__line--vertical</v>
      </c>
      <c r="K7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dim__line</v>
      </c>
      <c r="L709" t="s">
        <v>1507</v>
      </c>
      <c r="M709" t="s">
        <v>2993</v>
      </c>
      <c r="P709" s="6"/>
      <c r="Q7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709" t="s">
        <v>2943</v>
      </c>
      <c r="AB709" s="29"/>
      <c r="AC709" s="25"/>
      <c r="AD709" s="41"/>
      <c r="AE709" s="41"/>
      <c r="AF709" s="11"/>
      <c r="AH709" s="1" t="str">
        <f>Table1[[#This Row],[html_tag]]&amp;Table1[[#This Row],[html_type]]&amp;Table1[[#This Row],[html_modifier]]</f>
        <v/>
      </c>
      <c r="AL709" s="22" t="str">
        <f>IFERROR(_xlfn.XLOOKUP(Table1[[#This Row],[word]],Table57[English style name],Table57[Style type]),"")</f>
        <v/>
      </c>
      <c r="AM709" s="20"/>
      <c r="AN709" s="11"/>
      <c r="AQ709" s="6" t="s">
        <v>1518</v>
      </c>
      <c r="AR709" t="s">
        <v>1508</v>
      </c>
    </row>
    <row r="710" spans="5:44">
      <c r="E710" s="76"/>
      <c r="F7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10" s="13" t="s">
        <v>337</v>
      </c>
      <c r="H710" s="13" t="s">
        <v>2986</v>
      </c>
      <c r="I710" s="12" t="str">
        <f>Table1[[#This Row],[type]]</f>
        <v>dim</v>
      </c>
      <c r="J710" s="62" t="str">
        <f>Table1[[#This Row],[Column42]]&amp;IF(Table1[[#This Row],[Column13]]="","",Table1[[#This Row],[Column13]])&amp;IF(Table1[[#This Row],[mod]]="","",Table1[[#This Row],[mod]])</f>
        <v>dim__overlay</v>
      </c>
      <c r="K7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dim__overlay</v>
      </c>
      <c r="L710" t="s">
        <v>1507</v>
      </c>
      <c r="M710" t="s">
        <v>3107</v>
      </c>
      <c r="P710" s="6"/>
      <c r="Q7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0" s="29"/>
      <c r="AC710" s="25"/>
      <c r="AD710" s="41"/>
      <c r="AE710" s="41"/>
      <c r="AF710" s="11"/>
      <c r="AH710" s="1" t="str">
        <f>Table1[[#This Row],[html_tag]]&amp;Table1[[#This Row],[html_type]]&amp;Table1[[#This Row],[html_modifier]]</f>
        <v/>
      </c>
      <c r="AL710" s="22" t="str">
        <f>IFERROR(_xlfn.XLOOKUP(Table1[[#This Row],[word]],Table57[English style name],Table57[Style type]),"")</f>
        <v/>
      </c>
      <c r="AM710" s="20"/>
      <c r="AN710" s="11"/>
      <c r="AQ710" s="6" t="s">
        <v>1510</v>
      </c>
      <c r="AR710" t="s">
        <v>1508</v>
      </c>
    </row>
    <row r="711" spans="5:44">
      <c r="E711" s="76"/>
      <c r="F7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11" s="13" t="s">
        <v>337</v>
      </c>
      <c r="H711" s="13" t="s">
        <v>2986</v>
      </c>
      <c r="I711" s="12" t="str">
        <f>Table1[[#This Row],[type]]</f>
        <v>dim</v>
      </c>
      <c r="J711" s="62" t="str">
        <f>Table1[[#This Row],[Column42]]&amp;IF(Table1[[#This Row],[Column13]]="","",Table1[[#This Row],[Column13]])&amp;IF(Table1[[#This Row],[mod]]="","",Table1[[#This Row],[mod]])</f>
        <v>dim__pointer</v>
      </c>
      <c r="K7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dim__pointer</v>
      </c>
      <c r="L711" t="s">
        <v>1507</v>
      </c>
      <c r="M711" t="s">
        <v>3473</v>
      </c>
      <c r="Q7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1" s="29"/>
      <c r="AC711" s="25"/>
      <c r="AD711" s="41"/>
      <c r="AE711" s="41"/>
      <c r="AF711" s="11"/>
      <c r="AH711" s="1" t="str">
        <f>Table1[[#This Row],[html_tag]]&amp;Table1[[#This Row],[html_type]]&amp;Table1[[#This Row],[html_modifier]]</f>
        <v/>
      </c>
      <c r="AL711" s="22" t="str">
        <f>IFERROR(_xlfn.XLOOKUP(Table1[[#This Row],[word]],Table57[English style name],Table57[Style type]),"")</f>
        <v/>
      </c>
      <c r="AM711" s="20"/>
      <c r="AN711" s="11"/>
      <c r="AQ711" s="6" t="s">
        <v>1519</v>
      </c>
      <c r="AR711" t="s">
        <v>1508</v>
      </c>
    </row>
    <row r="712" spans="5:44">
      <c r="E712" s="76"/>
      <c r="F7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12" s="13" t="s">
        <v>337</v>
      </c>
      <c r="H712" s="13" t="s">
        <v>2986</v>
      </c>
      <c r="I712" s="12" t="str">
        <f>Table1[[#This Row],[type]]</f>
        <v>dim</v>
      </c>
      <c r="J712" s="62" t="str">
        <f>Table1[[#This Row],[Column42]]&amp;IF(Table1[[#This Row],[Column13]]="","",Table1[[#This Row],[Column13]])&amp;IF(Table1[[#This Row],[mod]]="","",Table1[[#This Row],[mod]])</f>
        <v>dim--base</v>
      </c>
      <c r="K7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</v>
      </c>
      <c r="L712" t="s">
        <v>1507</v>
      </c>
      <c r="P712" s="6"/>
      <c r="Q7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12" t="s">
        <v>338</v>
      </c>
      <c r="AB712" s="29"/>
      <c r="AC712" s="25"/>
      <c r="AD712" s="41"/>
      <c r="AE712" s="41"/>
      <c r="AF712" s="11"/>
      <c r="AH712" s="1" t="str">
        <f>Table1[[#This Row],[html_tag]]&amp;Table1[[#This Row],[html_type]]&amp;Table1[[#This Row],[html_modifier]]</f>
        <v/>
      </c>
      <c r="AL712" s="22" t="str">
        <f>IFERROR(_xlfn.XLOOKUP(Table1[[#This Row],[word]],Table57[English style name],Table57[Style type]),"")</f>
        <v/>
      </c>
      <c r="AM712" s="20"/>
      <c r="AN712" s="11"/>
      <c r="AQ712" s="6" t="s">
        <v>1509</v>
      </c>
      <c r="AR712" t="s">
        <v>1508</v>
      </c>
    </row>
    <row r="713" spans="5:44">
      <c r="E713" s="76"/>
      <c r="F7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13" s="13" t="s">
        <v>337</v>
      </c>
      <c r="H713" s="13" t="s">
        <v>2986</v>
      </c>
      <c r="I713" s="12" t="str">
        <f>Table1[[#This Row],[type]]</f>
        <v>dim</v>
      </c>
      <c r="J713" s="62" t="str">
        <f>Table1[[#This Row],[Column42]]&amp;IF(Table1[[#This Row],[Column13]]="","",Table1[[#This Row],[Column13]])&amp;IF(Table1[[#This Row],[mod]]="","",Table1[[#This Row],[mod]])</f>
        <v>dim--selected</v>
      </c>
      <c r="K7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</v>
      </c>
      <c r="L713" t="s">
        <v>1507</v>
      </c>
      <c r="Q7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--selected</v>
      </c>
      <c r="Z713" t="s">
        <v>3474</v>
      </c>
      <c r="AB713" s="29"/>
      <c r="AC713" s="25"/>
      <c r="AD713" s="41"/>
      <c r="AE713" s="41"/>
      <c r="AF713" s="11"/>
      <c r="AH713" s="1" t="str">
        <f>Table1[[#This Row],[html_tag]]&amp;Table1[[#This Row],[html_type]]&amp;Table1[[#This Row],[html_modifier]]</f>
        <v/>
      </c>
      <c r="AL713" s="22" t="str">
        <f>IFERROR(_xlfn.XLOOKUP(Table1[[#This Row],[word]],Table57[English style name],Table57[Style type]),"")</f>
        <v/>
      </c>
      <c r="AM713" s="20"/>
      <c r="AN713" s="11"/>
      <c r="AQ713" s="6" t="s">
        <v>1511</v>
      </c>
      <c r="AR713" t="s">
        <v>1508</v>
      </c>
    </row>
    <row r="714" spans="5:44">
      <c r="E714" s="76"/>
      <c r="F7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14" s="13"/>
      <c r="H714" s="13"/>
      <c r="I714" s="12" t="str">
        <f>Table1[[#This Row],[type]]</f>
        <v>disclosure</v>
      </c>
      <c r="J714" s="62" t="str">
        <f>Table1[[#This Row],[Column42]]&amp;IF(Table1[[#This Row],[Column13]]="","",Table1[[#This Row],[Column13]])&amp;IF(Table1[[#This Row],[mod]]="","",Table1[[#This Row],[mod]])</f>
        <v>disclosure</v>
      </c>
      <c r="K7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14" t="s">
        <v>10128</v>
      </c>
      <c r="Q7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4" s="29"/>
      <c r="AC714" s="25"/>
      <c r="AD714" s="41"/>
      <c r="AE714" s="41"/>
      <c r="AF714" s="11"/>
      <c r="AH714" s="7" t="str">
        <f>Table1[[#This Row],[html_tag]]&amp;Table1[[#This Row],[html_type]]&amp;Table1[[#This Row],[html_modifier]]</f>
        <v/>
      </c>
      <c r="AL714" s="23" t="str">
        <f>IFERROR(_xlfn.XLOOKUP(Table1[[#This Row],[word]],Table57[English style name],Table57[Style type]),"")</f>
        <v/>
      </c>
      <c r="AM714" s="21"/>
      <c r="AN714" s="11"/>
    </row>
    <row r="715" spans="5:44">
      <c r="E715" s="76"/>
      <c r="F7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15" s="13"/>
      <c r="H715" s="13"/>
      <c r="I715" s="12" t="str">
        <f>Table1[[#This Row],[type]]</f>
        <v>disclosure</v>
      </c>
      <c r="J715" s="62" t="str">
        <f>Table1[[#This Row],[Column42]]&amp;IF(Table1[[#This Row],[Column13]]="","",Table1[[#This Row],[Column13]])&amp;IF(Table1[[#This Row],[mod]]="","",Table1[[#This Row],[mod]])</f>
        <v>disclosure__arrow</v>
      </c>
      <c r="K7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disclosure__arrow</v>
      </c>
      <c r="L715" t="s">
        <v>10128</v>
      </c>
      <c r="M715" t="s">
        <v>3447</v>
      </c>
      <c r="Q7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5" s="29"/>
      <c r="AC715" s="25"/>
      <c r="AD715" s="41" t="s">
        <v>6243</v>
      </c>
      <c r="AE715" s="41"/>
      <c r="AF715" s="11"/>
      <c r="AH715" s="7" t="str">
        <f>Table1[[#This Row],[html_tag]]&amp;Table1[[#This Row],[html_type]]&amp;Table1[[#This Row],[html_modifier]]</f>
        <v/>
      </c>
      <c r="AL715" s="23" t="str">
        <f>IFERROR(_xlfn.XLOOKUP(Table1[[#This Row],[word]],Table57[English style name],Table57[Style type]),"")</f>
        <v/>
      </c>
      <c r="AM715" s="21"/>
      <c r="AN715" s="11"/>
    </row>
    <row r="716" spans="5:44">
      <c r="E716" s="76"/>
      <c r="F7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16" s="13" t="s">
        <v>337</v>
      </c>
      <c r="H716" s="13" t="s">
        <v>2987</v>
      </c>
      <c r="I716" s="12" t="str">
        <f>Table1[[#This Row],[type]]</f>
        <v>disclosure</v>
      </c>
      <c r="J716" s="62" t="str">
        <f>Table1[[#This Row],[Column42]]&amp;IF(Table1[[#This Row],[Column13]]="","",Table1[[#This Row],[Column13]])&amp;IF(Table1[[#This Row],[mod]]="","",Table1[[#This Row],[mod]])</f>
        <v>disclosure__body</v>
      </c>
      <c r="K7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disclosure__body</v>
      </c>
      <c r="L716" t="s">
        <v>10128</v>
      </c>
      <c r="O716" t="s">
        <v>337</v>
      </c>
      <c r="Q7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6" s="29"/>
      <c r="AC716" s="25" t="s">
        <v>3479</v>
      </c>
      <c r="AD716" s="41" t="s">
        <v>6242</v>
      </c>
      <c r="AE716" s="41"/>
      <c r="AF716" s="11"/>
      <c r="AH716" s="1" t="str">
        <f>Table1[[#This Row],[html_tag]]&amp;Table1[[#This Row],[html_type]]&amp;Table1[[#This Row],[html_modifier]]</f>
        <v/>
      </c>
      <c r="AL716" s="22" t="str">
        <f>IFERROR(_xlfn.XLOOKUP(Table1[[#This Row],[word]],Table57[English style name],Table57[Style type]),"")</f>
        <v/>
      </c>
      <c r="AM716" s="20"/>
      <c r="AN716" s="11"/>
      <c r="AQ716" s="14" t="s">
        <v>1146</v>
      </c>
      <c r="AR716" t="s">
        <v>1145</v>
      </c>
    </row>
    <row r="717" spans="5:44">
      <c r="E717" s="76"/>
      <c r="F7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17" s="13" t="s">
        <v>337</v>
      </c>
      <c r="H717" s="13" t="s">
        <v>2987</v>
      </c>
      <c r="I717" s="12" t="str">
        <f>Table1[[#This Row],[type]]</f>
        <v>disclosure</v>
      </c>
      <c r="J717" s="62" t="str">
        <f>Table1[[#This Row],[Column42]]&amp;IF(Table1[[#This Row],[Column13]]="","",Table1[[#This Row],[Column13]])&amp;IF(Table1[[#This Row],[mod]]="","",Table1[[#This Row],[mod]])</f>
        <v>disclosure__button</v>
      </c>
      <c r="K7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disclosure__button</v>
      </c>
      <c r="L717" t="s">
        <v>10128</v>
      </c>
      <c r="M717" t="s">
        <v>414</v>
      </c>
      <c r="Q7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7" s="29"/>
      <c r="AC717" s="25" t="s">
        <v>3480</v>
      </c>
      <c r="AD717" s="41"/>
      <c r="AE717" s="41"/>
      <c r="AF717" s="11"/>
      <c r="AH717" s="1" t="str">
        <f>Table1[[#This Row],[html_tag]]&amp;Table1[[#This Row],[html_type]]&amp;Table1[[#This Row],[html_modifier]]</f>
        <v/>
      </c>
      <c r="AL717" s="22" t="str">
        <f>IFERROR(_xlfn.XLOOKUP(Table1[[#This Row],[word]],Table57[English style name],Table57[Style type]),"")</f>
        <v/>
      </c>
      <c r="AM717" s="20"/>
      <c r="AN717" s="11"/>
      <c r="AQ717" s="14" t="s">
        <v>1147</v>
      </c>
      <c r="AR717" t="s">
        <v>1145</v>
      </c>
    </row>
    <row r="718" spans="5:44">
      <c r="E718" s="76"/>
      <c r="F7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18" s="13" t="s">
        <v>337</v>
      </c>
      <c r="H718" s="13" t="s">
        <v>2987</v>
      </c>
      <c r="I718" s="12" t="str">
        <f>Table1[[#This Row],[type]]</f>
        <v>disclosure</v>
      </c>
      <c r="J718" s="62" t="str">
        <f>Table1[[#This Row],[Column42]]&amp;IF(Table1[[#This Row],[Column13]]="","",Table1[[#This Row],[Column13]])&amp;IF(Table1[[#This Row],[mod]]="","",Table1[[#This Row],[mod]])</f>
        <v>disclosure__card</v>
      </c>
      <c r="K7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disclosure__card</v>
      </c>
      <c r="L718" t="s">
        <v>10128</v>
      </c>
      <c r="M718" t="s">
        <v>3082</v>
      </c>
      <c r="Q7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8" s="29"/>
      <c r="AC718" s="25"/>
      <c r="AD718" s="41"/>
      <c r="AE718" s="41"/>
      <c r="AF718" s="11"/>
      <c r="AH718" s="1" t="str">
        <f>Table1[[#This Row],[html_tag]]&amp;Table1[[#This Row],[html_type]]&amp;Table1[[#This Row],[html_modifier]]</f>
        <v/>
      </c>
      <c r="AL718" s="22" t="str">
        <f>IFERROR(_xlfn.XLOOKUP(Table1[[#This Row],[word]],Table57[English style name],Table57[Style type]),"")</f>
        <v/>
      </c>
      <c r="AM718" s="20"/>
      <c r="AN718" s="11"/>
      <c r="AQ718" s="6" t="s">
        <v>1446</v>
      </c>
      <c r="AR718" t="s">
        <v>1445</v>
      </c>
    </row>
    <row r="719" spans="5:44">
      <c r="E719" s="76"/>
      <c r="F7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19" s="13" t="s">
        <v>337</v>
      </c>
      <c r="H719" s="13" t="s">
        <v>2987</v>
      </c>
      <c r="I719" s="12" t="str">
        <f>Table1[[#This Row],[type]]</f>
        <v>disclosure</v>
      </c>
      <c r="J719" s="62" t="str">
        <f>Table1[[#This Row],[Column42]]&amp;IF(Table1[[#This Row],[Column13]]="","",Table1[[#This Row],[Column13]])&amp;IF(Table1[[#This Row],[mod]]="","",Table1[[#This Row],[mod]])</f>
        <v>disclosure__flush</v>
      </c>
      <c r="K7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disclosure__flush</v>
      </c>
      <c r="L719" t="s">
        <v>10128</v>
      </c>
      <c r="M719" t="s">
        <v>3167</v>
      </c>
      <c r="Q7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9" s="29"/>
      <c r="AC719" s="25" t="s">
        <v>3482</v>
      </c>
      <c r="AD719" s="41"/>
      <c r="AE719" s="41"/>
      <c r="AF719" s="11"/>
      <c r="AH719" s="1" t="str">
        <f>Table1[[#This Row],[html_tag]]&amp;Table1[[#This Row],[html_type]]&amp;Table1[[#This Row],[html_modifier]]</f>
        <v/>
      </c>
      <c r="AL719" s="22" t="str">
        <f>IFERROR(_xlfn.XLOOKUP(Table1[[#This Row],[word]],Table57[English style name],Table57[Style type]),"")</f>
        <v/>
      </c>
      <c r="AM719" s="20"/>
      <c r="AN719" s="11"/>
      <c r="AQ719" s="14" t="s">
        <v>1148</v>
      </c>
      <c r="AR719" t="s">
        <v>1145</v>
      </c>
    </row>
    <row r="720" spans="5:44">
      <c r="E720" s="76"/>
      <c r="F7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0" s="13" t="s">
        <v>337</v>
      </c>
      <c r="H720" s="13" t="s">
        <v>2987</v>
      </c>
      <c r="I720" s="12" t="str">
        <f>Table1[[#This Row],[type]]</f>
        <v>disclosure</v>
      </c>
      <c r="J720" s="62" t="str">
        <f>Table1[[#This Row],[Column42]]&amp;IF(Table1[[#This Row],[Column13]]="","",Table1[[#This Row],[Column13]])&amp;IF(Table1[[#This Row],[mod]]="","",Table1[[#This Row],[mod]])</f>
        <v>disclosure__header</v>
      </c>
      <c r="K7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disclosure__header</v>
      </c>
      <c r="L720" t="s">
        <v>10128</v>
      </c>
      <c r="O720" t="s">
        <v>465</v>
      </c>
      <c r="Q7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0" s="29"/>
      <c r="AC720" s="25" t="s">
        <v>3483</v>
      </c>
      <c r="AD720" s="41" t="s">
        <v>6241</v>
      </c>
      <c r="AE720" s="41"/>
      <c r="AF720" s="11"/>
      <c r="AH720" s="1" t="str">
        <f>Table1[[#This Row],[html_tag]]&amp;Table1[[#This Row],[html_type]]&amp;Table1[[#This Row],[html_modifier]]</f>
        <v/>
      </c>
      <c r="AL720" s="22" t="str">
        <f>IFERROR(_xlfn.XLOOKUP(Table1[[#This Row],[word]],Table57[English style name],Table57[Style type]),"")</f>
        <v/>
      </c>
      <c r="AM720" s="20"/>
      <c r="AN720" s="11"/>
      <c r="AQ720" s="14" t="s">
        <v>1149</v>
      </c>
      <c r="AR720" t="s">
        <v>1145</v>
      </c>
    </row>
    <row r="721" spans="5:46">
      <c r="E721" s="76"/>
      <c r="F7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1" s="13" t="s">
        <v>337</v>
      </c>
      <c r="H721" s="13" t="s">
        <v>2987</v>
      </c>
      <c r="I721" s="12" t="str">
        <f>Table1[[#This Row],[type]]</f>
        <v>disclosure</v>
      </c>
      <c r="J721" s="62" t="str">
        <f>Table1[[#This Row],[Column42]]&amp;IF(Table1[[#This Row],[Column13]]="","",Table1[[#This Row],[Column13]])&amp;IF(Table1[[#This Row],[mod]]="","",Table1[[#This Row],[mod]])</f>
        <v>disclosure__item</v>
      </c>
      <c r="K7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disclosure__item</v>
      </c>
      <c r="L721" t="s">
        <v>10128</v>
      </c>
      <c r="M721" t="s">
        <v>3168</v>
      </c>
      <c r="Q7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1" s="29"/>
      <c r="AC721" s="25" t="s">
        <v>3484</v>
      </c>
      <c r="AD721" s="41"/>
      <c r="AE721" s="41"/>
      <c r="AF721" s="11"/>
      <c r="AH721" s="1" t="str">
        <f>Table1[[#This Row],[html_tag]]&amp;Table1[[#This Row],[html_type]]&amp;Table1[[#This Row],[html_modifier]]</f>
        <v/>
      </c>
      <c r="AL721" s="22" t="str">
        <f>IFERROR(_xlfn.XLOOKUP(Table1[[#This Row],[word]],Table57[English style name],Table57[Style type]),"")</f>
        <v/>
      </c>
      <c r="AM721" s="20"/>
      <c r="AN721" s="11"/>
      <c r="AQ721" s="14" t="s">
        <v>1150</v>
      </c>
      <c r="AR721" t="s">
        <v>1145</v>
      </c>
    </row>
    <row r="722" spans="5:46">
      <c r="E722" s="76"/>
      <c r="F7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22" s="13"/>
      <c r="H722" s="13"/>
      <c r="I722" s="12" t="str">
        <f>Table1[[#This Row],[type]]</f>
        <v>disclosure</v>
      </c>
      <c r="J722" s="62" t="str">
        <f>Table1[[#This Row],[Column42]]&amp;IF(Table1[[#This Row],[Column13]]="","",Table1[[#This Row],[Column13]])&amp;IF(Table1[[#This Row],[mod]]="","",Table1[[#This Row],[mod]])</f>
        <v>disclosure--active</v>
      </c>
      <c r="K7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2" t="s">
        <v>10128</v>
      </c>
      <c r="Q7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22" t="s">
        <v>350</v>
      </c>
      <c r="AB722" s="29"/>
      <c r="AC722" s="25"/>
      <c r="AD722" s="41" t="s">
        <v>6245</v>
      </c>
      <c r="AE722" s="41"/>
      <c r="AF722" s="11"/>
      <c r="AH722" s="7" t="str">
        <f>Table1[[#This Row],[html_tag]]&amp;Table1[[#This Row],[html_type]]&amp;Table1[[#This Row],[html_modifier]]</f>
        <v/>
      </c>
      <c r="AL722" s="23" t="str">
        <f>IFERROR(_xlfn.XLOOKUP(Table1[[#This Row],[word]],Table57[English style name],Table57[Style type]),"")</f>
        <v/>
      </c>
      <c r="AM722" s="21"/>
      <c r="AN722" s="11"/>
    </row>
    <row r="723" spans="5:46">
      <c r="E723" s="76"/>
      <c r="F7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3" s="13" t="s">
        <v>337</v>
      </c>
      <c r="H723" s="13" t="s">
        <v>2987</v>
      </c>
      <c r="I723" s="12" t="str">
        <f>Table1[[#This Row],[type]]</f>
        <v>disclosure</v>
      </c>
      <c r="J723" s="62" t="str">
        <f>Table1[[#This Row],[Column42]]&amp;IF(Table1[[#This Row],[Column13]]="","",Table1[[#This Row],[Column13]])&amp;IF(Table1[[#This Row],[mod]]="","",Table1[[#This Row],[mod]])</f>
        <v>disclosure--base</v>
      </c>
      <c r="K7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3" t="s">
        <v>10128</v>
      </c>
      <c r="Q7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23" t="s">
        <v>338</v>
      </c>
      <c r="AB723" s="29"/>
      <c r="AC723" s="25"/>
      <c r="AD723" s="41" t="s">
        <v>4811</v>
      </c>
      <c r="AE723" s="41"/>
      <c r="AF723" s="11"/>
      <c r="AH723" s="1" t="str">
        <f>Table1[[#This Row],[html_tag]]&amp;Table1[[#This Row],[html_type]]&amp;Table1[[#This Row],[html_modifier]]</f>
        <v/>
      </c>
      <c r="AL723" s="22" t="str">
        <f>IFERROR(_xlfn.XLOOKUP(Table1[[#This Row],[word]],Table57[English style name],Table57[Style type]),"")</f>
        <v/>
      </c>
      <c r="AM723" s="20"/>
      <c r="AN723" s="11"/>
      <c r="AQ723" s="14" t="s">
        <v>1144</v>
      </c>
      <c r="AR723" t="s">
        <v>1145</v>
      </c>
      <c r="AS723" s="6" t="s">
        <v>1444</v>
      </c>
      <c r="AT723" t="s">
        <v>1445</v>
      </c>
    </row>
    <row r="724" spans="5:46">
      <c r="E724" s="76"/>
      <c r="F7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24" s="13"/>
      <c r="H724" s="13"/>
      <c r="I724" s="12" t="str">
        <f>Table1[[#This Row],[type]]</f>
        <v>disclosure</v>
      </c>
      <c r="J724" s="62" t="str">
        <f>Table1[[#This Row],[Column42]]&amp;IF(Table1[[#This Row],[Column13]]="","",Table1[[#This Row],[Column13]])&amp;IF(Table1[[#This Row],[mod]]="","",Table1[[#This Row],[mod]])</f>
        <v>disclosure--close</v>
      </c>
      <c r="K7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4" t="s">
        <v>10128</v>
      </c>
      <c r="Q7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S724" t="s">
        <v>3590</v>
      </c>
      <c r="U7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4" s="29"/>
      <c r="AC724" s="25"/>
      <c r="AD724" s="41" t="s">
        <v>6246</v>
      </c>
      <c r="AE724" s="41"/>
      <c r="AF724" s="11"/>
      <c r="AH724" s="7" t="str">
        <f>Table1[[#This Row],[html_tag]]&amp;Table1[[#This Row],[html_type]]&amp;Table1[[#This Row],[html_modifier]]</f>
        <v/>
      </c>
      <c r="AL724" s="23" t="str">
        <f>IFERROR(_xlfn.XLOOKUP(Table1[[#This Row],[word]],Table57[English style name],Table57[Style type]),"")</f>
        <v/>
      </c>
      <c r="AM724" s="21"/>
      <c r="AN724" s="11"/>
    </row>
    <row r="725" spans="5:46">
      <c r="E725" s="76"/>
      <c r="F7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5" s="13" t="s">
        <v>337</v>
      </c>
      <c r="H725" s="13" t="s">
        <v>2987</v>
      </c>
      <c r="I725" s="12" t="str">
        <f>Table1[[#This Row],[type]]</f>
        <v>disclosure</v>
      </c>
      <c r="J725" s="62" t="str">
        <f>Table1[[#This Row],[Column42]]&amp;IF(Table1[[#This Row],[Column13]]="","",Table1[[#This Row],[Column13]])&amp;IF(Table1[[#This Row],[mod]]="","",Table1[[#This Row],[mod]])</f>
        <v>disclosure--colapsing</v>
      </c>
      <c r="K7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5" t="s">
        <v>10128</v>
      </c>
      <c r="Q7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--colapsing</v>
      </c>
      <c r="S725" t="s">
        <v>10130</v>
      </c>
      <c r="U7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5" s="29"/>
      <c r="AC725" s="25"/>
      <c r="AD725" s="41"/>
      <c r="AE725" s="41"/>
      <c r="AF725" s="11"/>
      <c r="AH725" s="1" t="str">
        <f>Table1[[#This Row],[html_tag]]&amp;Table1[[#This Row],[html_type]]&amp;Table1[[#This Row],[html_modifier]]</f>
        <v/>
      </c>
      <c r="AL725" s="22" t="str">
        <f>IFERROR(_xlfn.XLOOKUP(Table1[[#This Row],[word]],Table57[English style name],Table57[Style type]),"")</f>
        <v/>
      </c>
      <c r="AM725" s="20"/>
      <c r="AN725" s="11"/>
      <c r="AQ725" s="6" t="s">
        <v>1447</v>
      </c>
      <c r="AR725" t="s">
        <v>1445</v>
      </c>
    </row>
    <row r="726" spans="5:46">
      <c r="E726" s="76"/>
      <c r="F7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26" s="13"/>
      <c r="H726" s="13"/>
      <c r="I726" s="12" t="str">
        <f>Table1[[#This Row],[type]]</f>
        <v>disclosure</v>
      </c>
      <c r="J726" s="62" t="str">
        <f>Table1[[#This Row],[Column42]]&amp;IF(Table1[[#This Row],[Column13]]="","",Table1[[#This Row],[Column13]])&amp;IF(Table1[[#This Row],[mod]]="","",Table1[[#This Row],[mod]])</f>
        <v>disclosure--collapse</v>
      </c>
      <c r="K7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6" t="s">
        <v>10128</v>
      </c>
      <c r="Q7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--collapse</v>
      </c>
      <c r="S726" t="s">
        <v>3155</v>
      </c>
      <c r="U7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6" s="29"/>
      <c r="AC726" s="25" t="s">
        <v>3481</v>
      </c>
      <c r="AD726" s="41"/>
      <c r="AE726" s="41"/>
      <c r="AF726" s="11"/>
      <c r="AH726" s="7" t="str">
        <f>Table1[[#This Row],[html_tag]]&amp;Table1[[#This Row],[html_type]]&amp;Table1[[#This Row],[html_modifier]]</f>
        <v/>
      </c>
      <c r="AL726" s="23" t="str">
        <f>IFERROR(_xlfn.XLOOKUP(Table1[[#This Row],[word]],Table57[English style name],Table57[Style type]),"")</f>
        <v/>
      </c>
      <c r="AM726" s="21"/>
      <c r="AN726" s="11"/>
    </row>
    <row r="727" spans="5:46">
      <c r="E727" s="76"/>
      <c r="F7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27" s="13"/>
      <c r="H727" s="13"/>
      <c r="I727" s="12" t="str">
        <f>Table1[[#This Row],[type]]</f>
        <v>disclosure</v>
      </c>
      <c r="J727" s="62" t="str">
        <f>Table1[[#This Row],[Column42]]&amp;IF(Table1[[#This Row],[Column13]]="","",Table1[[#This Row],[Column13]])&amp;IF(Table1[[#This Row],[mod]]="","",Table1[[#This Row],[mod]])</f>
        <v>disclosure--collapsed</v>
      </c>
      <c r="K7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7" t="s">
        <v>10128</v>
      </c>
      <c r="Q7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--collapsed</v>
      </c>
      <c r="S727" t="s">
        <v>3486</v>
      </c>
      <c r="U7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7" s="29"/>
      <c r="AC727" s="25" t="s">
        <v>3485</v>
      </c>
      <c r="AD727" s="41"/>
      <c r="AE727" s="41"/>
      <c r="AF727" s="11"/>
      <c r="AH727" s="7" t="str">
        <f>Table1[[#This Row],[html_tag]]&amp;Table1[[#This Row],[html_type]]&amp;Table1[[#This Row],[html_modifier]]</f>
        <v/>
      </c>
      <c r="AL727" s="23" t="str">
        <f>IFERROR(_xlfn.XLOOKUP(Table1[[#This Row],[word]],Table57[English style name],Table57[Style type]),"")</f>
        <v/>
      </c>
      <c r="AM727" s="21"/>
      <c r="AN727" s="11"/>
    </row>
    <row r="728" spans="5:46">
      <c r="E728" s="76"/>
      <c r="F7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8" s="13" t="s">
        <v>337</v>
      </c>
      <c r="H728" s="13" t="s">
        <v>2987</v>
      </c>
      <c r="I728" s="12" t="str">
        <f>Table1[[#This Row],[type]]</f>
        <v>disclosure</v>
      </c>
      <c r="J728" s="62" t="str">
        <f>Table1[[#This Row],[Column42]]&amp;IF(Table1[[#This Row],[Column13]]="","",Table1[[#This Row],[Column13]])&amp;IF(Table1[[#This Row],[mod]]="","",Table1[[#This Row],[mod]])</f>
        <v>disclosure--fade</v>
      </c>
      <c r="K7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8" t="s">
        <v>10128</v>
      </c>
      <c r="Q7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--fade</v>
      </c>
      <c r="S728" t="s">
        <v>3505</v>
      </c>
      <c r="U7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8" s="29"/>
      <c r="AC728" s="25"/>
      <c r="AD728" s="41"/>
      <c r="AE728" s="41"/>
      <c r="AF728" s="11"/>
      <c r="AH728" s="1" t="str">
        <f>Table1[[#This Row],[html_tag]]&amp;Table1[[#This Row],[html_type]]&amp;Table1[[#This Row],[html_modifier]]</f>
        <v/>
      </c>
      <c r="AL728" s="22" t="str">
        <f>IFERROR(_xlfn.XLOOKUP(Table1[[#This Row],[word]],Table57[English style name],Table57[Style type]),"")</f>
        <v/>
      </c>
      <c r="AM728" s="20"/>
      <c r="AN728" s="11"/>
      <c r="AQ728" s="6" t="s">
        <v>1448</v>
      </c>
      <c r="AR728" t="s">
        <v>1445</v>
      </c>
    </row>
    <row r="729" spans="5:46">
      <c r="E729" s="76"/>
      <c r="F7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9" s="13" t="s">
        <v>337</v>
      </c>
      <c r="H729" s="13" t="s">
        <v>2987</v>
      </c>
      <c r="I729" s="12" t="str">
        <f>Table1[[#This Row],[type]]</f>
        <v>disclosure</v>
      </c>
      <c r="J729" s="62" t="str">
        <f>Table1[[#This Row],[Column42]]&amp;IF(Table1[[#This Row],[Column13]]="","",Table1[[#This Row],[Column13]])&amp;IF(Table1[[#This Row],[mod]]="","",Table1[[#This Row],[mod]])</f>
        <v>disclosure--horizontal</v>
      </c>
      <c r="K7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9" t="s">
        <v>10128</v>
      </c>
      <c r="Q7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729" t="s">
        <v>3205</v>
      </c>
      <c r="AB729" s="29"/>
      <c r="AC729" s="25"/>
      <c r="AD729" s="41"/>
      <c r="AE729" s="41"/>
      <c r="AF729" s="11"/>
      <c r="AH729" s="1" t="str">
        <f>Table1[[#This Row],[html_tag]]&amp;Table1[[#This Row],[html_type]]&amp;Table1[[#This Row],[html_modifier]]</f>
        <v/>
      </c>
      <c r="AL729" s="22" t="str">
        <f>IFERROR(_xlfn.XLOOKUP(Table1[[#This Row],[word]],Table57[English style name],Table57[Style type]),"")</f>
        <v/>
      </c>
      <c r="AM729" s="20"/>
      <c r="AN729" s="11"/>
      <c r="AQ729" s="6" t="s">
        <v>1449</v>
      </c>
      <c r="AR729" t="s">
        <v>1445</v>
      </c>
    </row>
    <row r="730" spans="5:46">
      <c r="E730" s="76"/>
      <c r="F7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30" s="13"/>
      <c r="H730" s="13"/>
      <c r="I730" s="12" t="str">
        <f>Table1[[#This Row],[type]]</f>
        <v>disclosure</v>
      </c>
      <c r="J730" s="62" t="str">
        <f>Table1[[#This Row],[Column42]]&amp;IF(Table1[[#This Row],[Column13]]="","",Table1[[#This Row],[Column13]])&amp;IF(Table1[[#This Row],[mod]]="","",Table1[[#This Row],[mod]])</f>
        <v>disclosure--plus</v>
      </c>
      <c r="K7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30" t="s">
        <v>10128</v>
      </c>
      <c r="Q73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--plus</v>
      </c>
      <c r="S730" t="s">
        <v>10129</v>
      </c>
      <c r="U7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0" s="29"/>
      <c r="AC730" s="25"/>
      <c r="AD730" s="41" t="s">
        <v>6244</v>
      </c>
      <c r="AE730" s="41"/>
      <c r="AF730" s="11"/>
      <c r="AH730" s="7" t="str">
        <f>Table1[[#This Row],[html_tag]]&amp;Table1[[#This Row],[html_type]]&amp;Table1[[#This Row],[html_modifier]]</f>
        <v/>
      </c>
      <c r="AL730" s="23" t="str">
        <f>IFERROR(_xlfn.XLOOKUP(Table1[[#This Row],[word]],Table57[English style name],Table57[Style type]),"")</f>
        <v/>
      </c>
      <c r="AM730" s="21"/>
      <c r="AN730" s="11"/>
    </row>
    <row r="731" spans="5:46">
      <c r="E731" s="76"/>
      <c r="F7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31" s="13" t="s">
        <v>337</v>
      </c>
      <c r="H731" s="13" t="s">
        <v>2987</v>
      </c>
      <c r="I731" s="12" t="str">
        <f>Table1[[#This Row],[type]]</f>
        <v>disclosure</v>
      </c>
      <c r="J731" s="62" t="str">
        <f>Table1[[#This Row],[Column42]]&amp;IF(Table1[[#This Row],[Column13]]="","",Table1[[#This Row],[Column13]])&amp;IF(Table1[[#This Row],[mod]]="","",Table1[[#This Row],[mod]])</f>
        <v>disclosure--slide</v>
      </c>
      <c r="K7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31" t="s">
        <v>10128</v>
      </c>
      <c r="Q7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--slide</v>
      </c>
      <c r="S731" t="s">
        <v>3624</v>
      </c>
      <c r="U7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1" s="29"/>
      <c r="AC731" s="25"/>
      <c r="AD731" s="41"/>
      <c r="AE731" s="41"/>
      <c r="AF731" s="11"/>
      <c r="AH731" s="1" t="str">
        <f>Table1[[#This Row],[html_tag]]&amp;Table1[[#This Row],[html_type]]&amp;Table1[[#This Row],[html_modifier]]</f>
        <v/>
      </c>
      <c r="AL731" s="22" t="str">
        <f>IFERROR(_xlfn.XLOOKUP(Table1[[#This Row],[word]],Table57[English style name],Table57[Style type]),"")</f>
        <v/>
      </c>
      <c r="AM731" s="20"/>
      <c r="AN731" s="11"/>
      <c r="AQ731" s="6" t="s">
        <v>1450</v>
      </c>
      <c r="AR731" t="s">
        <v>1445</v>
      </c>
    </row>
    <row r="732" spans="5:46">
      <c r="E732" s="76"/>
      <c r="F7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2" s="13" t="s">
        <v>461</v>
      </c>
      <c r="H732" s="13" t="s">
        <v>2991</v>
      </c>
      <c r="I732" s="12" t="str">
        <f>Table1[[#This Row],[type]]</f>
        <v>display</v>
      </c>
      <c r="J732" s="62" t="str">
        <f>Table1[[#This Row],[Column42]]&amp;IF(Table1[[#This Row],[Column13]]="","",Table1[[#This Row],[Column13]])&amp;IF(Table1[[#This Row],[mod]]="","",Table1[[#This Row],[mod]])</f>
        <v>display</v>
      </c>
      <c r="K7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2" t="s">
        <v>3009</v>
      </c>
      <c r="P732" s="6" t="s">
        <v>1219</v>
      </c>
      <c r="Q7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2" s="29"/>
      <c r="AC732" s="25"/>
      <c r="AD732" s="41"/>
      <c r="AE732" s="41"/>
      <c r="AF732" s="11"/>
      <c r="AH732" s="1" t="str">
        <f>Table1[[#This Row],[html_tag]]&amp;Table1[[#This Row],[html_type]]&amp;Table1[[#This Row],[html_modifier]]</f>
        <v/>
      </c>
      <c r="AL732" s="22" t="str">
        <f>IFERROR(_xlfn.XLOOKUP(Table1[[#This Row],[word]],Table57[English style name],Table57[Style type]),"")</f>
        <v/>
      </c>
      <c r="AM732" s="20"/>
      <c r="AN732" s="11"/>
      <c r="AQ732" s="6" t="s">
        <v>1219</v>
      </c>
      <c r="AR732" t="s">
        <v>1220</v>
      </c>
    </row>
    <row r="733" spans="5:46">
      <c r="E733" s="76"/>
      <c r="F7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3" s="13" t="s">
        <v>461</v>
      </c>
      <c r="H733" s="13" t="s">
        <v>2991</v>
      </c>
      <c r="I733" s="12" t="str">
        <f>Table1[[#This Row],[type]]</f>
        <v>display</v>
      </c>
      <c r="J733" s="62" t="str">
        <f>Table1[[#This Row],[Column42]]&amp;IF(Table1[[#This Row],[Column13]]="","",Table1[[#This Row],[Column13]])&amp;IF(Table1[[#This Row],[mod]]="","",Table1[[#This Row],[mod]])</f>
        <v>display</v>
      </c>
      <c r="K7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3" t="s">
        <v>3009</v>
      </c>
      <c r="P733" s="6" t="s">
        <v>1221</v>
      </c>
      <c r="Q7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3" s="29"/>
      <c r="AC733" s="25"/>
      <c r="AD733" s="41"/>
      <c r="AE733" s="41"/>
      <c r="AF733" s="11"/>
      <c r="AH733" s="1" t="str">
        <f>Table1[[#This Row],[html_tag]]&amp;Table1[[#This Row],[html_type]]&amp;Table1[[#This Row],[html_modifier]]</f>
        <v/>
      </c>
      <c r="AL733" s="22" t="str">
        <f>IFERROR(_xlfn.XLOOKUP(Table1[[#This Row],[word]],Table57[English style name],Table57[Style type]),"")</f>
        <v/>
      </c>
      <c r="AM733" s="20"/>
      <c r="AN733" s="11"/>
      <c r="AQ733" s="6" t="s">
        <v>1221</v>
      </c>
      <c r="AR733" t="s">
        <v>1220</v>
      </c>
    </row>
    <row r="734" spans="5:46">
      <c r="E734" s="76"/>
      <c r="F7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4" s="13" t="s">
        <v>461</v>
      </c>
      <c r="H734" s="13" t="s">
        <v>2991</v>
      </c>
      <c r="I734" s="12" t="str">
        <f>Table1[[#This Row],[type]]</f>
        <v>display</v>
      </c>
      <c r="J734" s="62" t="str">
        <f>Table1[[#This Row],[Column42]]&amp;IF(Table1[[#This Row],[Column13]]="","",Table1[[#This Row],[Column13]])&amp;IF(Table1[[#This Row],[mod]]="","",Table1[[#This Row],[mod]])</f>
        <v>display</v>
      </c>
      <c r="K7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4" t="s">
        <v>3009</v>
      </c>
      <c r="P734" s="6" t="s">
        <v>1222</v>
      </c>
      <c r="Q7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4" s="29"/>
      <c r="AC734" s="25"/>
      <c r="AD734" s="41"/>
      <c r="AE734" s="41"/>
      <c r="AF734" s="11"/>
      <c r="AH734" s="1" t="str">
        <f>Table1[[#This Row],[html_tag]]&amp;Table1[[#This Row],[html_type]]&amp;Table1[[#This Row],[html_modifier]]</f>
        <v/>
      </c>
      <c r="AL734" s="22" t="str">
        <f>IFERROR(_xlfn.XLOOKUP(Table1[[#This Row],[word]],Table57[English style name],Table57[Style type]),"")</f>
        <v/>
      </c>
      <c r="AM734" s="20"/>
      <c r="AN734" s="11"/>
      <c r="AQ734" s="6" t="s">
        <v>1222</v>
      </c>
      <c r="AR734" t="s">
        <v>1220</v>
      </c>
    </row>
    <row r="735" spans="5:46">
      <c r="E735" s="76"/>
      <c r="F7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5" s="13" t="s">
        <v>461</v>
      </c>
      <c r="H735" s="13" t="s">
        <v>2991</v>
      </c>
      <c r="I735" s="12" t="str">
        <f>Table1[[#This Row],[type]]</f>
        <v>display</v>
      </c>
      <c r="J735" s="62" t="str">
        <f>Table1[[#This Row],[Column42]]&amp;IF(Table1[[#This Row],[Column13]]="","",Table1[[#This Row],[Column13]])&amp;IF(Table1[[#This Row],[mod]]="","",Table1[[#This Row],[mod]])</f>
        <v>display</v>
      </c>
      <c r="K7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5" t="s">
        <v>3009</v>
      </c>
      <c r="P735" s="6" t="s">
        <v>1223</v>
      </c>
      <c r="Q7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5" s="29"/>
      <c r="AC735" s="25"/>
      <c r="AD735" s="41"/>
      <c r="AE735" s="41"/>
      <c r="AF735" s="11"/>
      <c r="AH735" s="1" t="str">
        <f>Table1[[#This Row],[html_tag]]&amp;Table1[[#This Row],[html_type]]&amp;Table1[[#This Row],[html_modifier]]</f>
        <v/>
      </c>
      <c r="AL735" s="22" t="str">
        <f>IFERROR(_xlfn.XLOOKUP(Table1[[#This Row],[word]],Table57[English style name],Table57[Style type]),"")</f>
        <v/>
      </c>
      <c r="AM735" s="20"/>
      <c r="AN735" s="11"/>
      <c r="AQ735" s="6" t="s">
        <v>1223</v>
      </c>
      <c r="AR735" t="s">
        <v>1220</v>
      </c>
    </row>
    <row r="736" spans="5:46">
      <c r="E736" s="76"/>
      <c r="F7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6" s="13" t="s">
        <v>461</v>
      </c>
      <c r="H736" s="13" t="s">
        <v>2991</v>
      </c>
      <c r="I736" s="12" t="str">
        <f>Table1[[#This Row],[type]]</f>
        <v>display</v>
      </c>
      <c r="J736" s="62" t="str">
        <f>Table1[[#This Row],[Column42]]&amp;IF(Table1[[#This Row],[Column13]]="","",Table1[[#This Row],[Column13]])&amp;IF(Table1[[#This Row],[mod]]="","",Table1[[#This Row],[mod]])</f>
        <v>display</v>
      </c>
      <c r="K7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6" t="s">
        <v>3009</v>
      </c>
      <c r="P736" s="6" t="s">
        <v>1224</v>
      </c>
      <c r="Q7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6" s="29"/>
      <c r="AC736" s="25"/>
      <c r="AD736" s="41"/>
      <c r="AE736" s="41"/>
      <c r="AF736" s="11"/>
      <c r="AH736" s="1" t="str">
        <f>Table1[[#This Row],[html_tag]]&amp;Table1[[#This Row],[html_type]]&amp;Table1[[#This Row],[html_modifier]]</f>
        <v/>
      </c>
      <c r="AL736" s="22" t="str">
        <f>IFERROR(_xlfn.XLOOKUP(Table1[[#This Row],[word]],Table57[English style name],Table57[Style type]),"")</f>
        <v/>
      </c>
      <c r="AM736" s="20"/>
      <c r="AN736" s="11"/>
      <c r="AQ736" s="6" t="s">
        <v>1224</v>
      </c>
      <c r="AR736" t="s">
        <v>1220</v>
      </c>
    </row>
    <row r="737" spans="5:44">
      <c r="E737" s="76"/>
      <c r="F7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7" s="13" t="s">
        <v>461</v>
      </c>
      <c r="H737" s="13" t="s">
        <v>2991</v>
      </c>
      <c r="I737" s="12" t="str">
        <f>Table1[[#This Row],[type]]</f>
        <v>display</v>
      </c>
      <c r="J737" s="62" t="str">
        <f>Table1[[#This Row],[Column42]]&amp;IF(Table1[[#This Row],[Column13]]="","",Table1[[#This Row],[Column13]])&amp;IF(Table1[[#This Row],[mod]]="","",Table1[[#This Row],[mod]])</f>
        <v>display</v>
      </c>
      <c r="K7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7" t="s">
        <v>3009</v>
      </c>
      <c r="P737" s="6" t="s">
        <v>1225</v>
      </c>
      <c r="Q7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7" s="29"/>
      <c r="AC737" s="25"/>
      <c r="AD737" s="41"/>
      <c r="AE737" s="41"/>
      <c r="AF737" s="11"/>
      <c r="AH737" s="1" t="str">
        <f>Table1[[#This Row],[html_tag]]&amp;Table1[[#This Row],[html_type]]&amp;Table1[[#This Row],[html_modifier]]</f>
        <v/>
      </c>
      <c r="AL737" s="22" t="str">
        <f>IFERROR(_xlfn.XLOOKUP(Table1[[#This Row],[word]],Table57[English style name],Table57[Style type]),"")</f>
        <v/>
      </c>
      <c r="AM737" s="20"/>
      <c r="AN737" s="11"/>
      <c r="AQ737" s="6" t="s">
        <v>1225</v>
      </c>
      <c r="AR737" t="s">
        <v>1220</v>
      </c>
    </row>
    <row r="738" spans="5:44">
      <c r="E738" s="76"/>
      <c r="F7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8" s="13" t="s">
        <v>461</v>
      </c>
      <c r="H738" s="13" t="s">
        <v>2991</v>
      </c>
      <c r="I738" s="12" t="str">
        <f>Table1[[#This Row],[type]]</f>
        <v>display</v>
      </c>
      <c r="J738" s="62" t="str">
        <f>Table1[[#This Row],[Column42]]&amp;IF(Table1[[#This Row],[Column13]]="","",Table1[[#This Row],[Column13]])&amp;IF(Table1[[#This Row],[mod]]="","",Table1[[#This Row],[mod]])</f>
        <v>display</v>
      </c>
      <c r="K7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8" t="s">
        <v>3009</v>
      </c>
      <c r="P738" s="6" t="s">
        <v>1226</v>
      </c>
      <c r="Q7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8" s="29"/>
      <c r="AC738" s="25"/>
      <c r="AD738" s="41"/>
      <c r="AE738" s="41"/>
      <c r="AF738" s="11"/>
      <c r="AH738" s="1" t="str">
        <f>Table1[[#This Row],[html_tag]]&amp;Table1[[#This Row],[html_type]]&amp;Table1[[#This Row],[html_modifier]]</f>
        <v/>
      </c>
      <c r="AL738" s="22" t="str">
        <f>IFERROR(_xlfn.XLOOKUP(Table1[[#This Row],[word]],Table57[English style name],Table57[Style type]),"")</f>
        <v/>
      </c>
      <c r="AM738" s="20"/>
      <c r="AN738" s="11"/>
      <c r="AQ738" s="6" t="s">
        <v>1226</v>
      </c>
      <c r="AR738" t="s">
        <v>1220</v>
      </c>
    </row>
    <row r="739" spans="5:44">
      <c r="E739" s="76"/>
      <c r="F7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9" s="13" t="s">
        <v>461</v>
      </c>
      <c r="H739" s="13" t="s">
        <v>2991</v>
      </c>
      <c r="I739" s="12" t="str">
        <f>Table1[[#This Row],[type]]</f>
        <v>display</v>
      </c>
      <c r="J739" s="62" t="str">
        <f>Table1[[#This Row],[Column42]]&amp;IF(Table1[[#This Row],[Column13]]="","",Table1[[#This Row],[Column13]])&amp;IF(Table1[[#This Row],[mod]]="","",Table1[[#This Row],[mod]])</f>
        <v>display</v>
      </c>
      <c r="K7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9" t="s">
        <v>3009</v>
      </c>
      <c r="P739" s="6" t="s">
        <v>1227</v>
      </c>
      <c r="Q7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9" s="29"/>
      <c r="AC739" s="25"/>
      <c r="AD739" s="41"/>
      <c r="AE739" s="41"/>
      <c r="AF739" s="11"/>
      <c r="AH739" s="1" t="str">
        <f>Table1[[#This Row],[html_tag]]&amp;Table1[[#This Row],[html_type]]&amp;Table1[[#This Row],[html_modifier]]</f>
        <v/>
      </c>
      <c r="AL739" s="22" t="str">
        <f>IFERROR(_xlfn.XLOOKUP(Table1[[#This Row],[word]],Table57[English style name],Table57[Style type]),"")</f>
        <v/>
      </c>
      <c r="AM739" s="20"/>
      <c r="AN739" s="11"/>
      <c r="AQ739" s="6" t="s">
        <v>1227</v>
      </c>
      <c r="AR739" t="s">
        <v>1220</v>
      </c>
    </row>
    <row r="740" spans="5:44">
      <c r="E740" s="76"/>
      <c r="F7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40" s="13" t="s">
        <v>461</v>
      </c>
      <c r="H740" s="13" t="s">
        <v>2991</v>
      </c>
      <c r="I740" s="12" t="str">
        <f>Table1[[#This Row],[type]]</f>
        <v>display</v>
      </c>
      <c r="J740" s="62" t="str">
        <f>Table1[[#This Row],[Column42]]&amp;IF(Table1[[#This Row],[Column13]]="","",Table1[[#This Row],[Column13]])&amp;IF(Table1[[#This Row],[mod]]="","",Table1[[#This Row],[mod]])</f>
        <v>display</v>
      </c>
      <c r="K7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40" t="s">
        <v>3009</v>
      </c>
      <c r="P740" s="6" t="s">
        <v>1228</v>
      </c>
      <c r="Q7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40" s="29"/>
      <c r="AC740" s="25"/>
      <c r="AD740" s="41"/>
      <c r="AE740" s="41"/>
      <c r="AF740" s="11"/>
      <c r="AH740" s="1" t="str">
        <f>Table1[[#This Row],[html_tag]]&amp;Table1[[#This Row],[html_type]]&amp;Table1[[#This Row],[html_modifier]]</f>
        <v/>
      </c>
      <c r="AL740" s="22" t="str">
        <f>IFERROR(_xlfn.XLOOKUP(Table1[[#This Row],[word]],Table57[English style name],Table57[Style type]),"")</f>
        <v/>
      </c>
      <c r="AM740" s="20"/>
      <c r="AN740" s="11"/>
      <c r="AQ740" s="6" t="s">
        <v>1228</v>
      </c>
      <c r="AR740" t="s">
        <v>1220</v>
      </c>
    </row>
    <row r="741" spans="5:44">
      <c r="E741" s="76"/>
      <c r="F7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41" s="13"/>
      <c r="H741" s="13"/>
      <c r="I741" s="12" t="str">
        <f>Table1[[#This Row],[type]]</f>
        <v>divider</v>
      </c>
      <c r="J741" s="62" t="str">
        <f>Table1[[#This Row],[Column42]]&amp;IF(Table1[[#This Row],[Column13]]="","",Table1[[#This Row],[Column13]])&amp;IF(Table1[[#This Row],[mod]]="","",Table1[[#This Row],[mod]])</f>
        <v>divider</v>
      </c>
      <c r="K7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1" t="s">
        <v>1532</v>
      </c>
      <c r="Q74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41" s="29"/>
      <c r="AC741" s="25"/>
      <c r="AD741" s="41" t="s">
        <v>6837</v>
      </c>
      <c r="AE741" s="41"/>
      <c r="AF741" s="11"/>
      <c r="AH741" s="7" t="str">
        <f>Table1[[#This Row],[html_tag]]&amp;Table1[[#This Row],[html_type]]&amp;Table1[[#This Row],[html_modifier]]</f>
        <v/>
      </c>
      <c r="AL741" s="23" t="str">
        <f>IFERROR(_xlfn.XLOOKUP(Table1[[#This Row],[word]],Table57[English style name],Table57[Style type]),"")</f>
        <v/>
      </c>
      <c r="AM741" s="21"/>
      <c r="AN741" s="11"/>
    </row>
    <row r="742" spans="5:44">
      <c r="E742" s="76"/>
      <c r="F7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42" s="13" t="s">
        <v>337</v>
      </c>
      <c r="H742" s="13" t="s">
        <v>2986</v>
      </c>
      <c r="I742" s="12" t="str">
        <f>Table1[[#This Row],[type]]</f>
        <v>divider</v>
      </c>
      <c r="J742" s="62" t="str">
        <f>Table1[[#This Row],[Column42]]&amp;IF(Table1[[#This Row],[Column13]]="","",Table1[[#This Row],[Column13]])&amp;IF(Table1[[#This Row],[mod]]="","",Table1[[#This Row],[mod]])</f>
        <v>divider</v>
      </c>
      <c r="K7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2" t="s">
        <v>1532</v>
      </c>
      <c r="P742" s="6"/>
      <c r="Q7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42" s="29"/>
      <c r="AC742" s="25"/>
      <c r="AD742" s="41"/>
      <c r="AE742" s="41"/>
      <c r="AF742" s="11"/>
      <c r="AH742" s="1" t="str">
        <f>Table1[[#This Row],[html_tag]]&amp;Table1[[#This Row],[html_type]]&amp;Table1[[#This Row],[html_modifier]]</f>
        <v/>
      </c>
      <c r="AL742" s="22" t="str">
        <f>IFERROR(_xlfn.XLOOKUP(Table1[[#This Row],[word]],Table57[English style name],Table57[Style type]),"")</f>
        <v/>
      </c>
      <c r="AM742" s="20"/>
      <c r="AN742" s="11"/>
      <c r="AQ742" s="6" t="s">
        <v>1532</v>
      </c>
      <c r="AR742" t="s">
        <v>1533</v>
      </c>
    </row>
    <row r="743" spans="5:44">
      <c r="E743" s="76"/>
      <c r="F7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43" s="13"/>
      <c r="H743" s="13"/>
      <c r="I743" s="12" t="str">
        <f>Table1[[#This Row],[type]]</f>
        <v>divider</v>
      </c>
      <c r="J743" s="62" t="str">
        <f>Table1[[#This Row],[Column42]]&amp;IF(Table1[[#This Row],[Column13]]="","",Table1[[#This Row],[Column13]])&amp;IF(Table1[[#This Row],[mod]]="","",Table1[[#This Row],[mod]])</f>
        <v>divider__end</v>
      </c>
      <c r="K7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divider__end</v>
      </c>
      <c r="L743" t="s">
        <v>1532</v>
      </c>
      <c r="N743" t="s">
        <v>3194</v>
      </c>
      <c r="Q7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43" s="29"/>
      <c r="AC743" s="25"/>
      <c r="AD743" s="41" t="s">
        <v>6849</v>
      </c>
      <c r="AE743" s="41"/>
      <c r="AF743" s="11"/>
      <c r="AH743" s="7" t="str">
        <f>Table1[[#This Row],[html_tag]]&amp;Table1[[#This Row],[html_type]]&amp;Table1[[#This Row],[html_modifier]]</f>
        <v/>
      </c>
      <c r="AL743" s="23" t="str">
        <f>IFERROR(_xlfn.XLOOKUP(Table1[[#This Row],[word]],Table57[English style name],Table57[Style type]),"")</f>
        <v/>
      </c>
      <c r="AM743" s="21"/>
      <c r="AN743" s="11"/>
    </row>
    <row r="744" spans="5:44">
      <c r="E744" s="76"/>
      <c r="F7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44" s="13"/>
      <c r="H744" s="13"/>
      <c r="I744" s="12" t="str">
        <f>Table1[[#This Row],[type]]</f>
        <v>divider</v>
      </c>
      <c r="J744" s="62" t="str">
        <f>Table1[[#This Row],[Column42]]&amp;IF(Table1[[#This Row],[Column13]]="","",Table1[[#This Row],[Column13]])&amp;IF(Table1[[#This Row],[mod]]="","",Table1[[#This Row],[mod]])</f>
        <v>divider__start</v>
      </c>
      <c r="K7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divider__start</v>
      </c>
      <c r="L744" t="s">
        <v>1532</v>
      </c>
      <c r="N744" t="s">
        <v>3193</v>
      </c>
      <c r="Q7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44" s="29"/>
      <c r="AC744" s="25"/>
      <c r="AD744" s="41" t="s">
        <v>6848</v>
      </c>
      <c r="AE744" s="41"/>
      <c r="AF744" s="11"/>
      <c r="AH744" s="7" t="str">
        <f>Table1[[#This Row],[html_tag]]&amp;Table1[[#This Row],[html_type]]&amp;Table1[[#This Row],[html_modifier]]</f>
        <v/>
      </c>
      <c r="AL744" s="23" t="str">
        <f>IFERROR(_xlfn.XLOOKUP(Table1[[#This Row],[word]],Table57[English style name],Table57[Style type]),"")</f>
        <v/>
      </c>
      <c r="AM744" s="21"/>
      <c r="AN744" s="11"/>
    </row>
    <row r="745" spans="5:44">
      <c r="E745" s="76"/>
      <c r="F7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45" s="13"/>
      <c r="H745" s="13"/>
      <c r="I745" s="12" t="str">
        <f>Table1[[#This Row],[type]]</f>
        <v>divider</v>
      </c>
      <c r="J745" s="62" t="str">
        <f>Table1[[#This Row],[Column42]]&amp;IF(Table1[[#This Row],[Column13]]="","",Table1[[#This Row],[Column13]])&amp;IF(Table1[[#This Row],[mod]]="","",Table1[[#This Row],[mod]])</f>
        <v>divider--accent</v>
      </c>
      <c r="K7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5" t="s">
        <v>1532</v>
      </c>
      <c r="Q7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745" t="s">
        <v>7394</v>
      </c>
      <c r="AB745" s="29"/>
      <c r="AC745" s="25"/>
      <c r="AD745" s="41" t="s">
        <v>6841</v>
      </c>
      <c r="AE745" s="41"/>
      <c r="AF745" s="11"/>
      <c r="AH745" s="7" t="str">
        <f>Table1[[#This Row],[html_tag]]&amp;Table1[[#This Row],[html_type]]&amp;Table1[[#This Row],[html_modifier]]</f>
        <v/>
      </c>
      <c r="AL745" s="23" t="str">
        <f>IFERROR(_xlfn.XLOOKUP(Table1[[#This Row],[word]],Table57[English style name],Table57[Style type]),"")</f>
        <v/>
      </c>
      <c r="AM745" s="21"/>
      <c r="AN745" s="11"/>
    </row>
    <row r="746" spans="5:44">
      <c r="E746" s="76"/>
      <c r="F7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46" s="13" t="s">
        <v>337</v>
      </c>
      <c r="H746" s="13" t="s">
        <v>2986</v>
      </c>
      <c r="I746" s="12" t="str">
        <f>Table1[[#This Row],[type]]</f>
        <v>divider</v>
      </c>
      <c r="J746" s="62" t="str">
        <f>Table1[[#This Row],[Column42]]&amp;IF(Table1[[#This Row],[Column13]]="","",Table1[[#This Row],[Column13]])&amp;IF(Table1[[#This Row],[mod]]="","",Table1[[#This Row],[mod]])</f>
        <v>divider--base</v>
      </c>
      <c r="K7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6" t="s">
        <v>1532</v>
      </c>
      <c r="P746" s="6"/>
      <c r="Q7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46" t="s">
        <v>338</v>
      </c>
      <c r="AB746" s="29"/>
      <c r="AC746" s="25"/>
      <c r="AD746" s="41"/>
      <c r="AE746" s="41"/>
      <c r="AF746" s="11"/>
      <c r="AH746" s="1" t="str">
        <f>Table1[[#This Row],[html_tag]]&amp;Table1[[#This Row],[html_type]]&amp;Table1[[#This Row],[html_modifier]]</f>
        <v/>
      </c>
      <c r="AL746" s="22" t="str">
        <f>IFERROR(_xlfn.XLOOKUP(Table1[[#This Row],[word]],Table57[English style name],Table57[Style type]),"")</f>
        <v/>
      </c>
      <c r="AM746" s="20"/>
      <c r="AN746" s="11"/>
      <c r="AQ746" s="6" t="s">
        <v>1534</v>
      </c>
      <c r="AR746" t="s">
        <v>1533</v>
      </c>
    </row>
    <row r="747" spans="5:44">
      <c r="E747" s="76"/>
      <c r="F7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47" s="13" t="s">
        <v>337</v>
      </c>
      <c r="H747" s="13" t="s">
        <v>2986</v>
      </c>
      <c r="I747" s="12" t="str">
        <f>Table1[[#This Row],[type]]</f>
        <v>divider</v>
      </c>
      <c r="J747" s="62" t="str">
        <f>Table1[[#This Row],[Column42]]&amp;IF(Table1[[#This Row],[Column13]]="","",Table1[[#This Row],[Column13]])&amp;IF(Table1[[#This Row],[mod]]="","",Table1[[#This Row],[mod]])</f>
        <v>divider--base--vertical</v>
      </c>
      <c r="K7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7" t="s">
        <v>1532</v>
      </c>
      <c r="P747" s="6"/>
      <c r="Q7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--base--vertical</v>
      </c>
      <c r="V747" t="s">
        <v>338</v>
      </c>
      <c r="X747" t="s">
        <v>2943</v>
      </c>
      <c r="AB747" s="29"/>
      <c r="AC747" s="25"/>
      <c r="AD747" s="41"/>
      <c r="AE747" s="41"/>
      <c r="AF747" s="11"/>
      <c r="AH747" s="1" t="str">
        <f>Table1[[#This Row],[html_tag]]&amp;Table1[[#This Row],[html_type]]&amp;Table1[[#This Row],[html_modifier]]</f>
        <v/>
      </c>
      <c r="AL747" s="22" t="str">
        <f>IFERROR(_xlfn.XLOOKUP(Table1[[#This Row],[word]],Table57[English style name],Table57[Style type]),"")</f>
        <v/>
      </c>
      <c r="AM747" s="20"/>
      <c r="AN747" s="11"/>
      <c r="AQ747" s="6" t="s">
        <v>1535</v>
      </c>
      <c r="AR747" t="s">
        <v>1533</v>
      </c>
    </row>
    <row r="748" spans="5:44">
      <c r="E748" s="76"/>
      <c r="F7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48" s="13" t="s">
        <v>337</v>
      </c>
      <c r="H748" s="13" t="s">
        <v>2986</v>
      </c>
      <c r="I748" s="12" t="str">
        <f>Table1[[#This Row],[type]]</f>
        <v>divider</v>
      </c>
      <c r="J748" s="62" t="str">
        <f>Table1[[#This Row],[Column42]]&amp;IF(Table1[[#This Row],[Column13]]="","",Table1[[#This Row],[Column13]])&amp;IF(Table1[[#This Row],[mod]]="","",Table1[[#This Row],[mod]])</f>
        <v>divider--dotted</v>
      </c>
      <c r="K7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8" t="s">
        <v>1532</v>
      </c>
      <c r="P748" s="6"/>
      <c r="Q7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748" t="s">
        <v>3475</v>
      </c>
      <c r="AB748" s="29"/>
      <c r="AC748" s="25"/>
      <c r="AD748" s="41"/>
      <c r="AE748" s="41"/>
      <c r="AF748" s="11"/>
      <c r="AH748" s="1" t="str">
        <f>Table1[[#This Row],[html_tag]]&amp;Table1[[#This Row],[html_type]]&amp;Table1[[#This Row],[html_modifier]]</f>
        <v/>
      </c>
      <c r="AL748" s="22" t="str">
        <f>IFERROR(_xlfn.XLOOKUP(Table1[[#This Row],[word]],Table57[English style name],Table57[Style type]),"")</f>
        <v/>
      </c>
      <c r="AM748" s="20"/>
      <c r="AN748" s="11"/>
      <c r="AQ748" s="6" t="s">
        <v>1536</v>
      </c>
      <c r="AR748" t="s">
        <v>1533</v>
      </c>
    </row>
    <row r="749" spans="5:44">
      <c r="E749" s="76"/>
      <c r="F7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49" s="13" t="s">
        <v>337</v>
      </c>
      <c r="H749" s="13" t="s">
        <v>2986</v>
      </c>
      <c r="I749" s="12" t="str">
        <f>Table1[[#This Row],[type]]</f>
        <v>divider</v>
      </c>
      <c r="J749" s="62" t="str">
        <f>Table1[[#This Row],[Column42]]&amp;IF(Table1[[#This Row],[Column13]]="","",Table1[[#This Row],[Column13]])&amp;IF(Table1[[#This Row],[mod]]="","",Table1[[#This Row],[mod]])</f>
        <v>divider--dotted--vertical</v>
      </c>
      <c r="K7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9" t="s">
        <v>1532</v>
      </c>
      <c r="P749" s="6"/>
      <c r="Q7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--dotted--vertical</v>
      </c>
      <c r="W749" t="s">
        <v>3475</v>
      </c>
      <c r="X749" t="s">
        <v>2943</v>
      </c>
      <c r="AB749" s="29"/>
      <c r="AC749" s="25"/>
      <c r="AD749" s="41"/>
      <c r="AE749" s="41"/>
      <c r="AF749" s="11"/>
      <c r="AH749" s="1" t="str">
        <f>Table1[[#This Row],[html_tag]]&amp;Table1[[#This Row],[html_type]]&amp;Table1[[#This Row],[html_modifier]]</f>
        <v/>
      </c>
      <c r="AL749" s="22" t="str">
        <f>IFERROR(_xlfn.XLOOKUP(Table1[[#This Row],[word]],Table57[English style name],Table57[Style type]),"")</f>
        <v/>
      </c>
      <c r="AM749" s="20"/>
      <c r="AN749" s="11"/>
      <c r="AQ749" s="6" t="s">
        <v>1540</v>
      </c>
      <c r="AR749" t="s">
        <v>1533</v>
      </c>
    </row>
    <row r="750" spans="5:44">
      <c r="E750" s="76"/>
      <c r="F7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0" s="13"/>
      <c r="H750" s="13"/>
      <c r="I750" s="12" t="str">
        <f>Table1[[#This Row],[type]]</f>
        <v>divider</v>
      </c>
      <c r="J750" s="62" t="str">
        <f>Table1[[#This Row],[Column42]]&amp;IF(Table1[[#This Row],[Column13]]="","",Table1[[#This Row],[Column13]])&amp;IF(Table1[[#This Row],[mod]]="","",Table1[[#This Row],[mod]])</f>
        <v>divider--error</v>
      </c>
      <c r="K7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0" t="s">
        <v>1532</v>
      </c>
      <c r="Q7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750" t="s">
        <v>3117</v>
      </c>
      <c r="AB750" s="29"/>
      <c r="AC750" s="25"/>
      <c r="AD750" s="41" t="s">
        <v>6845</v>
      </c>
      <c r="AE750" s="41"/>
      <c r="AF750" s="11"/>
      <c r="AH750" s="7" t="str">
        <f>Table1[[#This Row],[html_tag]]&amp;Table1[[#This Row],[html_type]]&amp;Table1[[#This Row],[html_modifier]]</f>
        <v/>
      </c>
      <c r="AL750" s="23" t="str">
        <f>IFERROR(_xlfn.XLOOKUP(Table1[[#This Row],[word]],Table57[English style name],Table57[Style type]),"")</f>
        <v/>
      </c>
      <c r="AM750" s="21"/>
      <c r="AN750" s="11"/>
    </row>
    <row r="751" spans="5:44">
      <c r="E751" s="76"/>
      <c r="F7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soul/line/divider.scss</v>
      </c>
      <c r="G751" s="13" t="s">
        <v>2992</v>
      </c>
      <c r="H751" s="13" t="s">
        <v>2993</v>
      </c>
      <c r="I751" s="12" t="str">
        <f>Table1[[#This Row],[type]]</f>
        <v>divider</v>
      </c>
      <c r="J751" s="62" t="str">
        <f>Table1[[#This Row],[Column42]]&amp;IF(Table1[[#This Row],[Column13]]="","",Table1[[#This Row],[Column13]])&amp;IF(Table1[[#This Row],[mod]]="","",Table1[[#This Row],[mod]])</f>
        <v>divider--full</v>
      </c>
      <c r="K7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1" t="s">
        <v>1532</v>
      </c>
      <c r="P751" s="6"/>
      <c r="Q7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--full</v>
      </c>
      <c r="R751" t="s">
        <v>3444</v>
      </c>
      <c r="U7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51" s="29"/>
      <c r="AC751" s="25"/>
      <c r="AD751" s="41"/>
      <c r="AE751" s="41"/>
      <c r="AF751" s="11"/>
      <c r="AH751" s="1" t="str">
        <f>Table1[[#This Row],[html_tag]]&amp;Table1[[#This Row],[html_type]]&amp;Table1[[#This Row],[html_modifier]]</f>
        <v/>
      </c>
      <c r="AL751" s="22" t="str">
        <f>IFERROR(_xlfn.XLOOKUP(Table1[[#This Row],[word]],Table57[English style name],Table57[Style type]),"")</f>
        <v/>
      </c>
      <c r="AM751" s="20"/>
      <c r="AN751" s="11"/>
      <c r="AQ751" s="6" t="s">
        <v>2423</v>
      </c>
      <c r="AR751" t="s">
        <v>2424</v>
      </c>
    </row>
    <row r="752" spans="5:44">
      <c r="E752" s="76"/>
      <c r="F7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2" s="13"/>
      <c r="H752" s="13"/>
      <c r="I752" s="12" t="str">
        <f>Table1[[#This Row],[type]]</f>
        <v>divider</v>
      </c>
      <c r="J752" s="62" t="str">
        <f>Table1[[#This Row],[Column42]]&amp;IF(Table1[[#This Row],[Column13]]="","",Table1[[#This Row],[Column13]])&amp;IF(Table1[[#This Row],[mod]]="","",Table1[[#This Row],[mod]])</f>
        <v>divider--horizontal</v>
      </c>
      <c r="K7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2" t="s">
        <v>1532</v>
      </c>
      <c r="Q7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752" t="s">
        <v>3205</v>
      </c>
      <c r="AB752" s="29"/>
      <c r="AC752" s="25"/>
      <c r="AD752" s="41" t="s">
        <v>6847</v>
      </c>
      <c r="AE752" s="41"/>
      <c r="AF752" s="11"/>
      <c r="AH752" s="7" t="str">
        <f>Table1[[#This Row],[html_tag]]&amp;Table1[[#This Row],[html_type]]&amp;Table1[[#This Row],[html_modifier]]</f>
        <v/>
      </c>
      <c r="AL752" s="23" t="str">
        <f>IFERROR(_xlfn.XLOOKUP(Table1[[#This Row],[word]],Table57[English style name],Table57[Style type]),"")</f>
        <v/>
      </c>
      <c r="AM752" s="21"/>
      <c r="AN752" s="11"/>
    </row>
    <row r="753" spans="5:44">
      <c r="E753" s="76"/>
      <c r="F7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3" s="13"/>
      <c r="H753" s="13"/>
      <c r="I753" s="12" t="str">
        <f>Table1[[#This Row],[type]]</f>
        <v>divider</v>
      </c>
      <c r="J753" s="62" t="str">
        <f>Table1[[#This Row],[Column42]]&amp;IF(Table1[[#This Row],[Column13]]="","",Table1[[#This Row],[Column13]])&amp;IF(Table1[[#This Row],[mod]]="","",Table1[[#This Row],[mod]])</f>
        <v>divider--info</v>
      </c>
      <c r="K7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3" t="s">
        <v>1532</v>
      </c>
      <c r="Q7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753" t="s">
        <v>3119</v>
      </c>
      <c r="AB753" s="29"/>
      <c r="AC753" s="25"/>
      <c r="AD753" s="41" t="s">
        <v>6844</v>
      </c>
      <c r="AE753" s="41"/>
      <c r="AF753" s="11"/>
      <c r="AH753" s="7" t="str">
        <f>Table1[[#This Row],[html_tag]]&amp;Table1[[#This Row],[html_type]]&amp;Table1[[#This Row],[html_modifier]]</f>
        <v/>
      </c>
      <c r="AL753" s="23" t="str">
        <f>IFERROR(_xlfn.XLOOKUP(Table1[[#This Row],[word]],Table57[English style name],Table57[Style type]),"")</f>
        <v/>
      </c>
      <c r="AM753" s="21"/>
      <c r="AN753" s="11"/>
    </row>
    <row r="754" spans="5:44">
      <c r="E754" s="76"/>
      <c r="F7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54" s="13" t="s">
        <v>337</v>
      </c>
      <c r="H754" s="13" t="s">
        <v>2986</v>
      </c>
      <c r="I754" s="12" t="str">
        <f>Table1[[#This Row],[type]]</f>
        <v>divider</v>
      </c>
      <c r="J754" s="62" t="str">
        <f>Table1[[#This Row],[Column42]]&amp;IF(Table1[[#This Row],[Column13]]="","",Table1[[#This Row],[Column13]])&amp;IF(Table1[[#This Row],[mod]]="","",Table1[[#This Row],[mod]])</f>
        <v>divider--inline--vertical</v>
      </c>
      <c r="K7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4" t="s">
        <v>1532</v>
      </c>
      <c r="P754" s="6"/>
      <c r="Q7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--inline--vertical</v>
      </c>
      <c r="W754" t="s">
        <v>323</v>
      </c>
      <c r="X754" t="s">
        <v>2943</v>
      </c>
      <c r="AB754" s="29"/>
      <c r="AC754" s="25"/>
      <c r="AD754" s="41"/>
      <c r="AE754" s="41"/>
      <c r="AF754" s="11"/>
      <c r="AH754" s="1" t="str">
        <f>Table1[[#This Row],[html_tag]]&amp;Table1[[#This Row],[html_type]]&amp;Table1[[#This Row],[html_modifier]]</f>
        <v/>
      </c>
      <c r="AL754" s="22" t="str">
        <f>IFERROR(_xlfn.XLOOKUP(Table1[[#This Row],[word]],Table57[English style name],Table57[Style type]),"")</f>
        <v/>
      </c>
      <c r="AM754" s="20"/>
      <c r="AN754" s="11"/>
      <c r="AQ754" s="6" t="s">
        <v>1541</v>
      </c>
      <c r="AR754" t="s">
        <v>1533</v>
      </c>
    </row>
    <row r="755" spans="5:44">
      <c r="E755" s="76"/>
      <c r="F7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5" s="13"/>
      <c r="H755" s="13"/>
      <c r="I755" s="12" t="str">
        <f>Table1[[#This Row],[type]]</f>
        <v>divider</v>
      </c>
      <c r="J755" s="62" t="str">
        <f>Table1[[#This Row],[Column42]]&amp;IF(Table1[[#This Row],[Column13]]="","",Table1[[#This Row],[Column13]])&amp;IF(Table1[[#This Row],[mod]]="","",Table1[[#This Row],[mod]])</f>
        <v>divider--neutral</v>
      </c>
      <c r="K7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5" t="s">
        <v>1532</v>
      </c>
      <c r="Q7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755" t="s">
        <v>7393</v>
      </c>
      <c r="AB755" s="29"/>
      <c r="AC755" s="25"/>
      <c r="AD755" s="41" t="s">
        <v>6838</v>
      </c>
      <c r="AE755" s="41"/>
      <c r="AF755" s="11"/>
      <c r="AH755" s="7" t="str">
        <f>Table1[[#This Row],[html_tag]]&amp;Table1[[#This Row],[html_type]]&amp;Table1[[#This Row],[html_modifier]]</f>
        <v/>
      </c>
      <c r="AL755" s="23" t="str">
        <f>IFERROR(_xlfn.XLOOKUP(Table1[[#This Row],[word]],Table57[English style name],Table57[Style type]),"")</f>
        <v/>
      </c>
      <c r="AM755" s="21"/>
      <c r="AN755" s="11"/>
    </row>
    <row r="756" spans="5:44">
      <c r="E756" s="76"/>
      <c r="F7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6" s="13"/>
      <c r="H756" s="13"/>
      <c r="I756" s="12" t="str">
        <f>Table1[[#This Row],[type]]</f>
        <v>divider</v>
      </c>
      <c r="J756" s="62" t="str">
        <f>Table1[[#This Row],[Column42]]&amp;IF(Table1[[#This Row],[Column13]]="","",Table1[[#This Row],[Column13]])&amp;IF(Table1[[#This Row],[mod]]="","",Table1[[#This Row],[mod]])</f>
        <v>divider--primary</v>
      </c>
      <c r="K7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6" t="s">
        <v>1532</v>
      </c>
      <c r="Q75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756" t="s">
        <v>3164</v>
      </c>
      <c r="AB756" s="29"/>
      <c r="AC756" s="25"/>
      <c r="AD756" s="41" t="s">
        <v>6839</v>
      </c>
      <c r="AE756" s="41"/>
      <c r="AF756" s="11"/>
      <c r="AH756" s="7" t="str">
        <f>Table1[[#This Row],[html_tag]]&amp;Table1[[#This Row],[html_type]]&amp;Table1[[#This Row],[html_modifier]]</f>
        <v/>
      </c>
      <c r="AL756" s="23" t="str">
        <f>IFERROR(_xlfn.XLOOKUP(Table1[[#This Row],[word]],Table57[English style name],Table57[Style type]),"")</f>
        <v/>
      </c>
      <c r="AM756" s="21"/>
      <c r="AN756" s="11"/>
    </row>
    <row r="757" spans="5:44">
      <c r="E757" s="76"/>
      <c r="F7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7" s="13"/>
      <c r="H757" s="13"/>
      <c r="I757" s="12" t="str">
        <f>Table1[[#This Row],[type]]</f>
        <v>divider</v>
      </c>
      <c r="J757" s="62" t="str">
        <f>Table1[[#This Row],[Column42]]&amp;IF(Table1[[#This Row],[Column13]]="","",Table1[[#This Row],[Column13]])&amp;IF(Table1[[#This Row],[mod]]="","",Table1[[#This Row],[mod]])</f>
        <v>divider--secondary</v>
      </c>
      <c r="K7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7" t="s">
        <v>1532</v>
      </c>
      <c r="Q7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757" t="s">
        <v>3502</v>
      </c>
      <c r="AB757" s="29"/>
      <c r="AC757" s="25"/>
      <c r="AD757" s="41" t="s">
        <v>6840</v>
      </c>
      <c r="AE757" s="41"/>
      <c r="AF757" s="11"/>
      <c r="AH757" s="7" t="str">
        <f>Table1[[#This Row],[html_tag]]&amp;Table1[[#This Row],[html_type]]&amp;Table1[[#This Row],[html_modifier]]</f>
        <v/>
      </c>
      <c r="AL757" s="23" t="str">
        <f>IFERROR(_xlfn.XLOOKUP(Table1[[#This Row],[word]],Table57[English style name],Table57[Style type]),"")</f>
        <v/>
      </c>
      <c r="AM757" s="21"/>
      <c r="AN757" s="11"/>
    </row>
    <row r="758" spans="5:44">
      <c r="E758" s="76"/>
      <c r="F7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8" s="13"/>
      <c r="H758" s="13"/>
      <c r="I758" s="12" t="str">
        <f>Table1[[#This Row],[type]]</f>
        <v>divider</v>
      </c>
      <c r="J758" s="62" t="str">
        <f>Table1[[#This Row],[Column42]]&amp;IF(Table1[[#This Row],[Column13]]="","",Table1[[#This Row],[Column13]])&amp;IF(Table1[[#This Row],[mod]]="","",Table1[[#This Row],[mod]])</f>
        <v>divider--success</v>
      </c>
      <c r="K7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8" t="s">
        <v>1532</v>
      </c>
      <c r="Q7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758" t="s">
        <v>3120</v>
      </c>
      <c r="AB758" s="29"/>
      <c r="AC758" s="25"/>
      <c r="AD758" s="41" t="s">
        <v>6842</v>
      </c>
      <c r="AE758" s="41"/>
      <c r="AF758" s="11"/>
      <c r="AH758" s="7" t="str">
        <f>Table1[[#This Row],[html_tag]]&amp;Table1[[#This Row],[html_type]]&amp;Table1[[#This Row],[html_modifier]]</f>
        <v/>
      </c>
      <c r="AL758" s="23" t="str">
        <f>IFERROR(_xlfn.XLOOKUP(Table1[[#This Row],[word]],Table57[English style name],Table57[Style type]),"")</f>
        <v/>
      </c>
      <c r="AM758" s="21"/>
      <c r="AN758" s="11"/>
    </row>
    <row r="759" spans="5:44">
      <c r="E759" s="76"/>
      <c r="F7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59" s="13" t="s">
        <v>337</v>
      </c>
      <c r="H759" s="13" t="s">
        <v>2986</v>
      </c>
      <c r="I759" s="12" t="str">
        <f>Table1[[#This Row],[type]]</f>
        <v>divider</v>
      </c>
      <c r="J759" s="62" t="str">
        <f>Table1[[#This Row],[Column42]]&amp;IF(Table1[[#This Row],[Column13]]="","",Table1[[#This Row],[Column13]])&amp;IF(Table1[[#This Row],[mod]]="","",Table1[[#This Row],[mod]])</f>
        <v>divider--thick</v>
      </c>
      <c r="K7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9" t="s">
        <v>1532</v>
      </c>
      <c r="P759" s="6"/>
      <c r="Q7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--thick</v>
      </c>
      <c r="W759" t="s">
        <v>3476</v>
      </c>
      <c r="AB759" s="29"/>
      <c r="AC759" s="25"/>
      <c r="AD759" s="41"/>
      <c r="AE759" s="41"/>
      <c r="AF759" s="11"/>
      <c r="AH759" s="1" t="str">
        <f>Table1[[#This Row],[html_tag]]&amp;Table1[[#This Row],[html_type]]&amp;Table1[[#This Row],[html_modifier]]</f>
        <v/>
      </c>
      <c r="AL759" s="22" t="str">
        <f>IFERROR(_xlfn.XLOOKUP(Table1[[#This Row],[word]],Table57[English style name],Table57[Style type]),"")</f>
        <v/>
      </c>
      <c r="AM759" s="20"/>
      <c r="AN759" s="11"/>
      <c r="AQ759" s="6" t="s">
        <v>1537</v>
      </c>
      <c r="AR759" t="s">
        <v>1533</v>
      </c>
    </row>
    <row r="760" spans="5:44">
      <c r="E760" s="76"/>
      <c r="F7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60" s="13" t="s">
        <v>337</v>
      </c>
      <c r="H760" s="13" t="s">
        <v>2986</v>
      </c>
      <c r="I760" s="12" t="str">
        <f>Table1[[#This Row],[type]]</f>
        <v>divider</v>
      </c>
      <c r="J760" s="62" t="str">
        <f>Table1[[#This Row],[Column42]]&amp;IF(Table1[[#This Row],[Column13]]="","",Table1[[#This Row],[Column13]])&amp;IF(Table1[[#This Row],[mod]]="","",Table1[[#This Row],[mod]])</f>
        <v>divider--thick--vertical</v>
      </c>
      <c r="K7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0" t="s">
        <v>1532</v>
      </c>
      <c r="P760" s="6"/>
      <c r="Q7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--thick--vertical</v>
      </c>
      <c r="W760" t="s">
        <v>3476</v>
      </c>
      <c r="X760" t="s">
        <v>2943</v>
      </c>
      <c r="AB760" s="29"/>
      <c r="AC760" s="25"/>
      <c r="AD760" s="41"/>
      <c r="AE760" s="41"/>
      <c r="AF760" s="11"/>
      <c r="AH760" s="1" t="str">
        <f>Table1[[#This Row],[html_tag]]&amp;Table1[[#This Row],[html_type]]&amp;Table1[[#This Row],[html_modifier]]</f>
        <v/>
      </c>
      <c r="AL760" s="22" t="str">
        <f>IFERROR(_xlfn.XLOOKUP(Table1[[#This Row],[word]],Table57[English style name],Table57[Style type]),"")</f>
        <v/>
      </c>
      <c r="AM760" s="20"/>
      <c r="AN760" s="11"/>
      <c r="AQ760" s="6" t="s">
        <v>1542</v>
      </c>
      <c r="AR760" t="s">
        <v>1533</v>
      </c>
    </row>
    <row r="761" spans="5:44">
      <c r="E761" s="76"/>
      <c r="F7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61" s="13" t="s">
        <v>337</v>
      </c>
      <c r="H761" s="13" t="s">
        <v>2986</v>
      </c>
      <c r="I761" s="12" t="str">
        <f>Table1[[#This Row],[type]]</f>
        <v>divider</v>
      </c>
      <c r="J761" s="62" t="str">
        <f>Table1[[#This Row],[Column42]]&amp;IF(Table1[[#This Row],[Column13]]="","",Table1[[#This Row],[Column13]])&amp;IF(Table1[[#This Row],[mod]]="","",Table1[[#This Row],[mod]])</f>
        <v>divider--thin</v>
      </c>
      <c r="K7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1" t="s">
        <v>1532</v>
      </c>
      <c r="P761" s="6"/>
      <c r="Q7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--thin</v>
      </c>
      <c r="W761" t="s">
        <v>3477</v>
      </c>
      <c r="AB761" s="29"/>
      <c r="AC761" s="25"/>
      <c r="AD761" s="41"/>
      <c r="AE761" s="41"/>
      <c r="AF761" s="11"/>
      <c r="AH761" s="1" t="str">
        <f>Table1[[#This Row],[html_tag]]&amp;Table1[[#This Row],[html_type]]&amp;Table1[[#This Row],[html_modifier]]</f>
        <v/>
      </c>
      <c r="AL761" s="22" t="str">
        <f>IFERROR(_xlfn.XLOOKUP(Table1[[#This Row],[word]],Table57[English style name],Table57[Style type]),"")</f>
        <v/>
      </c>
      <c r="AM761" s="20"/>
      <c r="AN761" s="11"/>
      <c r="AQ761" s="6" t="s">
        <v>1538</v>
      </c>
      <c r="AR761" t="s">
        <v>1533</v>
      </c>
    </row>
    <row r="762" spans="5:44">
      <c r="E762" s="76"/>
      <c r="F7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62" s="13" t="s">
        <v>337</v>
      </c>
      <c r="H762" s="13" t="s">
        <v>2986</v>
      </c>
      <c r="I762" s="12" t="str">
        <f>Table1[[#This Row],[type]]</f>
        <v>divider</v>
      </c>
      <c r="J762" s="62" t="str">
        <f>Table1[[#This Row],[Column42]]&amp;IF(Table1[[#This Row],[Column13]]="","",Table1[[#This Row],[Column13]])&amp;IF(Table1[[#This Row],[mod]]="","",Table1[[#This Row],[mod]])</f>
        <v>divider--thin--vertical</v>
      </c>
      <c r="K7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2" t="s">
        <v>1532</v>
      </c>
      <c r="P762" s="6"/>
      <c r="Q7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--thin--vertical</v>
      </c>
      <c r="W762" t="s">
        <v>3477</v>
      </c>
      <c r="X762" t="s">
        <v>2943</v>
      </c>
      <c r="AB762" s="29"/>
      <c r="AC762" s="25"/>
      <c r="AD762" s="41"/>
      <c r="AE762" s="41"/>
      <c r="AF762" s="11"/>
      <c r="AH762" s="1" t="str">
        <f>Table1[[#This Row],[html_tag]]&amp;Table1[[#This Row],[html_type]]&amp;Table1[[#This Row],[html_modifier]]</f>
        <v/>
      </c>
      <c r="AL762" s="22" t="str">
        <f>IFERROR(_xlfn.XLOOKUP(Table1[[#This Row],[word]],Table57[English style name],Table57[Style type]),"")</f>
        <v/>
      </c>
      <c r="AM762" s="20"/>
      <c r="AN762" s="11"/>
      <c r="AQ762" s="6" t="s">
        <v>1543</v>
      </c>
      <c r="AR762" t="s">
        <v>1533</v>
      </c>
    </row>
    <row r="763" spans="5:44">
      <c r="E763" s="76"/>
      <c r="F7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63" s="13"/>
      <c r="H763" s="13"/>
      <c r="I763" s="12" t="str">
        <f>Table1[[#This Row],[type]]</f>
        <v>divider</v>
      </c>
      <c r="J763" s="62" t="str">
        <f>Table1[[#This Row],[Column42]]&amp;IF(Table1[[#This Row],[Column13]]="","",Table1[[#This Row],[Column13]])&amp;IF(Table1[[#This Row],[mod]]="","",Table1[[#This Row],[mod]])</f>
        <v>divider--vertical</v>
      </c>
      <c r="K7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3" t="s">
        <v>1532</v>
      </c>
      <c r="Q76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763" t="s">
        <v>2943</v>
      </c>
      <c r="AB763" s="29"/>
      <c r="AC763" s="25"/>
      <c r="AD763" s="41" t="s">
        <v>6846</v>
      </c>
      <c r="AE763" s="41"/>
      <c r="AF763" s="11"/>
      <c r="AH763" s="7" t="str">
        <f>Table1[[#This Row],[html_tag]]&amp;Table1[[#This Row],[html_type]]&amp;Table1[[#This Row],[html_modifier]]</f>
        <v/>
      </c>
      <c r="AL763" s="23" t="str">
        <f>IFERROR(_xlfn.XLOOKUP(Table1[[#This Row],[word]],Table57[English style name],Table57[Style type]),"")</f>
        <v/>
      </c>
      <c r="AM763" s="21"/>
      <c r="AN763" s="11"/>
    </row>
    <row r="764" spans="5:44">
      <c r="E764" s="76"/>
      <c r="F7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64" s="13" t="s">
        <v>337</v>
      </c>
      <c r="H764" s="13" t="s">
        <v>2986</v>
      </c>
      <c r="I764" s="12" t="str">
        <f>Table1[[#This Row],[type]]</f>
        <v>divider</v>
      </c>
      <c r="J764" s="62" t="str">
        <f>Table1[[#This Row],[Column42]]&amp;IF(Table1[[#This Row],[Column13]]="","",Table1[[#This Row],[Column13]])&amp;IF(Table1[[#This Row],[mod]]="","",Table1[[#This Row],[mod]])</f>
        <v>divider--vertical</v>
      </c>
      <c r="K7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4" t="s">
        <v>1532</v>
      </c>
      <c r="P764" s="6"/>
      <c r="Q7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764" t="s">
        <v>2943</v>
      </c>
      <c r="AB764" s="29"/>
      <c r="AC764" s="25"/>
      <c r="AD764" s="41"/>
      <c r="AE764" s="41"/>
      <c r="AF764" s="11"/>
      <c r="AH764" s="1" t="str">
        <f>Table1[[#This Row],[html_tag]]&amp;Table1[[#This Row],[html_type]]&amp;Table1[[#This Row],[html_modifier]]</f>
        <v/>
      </c>
      <c r="AL764" s="22" t="str">
        <f>IFERROR(_xlfn.XLOOKUP(Table1[[#This Row],[word]],Table57[English style name],Table57[Style type]),"")</f>
        <v/>
      </c>
      <c r="AM764" s="20"/>
      <c r="AN764" s="11"/>
      <c r="AQ764" s="6" t="s">
        <v>1539</v>
      </c>
      <c r="AR764" t="s">
        <v>1533</v>
      </c>
    </row>
    <row r="765" spans="5:44">
      <c r="E765" s="76"/>
      <c r="F7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65" s="13"/>
      <c r="H765" s="13"/>
      <c r="I765" s="12" t="str">
        <f>Table1[[#This Row],[type]]</f>
        <v>divider</v>
      </c>
      <c r="J765" s="62" t="str">
        <f>Table1[[#This Row],[Column42]]&amp;IF(Table1[[#This Row],[Column13]]="","",Table1[[#This Row],[Column13]])&amp;IF(Table1[[#This Row],[mod]]="","",Table1[[#This Row],[mod]])</f>
        <v>divider--warning</v>
      </c>
      <c r="K7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5" t="s">
        <v>1532</v>
      </c>
      <c r="Q7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765" t="s">
        <v>3121</v>
      </c>
      <c r="AB765" s="29"/>
      <c r="AC765" s="25"/>
      <c r="AD765" s="41" t="s">
        <v>6843</v>
      </c>
      <c r="AE765" s="41"/>
      <c r="AF765" s="11"/>
      <c r="AH765" s="7" t="str">
        <f>Table1[[#This Row],[html_tag]]&amp;Table1[[#This Row],[html_type]]&amp;Table1[[#This Row],[html_modifier]]</f>
        <v/>
      </c>
      <c r="AL765" s="23" t="str">
        <f>IFERROR(_xlfn.XLOOKUP(Table1[[#This Row],[word]],Table57[English style name],Table57[Style type]),"")</f>
        <v/>
      </c>
      <c r="AM765" s="21"/>
      <c r="AN765" s="11"/>
    </row>
    <row r="766" spans="5:44">
      <c r="E766" s="76"/>
      <c r="F7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66" s="13"/>
      <c r="H766" s="13"/>
      <c r="I766" s="12" t="str">
        <f>Table1[[#This Row],[type]]</f>
        <v>dock</v>
      </c>
      <c r="J766" s="62" t="str">
        <f>Table1[[#This Row],[Column42]]&amp;IF(Table1[[#This Row],[Column13]]="","",Table1[[#This Row],[Column13]])&amp;IF(Table1[[#This Row],[mod]]="","",Table1[[#This Row],[mod]])</f>
        <v>dock</v>
      </c>
      <c r="K7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66" t="s">
        <v>6447</v>
      </c>
      <c r="Q7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66" s="29"/>
      <c r="AC766" s="25"/>
      <c r="AD766" s="41" t="s">
        <v>6851</v>
      </c>
      <c r="AE766" s="41"/>
      <c r="AF766" s="11"/>
      <c r="AH766" s="7" t="str">
        <f>Table1[[#This Row],[html_tag]]&amp;Table1[[#This Row],[html_type]]&amp;Table1[[#This Row],[html_modifier]]</f>
        <v/>
      </c>
      <c r="AL766" s="23" t="str">
        <f>IFERROR(_xlfn.XLOOKUP(Table1[[#This Row],[word]],Table57[English style name],Table57[Style type]),"")</f>
        <v/>
      </c>
      <c r="AM766" s="21"/>
      <c r="AN766" s="11"/>
    </row>
    <row r="767" spans="5:44">
      <c r="E767" s="76"/>
      <c r="F7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67" s="13"/>
      <c r="H767" s="13"/>
      <c r="I767" s="12" t="str">
        <f>Table1[[#This Row],[type]]</f>
        <v>dock</v>
      </c>
      <c r="J767" s="62" t="str">
        <f>Table1[[#This Row],[Column42]]&amp;IF(Table1[[#This Row],[Column13]]="","",Table1[[#This Row],[Column13]])&amp;IF(Table1[[#This Row],[mod]]="","",Table1[[#This Row],[mod]])</f>
        <v>dock</v>
      </c>
      <c r="K7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67" t="s">
        <v>6447</v>
      </c>
      <c r="Q7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67" s="29"/>
      <c r="AC767" s="25"/>
      <c r="AD767" s="41" t="s">
        <v>6850</v>
      </c>
      <c r="AE767" s="41"/>
      <c r="AF767" s="11"/>
      <c r="AH767" s="7" t="str">
        <f>Table1[[#This Row],[html_tag]]&amp;Table1[[#This Row],[html_type]]&amp;Table1[[#This Row],[html_modifier]]</f>
        <v/>
      </c>
      <c r="AL767" s="23" t="str">
        <f>IFERROR(_xlfn.XLOOKUP(Table1[[#This Row],[word]],Table57[English style name],Table57[Style type]),"")</f>
        <v/>
      </c>
      <c r="AM767" s="21"/>
      <c r="AN767" s="11"/>
    </row>
    <row r="768" spans="5:44">
      <c r="E768" s="76"/>
      <c r="F7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68" s="13"/>
      <c r="H768" s="13"/>
      <c r="I768" s="12" t="str">
        <f>Table1[[#This Row],[type]]</f>
        <v>dock</v>
      </c>
      <c r="J768" s="62" t="str">
        <f>Table1[[#This Row],[Column42]]&amp;IF(Table1[[#This Row],[Column13]]="","",Table1[[#This Row],[Column13]])&amp;IF(Table1[[#This Row],[mod]]="","",Table1[[#This Row],[mod]])</f>
        <v>dock--active</v>
      </c>
      <c r="K7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68" t="s">
        <v>6447</v>
      </c>
      <c r="Q7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68" t="s">
        <v>350</v>
      </c>
      <c r="AB768" s="29"/>
      <c r="AC768" s="25"/>
      <c r="AD768" s="41" t="s">
        <v>6852</v>
      </c>
      <c r="AE768" s="41"/>
      <c r="AF768" s="11"/>
      <c r="AH768" s="7" t="str">
        <f>Table1[[#This Row],[html_tag]]&amp;Table1[[#This Row],[html_type]]&amp;Table1[[#This Row],[html_modifier]]</f>
        <v/>
      </c>
      <c r="AL768" s="23" t="str">
        <f>IFERROR(_xlfn.XLOOKUP(Table1[[#This Row],[word]],Table57[English style name],Table57[Style type]),"")</f>
        <v/>
      </c>
      <c r="AM768" s="21"/>
      <c r="AN768" s="11"/>
    </row>
    <row r="769" spans="5:44">
      <c r="E769" s="76"/>
      <c r="F7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69" s="13"/>
      <c r="H769" s="13"/>
      <c r="I769" s="12" t="str">
        <f>Table1[[#This Row],[type]]</f>
        <v>dock</v>
      </c>
      <c r="J769" s="62" t="str">
        <f>Table1[[#This Row],[Column42]]&amp;IF(Table1[[#This Row],[Column13]]="","",Table1[[#This Row],[Column13]])&amp;IF(Table1[[#This Row],[mod]]="","",Table1[[#This Row],[mod]])</f>
        <v>dock--lg</v>
      </c>
      <c r="K7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69" t="s">
        <v>6447</v>
      </c>
      <c r="Q7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769" t="s">
        <v>3114</v>
      </c>
      <c r="AB769" s="29"/>
      <c r="AC769" s="25"/>
      <c r="AD769" s="41" t="s">
        <v>6856</v>
      </c>
      <c r="AE769" s="41"/>
      <c r="AF769" s="11"/>
      <c r="AH769" s="7" t="str">
        <f>Table1[[#This Row],[html_tag]]&amp;Table1[[#This Row],[html_type]]&amp;Table1[[#This Row],[html_modifier]]</f>
        <v/>
      </c>
      <c r="AL769" s="23" t="str">
        <f>IFERROR(_xlfn.XLOOKUP(Table1[[#This Row],[word]],Table57[English style name],Table57[Style type]),"")</f>
        <v/>
      </c>
      <c r="AM769" s="21"/>
      <c r="AN769" s="11"/>
    </row>
    <row r="770" spans="5:44">
      <c r="E770" s="76"/>
      <c r="F7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70" s="13"/>
      <c r="H770" s="13"/>
      <c r="I770" s="12" t="str">
        <f>Table1[[#This Row],[type]]</f>
        <v>dock</v>
      </c>
      <c r="J770" s="62" t="str">
        <f>Table1[[#This Row],[Column42]]&amp;IF(Table1[[#This Row],[Column13]]="","",Table1[[#This Row],[Column13]])&amp;IF(Table1[[#This Row],[mod]]="","",Table1[[#This Row],[mod]])</f>
        <v>dock--md</v>
      </c>
      <c r="K7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70" t="s">
        <v>6447</v>
      </c>
      <c r="Q7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770" t="s">
        <v>3115</v>
      </c>
      <c r="AB770" s="29"/>
      <c r="AC770" s="25"/>
      <c r="AD770" s="41" t="s">
        <v>6855</v>
      </c>
      <c r="AE770" s="41"/>
      <c r="AF770" s="11"/>
      <c r="AH770" s="7" t="str">
        <f>Table1[[#This Row],[html_tag]]&amp;Table1[[#This Row],[html_type]]&amp;Table1[[#This Row],[html_modifier]]</f>
        <v/>
      </c>
      <c r="AL770" s="23" t="str">
        <f>IFERROR(_xlfn.XLOOKUP(Table1[[#This Row],[word]],Table57[English style name],Table57[Style type]),"")</f>
        <v/>
      </c>
      <c r="AM770" s="21"/>
      <c r="AN770" s="11"/>
    </row>
    <row r="771" spans="5:44">
      <c r="E771" s="76"/>
      <c r="F7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71" s="13"/>
      <c r="H771" s="13"/>
      <c r="I771" s="12" t="str">
        <f>Table1[[#This Row],[type]]</f>
        <v>dock</v>
      </c>
      <c r="J771" s="62" t="str">
        <f>Table1[[#This Row],[Column42]]&amp;IF(Table1[[#This Row],[Column13]]="","",Table1[[#This Row],[Column13]])&amp;IF(Table1[[#This Row],[mod]]="","",Table1[[#This Row],[mod]])</f>
        <v>dock--sm</v>
      </c>
      <c r="K7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71" t="s">
        <v>6447</v>
      </c>
      <c r="Q7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771" t="s">
        <v>3116</v>
      </c>
      <c r="AB771" s="29"/>
      <c r="AC771" s="25"/>
      <c r="AD771" s="41" t="s">
        <v>6854</v>
      </c>
      <c r="AE771" s="41"/>
      <c r="AF771" s="11"/>
      <c r="AH771" s="7" t="str">
        <f>Table1[[#This Row],[html_tag]]&amp;Table1[[#This Row],[html_type]]&amp;Table1[[#This Row],[html_modifier]]</f>
        <v/>
      </c>
      <c r="AL771" s="23" t="str">
        <f>IFERROR(_xlfn.XLOOKUP(Table1[[#This Row],[word]],Table57[English style name],Table57[Style type]),"")</f>
        <v/>
      </c>
      <c r="AM771" s="21"/>
      <c r="AN771" s="11"/>
    </row>
    <row r="772" spans="5:44">
      <c r="E772" s="76"/>
      <c r="F7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72" s="13"/>
      <c r="H772" s="13"/>
      <c r="I772" s="12" t="str">
        <f>Table1[[#This Row],[type]]</f>
        <v>dock</v>
      </c>
      <c r="J772" s="62" t="str">
        <f>Table1[[#This Row],[Column42]]&amp;IF(Table1[[#This Row],[Column13]]="","",Table1[[#This Row],[Column13]])&amp;IF(Table1[[#This Row],[mod]]="","",Table1[[#This Row],[mod]])</f>
        <v>dock--xl</v>
      </c>
      <c r="K7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72" t="s">
        <v>6447</v>
      </c>
      <c r="Q7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772" t="s">
        <v>3126</v>
      </c>
      <c r="AB772" s="29"/>
      <c r="AC772" s="25"/>
      <c r="AD772" s="41" t="s">
        <v>6857</v>
      </c>
      <c r="AE772" s="41"/>
      <c r="AF772" s="11"/>
      <c r="AH772" s="7" t="str">
        <f>Table1[[#This Row],[html_tag]]&amp;Table1[[#This Row],[html_type]]&amp;Table1[[#This Row],[html_modifier]]</f>
        <v/>
      </c>
      <c r="AL772" s="23" t="str">
        <f>IFERROR(_xlfn.XLOOKUP(Table1[[#This Row],[word]],Table57[English style name],Table57[Style type]),"")</f>
        <v/>
      </c>
      <c r="AM772" s="21"/>
      <c r="AN772" s="11"/>
    </row>
    <row r="773" spans="5:44">
      <c r="E773" s="76"/>
      <c r="F7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73" s="13"/>
      <c r="H773" s="13"/>
      <c r="I773" s="12" t="str">
        <f>Table1[[#This Row],[type]]</f>
        <v>dock</v>
      </c>
      <c r="J773" s="62" t="str">
        <f>Table1[[#This Row],[Column42]]&amp;IF(Table1[[#This Row],[Column13]]="","",Table1[[#This Row],[Column13]])&amp;IF(Table1[[#This Row],[mod]]="","",Table1[[#This Row],[mod]])</f>
        <v>dock--xs</v>
      </c>
      <c r="K7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73" t="s">
        <v>6447</v>
      </c>
      <c r="Q7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773" t="s">
        <v>3127</v>
      </c>
      <c r="AB773" s="29"/>
      <c r="AC773" s="25"/>
      <c r="AD773" s="41" t="s">
        <v>6853</v>
      </c>
      <c r="AE773" s="41"/>
      <c r="AF773" s="11"/>
      <c r="AH773" s="7" t="str">
        <f>Table1[[#This Row],[html_tag]]&amp;Table1[[#This Row],[html_type]]&amp;Table1[[#This Row],[html_modifier]]</f>
        <v/>
      </c>
      <c r="AL773" s="23" t="str">
        <f>IFERROR(_xlfn.XLOOKUP(Table1[[#This Row],[word]],Table57[English style name],Table57[Style type]),"")</f>
        <v/>
      </c>
      <c r="AM773" s="21"/>
      <c r="AN773" s="11"/>
    </row>
    <row r="774" spans="5:44">
      <c r="E774" s="76"/>
      <c r="F7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4" s="13"/>
      <c r="H774" s="13"/>
      <c r="I774" s="12" t="str">
        <f>Table1[[#This Row],[type]]</f>
        <v>drawer</v>
      </c>
      <c r="J774" s="62" t="str">
        <f>Table1[[#This Row],[Column42]]&amp;IF(Table1[[#This Row],[Column13]]="","",Table1[[#This Row],[Column13]])&amp;IF(Table1[[#This Row],[mod]]="","",Table1[[#This Row],[mod]])</f>
        <v>drawer</v>
      </c>
      <c r="K7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4" t="s">
        <v>6463</v>
      </c>
      <c r="Q7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4" s="29"/>
      <c r="AC774" s="25"/>
      <c r="AD774" s="41" t="s">
        <v>6866</v>
      </c>
      <c r="AE774" s="41"/>
      <c r="AF774" s="11"/>
      <c r="AH774" s="7" t="str">
        <f>Table1[[#This Row],[html_tag]]&amp;Table1[[#This Row],[html_type]]&amp;Table1[[#This Row],[html_modifier]]</f>
        <v/>
      </c>
      <c r="AL774" s="23" t="str">
        <f>IFERROR(_xlfn.XLOOKUP(Table1[[#This Row],[word]],Table57[English style name],Table57[Style type]),"")</f>
        <v/>
      </c>
      <c r="AM774" s="21"/>
      <c r="AN774" s="11"/>
    </row>
    <row r="775" spans="5:44">
      <c r="E775" s="76"/>
      <c r="F7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5" s="13"/>
      <c r="H775" s="13"/>
      <c r="I775" s="12" t="str">
        <f>Table1[[#This Row],[type]]</f>
        <v>drawer</v>
      </c>
      <c r="J775" s="62" t="str">
        <f>Table1[[#This Row],[Column42]]&amp;IF(Table1[[#This Row],[Column13]]="","",Table1[[#This Row],[Column13]])&amp;IF(Table1[[#This Row],[mod]]="","",Table1[[#This Row],[mod]])</f>
        <v>drawer</v>
      </c>
      <c r="K7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5" t="s">
        <v>6463</v>
      </c>
      <c r="Q7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5" s="29"/>
      <c r="AC775" s="25"/>
      <c r="AD775" s="41" t="s">
        <v>6859</v>
      </c>
      <c r="AE775" s="41"/>
      <c r="AF775" s="11"/>
      <c r="AH775" s="7" t="str">
        <f>Table1[[#This Row],[html_tag]]&amp;Table1[[#This Row],[html_type]]&amp;Table1[[#This Row],[html_modifier]]</f>
        <v/>
      </c>
      <c r="AL775" s="23" t="str">
        <f>IFERROR(_xlfn.XLOOKUP(Table1[[#This Row],[word]],Table57[English style name],Table57[Style type]),"")</f>
        <v/>
      </c>
      <c r="AM775" s="21"/>
      <c r="AN775" s="11"/>
    </row>
    <row r="776" spans="5:44">
      <c r="E776" s="76"/>
      <c r="F7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6" s="13"/>
      <c r="H776" s="13"/>
      <c r="I776" s="12" t="str">
        <f>Table1[[#This Row],[type]]</f>
        <v>drawer</v>
      </c>
      <c r="J776" s="62" t="str">
        <f>Table1[[#This Row],[Column42]]&amp;IF(Table1[[#This Row],[Column13]]="","",Table1[[#This Row],[Column13]])&amp;IF(Table1[[#This Row],[mod]]="","",Table1[[#This Row],[mod]])</f>
        <v>drawer</v>
      </c>
      <c r="K7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6" t="s">
        <v>6463</v>
      </c>
      <c r="Q7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6" s="29"/>
      <c r="AC776" s="25"/>
      <c r="AD776" s="41" t="s">
        <v>6861</v>
      </c>
      <c r="AE776" s="41"/>
      <c r="AF776" s="11"/>
      <c r="AH776" s="7" t="str">
        <f>Table1[[#This Row],[html_tag]]&amp;Table1[[#This Row],[html_type]]&amp;Table1[[#This Row],[html_modifier]]</f>
        <v/>
      </c>
      <c r="AL776" s="23" t="str">
        <f>IFERROR(_xlfn.XLOOKUP(Table1[[#This Row],[word]],Table57[English style name],Table57[Style type]),"")</f>
        <v/>
      </c>
      <c r="AM776" s="21"/>
      <c r="AN776" s="11"/>
    </row>
    <row r="777" spans="5:44">
      <c r="E777" s="76"/>
      <c r="F7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7" s="13"/>
      <c r="H777" s="13"/>
      <c r="I777" s="12" t="str">
        <f>Table1[[#This Row],[type]]</f>
        <v>drawer</v>
      </c>
      <c r="J777" s="62" t="str">
        <f>Table1[[#This Row],[Column42]]&amp;IF(Table1[[#This Row],[Column13]]="","",Table1[[#This Row],[Column13]])&amp;IF(Table1[[#This Row],[mod]]="","",Table1[[#This Row],[mod]])</f>
        <v>drawer</v>
      </c>
      <c r="K7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7" t="s">
        <v>6463</v>
      </c>
      <c r="Q7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7" s="29"/>
      <c r="AC777" s="25"/>
      <c r="AD777" s="41" t="s">
        <v>6862</v>
      </c>
      <c r="AE777" s="41"/>
      <c r="AF777" s="11"/>
      <c r="AH777" s="7" t="str">
        <f>Table1[[#This Row],[html_tag]]&amp;Table1[[#This Row],[html_type]]&amp;Table1[[#This Row],[html_modifier]]</f>
        <v/>
      </c>
      <c r="AL777" s="23" t="str">
        <f>IFERROR(_xlfn.XLOOKUP(Table1[[#This Row],[word]],Table57[English style name],Table57[Style type]),"")</f>
        <v/>
      </c>
      <c r="AM777" s="21"/>
      <c r="AN777" s="11"/>
    </row>
    <row r="778" spans="5:44">
      <c r="E778" s="76"/>
      <c r="F7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8" s="13"/>
      <c r="H778" s="13"/>
      <c r="I778" s="12" t="str">
        <f>Table1[[#This Row],[type]]</f>
        <v>drawer</v>
      </c>
      <c r="J778" s="62" t="str">
        <f>Table1[[#This Row],[Column42]]&amp;IF(Table1[[#This Row],[Column13]]="","",Table1[[#This Row],[Column13]])&amp;IF(Table1[[#This Row],[mod]]="","",Table1[[#This Row],[mod]])</f>
        <v>drawer</v>
      </c>
      <c r="K7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8" t="s">
        <v>6463</v>
      </c>
      <c r="Q7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8" s="29"/>
      <c r="AC778" s="25"/>
      <c r="AD778" s="41" t="s">
        <v>6860</v>
      </c>
      <c r="AE778" s="41"/>
      <c r="AF778" s="11"/>
      <c r="AH778" s="7" t="str">
        <f>Table1[[#This Row],[html_tag]]&amp;Table1[[#This Row],[html_type]]&amp;Table1[[#This Row],[html_modifier]]</f>
        <v/>
      </c>
      <c r="AL778" s="23" t="str">
        <f>IFERROR(_xlfn.XLOOKUP(Table1[[#This Row],[word]],Table57[English style name],Table57[Style type]),"")</f>
        <v/>
      </c>
      <c r="AM778" s="21"/>
      <c r="AN778" s="11"/>
    </row>
    <row r="779" spans="5:44">
      <c r="E779" s="76"/>
      <c r="F7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9" s="13"/>
      <c r="H779" s="13"/>
      <c r="I779" s="12" t="str">
        <f>Table1[[#This Row],[type]]</f>
        <v>drawer</v>
      </c>
      <c r="J779" s="62" t="str">
        <f>Table1[[#This Row],[Column42]]&amp;IF(Table1[[#This Row],[Column13]]="","",Table1[[#This Row],[Column13]])&amp;IF(Table1[[#This Row],[mod]]="","",Table1[[#This Row],[mod]])</f>
        <v>drawer</v>
      </c>
      <c r="K7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9" t="s">
        <v>6463</v>
      </c>
      <c r="Q7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9" s="29"/>
      <c r="AC779" s="25"/>
      <c r="AD779" s="41" t="s">
        <v>6858</v>
      </c>
      <c r="AE779" s="41"/>
      <c r="AF779" s="11"/>
      <c r="AH779" s="7" t="str">
        <f>Table1[[#This Row],[html_tag]]&amp;Table1[[#This Row],[html_type]]&amp;Table1[[#This Row],[html_modifier]]</f>
        <v/>
      </c>
      <c r="AL779" s="23" t="str">
        <f>IFERROR(_xlfn.XLOOKUP(Table1[[#This Row],[word]],Table57[English style name],Table57[Style type]),"")</f>
        <v/>
      </c>
      <c r="AM779" s="21"/>
      <c r="AN779" s="11"/>
    </row>
    <row r="780" spans="5:44">
      <c r="E780" s="76"/>
      <c r="F7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80" s="13"/>
      <c r="H780" s="13"/>
      <c r="I780" s="12" t="str">
        <f>Table1[[#This Row],[type]]</f>
        <v>drawer</v>
      </c>
      <c r="J780" s="62" t="str">
        <f>Table1[[#This Row],[Column42]]&amp;IF(Table1[[#This Row],[Column13]]="","",Table1[[#This Row],[Column13]])&amp;IF(Table1[[#This Row],[mod]]="","",Table1[[#This Row],[mod]])</f>
        <v>drawer__end</v>
      </c>
      <c r="K7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drawer__end</v>
      </c>
      <c r="L780" t="s">
        <v>6463</v>
      </c>
      <c r="N780" t="s">
        <v>3194</v>
      </c>
      <c r="Q78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0" s="29"/>
      <c r="AC780" s="25"/>
      <c r="AD780" s="41" t="s">
        <v>6863</v>
      </c>
      <c r="AE780" s="41"/>
      <c r="AF780" s="11"/>
      <c r="AH780" s="7" t="str">
        <f>Table1[[#This Row],[html_tag]]&amp;Table1[[#This Row],[html_type]]&amp;Table1[[#This Row],[html_modifier]]</f>
        <v/>
      </c>
      <c r="AL780" s="23" t="str">
        <f>IFERROR(_xlfn.XLOOKUP(Table1[[#This Row],[word]],Table57[English style name],Table57[Style type]),"")</f>
        <v/>
      </c>
      <c r="AM780" s="21"/>
      <c r="AN780" s="11"/>
    </row>
    <row r="781" spans="5:44">
      <c r="E781" s="76"/>
      <c r="F7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81" s="13"/>
      <c r="H781" s="13"/>
      <c r="I781" s="12" t="str">
        <f>Table1[[#This Row],[type]]</f>
        <v>drawer</v>
      </c>
      <c r="J781" s="62" t="str">
        <f>Table1[[#This Row],[Column42]]&amp;IF(Table1[[#This Row],[Column13]]="","",Table1[[#This Row],[Column13]])&amp;IF(Table1[[#This Row],[mod]]="","",Table1[[#This Row],[mod]])</f>
        <v>drawer--active</v>
      </c>
      <c r="K7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81" t="s">
        <v>6463</v>
      </c>
      <c r="Q78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81" t="s">
        <v>350</v>
      </c>
      <c r="AB781" s="29"/>
      <c r="AC781" s="25"/>
      <c r="AD781" s="41" t="s">
        <v>6865</v>
      </c>
      <c r="AE781" s="41"/>
      <c r="AF781" s="11"/>
      <c r="AH781" s="7" t="str">
        <f>Table1[[#This Row],[html_tag]]&amp;Table1[[#This Row],[html_type]]&amp;Table1[[#This Row],[html_modifier]]</f>
        <v/>
      </c>
      <c r="AL781" s="23" t="str">
        <f>IFERROR(_xlfn.XLOOKUP(Table1[[#This Row],[word]],Table57[English style name],Table57[Style type]),"")</f>
        <v/>
      </c>
      <c r="AM781" s="21"/>
      <c r="AN781" s="11"/>
    </row>
    <row r="782" spans="5:44">
      <c r="E782" s="76"/>
      <c r="F7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82" s="13"/>
      <c r="H782" s="13"/>
      <c r="I782" s="12" t="str">
        <f>Table1[[#This Row],[type]]</f>
        <v>drawer</v>
      </c>
      <c r="J782" s="62" t="str">
        <f>Table1[[#This Row],[Column42]]&amp;IF(Table1[[#This Row],[Column13]]="","",Table1[[#This Row],[Column13]])&amp;IF(Table1[[#This Row],[mod]]="","",Table1[[#This Row],[mod]])</f>
        <v>drawer--active</v>
      </c>
      <c r="K7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82" t="s">
        <v>6463</v>
      </c>
      <c r="Q7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82" t="s">
        <v>350</v>
      </c>
      <c r="AB782" s="29"/>
      <c r="AC782" s="25"/>
      <c r="AD782" s="41" t="s">
        <v>6864</v>
      </c>
      <c r="AE782" s="41"/>
      <c r="AF782" s="11"/>
      <c r="AH782" s="7" t="str">
        <f>Table1[[#This Row],[html_tag]]&amp;Table1[[#This Row],[html_type]]&amp;Table1[[#This Row],[html_modifier]]</f>
        <v/>
      </c>
      <c r="AL782" s="23" t="str">
        <f>IFERROR(_xlfn.XLOOKUP(Table1[[#This Row],[word]],Table57[English style name],Table57[Style type]),"")</f>
        <v/>
      </c>
      <c r="AM782" s="21"/>
      <c r="AN782" s="11"/>
    </row>
    <row r="783" spans="5:44">
      <c r="E783" s="76"/>
      <c r="F7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3" s="13" t="s">
        <v>337</v>
      </c>
      <c r="H783" s="13" t="s">
        <v>2987</v>
      </c>
      <c r="I783" s="12" t="str">
        <f>Table1[[#This Row],[type]]</f>
        <v>drilldown</v>
      </c>
      <c r="J783" s="62" t="str">
        <f>Table1[[#This Row],[Column42]]&amp;IF(Table1[[#This Row],[Column13]]="","",Table1[[#This Row],[Column13]])&amp;IF(Table1[[#This Row],[mod]]="","",Table1[[#This Row],[mod]])</f>
        <v>drilldown</v>
      </c>
      <c r="K7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3" t="s">
        <v>3129</v>
      </c>
      <c r="P783" s="6" t="s">
        <v>1544</v>
      </c>
      <c r="Q7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3" s="29"/>
      <c r="AC783" s="25"/>
      <c r="AD783" s="41"/>
      <c r="AE783" s="41"/>
      <c r="AF783" s="11"/>
      <c r="AH783" s="1" t="str">
        <f>Table1[[#This Row],[html_tag]]&amp;Table1[[#This Row],[html_type]]&amp;Table1[[#This Row],[html_modifier]]</f>
        <v/>
      </c>
      <c r="AL783" s="22" t="str">
        <f>IFERROR(_xlfn.XLOOKUP(Table1[[#This Row],[word]],Table57[English style name],Table57[Style type]),"")</f>
        <v/>
      </c>
      <c r="AM783" s="20"/>
      <c r="AN783" s="11"/>
      <c r="AQ783" s="6" t="s">
        <v>1544</v>
      </c>
      <c r="AR783" t="s">
        <v>1545</v>
      </c>
    </row>
    <row r="784" spans="5:44">
      <c r="E784" s="76"/>
      <c r="F7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4" s="13" t="s">
        <v>337</v>
      </c>
      <c r="H784" s="13" t="s">
        <v>2987</v>
      </c>
      <c r="I784" s="12" t="str">
        <f>Table1[[#This Row],[type]]</f>
        <v>drilldown</v>
      </c>
      <c r="J784" s="62" t="str">
        <f>Table1[[#This Row],[Column42]]&amp;IF(Table1[[#This Row],[Column13]]="","",Table1[[#This Row],[Column13]])&amp;IF(Table1[[#This Row],[mod]]="","",Table1[[#This Row],[mod]])</f>
        <v>drilldown</v>
      </c>
      <c r="K7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4" t="s">
        <v>3129</v>
      </c>
      <c r="P784" s="6" t="s">
        <v>1546</v>
      </c>
      <c r="Q7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4" s="29"/>
      <c r="AC784" s="25"/>
      <c r="AD784" s="41"/>
      <c r="AE784" s="41"/>
      <c r="AF784" s="11"/>
      <c r="AH784" s="1" t="str">
        <f>Table1[[#This Row],[html_tag]]&amp;Table1[[#This Row],[html_type]]&amp;Table1[[#This Row],[html_modifier]]</f>
        <v/>
      </c>
      <c r="AL784" s="22" t="str">
        <f>IFERROR(_xlfn.XLOOKUP(Table1[[#This Row],[word]],Table57[English style name],Table57[Style type]),"")</f>
        <v/>
      </c>
      <c r="AM784" s="20"/>
      <c r="AN784" s="11"/>
      <c r="AQ784" s="6" t="s">
        <v>1546</v>
      </c>
      <c r="AR784" t="s">
        <v>1545</v>
      </c>
    </row>
    <row r="785" spans="5:44">
      <c r="E785" s="76"/>
      <c r="F7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5" s="13" t="s">
        <v>337</v>
      </c>
      <c r="H785" s="13" t="s">
        <v>2987</v>
      </c>
      <c r="I785" s="12" t="str">
        <f>Table1[[#This Row],[type]]</f>
        <v>drilldown</v>
      </c>
      <c r="J785" s="62" t="str">
        <f>Table1[[#This Row],[Column42]]&amp;IF(Table1[[#This Row],[Column13]]="","",Table1[[#This Row],[Column13]])&amp;IF(Table1[[#This Row],[mod]]="","",Table1[[#This Row],[mod]])</f>
        <v>drilldown</v>
      </c>
      <c r="K7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5" t="s">
        <v>3129</v>
      </c>
      <c r="P785" s="6" t="s">
        <v>1547</v>
      </c>
      <c r="Q7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5" s="29"/>
      <c r="AC785" s="25"/>
      <c r="AD785" s="41"/>
      <c r="AE785" s="41"/>
      <c r="AF785" s="11"/>
      <c r="AH785" s="1" t="str">
        <f>Table1[[#This Row],[html_tag]]&amp;Table1[[#This Row],[html_type]]&amp;Table1[[#This Row],[html_modifier]]</f>
        <v/>
      </c>
      <c r="AL785" s="22" t="str">
        <f>IFERROR(_xlfn.XLOOKUP(Table1[[#This Row],[word]],Table57[English style name],Table57[Style type]),"")</f>
        <v/>
      </c>
      <c r="AM785" s="20"/>
      <c r="AN785" s="11"/>
      <c r="AQ785" s="6" t="s">
        <v>1547</v>
      </c>
      <c r="AR785" t="s">
        <v>1545</v>
      </c>
    </row>
    <row r="786" spans="5:44">
      <c r="E786" s="76"/>
      <c r="F7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6" s="13" t="s">
        <v>337</v>
      </c>
      <c r="H786" s="13" t="s">
        <v>2987</v>
      </c>
      <c r="I786" s="12" t="str">
        <f>Table1[[#This Row],[type]]</f>
        <v>drilldown</v>
      </c>
      <c r="J786" s="62" t="str">
        <f>Table1[[#This Row],[Column42]]&amp;IF(Table1[[#This Row],[Column13]]="","",Table1[[#This Row],[Column13]])&amp;IF(Table1[[#This Row],[mod]]="","",Table1[[#This Row],[mod]])</f>
        <v>drilldown</v>
      </c>
      <c r="K7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6" t="s">
        <v>3129</v>
      </c>
      <c r="P786" s="6" t="s">
        <v>1548</v>
      </c>
      <c r="Q7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6" s="29"/>
      <c r="AC786" s="25"/>
      <c r="AD786" s="41"/>
      <c r="AE786" s="41"/>
      <c r="AF786" s="11"/>
      <c r="AH786" s="1" t="str">
        <f>Table1[[#This Row],[html_tag]]&amp;Table1[[#This Row],[html_type]]&amp;Table1[[#This Row],[html_modifier]]</f>
        <v/>
      </c>
      <c r="AL786" s="22" t="str">
        <f>IFERROR(_xlfn.XLOOKUP(Table1[[#This Row],[word]],Table57[English style name],Table57[Style type]),"")</f>
        <v/>
      </c>
      <c r="AM786" s="20"/>
      <c r="AN786" s="11"/>
      <c r="AQ786" s="6" t="s">
        <v>1548</v>
      </c>
      <c r="AR786" t="s">
        <v>1545</v>
      </c>
    </row>
    <row r="787" spans="5:44">
      <c r="E787" s="76"/>
      <c r="F7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7" s="13" t="s">
        <v>337</v>
      </c>
      <c r="H787" s="13" t="s">
        <v>2987</v>
      </c>
      <c r="I787" s="12" t="str">
        <f>Table1[[#This Row],[type]]</f>
        <v>drilldown</v>
      </c>
      <c r="J787" s="62" t="str">
        <f>Table1[[#This Row],[Column42]]&amp;IF(Table1[[#This Row],[Column13]]="","",Table1[[#This Row],[Column13]])&amp;IF(Table1[[#This Row],[mod]]="","",Table1[[#This Row],[mod]])</f>
        <v>drilldown</v>
      </c>
      <c r="K7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7" t="s">
        <v>3129</v>
      </c>
      <c r="P787" s="6" t="s">
        <v>1550</v>
      </c>
      <c r="Q7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7" s="29"/>
      <c r="AC787" s="25"/>
      <c r="AD787" s="41"/>
      <c r="AE787" s="41"/>
      <c r="AF787" s="11"/>
      <c r="AH787" s="1" t="str">
        <f>Table1[[#This Row],[html_tag]]&amp;Table1[[#This Row],[html_type]]&amp;Table1[[#This Row],[html_modifier]]</f>
        <v/>
      </c>
      <c r="AL787" s="22" t="str">
        <f>IFERROR(_xlfn.XLOOKUP(Table1[[#This Row],[word]],Table57[English style name],Table57[Style type]),"")</f>
        <v/>
      </c>
      <c r="AM787" s="20"/>
      <c r="AN787" s="11"/>
      <c r="AQ787" s="6" t="s">
        <v>1550</v>
      </c>
      <c r="AR787" t="s">
        <v>1545</v>
      </c>
    </row>
    <row r="788" spans="5:44">
      <c r="E788" s="76"/>
      <c r="F7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8" s="13" t="s">
        <v>337</v>
      </c>
      <c r="H788" s="13" t="s">
        <v>2987</v>
      </c>
      <c r="I788" s="12" t="str">
        <f>Table1[[#This Row],[type]]</f>
        <v>drilldown</v>
      </c>
      <c r="J788" s="62" t="str">
        <f>Table1[[#This Row],[Column42]]&amp;IF(Table1[[#This Row],[Column13]]="","",Table1[[#This Row],[Column13]])&amp;IF(Table1[[#This Row],[mod]]="","",Table1[[#This Row],[mod]])</f>
        <v>drilldown</v>
      </c>
      <c r="K7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8" t="s">
        <v>3129</v>
      </c>
      <c r="P788" s="6" t="s">
        <v>1551</v>
      </c>
      <c r="Q7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8" s="29"/>
      <c r="AC788" s="25"/>
      <c r="AD788" s="41"/>
      <c r="AE788" s="41"/>
      <c r="AF788" s="11"/>
      <c r="AH788" s="1" t="str">
        <f>Table1[[#This Row],[html_tag]]&amp;Table1[[#This Row],[html_type]]&amp;Table1[[#This Row],[html_modifier]]</f>
        <v/>
      </c>
      <c r="AL788" s="22" t="str">
        <f>IFERROR(_xlfn.XLOOKUP(Table1[[#This Row],[word]],Table57[English style name],Table57[Style type]),"")</f>
        <v/>
      </c>
      <c r="AM788" s="20"/>
      <c r="AN788" s="11"/>
      <c r="AQ788" s="6" t="s">
        <v>1551</v>
      </c>
      <c r="AR788" t="s">
        <v>1545</v>
      </c>
    </row>
    <row r="789" spans="5:44">
      <c r="E789" s="76"/>
      <c r="F7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9" s="13" t="s">
        <v>337</v>
      </c>
      <c r="H789" s="13" t="s">
        <v>2987</v>
      </c>
      <c r="I789" s="12" t="str">
        <f>Table1[[#This Row],[type]]</f>
        <v>drilldown</v>
      </c>
      <c r="J789" s="62" t="str">
        <f>Table1[[#This Row],[Column42]]&amp;IF(Table1[[#This Row],[Column13]]="","",Table1[[#This Row],[Column13]])&amp;IF(Table1[[#This Row],[mod]]="","",Table1[[#This Row],[mod]])</f>
        <v>drilldown</v>
      </c>
      <c r="K7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9" t="s">
        <v>3129</v>
      </c>
      <c r="P789" s="6" t="s">
        <v>1552</v>
      </c>
      <c r="Q7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9" s="29"/>
      <c r="AC789" s="25"/>
      <c r="AD789" s="41"/>
      <c r="AE789" s="41"/>
      <c r="AF789" s="11"/>
      <c r="AH789" s="1" t="str">
        <f>Table1[[#This Row],[html_tag]]&amp;Table1[[#This Row],[html_type]]&amp;Table1[[#This Row],[html_modifier]]</f>
        <v/>
      </c>
      <c r="AL789" s="22" t="str">
        <f>IFERROR(_xlfn.XLOOKUP(Table1[[#This Row],[word]],Table57[English style name],Table57[Style type]),"")</f>
        <v/>
      </c>
      <c r="AM789" s="20"/>
      <c r="AN789" s="11"/>
      <c r="AQ789" s="6" t="s">
        <v>1552</v>
      </c>
      <c r="AR789" t="s">
        <v>1545</v>
      </c>
    </row>
    <row r="790" spans="5:44">
      <c r="E790" s="76"/>
      <c r="F7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0" s="13" t="s">
        <v>337</v>
      </c>
      <c r="H790" s="13" t="s">
        <v>2987</v>
      </c>
      <c r="I790" s="12" t="str">
        <f>Table1[[#This Row],[type]]</f>
        <v>drilldown</v>
      </c>
      <c r="J790" s="62" t="str">
        <f>Table1[[#This Row],[Column42]]&amp;IF(Table1[[#This Row],[Column13]]="","",Table1[[#This Row],[Column13]])&amp;IF(Table1[[#This Row],[mod]]="","",Table1[[#This Row],[mod]])</f>
        <v>drilldown</v>
      </c>
      <c r="K7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0" t="s">
        <v>3129</v>
      </c>
      <c r="P790" s="6" t="s">
        <v>1553</v>
      </c>
      <c r="Q7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0" s="29"/>
      <c r="AC790" s="25"/>
      <c r="AD790" s="41"/>
      <c r="AE790" s="41"/>
      <c r="AF790" s="11"/>
      <c r="AH790" s="1" t="str">
        <f>Table1[[#This Row],[html_tag]]&amp;Table1[[#This Row],[html_type]]&amp;Table1[[#This Row],[html_modifier]]</f>
        <v/>
      </c>
      <c r="AL790" s="22" t="str">
        <f>IFERROR(_xlfn.XLOOKUP(Table1[[#This Row],[word]],Table57[English style name],Table57[Style type]),"")</f>
        <v/>
      </c>
      <c r="AM790" s="20"/>
      <c r="AN790" s="11"/>
      <c r="AQ790" s="6" t="s">
        <v>1553</v>
      </c>
      <c r="AR790" t="s">
        <v>1545</v>
      </c>
    </row>
    <row r="791" spans="5:44">
      <c r="E791" s="76"/>
      <c r="F7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1" s="13" t="s">
        <v>337</v>
      </c>
      <c r="H791" s="13" t="s">
        <v>2987</v>
      </c>
      <c r="I791" s="12" t="str">
        <f>Table1[[#This Row],[type]]</f>
        <v>drilldown</v>
      </c>
      <c r="J791" s="62" t="str">
        <f>Table1[[#This Row],[Column42]]&amp;IF(Table1[[#This Row],[Column13]]="","",Table1[[#This Row],[Column13]])&amp;IF(Table1[[#This Row],[mod]]="","",Table1[[#This Row],[mod]])</f>
        <v>drilldown</v>
      </c>
      <c r="K7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1" t="s">
        <v>3129</v>
      </c>
      <c r="P791" s="6" t="s">
        <v>1556</v>
      </c>
      <c r="Q7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1" s="29"/>
      <c r="AC791" s="25"/>
      <c r="AD791" s="41"/>
      <c r="AE791" s="41"/>
      <c r="AF791" s="11"/>
      <c r="AH791" s="1" t="str">
        <f>Table1[[#This Row],[html_tag]]&amp;Table1[[#This Row],[html_type]]&amp;Table1[[#This Row],[html_modifier]]</f>
        <v/>
      </c>
      <c r="AL791" s="22" t="str">
        <f>IFERROR(_xlfn.XLOOKUP(Table1[[#This Row],[word]],Table57[English style name],Table57[Style type]),"")</f>
        <v/>
      </c>
      <c r="AM791" s="20"/>
      <c r="AN791" s="11"/>
      <c r="AQ791" s="6" t="s">
        <v>1556</v>
      </c>
      <c r="AR791" t="s">
        <v>1545</v>
      </c>
    </row>
    <row r="792" spans="5:44">
      <c r="E792" s="76"/>
      <c r="F7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2" s="13" t="s">
        <v>337</v>
      </c>
      <c r="H792" s="13" t="s">
        <v>2987</v>
      </c>
      <c r="I792" s="12" t="str">
        <f>Table1[[#This Row],[type]]</f>
        <v>drilldown</v>
      </c>
      <c r="J792" s="62" t="str">
        <f>Table1[[#This Row],[Column42]]&amp;IF(Table1[[#This Row],[Column13]]="","",Table1[[#This Row],[Column13]])&amp;IF(Table1[[#This Row],[mod]]="","",Table1[[#This Row],[mod]])</f>
        <v>drilldown</v>
      </c>
      <c r="K7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2" t="s">
        <v>3129</v>
      </c>
      <c r="P792" s="6" t="s">
        <v>1558</v>
      </c>
      <c r="Q7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2" s="29"/>
      <c r="AC792" s="25"/>
      <c r="AD792" s="41"/>
      <c r="AE792" s="41"/>
      <c r="AF792" s="11"/>
      <c r="AH792" s="1" t="str">
        <f>Table1[[#This Row],[html_tag]]&amp;Table1[[#This Row],[html_type]]&amp;Table1[[#This Row],[html_modifier]]</f>
        <v/>
      </c>
      <c r="AL792" s="22" t="str">
        <f>IFERROR(_xlfn.XLOOKUP(Table1[[#This Row],[word]],Table57[English style name],Table57[Style type]),"")</f>
        <v/>
      </c>
      <c r="AM792" s="20"/>
      <c r="AN792" s="11"/>
      <c r="AQ792" s="6" t="s">
        <v>1558</v>
      </c>
      <c r="AR792" t="s">
        <v>1545</v>
      </c>
    </row>
    <row r="793" spans="5:44">
      <c r="E793" s="76"/>
      <c r="F7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3" s="13" t="s">
        <v>337</v>
      </c>
      <c r="H793" s="13" t="s">
        <v>2987</v>
      </c>
      <c r="I793" s="12" t="str">
        <f>Table1[[#This Row],[type]]</f>
        <v>drilldown</v>
      </c>
      <c r="J793" s="62" t="str">
        <f>Table1[[#This Row],[Column42]]&amp;IF(Table1[[#This Row],[Column13]]="","",Table1[[#This Row],[Column13]])&amp;IF(Table1[[#This Row],[mod]]="","",Table1[[#This Row],[mod]])</f>
        <v>drilldown__submenu__title</v>
      </c>
      <c r="K7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drilldown__submenu__title</v>
      </c>
      <c r="L793" t="s">
        <v>3129</v>
      </c>
      <c r="M793" t="s">
        <v>3454</v>
      </c>
      <c r="O793" t="s">
        <v>333</v>
      </c>
      <c r="P793" s="6"/>
      <c r="Q7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3" s="29"/>
      <c r="AC793" s="25"/>
      <c r="AD793" s="41"/>
      <c r="AE793" s="41"/>
      <c r="AF793" s="11"/>
      <c r="AH793" s="1" t="str">
        <f>Table1[[#This Row],[html_tag]]&amp;Table1[[#This Row],[html_type]]&amp;Table1[[#This Row],[html_modifier]]</f>
        <v/>
      </c>
      <c r="AL793" s="22" t="str">
        <f>IFERROR(_xlfn.XLOOKUP(Table1[[#This Row],[word]],Table57[English style name],Table57[Style type]),"")</f>
        <v/>
      </c>
      <c r="AM793" s="20"/>
      <c r="AN793" s="11"/>
      <c r="AQ793" s="6" t="s">
        <v>1557</v>
      </c>
      <c r="AR793" t="s">
        <v>1545</v>
      </c>
    </row>
    <row r="794" spans="5:44">
      <c r="E794" s="76"/>
      <c r="F7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4" s="13" t="s">
        <v>337</v>
      </c>
      <c r="H794" s="13" t="s">
        <v>2987</v>
      </c>
      <c r="I794" s="12" t="str">
        <f>Table1[[#This Row],[type]]</f>
        <v>drilldown</v>
      </c>
      <c r="J794" s="62" t="str">
        <f>Table1[[#This Row],[Column42]]&amp;IF(Table1[[#This Row],[Column13]]="","",Table1[[#This Row],[Column13]])&amp;IF(Table1[[#This Row],[mod]]="","",Table1[[#This Row],[mod]])</f>
        <v>drilldown--active</v>
      </c>
      <c r="K7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4" t="s">
        <v>3129</v>
      </c>
      <c r="P794" s="6" t="s">
        <v>1554</v>
      </c>
      <c r="Q7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94" t="s">
        <v>350</v>
      </c>
      <c r="AB794" s="29"/>
      <c r="AC794" s="25"/>
      <c r="AD794" s="41"/>
      <c r="AE794" s="41"/>
      <c r="AF794" s="11"/>
      <c r="AH794" s="1" t="str">
        <f>Table1[[#This Row],[html_tag]]&amp;Table1[[#This Row],[html_type]]&amp;Table1[[#This Row],[html_modifier]]</f>
        <v>:active</v>
      </c>
      <c r="AK794" t="s">
        <v>3015</v>
      </c>
      <c r="AL794" s="22" t="str">
        <f>IFERROR(_xlfn.XLOOKUP(Table1[[#This Row],[word]],Table57[English style name],Table57[Style type]),"")</f>
        <v/>
      </c>
      <c r="AM794" s="20"/>
      <c r="AN794" s="11"/>
      <c r="AQ794" s="6" t="s">
        <v>1554</v>
      </c>
      <c r="AR794" t="s">
        <v>1545</v>
      </c>
    </row>
    <row r="795" spans="5:44">
      <c r="E795" s="76"/>
      <c r="F7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5" s="13" t="s">
        <v>337</v>
      </c>
      <c r="H795" s="13" t="s">
        <v>2987</v>
      </c>
      <c r="I795" s="12" t="str">
        <f>Table1[[#This Row],[type]]</f>
        <v>drilldown</v>
      </c>
      <c r="J795" s="62" t="str">
        <f>Table1[[#This Row],[Column42]]&amp;IF(Table1[[#This Row],[Column13]]="","",Table1[[#This Row],[Column13]])&amp;IF(Table1[[#This Row],[mod]]="","",Table1[[#This Row],[mod]])</f>
        <v>drilldown--container</v>
      </c>
      <c r="K7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5" t="s">
        <v>3129</v>
      </c>
      <c r="P795" s="6"/>
      <c r="Q7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795" t="s">
        <v>3445</v>
      </c>
      <c r="AB795" s="29"/>
      <c r="AC795" s="25"/>
      <c r="AD795" s="41"/>
      <c r="AE795" s="41"/>
      <c r="AF795" s="11"/>
      <c r="AH795" s="1" t="str">
        <f>Table1[[#This Row],[html_tag]]&amp;Table1[[#This Row],[html_type]]&amp;Table1[[#This Row],[html_modifier]]</f>
        <v/>
      </c>
      <c r="AL795" s="22" t="str">
        <f>IFERROR(_xlfn.XLOOKUP(Table1[[#This Row],[word]],Table57[English style name],Table57[Style type]),"")</f>
        <v/>
      </c>
      <c r="AM795" s="20"/>
      <c r="AN795" s="11"/>
      <c r="AQ795" s="6" t="s">
        <v>1549</v>
      </c>
      <c r="AR795" t="s">
        <v>1545</v>
      </c>
    </row>
    <row r="796" spans="5:44">
      <c r="E796" s="76"/>
      <c r="F7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6" s="13" t="s">
        <v>337</v>
      </c>
      <c r="H796" s="13" t="s">
        <v>2987</v>
      </c>
      <c r="I796" s="12" t="str">
        <f>Table1[[#This Row],[type]]</f>
        <v>drilldown</v>
      </c>
      <c r="J796" s="62" t="str">
        <f>Table1[[#This Row],[Column42]]&amp;IF(Table1[[#This Row],[Column13]]="","",Table1[[#This Row],[Column13]])&amp;IF(Table1[[#This Row],[mod]]="","",Table1[[#This Row],[mod]])</f>
        <v>drilldown--disabled</v>
      </c>
      <c r="K7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6" t="s">
        <v>3129</v>
      </c>
      <c r="P796" s="6" t="s">
        <v>1555</v>
      </c>
      <c r="Q7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796" t="s">
        <v>3032</v>
      </c>
      <c r="AB796" s="29"/>
      <c r="AC796" s="25"/>
      <c r="AD796" s="41"/>
      <c r="AE796" s="41"/>
      <c r="AF796" s="11"/>
      <c r="AH796" s="1" t="str">
        <f>Table1[[#This Row],[html_tag]]&amp;Table1[[#This Row],[html_type]]&amp;Table1[[#This Row],[html_modifier]]</f>
        <v>:disabled</v>
      </c>
      <c r="AK796" t="s">
        <v>3024</v>
      </c>
      <c r="AL796" s="22" t="str">
        <f>IFERROR(_xlfn.XLOOKUP(Table1[[#This Row],[word]],Table57[English style name],Table57[Style type]),"")</f>
        <v/>
      </c>
      <c r="AM796" s="20"/>
      <c r="AN796" s="11"/>
      <c r="AQ796" s="6" t="s">
        <v>1555</v>
      </c>
      <c r="AR796" t="s">
        <v>1545</v>
      </c>
    </row>
    <row r="797" spans="5:44">
      <c r="E797" s="76"/>
      <c r="F7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797" s="13"/>
      <c r="H797" s="13"/>
      <c r="I797" s="12" t="str">
        <f>Table1[[#This Row],[type]]</f>
        <v>dropdown</v>
      </c>
      <c r="J797" s="62" t="str">
        <f>Table1[[#This Row],[Column42]]&amp;IF(Table1[[#This Row],[Column13]]="","",Table1[[#This Row],[Column13]])&amp;IF(Table1[[#This Row],[mod]]="","",Table1[[#This Row],[mod]])</f>
        <v>dropdown</v>
      </c>
      <c r="K7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797" t="s">
        <v>3109</v>
      </c>
      <c r="Q79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7" s="29"/>
      <c r="AC797" s="25"/>
      <c r="AD797" s="41" t="s">
        <v>6876</v>
      </c>
      <c r="AE797" s="41"/>
      <c r="AF797" s="11"/>
      <c r="AH797" s="7" t="str">
        <f>Table1[[#This Row],[html_tag]]&amp;Table1[[#This Row],[html_type]]&amp;Table1[[#This Row],[html_modifier]]</f>
        <v/>
      </c>
      <c r="AL797" s="23" t="str">
        <f>IFERROR(_xlfn.XLOOKUP(Table1[[#This Row],[word]],Table57[English style name],Table57[Style type]),"")</f>
        <v/>
      </c>
      <c r="AM797" s="21"/>
      <c r="AN797" s="11"/>
    </row>
    <row r="798" spans="5:44">
      <c r="E798" s="76"/>
      <c r="F7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98" s="13" t="s">
        <v>337</v>
      </c>
      <c r="H798" s="13" t="s">
        <v>2987</v>
      </c>
      <c r="I798" s="12" t="str">
        <f>Table1[[#This Row],[type]]</f>
        <v>dropdown</v>
      </c>
      <c r="J798" s="62" t="str">
        <f>Table1[[#This Row],[Column42]]&amp;IF(Table1[[#This Row],[Column13]]="","",Table1[[#This Row],[Column13]])&amp;IF(Table1[[#This Row],[mod]]="","",Table1[[#This Row],[mod]])</f>
        <v>dropdown</v>
      </c>
      <c r="K7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798" t="s">
        <v>3109</v>
      </c>
      <c r="Q79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8" s="29" t="s">
        <v>3724</v>
      </c>
      <c r="AC798" s="25" t="s">
        <v>3724</v>
      </c>
      <c r="AD798" s="41" t="s">
        <v>3724</v>
      </c>
      <c r="AE798" s="41"/>
      <c r="AF798" s="11"/>
      <c r="AH798" s="7" t="str">
        <f>Table1[[#This Row],[html_tag]]&amp;Table1[[#This Row],[html_type]]&amp;Table1[[#This Row],[html_modifier]]</f>
        <v/>
      </c>
      <c r="AL798" s="23" t="str">
        <f>IFERROR(_xlfn.XLOOKUP(Table1[[#This Row],[word]],Table57[English style name],Table57[Style type]),"")</f>
        <v/>
      </c>
      <c r="AM798" s="21"/>
      <c r="AN798" s="11"/>
    </row>
    <row r="799" spans="5:44">
      <c r="E799" s="76"/>
      <c r="F7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799" s="13" t="s">
        <v>337</v>
      </c>
      <c r="H799" s="13" t="s">
        <v>2986</v>
      </c>
      <c r="I799" s="12" t="str">
        <f>Table1[[#This Row],[type]]</f>
        <v>dropdown</v>
      </c>
      <c r="J799" s="62" t="str">
        <f>Table1[[#This Row],[Column42]]&amp;IF(Table1[[#This Row],[Column13]]="","",Table1[[#This Row],[Column13]])&amp;IF(Table1[[#This Row],[mod]]="","",Table1[[#This Row],[mod]])</f>
        <v>dropdown</v>
      </c>
      <c r="K7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799" t="s">
        <v>3109</v>
      </c>
      <c r="P799" s="6" t="s">
        <v>1939</v>
      </c>
      <c r="Q7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9" s="29"/>
      <c r="AC799" s="25"/>
      <c r="AD799" s="41"/>
      <c r="AE799" s="41"/>
      <c r="AF799" s="11"/>
      <c r="AH799" s="1" t="str">
        <f>Table1[[#This Row],[html_tag]]&amp;Table1[[#This Row],[html_type]]&amp;Table1[[#This Row],[html_modifier]]</f>
        <v/>
      </c>
      <c r="AL799" s="22" t="str">
        <f>IFERROR(_xlfn.XLOOKUP(Table1[[#This Row],[word]],Table57[English style name],Table57[Style type]),"")</f>
        <v/>
      </c>
      <c r="AM799" s="20"/>
      <c r="AN799" s="11"/>
      <c r="AQ799" s="6" t="s">
        <v>1939</v>
      </c>
      <c r="AR799" t="s">
        <v>1940</v>
      </c>
    </row>
    <row r="800" spans="5:44">
      <c r="E800" s="76"/>
      <c r="F8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0" s="13" t="s">
        <v>337</v>
      </c>
      <c r="H800" s="13" t="s">
        <v>2987</v>
      </c>
      <c r="I800" s="12" t="str">
        <f>Table1[[#This Row],[type]]</f>
        <v>dropdown</v>
      </c>
      <c r="J800" s="62" t="str">
        <f>Table1[[#This Row],[Column42]]&amp;IF(Table1[[#This Row],[Column13]]="","",Table1[[#This Row],[Column13]])&amp;IF(Table1[[#This Row],[mod]]="","",Table1[[#This Row],[mod]])</f>
        <v>dropdown</v>
      </c>
      <c r="K8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800" t="s">
        <v>3109</v>
      </c>
      <c r="Q80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0" s="29"/>
      <c r="AC800" s="25" t="s">
        <v>3749</v>
      </c>
      <c r="AD800" s="41"/>
      <c r="AE800" s="41"/>
      <c r="AF800" s="11"/>
      <c r="AH800" s="7" t="str">
        <f>Table1[[#This Row],[html_tag]]&amp;Table1[[#This Row],[html_type]]&amp;Table1[[#This Row],[html_modifier]]</f>
        <v/>
      </c>
      <c r="AL800" s="23" t="str">
        <f>IFERROR(_xlfn.XLOOKUP(Table1[[#This Row],[word]],Table57[English style name],Table57[Style type]),"")</f>
        <v/>
      </c>
      <c r="AM800" s="21"/>
      <c r="AN800" s="11"/>
    </row>
    <row r="801" spans="5:44">
      <c r="E801" s="76"/>
      <c r="F8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01" s="13"/>
      <c r="H801" s="13"/>
      <c r="I801" s="12" t="str">
        <f>Table1[[#This Row],[type]]</f>
        <v>dropdown</v>
      </c>
      <c r="J801" s="62" t="str">
        <f>Table1[[#This Row],[Column42]]&amp;IF(Table1[[#This Row],[Column13]]="","",Table1[[#This Row],[Column13]])&amp;IF(Table1[[#This Row],[mod]]="","",Table1[[#This Row],[mod]])</f>
        <v>dropdown__bottom</v>
      </c>
      <c r="K8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dropdown__bottom</v>
      </c>
      <c r="L801" t="s">
        <v>3109</v>
      </c>
      <c r="N801" t="s">
        <v>3186</v>
      </c>
      <c r="Q8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1" s="29"/>
      <c r="AC801" s="25"/>
      <c r="AD801" s="41" t="s">
        <v>6871</v>
      </c>
      <c r="AE801" s="41"/>
      <c r="AF801" s="11"/>
      <c r="AH801" s="7" t="str">
        <f>Table1[[#This Row],[html_tag]]&amp;Table1[[#This Row],[html_type]]&amp;Table1[[#This Row],[html_modifier]]</f>
        <v/>
      </c>
      <c r="AL801" s="23" t="str">
        <f>IFERROR(_xlfn.XLOOKUP(Table1[[#This Row],[word]],Table57[English style name],Table57[Style type]),"")</f>
        <v/>
      </c>
      <c r="AM801" s="21"/>
      <c r="AN801" s="11"/>
    </row>
    <row r="802" spans="5:44">
      <c r="E802" s="76"/>
      <c r="F8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02" s="13"/>
      <c r="H802" s="13"/>
      <c r="I802" s="12" t="str">
        <f>Table1[[#This Row],[type]]</f>
        <v>dropdown</v>
      </c>
      <c r="J802" s="62" t="str">
        <f>Table1[[#This Row],[Column42]]&amp;IF(Table1[[#This Row],[Column13]]="","",Table1[[#This Row],[Column13]])&amp;IF(Table1[[#This Row],[mod]]="","",Table1[[#This Row],[mod]])</f>
        <v>dropdown__center</v>
      </c>
      <c r="K8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dropdown__center</v>
      </c>
      <c r="L802" t="s">
        <v>3109</v>
      </c>
      <c r="N802" t="s">
        <v>425</v>
      </c>
      <c r="Q80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2" s="29"/>
      <c r="AC802" s="25"/>
      <c r="AD802" s="41" t="s">
        <v>6868</v>
      </c>
      <c r="AE802" s="41"/>
      <c r="AF802" s="11"/>
      <c r="AH802" s="7" t="str">
        <f>Table1[[#This Row],[html_tag]]&amp;Table1[[#This Row],[html_type]]&amp;Table1[[#This Row],[html_modifier]]</f>
        <v/>
      </c>
      <c r="AL802" s="23" t="str">
        <f>IFERROR(_xlfn.XLOOKUP(Table1[[#This Row],[word]],Table57[English style name],Table57[Style type]),"")</f>
        <v/>
      </c>
      <c r="AM802" s="21"/>
      <c r="AN802" s="11"/>
    </row>
    <row r="803" spans="5:44">
      <c r="E803" s="76"/>
      <c r="F8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03" s="13"/>
      <c r="H803" s="13"/>
      <c r="I803" s="12" t="str">
        <f>Table1[[#This Row],[type]]</f>
        <v>dropdown</v>
      </c>
      <c r="J803" s="62" t="str">
        <f>Table1[[#This Row],[Column42]]&amp;IF(Table1[[#This Row],[Column13]]="","",Table1[[#This Row],[Column13]])&amp;IF(Table1[[#This Row],[mod]]="","",Table1[[#This Row],[mod]])</f>
        <v>dropdown__end</v>
      </c>
      <c r="K8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dropdown__end</v>
      </c>
      <c r="L803" t="s">
        <v>3109</v>
      </c>
      <c r="N803" t="s">
        <v>3194</v>
      </c>
      <c r="Q80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3" s="29"/>
      <c r="AC803" s="25"/>
      <c r="AD803" s="41" t="s">
        <v>6869</v>
      </c>
      <c r="AE803" s="41"/>
      <c r="AF803" s="11"/>
      <c r="AH803" s="7" t="str">
        <f>Table1[[#This Row],[html_tag]]&amp;Table1[[#This Row],[html_type]]&amp;Table1[[#This Row],[html_modifier]]</f>
        <v/>
      </c>
      <c r="AL803" s="23" t="str">
        <f>IFERROR(_xlfn.XLOOKUP(Table1[[#This Row],[word]],Table57[English style name],Table57[Style type]),"")</f>
        <v/>
      </c>
      <c r="AM803" s="21"/>
      <c r="AN803" s="11"/>
    </row>
    <row r="804" spans="5:44">
      <c r="E804" s="76"/>
      <c r="F8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04" s="13" t="s">
        <v>337</v>
      </c>
      <c r="H804" s="13" t="s">
        <v>2986</v>
      </c>
      <c r="I804" s="12" t="str">
        <f>Table1[[#This Row],[type]]</f>
        <v>dropdown</v>
      </c>
      <c r="J804" s="62" t="str">
        <f>Table1[[#This Row],[Column42]]&amp;IF(Table1[[#This Row],[Column13]]="","",Table1[[#This Row],[Column13]])&amp;IF(Table1[[#This Row],[mod]]="","",Table1[[#This Row],[mod]])</f>
        <v>dropdown__header</v>
      </c>
      <c r="K8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dropdown__header</v>
      </c>
      <c r="L804" t="s">
        <v>3109</v>
      </c>
      <c r="O804" t="s">
        <v>465</v>
      </c>
      <c r="Q8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4" s="29"/>
      <c r="AC804" s="25"/>
      <c r="AD804" s="41"/>
      <c r="AE804" s="41"/>
      <c r="AF804" s="11"/>
      <c r="AH804" s="1" t="str">
        <f>Table1[[#This Row],[html_tag]]&amp;Table1[[#This Row],[html_type]]&amp;Table1[[#This Row],[html_modifier]]</f>
        <v/>
      </c>
      <c r="AL804" s="22" t="str">
        <f>IFERROR(_xlfn.XLOOKUP(Table1[[#This Row],[word]],Table57[English style name],Table57[Style type]),"")</f>
        <v/>
      </c>
      <c r="AM804" s="20"/>
      <c r="AN804" s="11"/>
      <c r="AQ804" s="6" t="s">
        <v>1942</v>
      </c>
      <c r="AR804" t="s">
        <v>1940</v>
      </c>
    </row>
    <row r="805" spans="5:44">
      <c r="E805" s="76"/>
      <c r="F8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5" s="13" t="s">
        <v>337</v>
      </c>
      <c r="H805" s="13" t="s">
        <v>2987</v>
      </c>
      <c r="I805" s="12" t="str">
        <f>Table1[[#This Row],[type]]</f>
        <v>dropdown</v>
      </c>
      <c r="J805" s="62" t="str">
        <f>Table1[[#This Row],[Column42]]&amp;IF(Table1[[#This Row],[Column13]]="","",Table1[[#This Row],[Column13]])&amp;IF(Table1[[#This Row],[mod]]="","",Table1[[#This Row],[mod]])</f>
        <v>dropdown__left</v>
      </c>
      <c r="K8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dropdown__left</v>
      </c>
      <c r="L805" t="s">
        <v>3109</v>
      </c>
      <c r="N805" s="3" t="s">
        <v>616</v>
      </c>
      <c r="Q80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5" s="29"/>
      <c r="AC805" s="25" t="s">
        <v>3746</v>
      </c>
      <c r="AD805" s="41" t="s">
        <v>6872</v>
      </c>
      <c r="AE805" s="41"/>
      <c r="AF805" s="11"/>
      <c r="AH805" s="7" t="str">
        <f>Table1[[#This Row],[html_tag]]&amp;Table1[[#This Row],[html_type]]&amp;Table1[[#This Row],[html_modifier]]</f>
        <v/>
      </c>
      <c r="AL805" s="23" t="str">
        <f>IFERROR(_xlfn.XLOOKUP(Table1[[#This Row],[word]],Table57[English style name],Table57[Style type]),"")</f>
        <v/>
      </c>
      <c r="AM805" s="21"/>
      <c r="AN805" s="11"/>
    </row>
    <row r="806" spans="5:44">
      <c r="E806" s="76"/>
      <c r="F8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6" s="13" t="s">
        <v>337</v>
      </c>
      <c r="H806" s="13" t="s">
        <v>2987</v>
      </c>
      <c r="I806" s="12" t="str">
        <f>Table1[[#This Row],[type]]</f>
        <v>dropdown</v>
      </c>
      <c r="J806" s="62" t="str">
        <f>Table1[[#This Row],[Column42]]&amp;IF(Table1[[#This Row],[Column13]]="","",Table1[[#This Row],[Column13]])&amp;IF(Table1[[#This Row],[mod]]="","",Table1[[#This Row],[mod]])</f>
        <v>dropdown__menu</v>
      </c>
      <c r="K8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06" t="s">
        <v>3109</v>
      </c>
      <c r="M806" t="s">
        <v>562</v>
      </c>
      <c r="P806" s="6" t="s">
        <v>1572</v>
      </c>
      <c r="Q8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6" s="29" t="s">
        <v>3728</v>
      </c>
      <c r="AC806" s="25" t="s">
        <v>3728</v>
      </c>
      <c r="AD806" s="41"/>
      <c r="AE806" s="41"/>
      <c r="AF806" s="11"/>
      <c r="AH806" s="1" t="str">
        <f>Table1[[#This Row],[html_tag]]&amp;Table1[[#This Row],[html_type]]&amp;Table1[[#This Row],[html_modifier]]</f>
        <v/>
      </c>
      <c r="AJ806" s="76"/>
      <c r="AL806" s="22" t="str">
        <f>IFERROR(_xlfn.XLOOKUP(Table1[[#This Row],[word]],Table57[English style name],Table57[Style type]),"")</f>
        <v/>
      </c>
      <c r="AM806" s="20"/>
      <c r="AN806" s="11"/>
      <c r="AQ806" s="6" t="s">
        <v>1572</v>
      </c>
      <c r="AR806" t="s">
        <v>1560</v>
      </c>
    </row>
    <row r="807" spans="5:44">
      <c r="E807" s="76"/>
      <c r="F8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7" s="13" t="s">
        <v>337</v>
      </c>
      <c r="H807" s="13" t="s">
        <v>2987</v>
      </c>
      <c r="I807" s="12" t="str">
        <f>Table1[[#This Row],[type]]</f>
        <v>dropdown</v>
      </c>
      <c r="J807" s="62" t="str">
        <f>Table1[[#This Row],[Column42]]&amp;IF(Table1[[#This Row],[Column13]]="","",Table1[[#This Row],[Column13]])&amp;IF(Table1[[#This Row],[mod]]="","",Table1[[#This Row],[mod]])</f>
        <v>dropdown__menu</v>
      </c>
      <c r="K8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07" t="s">
        <v>3109</v>
      </c>
      <c r="M807" t="s">
        <v>562</v>
      </c>
      <c r="P807" s="6" t="s">
        <v>1575</v>
      </c>
      <c r="Q8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7" s="29"/>
      <c r="AC807" s="25"/>
      <c r="AD807" s="41"/>
      <c r="AE807" s="41"/>
      <c r="AF807" s="11"/>
      <c r="AH807" s="1" t="str">
        <f>Table1[[#This Row],[html_tag]]&amp;Table1[[#This Row],[html_type]]&amp;Table1[[#This Row],[html_modifier]]</f>
        <v/>
      </c>
      <c r="AJ807" s="76"/>
      <c r="AL807" s="22" t="str">
        <f>IFERROR(_xlfn.XLOOKUP(Table1[[#This Row],[word]],Table57[English style name],Table57[Style type]),"")</f>
        <v/>
      </c>
      <c r="AM807" s="20"/>
      <c r="AN807" s="11"/>
      <c r="AQ807" s="6" t="s">
        <v>1575</v>
      </c>
      <c r="AR807" t="s">
        <v>1560</v>
      </c>
    </row>
    <row r="808" spans="5:44">
      <c r="E808" s="76"/>
      <c r="F8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8" s="13" t="s">
        <v>337</v>
      </c>
      <c r="H808" s="13" t="s">
        <v>2987</v>
      </c>
      <c r="I808" s="12" t="str">
        <f>Table1[[#This Row],[type]]</f>
        <v>dropdown</v>
      </c>
      <c r="J808" s="62" t="str">
        <f>Table1[[#This Row],[Column42]]&amp;IF(Table1[[#This Row],[Column13]]="","",Table1[[#This Row],[Column13]])&amp;IF(Table1[[#This Row],[mod]]="","",Table1[[#This Row],[mod]])</f>
        <v>dropdown__menu</v>
      </c>
      <c r="K8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08" t="s">
        <v>3109</v>
      </c>
      <c r="M808" t="s">
        <v>562</v>
      </c>
      <c r="Q80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8" s="29"/>
      <c r="AC808" s="25"/>
      <c r="AD808" s="41"/>
      <c r="AE808" s="41"/>
      <c r="AF808" s="11"/>
      <c r="AH808" s="7" t="str">
        <f>Table1[[#This Row],[html_tag]]&amp;Table1[[#This Row],[html_type]]&amp;Table1[[#This Row],[html_modifier]]</f>
        <v/>
      </c>
      <c r="AJ808" s="76"/>
      <c r="AL808" s="23" t="str">
        <f>IFERROR(_xlfn.XLOOKUP(Table1[[#This Row],[word]],Table57[English style name],Table57[Style type]),"")</f>
        <v/>
      </c>
      <c r="AM808" s="21"/>
      <c r="AN808" s="11"/>
    </row>
    <row r="809" spans="5:44">
      <c r="E809" s="76"/>
      <c r="F8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9" s="13" t="s">
        <v>337</v>
      </c>
      <c r="H809" s="13" t="s">
        <v>2987</v>
      </c>
      <c r="I809" s="12" t="str">
        <f>Table1[[#This Row],[type]]</f>
        <v>dropdown</v>
      </c>
      <c r="J809" s="62" t="str">
        <f>Table1[[#This Row],[Column42]]&amp;IF(Table1[[#This Row],[Column13]]="","",Table1[[#This Row],[Column13]])&amp;IF(Table1[[#This Row],[mod]]="","",Table1[[#This Row],[mod]])</f>
        <v>dropdown__menu</v>
      </c>
      <c r="K8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09" t="s">
        <v>3109</v>
      </c>
      <c r="M809" t="s">
        <v>562</v>
      </c>
      <c r="Q80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9" s="29"/>
      <c r="AC809" s="25" t="s">
        <v>3730</v>
      </c>
      <c r="AD809" s="41"/>
      <c r="AE809" s="41"/>
      <c r="AF809" s="11"/>
      <c r="AH809" s="7" t="str">
        <f>Table1[[#This Row],[html_tag]]&amp;Table1[[#This Row],[html_type]]&amp;Table1[[#This Row],[html_modifier]]</f>
        <v/>
      </c>
      <c r="AJ809" s="76"/>
      <c r="AL809" s="23" t="str">
        <f>IFERROR(_xlfn.XLOOKUP(Table1[[#This Row],[word]],Table57[English style name],Table57[Style type]),"")</f>
        <v/>
      </c>
      <c r="AM809" s="21"/>
      <c r="AN809" s="11"/>
    </row>
    <row r="810" spans="5:44">
      <c r="E810" s="76"/>
      <c r="F8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0" s="13" t="s">
        <v>337</v>
      </c>
      <c r="H810" s="13" t="s">
        <v>2987</v>
      </c>
      <c r="I810" s="12" t="str">
        <f>Table1[[#This Row],[type]]</f>
        <v>dropdown</v>
      </c>
      <c r="J810" s="62" t="str">
        <f>Table1[[#This Row],[Column42]]&amp;IF(Table1[[#This Row],[Column13]]="","",Table1[[#This Row],[Column13]])&amp;IF(Table1[[#This Row],[mod]]="","",Table1[[#This Row],[mod]])</f>
        <v>dropdown__menu</v>
      </c>
      <c r="K8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0" t="s">
        <v>3109</v>
      </c>
      <c r="M810" t="s">
        <v>562</v>
      </c>
      <c r="P810" s="6" t="s">
        <v>1561</v>
      </c>
      <c r="Q8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0" s="29" t="s">
        <v>4078</v>
      </c>
      <c r="AC810" s="25"/>
      <c r="AD810" s="41" t="s">
        <v>4078</v>
      </c>
      <c r="AE810" s="41"/>
      <c r="AF810" s="11"/>
      <c r="AH810" s="1" t="str">
        <f>Table1[[#This Row],[html_tag]]&amp;Table1[[#This Row],[html_type]]&amp;Table1[[#This Row],[html_modifier]]</f>
        <v/>
      </c>
      <c r="AL810" s="22" t="str">
        <f>IFERROR(_xlfn.XLOOKUP(Table1[[#This Row],[word]],Table57[English style name],Table57[Style type]),"")</f>
        <v/>
      </c>
      <c r="AM810" s="20"/>
      <c r="AN810" s="11"/>
      <c r="AQ810" s="6" t="s">
        <v>1561</v>
      </c>
      <c r="AR810" t="s">
        <v>1560</v>
      </c>
    </row>
    <row r="811" spans="5:44">
      <c r="E811" s="76"/>
      <c r="F8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1" s="13" t="s">
        <v>337</v>
      </c>
      <c r="H811" s="13" t="s">
        <v>2987</v>
      </c>
      <c r="I811" s="12" t="str">
        <f>Table1[[#This Row],[type]]</f>
        <v>dropdown</v>
      </c>
      <c r="J811" s="62" t="str">
        <f>Table1[[#This Row],[Column42]]&amp;IF(Table1[[#This Row],[Column13]]="","",Table1[[#This Row],[Column13]])&amp;IF(Table1[[#This Row],[mod]]="","",Table1[[#This Row],[mod]])</f>
        <v>dropdown__menu</v>
      </c>
      <c r="K8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1" t="s">
        <v>3109</v>
      </c>
      <c r="M811" t="s">
        <v>562</v>
      </c>
      <c r="P811" s="6" t="s">
        <v>1565</v>
      </c>
      <c r="Q8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1" s="29"/>
      <c r="AC811" s="25"/>
      <c r="AD811" s="41"/>
      <c r="AE811" s="41"/>
      <c r="AF811" s="11"/>
      <c r="AH811" s="1" t="str">
        <f>Table1[[#This Row],[html_tag]]&amp;Table1[[#This Row],[html_type]]&amp;Table1[[#This Row],[html_modifier]]</f>
        <v/>
      </c>
      <c r="AL811" s="22" t="str">
        <f>IFERROR(_xlfn.XLOOKUP(Table1[[#This Row],[word]],Table57[English style name],Table57[Style type]),"")</f>
        <v/>
      </c>
      <c r="AM811" s="20"/>
      <c r="AN811" s="11"/>
      <c r="AQ811" s="6" t="s">
        <v>1565</v>
      </c>
      <c r="AR811" t="s">
        <v>1560</v>
      </c>
    </row>
    <row r="812" spans="5:44">
      <c r="E812" s="76"/>
      <c r="F8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2" s="13" t="s">
        <v>337</v>
      </c>
      <c r="H812" s="13" t="s">
        <v>2987</v>
      </c>
      <c r="I812" s="12" t="str">
        <f>Table1[[#This Row],[type]]</f>
        <v>dropdown</v>
      </c>
      <c r="J812" s="62" t="str">
        <f>Table1[[#This Row],[Column42]]&amp;IF(Table1[[#This Row],[Column13]]="","",Table1[[#This Row],[Column13]])&amp;IF(Table1[[#This Row],[mod]]="","",Table1[[#This Row],[mod]])</f>
        <v>dropdown__menu</v>
      </c>
      <c r="K8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2" t="s">
        <v>3109</v>
      </c>
      <c r="M812" t="s">
        <v>562</v>
      </c>
      <c r="P812" s="6" t="s">
        <v>1567</v>
      </c>
      <c r="Q8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2" s="29"/>
      <c r="AC812" s="25"/>
      <c r="AD812" s="41"/>
      <c r="AE812" s="41"/>
      <c r="AF812" s="11"/>
      <c r="AH812" s="1" t="str">
        <f>Table1[[#This Row],[html_tag]]&amp;Table1[[#This Row],[html_type]]&amp;Table1[[#This Row],[html_modifier]]</f>
        <v/>
      </c>
      <c r="AL812" s="22" t="str">
        <f>IFERROR(_xlfn.XLOOKUP(Table1[[#This Row],[word]],Table57[English style name],Table57[Style type]),"")</f>
        <v/>
      </c>
      <c r="AM812" s="20"/>
      <c r="AN812" s="11"/>
      <c r="AQ812" s="6" t="s">
        <v>1567</v>
      </c>
      <c r="AR812" t="s">
        <v>1560</v>
      </c>
    </row>
    <row r="813" spans="5:44">
      <c r="E813" s="76"/>
      <c r="F8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13" s="13" t="s">
        <v>337</v>
      </c>
      <c r="H813" s="13" t="s">
        <v>2986</v>
      </c>
      <c r="I813" s="12" t="str">
        <f>Table1[[#This Row],[type]]</f>
        <v>dropdown</v>
      </c>
      <c r="J813" s="62" t="str">
        <f>Table1[[#This Row],[Column42]]&amp;IF(Table1[[#This Row],[Column13]]="","",Table1[[#This Row],[Column13]])&amp;IF(Table1[[#This Row],[mod]]="","",Table1[[#This Row],[mod]])</f>
        <v>dropdown__menu</v>
      </c>
      <c r="K8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3" t="s">
        <v>3109</v>
      </c>
      <c r="M813" t="s">
        <v>562</v>
      </c>
      <c r="P813" s="6" t="s">
        <v>1943</v>
      </c>
      <c r="Q8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3" s="29" t="s">
        <v>3731</v>
      </c>
      <c r="AC813" s="25" t="s">
        <v>3731</v>
      </c>
      <c r="AD813" s="41"/>
      <c r="AE813" s="41"/>
      <c r="AF813" s="11"/>
      <c r="AH813" s="1" t="str">
        <f>Table1[[#This Row],[html_tag]]&amp;Table1[[#This Row],[html_type]]&amp;Table1[[#This Row],[html_modifier]]</f>
        <v/>
      </c>
      <c r="AL813" s="22" t="str">
        <f>IFERROR(_xlfn.XLOOKUP(Table1[[#This Row],[word]],Table57[English style name],Table57[Style type]),"")</f>
        <v/>
      </c>
      <c r="AM813" s="20"/>
      <c r="AN813" s="11"/>
      <c r="AQ813" s="6" t="s">
        <v>1943</v>
      </c>
      <c r="AR813" t="s">
        <v>1940</v>
      </c>
    </row>
    <row r="814" spans="5:44">
      <c r="E814" s="76"/>
      <c r="F8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4" s="13" t="s">
        <v>337</v>
      </c>
      <c r="H814" s="13" t="s">
        <v>2987</v>
      </c>
      <c r="I814" s="12" t="str">
        <f>Table1[[#This Row],[type]]</f>
        <v>dropdown</v>
      </c>
      <c r="J814" s="62" t="str">
        <f>Table1[[#This Row],[Column42]]&amp;IF(Table1[[#This Row],[Column13]]="","",Table1[[#This Row],[Column13]])&amp;IF(Table1[[#This Row],[mod]]="","",Table1[[#This Row],[mod]])</f>
        <v>dropdown__menu</v>
      </c>
      <c r="K8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4" t="s">
        <v>3109</v>
      </c>
      <c r="M814" t="s">
        <v>562</v>
      </c>
      <c r="P814" s="6" t="s">
        <v>1568</v>
      </c>
      <c r="Q8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4" s="29"/>
      <c r="AC814" s="25"/>
      <c r="AD814" s="41"/>
      <c r="AE814" s="41"/>
      <c r="AF814" s="11"/>
      <c r="AH814" s="1" t="str">
        <f>Table1[[#This Row],[html_tag]]&amp;Table1[[#This Row],[html_type]]&amp;Table1[[#This Row],[html_modifier]]</f>
        <v/>
      </c>
      <c r="AL814" s="22" t="str">
        <f>IFERROR(_xlfn.XLOOKUP(Table1[[#This Row],[word]],Table57[English style name],Table57[Style type]),"")</f>
        <v/>
      </c>
      <c r="AM814" s="20"/>
      <c r="AN814" s="11"/>
      <c r="AQ814" s="6" t="s">
        <v>1568</v>
      </c>
      <c r="AR814" t="s">
        <v>1560</v>
      </c>
    </row>
    <row r="815" spans="5:44">
      <c r="E815" s="76"/>
      <c r="F8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5" s="13" t="s">
        <v>337</v>
      </c>
      <c r="H815" s="13" t="s">
        <v>2987</v>
      </c>
      <c r="I815" s="12" t="str">
        <f>Table1[[#This Row],[type]]</f>
        <v>dropdown</v>
      </c>
      <c r="J815" s="62" t="str">
        <f>Table1[[#This Row],[Column42]]&amp;IF(Table1[[#This Row],[Column13]]="","",Table1[[#This Row],[Column13]])&amp;IF(Table1[[#This Row],[mod]]="","",Table1[[#This Row],[mod]])</f>
        <v>dropdown__menu</v>
      </c>
      <c r="K8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5" t="s">
        <v>3109</v>
      </c>
      <c r="M815" t="s">
        <v>562</v>
      </c>
      <c r="P815" s="6" t="s">
        <v>1569</v>
      </c>
      <c r="Q8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5" s="29" t="s">
        <v>3726</v>
      </c>
      <c r="AC815" s="25" t="s">
        <v>3726</v>
      </c>
      <c r="AD815" s="41"/>
      <c r="AE815" s="41"/>
      <c r="AF815" s="11"/>
      <c r="AH815" s="1" t="str">
        <f>Table1[[#This Row],[html_tag]]&amp;Table1[[#This Row],[html_type]]&amp;Table1[[#This Row],[html_modifier]]</f>
        <v/>
      </c>
      <c r="AL815" s="22" t="str">
        <f>IFERROR(_xlfn.XLOOKUP(Table1[[#This Row],[word]],Table57[English style name],Table57[Style type]),"")</f>
        <v/>
      </c>
      <c r="AM815" s="20"/>
      <c r="AN815" s="11"/>
      <c r="AQ815" s="6" t="s">
        <v>1569</v>
      </c>
      <c r="AR815" t="s">
        <v>1560</v>
      </c>
    </row>
    <row r="816" spans="5:44">
      <c r="E816" s="76"/>
      <c r="F8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6" s="13" t="s">
        <v>337</v>
      </c>
      <c r="H816" s="13" t="s">
        <v>2987</v>
      </c>
      <c r="I816" s="12" t="str">
        <f>Table1[[#This Row],[type]]</f>
        <v>dropdown</v>
      </c>
      <c r="J816" s="62" t="str">
        <f>Table1[[#This Row],[Column42]]&amp;IF(Table1[[#This Row],[Column13]]="","",Table1[[#This Row],[Column13]])&amp;IF(Table1[[#This Row],[mod]]="","",Table1[[#This Row],[mod]])</f>
        <v>dropdown__menu</v>
      </c>
      <c r="K8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6" t="s">
        <v>3109</v>
      </c>
      <c r="M816" t="s">
        <v>562</v>
      </c>
      <c r="Q81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6" s="29"/>
      <c r="AC816" s="25" t="s">
        <v>3725</v>
      </c>
      <c r="AD816" s="41"/>
      <c r="AE816" s="41"/>
      <c r="AF816" s="11"/>
      <c r="AH816" s="7" t="str">
        <f>Table1[[#This Row],[html_tag]]&amp;Table1[[#This Row],[html_type]]&amp;Table1[[#This Row],[html_modifier]]</f>
        <v/>
      </c>
      <c r="AJ816" s="76"/>
      <c r="AL816" s="23" t="str">
        <f>IFERROR(_xlfn.XLOOKUP(Table1[[#This Row],[word]],Table57[English style name],Table57[Style type]),"")</f>
        <v/>
      </c>
      <c r="AM816" s="21"/>
      <c r="AN816" s="11"/>
    </row>
    <row r="817" spans="5:44">
      <c r="E817" s="76"/>
      <c r="F8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7" s="13" t="s">
        <v>337</v>
      </c>
      <c r="H817" s="13" t="s">
        <v>2987</v>
      </c>
      <c r="I817" s="12" t="str">
        <f>Table1[[#This Row],[type]]</f>
        <v>dropdown</v>
      </c>
      <c r="J817" s="62" t="str">
        <f>Table1[[#This Row],[Column42]]&amp;IF(Table1[[#This Row],[Column13]]="","",Table1[[#This Row],[Column13]])&amp;IF(Table1[[#This Row],[mod]]="","",Table1[[#This Row],[mod]])</f>
        <v>dropdown__menu</v>
      </c>
      <c r="K8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7" t="s">
        <v>3109</v>
      </c>
      <c r="M817" t="s">
        <v>562</v>
      </c>
      <c r="Q81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7" s="29"/>
      <c r="AC817" s="25"/>
      <c r="AD817" s="41"/>
      <c r="AE817" s="41"/>
      <c r="AF817" s="11"/>
      <c r="AH817" s="7" t="str">
        <f>Table1[[#This Row],[html_tag]]&amp;Table1[[#This Row],[html_type]]&amp;Table1[[#This Row],[html_modifier]]</f>
        <v/>
      </c>
      <c r="AJ817" s="9"/>
      <c r="AL817" s="23" t="str">
        <f>IFERROR(_xlfn.XLOOKUP(Table1[[#This Row],[word]],Table57[English style name],Table57[Style type]),"")</f>
        <v/>
      </c>
      <c r="AM817" s="21"/>
      <c r="AN817" s="11"/>
    </row>
    <row r="818" spans="5:44">
      <c r="E818" s="76"/>
      <c r="F8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8" s="13" t="s">
        <v>337</v>
      </c>
      <c r="H818" s="13" t="s">
        <v>2987</v>
      </c>
      <c r="I818" s="12" t="str">
        <f>Table1[[#This Row],[type]]</f>
        <v>dropdown</v>
      </c>
      <c r="J818" s="62" t="str">
        <f>Table1[[#This Row],[Column42]]&amp;IF(Table1[[#This Row],[Column13]]="","",Table1[[#This Row],[Column13]])&amp;IF(Table1[[#This Row],[mod]]="","",Table1[[#This Row],[mod]])</f>
        <v>dropdown__menu</v>
      </c>
      <c r="K8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8" t="s">
        <v>3109</v>
      </c>
      <c r="M818" t="s">
        <v>562</v>
      </c>
      <c r="Q81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8" s="29"/>
      <c r="AC818" s="25" t="s">
        <v>3727</v>
      </c>
      <c r="AD818" s="41"/>
      <c r="AE818" s="41"/>
      <c r="AF818" s="11"/>
      <c r="AH818" s="7" t="str">
        <f>Table1[[#This Row],[html_tag]]&amp;Table1[[#This Row],[html_type]]&amp;Table1[[#This Row],[html_modifier]]</f>
        <v/>
      </c>
      <c r="AJ818" s="9"/>
      <c r="AL818" s="23" t="str">
        <f>IFERROR(_xlfn.XLOOKUP(Table1[[#This Row],[word]],Table57[English style name],Table57[Style type]),"")</f>
        <v/>
      </c>
      <c r="AM818" s="21"/>
      <c r="AN818" s="11"/>
    </row>
    <row r="819" spans="5:44">
      <c r="E819" s="76"/>
      <c r="F8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9" s="13" t="s">
        <v>337</v>
      </c>
      <c r="H819" s="13" t="s">
        <v>2987</v>
      </c>
      <c r="I819" s="12" t="str">
        <f>Table1[[#This Row],[type]]</f>
        <v>dropdown</v>
      </c>
      <c r="J819" s="62" t="str">
        <f>Table1[[#This Row],[Column42]]&amp;IF(Table1[[#This Row],[Column13]]="","",Table1[[#This Row],[Column13]])&amp;IF(Table1[[#This Row],[mod]]="","",Table1[[#This Row],[mod]])</f>
        <v>dropdown__menu</v>
      </c>
      <c r="K8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9" t="s">
        <v>3109</v>
      </c>
      <c r="M819" t="s">
        <v>562</v>
      </c>
      <c r="Q8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9" s="29"/>
      <c r="AC819" s="25"/>
      <c r="AD819" s="41"/>
      <c r="AE819" s="41"/>
      <c r="AF819" s="11"/>
      <c r="AH819" s="7" t="str">
        <f>Table1[[#This Row],[html_tag]]&amp;Table1[[#This Row],[html_type]]&amp;Table1[[#This Row],[html_modifier]]</f>
        <v/>
      </c>
      <c r="AJ819" s="9"/>
      <c r="AL819" s="23" t="str">
        <f>IFERROR(_xlfn.XLOOKUP(Table1[[#This Row],[word]],Table57[English style name],Table57[Style type]),"")</f>
        <v/>
      </c>
      <c r="AM819" s="21"/>
      <c r="AN819" s="11"/>
    </row>
    <row r="820" spans="5:44">
      <c r="E820" s="76"/>
      <c r="F8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0" s="13" t="s">
        <v>337</v>
      </c>
      <c r="H820" s="13" t="s">
        <v>2987</v>
      </c>
      <c r="I820" s="12" t="str">
        <f>Table1[[#This Row],[type]]</f>
        <v>dropdown</v>
      </c>
      <c r="J820" s="62" t="str">
        <f>Table1[[#This Row],[Column42]]&amp;IF(Table1[[#This Row],[Column13]]="","",Table1[[#This Row],[Column13]])&amp;IF(Table1[[#This Row],[mod]]="","",Table1[[#This Row],[mod]])</f>
        <v>dropdown__menu</v>
      </c>
      <c r="K8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20" t="s">
        <v>3109</v>
      </c>
      <c r="M820" t="s">
        <v>562</v>
      </c>
      <c r="Q82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0" s="29"/>
      <c r="AC820" s="25" t="s">
        <v>3732</v>
      </c>
      <c r="AD820" s="41"/>
      <c r="AE820" s="41"/>
      <c r="AF820" s="11"/>
      <c r="AH820" s="7" t="str">
        <f>Table1[[#This Row],[html_tag]]&amp;Table1[[#This Row],[html_type]]&amp;Table1[[#This Row],[html_modifier]]</f>
        <v/>
      </c>
      <c r="AJ820" s="9"/>
      <c r="AL820" s="23" t="str">
        <f>IFERROR(_xlfn.XLOOKUP(Table1[[#This Row],[word]],Table57[English style name],Table57[Style type]),"")</f>
        <v/>
      </c>
      <c r="AM820" s="21"/>
      <c r="AN820" s="11"/>
    </row>
    <row r="821" spans="5:44">
      <c r="E821" s="76"/>
      <c r="F8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1" s="13" t="s">
        <v>337</v>
      </c>
      <c r="H821" s="13" t="s">
        <v>2987</v>
      </c>
      <c r="I821" s="12" t="str">
        <f>Table1[[#This Row],[type]]</f>
        <v>dropdown</v>
      </c>
      <c r="J821" s="62" t="str">
        <f>Table1[[#This Row],[Column42]]&amp;IF(Table1[[#This Row],[Column13]]="","",Table1[[#This Row],[Column13]])&amp;IF(Table1[[#This Row],[mod]]="","",Table1[[#This Row],[mod]])</f>
        <v>dropdown__menu</v>
      </c>
      <c r="K8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21" t="s">
        <v>3109</v>
      </c>
      <c r="M821" t="s">
        <v>562</v>
      </c>
      <c r="Q8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1" s="29"/>
      <c r="AC821" s="25" t="s">
        <v>3738</v>
      </c>
      <c r="AD821" s="41"/>
      <c r="AE821" s="41"/>
      <c r="AF821" s="11"/>
      <c r="AH821" s="7" t="str">
        <f>Table1[[#This Row],[html_tag]]&amp;Table1[[#This Row],[html_type]]&amp;Table1[[#This Row],[html_modifier]]</f>
        <v/>
      </c>
      <c r="AJ821" s="9"/>
      <c r="AL821" s="23" t="str">
        <f>IFERROR(_xlfn.XLOOKUP(Table1[[#This Row],[word]],Table57[English style name],Table57[Style type]),"")</f>
        <v/>
      </c>
      <c r="AM821" s="21"/>
      <c r="AN821" s="11"/>
    </row>
    <row r="822" spans="5:44">
      <c r="E822" s="76"/>
      <c r="F8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2" s="13" t="s">
        <v>337</v>
      </c>
      <c r="H822" s="13" t="s">
        <v>2987</v>
      </c>
      <c r="I822" s="12" t="str">
        <f>Table1[[#This Row],[type]]</f>
        <v>dropdown</v>
      </c>
      <c r="J822" s="62" t="str">
        <f>Table1[[#This Row],[Column42]]&amp;IF(Table1[[#This Row],[Column13]]="","",Table1[[#This Row],[Column13]])&amp;IF(Table1[[#This Row],[mod]]="","",Table1[[#This Row],[mod]])</f>
        <v>dropdown__menu__center</v>
      </c>
      <c r="K8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dropdown__menu__center</v>
      </c>
      <c r="L822" t="s">
        <v>3109</v>
      </c>
      <c r="M822" t="s">
        <v>562</v>
      </c>
      <c r="N822" t="s">
        <v>425</v>
      </c>
      <c r="P822" s="6" t="s">
        <v>1562</v>
      </c>
      <c r="Q8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2" s="29"/>
      <c r="AC822" s="25"/>
      <c r="AD822" s="41"/>
      <c r="AE822" s="41"/>
      <c r="AF822" s="11"/>
      <c r="AH822" s="1" t="str">
        <f>Table1[[#This Row],[html_tag]]&amp;Table1[[#This Row],[html_type]]&amp;Table1[[#This Row],[html_modifier]]</f>
        <v/>
      </c>
      <c r="AJ822" s="9"/>
      <c r="AL822" s="22" t="str">
        <f>IFERROR(_xlfn.XLOOKUP(Table1[[#This Row],[word]],Table57[English style name],Table57[Style type]),"")</f>
        <v/>
      </c>
      <c r="AM822" s="20"/>
      <c r="AN822" s="11"/>
      <c r="AQ822" s="6" t="s">
        <v>1562</v>
      </c>
      <c r="AR822" t="s">
        <v>1560</v>
      </c>
    </row>
    <row r="823" spans="5:44">
      <c r="E823" s="76"/>
      <c r="F8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3" s="13" t="s">
        <v>337</v>
      </c>
      <c r="H823" s="13" t="s">
        <v>2987</v>
      </c>
      <c r="I823" s="12" t="str">
        <f>Table1[[#This Row],[type]]</f>
        <v>dropdown</v>
      </c>
      <c r="J823" s="62" t="str">
        <f>Table1[[#This Row],[Column42]]&amp;IF(Table1[[#This Row],[Column13]]="","",Table1[[#This Row],[Column13]])&amp;IF(Table1[[#This Row],[mod]]="","",Table1[[#This Row],[mod]])</f>
        <v>dropdown__menu__end</v>
      </c>
      <c r="K8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3" t="s">
        <v>3109</v>
      </c>
      <c r="M823" t="s">
        <v>562</v>
      </c>
      <c r="N823" t="s">
        <v>3194</v>
      </c>
      <c r="Q8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3" s="29"/>
      <c r="AC823" s="25" t="s">
        <v>3733</v>
      </c>
      <c r="AD823" s="41"/>
      <c r="AE823" s="41"/>
      <c r="AF823" s="11"/>
      <c r="AH823" s="7" t="str">
        <f>Table1[[#This Row],[html_tag]]&amp;Table1[[#This Row],[html_type]]&amp;Table1[[#This Row],[html_modifier]]</f>
        <v/>
      </c>
      <c r="AJ823" s="76"/>
      <c r="AL823" s="23" t="str">
        <f>IFERROR(_xlfn.XLOOKUP(Table1[[#This Row],[word]],Table57[English style name],Table57[Style type]),"")</f>
        <v/>
      </c>
      <c r="AM823" s="21"/>
      <c r="AN823" s="11"/>
    </row>
    <row r="824" spans="5:44">
      <c r="E824" s="76"/>
      <c r="F8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4" s="13" t="s">
        <v>337</v>
      </c>
      <c r="H824" s="13" t="s">
        <v>2987</v>
      </c>
      <c r="I824" s="12" t="str">
        <f>Table1[[#This Row],[type]]</f>
        <v>dropdown</v>
      </c>
      <c r="J824" s="62" t="str">
        <f>Table1[[#This Row],[Column42]]&amp;IF(Table1[[#This Row],[Column13]]="","",Table1[[#This Row],[Column13]])&amp;IF(Table1[[#This Row],[mod]]="","",Table1[[#This Row],[mod]])</f>
        <v>dropdown__menu__end</v>
      </c>
      <c r="K8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4" t="s">
        <v>3109</v>
      </c>
      <c r="M824" t="s">
        <v>562</v>
      </c>
      <c r="N824" t="s">
        <v>3194</v>
      </c>
      <c r="P824" s="6" t="s">
        <v>1563</v>
      </c>
      <c r="Q8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4" s="29"/>
      <c r="AC824" s="25"/>
      <c r="AD824" s="41"/>
      <c r="AE824" s="41"/>
      <c r="AF824" s="11"/>
      <c r="AH824" s="1" t="str">
        <f>Table1[[#This Row],[html_tag]]&amp;Table1[[#This Row],[html_type]]&amp;Table1[[#This Row],[html_modifier]]</f>
        <v/>
      </c>
      <c r="AJ824" s="76"/>
      <c r="AL824" s="22" t="str">
        <f>IFERROR(_xlfn.XLOOKUP(Table1[[#This Row],[word]],Table57[English style name],Table57[Style type]),"")</f>
        <v/>
      </c>
      <c r="AM824" s="20"/>
      <c r="AN824" s="11"/>
      <c r="AQ824" s="6" t="s">
        <v>1563</v>
      </c>
      <c r="AR824" t="s">
        <v>1560</v>
      </c>
    </row>
    <row r="825" spans="5:44">
      <c r="E825" s="76"/>
      <c r="F8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5" s="13" t="s">
        <v>337</v>
      </c>
      <c r="H825" s="13" t="s">
        <v>2987</v>
      </c>
      <c r="I825" s="12" t="str">
        <f>Table1[[#This Row],[type]]</f>
        <v>dropdown</v>
      </c>
      <c r="J825" s="62" t="str">
        <f>Table1[[#This Row],[Column42]]&amp;IF(Table1[[#This Row],[Column13]]="","",Table1[[#This Row],[Column13]])&amp;IF(Table1[[#This Row],[mod]]="","",Table1[[#This Row],[mod]])</f>
        <v>dropdown__menu__end--lg</v>
      </c>
      <c r="K8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5" t="s">
        <v>3109</v>
      </c>
      <c r="M825" t="s">
        <v>562</v>
      </c>
      <c r="N825" t="s">
        <v>3194</v>
      </c>
      <c r="Q82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825" t="s">
        <v>3114</v>
      </c>
      <c r="AB825" s="29"/>
      <c r="AC825" s="25" t="s">
        <v>3734</v>
      </c>
      <c r="AD825" s="41"/>
      <c r="AE825" s="41"/>
      <c r="AF825" s="11"/>
      <c r="AH825" s="7" t="str">
        <f>Table1[[#This Row],[html_tag]]&amp;Table1[[#This Row],[html_type]]&amp;Table1[[#This Row],[html_modifier]]</f>
        <v/>
      </c>
      <c r="AJ825" s="76"/>
      <c r="AL825" s="23" t="str">
        <f>IFERROR(_xlfn.XLOOKUP(Table1[[#This Row],[word]],Table57[English style name],Table57[Style type]),"")</f>
        <v/>
      </c>
      <c r="AM825" s="21"/>
      <c r="AN825" s="11"/>
    </row>
    <row r="826" spans="5:44">
      <c r="E826" s="76"/>
      <c r="F8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6" s="13" t="s">
        <v>337</v>
      </c>
      <c r="H826" s="13" t="s">
        <v>2987</v>
      </c>
      <c r="I826" s="12" t="str">
        <f>Table1[[#This Row],[type]]</f>
        <v>dropdown</v>
      </c>
      <c r="J826" s="62" t="str">
        <f>Table1[[#This Row],[Column42]]&amp;IF(Table1[[#This Row],[Column13]]="","",Table1[[#This Row],[Column13]])&amp;IF(Table1[[#This Row],[mod]]="","",Table1[[#This Row],[mod]])</f>
        <v>dropdown__menu__end--md</v>
      </c>
      <c r="K8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6" t="s">
        <v>3109</v>
      </c>
      <c r="M826" t="s">
        <v>562</v>
      </c>
      <c r="N826" t="s">
        <v>3194</v>
      </c>
      <c r="Q8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826" t="s">
        <v>3115</v>
      </c>
      <c r="AB826" s="29"/>
      <c r="AC826" s="25" t="s">
        <v>3736</v>
      </c>
      <c r="AD826" s="41"/>
      <c r="AE826" s="41"/>
      <c r="AF826" s="11"/>
      <c r="AH826" s="7" t="str">
        <f>Table1[[#This Row],[html_tag]]&amp;Table1[[#This Row],[html_type]]&amp;Table1[[#This Row],[html_modifier]]</f>
        <v/>
      </c>
      <c r="AJ826" s="76"/>
      <c r="AL826" s="23" t="str">
        <f>IFERROR(_xlfn.XLOOKUP(Table1[[#This Row],[word]],Table57[English style name],Table57[Style type]),"")</f>
        <v/>
      </c>
      <c r="AM826" s="21"/>
      <c r="AN826" s="11"/>
    </row>
    <row r="827" spans="5:44">
      <c r="E827" s="76"/>
      <c r="F8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7" s="13" t="s">
        <v>337</v>
      </c>
      <c r="H827" s="13" t="s">
        <v>2987</v>
      </c>
      <c r="I827" s="12" t="str">
        <f>Table1[[#This Row],[type]]</f>
        <v>dropdown</v>
      </c>
      <c r="J827" s="62" t="str">
        <f>Table1[[#This Row],[Column42]]&amp;IF(Table1[[#This Row],[Column13]]="","",Table1[[#This Row],[Column13]])&amp;IF(Table1[[#This Row],[mod]]="","",Table1[[#This Row],[mod]])</f>
        <v>dropdown__menu__end--sm</v>
      </c>
      <c r="K8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7" t="s">
        <v>3109</v>
      </c>
      <c r="M827" t="s">
        <v>562</v>
      </c>
      <c r="N827" t="s">
        <v>3194</v>
      </c>
      <c r="Q8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827" t="s">
        <v>3116</v>
      </c>
      <c r="AB827" s="29"/>
      <c r="AC827" s="25" t="s">
        <v>3739</v>
      </c>
      <c r="AD827" s="41"/>
      <c r="AE827" s="41"/>
      <c r="AF827" s="11"/>
      <c r="AH827" s="7" t="str">
        <f>Table1[[#This Row],[html_tag]]&amp;Table1[[#This Row],[html_type]]&amp;Table1[[#This Row],[html_modifier]]</f>
        <v/>
      </c>
      <c r="AL827" s="23" t="str">
        <f>IFERROR(_xlfn.XLOOKUP(Table1[[#This Row],[word]],Table57[English style name],Table57[Style type]),"")</f>
        <v/>
      </c>
      <c r="AM827" s="21"/>
      <c r="AN827" s="11"/>
    </row>
    <row r="828" spans="5:44">
      <c r="E828" s="76"/>
      <c r="F8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8" s="13" t="s">
        <v>337</v>
      </c>
      <c r="H828" s="13" t="s">
        <v>2987</v>
      </c>
      <c r="I828" s="12" t="str">
        <f>Table1[[#This Row],[type]]</f>
        <v>dropdown</v>
      </c>
      <c r="J828" s="62" t="str">
        <f>Table1[[#This Row],[Column42]]&amp;IF(Table1[[#This Row],[Column13]]="","",Table1[[#This Row],[Column13]])&amp;IF(Table1[[#This Row],[mod]]="","",Table1[[#This Row],[mod]])</f>
        <v>dropdown__menu__end--xl</v>
      </c>
      <c r="K8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8" t="s">
        <v>3109</v>
      </c>
      <c r="M828" t="s">
        <v>562</v>
      </c>
      <c r="N828" t="s">
        <v>3194</v>
      </c>
      <c r="Q8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828" s="3" t="s">
        <v>3126</v>
      </c>
      <c r="AB828" s="29"/>
      <c r="AC828" s="25" t="s">
        <v>3742</v>
      </c>
      <c r="AD828" s="41"/>
      <c r="AE828" s="41"/>
      <c r="AF828" s="11"/>
      <c r="AH828" s="7" t="str">
        <f>Table1[[#This Row],[html_tag]]&amp;Table1[[#This Row],[html_type]]&amp;Table1[[#This Row],[html_modifier]]</f>
        <v/>
      </c>
      <c r="AJ828" s="9"/>
      <c r="AL828" s="23" t="str">
        <f>IFERROR(_xlfn.XLOOKUP(Table1[[#This Row],[word]],Table57[English style name],Table57[Style type]),"")</f>
        <v/>
      </c>
      <c r="AM828" s="21"/>
      <c r="AN828" s="11"/>
    </row>
    <row r="829" spans="5:44">
      <c r="E829" s="76"/>
      <c r="F8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9" s="13" t="s">
        <v>337</v>
      </c>
      <c r="H829" s="13" t="s">
        <v>2987</v>
      </c>
      <c r="I829" s="12" t="str">
        <f>Table1[[#This Row],[type]]</f>
        <v>dropdown</v>
      </c>
      <c r="J829" s="62" t="str">
        <f>Table1[[#This Row],[Column42]]&amp;IF(Table1[[#This Row],[Column13]]="","",Table1[[#This Row],[Column13]])&amp;IF(Table1[[#This Row],[mod]]="","",Table1[[#This Row],[mod]])</f>
        <v>dropdown__menu__header</v>
      </c>
      <c r="K8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dropdown__menu__header</v>
      </c>
      <c r="L829" t="s">
        <v>3109</v>
      </c>
      <c r="M829" t="s">
        <v>562</v>
      </c>
      <c r="O829" t="s">
        <v>465</v>
      </c>
      <c r="Q8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9" s="29"/>
      <c r="AC829" s="25"/>
      <c r="AD829" s="41"/>
      <c r="AE829" s="41"/>
      <c r="AF829" s="11"/>
      <c r="AH829" s="1" t="str">
        <f>Table1[[#This Row],[html_tag]]&amp;Table1[[#This Row],[html_type]]&amp;Table1[[#This Row],[html_modifier]]</f>
        <v/>
      </c>
      <c r="AJ829" s="9"/>
      <c r="AL829" s="22" t="str">
        <f>IFERROR(_xlfn.XLOOKUP(Table1[[#This Row],[word]],Table57[English style name],Table57[Style type]),"")</f>
        <v/>
      </c>
      <c r="AM829" s="20"/>
      <c r="AN829" s="11"/>
      <c r="AQ829" s="6" t="s">
        <v>1570</v>
      </c>
      <c r="AR829" t="s">
        <v>1560</v>
      </c>
    </row>
    <row r="830" spans="5:44">
      <c r="E830" s="76"/>
      <c r="F8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0" s="13" t="s">
        <v>337</v>
      </c>
      <c r="H830" s="13" t="s">
        <v>2987</v>
      </c>
      <c r="I830" s="12" t="str">
        <f>Table1[[#This Row],[type]]</f>
        <v>dropdown</v>
      </c>
      <c r="J830" s="62" t="str">
        <f>Table1[[#This Row],[Column42]]&amp;IF(Table1[[#This Row],[Column13]]="","",Table1[[#This Row],[Column13]])&amp;IF(Table1[[#This Row],[mod]]="","",Table1[[#This Row],[mod]])</f>
        <v>dropdown__menu__right</v>
      </c>
      <c r="K8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dropdown__menu__right</v>
      </c>
      <c r="L830" t="s">
        <v>3109</v>
      </c>
      <c r="M830" t="s">
        <v>562</v>
      </c>
      <c r="N830" t="s">
        <v>617</v>
      </c>
      <c r="P830" s="6" t="s">
        <v>1564</v>
      </c>
      <c r="Q8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30" s="29"/>
      <c r="AC830" s="25"/>
      <c r="AD830" s="41"/>
      <c r="AE830" s="41"/>
      <c r="AF830" s="11"/>
      <c r="AH830" s="1" t="str">
        <f>Table1[[#This Row],[html_tag]]&amp;Table1[[#This Row],[html_type]]&amp;Table1[[#This Row],[html_modifier]]</f>
        <v/>
      </c>
      <c r="AJ830" s="9"/>
      <c r="AL830" s="22" t="str">
        <f>IFERROR(_xlfn.XLOOKUP(Table1[[#This Row],[word]],Table57[English style name],Table57[Style type]),"")</f>
        <v/>
      </c>
      <c r="AM830" s="20"/>
      <c r="AN830" s="11"/>
      <c r="AQ830" s="6" t="s">
        <v>1564</v>
      </c>
      <c r="AR830" t="s">
        <v>1560</v>
      </c>
    </row>
    <row r="831" spans="5:44">
      <c r="E831" s="76"/>
      <c r="F8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1" s="13" t="s">
        <v>337</v>
      </c>
      <c r="H831" s="13" t="s">
        <v>2987</v>
      </c>
      <c r="I831" s="12" t="str">
        <f>Table1[[#This Row],[type]]</f>
        <v>dropdown</v>
      </c>
      <c r="J831" s="62" t="str">
        <f>Table1[[#This Row],[Column42]]&amp;IF(Table1[[#This Row],[Column13]]="","",Table1[[#This Row],[Column13]])&amp;IF(Table1[[#This Row],[mod]]="","",Table1[[#This Row],[mod]])</f>
        <v>dropdown__menu__start</v>
      </c>
      <c r="K8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1" t="s">
        <v>3109</v>
      </c>
      <c r="M831" t="s">
        <v>562</v>
      </c>
      <c r="N831" t="s">
        <v>3193</v>
      </c>
      <c r="Q83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31" s="29"/>
      <c r="AC831" s="25" t="s">
        <v>3741</v>
      </c>
      <c r="AD831" s="41"/>
      <c r="AE831" s="41"/>
      <c r="AF831" s="11"/>
      <c r="AH831" s="7" t="str">
        <f>Table1[[#This Row],[html_tag]]&amp;Table1[[#This Row],[html_type]]&amp;Table1[[#This Row],[html_modifier]]</f>
        <v/>
      </c>
      <c r="AJ831" s="9"/>
      <c r="AL831" s="23" t="str">
        <f>IFERROR(_xlfn.XLOOKUP(Table1[[#This Row],[word]],Table57[English style name],Table57[Style type]),"")</f>
        <v/>
      </c>
      <c r="AM831" s="21"/>
      <c r="AN831" s="11"/>
    </row>
    <row r="832" spans="5:44">
      <c r="E832" s="76"/>
      <c r="F8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2" s="13" t="s">
        <v>337</v>
      </c>
      <c r="H832" s="13" t="s">
        <v>2987</v>
      </c>
      <c r="I832" s="12" t="str">
        <f>Table1[[#This Row],[type]]</f>
        <v>dropdown</v>
      </c>
      <c r="J832" s="62" t="str">
        <f>Table1[[#This Row],[Column42]]&amp;IF(Table1[[#This Row],[Column13]]="","",Table1[[#This Row],[Column13]])&amp;IF(Table1[[#This Row],[mod]]="","",Table1[[#This Row],[mod]])</f>
        <v>dropdown__menu__start</v>
      </c>
      <c r="K8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2" t="s">
        <v>3109</v>
      </c>
      <c r="M832" t="s">
        <v>562</v>
      </c>
      <c r="N832" t="s">
        <v>3193</v>
      </c>
      <c r="P832" s="6" t="s">
        <v>1566</v>
      </c>
      <c r="Q8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32" s="29"/>
      <c r="AC832" s="25"/>
      <c r="AD832" s="41"/>
      <c r="AE832" s="41"/>
      <c r="AF832" s="11"/>
      <c r="AH832" s="1" t="str">
        <f>Table1[[#This Row],[html_tag]]&amp;Table1[[#This Row],[html_type]]&amp;Table1[[#This Row],[html_modifier]]</f>
        <v/>
      </c>
      <c r="AJ832" s="9"/>
      <c r="AL832" s="22" t="str">
        <f>IFERROR(_xlfn.XLOOKUP(Table1[[#This Row],[word]],Table57[English style name],Table57[Style type]),"")</f>
        <v/>
      </c>
      <c r="AM832" s="20"/>
      <c r="AN832" s="11"/>
      <c r="AQ832" s="6" t="s">
        <v>1566</v>
      </c>
      <c r="AR832" t="s">
        <v>1560</v>
      </c>
    </row>
    <row r="833" spans="5:44">
      <c r="E833" s="76"/>
      <c r="F8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3" s="13" t="s">
        <v>337</v>
      </c>
      <c r="H833" s="13" t="s">
        <v>2987</v>
      </c>
      <c r="I833" s="12" t="str">
        <f>Table1[[#This Row],[type]]</f>
        <v>dropdown</v>
      </c>
      <c r="J833" s="62" t="str">
        <f>Table1[[#This Row],[Column42]]&amp;IF(Table1[[#This Row],[Column13]]="","",Table1[[#This Row],[Column13]])&amp;IF(Table1[[#This Row],[mod]]="","",Table1[[#This Row],[mod]])</f>
        <v>dropdown__menu__start--lg</v>
      </c>
      <c r="K8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3" t="s">
        <v>3109</v>
      </c>
      <c r="M833" t="s">
        <v>562</v>
      </c>
      <c r="N833" t="s">
        <v>3193</v>
      </c>
      <c r="Q83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833" t="s">
        <v>3114</v>
      </c>
      <c r="AB833" s="29"/>
      <c r="AC833" s="25" t="s">
        <v>3735</v>
      </c>
      <c r="AD833" s="41"/>
      <c r="AE833" s="41"/>
      <c r="AF833" s="11"/>
      <c r="AH833" s="7" t="str">
        <f>Table1[[#This Row],[html_tag]]&amp;Table1[[#This Row],[html_type]]&amp;Table1[[#This Row],[html_modifier]]</f>
        <v/>
      </c>
      <c r="AJ833" s="9"/>
      <c r="AL833" s="23" t="str">
        <f>IFERROR(_xlfn.XLOOKUP(Table1[[#This Row],[word]],Table57[English style name],Table57[Style type]),"")</f>
        <v/>
      </c>
      <c r="AM833" s="21"/>
      <c r="AN833" s="11"/>
    </row>
    <row r="834" spans="5:44">
      <c r="E834" s="76"/>
      <c r="F8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4" s="13" t="s">
        <v>337</v>
      </c>
      <c r="H834" s="13" t="s">
        <v>2987</v>
      </c>
      <c r="I834" s="12" t="str">
        <f>Table1[[#This Row],[type]]</f>
        <v>dropdown</v>
      </c>
      <c r="J834" s="62" t="str">
        <f>Table1[[#This Row],[Column42]]&amp;IF(Table1[[#This Row],[Column13]]="","",Table1[[#This Row],[Column13]])&amp;IF(Table1[[#This Row],[mod]]="","",Table1[[#This Row],[mod]])</f>
        <v>dropdown__menu__start--md</v>
      </c>
      <c r="K8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4" t="s">
        <v>3109</v>
      </c>
      <c r="M834" t="s">
        <v>562</v>
      </c>
      <c r="N834" t="s">
        <v>3193</v>
      </c>
      <c r="Q8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834" t="s">
        <v>3115</v>
      </c>
      <c r="AB834" s="29"/>
      <c r="AC834" s="25" t="s">
        <v>3737</v>
      </c>
      <c r="AD834" s="41"/>
      <c r="AE834" s="41"/>
      <c r="AF834" s="11"/>
      <c r="AH834" s="7" t="str">
        <f>Table1[[#This Row],[html_tag]]&amp;Table1[[#This Row],[html_type]]&amp;Table1[[#This Row],[html_modifier]]</f>
        <v/>
      </c>
      <c r="AJ834" s="9"/>
      <c r="AL834" s="23" t="str">
        <f>IFERROR(_xlfn.XLOOKUP(Table1[[#This Row],[word]],Table57[English style name],Table57[Style type]),"")</f>
        <v/>
      </c>
      <c r="AM834" s="21"/>
      <c r="AN834" s="11"/>
    </row>
    <row r="835" spans="5:44">
      <c r="E835" s="76"/>
      <c r="F8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5" s="13" t="s">
        <v>337</v>
      </c>
      <c r="H835" s="13" t="s">
        <v>2987</v>
      </c>
      <c r="I835" s="12" t="str">
        <f>Table1[[#This Row],[type]]</f>
        <v>dropdown</v>
      </c>
      <c r="J835" s="62" t="str">
        <f>Table1[[#This Row],[Column42]]&amp;IF(Table1[[#This Row],[Column13]]="","",Table1[[#This Row],[Column13]])&amp;IF(Table1[[#This Row],[mod]]="","",Table1[[#This Row],[mod]])</f>
        <v>dropdown__menu__start--sm</v>
      </c>
      <c r="K8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5" t="s">
        <v>3109</v>
      </c>
      <c r="M835" t="s">
        <v>562</v>
      </c>
      <c r="N835" t="s">
        <v>3193</v>
      </c>
      <c r="Q83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835" t="s">
        <v>3116</v>
      </c>
      <c r="AB835" s="29"/>
      <c r="AC835" s="25" t="s">
        <v>3740</v>
      </c>
      <c r="AD835" s="41"/>
      <c r="AE835" s="41"/>
      <c r="AF835" s="11"/>
      <c r="AH835" s="7" t="str">
        <f>Table1[[#This Row],[html_tag]]&amp;Table1[[#This Row],[html_type]]&amp;Table1[[#This Row],[html_modifier]]</f>
        <v/>
      </c>
      <c r="AJ835" s="9"/>
      <c r="AL835" s="23" t="str">
        <f>IFERROR(_xlfn.XLOOKUP(Table1[[#This Row],[word]],Table57[English style name],Table57[Style type]),"")</f>
        <v/>
      </c>
      <c r="AM835" s="21"/>
      <c r="AN835" s="11"/>
    </row>
    <row r="836" spans="5:44">
      <c r="E836" s="76"/>
      <c r="F8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6" s="13" t="s">
        <v>337</v>
      </c>
      <c r="H836" s="13" t="s">
        <v>2987</v>
      </c>
      <c r="I836" s="12" t="str">
        <f>Table1[[#This Row],[type]]</f>
        <v>dropdown</v>
      </c>
      <c r="J836" s="62" t="str">
        <f>Table1[[#This Row],[Column42]]&amp;IF(Table1[[#This Row],[Column13]]="","",Table1[[#This Row],[Column13]])&amp;IF(Table1[[#This Row],[mod]]="","",Table1[[#This Row],[mod]])</f>
        <v>dropdown__menu__start--xl</v>
      </c>
      <c r="K8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6" t="s">
        <v>3109</v>
      </c>
      <c r="M836" t="s">
        <v>562</v>
      </c>
      <c r="N836" t="s">
        <v>3193</v>
      </c>
      <c r="Q8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836" s="3" t="s">
        <v>3126</v>
      </c>
      <c r="AB836" s="29"/>
      <c r="AC836" s="25" t="s">
        <v>3743</v>
      </c>
      <c r="AD836" s="41"/>
      <c r="AE836" s="41"/>
      <c r="AF836" s="11"/>
      <c r="AH836" s="7" t="str">
        <f>Table1[[#This Row],[html_tag]]&amp;Table1[[#This Row],[html_type]]&amp;Table1[[#This Row],[html_modifier]]</f>
        <v/>
      </c>
      <c r="AJ836" s="9"/>
      <c r="AL836" s="23" t="str">
        <f>IFERROR(_xlfn.XLOOKUP(Table1[[#This Row],[word]],Table57[English style name],Table57[Style type]),"")</f>
        <v/>
      </c>
      <c r="AM836" s="21"/>
      <c r="AN836" s="11"/>
    </row>
    <row r="837" spans="5:44">
      <c r="E837" s="76"/>
      <c r="F8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7" s="13" t="s">
        <v>337</v>
      </c>
      <c r="H837" s="13" t="s">
        <v>2987</v>
      </c>
      <c r="I837" s="12" t="str">
        <f>Table1[[#This Row],[type]]</f>
        <v>dropdown</v>
      </c>
      <c r="J837" s="62" t="str">
        <f>Table1[[#This Row],[Column42]]&amp;IF(Table1[[#This Row],[Column13]]="","",Table1[[#This Row],[Column13]])&amp;IF(Table1[[#This Row],[mod]]="","",Table1[[#This Row],[mod]])</f>
        <v>dropdown__menu__text</v>
      </c>
      <c r="K8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dropdown__menu__text</v>
      </c>
      <c r="L837" t="s">
        <v>3109</v>
      </c>
      <c r="M837" t="s">
        <v>562</v>
      </c>
      <c r="O837" t="s">
        <v>403</v>
      </c>
      <c r="P837" s="6"/>
      <c r="Q8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37" s="29"/>
      <c r="AC837" s="25"/>
      <c r="AD837" s="41"/>
      <c r="AE837" s="41"/>
      <c r="AF837" s="11"/>
      <c r="AH837" s="1" t="str">
        <f>Table1[[#This Row],[html_tag]]&amp;Table1[[#This Row],[html_type]]&amp;Table1[[#This Row],[html_modifier]]</f>
        <v/>
      </c>
      <c r="AJ837" s="9"/>
      <c r="AL837" s="22" t="str">
        <f>IFERROR(_xlfn.XLOOKUP(Table1[[#This Row],[word]],Table57[English style name],Table57[Style type]),"")</f>
        <v/>
      </c>
      <c r="AM837" s="20"/>
      <c r="AN837" s="11"/>
      <c r="AQ837" s="6" t="s">
        <v>1576</v>
      </c>
      <c r="AR837" t="s">
        <v>1560</v>
      </c>
    </row>
    <row r="838" spans="5:44">
      <c r="E838" s="76"/>
      <c r="F8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8" s="13" t="s">
        <v>337</v>
      </c>
      <c r="H838" s="13" t="s">
        <v>2987</v>
      </c>
      <c r="I838" s="12" t="str">
        <f>Table1[[#This Row],[type]]</f>
        <v>dropdown</v>
      </c>
      <c r="J838" s="62" t="str">
        <f>Table1[[#This Row],[Column42]]&amp;IF(Table1[[#This Row],[Column13]]="","",Table1[[#This Row],[Column13]])&amp;IF(Table1[[#This Row],[mod]]="","",Table1[[#This Row],[mod]])</f>
        <v>dropdown__menu--active</v>
      </c>
      <c r="K8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38" t="s">
        <v>3109</v>
      </c>
      <c r="M838" t="s">
        <v>562</v>
      </c>
      <c r="P838" s="6" t="s">
        <v>1573</v>
      </c>
      <c r="Q8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838" t="s">
        <v>350</v>
      </c>
      <c r="AB838" s="29" t="s">
        <v>4079</v>
      </c>
      <c r="AC838" s="25"/>
      <c r="AD838" s="41" t="s">
        <v>6875</v>
      </c>
      <c r="AE838" s="41"/>
      <c r="AF838" s="11"/>
      <c r="AH838" s="1" t="str">
        <f>Table1[[#This Row],[html_tag]]&amp;Table1[[#This Row],[html_type]]&amp;Table1[[#This Row],[html_modifier]]</f>
        <v>:active</v>
      </c>
      <c r="AJ838" s="9"/>
      <c r="AK838" t="s">
        <v>3015</v>
      </c>
      <c r="AL838" s="22" t="str">
        <f>IFERROR(_xlfn.XLOOKUP(Table1[[#This Row],[word]],Table57[English style name],Table57[Style type]),"")</f>
        <v/>
      </c>
      <c r="AM838" s="20"/>
      <c r="AN838" s="11"/>
      <c r="AQ838" s="6" t="s">
        <v>1573</v>
      </c>
      <c r="AR838" t="s">
        <v>1560</v>
      </c>
    </row>
    <row r="839" spans="5:44">
      <c r="E839" s="76"/>
      <c r="F8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9" s="13" t="s">
        <v>337</v>
      </c>
      <c r="H839" s="13" t="s">
        <v>2987</v>
      </c>
      <c r="I839" s="12" t="str">
        <f>Table1[[#This Row],[type]]</f>
        <v>dropdown</v>
      </c>
      <c r="J839" s="62" t="str">
        <f>Table1[[#This Row],[Column42]]&amp;IF(Table1[[#This Row],[Column13]]="","",Table1[[#This Row],[Column13]])&amp;IF(Table1[[#This Row],[mod]]="","",Table1[[#This Row],[mod]])</f>
        <v>dropdown__menu--base</v>
      </c>
      <c r="K8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39" t="s">
        <v>3109</v>
      </c>
      <c r="M839" t="s">
        <v>562</v>
      </c>
      <c r="P839" s="6" t="s">
        <v>1577</v>
      </c>
      <c r="Q8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839" t="s">
        <v>338</v>
      </c>
      <c r="AB839" s="29"/>
      <c r="AC839" s="25"/>
      <c r="AD839" s="41"/>
      <c r="AE839" s="41"/>
      <c r="AF839" s="11"/>
      <c r="AH839" s="1" t="str">
        <f>Table1[[#This Row],[html_tag]]&amp;Table1[[#This Row],[html_type]]&amp;Table1[[#This Row],[html_modifier]]</f>
        <v/>
      </c>
      <c r="AJ839" s="9"/>
      <c r="AL839" s="22" t="str">
        <f>IFERROR(_xlfn.XLOOKUP(Table1[[#This Row],[word]],Table57[English style name],Table57[Style type]),"")</f>
        <v/>
      </c>
      <c r="AM839" s="20"/>
      <c r="AN839" s="11"/>
      <c r="AQ839" s="6" t="s">
        <v>1577</v>
      </c>
      <c r="AR839" t="s">
        <v>1560</v>
      </c>
    </row>
    <row r="840" spans="5:44">
      <c r="E840" s="76"/>
      <c r="F8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0" s="13" t="s">
        <v>337</v>
      </c>
      <c r="H840" s="13" t="s">
        <v>2987</v>
      </c>
      <c r="I840" s="12" t="str">
        <f>Table1[[#This Row],[type]]</f>
        <v>dropdown</v>
      </c>
      <c r="J840" s="62" t="str">
        <f>Table1[[#This Row],[Column42]]&amp;IF(Table1[[#This Row],[Column13]]="","",Table1[[#This Row],[Column13]])&amp;IF(Table1[[#This Row],[mod]]="","",Table1[[#This Row],[mod]])</f>
        <v>dropdown__menu--container</v>
      </c>
      <c r="K8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40" t="s">
        <v>3109</v>
      </c>
      <c r="M840" t="s">
        <v>562</v>
      </c>
      <c r="P840" s="6" t="s">
        <v>1559</v>
      </c>
      <c r="Q8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840" t="s">
        <v>3445</v>
      </c>
      <c r="AB840" s="29"/>
      <c r="AC840" s="25"/>
      <c r="AD840" s="41"/>
      <c r="AE840" s="41"/>
      <c r="AF840" s="11"/>
      <c r="AH840" s="1" t="str">
        <f>Table1[[#This Row],[html_tag]]&amp;Table1[[#This Row],[html_type]]&amp;Table1[[#This Row],[html_modifier]]</f>
        <v/>
      </c>
      <c r="AJ840" s="9"/>
      <c r="AL840" s="22" t="str">
        <f>IFERROR(_xlfn.XLOOKUP(Table1[[#This Row],[word]],Table57[English style name],Table57[Style type]),"")</f>
        <v/>
      </c>
      <c r="AM840" s="20"/>
      <c r="AN840" s="11"/>
      <c r="AQ840" s="6" t="s">
        <v>1559</v>
      </c>
      <c r="AR840" t="s">
        <v>1560</v>
      </c>
    </row>
    <row r="841" spans="5:44">
      <c r="E841" s="76"/>
      <c r="F8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1" s="13" t="s">
        <v>337</v>
      </c>
      <c r="H841" s="13" t="s">
        <v>2987</v>
      </c>
      <c r="I841" s="12" t="str">
        <f>Table1[[#This Row],[type]]</f>
        <v>dropdown</v>
      </c>
      <c r="J841" s="62" t="str">
        <f>Table1[[#This Row],[Column42]]&amp;IF(Table1[[#This Row],[Column13]]="","",Table1[[#This Row],[Column13]])&amp;IF(Table1[[#This Row],[mod]]="","",Table1[[#This Row],[mod]])</f>
        <v>dropdown__menu--disabled</v>
      </c>
      <c r="K8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41" t="s">
        <v>3109</v>
      </c>
      <c r="M841" t="s">
        <v>562</v>
      </c>
      <c r="P841" s="6" t="s">
        <v>1574</v>
      </c>
      <c r="Q8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841" t="s">
        <v>3032</v>
      </c>
      <c r="AB841" s="29"/>
      <c r="AC841" s="25" t="s">
        <v>3729</v>
      </c>
      <c r="AD841" s="41"/>
      <c r="AE841" s="41"/>
      <c r="AF841" s="11"/>
      <c r="AH841" s="1" t="str">
        <f>Table1[[#This Row],[html_tag]]&amp;Table1[[#This Row],[html_type]]&amp;Table1[[#This Row],[html_modifier]]</f>
        <v>:disabled</v>
      </c>
      <c r="AJ841" s="9"/>
      <c r="AK841" t="s">
        <v>3024</v>
      </c>
      <c r="AL841" s="22" t="str">
        <f>IFERROR(_xlfn.XLOOKUP(Table1[[#This Row],[word]],Table57[English style name],Table57[Style type]),"")</f>
        <v/>
      </c>
      <c r="AM841" s="20"/>
      <c r="AN841" s="11"/>
      <c r="AQ841" s="6" t="s">
        <v>1574</v>
      </c>
      <c r="AR841" t="s">
        <v>1560</v>
      </c>
    </row>
    <row r="842" spans="5:44">
      <c r="E842" s="76"/>
      <c r="F8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2" s="13" t="s">
        <v>337</v>
      </c>
      <c r="H842" s="13" t="s">
        <v>2987</v>
      </c>
      <c r="I842" s="12" t="str">
        <f>Table1[[#This Row],[type]]</f>
        <v>dropdown</v>
      </c>
      <c r="J842" s="62" t="str">
        <f>Table1[[#This Row],[Column42]]&amp;IF(Table1[[#This Row],[Column13]]="","",Table1[[#This Row],[Column13]])&amp;IF(Table1[[#This Row],[mod]]="","",Table1[[#This Row],[mod]])</f>
        <v>dropdown__menu--hover</v>
      </c>
      <c r="K8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42" t="s">
        <v>3109</v>
      </c>
      <c r="M842" t="s">
        <v>562</v>
      </c>
      <c r="P842" s="6" t="s">
        <v>1571</v>
      </c>
      <c r="Q8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842" t="s">
        <v>3019</v>
      </c>
      <c r="AB842" s="29" t="s">
        <v>4082</v>
      </c>
      <c r="AC842" s="25"/>
      <c r="AD842" s="41" t="s">
        <v>6874</v>
      </c>
      <c r="AE842" s="41"/>
      <c r="AF842" s="11"/>
      <c r="AH842" s="1" t="str">
        <f>Table1[[#This Row],[html_tag]]&amp;Table1[[#This Row],[html_type]]&amp;Table1[[#This Row],[html_modifier]]</f>
        <v/>
      </c>
      <c r="AJ842" s="9"/>
      <c r="AL842" s="22" t="str">
        <f>IFERROR(_xlfn.XLOOKUP(Table1[[#This Row],[word]],Table57[English style name],Table57[Style type]),"")</f>
        <v/>
      </c>
      <c r="AM842" s="20"/>
      <c r="AN842" s="11"/>
      <c r="AQ842" s="6" t="s">
        <v>1571</v>
      </c>
      <c r="AR842" t="s">
        <v>1560</v>
      </c>
    </row>
    <row r="843" spans="5:44">
      <c r="E843" s="76"/>
      <c r="F8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3" s="13" t="s">
        <v>337</v>
      </c>
      <c r="H843" s="13" t="s">
        <v>2987</v>
      </c>
      <c r="I843" s="12" t="str">
        <f>Table1[[#This Row],[type]]</f>
        <v>dropdown</v>
      </c>
      <c r="J843" s="62" t="str">
        <f>Table1[[#This Row],[Column42]]&amp;IF(Table1[[#This Row],[Column13]]="","",Table1[[#This Row],[Column13]])&amp;IF(Table1[[#This Row],[mod]]="","",Table1[[#This Row],[mod]])</f>
        <v>dropdown__right</v>
      </c>
      <c r="K8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dropdown__right</v>
      </c>
      <c r="L843" t="s">
        <v>3109</v>
      </c>
      <c r="N843" t="s">
        <v>617</v>
      </c>
      <c r="Q8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3" s="29" t="s">
        <v>4080</v>
      </c>
      <c r="AC843" s="25" t="s">
        <v>3747</v>
      </c>
      <c r="AD843" s="41" t="s">
        <v>6873</v>
      </c>
      <c r="AE843" s="41"/>
      <c r="AF843" s="11"/>
      <c r="AH843" s="7" t="str">
        <f>Table1[[#This Row],[html_tag]]&amp;Table1[[#This Row],[html_type]]&amp;Table1[[#This Row],[html_modifier]]</f>
        <v/>
      </c>
      <c r="AL843" s="23" t="str">
        <f>IFERROR(_xlfn.XLOOKUP(Table1[[#This Row],[word]],Table57[English style name],Table57[Style type]),"")</f>
        <v/>
      </c>
      <c r="AM843" s="21"/>
      <c r="AN843" s="11"/>
    </row>
    <row r="844" spans="5:44">
      <c r="E844" s="76"/>
      <c r="F8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44" s="13"/>
      <c r="H844" s="13"/>
      <c r="I844" s="12" t="str">
        <f>Table1[[#This Row],[type]]</f>
        <v>dropdown</v>
      </c>
      <c r="J844" s="62" t="str">
        <f>Table1[[#This Row],[Column42]]&amp;IF(Table1[[#This Row],[Column13]]="","",Table1[[#This Row],[Column13]])&amp;IF(Table1[[#This Row],[mod]]="","",Table1[[#This Row],[mod]])</f>
        <v>dropdown__start</v>
      </c>
      <c r="K8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dropdown__start</v>
      </c>
      <c r="L844" t="s">
        <v>3109</v>
      </c>
      <c r="N844" t="s">
        <v>3193</v>
      </c>
      <c r="Q8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4" s="29"/>
      <c r="AC844" s="25"/>
      <c r="AD844" s="41" t="s">
        <v>6867</v>
      </c>
      <c r="AE844" s="41"/>
      <c r="AF844" s="11"/>
      <c r="AH844" s="7" t="str">
        <f>Table1[[#This Row],[html_tag]]&amp;Table1[[#This Row],[html_type]]&amp;Table1[[#This Row],[html_modifier]]</f>
        <v/>
      </c>
      <c r="AL844" s="23" t="str">
        <f>IFERROR(_xlfn.XLOOKUP(Table1[[#This Row],[word]],Table57[English style name],Table57[Style type]),"")</f>
        <v/>
      </c>
      <c r="AM844" s="21"/>
      <c r="AN844" s="11"/>
    </row>
    <row r="845" spans="5:44">
      <c r="E845" s="76"/>
      <c r="F8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5" s="13" t="s">
        <v>337</v>
      </c>
      <c r="H845" s="13" t="s">
        <v>2987</v>
      </c>
      <c r="I845" s="12" t="str">
        <f>Table1[[#This Row],[type]]</f>
        <v>dropdown</v>
      </c>
      <c r="J845" s="62" t="str">
        <f>Table1[[#This Row],[Column42]]&amp;IF(Table1[[#This Row],[Column13]]="","",Table1[[#This Row],[Column13]])&amp;IF(Table1[[#This Row],[mod]]="","",Table1[[#This Row],[mod]])</f>
        <v>dropdown__toggle</v>
      </c>
      <c r="K8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dropdown__toggle</v>
      </c>
      <c r="L845" t="s">
        <v>3109</v>
      </c>
      <c r="M845" t="s">
        <v>3110</v>
      </c>
      <c r="Q8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5" s="29"/>
      <c r="AC845" s="25" t="s">
        <v>3745</v>
      </c>
      <c r="AD845" s="41"/>
      <c r="AE845" s="41"/>
      <c r="AF845" s="11"/>
      <c r="AH845" s="7" t="str">
        <f>Table1[[#This Row],[html_tag]]&amp;Table1[[#This Row],[html_type]]&amp;Table1[[#This Row],[html_modifier]]</f>
        <v/>
      </c>
      <c r="AL845" s="23" t="str">
        <f>IFERROR(_xlfn.XLOOKUP(Table1[[#This Row],[word]],Table57[English style name],Table57[Style type]),"")</f>
        <v/>
      </c>
      <c r="AM845" s="21"/>
      <c r="AN845" s="11"/>
    </row>
    <row r="846" spans="5:44">
      <c r="E846" s="76"/>
      <c r="F8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6" s="13" t="s">
        <v>337</v>
      </c>
      <c r="H846" s="13" t="s">
        <v>2987</v>
      </c>
      <c r="I846" s="12" t="str">
        <f>Table1[[#This Row],[type]]</f>
        <v>dropdown</v>
      </c>
      <c r="J846" s="62" t="str">
        <f>Table1[[#This Row],[Column42]]&amp;IF(Table1[[#This Row],[Column13]]="","",Table1[[#This Row],[Column13]])&amp;IF(Table1[[#This Row],[mod]]="","",Table1[[#This Row],[mod]])</f>
        <v>dropdown__toggle</v>
      </c>
      <c r="K8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dropdown__toggle</v>
      </c>
      <c r="L846" t="s">
        <v>3109</v>
      </c>
      <c r="M846" t="s">
        <v>3110</v>
      </c>
      <c r="Q8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6" s="29"/>
      <c r="AC846" s="25" t="s">
        <v>3744</v>
      </c>
      <c r="AD846" s="41"/>
      <c r="AE846" s="41"/>
      <c r="AF846" s="11"/>
      <c r="AH846" s="7" t="str">
        <f>Table1[[#This Row],[html_tag]]&amp;Table1[[#This Row],[html_type]]&amp;Table1[[#This Row],[html_modifier]]</f>
        <v/>
      </c>
      <c r="AL846" s="23" t="str">
        <f>IFERROR(_xlfn.XLOOKUP(Table1[[#This Row],[word]],Table57[English style name],Table57[Style type]),"")</f>
        <v/>
      </c>
      <c r="AM846" s="21"/>
      <c r="AN846" s="11"/>
    </row>
    <row r="847" spans="5:44">
      <c r="E847" s="76"/>
      <c r="F8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7" s="13" t="s">
        <v>337</v>
      </c>
      <c r="H847" s="13" t="s">
        <v>2987</v>
      </c>
      <c r="I847" s="12" t="str">
        <f>Table1[[#This Row],[type]]</f>
        <v>dropdown</v>
      </c>
      <c r="J847" s="62" t="str">
        <f>Table1[[#This Row],[Column42]]&amp;IF(Table1[[#This Row],[Column13]]="","",Table1[[#This Row],[Column13]])&amp;IF(Table1[[#This Row],[mod]]="","",Table1[[#This Row],[mod]])</f>
        <v>dropdown__top</v>
      </c>
      <c r="K8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dropdown__top</v>
      </c>
      <c r="L847" t="s">
        <v>3109</v>
      </c>
      <c r="N847" t="s">
        <v>3182</v>
      </c>
      <c r="Q8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7" s="29" t="s">
        <v>4081</v>
      </c>
      <c r="AC847" s="25" t="s">
        <v>3748</v>
      </c>
      <c r="AD847" s="41" t="s">
        <v>6870</v>
      </c>
      <c r="AE847" s="41"/>
      <c r="AF847" s="11"/>
      <c r="AH847" s="7" t="str">
        <f>Table1[[#This Row],[html_tag]]&amp;Table1[[#This Row],[html_type]]&amp;Table1[[#This Row],[html_modifier]]</f>
        <v/>
      </c>
      <c r="AL847" s="23" t="str">
        <f>IFERROR(_xlfn.XLOOKUP(Table1[[#This Row],[word]],Table57[English style name],Table57[Style type]),"")</f>
        <v/>
      </c>
      <c r="AM847" s="21"/>
      <c r="AN847" s="11"/>
    </row>
    <row r="848" spans="5:44">
      <c r="E848" s="76"/>
      <c r="F8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48" s="13" t="s">
        <v>337</v>
      </c>
      <c r="H848" s="13" t="s">
        <v>2986</v>
      </c>
      <c r="I848" s="12" t="str">
        <f>Table1[[#This Row],[type]]</f>
        <v>dropdown</v>
      </c>
      <c r="J848" s="62" t="str">
        <f>Table1[[#This Row],[Column42]]&amp;IF(Table1[[#This Row],[Column13]]="","",Table1[[#This Row],[Column13]])&amp;IF(Table1[[#This Row],[mod]]="","",Table1[[#This Row],[mod]])</f>
        <v>dropdown--container</v>
      </c>
      <c r="K8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848" t="s">
        <v>3109</v>
      </c>
      <c r="P848" s="6" t="s">
        <v>1941</v>
      </c>
      <c r="Q8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848" t="s">
        <v>3445</v>
      </c>
      <c r="AB848" s="29"/>
      <c r="AC848" s="25"/>
      <c r="AD848" s="41"/>
      <c r="AE848" s="41"/>
      <c r="AF848" s="11"/>
      <c r="AH848" s="1" t="str">
        <f>Table1[[#This Row],[html_tag]]&amp;Table1[[#This Row],[html_type]]&amp;Table1[[#This Row],[html_modifier]]</f>
        <v/>
      </c>
      <c r="AL848" s="22" t="str">
        <f>IFERROR(_xlfn.XLOOKUP(Table1[[#This Row],[word]],Table57[English style name],Table57[Style type]),"")</f>
        <v/>
      </c>
      <c r="AM848" s="20"/>
      <c r="AN848" s="11"/>
      <c r="AQ848" s="6" t="s">
        <v>1941</v>
      </c>
      <c r="AR848" t="s">
        <v>1940</v>
      </c>
    </row>
    <row r="849" spans="5:44">
      <c r="E849" s="76"/>
      <c r="F8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49" s="13" t="s">
        <v>337</v>
      </c>
      <c r="H849" s="13" t="s">
        <v>2987</v>
      </c>
      <c r="I849" s="12" t="str">
        <f>Table1[[#This Row],[type]]</f>
        <v>field</v>
      </c>
      <c r="J849" s="62" t="str">
        <f>Table1[[#This Row],[Column42]]&amp;IF(Table1[[#This Row],[Column13]]="","",Table1[[#This Row],[Column13]])&amp;IF(Table1[[#This Row],[mod]]="","",Table1[[#This Row],[mod]])</f>
        <v>field</v>
      </c>
      <c r="K8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49" t="s">
        <v>3099</v>
      </c>
      <c r="P849" s="6" t="s">
        <v>2903</v>
      </c>
      <c r="Q8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9" s="29"/>
      <c r="AC849" s="25"/>
      <c r="AD849" s="41"/>
      <c r="AE849" s="41"/>
      <c r="AF849" s="11" t="s">
        <v>183</v>
      </c>
      <c r="AH849" s="1" t="str">
        <f>Table1[[#This Row],[html_tag]]&amp;Table1[[#This Row],[html_type]]&amp;Table1[[#This Row],[html_modifier]]</f>
        <v/>
      </c>
      <c r="AL849" s="22" t="str">
        <f>IFERROR(_xlfn.XLOOKUP(Table1[[#This Row],[word]],Table57[English style name],Table57[Style type]),"")</f>
        <v/>
      </c>
      <c r="AM849" s="20"/>
      <c r="AN849" s="11"/>
      <c r="AQ849" s="6" t="s">
        <v>2903</v>
      </c>
      <c r="AR849" t="s">
        <v>2904</v>
      </c>
    </row>
    <row r="850" spans="5:44">
      <c r="E850" s="76"/>
      <c r="F8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0" s="13" t="s">
        <v>337</v>
      </c>
      <c r="H850" s="13" t="s">
        <v>2987</v>
      </c>
      <c r="I850" s="12" t="str">
        <f>Table1[[#This Row],[type]]</f>
        <v>field</v>
      </c>
      <c r="J850" s="62" t="str">
        <f>Table1[[#This Row],[Column42]]&amp;IF(Table1[[#This Row],[Column13]]="","",Table1[[#This Row],[Column13]])&amp;IF(Table1[[#This Row],[mod]]="","",Table1[[#This Row],[mod]])</f>
        <v>field</v>
      </c>
      <c r="K8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0" t="s">
        <v>3099</v>
      </c>
      <c r="P850" s="6" t="s">
        <v>1702</v>
      </c>
      <c r="Q8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0" s="29"/>
      <c r="AC850" s="25"/>
      <c r="AD850" s="41"/>
      <c r="AE850" s="41"/>
      <c r="AF850" s="11" t="s">
        <v>183</v>
      </c>
      <c r="AH850" s="1" t="str">
        <f>Table1[[#This Row],[html_tag]]&amp;Table1[[#This Row],[html_type]]&amp;Table1[[#This Row],[html_modifier]]</f>
        <v/>
      </c>
      <c r="AL850" s="22" t="str">
        <f>IFERROR(_xlfn.XLOOKUP(Table1[[#This Row],[word]],Table57[English style name],Table57[Style type]),"")</f>
        <v/>
      </c>
      <c r="AM850" s="20"/>
      <c r="AN850" s="11"/>
      <c r="AQ850" s="6" t="s">
        <v>1702</v>
      </c>
      <c r="AR850" t="s">
        <v>1690</v>
      </c>
    </row>
    <row r="851" spans="5:44">
      <c r="E851" s="76"/>
      <c r="F8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1" s="13" t="s">
        <v>337</v>
      </c>
      <c r="H851" s="13" t="s">
        <v>2987</v>
      </c>
      <c r="I851" s="12" t="str">
        <f>Table1[[#This Row],[type]]</f>
        <v>field</v>
      </c>
      <c r="J851" s="62" t="str">
        <f>Table1[[#This Row],[Column42]]&amp;IF(Table1[[#This Row],[Column13]]="","",Table1[[#This Row],[Column13]])&amp;IF(Table1[[#This Row],[mod]]="","",Table1[[#This Row],[mod]])</f>
        <v>field</v>
      </c>
      <c r="K8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1" t="s">
        <v>3099</v>
      </c>
      <c r="P851" s="6" t="s">
        <v>1703</v>
      </c>
      <c r="Q8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1" s="29"/>
      <c r="AC851" s="25"/>
      <c r="AD851" s="41"/>
      <c r="AE851" s="41"/>
      <c r="AF851" s="11" t="s">
        <v>183</v>
      </c>
      <c r="AH851" s="1" t="str">
        <f>Table1[[#This Row],[html_tag]]&amp;Table1[[#This Row],[html_type]]&amp;Table1[[#This Row],[html_modifier]]</f>
        <v/>
      </c>
      <c r="AL851" s="22" t="str">
        <f>IFERROR(_xlfn.XLOOKUP(Table1[[#This Row],[word]],Table57[English style name],Table57[Style type]),"")</f>
        <v/>
      </c>
      <c r="AM851" s="20"/>
      <c r="AN851" s="11"/>
      <c r="AQ851" s="6" t="s">
        <v>1703</v>
      </c>
      <c r="AR851" t="s">
        <v>1690</v>
      </c>
    </row>
    <row r="852" spans="5:44">
      <c r="E852" s="76"/>
      <c r="F8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2" s="13" t="s">
        <v>337</v>
      </c>
      <c r="H852" s="13" t="s">
        <v>2987</v>
      </c>
      <c r="I852" s="12" t="str">
        <f>Table1[[#This Row],[type]]</f>
        <v>field</v>
      </c>
      <c r="J852" s="62" t="str">
        <f>Table1[[#This Row],[Column42]]&amp;IF(Table1[[#This Row],[Column13]]="","",Table1[[#This Row],[Column13]])&amp;IF(Table1[[#This Row],[mod]]="","",Table1[[#This Row],[mod]])</f>
        <v>field</v>
      </c>
      <c r="K8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2" t="s">
        <v>3099</v>
      </c>
      <c r="P852" s="6" t="s">
        <v>2905</v>
      </c>
      <c r="Q8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2" s="29"/>
      <c r="AC852" s="25"/>
      <c r="AD852" s="41"/>
      <c r="AE852" s="41"/>
      <c r="AF852" s="11" t="s">
        <v>183</v>
      </c>
      <c r="AH852" s="1" t="str">
        <f>Table1[[#This Row],[html_tag]]&amp;Table1[[#This Row],[html_type]]&amp;Table1[[#This Row],[html_modifier]]</f>
        <v/>
      </c>
      <c r="AL852" s="22" t="str">
        <f>IFERROR(_xlfn.XLOOKUP(Table1[[#This Row],[word]],Table57[English style name],Table57[Style type]),"")</f>
        <v/>
      </c>
      <c r="AM852" s="20"/>
      <c r="AN852" s="11"/>
      <c r="AQ852" s="6" t="s">
        <v>2905</v>
      </c>
      <c r="AR852" t="s">
        <v>2904</v>
      </c>
    </row>
    <row r="853" spans="5:44">
      <c r="E853" s="76"/>
      <c r="F8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3" s="13" t="s">
        <v>337</v>
      </c>
      <c r="H853" s="13" t="s">
        <v>2987</v>
      </c>
      <c r="I853" s="12" t="str">
        <f>Table1[[#This Row],[type]]</f>
        <v>field</v>
      </c>
      <c r="J853" s="62" t="str">
        <f>Table1[[#This Row],[Column42]]&amp;IF(Table1[[#This Row],[Column13]]="","",Table1[[#This Row],[Column13]])&amp;IF(Table1[[#This Row],[mod]]="","",Table1[[#This Row],[mod]])</f>
        <v>field</v>
      </c>
      <c r="K8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3" t="s">
        <v>3099</v>
      </c>
      <c r="P853" s="6" t="s">
        <v>1704</v>
      </c>
      <c r="Q8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3" s="29"/>
      <c r="AC853" s="25"/>
      <c r="AD853" s="41"/>
      <c r="AE853" s="41"/>
      <c r="AF853" s="11" t="s">
        <v>183</v>
      </c>
      <c r="AH853" s="1" t="str">
        <f>Table1[[#This Row],[html_tag]]&amp;Table1[[#This Row],[html_type]]&amp;Table1[[#This Row],[html_modifier]]</f>
        <v/>
      </c>
      <c r="AL853" s="22" t="str">
        <f>IFERROR(_xlfn.XLOOKUP(Table1[[#This Row],[word]],Table57[English style name],Table57[Style type]),"")</f>
        <v/>
      </c>
      <c r="AM853" s="20"/>
      <c r="AN853" s="11"/>
      <c r="AQ853" s="6" t="s">
        <v>1704</v>
      </c>
      <c r="AR853" t="s">
        <v>1690</v>
      </c>
    </row>
    <row r="854" spans="5:44">
      <c r="E854" s="76"/>
      <c r="F8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4" s="13" t="s">
        <v>337</v>
      </c>
      <c r="H854" s="13" t="s">
        <v>2987</v>
      </c>
      <c r="I854" s="12" t="str">
        <f>Table1[[#This Row],[type]]</f>
        <v>field</v>
      </c>
      <c r="J854" s="62" t="str">
        <f>Table1[[#This Row],[Column42]]&amp;IF(Table1[[#This Row],[Column13]]="","",Table1[[#This Row],[Column13]])&amp;IF(Table1[[#This Row],[mod]]="","",Table1[[#This Row],[mod]])</f>
        <v>field</v>
      </c>
      <c r="K8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4" t="s">
        <v>3099</v>
      </c>
      <c r="P854" s="6" t="s">
        <v>2906</v>
      </c>
      <c r="Q8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4" s="29"/>
      <c r="AC854" s="25"/>
      <c r="AD854" s="41"/>
      <c r="AE854" s="41"/>
      <c r="AF854" s="11" t="s">
        <v>183</v>
      </c>
      <c r="AH854" s="1" t="str">
        <f>Table1[[#This Row],[html_tag]]&amp;Table1[[#This Row],[html_type]]&amp;Table1[[#This Row],[html_modifier]]</f>
        <v/>
      </c>
      <c r="AL854" s="22" t="str">
        <f>IFERROR(_xlfn.XLOOKUP(Table1[[#This Row],[word]],Table57[English style name],Table57[Style type]),"")</f>
        <v/>
      </c>
      <c r="AM854" s="20"/>
      <c r="AN854" s="11"/>
      <c r="AQ854" s="6" t="s">
        <v>2906</v>
      </c>
      <c r="AR854" t="s">
        <v>2904</v>
      </c>
    </row>
    <row r="855" spans="5:44">
      <c r="E855" s="76"/>
      <c r="F8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5" s="13" t="s">
        <v>337</v>
      </c>
      <c r="H855" s="13" t="s">
        <v>2987</v>
      </c>
      <c r="I855" s="12" t="str">
        <f>Table1[[#This Row],[type]]</f>
        <v>field</v>
      </c>
      <c r="J855" s="62" t="str">
        <f>Table1[[#This Row],[Column42]]&amp;IF(Table1[[#This Row],[Column13]]="","",Table1[[#This Row],[Column13]])&amp;IF(Table1[[#This Row],[mod]]="","",Table1[[#This Row],[mod]])</f>
        <v>field</v>
      </c>
      <c r="K8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5" t="s">
        <v>3099</v>
      </c>
      <c r="P855" s="6" t="s">
        <v>2907</v>
      </c>
      <c r="Q8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5" s="29"/>
      <c r="AC855" s="25"/>
      <c r="AD855" s="41"/>
      <c r="AE855" s="41"/>
      <c r="AF855" s="11" t="s">
        <v>183</v>
      </c>
      <c r="AH855" s="1" t="str">
        <f>Table1[[#This Row],[html_tag]]&amp;Table1[[#This Row],[html_type]]&amp;Table1[[#This Row],[html_modifier]]</f>
        <v/>
      </c>
      <c r="AL855" s="22" t="str">
        <f>IFERROR(_xlfn.XLOOKUP(Table1[[#This Row],[word]],Table57[English style name],Table57[Style type]),"")</f>
        <v/>
      </c>
      <c r="AM855" s="20"/>
      <c r="AN855" s="11"/>
      <c r="AQ855" s="6" t="s">
        <v>2907</v>
      </c>
      <c r="AR855" t="s">
        <v>2904</v>
      </c>
    </row>
    <row r="856" spans="5:44">
      <c r="E856" s="76"/>
      <c r="F8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6" s="13" t="s">
        <v>337</v>
      </c>
      <c r="H856" s="13" t="s">
        <v>2987</v>
      </c>
      <c r="I856" s="12" t="str">
        <f>Table1[[#This Row],[type]]</f>
        <v>field</v>
      </c>
      <c r="J856" s="62" t="str">
        <f>Table1[[#This Row],[Column42]]&amp;IF(Table1[[#This Row],[Column13]]="","",Table1[[#This Row],[Column13]])&amp;IF(Table1[[#This Row],[mod]]="","",Table1[[#This Row],[mod]])</f>
        <v>field</v>
      </c>
      <c r="K8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6" t="s">
        <v>3099</v>
      </c>
      <c r="P856" s="6" t="s">
        <v>1717</v>
      </c>
      <c r="Q8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6" s="29"/>
      <c r="AC856" s="25"/>
      <c r="AD856" s="41"/>
      <c r="AE856" s="41"/>
      <c r="AF856" s="11" t="s">
        <v>203</v>
      </c>
      <c r="AH856" s="1" t="str">
        <f>Table1[[#This Row],[html_tag]]&amp;Table1[[#This Row],[html_type]]&amp;Table1[[#This Row],[html_modifier]]</f>
        <v/>
      </c>
      <c r="AL856" s="22" t="str">
        <f>IFERROR(_xlfn.XLOOKUP(Table1[[#This Row],[word]],Table57[English style name],Table57[Style type]),"")</f>
        <v/>
      </c>
      <c r="AM856" s="20"/>
      <c r="AN856" s="11"/>
      <c r="AQ856" s="6" t="s">
        <v>1717</v>
      </c>
      <c r="AR856" t="s">
        <v>1718</v>
      </c>
    </row>
    <row r="857" spans="5:44">
      <c r="E857" s="76"/>
      <c r="F8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57" s="13" t="s">
        <v>337</v>
      </c>
      <c r="H857" s="13" t="s">
        <v>2986</v>
      </c>
      <c r="I857" s="12" t="str">
        <f>Table1[[#This Row],[type]]</f>
        <v>field</v>
      </c>
      <c r="J857" s="62" t="str">
        <f>Table1[[#This Row],[Column42]]&amp;IF(Table1[[#This Row],[Column13]]="","",Table1[[#This Row],[Column13]])&amp;IF(Table1[[#This Row],[mod]]="","",Table1[[#This Row],[mod]])</f>
        <v>field</v>
      </c>
      <c r="K8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7" t="s">
        <v>3099</v>
      </c>
      <c r="P857" s="6" t="s">
        <v>1959</v>
      </c>
      <c r="Q8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7" s="29"/>
      <c r="AC857" s="25"/>
      <c r="AD857" s="41"/>
      <c r="AE857" s="41"/>
      <c r="AF857" s="11"/>
      <c r="AH857" s="1" t="str">
        <f>Table1[[#This Row],[html_tag]]&amp;Table1[[#This Row],[html_type]]&amp;Table1[[#This Row],[html_modifier]]</f>
        <v/>
      </c>
      <c r="AL857" s="22" t="str">
        <f>IFERROR(_xlfn.XLOOKUP(Table1[[#This Row],[word]],Table57[English style name],Table57[Style type]),"")</f>
        <v/>
      </c>
      <c r="AM857" s="20"/>
      <c r="AN857" s="11"/>
      <c r="AQ857" s="6" t="s">
        <v>1959</v>
      </c>
      <c r="AR857" t="s">
        <v>1960</v>
      </c>
    </row>
    <row r="858" spans="5:44">
      <c r="E858" s="76"/>
      <c r="F8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58" s="13" t="s">
        <v>337</v>
      </c>
      <c r="H858" s="13" t="s">
        <v>2986</v>
      </c>
      <c r="I858" s="12" t="str">
        <f>Table1[[#This Row],[type]]</f>
        <v>field</v>
      </c>
      <c r="J858" s="62" t="str">
        <f>Table1[[#This Row],[Column42]]&amp;IF(Table1[[#This Row],[Column13]]="","",Table1[[#This Row],[Column13]])&amp;IF(Table1[[#This Row],[mod]]="","",Table1[[#This Row],[mod]])</f>
        <v>field</v>
      </c>
      <c r="K8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8" t="s">
        <v>3099</v>
      </c>
      <c r="P858" s="6" t="s">
        <v>1970</v>
      </c>
      <c r="Q8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8" s="29"/>
      <c r="AC858" s="25"/>
      <c r="AD858" s="41"/>
      <c r="AE858" s="41"/>
      <c r="AF858" s="11"/>
      <c r="AH858" s="1" t="str">
        <f>Table1[[#This Row],[html_tag]]&amp;Table1[[#This Row],[html_type]]&amp;Table1[[#This Row],[html_modifier]]</f>
        <v/>
      </c>
      <c r="AL858" s="22" t="str">
        <f>IFERROR(_xlfn.XLOOKUP(Table1[[#This Row],[word]],Table57[English style name],Table57[Style type]),"")</f>
        <v/>
      </c>
      <c r="AM858" s="20"/>
      <c r="AN858" s="11"/>
      <c r="AQ858" s="6" t="s">
        <v>1970</v>
      </c>
      <c r="AR858" t="s">
        <v>1971</v>
      </c>
    </row>
    <row r="859" spans="5:44">
      <c r="E859" s="76"/>
      <c r="F8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59" s="13" t="s">
        <v>337</v>
      </c>
      <c r="H859" s="13" t="s">
        <v>2986</v>
      </c>
      <c r="I859" s="12" t="str">
        <f>Table1[[#This Row],[type]]</f>
        <v>field</v>
      </c>
      <c r="J859" s="62" t="str">
        <f>Table1[[#This Row],[Column42]]&amp;IF(Table1[[#This Row],[Column13]]="","",Table1[[#This Row],[Column13]])&amp;IF(Table1[[#This Row],[mod]]="","",Table1[[#This Row],[mod]])</f>
        <v>field</v>
      </c>
      <c r="K8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9" t="s">
        <v>3099</v>
      </c>
      <c r="P859" s="6" t="s">
        <v>1930</v>
      </c>
      <c r="Q8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9" s="29"/>
      <c r="AC859" s="25"/>
      <c r="AD859" s="41"/>
      <c r="AE859" s="41"/>
      <c r="AF859" s="11"/>
      <c r="AH859" s="1" t="str">
        <f>Table1[[#This Row],[html_tag]]&amp;Table1[[#This Row],[html_type]]&amp;Table1[[#This Row],[html_modifier]]</f>
        <v/>
      </c>
      <c r="AL859" s="22" t="str">
        <f>IFERROR(_xlfn.XLOOKUP(Table1[[#This Row],[word]],Table57[English style name],Table57[Style type]),"")</f>
        <v/>
      </c>
      <c r="AM859" s="20"/>
      <c r="AN859" s="11"/>
      <c r="AQ859" s="6" t="s">
        <v>1930</v>
      </c>
      <c r="AR859" t="s">
        <v>1910</v>
      </c>
    </row>
    <row r="860" spans="5:44">
      <c r="E860" s="76"/>
      <c r="F8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860" s="13" t="s">
        <v>2994</v>
      </c>
      <c r="H860" s="13"/>
      <c r="I860" s="12" t="str">
        <f>Table1[[#This Row],[type]]</f>
        <v>field</v>
      </c>
      <c r="J860" s="62" t="str">
        <f>Table1[[#This Row],[Column42]]&amp;IF(Table1[[#This Row],[Column13]]="","",Table1[[#This Row],[Column13]])&amp;IF(Table1[[#This Row],[mod]]="","",Table1[[#This Row],[mod]])</f>
        <v>field</v>
      </c>
      <c r="K8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0" t="s">
        <v>3099</v>
      </c>
      <c r="P860" s="6" t="s">
        <v>2899</v>
      </c>
      <c r="Q8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0" s="29"/>
      <c r="AC860" s="25"/>
      <c r="AD860" s="41"/>
      <c r="AE860" s="41"/>
      <c r="AF860" s="11"/>
      <c r="AH860" s="1" t="str">
        <f>Table1[[#This Row],[html_tag]]&amp;Table1[[#This Row],[html_type]]&amp;Table1[[#This Row],[html_modifier]]</f>
        <v/>
      </c>
      <c r="AL860" s="22" t="str">
        <f>IFERROR(_xlfn.XLOOKUP(Table1[[#This Row],[word]],Table57[English style name],Table57[Style type]),"")</f>
        <v/>
      </c>
      <c r="AM860" s="20"/>
      <c r="AN860" s="11"/>
      <c r="AQ860" s="6" t="s">
        <v>2899</v>
      </c>
      <c r="AR860" t="s">
        <v>2900</v>
      </c>
    </row>
    <row r="861" spans="5:44">
      <c r="E861" s="76"/>
      <c r="F8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861" s="13" t="s">
        <v>2994</v>
      </c>
      <c r="H861" s="13"/>
      <c r="I861" s="12" t="str">
        <f>Table1[[#This Row],[type]]</f>
        <v>field</v>
      </c>
      <c r="J861" s="62" t="str">
        <f>Table1[[#This Row],[Column42]]&amp;IF(Table1[[#This Row],[Column13]]="","",Table1[[#This Row],[Column13]])&amp;IF(Table1[[#This Row],[mod]]="","",Table1[[#This Row],[mod]])</f>
        <v>field</v>
      </c>
      <c r="K8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1" t="s">
        <v>3099</v>
      </c>
      <c r="P861" s="6" t="s">
        <v>2901</v>
      </c>
      <c r="Q8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1" s="29"/>
      <c r="AC861" s="25"/>
      <c r="AD861" s="41"/>
      <c r="AE861" s="41"/>
      <c r="AF861" s="11"/>
      <c r="AH861" s="1" t="str">
        <f>Table1[[#This Row],[html_tag]]&amp;Table1[[#This Row],[html_type]]&amp;Table1[[#This Row],[html_modifier]]</f>
        <v/>
      </c>
      <c r="AL861" s="22" t="str">
        <f>IFERROR(_xlfn.XLOOKUP(Table1[[#This Row],[word]],Table57[English style name],Table57[Style type]),"")</f>
        <v/>
      </c>
      <c r="AM861" s="20"/>
      <c r="AN861" s="11"/>
      <c r="AQ861" s="6" t="s">
        <v>2901</v>
      </c>
      <c r="AR861" t="s">
        <v>2900</v>
      </c>
    </row>
    <row r="862" spans="5:44">
      <c r="E862" s="76"/>
      <c r="F8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862" s="13" t="s">
        <v>2994</v>
      </c>
      <c r="H862" s="13"/>
      <c r="I862" s="12" t="str">
        <f>Table1[[#This Row],[type]]</f>
        <v>field</v>
      </c>
      <c r="J862" s="62" t="str">
        <f>Table1[[#This Row],[Column42]]&amp;IF(Table1[[#This Row],[Column13]]="","",Table1[[#This Row],[Column13]])&amp;IF(Table1[[#This Row],[mod]]="","",Table1[[#This Row],[mod]])</f>
        <v>field</v>
      </c>
      <c r="K8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2" t="s">
        <v>3099</v>
      </c>
      <c r="P862" s="6" t="s">
        <v>2902</v>
      </c>
      <c r="Q8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2" s="29"/>
      <c r="AC862" s="25"/>
      <c r="AD862" s="41"/>
      <c r="AE862" s="41"/>
      <c r="AF862" s="11"/>
      <c r="AH862" s="1" t="str">
        <f>Table1[[#This Row],[html_tag]]&amp;Table1[[#This Row],[html_type]]&amp;Table1[[#This Row],[html_modifier]]</f>
        <v/>
      </c>
      <c r="AL862" s="22" t="str">
        <f>IFERROR(_xlfn.XLOOKUP(Table1[[#This Row],[word]],Table57[English style name],Table57[Style type]),"")</f>
        <v/>
      </c>
      <c r="AM862" s="20"/>
      <c r="AN862" s="11"/>
      <c r="AQ862" s="6" t="s">
        <v>2902</v>
      </c>
      <c r="AR862" t="s">
        <v>2900</v>
      </c>
    </row>
    <row r="863" spans="5:44">
      <c r="E863" s="76"/>
      <c r="F8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3" s="13"/>
      <c r="H863" s="13"/>
      <c r="I863" s="12" t="str">
        <f>Table1[[#This Row],[type]]</f>
        <v>field</v>
      </c>
      <c r="J863" s="62" t="str">
        <f>Table1[[#This Row],[Column42]]&amp;IF(Table1[[#This Row],[Column13]]="","",Table1[[#This Row],[Column13]])&amp;IF(Table1[[#This Row],[mod]]="","",Table1[[#This Row],[mod]])</f>
        <v>field</v>
      </c>
      <c r="K8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3" t="s">
        <v>3099</v>
      </c>
      <c r="Q86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3" s="29" t="s">
        <v>4084</v>
      </c>
      <c r="AC863" s="25"/>
      <c r="AD863" s="41"/>
      <c r="AE863" s="41"/>
      <c r="AF863" s="11"/>
      <c r="AH863" s="7" t="str">
        <f>Table1[[#This Row],[html_tag]]&amp;Table1[[#This Row],[html_type]]&amp;Table1[[#This Row],[html_modifier]]</f>
        <v/>
      </c>
      <c r="AL863" s="23" t="str">
        <f>IFERROR(_xlfn.XLOOKUP(Table1[[#This Row],[word]],Table57[English style name],Table57[Style type]),"")</f>
        <v/>
      </c>
      <c r="AM863" s="21"/>
      <c r="AN863" s="11"/>
    </row>
    <row r="864" spans="5:44">
      <c r="E864" s="76"/>
      <c r="F8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4" s="13"/>
      <c r="H864" s="13"/>
      <c r="I864" s="12" t="str">
        <f>Table1[[#This Row],[type]]</f>
        <v>field</v>
      </c>
      <c r="J864" s="62" t="str">
        <f>Table1[[#This Row],[Column42]]&amp;IF(Table1[[#This Row],[Column13]]="","",Table1[[#This Row],[Column13]])&amp;IF(Table1[[#This Row],[mod]]="","",Table1[[#This Row],[mod]])</f>
        <v>field</v>
      </c>
      <c r="K8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4" t="s">
        <v>3099</v>
      </c>
      <c r="Q86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4" s="29" t="s">
        <v>4085</v>
      </c>
      <c r="AC864" s="25"/>
      <c r="AD864" s="41"/>
      <c r="AE864" s="41"/>
      <c r="AF864" s="11"/>
      <c r="AH864" s="7" t="str">
        <f>Table1[[#This Row],[html_tag]]&amp;Table1[[#This Row],[html_type]]&amp;Table1[[#This Row],[html_modifier]]</f>
        <v/>
      </c>
      <c r="AL864" s="23" t="str">
        <f>IFERROR(_xlfn.XLOOKUP(Table1[[#This Row],[word]],Table57[English style name],Table57[Style type]),"")</f>
        <v/>
      </c>
      <c r="AM864" s="21"/>
      <c r="AN864" s="11"/>
    </row>
    <row r="865" spans="5:40">
      <c r="E865" s="76"/>
      <c r="F8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5" s="13"/>
      <c r="H865" s="13"/>
      <c r="I865" s="12" t="str">
        <f>Table1[[#This Row],[type]]</f>
        <v>field</v>
      </c>
      <c r="J865" s="62" t="str">
        <f>Table1[[#This Row],[Column42]]&amp;IF(Table1[[#This Row],[Column13]]="","",Table1[[#This Row],[Column13]])&amp;IF(Table1[[#This Row],[mod]]="","",Table1[[#This Row],[mod]])</f>
        <v>field</v>
      </c>
      <c r="K8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5" t="s">
        <v>3099</v>
      </c>
      <c r="Q8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5" s="29" t="s">
        <v>4086</v>
      </c>
      <c r="AC865" s="25"/>
      <c r="AD865" s="41"/>
      <c r="AE865" s="41"/>
      <c r="AF865" s="11"/>
      <c r="AH865" s="7" t="str">
        <f>Table1[[#This Row],[html_tag]]&amp;Table1[[#This Row],[html_type]]&amp;Table1[[#This Row],[html_modifier]]</f>
        <v/>
      </c>
      <c r="AL865" s="23" t="str">
        <f>IFERROR(_xlfn.XLOOKUP(Table1[[#This Row],[word]],Table57[English style name],Table57[Style type]),"")</f>
        <v/>
      </c>
      <c r="AM865" s="21"/>
      <c r="AN865" s="11"/>
    </row>
    <row r="866" spans="5:40">
      <c r="E866" s="76"/>
      <c r="F8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6" s="13"/>
      <c r="H866" s="13"/>
      <c r="I866" s="12" t="str">
        <f>Table1[[#This Row],[type]]</f>
        <v>field</v>
      </c>
      <c r="J866" s="62" t="str">
        <f>Table1[[#This Row],[Column42]]&amp;IF(Table1[[#This Row],[Column13]]="","",Table1[[#This Row],[Column13]])&amp;IF(Table1[[#This Row],[mod]]="","",Table1[[#This Row],[mod]])</f>
        <v>field</v>
      </c>
      <c r="K8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6" t="s">
        <v>3099</v>
      </c>
      <c r="Q8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6" s="29" t="s">
        <v>4087</v>
      </c>
      <c r="AC866" s="25"/>
      <c r="AD866" s="41"/>
      <c r="AE866" s="41"/>
      <c r="AF866" s="11"/>
      <c r="AH866" s="7" t="str">
        <f>Table1[[#This Row],[html_tag]]&amp;Table1[[#This Row],[html_type]]&amp;Table1[[#This Row],[html_modifier]]</f>
        <v/>
      </c>
      <c r="AL866" s="23" t="str">
        <f>IFERROR(_xlfn.XLOOKUP(Table1[[#This Row],[word]],Table57[English style name],Table57[Style type]),"")</f>
        <v/>
      </c>
      <c r="AM866" s="21"/>
      <c r="AN866" s="11"/>
    </row>
    <row r="867" spans="5:40">
      <c r="E867" s="76"/>
      <c r="F8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7" s="13"/>
      <c r="H867" s="13"/>
      <c r="I867" s="12" t="str">
        <f>Table1[[#This Row],[type]]</f>
        <v>field</v>
      </c>
      <c r="J867" s="62" t="str">
        <f>Table1[[#This Row],[Column42]]&amp;IF(Table1[[#This Row],[Column13]]="","",Table1[[#This Row],[Column13]])&amp;IF(Table1[[#This Row],[mod]]="","",Table1[[#This Row],[mod]])</f>
        <v>field</v>
      </c>
      <c r="K8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7" t="s">
        <v>3099</v>
      </c>
      <c r="Q8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7" s="29" t="s">
        <v>4088</v>
      </c>
      <c r="AC867" s="25"/>
      <c r="AD867" s="41"/>
      <c r="AE867" s="41"/>
      <c r="AF867" s="11"/>
      <c r="AH867" s="7" t="str">
        <f>Table1[[#This Row],[html_tag]]&amp;Table1[[#This Row],[html_type]]&amp;Table1[[#This Row],[html_modifier]]</f>
        <v/>
      </c>
      <c r="AL867" s="23" t="str">
        <f>IFERROR(_xlfn.XLOOKUP(Table1[[#This Row],[word]],Table57[English style name],Table57[Style type]),"")</f>
        <v/>
      </c>
      <c r="AM867" s="21"/>
      <c r="AN867" s="11"/>
    </row>
    <row r="868" spans="5:40">
      <c r="E868" s="76"/>
      <c r="F8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8" s="13"/>
      <c r="H868" s="13"/>
      <c r="I868" s="12" t="str">
        <f>Table1[[#This Row],[type]]</f>
        <v>field</v>
      </c>
      <c r="J868" s="62" t="str">
        <f>Table1[[#This Row],[Column42]]&amp;IF(Table1[[#This Row],[Column13]]="","",Table1[[#This Row],[Column13]])&amp;IF(Table1[[#This Row],[mod]]="","",Table1[[#This Row],[mod]])</f>
        <v>field</v>
      </c>
      <c r="K8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8" t="s">
        <v>3099</v>
      </c>
      <c r="Q8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8" s="29" t="s">
        <v>4089</v>
      </c>
      <c r="AC868" s="25"/>
      <c r="AD868" s="41"/>
      <c r="AE868" s="41"/>
      <c r="AF868" s="11"/>
      <c r="AH868" s="7" t="str">
        <f>Table1[[#This Row],[html_tag]]&amp;Table1[[#This Row],[html_type]]&amp;Table1[[#This Row],[html_modifier]]</f>
        <v/>
      </c>
      <c r="AL868" s="23" t="str">
        <f>IFERROR(_xlfn.XLOOKUP(Table1[[#This Row],[word]],Table57[English style name],Table57[Style type]),"")</f>
        <v/>
      </c>
      <c r="AM868" s="21"/>
      <c r="AN868" s="11"/>
    </row>
    <row r="869" spans="5:40">
      <c r="E869" s="76"/>
      <c r="F8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9" s="13"/>
      <c r="H869" s="13"/>
      <c r="I869" s="12" t="str">
        <f>Table1[[#This Row],[type]]</f>
        <v>field</v>
      </c>
      <c r="J869" s="62" t="str">
        <f>Table1[[#This Row],[Column42]]&amp;IF(Table1[[#This Row],[Column13]]="","",Table1[[#This Row],[Column13]])&amp;IF(Table1[[#This Row],[mod]]="","",Table1[[#This Row],[mod]])</f>
        <v>field</v>
      </c>
      <c r="K8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9" t="s">
        <v>3099</v>
      </c>
      <c r="Q8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9" s="29" t="s">
        <v>4090</v>
      </c>
      <c r="AC869" s="25"/>
      <c r="AD869" s="41"/>
      <c r="AE869" s="41"/>
      <c r="AF869" s="11"/>
      <c r="AH869" s="7" t="str">
        <f>Table1[[#This Row],[html_tag]]&amp;Table1[[#This Row],[html_type]]&amp;Table1[[#This Row],[html_modifier]]</f>
        <v/>
      </c>
      <c r="AL869" s="23" t="str">
        <f>IFERROR(_xlfn.XLOOKUP(Table1[[#This Row],[word]],Table57[English style name],Table57[Style type]),"")</f>
        <v/>
      </c>
      <c r="AM869" s="21"/>
      <c r="AN869" s="11"/>
    </row>
    <row r="870" spans="5:40">
      <c r="E870" s="76"/>
      <c r="F8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0" s="13"/>
      <c r="H870" s="13"/>
      <c r="I870" s="12" t="str">
        <f>Table1[[#This Row],[type]]</f>
        <v>field</v>
      </c>
      <c r="J870" s="62" t="str">
        <f>Table1[[#This Row],[Column42]]&amp;IF(Table1[[#This Row],[Column13]]="","",Table1[[#This Row],[Column13]])&amp;IF(Table1[[#This Row],[mod]]="","",Table1[[#This Row],[mod]])</f>
        <v>field</v>
      </c>
      <c r="K8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70" t="s">
        <v>3099</v>
      </c>
      <c r="Q8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0" s="29" t="s">
        <v>4091</v>
      </c>
      <c r="AC870" s="25"/>
      <c r="AD870" s="41"/>
      <c r="AE870" s="41"/>
      <c r="AF870" s="11"/>
      <c r="AH870" s="7" t="str">
        <f>Table1[[#This Row],[html_tag]]&amp;Table1[[#This Row],[html_type]]&amp;Table1[[#This Row],[html_modifier]]</f>
        <v/>
      </c>
      <c r="AL870" s="23" t="str">
        <f>IFERROR(_xlfn.XLOOKUP(Table1[[#This Row],[word]],Table57[English style name],Table57[Style type]),"")</f>
        <v/>
      </c>
      <c r="AM870" s="21"/>
      <c r="AN870" s="11"/>
    </row>
    <row r="871" spans="5:40">
      <c r="E871" s="76"/>
      <c r="F8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1" s="13"/>
      <c r="H871" s="13"/>
      <c r="I871" s="12" t="str">
        <f>Table1[[#This Row],[type]]</f>
        <v>field</v>
      </c>
      <c r="J871" s="62" t="str">
        <f>Table1[[#This Row],[Column42]]&amp;IF(Table1[[#This Row],[Column13]]="","",Table1[[#This Row],[Column13]])&amp;IF(Table1[[#This Row],[mod]]="","",Table1[[#This Row],[mod]])</f>
        <v>field</v>
      </c>
      <c r="K8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71" t="s">
        <v>3099</v>
      </c>
      <c r="Q8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1" s="29" t="s">
        <v>4092</v>
      </c>
      <c r="AC871" s="25"/>
      <c r="AD871" s="41"/>
      <c r="AE871" s="41"/>
      <c r="AF871" s="11"/>
      <c r="AH871" s="7" t="str">
        <f>Table1[[#This Row],[html_tag]]&amp;Table1[[#This Row],[html_type]]&amp;Table1[[#This Row],[html_modifier]]</f>
        <v/>
      </c>
      <c r="AL871" s="23" t="str">
        <f>IFERROR(_xlfn.XLOOKUP(Table1[[#This Row],[word]],Table57[English style name],Table57[Style type]),"")</f>
        <v/>
      </c>
      <c r="AM871" s="21"/>
      <c r="AN871" s="11"/>
    </row>
    <row r="872" spans="5:40">
      <c r="E872" s="76"/>
      <c r="F8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2" s="13"/>
      <c r="H872" s="13"/>
      <c r="I872" s="12" t="str">
        <f>Table1[[#This Row],[type]]</f>
        <v>field</v>
      </c>
      <c r="J872" s="62" t="str">
        <f>Table1[[#This Row],[Column42]]&amp;IF(Table1[[#This Row],[Column13]]="","",Table1[[#This Row],[Column13]])&amp;IF(Table1[[#This Row],[mod]]="","",Table1[[#This Row],[mod]])</f>
        <v>field</v>
      </c>
      <c r="K8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72" t="s">
        <v>3099</v>
      </c>
      <c r="Q8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2" s="29" t="s">
        <v>4093</v>
      </c>
      <c r="AC872" s="25"/>
      <c r="AD872" s="41"/>
      <c r="AE872" s="41"/>
      <c r="AF872" s="11"/>
      <c r="AH872" s="7" t="str">
        <f>Table1[[#This Row],[html_tag]]&amp;Table1[[#This Row],[html_type]]&amp;Table1[[#This Row],[html_modifier]]</f>
        <v/>
      </c>
      <c r="AL872" s="23" t="str">
        <f>IFERROR(_xlfn.XLOOKUP(Table1[[#This Row],[word]],Table57[English style name],Table57[Style type]),"")</f>
        <v/>
      </c>
      <c r="AM872" s="21"/>
      <c r="AN872" s="11"/>
    </row>
    <row r="873" spans="5:40">
      <c r="E873" s="76"/>
      <c r="F8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3" s="13"/>
      <c r="H873" s="13"/>
      <c r="I873" s="12" t="str">
        <f>Table1[[#This Row],[type]]</f>
        <v>field</v>
      </c>
      <c r="J873" s="62" t="str">
        <f>Table1[[#This Row],[Column42]]&amp;IF(Table1[[#This Row],[Column13]]="","",Table1[[#This Row],[Column13]])&amp;IF(Table1[[#This Row],[mod]]="","",Table1[[#This Row],[mod]])</f>
        <v>field</v>
      </c>
      <c r="K8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73" t="s">
        <v>3099</v>
      </c>
      <c r="Q8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3" s="29" t="s">
        <v>4094</v>
      </c>
      <c r="AC873" s="25"/>
      <c r="AD873" s="41"/>
      <c r="AE873" s="41"/>
      <c r="AF873" s="11"/>
      <c r="AH873" s="7" t="str">
        <f>Table1[[#This Row],[html_tag]]&amp;Table1[[#This Row],[html_type]]&amp;Table1[[#This Row],[html_modifier]]</f>
        <v/>
      </c>
      <c r="AL873" s="23" t="str">
        <f>IFERROR(_xlfn.XLOOKUP(Table1[[#This Row],[word]],Table57[English style name],Table57[Style type]),"")</f>
        <v/>
      </c>
      <c r="AM873" s="21"/>
      <c r="AN873" s="11"/>
    </row>
    <row r="874" spans="5:40">
      <c r="E874" s="76"/>
      <c r="F8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4" s="13"/>
      <c r="H874" s="13"/>
      <c r="I874" s="12" t="str">
        <f>Table1[[#This Row],[type]]</f>
        <v>field</v>
      </c>
      <c r="J874" s="62" t="str">
        <f>Table1[[#This Row],[Column42]]&amp;IF(Table1[[#This Row],[Column13]]="","",Table1[[#This Row],[Column13]])&amp;IF(Table1[[#This Row],[mod]]="","",Table1[[#This Row],[mod]])</f>
        <v>field__&lt;input&gt;</v>
      </c>
      <c r="K8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field__&lt;input&gt;</v>
      </c>
      <c r="L874" t="s">
        <v>3099</v>
      </c>
      <c r="O874" t="s">
        <v>203</v>
      </c>
      <c r="Q8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4" s="29"/>
      <c r="AC874" s="25"/>
      <c r="AD874" s="41"/>
      <c r="AE874" s="41"/>
      <c r="AF874" s="11" t="s">
        <v>203</v>
      </c>
      <c r="AH874" s="1" t="str">
        <f>Table1[[#This Row],[html_tag]]&amp;Table1[[#This Row],[html_type]]&amp;Table1[[#This Row],[html_modifier]]</f>
        <v>&lt;input&gt;</v>
      </c>
      <c r="AI874" t="s">
        <v>203</v>
      </c>
      <c r="AL874" s="22" t="str">
        <f>IFERROR(_xlfn.XLOOKUP(Table1[[#This Row],[word]],Table57[English style name],Table57[Style type]),"")</f>
        <v/>
      </c>
      <c r="AM874" s="20"/>
      <c r="AN874" s="11"/>
    </row>
    <row r="875" spans="5:40">
      <c r="E875" s="76"/>
      <c r="F8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5" s="13"/>
      <c r="H875" s="13"/>
      <c r="I875" s="12" t="str">
        <f>Table1[[#This Row],[type]]</f>
        <v>field</v>
      </c>
      <c r="J875" s="62" t="str">
        <f>Table1[[#This Row],[Column42]]&amp;IF(Table1[[#This Row],[Column13]]="","",Table1[[#This Row],[Column13]])&amp;IF(Table1[[#This Row],[mod]]="","",Table1[[#This Row],[mod]])</f>
        <v>field__button--type</v>
      </c>
      <c r="K8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field__button</v>
      </c>
      <c r="L875" t="s">
        <v>3099</v>
      </c>
      <c r="M875" t="s">
        <v>414</v>
      </c>
      <c r="Q87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75" t="s">
        <v>1</v>
      </c>
      <c r="U8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5" s="29"/>
      <c r="AC875" s="25"/>
      <c r="AD875" s="41"/>
      <c r="AE875" s="41"/>
      <c r="AF875" s="11" t="s">
        <v>203</v>
      </c>
      <c r="AH875" s="1" t="str">
        <f>Table1[[#This Row],[html_tag]]&amp;Table1[[#This Row],[html_type]]&amp;Table1[[#This Row],[html_modifier]]</f>
        <v>&lt;input&gt;button</v>
      </c>
      <c r="AI875" t="s">
        <v>203</v>
      </c>
      <c r="AJ875" t="s">
        <v>414</v>
      </c>
      <c r="AL875" s="22" t="str">
        <f>IFERROR(_xlfn.XLOOKUP(Table1[[#This Row],[word]],Table57[English style name],Table57[Style type]),"")</f>
        <v/>
      </c>
      <c r="AM875" s="20"/>
      <c r="AN875" s="11"/>
    </row>
    <row r="876" spans="5:40">
      <c r="E876" s="76"/>
      <c r="F8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76" s="13" t="s">
        <v>337</v>
      </c>
      <c r="H876" s="13" t="s">
        <v>2986</v>
      </c>
      <c r="I876" s="12" t="str">
        <f>Table1[[#This Row],[type]]</f>
        <v>field</v>
      </c>
      <c r="J876" s="62" t="str">
        <f>Table1[[#This Row],[Column42]]&amp;IF(Table1[[#This Row],[Column13]]="","",Table1[[#This Row],[Column13]])&amp;IF(Table1[[#This Row],[mod]]="","",Table1[[#This Row],[mod]])</f>
        <v>field__checkbox--accent</v>
      </c>
      <c r="K8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76" t="s">
        <v>3099</v>
      </c>
      <c r="M876" t="s">
        <v>1936</v>
      </c>
      <c r="Q8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876" t="s">
        <v>7394</v>
      </c>
      <c r="AB876" s="29"/>
      <c r="AC876" s="25"/>
      <c r="AD876" s="41" t="s">
        <v>6821</v>
      </c>
      <c r="AE876" s="41"/>
      <c r="AF876" s="11"/>
      <c r="AH876" s="7" t="str">
        <f>Table1[[#This Row],[html_tag]]&amp;Table1[[#This Row],[html_type]]&amp;Table1[[#This Row],[html_modifier]]</f>
        <v/>
      </c>
      <c r="AL876" s="23" t="str">
        <f>IFERROR(_xlfn.XLOOKUP(Table1[[#This Row],[word]],Table57[English style name],Table57[Style type]),"")</f>
        <v/>
      </c>
      <c r="AM876" s="21"/>
      <c r="AN876" s="11"/>
    </row>
    <row r="877" spans="5:40">
      <c r="E877" s="76"/>
      <c r="F8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7" s="13"/>
      <c r="H877" s="13"/>
      <c r="I877" s="12" t="str">
        <f>Table1[[#This Row],[type]]</f>
        <v>field</v>
      </c>
      <c r="J877" s="62" t="str">
        <f>Table1[[#This Row],[Column42]]&amp;IF(Table1[[#This Row],[Column13]]="","",Table1[[#This Row],[Column13]])&amp;IF(Table1[[#This Row],[mod]]="","",Table1[[#This Row],[mod]])</f>
        <v>field__checkbox--custom</v>
      </c>
      <c r="K8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77" t="s">
        <v>3099</v>
      </c>
      <c r="M877" t="s">
        <v>1936</v>
      </c>
      <c r="O877" s="25"/>
      <c r="Q8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</v>
      </c>
      <c r="S877" t="s">
        <v>7408</v>
      </c>
      <c r="U87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7" s="29"/>
      <c r="AC877" s="25" t="s">
        <v>3878</v>
      </c>
      <c r="AD877" s="41"/>
      <c r="AE877" s="41"/>
      <c r="AF877" s="11"/>
      <c r="AH877" s="7" t="str">
        <f>Table1[[#This Row],[html_tag]]&amp;Table1[[#This Row],[html_type]]&amp;Table1[[#This Row],[html_modifier]]</f>
        <v/>
      </c>
      <c r="AL877" s="23" t="str">
        <f>IFERROR(_xlfn.XLOOKUP(Table1[[#This Row],[word]],Table57[English style name],Table57[Style type]),"")</f>
        <v/>
      </c>
      <c r="AM877" s="21"/>
      <c r="AN877" s="11"/>
    </row>
    <row r="878" spans="5:40">
      <c r="E878" s="76"/>
      <c r="F8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78" s="13" t="s">
        <v>337</v>
      </c>
      <c r="H878" s="13" t="s">
        <v>2986</v>
      </c>
      <c r="I878" s="12" t="str">
        <f>Table1[[#This Row],[type]]</f>
        <v>field</v>
      </c>
      <c r="J878" s="62" t="str">
        <f>Table1[[#This Row],[Column42]]&amp;IF(Table1[[#This Row],[Column13]]="","",Table1[[#This Row],[Column13]])&amp;IF(Table1[[#This Row],[mod]]="","",Table1[[#This Row],[mod]])</f>
        <v>field__checkbox--error</v>
      </c>
      <c r="K8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78" t="s">
        <v>3099</v>
      </c>
      <c r="M878" t="s">
        <v>1936</v>
      </c>
      <c r="Q8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878" t="s">
        <v>3117</v>
      </c>
      <c r="AB878" s="29"/>
      <c r="AC878" s="25"/>
      <c r="AD878" s="41" t="s">
        <v>6826</v>
      </c>
      <c r="AE878" s="41"/>
      <c r="AF878" s="11"/>
      <c r="AH878" s="7" t="str">
        <f>Table1[[#This Row],[html_tag]]&amp;Table1[[#This Row],[html_type]]&amp;Table1[[#This Row],[html_modifier]]</f>
        <v/>
      </c>
      <c r="AL878" s="23" t="str">
        <f>IFERROR(_xlfn.XLOOKUP(Table1[[#This Row],[word]],Table57[English style name],Table57[Style type]),"")</f>
        <v/>
      </c>
      <c r="AM878" s="21"/>
      <c r="AN878" s="11"/>
    </row>
    <row r="879" spans="5:40">
      <c r="E879" s="76"/>
      <c r="F8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79" s="13" t="s">
        <v>337</v>
      </c>
      <c r="H879" s="13" t="s">
        <v>2986</v>
      </c>
      <c r="I879" s="12" t="str">
        <f>Table1[[#This Row],[type]]</f>
        <v>field</v>
      </c>
      <c r="J879" s="62" t="str">
        <f>Table1[[#This Row],[Column42]]&amp;IF(Table1[[#This Row],[Column13]]="","",Table1[[#This Row],[Column13]])&amp;IF(Table1[[#This Row],[mod]]="","",Table1[[#This Row],[mod]])</f>
        <v>field__checkbox--info</v>
      </c>
      <c r="K8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79" t="s">
        <v>3099</v>
      </c>
      <c r="M879" t="s">
        <v>1936</v>
      </c>
      <c r="Q8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879" t="s">
        <v>3119</v>
      </c>
      <c r="AB879" s="29"/>
      <c r="AC879" s="25"/>
      <c r="AD879" s="41" t="s">
        <v>6825</v>
      </c>
      <c r="AE879" s="41"/>
      <c r="AF879" s="11"/>
      <c r="AH879" s="7" t="str">
        <f>Table1[[#This Row],[html_tag]]&amp;Table1[[#This Row],[html_type]]&amp;Table1[[#This Row],[html_modifier]]</f>
        <v/>
      </c>
      <c r="AL879" s="23" t="str">
        <f>IFERROR(_xlfn.XLOOKUP(Table1[[#This Row],[word]],Table57[English style name],Table57[Style type]),"")</f>
        <v/>
      </c>
      <c r="AM879" s="21"/>
      <c r="AN879" s="11"/>
    </row>
    <row r="880" spans="5:40">
      <c r="E880" s="76"/>
      <c r="F8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0" s="13" t="s">
        <v>337</v>
      </c>
      <c r="H880" s="13" t="s">
        <v>2986</v>
      </c>
      <c r="I880" s="12" t="str">
        <f>Table1[[#This Row],[type]]</f>
        <v>field</v>
      </c>
      <c r="J880" s="62" t="str">
        <f>Table1[[#This Row],[Column42]]&amp;IF(Table1[[#This Row],[Column13]]="","",Table1[[#This Row],[Column13]])&amp;IF(Table1[[#This Row],[mod]]="","",Table1[[#This Row],[mod]])</f>
        <v>field__checkbox--lg</v>
      </c>
      <c r="K8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0" t="s">
        <v>3099</v>
      </c>
      <c r="M880" t="s">
        <v>1936</v>
      </c>
      <c r="Q88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880" t="s">
        <v>3114</v>
      </c>
      <c r="AB880" s="29"/>
      <c r="AC880" s="25"/>
      <c r="AD880" s="41" t="s">
        <v>6830</v>
      </c>
      <c r="AE880" s="41"/>
      <c r="AF880" s="11"/>
      <c r="AH880" s="7" t="str">
        <f>Table1[[#This Row],[html_tag]]&amp;Table1[[#This Row],[html_type]]&amp;Table1[[#This Row],[html_modifier]]</f>
        <v/>
      </c>
      <c r="AL880" s="23" t="str">
        <f>IFERROR(_xlfn.XLOOKUP(Table1[[#This Row],[word]],Table57[English style name],Table57[Style type]),"")</f>
        <v/>
      </c>
      <c r="AM880" s="21"/>
      <c r="AN880" s="11"/>
    </row>
    <row r="881" spans="5:44">
      <c r="E881" s="76"/>
      <c r="F8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1" s="13" t="s">
        <v>337</v>
      </c>
      <c r="H881" s="13" t="s">
        <v>2986</v>
      </c>
      <c r="I881" s="12" t="str">
        <f>Table1[[#This Row],[type]]</f>
        <v>field</v>
      </c>
      <c r="J881" s="62" t="str">
        <f>Table1[[#This Row],[Column42]]&amp;IF(Table1[[#This Row],[Column13]]="","",Table1[[#This Row],[Column13]])&amp;IF(Table1[[#This Row],[mod]]="","",Table1[[#This Row],[mod]])</f>
        <v>field__checkbox--md</v>
      </c>
      <c r="K8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1" t="s">
        <v>3099</v>
      </c>
      <c r="M881" t="s">
        <v>1936</v>
      </c>
      <c r="Q88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881" t="s">
        <v>3115</v>
      </c>
      <c r="AB881" s="29"/>
      <c r="AC881" s="25"/>
      <c r="AD881" s="41" t="s">
        <v>6829</v>
      </c>
      <c r="AE881" s="41"/>
      <c r="AF881" s="11"/>
      <c r="AH881" s="7" t="str">
        <f>Table1[[#This Row],[html_tag]]&amp;Table1[[#This Row],[html_type]]&amp;Table1[[#This Row],[html_modifier]]</f>
        <v/>
      </c>
      <c r="AL881" s="23" t="str">
        <f>IFERROR(_xlfn.XLOOKUP(Table1[[#This Row],[word]],Table57[English style name],Table57[Style type]),"")</f>
        <v/>
      </c>
      <c r="AM881" s="21"/>
      <c r="AN881" s="11"/>
    </row>
    <row r="882" spans="5:44">
      <c r="E882" s="76"/>
      <c r="F8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2" s="13" t="s">
        <v>337</v>
      </c>
      <c r="H882" s="13" t="s">
        <v>2986</v>
      </c>
      <c r="I882" s="12" t="str">
        <f>Table1[[#This Row],[type]]</f>
        <v>field</v>
      </c>
      <c r="J882" s="62" t="str">
        <f>Table1[[#This Row],[Column42]]&amp;IF(Table1[[#This Row],[Column13]]="","",Table1[[#This Row],[Column13]])&amp;IF(Table1[[#This Row],[mod]]="","",Table1[[#This Row],[mod]])</f>
        <v>field__checkbox--neutral</v>
      </c>
      <c r="K8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2" t="s">
        <v>3099</v>
      </c>
      <c r="M882" t="s">
        <v>1936</v>
      </c>
      <c r="Q8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882" t="s">
        <v>7393</v>
      </c>
      <c r="AB882" s="29"/>
      <c r="AC882" s="25"/>
      <c r="AD882" s="41" t="s">
        <v>6822</v>
      </c>
      <c r="AE882" s="41"/>
      <c r="AF882" s="11"/>
      <c r="AH882" s="7" t="str">
        <f>Table1[[#This Row],[html_tag]]&amp;Table1[[#This Row],[html_type]]&amp;Table1[[#This Row],[html_modifier]]</f>
        <v/>
      </c>
      <c r="AL882" s="23" t="str">
        <f>IFERROR(_xlfn.XLOOKUP(Table1[[#This Row],[word]],Table57[English style name],Table57[Style type]),"")</f>
        <v/>
      </c>
      <c r="AM882" s="21"/>
      <c r="AN882" s="11"/>
    </row>
    <row r="883" spans="5:44">
      <c r="E883" s="76"/>
      <c r="F8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3" s="13" t="s">
        <v>337</v>
      </c>
      <c r="H883" s="13" t="s">
        <v>2986</v>
      </c>
      <c r="I883" s="12" t="str">
        <f>Table1[[#This Row],[type]]</f>
        <v>field</v>
      </c>
      <c r="J883" s="62" t="str">
        <f>Table1[[#This Row],[Column42]]&amp;IF(Table1[[#This Row],[Column13]]="","",Table1[[#This Row],[Column13]])&amp;IF(Table1[[#This Row],[mod]]="","",Table1[[#This Row],[mod]])</f>
        <v>field__checkbox--primary</v>
      </c>
      <c r="K8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3" t="s">
        <v>3099</v>
      </c>
      <c r="M883" t="s">
        <v>1936</v>
      </c>
      <c r="Q88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883" t="s">
        <v>3164</v>
      </c>
      <c r="AB883" s="29"/>
      <c r="AC883" s="25"/>
      <c r="AD883" s="41" t="s">
        <v>6819</v>
      </c>
      <c r="AE883" s="41"/>
      <c r="AF883" s="11"/>
      <c r="AH883" s="7" t="str">
        <f>Table1[[#This Row],[html_tag]]&amp;Table1[[#This Row],[html_type]]&amp;Table1[[#This Row],[html_modifier]]</f>
        <v/>
      </c>
      <c r="AL883" s="23" t="str">
        <f>IFERROR(_xlfn.XLOOKUP(Table1[[#This Row],[word]],Table57[English style name],Table57[Style type]),"")</f>
        <v/>
      </c>
      <c r="AM883" s="21"/>
      <c r="AN883" s="11"/>
    </row>
    <row r="884" spans="5:44">
      <c r="E884" s="76"/>
      <c r="F8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4" s="13" t="s">
        <v>337</v>
      </c>
      <c r="H884" s="13" t="s">
        <v>2986</v>
      </c>
      <c r="I884" s="12" t="str">
        <f>Table1[[#This Row],[type]]</f>
        <v>field</v>
      </c>
      <c r="J884" s="62" t="str">
        <f>Table1[[#This Row],[Column42]]&amp;IF(Table1[[#This Row],[Column13]]="","",Table1[[#This Row],[Column13]])&amp;IF(Table1[[#This Row],[mod]]="","",Table1[[#This Row],[mod]])</f>
        <v>field__checkbox--secondary</v>
      </c>
      <c r="K8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4" t="s">
        <v>3099</v>
      </c>
      <c r="M884" t="s">
        <v>1936</v>
      </c>
      <c r="Q88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884" t="s">
        <v>3502</v>
      </c>
      <c r="AB884" s="29"/>
      <c r="AC884" s="25"/>
      <c r="AD884" s="41" t="s">
        <v>6820</v>
      </c>
      <c r="AE884" s="41"/>
      <c r="AF884" s="11"/>
      <c r="AH884" s="7" t="str">
        <f>Table1[[#This Row],[html_tag]]&amp;Table1[[#This Row],[html_type]]&amp;Table1[[#This Row],[html_modifier]]</f>
        <v/>
      </c>
      <c r="AL884" s="23" t="str">
        <f>IFERROR(_xlfn.XLOOKUP(Table1[[#This Row],[word]],Table57[English style name],Table57[Style type]),"")</f>
        <v/>
      </c>
      <c r="AM884" s="21"/>
      <c r="AN884" s="11"/>
    </row>
    <row r="885" spans="5:44">
      <c r="E885" s="76"/>
      <c r="F8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5" s="13" t="s">
        <v>337</v>
      </c>
      <c r="H885" s="13" t="s">
        <v>2986</v>
      </c>
      <c r="I885" s="12" t="str">
        <f>Table1[[#This Row],[type]]</f>
        <v>field</v>
      </c>
      <c r="J885" s="62" t="str">
        <f>Table1[[#This Row],[Column42]]&amp;IF(Table1[[#This Row],[Column13]]="","",Table1[[#This Row],[Column13]])&amp;IF(Table1[[#This Row],[mod]]="","",Table1[[#This Row],[mod]])</f>
        <v>field__checkbox--sm</v>
      </c>
      <c r="K8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5" t="s">
        <v>3099</v>
      </c>
      <c r="M885" t="s">
        <v>1936</v>
      </c>
      <c r="Q8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885" t="s">
        <v>3116</v>
      </c>
      <c r="AB885" s="29"/>
      <c r="AC885" s="25"/>
      <c r="AD885" s="41" t="s">
        <v>6828</v>
      </c>
      <c r="AE885" s="41"/>
      <c r="AF885" s="11"/>
      <c r="AH885" s="7" t="str">
        <f>Table1[[#This Row],[html_tag]]&amp;Table1[[#This Row],[html_type]]&amp;Table1[[#This Row],[html_modifier]]</f>
        <v/>
      </c>
      <c r="AL885" s="23" t="str">
        <f>IFERROR(_xlfn.XLOOKUP(Table1[[#This Row],[word]],Table57[English style name],Table57[Style type]),"")</f>
        <v/>
      </c>
      <c r="AM885" s="21"/>
      <c r="AN885" s="11"/>
    </row>
    <row r="886" spans="5:44">
      <c r="E886" s="76"/>
      <c r="F8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6" s="13" t="s">
        <v>337</v>
      </c>
      <c r="H886" s="13" t="s">
        <v>2986</v>
      </c>
      <c r="I886" s="12" t="str">
        <f>Table1[[#This Row],[type]]</f>
        <v>field</v>
      </c>
      <c r="J886" s="62" t="str">
        <f>Table1[[#This Row],[Column42]]&amp;IF(Table1[[#This Row],[Column13]]="","",Table1[[#This Row],[Column13]])&amp;IF(Table1[[#This Row],[mod]]="","",Table1[[#This Row],[mod]])</f>
        <v>field__checkbox--success</v>
      </c>
      <c r="K8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6" t="s">
        <v>3099</v>
      </c>
      <c r="M886" t="s">
        <v>1936</v>
      </c>
      <c r="Q88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886" t="s">
        <v>3120</v>
      </c>
      <c r="AB886" s="29"/>
      <c r="AC886" s="25"/>
      <c r="AD886" s="41" t="s">
        <v>6823</v>
      </c>
      <c r="AE886" s="41"/>
      <c r="AF886" s="11"/>
      <c r="AH886" s="7" t="str">
        <f>Table1[[#This Row],[html_tag]]&amp;Table1[[#This Row],[html_type]]&amp;Table1[[#This Row],[html_modifier]]</f>
        <v/>
      </c>
      <c r="AL886" s="23" t="str">
        <f>IFERROR(_xlfn.XLOOKUP(Table1[[#This Row],[word]],Table57[English style name],Table57[Style type]),"")</f>
        <v/>
      </c>
      <c r="AM886" s="21"/>
      <c r="AN886" s="11"/>
    </row>
    <row r="887" spans="5:44">
      <c r="E887" s="76"/>
      <c r="F8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7" s="13" t="s">
        <v>337</v>
      </c>
      <c r="H887" s="13" t="s">
        <v>2986</v>
      </c>
      <c r="I887" s="12" t="str">
        <f>Table1[[#This Row],[type]]</f>
        <v>field</v>
      </c>
      <c r="J887" s="62" t="str">
        <f>Table1[[#This Row],[Column42]]&amp;IF(Table1[[#This Row],[Column13]]="","",Table1[[#This Row],[Column13]])&amp;IF(Table1[[#This Row],[mod]]="","",Table1[[#This Row],[mod]])</f>
        <v>field__checkbox--type--base</v>
      </c>
      <c r="K8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7" t="s">
        <v>3099</v>
      </c>
      <c r="M887" t="s">
        <v>1936</v>
      </c>
      <c r="Q8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87" t="s">
        <v>1</v>
      </c>
      <c r="U8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887" t="s">
        <v>338</v>
      </c>
      <c r="AB887" s="29"/>
      <c r="AC887" s="25"/>
      <c r="AD887" s="41"/>
      <c r="AE887" s="41"/>
      <c r="AF887" s="11" t="s">
        <v>203</v>
      </c>
      <c r="AH887" s="1" t="str">
        <f>Table1[[#This Row],[html_tag]]&amp;Table1[[#This Row],[html_type]]&amp;Table1[[#This Row],[html_modifier]]</f>
        <v>&lt;input&gt;checkbox</v>
      </c>
      <c r="AI887" t="s">
        <v>203</v>
      </c>
      <c r="AJ887" t="s">
        <v>1936</v>
      </c>
      <c r="AL887" s="22" t="str">
        <f>IFERROR(_xlfn.XLOOKUP(Table1[[#This Row],[word]],Table57[English style name],Table57[Style type]),"")</f>
        <v/>
      </c>
      <c r="AM887" s="20"/>
      <c r="AN887" s="11"/>
      <c r="AQ887" s="6" t="s">
        <v>1936</v>
      </c>
      <c r="AR887" t="s">
        <v>1937</v>
      </c>
    </row>
    <row r="888" spans="5:44">
      <c r="E888" s="76"/>
      <c r="F8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8" s="13" t="s">
        <v>337</v>
      </c>
      <c r="H888" s="13" t="s">
        <v>2986</v>
      </c>
      <c r="I888" s="12" t="str">
        <f>Table1[[#This Row],[type]]</f>
        <v>field</v>
      </c>
      <c r="J888" s="62" t="str">
        <f>Table1[[#This Row],[Column42]]&amp;IF(Table1[[#This Row],[Column13]]="","",Table1[[#This Row],[Column13]])&amp;IF(Table1[[#This Row],[mod]]="","",Table1[[#This Row],[mod]])</f>
        <v>field__checkbox--type--square</v>
      </c>
      <c r="K8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8" t="s">
        <v>3099</v>
      </c>
      <c r="M888" t="s">
        <v>1936</v>
      </c>
      <c r="Q8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88" t="s">
        <v>1</v>
      </c>
      <c r="U8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888" t="s">
        <v>3122</v>
      </c>
      <c r="AB888" s="29"/>
      <c r="AC888" s="25"/>
      <c r="AD888" s="41"/>
      <c r="AE888" s="41"/>
      <c r="AF888" s="11" t="s">
        <v>203</v>
      </c>
      <c r="AH888" s="1" t="str">
        <f>Table1[[#This Row],[html_tag]]&amp;Table1[[#This Row],[html_type]]&amp;Table1[[#This Row],[html_modifier]]</f>
        <v>&lt;input&gt;checkbox</v>
      </c>
      <c r="AI888" t="s">
        <v>203</v>
      </c>
      <c r="AJ888" t="s">
        <v>1936</v>
      </c>
      <c r="AL888" s="22" t="str">
        <f>IFERROR(_xlfn.XLOOKUP(Table1[[#This Row],[word]],Table57[English style name],Table57[Style type]),"")</f>
        <v/>
      </c>
      <c r="AM888" s="20"/>
      <c r="AN888" s="11"/>
      <c r="AQ888" s="6" t="s">
        <v>1938</v>
      </c>
      <c r="AR888" t="s">
        <v>1937</v>
      </c>
    </row>
    <row r="889" spans="5:44">
      <c r="E889" s="76"/>
      <c r="F8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9" s="13" t="s">
        <v>337</v>
      </c>
      <c r="H889" s="13" t="s">
        <v>2986</v>
      </c>
      <c r="I889" s="12" t="str">
        <f>Table1[[#This Row],[type]]</f>
        <v>field</v>
      </c>
      <c r="J889" s="62" t="str">
        <f>Table1[[#This Row],[Column42]]&amp;IF(Table1[[#This Row],[Column13]]="","",Table1[[#This Row],[Column13]])&amp;IF(Table1[[#This Row],[mod]]="","",Table1[[#This Row],[mod]])</f>
        <v>field__checkbox--type--wrapper</v>
      </c>
      <c r="K8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9" t="s">
        <v>3099</v>
      </c>
      <c r="M889" t="s">
        <v>1936</v>
      </c>
      <c r="Q8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89" t="s">
        <v>1</v>
      </c>
      <c r="U8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--wrapper</v>
      </c>
      <c r="V889" t="s">
        <v>3123</v>
      </c>
      <c r="AB889" s="29"/>
      <c r="AC889" s="25"/>
      <c r="AD889" s="41"/>
      <c r="AE889" s="41"/>
      <c r="AF889" s="11" t="s">
        <v>203</v>
      </c>
      <c r="AH889" s="1" t="str">
        <f>Table1[[#This Row],[html_tag]]&amp;Table1[[#This Row],[html_type]]&amp;Table1[[#This Row],[html_modifier]]</f>
        <v>&lt;input&gt;checkbox</v>
      </c>
      <c r="AI889" t="s">
        <v>203</v>
      </c>
      <c r="AJ889" t="s">
        <v>1936</v>
      </c>
      <c r="AL889" s="22" t="str">
        <f>IFERROR(_xlfn.XLOOKUP(Table1[[#This Row],[word]],Table57[English style name],Table57[Style type]),"")</f>
        <v/>
      </c>
      <c r="AM889" s="20"/>
      <c r="AN889" s="11"/>
      <c r="AQ889" s="6" t="s">
        <v>1909</v>
      </c>
      <c r="AR889" t="s">
        <v>1910</v>
      </c>
    </row>
    <row r="890" spans="5:44">
      <c r="E890" s="76"/>
      <c r="F8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90" s="13" t="s">
        <v>337</v>
      </c>
      <c r="H890" s="13" t="s">
        <v>2986</v>
      </c>
      <c r="I890" s="12" t="str">
        <f>Table1[[#This Row],[type]]</f>
        <v>field</v>
      </c>
      <c r="J890" s="62" t="str">
        <f>Table1[[#This Row],[Column42]]&amp;IF(Table1[[#This Row],[Column13]]="","",Table1[[#This Row],[Column13]])&amp;IF(Table1[[#This Row],[mod]]="","",Table1[[#This Row],[mod]])</f>
        <v>field__checkbox--warning</v>
      </c>
      <c r="K8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90" t="s">
        <v>3099</v>
      </c>
      <c r="M890" t="s">
        <v>1936</v>
      </c>
      <c r="Q89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890" t="s">
        <v>3121</v>
      </c>
      <c r="AB890" s="29"/>
      <c r="AC890" s="25"/>
      <c r="AD890" s="41" t="s">
        <v>6824</v>
      </c>
      <c r="AE890" s="41"/>
      <c r="AF890" s="11"/>
      <c r="AH890" s="7" t="str">
        <f>Table1[[#This Row],[html_tag]]&amp;Table1[[#This Row],[html_type]]&amp;Table1[[#This Row],[html_modifier]]</f>
        <v/>
      </c>
      <c r="AL890" s="23" t="str">
        <f>IFERROR(_xlfn.XLOOKUP(Table1[[#This Row],[word]],Table57[English style name],Table57[Style type]),"")</f>
        <v/>
      </c>
      <c r="AM890" s="21"/>
      <c r="AN890" s="11"/>
    </row>
    <row r="891" spans="5:44">
      <c r="E891" s="76"/>
      <c r="F8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91" s="13" t="s">
        <v>337</v>
      </c>
      <c r="H891" s="13" t="s">
        <v>2986</v>
      </c>
      <c r="I891" s="12" t="str">
        <f>Table1[[#This Row],[type]]</f>
        <v>field</v>
      </c>
      <c r="J891" s="62" t="str">
        <f>Table1[[#This Row],[Column42]]&amp;IF(Table1[[#This Row],[Column13]]="","",Table1[[#This Row],[Column13]])&amp;IF(Table1[[#This Row],[mod]]="","",Table1[[#This Row],[mod]])</f>
        <v>field__checkbox--xl</v>
      </c>
      <c r="K8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91" t="s">
        <v>3099</v>
      </c>
      <c r="M891" t="s">
        <v>1936</v>
      </c>
      <c r="Q89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891" t="s">
        <v>3126</v>
      </c>
      <c r="AB891" s="29"/>
      <c r="AC891" s="25"/>
      <c r="AD891" s="41" t="s">
        <v>6831</v>
      </c>
      <c r="AE891" s="41"/>
      <c r="AF891" s="11"/>
      <c r="AH891" s="7" t="str">
        <f>Table1[[#This Row],[html_tag]]&amp;Table1[[#This Row],[html_type]]&amp;Table1[[#This Row],[html_modifier]]</f>
        <v/>
      </c>
      <c r="AL891" s="23" t="str">
        <f>IFERROR(_xlfn.XLOOKUP(Table1[[#This Row],[word]],Table57[English style name],Table57[Style type]),"")</f>
        <v/>
      </c>
      <c r="AM891" s="21"/>
      <c r="AN891" s="11"/>
    </row>
    <row r="892" spans="5:44">
      <c r="E892" s="76"/>
      <c r="F8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92" s="13" t="s">
        <v>337</v>
      </c>
      <c r="H892" s="13" t="s">
        <v>2986</v>
      </c>
      <c r="I892" s="12" t="str">
        <f>Table1[[#This Row],[type]]</f>
        <v>field</v>
      </c>
      <c r="J892" s="62" t="str">
        <f>Table1[[#This Row],[Column42]]&amp;IF(Table1[[#This Row],[Column13]]="","",Table1[[#This Row],[Column13]])&amp;IF(Table1[[#This Row],[mod]]="","",Table1[[#This Row],[mod]])</f>
        <v>field__checkbox--xs</v>
      </c>
      <c r="K8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92" t="s">
        <v>3099</v>
      </c>
      <c r="M892" t="s">
        <v>1936</v>
      </c>
      <c r="Q89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892" t="s">
        <v>3127</v>
      </c>
      <c r="AB892" s="29"/>
      <c r="AC892" s="25"/>
      <c r="AD892" s="41" t="s">
        <v>6827</v>
      </c>
      <c r="AE892" s="41"/>
      <c r="AF892" s="11"/>
      <c r="AH892" s="7" t="str">
        <f>Table1[[#This Row],[html_tag]]&amp;Table1[[#This Row],[html_type]]&amp;Table1[[#This Row],[html_modifier]]</f>
        <v/>
      </c>
      <c r="AL892" s="23" t="str">
        <f>IFERROR(_xlfn.XLOOKUP(Table1[[#This Row],[word]],Table57[English style name],Table57[Style type]),"")</f>
        <v/>
      </c>
      <c r="AM892" s="21"/>
      <c r="AN892" s="11"/>
    </row>
    <row r="893" spans="5:44">
      <c r="E893" s="76"/>
      <c r="F8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3" s="13"/>
      <c r="H893" s="13"/>
      <c r="I893" s="12" t="str">
        <f>Table1[[#This Row],[type]]</f>
        <v>field</v>
      </c>
      <c r="J893" s="62" t="str">
        <f>Table1[[#This Row],[Column42]]&amp;IF(Table1[[#This Row],[Column13]]="","",Table1[[#This Row],[Column13]])&amp;IF(Table1[[#This Row],[mod]]="","",Table1[[#This Row],[mod]])</f>
        <v>field__color--type</v>
      </c>
      <c r="K8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field__color</v>
      </c>
      <c r="L893" t="s">
        <v>3099</v>
      </c>
      <c r="M893" t="s">
        <v>3083</v>
      </c>
      <c r="Q8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93" t="s">
        <v>1</v>
      </c>
      <c r="U8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3" s="29"/>
      <c r="AC893" s="25"/>
      <c r="AD893" s="41"/>
      <c r="AE893" s="41"/>
      <c r="AF893" s="11" t="s">
        <v>203</v>
      </c>
      <c r="AH893" s="1" t="str">
        <f>Table1[[#This Row],[html_tag]]&amp;Table1[[#This Row],[html_type]]&amp;Table1[[#This Row],[html_modifier]]</f>
        <v>&lt;input&gt;color</v>
      </c>
      <c r="AI893" t="s">
        <v>203</v>
      </c>
      <c r="AJ893" t="s">
        <v>3083</v>
      </c>
      <c r="AL893" s="22" t="str">
        <f>IFERROR(_xlfn.XLOOKUP(Table1[[#This Row],[word]],Table57[English style name],Table57[Style type]),"")</f>
        <v/>
      </c>
      <c r="AM893" s="20"/>
      <c r="AN893" s="11"/>
    </row>
    <row r="894" spans="5:44">
      <c r="E894" s="76"/>
      <c r="F8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4" s="13"/>
      <c r="H894" s="13"/>
      <c r="I894" s="12" t="str">
        <f>Table1[[#This Row],[type]]</f>
        <v>field</v>
      </c>
      <c r="J894" s="62" t="str">
        <f>Table1[[#This Row],[Column42]]&amp;IF(Table1[[#This Row],[Column13]]="","",Table1[[#This Row],[Column13]])&amp;IF(Table1[[#This Row],[mod]]="","",Table1[[#This Row],[mod]])</f>
        <v>field__datalist</v>
      </c>
      <c r="K8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field__datalist</v>
      </c>
      <c r="L894" t="s">
        <v>3099</v>
      </c>
      <c r="M894" t="s">
        <v>531</v>
      </c>
      <c r="Q89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4" s="29"/>
      <c r="AC894" s="25"/>
      <c r="AD894" s="41"/>
      <c r="AE894" s="41"/>
      <c r="AF894" s="11" t="s">
        <v>153</v>
      </c>
      <c r="AH894" s="1" t="str">
        <f>Table1[[#This Row],[html_tag]]&amp;Table1[[#This Row],[html_type]]&amp;Table1[[#This Row],[html_modifier]]</f>
        <v>&lt;datalist&gt;</v>
      </c>
      <c r="AI894" t="s">
        <v>153</v>
      </c>
      <c r="AL894" s="22" t="str">
        <f>IFERROR(_xlfn.XLOOKUP(Table1[[#This Row],[word]],Table57[English style name],Table57[Style type]),"")</f>
        <v/>
      </c>
      <c r="AM894" s="20"/>
      <c r="AN894" s="11"/>
    </row>
    <row r="895" spans="5:44">
      <c r="E895" s="76"/>
      <c r="F8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5" s="13"/>
      <c r="H895" s="13"/>
      <c r="I895" s="12" t="str">
        <f>Table1[[#This Row],[type]]</f>
        <v>field</v>
      </c>
      <c r="J895" s="62" t="str">
        <f>Table1[[#This Row],[Column42]]&amp;IF(Table1[[#This Row],[Column13]]="","",Table1[[#This Row],[Column13]])&amp;IF(Table1[[#This Row],[mod]]="","",Table1[[#This Row],[mod]])</f>
        <v>field__date--type</v>
      </c>
      <c r="K8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field__date</v>
      </c>
      <c r="L895" t="s">
        <v>3099</v>
      </c>
      <c r="M895" t="s">
        <v>3084</v>
      </c>
      <c r="Q8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95" t="s">
        <v>1</v>
      </c>
      <c r="U8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5" s="29"/>
      <c r="AC895" s="25"/>
      <c r="AD895" s="41"/>
      <c r="AE895" s="41"/>
      <c r="AF895" s="11" t="s">
        <v>203</v>
      </c>
      <c r="AH895" s="1" t="str">
        <f>Table1[[#This Row],[html_tag]]&amp;Table1[[#This Row],[html_type]]&amp;Table1[[#This Row],[html_modifier]]</f>
        <v>&lt;input&gt;date</v>
      </c>
      <c r="AI895" t="s">
        <v>203</v>
      </c>
      <c r="AJ895" t="s">
        <v>3084</v>
      </c>
      <c r="AL895" s="22" t="str">
        <f>IFERROR(_xlfn.XLOOKUP(Table1[[#This Row],[word]],Table57[English style name],Table57[Style type]),"")</f>
        <v/>
      </c>
      <c r="AM895" s="20"/>
      <c r="AN895" s="11"/>
    </row>
    <row r="896" spans="5:44">
      <c r="E896" s="76"/>
      <c r="F8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6" s="13"/>
      <c r="H896" s="13"/>
      <c r="I896" s="12" t="str">
        <f>Table1[[#This Row],[type]]</f>
        <v>field</v>
      </c>
      <c r="J896" s="62" t="str">
        <f>Table1[[#This Row],[Column42]]&amp;IF(Table1[[#This Row],[Column13]]="","",Table1[[#This Row],[Column13]])&amp;IF(Table1[[#This Row],[mod]]="","",Table1[[#This Row],[mod]])</f>
        <v>field__datetime-local--type</v>
      </c>
      <c r="K8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field__datetime-local</v>
      </c>
      <c r="L896" t="s">
        <v>3099</v>
      </c>
      <c r="M896" t="s">
        <v>3085</v>
      </c>
      <c r="Q8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96" t="s">
        <v>1</v>
      </c>
      <c r="U8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6" s="29"/>
      <c r="AC896" s="25"/>
      <c r="AD896" s="41"/>
      <c r="AE896" s="41"/>
      <c r="AF896" s="11" t="s">
        <v>203</v>
      </c>
      <c r="AH896" s="1" t="str">
        <f>Table1[[#This Row],[html_tag]]&amp;Table1[[#This Row],[html_type]]&amp;Table1[[#This Row],[html_modifier]]</f>
        <v>&lt;input&gt;datetime-local</v>
      </c>
      <c r="AI896" t="s">
        <v>203</v>
      </c>
      <c r="AJ896" t="s">
        <v>3085</v>
      </c>
      <c r="AL896" s="22" t="str">
        <f>IFERROR(_xlfn.XLOOKUP(Table1[[#This Row],[word]],Table57[English style name],Table57[Style type]),"")</f>
        <v/>
      </c>
      <c r="AM896" s="20"/>
      <c r="AN896" s="11"/>
    </row>
    <row r="897" spans="5:40">
      <c r="E897" s="76"/>
      <c r="F8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7" s="13"/>
      <c r="H897" s="13"/>
      <c r="I897" s="12" t="str">
        <f>Table1[[#This Row],[type]]</f>
        <v>field</v>
      </c>
      <c r="J897" s="62" t="str">
        <f>Table1[[#This Row],[Column42]]&amp;IF(Table1[[#This Row],[Column13]]="","",Table1[[#This Row],[Column13]])&amp;IF(Table1[[#This Row],[mod]]="","",Table1[[#This Row],[mod]])</f>
        <v>field__email--type</v>
      </c>
      <c r="K8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field__email</v>
      </c>
      <c r="L897" t="s">
        <v>3099</v>
      </c>
      <c r="M897" t="s">
        <v>3086</v>
      </c>
      <c r="Q8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97" t="s">
        <v>1</v>
      </c>
      <c r="U8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7" s="29"/>
      <c r="AC897" s="25"/>
      <c r="AD897" s="41"/>
      <c r="AE897" s="41"/>
      <c r="AF897" s="11" t="s">
        <v>203</v>
      </c>
      <c r="AH897" s="1" t="str">
        <f>Table1[[#This Row],[html_tag]]&amp;Table1[[#This Row],[html_type]]&amp;Table1[[#This Row],[html_modifier]]</f>
        <v>&lt;input&gt;email</v>
      </c>
      <c r="AI897" t="s">
        <v>203</v>
      </c>
      <c r="AJ897" t="s">
        <v>3086</v>
      </c>
      <c r="AL897" s="22" t="str">
        <f>IFERROR(_xlfn.XLOOKUP(Table1[[#This Row],[word]],Table57[English style name],Table57[Style type]),"")</f>
        <v/>
      </c>
      <c r="AM897" s="20"/>
      <c r="AN897" s="11"/>
    </row>
    <row r="898" spans="5:40">
      <c r="E898" s="76"/>
      <c r="F8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8" s="13"/>
      <c r="H898" s="13"/>
      <c r="I898" s="12" t="str">
        <f>Table1[[#This Row],[type]]</f>
        <v>field</v>
      </c>
      <c r="J898" s="62" t="str">
        <f>Table1[[#This Row],[Column42]]&amp;IF(Table1[[#This Row],[Column13]]="","",Table1[[#This Row],[Column13]])&amp;IF(Table1[[#This Row],[mod]]="","",Table1[[#This Row],[mod]])</f>
        <v>field__file</v>
      </c>
      <c r="K8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98" t="s">
        <v>3099</v>
      </c>
      <c r="M898" t="s">
        <v>2983</v>
      </c>
      <c r="Q89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8" s="29" t="s">
        <v>4097</v>
      </c>
      <c r="AC898" s="25"/>
      <c r="AD898" s="41"/>
      <c r="AE898" s="41"/>
      <c r="AF898" s="11"/>
      <c r="AH898" s="7" t="str">
        <f>Table1[[#This Row],[html_tag]]&amp;Table1[[#This Row],[html_type]]&amp;Table1[[#This Row],[html_modifier]]</f>
        <v/>
      </c>
      <c r="AL898" s="23" t="str">
        <f>IFERROR(_xlfn.XLOOKUP(Table1[[#This Row],[word]],Table57[English style name],Table57[Style type]),"")</f>
        <v/>
      </c>
      <c r="AM898" s="21"/>
      <c r="AN898" s="11"/>
    </row>
    <row r="899" spans="5:40">
      <c r="E899" s="76"/>
      <c r="F8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9" s="13"/>
      <c r="H899" s="13"/>
      <c r="I899" s="12" t="str">
        <f>Table1[[#This Row],[type]]</f>
        <v>field</v>
      </c>
      <c r="J899" s="62" t="str">
        <f>Table1[[#This Row],[Column42]]&amp;IF(Table1[[#This Row],[Column13]]="","",Table1[[#This Row],[Column13]])&amp;IF(Table1[[#This Row],[mod]]="","",Table1[[#This Row],[mod]])</f>
        <v>field__file</v>
      </c>
      <c r="K8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99" t="s">
        <v>3099</v>
      </c>
      <c r="M899" t="s">
        <v>2983</v>
      </c>
      <c r="Q89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9" s="29" t="s">
        <v>4098</v>
      </c>
      <c r="AC899" s="25"/>
      <c r="AD899" s="41"/>
      <c r="AE899" s="41"/>
      <c r="AF899" s="11"/>
      <c r="AH899" s="7" t="str">
        <f>Table1[[#This Row],[html_tag]]&amp;Table1[[#This Row],[html_type]]&amp;Table1[[#This Row],[html_modifier]]</f>
        <v/>
      </c>
      <c r="AL899" s="23" t="str">
        <f>IFERROR(_xlfn.XLOOKUP(Table1[[#This Row],[word]],Table57[English style name],Table57[Style type]),"")</f>
        <v/>
      </c>
      <c r="AM899" s="21"/>
      <c r="AN899" s="11"/>
    </row>
    <row r="900" spans="5:40">
      <c r="E900" s="76"/>
      <c r="F9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0" s="13"/>
      <c r="H900" s="13"/>
      <c r="I900" s="12" t="str">
        <f>Table1[[#This Row],[type]]</f>
        <v>field</v>
      </c>
      <c r="J900" s="62" t="str">
        <f>Table1[[#This Row],[Column42]]&amp;IF(Table1[[#This Row],[Column13]]="","",Table1[[#This Row],[Column13]])&amp;IF(Table1[[#This Row],[mod]]="","",Table1[[#This Row],[mod]])</f>
        <v>field__file</v>
      </c>
      <c r="K9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0" t="s">
        <v>3099</v>
      </c>
      <c r="M900" t="s">
        <v>2983</v>
      </c>
      <c r="Q90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0" s="29" t="s">
        <v>4099</v>
      </c>
      <c r="AC900" s="25" t="s">
        <v>7422</v>
      </c>
      <c r="AD900" s="41"/>
      <c r="AE900" s="41"/>
      <c r="AF900" s="11"/>
      <c r="AH900" s="7" t="str">
        <f>Table1[[#This Row],[html_tag]]&amp;Table1[[#This Row],[html_type]]&amp;Table1[[#This Row],[html_modifier]]</f>
        <v/>
      </c>
      <c r="AL900" s="23" t="str">
        <f>IFERROR(_xlfn.XLOOKUP(Table1[[#This Row],[word]],Table57[English style name],Table57[Style type]),"")</f>
        <v/>
      </c>
      <c r="AM900" s="21"/>
      <c r="AN900" s="11"/>
    </row>
    <row r="901" spans="5:40">
      <c r="E901" s="76"/>
      <c r="F9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1" s="13"/>
      <c r="H901" s="13"/>
      <c r="I901" s="12" t="str">
        <f>Table1[[#This Row],[type]]</f>
        <v>field</v>
      </c>
      <c r="J901" s="62" t="str">
        <f>Table1[[#This Row],[Column42]]&amp;IF(Table1[[#This Row],[Column13]]="","",Table1[[#This Row],[Column13]])&amp;IF(Table1[[#This Row],[mod]]="","",Table1[[#This Row],[mod]])</f>
        <v>field__file</v>
      </c>
      <c r="K9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1" t="s">
        <v>3099</v>
      </c>
      <c r="M901" t="s">
        <v>2983</v>
      </c>
      <c r="Q9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1" s="29" t="s">
        <v>4100</v>
      </c>
      <c r="AC901" s="25"/>
      <c r="AD901" s="41"/>
      <c r="AE901" s="41"/>
      <c r="AF901" s="11"/>
      <c r="AH901" s="7" t="str">
        <f>Table1[[#This Row],[html_tag]]&amp;Table1[[#This Row],[html_type]]&amp;Table1[[#This Row],[html_modifier]]</f>
        <v/>
      </c>
      <c r="AL901" s="23" t="str">
        <f>IFERROR(_xlfn.XLOOKUP(Table1[[#This Row],[word]],Table57[English style name],Table57[Style type]),"")</f>
        <v/>
      </c>
      <c r="AM901" s="21"/>
      <c r="AN901" s="11"/>
    </row>
    <row r="902" spans="5:40">
      <c r="E902" s="76"/>
      <c r="F9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2" s="13"/>
      <c r="H902" s="13"/>
      <c r="I902" s="12" t="str">
        <f>Table1[[#This Row],[type]]</f>
        <v>field</v>
      </c>
      <c r="J902" s="62" t="str">
        <f>Table1[[#This Row],[Column42]]&amp;IF(Table1[[#This Row],[Column13]]="","",Table1[[#This Row],[Column13]])&amp;IF(Table1[[#This Row],[mod]]="","",Table1[[#This Row],[mod]])</f>
        <v>field__file</v>
      </c>
      <c r="K9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2" t="s">
        <v>3099</v>
      </c>
      <c r="M902" t="s">
        <v>2983</v>
      </c>
      <c r="Q90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2" s="29" t="s">
        <v>4101</v>
      </c>
      <c r="AC902" s="25"/>
      <c r="AD902" s="41"/>
      <c r="AE902" s="41"/>
      <c r="AF902" s="11"/>
      <c r="AH902" s="7" t="str">
        <f>Table1[[#This Row],[html_tag]]&amp;Table1[[#This Row],[html_type]]&amp;Table1[[#This Row],[html_modifier]]</f>
        <v/>
      </c>
      <c r="AL902" s="23" t="str">
        <f>IFERROR(_xlfn.XLOOKUP(Table1[[#This Row],[word]],Table57[English style name],Table57[Style type]),"")</f>
        <v/>
      </c>
      <c r="AM902" s="21"/>
      <c r="AN902" s="11"/>
    </row>
    <row r="903" spans="5:40">
      <c r="E903" s="76"/>
      <c r="F9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3" s="13"/>
      <c r="H903" s="13"/>
      <c r="I903" s="12" t="str">
        <f>Table1[[#This Row],[type]]</f>
        <v>field</v>
      </c>
      <c r="J903" s="62" t="str">
        <f>Table1[[#This Row],[Column42]]&amp;IF(Table1[[#This Row],[Column13]]="","",Table1[[#This Row],[Column13]])&amp;IF(Table1[[#This Row],[mod]]="","",Table1[[#This Row],[mod]])</f>
        <v>field__file</v>
      </c>
      <c r="K9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3" t="s">
        <v>3099</v>
      </c>
      <c r="M903" t="s">
        <v>2983</v>
      </c>
      <c r="Q90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3" s="29" t="s">
        <v>4102</v>
      </c>
      <c r="AC903" s="25"/>
      <c r="AD903" s="41"/>
      <c r="AE903" s="41"/>
      <c r="AF903" s="11"/>
      <c r="AH903" s="7" t="str">
        <f>Table1[[#This Row],[html_tag]]&amp;Table1[[#This Row],[html_type]]&amp;Table1[[#This Row],[html_modifier]]</f>
        <v/>
      </c>
      <c r="AL903" s="23" t="str">
        <f>IFERROR(_xlfn.XLOOKUP(Table1[[#This Row],[word]],Table57[English style name],Table57[Style type]),"")</f>
        <v/>
      </c>
      <c r="AM903" s="21"/>
      <c r="AN903" s="11"/>
    </row>
    <row r="904" spans="5:40">
      <c r="E904" s="76"/>
      <c r="F9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4" s="13"/>
      <c r="H904" s="13"/>
      <c r="I904" s="12" t="str">
        <f>Table1[[#This Row],[type]]</f>
        <v>field</v>
      </c>
      <c r="J904" s="62" t="str">
        <f>Table1[[#This Row],[Column42]]&amp;IF(Table1[[#This Row],[Column13]]="","",Table1[[#This Row],[Column13]])&amp;IF(Table1[[#This Row],[mod]]="","",Table1[[#This Row],[mod]])</f>
        <v>field__file</v>
      </c>
      <c r="K9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4" t="s">
        <v>3099</v>
      </c>
      <c r="M904" t="s">
        <v>2983</v>
      </c>
      <c r="Q90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4" s="29" t="s">
        <v>4103</v>
      </c>
      <c r="AC904" s="25"/>
      <c r="AD904" s="41"/>
      <c r="AE904" s="41"/>
      <c r="AF904" s="11"/>
      <c r="AH904" s="7" t="str">
        <f>Table1[[#This Row],[html_tag]]&amp;Table1[[#This Row],[html_type]]&amp;Table1[[#This Row],[html_modifier]]</f>
        <v/>
      </c>
      <c r="AL904" s="23" t="str">
        <f>IFERROR(_xlfn.XLOOKUP(Table1[[#This Row],[word]],Table57[English style name],Table57[Style type]),"")</f>
        <v/>
      </c>
      <c r="AM904" s="21"/>
      <c r="AN904" s="11"/>
    </row>
    <row r="905" spans="5:40">
      <c r="E905" s="76"/>
      <c r="F9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5" s="13"/>
      <c r="H905" s="13"/>
      <c r="I905" s="12" t="str">
        <f>Table1[[#This Row],[type]]</f>
        <v>field</v>
      </c>
      <c r="J905" s="62" t="str">
        <f>Table1[[#This Row],[Column42]]&amp;IF(Table1[[#This Row],[Column13]]="","",Table1[[#This Row],[Column13]])&amp;IF(Table1[[#This Row],[mod]]="","",Table1[[#This Row],[mod]])</f>
        <v>field__file</v>
      </c>
      <c r="K9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5" t="s">
        <v>3099</v>
      </c>
      <c r="M905" t="s">
        <v>2983</v>
      </c>
      <c r="Q90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5" s="29" t="s">
        <v>4104</v>
      </c>
      <c r="AC905" s="25"/>
      <c r="AD905" s="41"/>
      <c r="AE905" s="41"/>
      <c r="AF905" s="11"/>
      <c r="AH905" s="7" t="str">
        <f>Table1[[#This Row],[html_tag]]&amp;Table1[[#This Row],[html_type]]&amp;Table1[[#This Row],[html_modifier]]</f>
        <v/>
      </c>
      <c r="AL905" s="23" t="str">
        <f>IFERROR(_xlfn.XLOOKUP(Table1[[#This Row],[word]],Table57[English style name],Table57[Style type]),"")</f>
        <v/>
      </c>
      <c r="AM905" s="21"/>
      <c r="AN905" s="11"/>
    </row>
    <row r="906" spans="5:40">
      <c r="E906" s="76"/>
      <c r="F9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6" s="13"/>
      <c r="H906" s="13"/>
      <c r="I906" s="12" t="str">
        <f>Table1[[#This Row],[type]]</f>
        <v>field</v>
      </c>
      <c r="J906" s="62" t="str">
        <f>Table1[[#This Row],[Column42]]&amp;IF(Table1[[#This Row],[Column13]]="","",Table1[[#This Row],[Column13]])&amp;IF(Table1[[#This Row],[mod]]="","",Table1[[#This Row],[mod]])</f>
        <v>field__file</v>
      </c>
      <c r="K9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6" t="s">
        <v>3099</v>
      </c>
      <c r="M906" t="s">
        <v>2983</v>
      </c>
      <c r="Q9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6" s="29" t="s">
        <v>4105</v>
      </c>
      <c r="AC906" s="25"/>
      <c r="AD906" s="41"/>
      <c r="AE906" s="41"/>
      <c r="AF906" s="11"/>
      <c r="AH906" s="7" t="str">
        <f>Table1[[#This Row],[html_tag]]&amp;Table1[[#This Row],[html_type]]&amp;Table1[[#This Row],[html_modifier]]</f>
        <v/>
      </c>
      <c r="AL906" s="23" t="str">
        <f>IFERROR(_xlfn.XLOOKUP(Table1[[#This Row],[word]],Table57[English style name],Table57[Style type]),"")</f>
        <v/>
      </c>
      <c r="AM906" s="21"/>
      <c r="AN906" s="11"/>
    </row>
    <row r="907" spans="5:40">
      <c r="E907" s="76"/>
      <c r="F9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7" s="13"/>
      <c r="H907" s="13"/>
      <c r="I907" s="12" t="str">
        <f>Table1[[#This Row],[type]]</f>
        <v>field</v>
      </c>
      <c r="J907" s="62" t="str">
        <f>Table1[[#This Row],[Column42]]&amp;IF(Table1[[#This Row],[Column13]]="","",Table1[[#This Row],[Column13]])&amp;IF(Table1[[#This Row],[mod]]="","",Table1[[#This Row],[mod]])</f>
        <v>field__file</v>
      </c>
      <c r="K9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7" t="s">
        <v>3099</v>
      </c>
      <c r="M907" t="s">
        <v>2983</v>
      </c>
      <c r="Q90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7" s="29" t="s">
        <v>4106</v>
      </c>
      <c r="AC907" s="25"/>
      <c r="AD907" s="41"/>
      <c r="AE907" s="41"/>
      <c r="AF907" s="11"/>
      <c r="AH907" s="7" t="str">
        <f>Table1[[#This Row],[html_tag]]&amp;Table1[[#This Row],[html_type]]&amp;Table1[[#This Row],[html_modifier]]</f>
        <v/>
      </c>
      <c r="AL907" s="23" t="str">
        <f>IFERROR(_xlfn.XLOOKUP(Table1[[#This Row],[word]],Table57[English style name],Table57[Style type]),"")</f>
        <v/>
      </c>
      <c r="AM907" s="21"/>
      <c r="AN907" s="11"/>
    </row>
    <row r="908" spans="5:40">
      <c r="E908" s="76"/>
      <c r="F9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8" s="13"/>
      <c r="H908" s="13"/>
      <c r="I908" s="12" t="str">
        <f>Table1[[#This Row],[type]]</f>
        <v>field</v>
      </c>
      <c r="J908" s="62" t="str">
        <f>Table1[[#This Row],[Column42]]&amp;IF(Table1[[#This Row],[Column13]]="","",Table1[[#This Row],[Column13]])&amp;IF(Table1[[#This Row],[mod]]="","",Table1[[#This Row],[mod]])</f>
        <v>field__file</v>
      </c>
      <c r="K9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8" t="s">
        <v>3099</v>
      </c>
      <c r="M908" t="s">
        <v>2983</v>
      </c>
      <c r="Q90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8" s="29" t="s">
        <v>4107</v>
      </c>
      <c r="AC908" s="25"/>
      <c r="AD908" s="41"/>
      <c r="AE908" s="41"/>
      <c r="AF908" s="11"/>
      <c r="AH908" s="7" t="str">
        <f>Table1[[#This Row],[html_tag]]&amp;Table1[[#This Row],[html_type]]&amp;Table1[[#This Row],[html_modifier]]</f>
        <v/>
      </c>
      <c r="AL908" s="23" t="str">
        <f>IFERROR(_xlfn.XLOOKUP(Table1[[#This Row],[word]],Table57[English style name],Table57[Style type]),"")</f>
        <v/>
      </c>
      <c r="AM908" s="21"/>
      <c r="AN908" s="11"/>
    </row>
    <row r="909" spans="5:40">
      <c r="E909" s="76"/>
      <c r="F9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9" s="13"/>
      <c r="H909" s="13"/>
      <c r="I909" s="12" t="str">
        <f>Table1[[#This Row],[type]]</f>
        <v>field</v>
      </c>
      <c r="J909" s="62" t="str">
        <f>Table1[[#This Row],[Column42]]&amp;IF(Table1[[#This Row],[Column13]]="","",Table1[[#This Row],[Column13]])&amp;IF(Table1[[#This Row],[mod]]="","",Table1[[#This Row],[mod]])</f>
        <v>field__file</v>
      </c>
      <c r="K9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9" t="s">
        <v>3099</v>
      </c>
      <c r="M909" t="s">
        <v>2983</v>
      </c>
      <c r="Q90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9" s="29" t="s">
        <v>4108</v>
      </c>
      <c r="AC909" s="25"/>
      <c r="AD909" s="41"/>
      <c r="AE909" s="41"/>
      <c r="AF909" s="11"/>
      <c r="AH909" s="7" t="str">
        <f>Table1[[#This Row],[html_tag]]&amp;Table1[[#This Row],[html_type]]&amp;Table1[[#This Row],[html_modifier]]</f>
        <v/>
      </c>
      <c r="AL909" s="23" t="str">
        <f>IFERROR(_xlfn.XLOOKUP(Table1[[#This Row],[word]],Table57[English style name],Table57[Style type]),"")</f>
        <v/>
      </c>
      <c r="AM909" s="21"/>
      <c r="AN909" s="11"/>
    </row>
    <row r="910" spans="5:40">
      <c r="E910" s="76"/>
      <c r="F9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0" s="13"/>
      <c r="H910" s="13"/>
      <c r="I910" s="12" t="str">
        <f>Table1[[#This Row],[type]]</f>
        <v>field</v>
      </c>
      <c r="J910" s="62" t="str">
        <f>Table1[[#This Row],[Column42]]&amp;IF(Table1[[#This Row],[Column13]]="","",Table1[[#This Row],[Column13]])&amp;IF(Table1[[#This Row],[mod]]="","",Table1[[#This Row],[mod]])</f>
        <v>field__file--accent</v>
      </c>
      <c r="K9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0" t="s">
        <v>3099</v>
      </c>
      <c r="M910" t="s">
        <v>2983</v>
      </c>
      <c r="Q9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910" t="s">
        <v>7394</v>
      </c>
      <c r="AB910" s="29"/>
      <c r="AC910" s="25"/>
      <c r="AD910" s="41" t="s">
        <v>6888</v>
      </c>
      <c r="AE910" s="41"/>
      <c r="AF910" s="11"/>
      <c r="AH910" s="7" t="str">
        <f>Table1[[#This Row],[html_tag]]&amp;Table1[[#This Row],[html_type]]&amp;Table1[[#This Row],[html_modifier]]</f>
        <v/>
      </c>
      <c r="AL910" s="23" t="str">
        <f>IFERROR(_xlfn.XLOOKUP(Table1[[#This Row],[word]],Table57[English style name],Table57[Style type]),"")</f>
        <v/>
      </c>
      <c r="AM910" s="21"/>
      <c r="AN910" s="11"/>
    </row>
    <row r="911" spans="5:40">
      <c r="E911" s="76"/>
      <c r="F9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1" s="13"/>
      <c r="H911" s="13"/>
      <c r="I911" s="12" t="str">
        <f>Table1[[#This Row],[type]]</f>
        <v>field</v>
      </c>
      <c r="J911" s="62" t="str">
        <f>Table1[[#This Row],[Column42]]&amp;IF(Table1[[#This Row],[Column13]]="","",Table1[[#This Row],[Column13]])&amp;IF(Table1[[#This Row],[mod]]="","",Table1[[#This Row],[mod]])</f>
        <v>field__file--error</v>
      </c>
      <c r="K9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1" t="s">
        <v>3099</v>
      </c>
      <c r="M911" t="s">
        <v>2983</v>
      </c>
      <c r="Q91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911" t="s">
        <v>3117</v>
      </c>
      <c r="AB911" s="29"/>
      <c r="AC911" s="25"/>
      <c r="AD911" s="41" t="s">
        <v>6892</v>
      </c>
      <c r="AE911" s="41"/>
      <c r="AF911" s="11"/>
      <c r="AH911" s="7" t="str">
        <f>Table1[[#This Row],[html_tag]]&amp;Table1[[#This Row],[html_type]]&amp;Table1[[#This Row],[html_modifier]]</f>
        <v/>
      </c>
      <c r="AL911" s="23" t="str">
        <f>IFERROR(_xlfn.XLOOKUP(Table1[[#This Row],[word]],Table57[English style name],Table57[Style type]),"")</f>
        <v/>
      </c>
      <c r="AM911" s="21"/>
      <c r="AN911" s="11"/>
    </row>
    <row r="912" spans="5:40">
      <c r="E912" s="76"/>
      <c r="F9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2" s="13"/>
      <c r="H912" s="13"/>
      <c r="I912" s="12" t="str">
        <f>Table1[[#This Row],[type]]</f>
        <v>field</v>
      </c>
      <c r="J912" s="62" t="str">
        <f>Table1[[#This Row],[Column42]]&amp;IF(Table1[[#This Row],[Column13]]="","",Table1[[#This Row],[Column13]])&amp;IF(Table1[[#This Row],[mod]]="","",Table1[[#This Row],[mod]])</f>
        <v>field__file--ghost</v>
      </c>
      <c r="K9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2" t="s">
        <v>3099</v>
      </c>
      <c r="M912" t="s">
        <v>2983</v>
      </c>
      <c r="Q91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912" t="s">
        <v>7395</v>
      </c>
      <c r="AB912" s="29"/>
      <c r="AC912" s="25"/>
      <c r="AD912" s="41" t="s">
        <v>6884</v>
      </c>
      <c r="AE912" s="41"/>
      <c r="AF912" s="11"/>
      <c r="AH912" s="7" t="str">
        <f>Table1[[#This Row],[html_tag]]&amp;Table1[[#This Row],[html_type]]&amp;Table1[[#This Row],[html_modifier]]</f>
        <v/>
      </c>
      <c r="AL912" s="23" t="str">
        <f>IFERROR(_xlfn.XLOOKUP(Table1[[#This Row],[word]],Table57[English style name],Table57[Style type]),"")</f>
        <v/>
      </c>
      <c r="AM912" s="21"/>
      <c r="AN912" s="11"/>
    </row>
    <row r="913" spans="5:40">
      <c r="E913" s="76"/>
      <c r="F9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3" s="13"/>
      <c r="H913" s="13"/>
      <c r="I913" s="12" t="str">
        <f>Table1[[#This Row],[type]]</f>
        <v>field</v>
      </c>
      <c r="J913" s="62" t="str">
        <f>Table1[[#This Row],[Column42]]&amp;IF(Table1[[#This Row],[Column13]]="","",Table1[[#This Row],[Column13]])&amp;IF(Table1[[#This Row],[mod]]="","",Table1[[#This Row],[mod]])</f>
        <v>field__file--info</v>
      </c>
      <c r="K9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3" t="s">
        <v>3099</v>
      </c>
      <c r="M913" t="s">
        <v>2983</v>
      </c>
      <c r="Q91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913" t="s">
        <v>3119</v>
      </c>
      <c r="AB913" s="29"/>
      <c r="AC913" s="25"/>
      <c r="AD913" s="41" t="s">
        <v>6889</v>
      </c>
      <c r="AE913" s="41"/>
      <c r="AF913" s="11"/>
      <c r="AH913" s="7" t="str">
        <f>Table1[[#This Row],[html_tag]]&amp;Table1[[#This Row],[html_type]]&amp;Table1[[#This Row],[html_modifier]]</f>
        <v/>
      </c>
      <c r="AL913" s="23" t="str">
        <f>IFERROR(_xlfn.XLOOKUP(Table1[[#This Row],[word]],Table57[English style name],Table57[Style type]),"")</f>
        <v/>
      </c>
      <c r="AM913" s="21"/>
      <c r="AN913" s="11"/>
    </row>
    <row r="914" spans="5:40">
      <c r="E914" s="76"/>
      <c r="F9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4" s="13"/>
      <c r="H914" s="13"/>
      <c r="I914" s="12" t="str">
        <f>Table1[[#This Row],[type]]</f>
        <v>field</v>
      </c>
      <c r="J914" s="62" t="str">
        <f>Table1[[#This Row],[Column42]]&amp;IF(Table1[[#This Row],[Column13]]="","",Table1[[#This Row],[Column13]])&amp;IF(Table1[[#This Row],[mod]]="","",Table1[[#This Row],[mod]])</f>
        <v>field__file--lg</v>
      </c>
      <c r="K9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4" t="s">
        <v>3099</v>
      </c>
      <c r="M914" t="s">
        <v>2983</v>
      </c>
      <c r="Q9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14" t="s">
        <v>3114</v>
      </c>
      <c r="AB914" s="29"/>
      <c r="AC914" s="25"/>
      <c r="AD914" s="41" t="s">
        <v>6896</v>
      </c>
      <c r="AE914" s="41"/>
      <c r="AF914" s="11"/>
      <c r="AH914" s="7" t="str">
        <f>Table1[[#This Row],[html_tag]]&amp;Table1[[#This Row],[html_type]]&amp;Table1[[#This Row],[html_modifier]]</f>
        <v/>
      </c>
      <c r="AL914" s="23" t="str">
        <f>IFERROR(_xlfn.XLOOKUP(Table1[[#This Row],[word]],Table57[English style name],Table57[Style type]),"")</f>
        <v/>
      </c>
      <c r="AM914" s="21"/>
      <c r="AN914" s="11"/>
    </row>
    <row r="915" spans="5:40">
      <c r="E915" s="76"/>
      <c r="F9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5" s="13"/>
      <c r="H915" s="13"/>
      <c r="I915" s="12" t="str">
        <f>Table1[[#This Row],[type]]</f>
        <v>field</v>
      </c>
      <c r="J915" s="62" t="str">
        <f>Table1[[#This Row],[Column42]]&amp;IF(Table1[[#This Row],[Column13]]="","",Table1[[#This Row],[Column13]])&amp;IF(Table1[[#This Row],[mod]]="","",Table1[[#This Row],[mod]])</f>
        <v>field__file--md</v>
      </c>
      <c r="K9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5" t="s">
        <v>3099</v>
      </c>
      <c r="M915" t="s">
        <v>2983</v>
      </c>
      <c r="Q9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15" t="s">
        <v>3115</v>
      </c>
      <c r="AB915" s="29"/>
      <c r="AC915" s="25"/>
      <c r="AD915" s="41" t="s">
        <v>6895</v>
      </c>
      <c r="AE915" s="41"/>
      <c r="AF915" s="11"/>
      <c r="AH915" s="7" t="str">
        <f>Table1[[#This Row],[html_tag]]&amp;Table1[[#This Row],[html_type]]&amp;Table1[[#This Row],[html_modifier]]</f>
        <v/>
      </c>
      <c r="AL915" s="23" t="str">
        <f>IFERROR(_xlfn.XLOOKUP(Table1[[#This Row],[word]],Table57[English style name],Table57[Style type]),"")</f>
        <v/>
      </c>
      <c r="AM915" s="21"/>
      <c r="AN915" s="11"/>
    </row>
    <row r="916" spans="5:40">
      <c r="E916" s="76"/>
      <c r="F9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6" s="13"/>
      <c r="H916" s="13"/>
      <c r="I916" s="12" t="str">
        <f>Table1[[#This Row],[type]]</f>
        <v>field</v>
      </c>
      <c r="J916" s="62" t="str">
        <f>Table1[[#This Row],[Column42]]&amp;IF(Table1[[#This Row],[Column13]]="","",Table1[[#This Row],[Column13]])&amp;IF(Table1[[#This Row],[mod]]="","",Table1[[#This Row],[mod]])</f>
        <v>field__file--neutral</v>
      </c>
      <c r="K9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6" t="s">
        <v>3099</v>
      </c>
      <c r="M916" t="s">
        <v>2983</v>
      </c>
      <c r="Q91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916" t="s">
        <v>7393</v>
      </c>
      <c r="AB916" s="29"/>
      <c r="AC916" s="25"/>
      <c r="AD916" s="41" t="s">
        <v>6885</v>
      </c>
      <c r="AE916" s="41"/>
      <c r="AF916" s="11"/>
      <c r="AH916" s="7" t="str">
        <f>Table1[[#This Row],[html_tag]]&amp;Table1[[#This Row],[html_type]]&amp;Table1[[#This Row],[html_modifier]]</f>
        <v/>
      </c>
      <c r="AL916" s="23" t="str">
        <f>IFERROR(_xlfn.XLOOKUP(Table1[[#This Row],[word]],Table57[English style name],Table57[Style type]),"")</f>
        <v/>
      </c>
      <c r="AM916" s="21"/>
      <c r="AN916" s="11"/>
    </row>
    <row r="917" spans="5:40">
      <c r="E917" s="76"/>
      <c r="F9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7" s="13"/>
      <c r="H917" s="13"/>
      <c r="I917" s="12" t="str">
        <f>Table1[[#This Row],[type]]</f>
        <v>field</v>
      </c>
      <c r="J917" s="62" t="str">
        <f>Table1[[#This Row],[Column42]]&amp;IF(Table1[[#This Row],[Column13]]="","",Table1[[#This Row],[Column13]])&amp;IF(Table1[[#This Row],[mod]]="","",Table1[[#This Row],[mod]])</f>
        <v>field__file--primary</v>
      </c>
      <c r="K9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7" t="s">
        <v>3099</v>
      </c>
      <c r="M917" t="s">
        <v>2983</v>
      </c>
      <c r="Q91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17" t="s">
        <v>3164</v>
      </c>
      <c r="AB917" s="29"/>
      <c r="AC917" s="25"/>
      <c r="AD917" s="41" t="s">
        <v>6886</v>
      </c>
      <c r="AE917" s="41"/>
      <c r="AF917" s="11"/>
      <c r="AH917" s="7" t="str">
        <f>Table1[[#This Row],[html_tag]]&amp;Table1[[#This Row],[html_type]]&amp;Table1[[#This Row],[html_modifier]]</f>
        <v/>
      </c>
      <c r="AL917" s="23" t="str">
        <f>IFERROR(_xlfn.XLOOKUP(Table1[[#This Row],[word]],Table57[English style name],Table57[Style type]),"")</f>
        <v/>
      </c>
      <c r="AM917" s="21"/>
      <c r="AN917" s="11"/>
    </row>
    <row r="918" spans="5:40">
      <c r="E918" s="76"/>
      <c r="F9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8" s="13"/>
      <c r="H918" s="13"/>
      <c r="I918" s="12" t="str">
        <f>Table1[[#This Row],[type]]</f>
        <v>field</v>
      </c>
      <c r="J918" s="62" t="str">
        <f>Table1[[#This Row],[Column42]]&amp;IF(Table1[[#This Row],[Column13]]="","",Table1[[#This Row],[Column13]])&amp;IF(Table1[[#This Row],[mod]]="","",Table1[[#This Row],[mod]])</f>
        <v>field__file--secondary</v>
      </c>
      <c r="K9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8" t="s">
        <v>3099</v>
      </c>
      <c r="M918" t="s">
        <v>2983</v>
      </c>
      <c r="Q91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18" t="s">
        <v>3502</v>
      </c>
      <c r="AB918" s="29"/>
      <c r="AC918" s="25"/>
      <c r="AD918" s="41" t="s">
        <v>6887</v>
      </c>
      <c r="AE918" s="41"/>
      <c r="AF918" s="11"/>
      <c r="AH918" s="7" t="str">
        <f>Table1[[#This Row],[html_tag]]&amp;Table1[[#This Row],[html_type]]&amp;Table1[[#This Row],[html_modifier]]</f>
        <v/>
      </c>
      <c r="AL918" s="23" t="str">
        <f>IFERROR(_xlfn.XLOOKUP(Table1[[#This Row],[word]],Table57[English style name],Table57[Style type]),"")</f>
        <v/>
      </c>
      <c r="AM918" s="21"/>
      <c r="AN918" s="11"/>
    </row>
    <row r="919" spans="5:40">
      <c r="E919" s="76"/>
      <c r="F9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9" s="13"/>
      <c r="H919" s="13"/>
      <c r="I919" s="12" t="str">
        <f>Table1[[#This Row],[type]]</f>
        <v>field</v>
      </c>
      <c r="J919" s="62" t="str">
        <f>Table1[[#This Row],[Column42]]&amp;IF(Table1[[#This Row],[Column13]]="","",Table1[[#This Row],[Column13]])&amp;IF(Table1[[#This Row],[mod]]="","",Table1[[#This Row],[mod]])</f>
        <v>field__file--sm</v>
      </c>
      <c r="K9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9" t="s">
        <v>3099</v>
      </c>
      <c r="M919" t="s">
        <v>2983</v>
      </c>
      <c r="Q9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19" t="s">
        <v>3116</v>
      </c>
      <c r="AB919" s="29"/>
      <c r="AC919" s="25"/>
      <c r="AD919" s="41" t="s">
        <v>6894</v>
      </c>
      <c r="AE919" s="41"/>
      <c r="AF919" s="11"/>
      <c r="AH919" s="7" t="str">
        <f>Table1[[#This Row],[html_tag]]&amp;Table1[[#This Row],[html_type]]&amp;Table1[[#This Row],[html_modifier]]</f>
        <v/>
      </c>
      <c r="AL919" s="23" t="str">
        <f>IFERROR(_xlfn.XLOOKUP(Table1[[#This Row],[word]],Table57[English style name],Table57[Style type]),"")</f>
        <v/>
      </c>
      <c r="AM919" s="21"/>
      <c r="AN919" s="11"/>
    </row>
    <row r="920" spans="5:40">
      <c r="E920" s="76"/>
      <c r="F9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0" s="13"/>
      <c r="H920" s="13"/>
      <c r="I920" s="12" t="str">
        <f>Table1[[#This Row],[type]]</f>
        <v>field</v>
      </c>
      <c r="J920" s="62" t="str">
        <f>Table1[[#This Row],[Column42]]&amp;IF(Table1[[#This Row],[Column13]]="","",Table1[[#This Row],[Column13]])&amp;IF(Table1[[#This Row],[mod]]="","",Table1[[#This Row],[mod]])</f>
        <v>field__file--success</v>
      </c>
      <c r="K9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20" t="s">
        <v>3099</v>
      </c>
      <c r="M920" t="s">
        <v>2983</v>
      </c>
      <c r="Q92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20" t="s">
        <v>3120</v>
      </c>
      <c r="AB920" s="29"/>
      <c r="AC920" s="25"/>
      <c r="AD920" s="41" t="s">
        <v>6890</v>
      </c>
      <c r="AE920" s="41"/>
      <c r="AF920" s="11"/>
      <c r="AH920" s="7" t="str">
        <f>Table1[[#This Row],[html_tag]]&amp;Table1[[#This Row],[html_type]]&amp;Table1[[#This Row],[html_modifier]]</f>
        <v/>
      </c>
      <c r="AL920" s="23" t="str">
        <f>IFERROR(_xlfn.XLOOKUP(Table1[[#This Row],[word]],Table57[English style name],Table57[Style type]),"")</f>
        <v/>
      </c>
      <c r="AM920" s="21"/>
      <c r="AN920" s="11"/>
    </row>
    <row r="921" spans="5:40">
      <c r="E921" s="76"/>
      <c r="F9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1" s="13"/>
      <c r="H921" s="13"/>
      <c r="I921" s="12" t="str">
        <f>Table1[[#This Row],[type]]</f>
        <v>field</v>
      </c>
      <c r="J921" s="62" t="str">
        <f>Table1[[#This Row],[Column42]]&amp;IF(Table1[[#This Row],[Column13]]="","",Table1[[#This Row],[Column13]])&amp;IF(Table1[[#This Row],[mod]]="","",Table1[[#This Row],[mod]])</f>
        <v>field__file--type</v>
      </c>
      <c r="K9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21" t="s">
        <v>3099</v>
      </c>
      <c r="M921" t="s">
        <v>2983</v>
      </c>
      <c r="Q9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1" t="s">
        <v>1</v>
      </c>
      <c r="U9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1" s="29" t="s">
        <v>4096</v>
      </c>
      <c r="AC921" s="25" t="s">
        <v>3879</v>
      </c>
      <c r="AD921" s="41" t="s">
        <v>4099</v>
      </c>
      <c r="AE921" s="41"/>
      <c r="AF921" s="11" t="s">
        <v>203</v>
      </c>
      <c r="AH921" s="1" t="str">
        <f>Table1[[#This Row],[html_tag]]&amp;Table1[[#This Row],[html_type]]&amp;Table1[[#This Row],[html_modifier]]</f>
        <v>&lt;input&gt;file</v>
      </c>
      <c r="AI921" t="s">
        <v>203</v>
      </c>
      <c r="AJ921" t="s">
        <v>2983</v>
      </c>
      <c r="AL921" s="22" t="str">
        <f>IFERROR(_xlfn.XLOOKUP(Table1[[#This Row],[word]],Table57[English style name],Table57[Style type]),"")</f>
        <v/>
      </c>
      <c r="AM921" s="20"/>
      <c r="AN921" s="11"/>
    </row>
    <row r="922" spans="5:40">
      <c r="E922" s="76"/>
      <c r="F9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2" s="13"/>
      <c r="H922" s="13"/>
      <c r="I922" s="12" t="str">
        <f>Table1[[#This Row],[type]]</f>
        <v>field</v>
      </c>
      <c r="J922" s="62" t="str">
        <f>Table1[[#This Row],[Column42]]&amp;IF(Table1[[#This Row],[Column13]]="","",Table1[[#This Row],[Column13]])&amp;IF(Table1[[#This Row],[mod]]="","",Table1[[#This Row],[mod]])</f>
        <v>field__file--warning</v>
      </c>
      <c r="K9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22" t="s">
        <v>3099</v>
      </c>
      <c r="M922" t="s">
        <v>2983</v>
      </c>
      <c r="Q9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922" t="s">
        <v>3121</v>
      </c>
      <c r="AB922" s="29"/>
      <c r="AC922" s="25"/>
      <c r="AD922" s="41" t="s">
        <v>6891</v>
      </c>
      <c r="AE922" s="41"/>
      <c r="AF922" s="11"/>
      <c r="AH922" s="7" t="str">
        <f>Table1[[#This Row],[html_tag]]&amp;Table1[[#This Row],[html_type]]&amp;Table1[[#This Row],[html_modifier]]</f>
        <v/>
      </c>
      <c r="AL922" s="23" t="str">
        <f>IFERROR(_xlfn.XLOOKUP(Table1[[#This Row],[word]],Table57[English style name],Table57[Style type]),"")</f>
        <v/>
      </c>
      <c r="AM922" s="21"/>
      <c r="AN922" s="11"/>
    </row>
    <row r="923" spans="5:40">
      <c r="E923" s="76"/>
      <c r="F9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3" s="13"/>
      <c r="H923" s="13"/>
      <c r="I923" s="12" t="str">
        <f>Table1[[#This Row],[type]]</f>
        <v>field</v>
      </c>
      <c r="J923" s="62" t="str">
        <f>Table1[[#This Row],[Column42]]&amp;IF(Table1[[#This Row],[Column13]]="","",Table1[[#This Row],[Column13]])&amp;IF(Table1[[#This Row],[mod]]="","",Table1[[#This Row],[mod]])</f>
        <v>field__file--xl</v>
      </c>
      <c r="K9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23" t="s">
        <v>3099</v>
      </c>
      <c r="M923" t="s">
        <v>2983</v>
      </c>
      <c r="Q9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23" t="s">
        <v>3126</v>
      </c>
      <c r="AB923" s="29"/>
      <c r="AC923" s="25"/>
      <c r="AD923" s="41" t="s">
        <v>6897</v>
      </c>
      <c r="AE923" s="41"/>
      <c r="AF923" s="11"/>
      <c r="AH923" s="7" t="str">
        <f>Table1[[#This Row],[html_tag]]&amp;Table1[[#This Row],[html_type]]&amp;Table1[[#This Row],[html_modifier]]</f>
        <v/>
      </c>
      <c r="AL923" s="23" t="str">
        <f>IFERROR(_xlfn.XLOOKUP(Table1[[#This Row],[word]],Table57[English style name],Table57[Style type]),"")</f>
        <v/>
      </c>
      <c r="AM923" s="21"/>
      <c r="AN923" s="11"/>
    </row>
    <row r="924" spans="5:40">
      <c r="E924" s="76"/>
      <c r="F9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4" s="13"/>
      <c r="H924" s="13"/>
      <c r="I924" s="12" t="str">
        <f>Table1[[#This Row],[type]]</f>
        <v>field</v>
      </c>
      <c r="J924" s="62" t="str">
        <f>Table1[[#This Row],[Column42]]&amp;IF(Table1[[#This Row],[Column13]]="","",Table1[[#This Row],[Column13]])&amp;IF(Table1[[#This Row],[mod]]="","",Table1[[#This Row],[mod]])</f>
        <v>field__file--xs</v>
      </c>
      <c r="K9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24" t="s">
        <v>3099</v>
      </c>
      <c r="M924" t="s">
        <v>2983</v>
      </c>
      <c r="Q9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24" t="s">
        <v>3127</v>
      </c>
      <c r="AB924" s="29"/>
      <c r="AC924" s="25"/>
      <c r="AD924" s="41" t="s">
        <v>6893</v>
      </c>
      <c r="AE924" s="41"/>
      <c r="AF924" s="11"/>
      <c r="AH924" s="7" t="str">
        <f>Table1[[#This Row],[html_tag]]&amp;Table1[[#This Row],[html_type]]&amp;Table1[[#This Row],[html_modifier]]</f>
        <v/>
      </c>
      <c r="AL924" s="23" t="str">
        <f>IFERROR(_xlfn.XLOOKUP(Table1[[#This Row],[word]],Table57[English style name],Table57[Style type]),"")</f>
        <v/>
      </c>
      <c r="AM924" s="21"/>
      <c r="AN924" s="11"/>
    </row>
    <row r="925" spans="5:40">
      <c r="E925" s="76"/>
      <c r="F9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5" s="13"/>
      <c r="H925" s="13"/>
      <c r="I925" s="12" t="str">
        <f>Table1[[#This Row],[type]]</f>
        <v>field</v>
      </c>
      <c r="J925" s="62" t="str">
        <f>Table1[[#This Row],[Column42]]&amp;IF(Table1[[#This Row],[Column13]]="","",Table1[[#This Row],[Column13]])&amp;IF(Table1[[#This Row],[mod]]="","",Table1[[#This Row],[mod]])</f>
        <v>field__hidden--type</v>
      </c>
      <c r="K9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field__hidden</v>
      </c>
      <c r="L925" t="s">
        <v>3099</v>
      </c>
      <c r="M925" t="s">
        <v>3087</v>
      </c>
      <c r="Q9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5" t="s">
        <v>1</v>
      </c>
      <c r="U9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5" s="29"/>
      <c r="AC925" s="25"/>
      <c r="AD925" s="41"/>
      <c r="AE925" s="41"/>
      <c r="AF925" s="11" t="s">
        <v>203</v>
      </c>
      <c r="AH925" s="1" t="str">
        <f>Table1[[#This Row],[html_tag]]&amp;Table1[[#This Row],[html_type]]&amp;Table1[[#This Row],[html_modifier]]</f>
        <v>&lt;input&gt;hidden</v>
      </c>
      <c r="AI925" t="s">
        <v>203</v>
      </c>
      <c r="AJ925" t="s">
        <v>3087</v>
      </c>
      <c r="AL925" s="22" t="str">
        <f>IFERROR(_xlfn.XLOOKUP(Table1[[#This Row],[word]],Table57[English style name],Table57[Style type]),"")</f>
        <v/>
      </c>
      <c r="AM925" s="20"/>
      <c r="AN925" s="11"/>
    </row>
    <row r="926" spans="5:40">
      <c r="E926" s="76"/>
      <c r="F9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6" s="13"/>
      <c r="H926" s="13"/>
      <c r="I926" s="12" t="str">
        <f>Table1[[#This Row],[type]]</f>
        <v>field</v>
      </c>
      <c r="J926" s="62" t="str">
        <f>Table1[[#This Row],[Column42]]&amp;IF(Table1[[#This Row],[Column13]]="","",Table1[[#This Row],[Column13]])&amp;IF(Table1[[#This Row],[mod]]="","",Table1[[#This Row],[mod]])</f>
        <v>field__image--type</v>
      </c>
      <c r="K9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field__image</v>
      </c>
      <c r="L926" t="s">
        <v>3099</v>
      </c>
      <c r="M926" t="s">
        <v>3088</v>
      </c>
      <c r="Q9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6" t="s">
        <v>1</v>
      </c>
      <c r="U9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6" s="29"/>
      <c r="AC926" s="25"/>
      <c r="AD926" s="41"/>
      <c r="AE926" s="41"/>
      <c r="AF926" s="11" t="s">
        <v>203</v>
      </c>
      <c r="AH926" s="1" t="str">
        <f>Table1[[#This Row],[html_tag]]&amp;Table1[[#This Row],[html_type]]&amp;Table1[[#This Row],[html_modifier]]</f>
        <v>&lt;input&gt;image</v>
      </c>
      <c r="AI926" t="s">
        <v>203</v>
      </c>
      <c r="AJ926" t="s">
        <v>3088</v>
      </c>
      <c r="AL926" s="22" t="str">
        <f>IFERROR(_xlfn.XLOOKUP(Table1[[#This Row],[word]],Table57[English style name],Table57[Style type]),"")</f>
        <v/>
      </c>
      <c r="AM926" s="20"/>
      <c r="AN926" s="11"/>
    </row>
    <row r="927" spans="5:40">
      <c r="E927" s="76"/>
      <c r="F9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7" s="13"/>
      <c r="H927" s="13"/>
      <c r="I927" s="12" t="str">
        <f>Table1[[#This Row],[type]]</f>
        <v>field</v>
      </c>
      <c r="J927" s="62" t="str">
        <f>Table1[[#This Row],[Column42]]&amp;IF(Table1[[#This Row],[Column13]]="","",Table1[[#This Row],[Column13]])&amp;IF(Table1[[#This Row],[mod]]="","",Table1[[#This Row],[mod]])</f>
        <v>field__month--type</v>
      </c>
      <c r="K9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field__month</v>
      </c>
      <c r="L927" t="s">
        <v>3099</v>
      </c>
      <c r="M927" t="s">
        <v>3089</v>
      </c>
      <c r="Q9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7" t="s">
        <v>1</v>
      </c>
      <c r="U9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7" s="29"/>
      <c r="AC927" s="25"/>
      <c r="AD927" s="41"/>
      <c r="AE927" s="41"/>
      <c r="AF927" s="11" t="s">
        <v>203</v>
      </c>
      <c r="AH927" s="1" t="str">
        <f>Table1[[#This Row],[html_tag]]&amp;Table1[[#This Row],[html_type]]&amp;Table1[[#This Row],[html_modifier]]</f>
        <v>&lt;input&gt;month</v>
      </c>
      <c r="AI927" t="s">
        <v>203</v>
      </c>
      <c r="AJ927" t="s">
        <v>3089</v>
      </c>
      <c r="AL927" s="22" t="str">
        <f>IFERROR(_xlfn.XLOOKUP(Table1[[#This Row],[word]],Table57[English style name],Table57[Style type]),"")</f>
        <v/>
      </c>
      <c r="AM927" s="20"/>
      <c r="AN927" s="11"/>
    </row>
    <row r="928" spans="5:40">
      <c r="E928" s="76"/>
      <c r="F9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8" s="13"/>
      <c r="H928" s="13"/>
      <c r="I928" s="12" t="str">
        <f>Table1[[#This Row],[type]]</f>
        <v>field</v>
      </c>
      <c r="J928" s="62" t="str">
        <f>Table1[[#This Row],[Column42]]&amp;IF(Table1[[#This Row],[Column13]]="","",Table1[[#This Row],[Column13]])&amp;IF(Table1[[#This Row],[mod]]="","",Table1[[#This Row],[mod]])</f>
        <v>field__number--type</v>
      </c>
      <c r="K9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field__number</v>
      </c>
      <c r="L928" t="s">
        <v>3099</v>
      </c>
      <c r="M928" t="s">
        <v>3090</v>
      </c>
      <c r="Q9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8" t="s">
        <v>1</v>
      </c>
      <c r="U9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8" s="29"/>
      <c r="AC928" s="25"/>
      <c r="AD928" s="41"/>
      <c r="AE928" s="41"/>
      <c r="AF928" s="11" t="s">
        <v>203</v>
      </c>
      <c r="AH928" s="1" t="str">
        <f>Table1[[#This Row],[html_tag]]&amp;Table1[[#This Row],[html_type]]&amp;Table1[[#This Row],[html_modifier]]</f>
        <v>&lt;input&gt;number</v>
      </c>
      <c r="AI928" t="s">
        <v>203</v>
      </c>
      <c r="AJ928" t="s">
        <v>3090</v>
      </c>
      <c r="AL928" s="22" t="str">
        <f>IFERROR(_xlfn.XLOOKUP(Table1[[#This Row],[word]],Table57[English style name],Table57[Style type]),"")</f>
        <v/>
      </c>
      <c r="AM928" s="20"/>
      <c r="AN928" s="11"/>
    </row>
    <row r="929" spans="5:44">
      <c r="E929" s="76"/>
      <c r="F9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9" s="13"/>
      <c r="H929" s="13"/>
      <c r="I929" s="12" t="str">
        <f>Table1[[#This Row],[type]]</f>
        <v>field</v>
      </c>
      <c r="J929" s="62" t="str">
        <f>Table1[[#This Row],[Column42]]&amp;IF(Table1[[#This Row],[Column13]]="","",Table1[[#This Row],[Column13]])&amp;IF(Table1[[#This Row],[mod]]="","",Table1[[#This Row],[mod]])</f>
        <v>field__password--type</v>
      </c>
      <c r="K9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field__password</v>
      </c>
      <c r="L929" t="s">
        <v>3099</v>
      </c>
      <c r="M929" t="s">
        <v>3091</v>
      </c>
      <c r="Q9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9" t="s">
        <v>1</v>
      </c>
      <c r="U9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9" s="29"/>
      <c r="AC929" s="25"/>
      <c r="AD929" s="41"/>
      <c r="AE929" s="41"/>
      <c r="AF929" s="11" t="s">
        <v>203</v>
      </c>
      <c r="AH929" s="1" t="str">
        <f>Table1[[#This Row],[html_tag]]&amp;Table1[[#This Row],[html_type]]&amp;Table1[[#This Row],[html_modifier]]</f>
        <v>&lt;input&gt;password</v>
      </c>
      <c r="AI929" t="s">
        <v>203</v>
      </c>
      <c r="AJ929" t="s">
        <v>3091</v>
      </c>
      <c r="AL929" s="22" t="str">
        <f>IFERROR(_xlfn.XLOOKUP(Table1[[#This Row],[word]],Table57[English style name],Table57[Style type]),"")</f>
        <v/>
      </c>
      <c r="AM929" s="20"/>
      <c r="AN929" s="11"/>
    </row>
    <row r="930" spans="5:44">
      <c r="E930" s="76"/>
      <c r="F9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0" s="13" t="s">
        <v>337</v>
      </c>
      <c r="H930" s="13" t="s">
        <v>2987</v>
      </c>
      <c r="I930" s="12" t="str">
        <f>Table1[[#This Row],[type]]</f>
        <v>field</v>
      </c>
      <c r="J930" s="62" t="str">
        <f>Table1[[#This Row],[Column42]]&amp;IF(Table1[[#This Row],[Column13]]="","",Table1[[#This Row],[Column13]])&amp;IF(Table1[[#This Row],[mod]]="","",Table1[[#This Row],[mod]])</f>
        <v>field__preview</v>
      </c>
      <c r="K9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field__preview</v>
      </c>
      <c r="L930" t="s">
        <v>3099</v>
      </c>
      <c r="O930" t="s">
        <v>3149</v>
      </c>
      <c r="P930" s="6"/>
      <c r="Q9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0" s="29"/>
      <c r="AC930" s="25"/>
      <c r="AD930" s="41"/>
      <c r="AE930" s="41"/>
      <c r="AF930" s="11" t="s">
        <v>203</v>
      </c>
      <c r="AH930" s="1" t="str">
        <f>Table1[[#This Row],[html_tag]]&amp;Table1[[#This Row],[html_type]]&amp;Table1[[#This Row],[html_modifier]]</f>
        <v/>
      </c>
      <c r="AL930" s="22" t="str">
        <f>IFERROR(_xlfn.XLOOKUP(Table1[[#This Row],[word]],Table57[English style name],Table57[Style type]),"")</f>
        <v/>
      </c>
      <c r="AM930" s="20"/>
      <c r="AN930" s="11"/>
      <c r="AQ930" s="6" t="s">
        <v>1738</v>
      </c>
      <c r="AR930" t="s">
        <v>1718</v>
      </c>
    </row>
    <row r="931" spans="5:44">
      <c r="E931" s="76"/>
      <c r="F9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1" s="13" t="s">
        <v>337</v>
      </c>
      <c r="H931" s="13" t="s">
        <v>2987</v>
      </c>
      <c r="I931" s="12" t="str">
        <f>Table1[[#This Row],[type]]</f>
        <v>field</v>
      </c>
      <c r="J931" s="62" t="str">
        <f>Table1[[#This Row],[Column42]]&amp;IF(Table1[[#This Row],[Column13]]="","",Table1[[#This Row],[Column13]])&amp;IF(Table1[[#This Row],[mod]]="","",Table1[[#This Row],[mod]])</f>
        <v>field__radio</v>
      </c>
      <c r="K9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1" t="s">
        <v>3099</v>
      </c>
      <c r="M931" t="s">
        <v>1966</v>
      </c>
      <c r="P931" s="6" t="s">
        <v>1733</v>
      </c>
      <c r="Q9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1" s="29"/>
      <c r="AC931" s="25"/>
      <c r="AD931" s="41"/>
      <c r="AE931" s="41"/>
      <c r="AF931" s="11" t="s">
        <v>203</v>
      </c>
      <c r="AH931" s="1" t="str">
        <f>Table1[[#This Row],[html_tag]]&amp;Table1[[#This Row],[html_type]]&amp;Table1[[#This Row],[html_modifier]]</f>
        <v/>
      </c>
      <c r="AJ931" s="3"/>
      <c r="AL931" s="22" t="str">
        <f>IFERROR(_xlfn.XLOOKUP(Table1[[#This Row],[word]],Table57[English style name],Table57[Style type]),"")</f>
        <v/>
      </c>
      <c r="AM931" s="20"/>
      <c r="AN931" s="11"/>
      <c r="AQ931" s="6" t="s">
        <v>1733</v>
      </c>
      <c r="AR931" t="s">
        <v>1718</v>
      </c>
    </row>
    <row r="932" spans="5:44">
      <c r="E932" s="76"/>
      <c r="F9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2" s="13" t="s">
        <v>337</v>
      </c>
      <c r="H932" s="13" t="s">
        <v>2987</v>
      </c>
      <c r="I932" s="12" t="str">
        <f>Table1[[#This Row],[type]]</f>
        <v>field</v>
      </c>
      <c r="J932" s="62" t="str">
        <f>Table1[[#This Row],[Column42]]&amp;IF(Table1[[#This Row],[Column13]]="","",Table1[[#This Row],[Column13]])&amp;IF(Table1[[#This Row],[mod]]="","",Table1[[#This Row],[mod]])</f>
        <v>field__radio</v>
      </c>
      <c r="K9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2" t="s">
        <v>3099</v>
      </c>
      <c r="M932" t="s">
        <v>1966</v>
      </c>
      <c r="P932" s="6" t="s">
        <v>1719</v>
      </c>
      <c r="Q9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2" s="29"/>
      <c r="AC932" s="25"/>
      <c r="AD932" s="41"/>
      <c r="AE932" s="41"/>
      <c r="AF932" s="11" t="s">
        <v>203</v>
      </c>
      <c r="AH932" s="1" t="str">
        <f>Table1[[#This Row],[html_tag]]&amp;Table1[[#This Row],[html_type]]&amp;Table1[[#This Row],[html_modifier]]</f>
        <v/>
      </c>
      <c r="AJ932" s="3"/>
      <c r="AL932" s="22" t="str">
        <f>IFERROR(_xlfn.XLOOKUP(Table1[[#This Row],[word]],Table57[English style name],Table57[Style type]),"")</f>
        <v/>
      </c>
      <c r="AM932" s="20"/>
      <c r="AN932" s="11"/>
      <c r="AQ932" s="6" t="s">
        <v>1719</v>
      </c>
      <c r="AR932" t="s">
        <v>1718</v>
      </c>
    </row>
    <row r="933" spans="5:44">
      <c r="E933" s="76"/>
      <c r="F9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3" s="13" t="s">
        <v>337</v>
      </c>
      <c r="H933" s="13" t="s">
        <v>2987</v>
      </c>
      <c r="I933" s="12" t="str">
        <f>Table1[[#This Row],[type]]</f>
        <v>field</v>
      </c>
      <c r="J933" s="62" t="str">
        <f>Table1[[#This Row],[Column42]]&amp;IF(Table1[[#This Row],[Column13]]="","",Table1[[#This Row],[Column13]])&amp;IF(Table1[[#This Row],[mod]]="","",Table1[[#This Row],[mod]])</f>
        <v>field__radio</v>
      </c>
      <c r="K9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3" t="s">
        <v>3099</v>
      </c>
      <c r="M933" t="s">
        <v>1966</v>
      </c>
      <c r="P933" s="6" t="s">
        <v>1720</v>
      </c>
      <c r="Q9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3" s="29"/>
      <c r="AC933" s="25"/>
      <c r="AD933" s="41"/>
      <c r="AE933" s="41"/>
      <c r="AF933" s="11" t="s">
        <v>203</v>
      </c>
      <c r="AH933" s="1" t="str">
        <f>Table1[[#This Row],[html_tag]]&amp;Table1[[#This Row],[html_type]]&amp;Table1[[#This Row],[html_modifier]]</f>
        <v/>
      </c>
      <c r="AJ933" s="3"/>
      <c r="AL933" s="22" t="str">
        <f>IFERROR(_xlfn.XLOOKUP(Table1[[#This Row],[word]],Table57[English style name],Table57[Style type]),"")</f>
        <v/>
      </c>
      <c r="AM933" s="20"/>
      <c r="AN933" s="11"/>
      <c r="AQ933" s="6" t="s">
        <v>1720</v>
      </c>
      <c r="AR933" t="s">
        <v>1718</v>
      </c>
    </row>
    <row r="934" spans="5:44">
      <c r="E934" s="76"/>
      <c r="F9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4" s="13" t="s">
        <v>337</v>
      </c>
      <c r="H934" s="13" t="s">
        <v>2987</v>
      </c>
      <c r="I934" s="12" t="str">
        <f>Table1[[#This Row],[type]]</f>
        <v>field</v>
      </c>
      <c r="J934" s="62" t="str">
        <f>Table1[[#This Row],[Column42]]&amp;IF(Table1[[#This Row],[Column13]]="","",Table1[[#This Row],[Column13]])&amp;IF(Table1[[#This Row],[mod]]="","",Table1[[#This Row],[mod]])</f>
        <v>field__radio</v>
      </c>
      <c r="K9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4" t="s">
        <v>3099</v>
      </c>
      <c r="M934" t="s">
        <v>1966</v>
      </c>
      <c r="P934" s="6" t="s">
        <v>1722</v>
      </c>
      <c r="Q9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4" s="29"/>
      <c r="AC934" s="25"/>
      <c r="AD934" s="41"/>
      <c r="AE934" s="41"/>
      <c r="AF934" s="11" t="s">
        <v>203</v>
      </c>
      <c r="AH934" s="1" t="str">
        <f>Table1[[#This Row],[html_tag]]&amp;Table1[[#This Row],[html_type]]&amp;Table1[[#This Row],[html_modifier]]</f>
        <v/>
      </c>
      <c r="AJ934" s="3"/>
      <c r="AL934" s="22" t="str">
        <f>IFERROR(_xlfn.XLOOKUP(Table1[[#This Row],[word]],Table57[English style name],Table57[Style type]),"")</f>
        <v/>
      </c>
      <c r="AM934" s="20"/>
      <c r="AN934" s="11"/>
      <c r="AQ934" s="6" t="s">
        <v>1722</v>
      </c>
      <c r="AR934" t="s">
        <v>1718</v>
      </c>
    </row>
    <row r="935" spans="5:44">
      <c r="E935" s="76"/>
      <c r="F9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5" s="13" t="s">
        <v>337</v>
      </c>
      <c r="H935" s="13" t="s">
        <v>2987</v>
      </c>
      <c r="I935" s="12" t="str">
        <f>Table1[[#This Row],[type]]</f>
        <v>field</v>
      </c>
      <c r="J935" s="62" t="str">
        <f>Table1[[#This Row],[Column42]]&amp;IF(Table1[[#This Row],[Column13]]="","",Table1[[#This Row],[Column13]])&amp;IF(Table1[[#This Row],[mod]]="","",Table1[[#This Row],[mod]])</f>
        <v>field__radio</v>
      </c>
      <c r="K9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5" t="s">
        <v>3099</v>
      </c>
      <c r="M935" t="s">
        <v>1966</v>
      </c>
      <c r="P935" s="6" t="s">
        <v>1723</v>
      </c>
      <c r="Q9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5" s="29"/>
      <c r="AC935" s="25"/>
      <c r="AD935" s="41"/>
      <c r="AE935" s="41"/>
      <c r="AF935" s="11" t="s">
        <v>203</v>
      </c>
      <c r="AH935" s="1" t="str">
        <f>Table1[[#This Row],[html_tag]]&amp;Table1[[#This Row],[html_type]]&amp;Table1[[#This Row],[html_modifier]]</f>
        <v/>
      </c>
      <c r="AJ935" s="3"/>
      <c r="AL935" s="22" t="str">
        <f>IFERROR(_xlfn.XLOOKUP(Table1[[#This Row],[word]],Table57[English style name],Table57[Style type]),"")</f>
        <v/>
      </c>
      <c r="AM935" s="20"/>
      <c r="AN935" s="11"/>
      <c r="AQ935" s="6" t="s">
        <v>1723</v>
      </c>
      <c r="AR935" t="s">
        <v>1718</v>
      </c>
    </row>
    <row r="936" spans="5:44">
      <c r="E936" s="76"/>
      <c r="F9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6" s="13" t="s">
        <v>337</v>
      </c>
      <c r="H936" s="13" t="s">
        <v>2987</v>
      </c>
      <c r="I936" s="12" t="str">
        <f>Table1[[#This Row],[type]]</f>
        <v>field</v>
      </c>
      <c r="J936" s="62" t="str">
        <f>Table1[[#This Row],[Column42]]&amp;IF(Table1[[#This Row],[Column13]]="","",Table1[[#This Row],[Column13]])&amp;IF(Table1[[#This Row],[mod]]="","",Table1[[#This Row],[mod]])</f>
        <v>field__radio</v>
      </c>
      <c r="K9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6" t="s">
        <v>3099</v>
      </c>
      <c r="M936" t="s">
        <v>1966</v>
      </c>
      <c r="P936" s="6" t="s">
        <v>1724</v>
      </c>
      <c r="Q9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6" s="29"/>
      <c r="AC936" s="25"/>
      <c r="AD936" s="41"/>
      <c r="AE936" s="41"/>
      <c r="AF936" s="11" t="s">
        <v>203</v>
      </c>
      <c r="AH936" s="1" t="str">
        <f>Table1[[#This Row],[html_tag]]&amp;Table1[[#This Row],[html_type]]&amp;Table1[[#This Row],[html_modifier]]</f>
        <v/>
      </c>
      <c r="AJ936" s="3"/>
      <c r="AL936" s="22" t="str">
        <f>IFERROR(_xlfn.XLOOKUP(Table1[[#This Row],[word]],Table57[English style name],Table57[Style type]),"")</f>
        <v/>
      </c>
      <c r="AM936" s="20"/>
      <c r="AN936" s="11"/>
      <c r="AQ936" s="6" t="s">
        <v>1724</v>
      </c>
      <c r="AR936" t="s">
        <v>1718</v>
      </c>
    </row>
    <row r="937" spans="5:44">
      <c r="E937" s="76"/>
      <c r="F9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7" s="13" t="s">
        <v>337</v>
      </c>
      <c r="H937" s="13" t="s">
        <v>2987</v>
      </c>
      <c r="I937" s="12" t="str">
        <f>Table1[[#This Row],[type]]</f>
        <v>field</v>
      </c>
      <c r="J937" s="62" t="str">
        <f>Table1[[#This Row],[Column42]]&amp;IF(Table1[[#This Row],[Column13]]="","",Table1[[#This Row],[Column13]])&amp;IF(Table1[[#This Row],[mod]]="","",Table1[[#This Row],[mod]])</f>
        <v>field__radio</v>
      </c>
      <c r="K9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7" t="s">
        <v>3099</v>
      </c>
      <c r="M937" t="s">
        <v>1966</v>
      </c>
      <c r="P937" s="6" t="s">
        <v>1725</v>
      </c>
      <c r="Q9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7" s="29"/>
      <c r="AC937" s="25"/>
      <c r="AD937" s="41"/>
      <c r="AE937" s="41"/>
      <c r="AF937" s="11" t="s">
        <v>203</v>
      </c>
      <c r="AH937" s="1" t="str">
        <f>Table1[[#This Row],[html_tag]]&amp;Table1[[#This Row],[html_type]]&amp;Table1[[#This Row],[html_modifier]]</f>
        <v/>
      </c>
      <c r="AJ937" s="3"/>
      <c r="AL937" s="22" t="str">
        <f>IFERROR(_xlfn.XLOOKUP(Table1[[#This Row],[word]],Table57[English style name],Table57[Style type]),"")</f>
        <v/>
      </c>
      <c r="AM937" s="20"/>
      <c r="AN937" s="11"/>
      <c r="AQ937" s="6" t="s">
        <v>1725</v>
      </c>
      <c r="AR937" t="s">
        <v>1718</v>
      </c>
    </row>
    <row r="938" spans="5:44">
      <c r="E938" s="76"/>
      <c r="F9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8" s="13" t="s">
        <v>337</v>
      </c>
      <c r="H938" s="13" t="s">
        <v>2987</v>
      </c>
      <c r="I938" s="12" t="str">
        <f>Table1[[#This Row],[type]]</f>
        <v>field</v>
      </c>
      <c r="J938" s="62" t="str">
        <f>Table1[[#This Row],[Column42]]&amp;IF(Table1[[#This Row],[Column13]]="","",Table1[[#This Row],[Column13]])&amp;IF(Table1[[#This Row],[mod]]="","",Table1[[#This Row],[mod]])</f>
        <v>field__radio</v>
      </c>
      <c r="K9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8" t="s">
        <v>3099</v>
      </c>
      <c r="M938" t="s">
        <v>1966</v>
      </c>
      <c r="P938" s="6" t="s">
        <v>1726</v>
      </c>
      <c r="Q9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8" s="29"/>
      <c r="AC938" s="25"/>
      <c r="AD938" s="41"/>
      <c r="AE938" s="41"/>
      <c r="AF938" s="11" t="s">
        <v>203</v>
      </c>
      <c r="AH938" s="1" t="str">
        <f>Table1[[#This Row],[html_tag]]&amp;Table1[[#This Row],[html_type]]&amp;Table1[[#This Row],[html_modifier]]</f>
        <v/>
      </c>
      <c r="AJ938" s="3"/>
      <c r="AL938" s="22" t="str">
        <f>IFERROR(_xlfn.XLOOKUP(Table1[[#This Row],[word]],Table57[English style name],Table57[Style type]),"")</f>
        <v/>
      </c>
      <c r="AM938" s="20"/>
      <c r="AN938" s="11"/>
      <c r="AQ938" s="6" t="s">
        <v>1726</v>
      </c>
      <c r="AR938" t="s">
        <v>1718</v>
      </c>
    </row>
    <row r="939" spans="5:44">
      <c r="E939" s="76"/>
      <c r="F9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9" s="13" t="s">
        <v>337</v>
      </c>
      <c r="H939" s="13" t="s">
        <v>2987</v>
      </c>
      <c r="I939" s="12" t="str">
        <f>Table1[[#This Row],[type]]</f>
        <v>field</v>
      </c>
      <c r="J939" s="62" t="str">
        <f>Table1[[#This Row],[Column42]]&amp;IF(Table1[[#This Row],[Column13]]="","",Table1[[#This Row],[Column13]])&amp;IF(Table1[[#This Row],[mod]]="","",Table1[[#This Row],[mod]])</f>
        <v>field__radio</v>
      </c>
      <c r="K9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9" t="s">
        <v>3099</v>
      </c>
      <c r="M939" t="s">
        <v>1966</v>
      </c>
      <c r="P939" s="6" t="s">
        <v>1728</v>
      </c>
      <c r="Q9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9" s="29"/>
      <c r="AC939" s="25"/>
      <c r="AD939" s="41"/>
      <c r="AE939" s="41"/>
      <c r="AF939" s="11" t="s">
        <v>203</v>
      </c>
      <c r="AH939" s="1" t="str">
        <f>Table1[[#This Row],[html_tag]]&amp;Table1[[#This Row],[html_type]]&amp;Table1[[#This Row],[html_modifier]]</f>
        <v/>
      </c>
      <c r="AJ939" s="3"/>
      <c r="AL939" s="22" t="str">
        <f>IFERROR(_xlfn.XLOOKUP(Table1[[#This Row],[word]],Table57[English style name],Table57[Style type]),"")</f>
        <v/>
      </c>
      <c r="AM939" s="20"/>
      <c r="AN939" s="11"/>
      <c r="AQ939" s="6" t="s">
        <v>1728</v>
      </c>
      <c r="AR939" t="s">
        <v>1718</v>
      </c>
    </row>
    <row r="940" spans="5:44">
      <c r="E940" s="76"/>
      <c r="F9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0" s="13" t="s">
        <v>337</v>
      </c>
      <c r="H940" s="13" t="s">
        <v>2987</v>
      </c>
      <c r="I940" s="12" t="str">
        <f>Table1[[#This Row],[type]]</f>
        <v>field</v>
      </c>
      <c r="J940" s="62" t="str">
        <f>Table1[[#This Row],[Column42]]&amp;IF(Table1[[#This Row],[Column13]]="","",Table1[[#This Row],[Column13]])&amp;IF(Table1[[#This Row],[mod]]="","",Table1[[#This Row],[mod]])</f>
        <v>field__radio</v>
      </c>
      <c r="K9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0" t="s">
        <v>3099</v>
      </c>
      <c r="M940" t="s">
        <v>1966</v>
      </c>
      <c r="P940" s="6" t="s">
        <v>1729</v>
      </c>
      <c r="Q9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0" s="29"/>
      <c r="AC940" s="25"/>
      <c r="AD940" s="41"/>
      <c r="AE940" s="41"/>
      <c r="AF940" s="11" t="s">
        <v>203</v>
      </c>
      <c r="AH940" s="1" t="str">
        <f>Table1[[#This Row],[html_tag]]&amp;Table1[[#This Row],[html_type]]&amp;Table1[[#This Row],[html_modifier]]</f>
        <v/>
      </c>
      <c r="AJ940" s="3"/>
      <c r="AL940" s="22" t="str">
        <f>IFERROR(_xlfn.XLOOKUP(Table1[[#This Row],[word]],Table57[English style name],Table57[Style type]),"")</f>
        <v/>
      </c>
      <c r="AM940" s="20"/>
      <c r="AN940" s="11"/>
      <c r="AQ940" s="6" t="s">
        <v>1729</v>
      </c>
      <c r="AR940" t="s">
        <v>1718</v>
      </c>
    </row>
    <row r="941" spans="5:44">
      <c r="E941" s="76"/>
      <c r="F9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1" s="13" t="s">
        <v>337</v>
      </c>
      <c r="H941" s="13" t="s">
        <v>2987</v>
      </c>
      <c r="I941" s="12" t="str">
        <f>Table1[[#This Row],[type]]</f>
        <v>field</v>
      </c>
      <c r="J941" s="62" t="str">
        <f>Table1[[#This Row],[Column42]]&amp;IF(Table1[[#This Row],[Column13]]="","",Table1[[#This Row],[Column13]])&amp;IF(Table1[[#This Row],[mod]]="","",Table1[[#This Row],[mod]])</f>
        <v>field__radio</v>
      </c>
      <c r="K9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1" t="s">
        <v>3099</v>
      </c>
      <c r="M941" t="s">
        <v>1966</v>
      </c>
      <c r="P941" s="6" t="s">
        <v>1730</v>
      </c>
      <c r="Q9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1" s="29"/>
      <c r="AC941" s="25"/>
      <c r="AD941" s="41"/>
      <c r="AE941" s="41"/>
      <c r="AF941" s="11" t="s">
        <v>203</v>
      </c>
      <c r="AH941" s="1" t="str">
        <f>Table1[[#This Row],[html_tag]]&amp;Table1[[#This Row],[html_type]]&amp;Table1[[#This Row],[html_modifier]]</f>
        <v/>
      </c>
      <c r="AJ941" s="3"/>
      <c r="AL941" s="22" t="str">
        <f>IFERROR(_xlfn.XLOOKUP(Table1[[#This Row],[word]],Table57[English style name],Table57[Style type]),"")</f>
        <v/>
      </c>
      <c r="AM941" s="20"/>
      <c r="AN941" s="11"/>
      <c r="AQ941" s="6" t="s">
        <v>1730</v>
      </c>
      <c r="AR941" t="s">
        <v>1718</v>
      </c>
    </row>
    <row r="942" spans="5:44">
      <c r="E942" s="76"/>
      <c r="F9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2" s="13" t="s">
        <v>337</v>
      </c>
      <c r="H942" s="13" t="s">
        <v>2987</v>
      </c>
      <c r="I942" s="12" t="str">
        <f>Table1[[#This Row],[type]]</f>
        <v>field</v>
      </c>
      <c r="J942" s="62" t="str">
        <f>Table1[[#This Row],[Column42]]&amp;IF(Table1[[#This Row],[Column13]]="","",Table1[[#This Row],[Column13]])&amp;IF(Table1[[#This Row],[mod]]="","",Table1[[#This Row],[mod]])</f>
        <v>field__radio</v>
      </c>
      <c r="K9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2" t="s">
        <v>3099</v>
      </c>
      <c r="M942" t="s">
        <v>1966</v>
      </c>
      <c r="P942" s="6" t="s">
        <v>1732</v>
      </c>
      <c r="Q9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2" s="29"/>
      <c r="AC942" s="25"/>
      <c r="AD942" s="41"/>
      <c r="AE942" s="41"/>
      <c r="AF942" s="11" t="s">
        <v>203</v>
      </c>
      <c r="AH942" s="1" t="str">
        <f>Table1[[#This Row],[html_tag]]&amp;Table1[[#This Row],[html_type]]&amp;Table1[[#This Row],[html_modifier]]</f>
        <v/>
      </c>
      <c r="AJ942" s="3"/>
      <c r="AL942" s="22" t="str">
        <f>IFERROR(_xlfn.XLOOKUP(Table1[[#This Row],[word]],Table57[English style name],Table57[Style type]),"")</f>
        <v/>
      </c>
      <c r="AM942" s="20"/>
      <c r="AN942" s="11"/>
      <c r="AQ942" s="6" t="s">
        <v>1732</v>
      </c>
      <c r="AR942" t="s">
        <v>1718</v>
      </c>
    </row>
    <row r="943" spans="5:44">
      <c r="E943" s="76"/>
      <c r="F9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3" s="13" t="s">
        <v>337</v>
      </c>
      <c r="H943" s="13" t="s">
        <v>2987</v>
      </c>
      <c r="I943" s="12" t="str">
        <f>Table1[[#This Row],[type]]</f>
        <v>field</v>
      </c>
      <c r="J943" s="62" t="str">
        <f>Table1[[#This Row],[Column42]]&amp;IF(Table1[[#This Row],[Column13]]="","",Table1[[#This Row],[Column13]])&amp;IF(Table1[[#This Row],[mod]]="","",Table1[[#This Row],[mod]])</f>
        <v>field__radio</v>
      </c>
      <c r="K9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3" t="s">
        <v>3099</v>
      </c>
      <c r="M943" t="s">
        <v>1966</v>
      </c>
      <c r="P943" s="6" t="s">
        <v>1734</v>
      </c>
      <c r="Q9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3" s="29"/>
      <c r="AC943" s="25"/>
      <c r="AD943" s="41"/>
      <c r="AE943" s="41"/>
      <c r="AF943" s="11" t="s">
        <v>203</v>
      </c>
      <c r="AH943" s="1" t="str">
        <f>Table1[[#This Row],[html_tag]]&amp;Table1[[#This Row],[html_type]]&amp;Table1[[#This Row],[html_modifier]]</f>
        <v/>
      </c>
      <c r="AJ943" s="3"/>
      <c r="AL943" s="22" t="str">
        <f>IFERROR(_xlfn.XLOOKUP(Table1[[#This Row],[word]],Table57[English style name],Table57[Style type]),"")</f>
        <v/>
      </c>
      <c r="AM943" s="20"/>
      <c r="AN943" s="11"/>
      <c r="AQ943" s="6" t="s">
        <v>1734</v>
      </c>
      <c r="AR943" t="s">
        <v>1718</v>
      </c>
    </row>
    <row r="944" spans="5:44">
      <c r="E944" s="76"/>
      <c r="F9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4" s="13" t="s">
        <v>337</v>
      </c>
      <c r="H944" s="13" t="s">
        <v>2987</v>
      </c>
      <c r="I944" s="12" t="str">
        <f>Table1[[#This Row],[type]]</f>
        <v>field</v>
      </c>
      <c r="J944" s="62" t="str">
        <f>Table1[[#This Row],[Column42]]&amp;IF(Table1[[#This Row],[Column13]]="","",Table1[[#This Row],[Column13]])&amp;IF(Table1[[#This Row],[mod]]="","",Table1[[#This Row],[mod]])</f>
        <v>field__radio</v>
      </c>
      <c r="K9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4" t="s">
        <v>3099</v>
      </c>
      <c r="M944" t="s">
        <v>1966</v>
      </c>
      <c r="P944" s="6" t="s">
        <v>1735</v>
      </c>
      <c r="Q9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4" s="29"/>
      <c r="AC944" s="25"/>
      <c r="AD944" s="41"/>
      <c r="AE944" s="41"/>
      <c r="AF944" s="11" t="s">
        <v>203</v>
      </c>
      <c r="AH944" s="1" t="str">
        <f>Table1[[#This Row],[html_tag]]&amp;Table1[[#This Row],[html_type]]&amp;Table1[[#This Row],[html_modifier]]</f>
        <v/>
      </c>
      <c r="AJ944" s="3"/>
      <c r="AL944" s="22" t="str">
        <f>IFERROR(_xlfn.XLOOKUP(Table1[[#This Row],[word]],Table57[English style name],Table57[Style type]),"")</f>
        <v/>
      </c>
      <c r="AM944" s="20"/>
      <c r="AN944" s="11"/>
      <c r="AQ944" s="6" t="s">
        <v>1735</v>
      </c>
      <c r="AR944" t="s">
        <v>1718</v>
      </c>
    </row>
    <row r="945" spans="5:44">
      <c r="E945" s="76"/>
      <c r="F9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5" s="13" t="s">
        <v>337</v>
      </c>
      <c r="H945" s="13" t="s">
        <v>2986</v>
      </c>
      <c r="I945" s="12" t="str">
        <f>Table1[[#This Row],[type]]</f>
        <v>field</v>
      </c>
      <c r="J945" s="62" t="str">
        <f>Table1[[#This Row],[Column42]]&amp;IF(Table1[[#This Row],[Column13]]="","",Table1[[#This Row],[Column13]])&amp;IF(Table1[[#This Row],[mod]]="","",Table1[[#This Row],[mod]])</f>
        <v>field__radio</v>
      </c>
      <c r="K9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5" t="s">
        <v>3099</v>
      </c>
      <c r="M945" t="s">
        <v>1966</v>
      </c>
      <c r="P945" s="6" t="s">
        <v>1964</v>
      </c>
      <c r="Q9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5" s="29"/>
      <c r="AC945" s="25"/>
      <c r="AD945" s="41"/>
      <c r="AE945" s="41"/>
      <c r="AF945" s="11" t="s">
        <v>203</v>
      </c>
      <c r="AH945" s="1" t="str">
        <f>Table1[[#This Row],[html_tag]]&amp;Table1[[#This Row],[html_type]]&amp;Table1[[#This Row],[html_modifier]]</f>
        <v/>
      </c>
      <c r="AL945" s="22" t="str">
        <f>IFERROR(_xlfn.XLOOKUP(Table1[[#This Row],[word]],Table57[English style name],Table57[Style type]),"")</f>
        <v/>
      </c>
      <c r="AM945" s="20"/>
      <c r="AN945" s="11"/>
      <c r="AQ945" s="6" t="s">
        <v>1964</v>
      </c>
      <c r="AR945" t="s">
        <v>1965</v>
      </c>
    </row>
    <row r="946" spans="5:44">
      <c r="E946" s="76"/>
      <c r="F9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6" s="13" t="s">
        <v>337</v>
      </c>
      <c r="H946" s="13" t="s">
        <v>2986</v>
      </c>
      <c r="I946" s="12" t="str">
        <f>Table1[[#This Row],[type]]</f>
        <v>field</v>
      </c>
      <c r="J946" s="62" t="str">
        <f>Table1[[#This Row],[Column42]]&amp;IF(Table1[[#This Row],[Column13]]="","",Table1[[#This Row],[Column13]])&amp;IF(Table1[[#This Row],[mod]]="","",Table1[[#This Row],[mod]])</f>
        <v>field__radio</v>
      </c>
      <c r="K9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6" t="s">
        <v>3099</v>
      </c>
      <c r="M946" t="s">
        <v>1966</v>
      </c>
      <c r="P946" s="6" t="s">
        <v>1932</v>
      </c>
      <c r="Q9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6" s="29"/>
      <c r="AC946" s="25"/>
      <c r="AD946" s="41"/>
      <c r="AE946" s="41"/>
      <c r="AF946" s="11" t="s">
        <v>203</v>
      </c>
      <c r="AH946" s="1" t="str">
        <f>Table1[[#This Row],[html_tag]]&amp;Table1[[#This Row],[html_type]]&amp;Table1[[#This Row],[html_modifier]]</f>
        <v/>
      </c>
      <c r="AJ946" s="3"/>
      <c r="AL946" s="22" t="str">
        <f>IFERROR(_xlfn.XLOOKUP(Table1[[#This Row],[word]],Table57[English style name],Table57[Style type]),"")</f>
        <v/>
      </c>
      <c r="AM946" s="20"/>
      <c r="AN946" s="11"/>
      <c r="AQ946" s="6" t="s">
        <v>1932</v>
      </c>
      <c r="AR946" t="s">
        <v>1910</v>
      </c>
    </row>
    <row r="947" spans="5:44">
      <c r="E947" s="76"/>
      <c r="F9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7" s="13" t="s">
        <v>337</v>
      </c>
      <c r="H947" s="13" t="s">
        <v>2986</v>
      </c>
      <c r="I947" s="12" t="str">
        <f>Table1[[#This Row],[type]]</f>
        <v>field</v>
      </c>
      <c r="J947" s="62" t="str">
        <f>Table1[[#This Row],[Column42]]&amp;IF(Table1[[#This Row],[Column13]]="","",Table1[[#This Row],[Column13]])&amp;IF(Table1[[#This Row],[mod]]="","",Table1[[#This Row],[mod]])</f>
        <v>field__radio</v>
      </c>
      <c r="K9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7" t="s">
        <v>3099</v>
      </c>
      <c r="M947" t="s">
        <v>1966</v>
      </c>
      <c r="P947" s="6" t="s">
        <v>1966</v>
      </c>
      <c r="Q9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7" s="29" t="s">
        <v>3876</v>
      </c>
      <c r="AC947" s="25" t="s">
        <v>3880</v>
      </c>
      <c r="AD947" s="41" t="s">
        <v>3876</v>
      </c>
      <c r="AE947" s="41"/>
      <c r="AF947" s="11" t="s">
        <v>203</v>
      </c>
      <c r="AH947" s="1" t="str">
        <f>Table1[[#This Row],[html_tag]]&amp;Table1[[#This Row],[html_type]]&amp;Table1[[#This Row],[html_modifier]]</f>
        <v>&lt;input&gt;radio</v>
      </c>
      <c r="AI947" t="s">
        <v>203</v>
      </c>
      <c r="AJ947" s="3" t="s">
        <v>1966</v>
      </c>
      <c r="AL947" s="22" t="str">
        <f>IFERROR(_xlfn.XLOOKUP(Table1[[#This Row],[word]],Table57[English style name],Table57[Style type]),"")</f>
        <v/>
      </c>
      <c r="AM947" s="20"/>
      <c r="AN947" s="11"/>
      <c r="AQ947" s="6" t="s">
        <v>1966</v>
      </c>
      <c r="AR947" t="s">
        <v>1965</v>
      </c>
    </row>
    <row r="948" spans="5:44">
      <c r="E948" s="76"/>
      <c r="F9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8" s="13" t="s">
        <v>337</v>
      </c>
      <c r="H948" s="13" t="s">
        <v>2987</v>
      </c>
      <c r="I948" s="12" t="str">
        <f>Table1[[#This Row],[type]]</f>
        <v>field</v>
      </c>
      <c r="J948" s="62" t="str">
        <f>Table1[[#This Row],[Column42]]&amp;IF(Table1[[#This Row],[Column13]]="","",Table1[[#This Row],[Column13]])&amp;IF(Table1[[#This Row],[mod]]="","",Table1[[#This Row],[mod]])</f>
        <v>field__radio__right</v>
      </c>
      <c r="K9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field__radio__right</v>
      </c>
      <c r="L948" t="s">
        <v>3099</v>
      </c>
      <c r="M948" t="s">
        <v>1966</v>
      </c>
      <c r="N948" t="s">
        <v>617</v>
      </c>
      <c r="P948" s="6" t="s">
        <v>1731</v>
      </c>
      <c r="Q9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8" s="29"/>
      <c r="AC948" s="25"/>
      <c r="AD948" s="41"/>
      <c r="AE948" s="41"/>
      <c r="AF948" s="11" t="s">
        <v>203</v>
      </c>
      <c r="AH948" s="1" t="str">
        <f>Table1[[#This Row],[html_tag]]&amp;Table1[[#This Row],[html_type]]&amp;Table1[[#This Row],[html_modifier]]</f>
        <v/>
      </c>
      <c r="AJ948" s="3"/>
      <c r="AL948" s="22" t="str">
        <f>IFERROR(_xlfn.XLOOKUP(Table1[[#This Row],[word]],Table57[English style name],Table57[Style type]),"")</f>
        <v/>
      </c>
      <c r="AM948" s="20"/>
      <c r="AN948" s="11"/>
      <c r="AQ948" s="6" t="s">
        <v>1731</v>
      </c>
      <c r="AR948" t="s">
        <v>1718</v>
      </c>
    </row>
    <row r="949" spans="5:44">
      <c r="E949" s="76"/>
      <c r="F9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9" s="13" t="s">
        <v>337</v>
      </c>
      <c r="H949" s="13" t="s">
        <v>2987</v>
      </c>
      <c r="I949" s="12" t="str">
        <f>Table1[[#This Row],[type]]</f>
        <v>field</v>
      </c>
      <c r="J949" s="62" t="str">
        <f>Table1[[#This Row],[Column42]]&amp;IF(Table1[[#This Row],[Column13]]="","",Table1[[#This Row],[Column13]])&amp;IF(Table1[[#This Row],[mod]]="","",Table1[[#This Row],[mod]])</f>
        <v>field__radio__top</v>
      </c>
      <c r="K9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field__radio__top</v>
      </c>
      <c r="L949" t="s">
        <v>3099</v>
      </c>
      <c r="M949" t="s">
        <v>1966</v>
      </c>
      <c r="N949" t="s">
        <v>3182</v>
      </c>
      <c r="P949" s="6" t="s">
        <v>1727</v>
      </c>
      <c r="Q9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9" s="29"/>
      <c r="AC949" s="25"/>
      <c r="AD949" s="41"/>
      <c r="AE949" s="41"/>
      <c r="AF949" s="11" t="s">
        <v>203</v>
      </c>
      <c r="AH949" s="1" t="str">
        <f>Table1[[#This Row],[html_tag]]&amp;Table1[[#This Row],[html_type]]&amp;Table1[[#This Row],[html_modifier]]</f>
        <v/>
      </c>
      <c r="AJ949" s="3"/>
      <c r="AL949" s="22" t="str">
        <f>IFERROR(_xlfn.XLOOKUP(Table1[[#This Row],[word]],Table57[English style name],Table57[Style type]),"")</f>
        <v/>
      </c>
      <c r="AM949" s="20"/>
      <c r="AN949" s="11"/>
      <c r="AQ949" s="6" t="s">
        <v>1727</v>
      </c>
      <c r="AR949" t="s">
        <v>1718</v>
      </c>
    </row>
    <row r="950" spans="5:44">
      <c r="E950" s="76"/>
      <c r="F9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0" s="13"/>
      <c r="H950" s="13"/>
      <c r="I950" s="12" t="str">
        <f>Table1[[#This Row],[type]]</f>
        <v>field</v>
      </c>
      <c r="J950" s="62" t="str">
        <f>Table1[[#This Row],[Column42]]&amp;IF(Table1[[#This Row],[Column13]]="","",Table1[[#This Row],[Column13]])&amp;IF(Table1[[#This Row],[mod]]="","",Table1[[#This Row],[mod]])</f>
        <v>field__radio--accent</v>
      </c>
      <c r="K9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0" t="s">
        <v>3099</v>
      </c>
      <c r="M950" t="s">
        <v>1966</v>
      </c>
      <c r="Q9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950" t="s">
        <v>7394</v>
      </c>
      <c r="AB950" s="29"/>
      <c r="AC950" s="25"/>
      <c r="AD950" s="41" t="s">
        <v>7111</v>
      </c>
      <c r="AE950" s="41"/>
      <c r="AF950" s="11"/>
      <c r="AH950" s="7" t="str">
        <f>Table1[[#This Row],[html_tag]]&amp;Table1[[#This Row],[html_type]]&amp;Table1[[#This Row],[html_modifier]]</f>
        <v/>
      </c>
      <c r="AL950" s="23" t="str">
        <f>IFERROR(_xlfn.XLOOKUP(Table1[[#This Row],[word]],Table57[English style name],Table57[Style type]),"")</f>
        <v/>
      </c>
      <c r="AM950" s="21"/>
      <c r="AN950" s="11"/>
    </row>
    <row r="951" spans="5:44">
      <c r="E951" s="76"/>
      <c r="F9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1" s="13"/>
      <c r="H951" s="13"/>
      <c r="I951" s="12" t="str">
        <f>Table1[[#This Row],[type]]</f>
        <v>field</v>
      </c>
      <c r="J951" s="62" t="str">
        <f>Table1[[#This Row],[Column42]]&amp;IF(Table1[[#This Row],[Column13]]="","",Table1[[#This Row],[Column13]])&amp;IF(Table1[[#This Row],[mod]]="","",Table1[[#This Row],[mod]])</f>
        <v>field__radio--error</v>
      </c>
      <c r="K9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1" t="s">
        <v>3099</v>
      </c>
      <c r="M951" t="s">
        <v>1966</v>
      </c>
      <c r="Q9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951" t="s">
        <v>3117</v>
      </c>
      <c r="AB951" s="29"/>
      <c r="AC951" s="25"/>
      <c r="AD951" s="41" t="s">
        <v>7115</v>
      </c>
      <c r="AE951" s="41"/>
      <c r="AF951" s="11"/>
      <c r="AH951" s="7" t="str">
        <f>Table1[[#This Row],[html_tag]]&amp;Table1[[#This Row],[html_type]]&amp;Table1[[#This Row],[html_modifier]]</f>
        <v/>
      </c>
      <c r="AL951" s="23" t="str">
        <f>IFERROR(_xlfn.XLOOKUP(Table1[[#This Row],[word]],Table57[English style name],Table57[Style type]),"")</f>
        <v/>
      </c>
      <c r="AM951" s="21"/>
      <c r="AN951" s="11"/>
    </row>
    <row r="952" spans="5:44">
      <c r="E952" s="76"/>
      <c r="F9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52" s="13" t="s">
        <v>337</v>
      </c>
      <c r="H952" s="13" t="s">
        <v>2987</v>
      </c>
      <c r="I952" s="12" t="str">
        <f>Table1[[#This Row],[type]]</f>
        <v>field</v>
      </c>
      <c r="J952" s="62" t="str">
        <f>Table1[[#This Row],[Column42]]&amp;IF(Table1[[#This Row],[Column13]]="","",Table1[[#This Row],[Column13]])&amp;IF(Table1[[#This Row],[mod]]="","",Table1[[#This Row],[mod]])</f>
        <v>field__radio--hover</v>
      </c>
      <c r="K9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2" t="s">
        <v>3099</v>
      </c>
      <c r="M952" t="s">
        <v>1966</v>
      </c>
      <c r="P952" s="6" t="s">
        <v>1721</v>
      </c>
      <c r="Q9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952" t="s">
        <v>3019</v>
      </c>
      <c r="AB952" s="29"/>
      <c r="AC952" s="25"/>
      <c r="AD952" s="41"/>
      <c r="AE952" s="41"/>
      <c r="AF952" s="11" t="s">
        <v>203</v>
      </c>
      <c r="AH952" s="1" t="str">
        <f>Table1[[#This Row],[html_tag]]&amp;Table1[[#This Row],[html_type]]&amp;Table1[[#This Row],[html_modifier]]</f>
        <v/>
      </c>
      <c r="AJ952" s="3"/>
      <c r="AL952" s="22" t="str">
        <f>IFERROR(_xlfn.XLOOKUP(Table1[[#This Row],[word]],Table57[English style name],Table57[Style type]),"")</f>
        <v/>
      </c>
      <c r="AM952" s="20"/>
      <c r="AN952" s="11"/>
      <c r="AQ952" s="6" t="s">
        <v>1721</v>
      </c>
      <c r="AR952" t="s">
        <v>1718</v>
      </c>
    </row>
    <row r="953" spans="5:44">
      <c r="E953" s="76"/>
      <c r="F9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3" s="13"/>
      <c r="H953" s="13"/>
      <c r="I953" s="12" t="str">
        <f>Table1[[#This Row],[type]]</f>
        <v>field</v>
      </c>
      <c r="J953" s="62" t="str">
        <f>Table1[[#This Row],[Column42]]&amp;IF(Table1[[#This Row],[Column13]]="","",Table1[[#This Row],[Column13]])&amp;IF(Table1[[#This Row],[mod]]="","",Table1[[#This Row],[mod]])</f>
        <v>field__radio--info</v>
      </c>
      <c r="K9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3" t="s">
        <v>3099</v>
      </c>
      <c r="M953" t="s">
        <v>1966</v>
      </c>
      <c r="Q9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953" t="s">
        <v>3119</v>
      </c>
      <c r="AB953" s="29"/>
      <c r="AC953" s="25"/>
      <c r="AD953" s="41" t="s">
        <v>7114</v>
      </c>
      <c r="AE953" s="41"/>
      <c r="AF953" s="11"/>
      <c r="AH953" s="7" t="str">
        <f>Table1[[#This Row],[html_tag]]&amp;Table1[[#This Row],[html_type]]&amp;Table1[[#This Row],[html_modifier]]</f>
        <v/>
      </c>
      <c r="AL953" s="23" t="str">
        <f>IFERROR(_xlfn.XLOOKUP(Table1[[#This Row],[word]],Table57[English style name],Table57[Style type]),"")</f>
        <v/>
      </c>
      <c r="AM953" s="21"/>
      <c r="AN953" s="11"/>
    </row>
    <row r="954" spans="5:44">
      <c r="E954" s="76"/>
      <c r="F9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4" s="13"/>
      <c r="H954" s="13"/>
      <c r="I954" s="12" t="str">
        <f>Table1[[#This Row],[type]]</f>
        <v>field</v>
      </c>
      <c r="J954" s="62" t="str">
        <f>Table1[[#This Row],[Column42]]&amp;IF(Table1[[#This Row],[Column13]]="","",Table1[[#This Row],[Column13]])&amp;IF(Table1[[#This Row],[mod]]="","",Table1[[#This Row],[mod]])</f>
        <v>field__radio--lg</v>
      </c>
      <c r="K9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4" t="s">
        <v>3099</v>
      </c>
      <c r="M954" t="s">
        <v>1966</v>
      </c>
      <c r="Q9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54" t="s">
        <v>3114</v>
      </c>
      <c r="AB954" s="29"/>
      <c r="AC954" s="25"/>
      <c r="AD954" s="41" t="s">
        <v>7119</v>
      </c>
      <c r="AE954" s="41"/>
      <c r="AF954" s="11"/>
      <c r="AH954" s="7" t="str">
        <f>Table1[[#This Row],[html_tag]]&amp;Table1[[#This Row],[html_type]]&amp;Table1[[#This Row],[html_modifier]]</f>
        <v/>
      </c>
      <c r="AL954" s="23" t="str">
        <f>IFERROR(_xlfn.XLOOKUP(Table1[[#This Row],[word]],Table57[English style name],Table57[Style type]),"")</f>
        <v/>
      </c>
      <c r="AM954" s="21"/>
      <c r="AN954" s="11"/>
    </row>
    <row r="955" spans="5:44">
      <c r="E955" s="76"/>
      <c r="F9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5" s="13"/>
      <c r="H955" s="13"/>
      <c r="I955" s="12" t="str">
        <f>Table1[[#This Row],[type]]</f>
        <v>field</v>
      </c>
      <c r="J955" s="62" t="str">
        <f>Table1[[#This Row],[Column42]]&amp;IF(Table1[[#This Row],[Column13]]="","",Table1[[#This Row],[Column13]])&amp;IF(Table1[[#This Row],[mod]]="","",Table1[[#This Row],[mod]])</f>
        <v>field__radio--md</v>
      </c>
      <c r="K9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5" t="s">
        <v>3099</v>
      </c>
      <c r="M955" t="s">
        <v>1966</v>
      </c>
      <c r="Q9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55" t="s">
        <v>3115</v>
      </c>
      <c r="AB955" s="29"/>
      <c r="AC955" s="25"/>
      <c r="AD955" s="41" t="s">
        <v>7118</v>
      </c>
      <c r="AE955" s="41"/>
      <c r="AF955" s="11"/>
      <c r="AH955" s="7" t="str">
        <f>Table1[[#This Row],[html_tag]]&amp;Table1[[#This Row],[html_type]]&amp;Table1[[#This Row],[html_modifier]]</f>
        <v/>
      </c>
      <c r="AL955" s="23" t="str">
        <f>IFERROR(_xlfn.XLOOKUP(Table1[[#This Row],[word]],Table57[English style name],Table57[Style type]),"")</f>
        <v/>
      </c>
      <c r="AM955" s="21"/>
      <c r="AN955" s="11"/>
    </row>
    <row r="956" spans="5:44">
      <c r="E956" s="76"/>
      <c r="F9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6" s="13"/>
      <c r="H956" s="13"/>
      <c r="I956" s="12" t="str">
        <f>Table1[[#This Row],[type]]</f>
        <v>field</v>
      </c>
      <c r="J956" s="62" t="str">
        <f>Table1[[#This Row],[Column42]]&amp;IF(Table1[[#This Row],[Column13]]="","",Table1[[#This Row],[Column13]])&amp;IF(Table1[[#This Row],[mod]]="","",Table1[[#This Row],[mod]])</f>
        <v>field__radio--neutral</v>
      </c>
      <c r="K9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6" t="s">
        <v>3099</v>
      </c>
      <c r="M956" t="s">
        <v>1966</v>
      </c>
      <c r="Q95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956" t="s">
        <v>7393</v>
      </c>
      <c r="AB956" s="29"/>
      <c r="AC956" s="25"/>
      <c r="AD956" s="41" t="s">
        <v>7108</v>
      </c>
      <c r="AE956" s="41"/>
      <c r="AF956" s="11"/>
      <c r="AH956" s="7" t="str">
        <f>Table1[[#This Row],[html_tag]]&amp;Table1[[#This Row],[html_type]]&amp;Table1[[#This Row],[html_modifier]]</f>
        <v/>
      </c>
      <c r="AL956" s="23" t="str">
        <f>IFERROR(_xlfn.XLOOKUP(Table1[[#This Row],[word]],Table57[English style name],Table57[Style type]),"")</f>
        <v/>
      </c>
      <c r="AM956" s="21"/>
      <c r="AN956" s="11"/>
    </row>
    <row r="957" spans="5:44">
      <c r="E957" s="76"/>
      <c r="F9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7" s="13"/>
      <c r="H957" s="13"/>
      <c r="I957" s="12" t="str">
        <f>Table1[[#This Row],[type]]</f>
        <v>field</v>
      </c>
      <c r="J957" s="62" t="str">
        <f>Table1[[#This Row],[Column42]]&amp;IF(Table1[[#This Row],[Column13]]="","",Table1[[#This Row],[Column13]])&amp;IF(Table1[[#This Row],[mod]]="","",Table1[[#This Row],[mod]])</f>
        <v>field__radio--primary</v>
      </c>
      <c r="K9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7" t="s">
        <v>3099</v>
      </c>
      <c r="M957" t="s">
        <v>1966</v>
      </c>
      <c r="Q9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57" t="s">
        <v>3164</v>
      </c>
      <c r="AB957" s="29"/>
      <c r="AC957" s="25"/>
      <c r="AD957" s="41" t="s">
        <v>7109</v>
      </c>
      <c r="AE957" s="41"/>
      <c r="AF957" s="11"/>
      <c r="AH957" s="7" t="str">
        <f>Table1[[#This Row],[html_tag]]&amp;Table1[[#This Row],[html_type]]&amp;Table1[[#This Row],[html_modifier]]</f>
        <v/>
      </c>
      <c r="AL957" s="23" t="str">
        <f>IFERROR(_xlfn.XLOOKUP(Table1[[#This Row],[word]],Table57[English style name],Table57[Style type]),"")</f>
        <v/>
      </c>
      <c r="AM957" s="21"/>
      <c r="AN957" s="11"/>
    </row>
    <row r="958" spans="5:44">
      <c r="E958" s="76"/>
      <c r="F9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8" s="13"/>
      <c r="H958" s="13"/>
      <c r="I958" s="12" t="str">
        <f>Table1[[#This Row],[type]]</f>
        <v>field</v>
      </c>
      <c r="J958" s="62" t="str">
        <f>Table1[[#This Row],[Column42]]&amp;IF(Table1[[#This Row],[Column13]]="","",Table1[[#This Row],[Column13]])&amp;IF(Table1[[#This Row],[mod]]="","",Table1[[#This Row],[mod]])</f>
        <v>field__radio--secondary</v>
      </c>
      <c r="K9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8" t="s">
        <v>3099</v>
      </c>
      <c r="M958" t="s">
        <v>1966</v>
      </c>
      <c r="Q9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58" t="s">
        <v>3502</v>
      </c>
      <c r="AB958" s="29"/>
      <c r="AC958" s="25"/>
      <c r="AD958" s="41" t="s">
        <v>7110</v>
      </c>
      <c r="AE958" s="41"/>
      <c r="AF958" s="11"/>
      <c r="AH958" s="7" t="str">
        <f>Table1[[#This Row],[html_tag]]&amp;Table1[[#This Row],[html_type]]&amp;Table1[[#This Row],[html_modifier]]</f>
        <v/>
      </c>
      <c r="AL958" s="23" t="str">
        <f>IFERROR(_xlfn.XLOOKUP(Table1[[#This Row],[word]],Table57[English style name],Table57[Style type]),"")</f>
        <v/>
      </c>
      <c r="AM958" s="21"/>
      <c r="AN958" s="11"/>
    </row>
    <row r="959" spans="5:44">
      <c r="E959" s="76"/>
      <c r="F9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9" s="13"/>
      <c r="H959" s="13"/>
      <c r="I959" s="12" t="str">
        <f>Table1[[#This Row],[type]]</f>
        <v>field</v>
      </c>
      <c r="J959" s="62" t="str">
        <f>Table1[[#This Row],[Column42]]&amp;IF(Table1[[#This Row],[Column13]]="","",Table1[[#This Row],[Column13]])&amp;IF(Table1[[#This Row],[mod]]="","",Table1[[#This Row],[mod]])</f>
        <v>field__radio--sm</v>
      </c>
      <c r="K9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9" t="s">
        <v>3099</v>
      </c>
      <c r="M959" t="s">
        <v>1966</v>
      </c>
      <c r="Q95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59" t="s">
        <v>3116</v>
      </c>
      <c r="AB959" s="29"/>
      <c r="AC959" s="25"/>
      <c r="AD959" s="41" t="s">
        <v>7117</v>
      </c>
      <c r="AE959" s="41"/>
      <c r="AF959" s="11"/>
      <c r="AH959" s="7" t="str">
        <f>Table1[[#This Row],[html_tag]]&amp;Table1[[#This Row],[html_type]]&amp;Table1[[#This Row],[html_modifier]]</f>
        <v/>
      </c>
      <c r="AL959" s="23" t="str">
        <f>IFERROR(_xlfn.XLOOKUP(Table1[[#This Row],[word]],Table57[English style name],Table57[Style type]),"")</f>
        <v/>
      </c>
      <c r="AM959" s="21"/>
      <c r="AN959" s="11"/>
    </row>
    <row r="960" spans="5:44">
      <c r="E960" s="76"/>
      <c r="F9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0" s="13"/>
      <c r="H960" s="13"/>
      <c r="I960" s="12" t="str">
        <f>Table1[[#This Row],[type]]</f>
        <v>field</v>
      </c>
      <c r="J960" s="62" t="str">
        <f>Table1[[#This Row],[Column42]]&amp;IF(Table1[[#This Row],[Column13]]="","",Table1[[#This Row],[Column13]])&amp;IF(Table1[[#This Row],[mod]]="","",Table1[[#This Row],[mod]])</f>
        <v>field__radio--success</v>
      </c>
      <c r="K9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60" t="s">
        <v>3099</v>
      </c>
      <c r="M960" t="s">
        <v>1966</v>
      </c>
      <c r="Q96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60" t="s">
        <v>3120</v>
      </c>
      <c r="AB960" s="29"/>
      <c r="AC960" s="25"/>
      <c r="AD960" s="41" t="s">
        <v>7112</v>
      </c>
      <c r="AE960" s="41"/>
      <c r="AF960" s="11"/>
      <c r="AH960" s="7" t="str">
        <f>Table1[[#This Row],[html_tag]]&amp;Table1[[#This Row],[html_type]]&amp;Table1[[#This Row],[html_modifier]]</f>
        <v/>
      </c>
      <c r="AL960" s="23" t="str">
        <f>IFERROR(_xlfn.XLOOKUP(Table1[[#This Row],[word]],Table57[English style name],Table57[Style type]),"")</f>
        <v/>
      </c>
      <c r="AM960" s="21"/>
      <c r="AN960" s="11"/>
    </row>
    <row r="961" spans="5:44">
      <c r="E961" s="76"/>
      <c r="F9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1" s="13"/>
      <c r="H961" s="13"/>
      <c r="I961" s="12" t="str">
        <f>Table1[[#This Row],[type]]</f>
        <v>field</v>
      </c>
      <c r="J961" s="62" t="str">
        <f>Table1[[#This Row],[Column42]]&amp;IF(Table1[[#This Row],[Column13]]="","",Table1[[#This Row],[Column13]])&amp;IF(Table1[[#This Row],[mod]]="","",Table1[[#This Row],[mod]])</f>
        <v>field__radio--warning</v>
      </c>
      <c r="K9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61" t="s">
        <v>3099</v>
      </c>
      <c r="M961" t="s">
        <v>1966</v>
      </c>
      <c r="Q96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961" t="s">
        <v>3121</v>
      </c>
      <c r="AB961" s="29"/>
      <c r="AC961" s="25"/>
      <c r="AD961" s="41" t="s">
        <v>7113</v>
      </c>
      <c r="AE961" s="41"/>
      <c r="AF961" s="11"/>
      <c r="AH961" s="7" t="str">
        <f>Table1[[#This Row],[html_tag]]&amp;Table1[[#This Row],[html_type]]&amp;Table1[[#This Row],[html_modifier]]</f>
        <v/>
      </c>
      <c r="AL961" s="23" t="str">
        <f>IFERROR(_xlfn.XLOOKUP(Table1[[#This Row],[word]],Table57[English style name],Table57[Style type]),"")</f>
        <v/>
      </c>
      <c r="AM961" s="21"/>
      <c r="AN961" s="11"/>
    </row>
    <row r="962" spans="5:44">
      <c r="E962" s="76"/>
      <c r="F9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2" s="13"/>
      <c r="H962" s="13"/>
      <c r="I962" s="12" t="str">
        <f>Table1[[#This Row],[type]]</f>
        <v>field</v>
      </c>
      <c r="J962" s="62" t="str">
        <f>Table1[[#This Row],[Column42]]&amp;IF(Table1[[#This Row],[Column13]]="","",Table1[[#This Row],[Column13]])&amp;IF(Table1[[#This Row],[mod]]="","",Table1[[#This Row],[mod]])</f>
        <v>field__radio--xl</v>
      </c>
      <c r="K9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62" t="s">
        <v>3099</v>
      </c>
      <c r="M962" t="s">
        <v>1966</v>
      </c>
      <c r="Q96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62" t="s">
        <v>3126</v>
      </c>
      <c r="AB962" s="29"/>
      <c r="AC962" s="25"/>
      <c r="AD962" s="41" t="s">
        <v>7120</v>
      </c>
      <c r="AE962" s="41"/>
      <c r="AF962" s="11"/>
      <c r="AH962" s="7" t="str">
        <f>Table1[[#This Row],[html_tag]]&amp;Table1[[#This Row],[html_type]]&amp;Table1[[#This Row],[html_modifier]]</f>
        <v/>
      </c>
      <c r="AL962" s="23" t="str">
        <f>IFERROR(_xlfn.XLOOKUP(Table1[[#This Row],[word]],Table57[English style name],Table57[Style type]),"")</f>
        <v/>
      </c>
      <c r="AM962" s="21"/>
      <c r="AN962" s="11"/>
    </row>
    <row r="963" spans="5:44">
      <c r="E963" s="76"/>
      <c r="F9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3" s="13"/>
      <c r="H963" s="13"/>
      <c r="I963" s="12" t="str">
        <f>Table1[[#This Row],[type]]</f>
        <v>field</v>
      </c>
      <c r="J963" s="62" t="str">
        <f>Table1[[#This Row],[Column42]]&amp;IF(Table1[[#This Row],[Column13]]="","",Table1[[#This Row],[Column13]])&amp;IF(Table1[[#This Row],[mod]]="","",Table1[[#This Row],[mod]])</f>
        <v>field__radio--xs</v>
      </c>
      <c r="K9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63" t="s">
        <v>3099</v>
      </c>
      <c r="M963" t="s">
        <v>1966</v>
      </c>
      <c r="Q96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63" t="s">
        <v>3127</v>
      </c>
      <c r="AB963" s="29"/>
      <c r="AC963" s="25"/>
      <c r="AD963" s="41" t="s">
        <v>7116</v>
      </c>
      <c r="AE963" s="41"/>
      <c r="AF963" s="11"/>
      <c r="AH963" s="7" t="str">
        <f>Table1[[#This Row],[html_tag]]&amp;Table1[[#This Row],[html_type]]&amp;Table1[[#This Row],[html_modifier]]</f>
        <v/>
      </c>
      <c r="AL963" s="23" t="str">
        <f>IFERROR(_xlfn.XLOOKUP(Table1[[#This Row],[word]],Table57[English style name],Table57[Style type]),"")</f>
        <v/>
      </c>
      <c r="AM963" s="21"/>
      <c r="AN963" s="11"/>
    </row>
    <row r="964" spans="5:44">
      <c r="E964" s="76"/>
      <c r="F9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4" s="13" t="s">
        <v>337</v>
      </c>
      <c r="H964" s="13" t="s">
        <v>2986</v>
      </c>
      <c r="I964" s="12" t="str">
        <f>Table1[[#This Row],[type]]</f>
        <v>field</v>
      </c>
      <c r="J964" s="62" t="str">
        <f>Table1[[#This Row],[Column42]]&amp;IF(Table1[[#This Row],[Column13]]="","",Table1[[#This Row],[Column13]])&amp;IF(Table1[[#This Row],[mod]]="","",Table1[[#This Row],[mod]])</f>
        <v>field__range</v>
      </c>
      <c r="K9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4" t="s">
        <v>3099</v>
      </c>
      <c r="M964" t="s">
        <v>3092</v>
      </c>
      <c r="Q9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64" s="29"/>
      <c r="AC964" s="25" t="s">
        <v>3881</v>
      </c>
      <c r="AD964" s="41" t="s">
        <v>7136</v>
      </c>
      <c r="AE964" s="41"/>
      <c r="AF964" s="11" t="s">
        <v>203</v>
      </c>
      <c r="AH964" s="1" t="str">
        <f>Table1[[#This Row],[html_tag]]&amp;Table1[[#This Row],[html_type]]&amp;Table1[[#This Row],[html_modifier]]</f>
        <v>&lt;input&gt;range</v>
      </c>
      <c r="AI964" t="s">
        <v>203</v>
      </c>
      <c r="AJ964" t="s">
        <v>3092</v>
      </c>
      <c r="AL964" s="22" t="str">
        <f>IFERROR(_xlfn.XLOOKUP(Table1[[#This Row],[word]],Table57[English style name],Table57[Style type]),"")</f>
        <v/>
      </c>
      <c r="AM964" s="20"/>
      <c r="AN964" s="11"/>
      <c r="AQ964" s="6" t="s">
        <v>1967</v>
      </c>
      <c r="AR964" t="s">
        <v>1968</v>
      </c>
    </row>
    <row r="965" spans="5:44">
      <c r="E965" s="76"/>
      <c r="F9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5" s="13" t="s">
        <v>337</v>
      </c>
      <c r="H965" s="13" t="s">
        <v>2986</v>
      </c>
      <c r="I965" s="12" t="str">
        <f>Table1[[#This Row],[type]]</f>
        <v>field</v>
      </c>
      <c r="J965" s="62" t="str">
        <f>Table1[[#This Row],[Column42]]&amp;IF(Table1[[#This Row],[Column13]]="","",Table1[[#This Row],[Column13]])&amp;IF(Table1[[#This Row],[mod]]="","",Table1[[#This Row],[mod]])</f>
        <v>field__range--accent</v>
      </c>
      <c r="K9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5" t="s">
        <v>3099</v>
      </c>
      <c r="M965" t="s">
        <v>3092</v>
      </c>
      <c r="Q9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965" t="s">
        <v>7394</v>
      </c>
      <c r="AB965" s="29"/>
      <c r="AC965" s="25"/>
      <c r="AD965" s="41" t="s">
        <v>7140</v>
      </c>
      <c r="AE965" s="41"/>
      <c r="AF965" s="11" t="s">
        <v>203</v>
      </c>
      <c r="AH965" s="7" t="str">
        <f>Table1[[#This Row],[html_tag]]&amp;Table1[[#This Row],[html_type]]&amp;Table1[[#This Row],[html_modifier]]</f>
        <v/>
      </c>
      <c r="AL965" s="23" t="str">
        <f>IFERROR(_xlfn.XLOOKUP(Table1[[#This Row],[word]],Table57[English style name],Table57[Style type]),"")</f>
        <v/>
      </c>
      <c r="AM965" s="21"/>
      <c r="AN965" s="11"/>
    </row>
    <row r="966" spans="5:44">
      <c r="E966" s="76"/>
      <c r="F9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6" s="13" t="s">
        <v>337</v>
      </c>
      <c r="H966" s="13" t="s">
        <v>2986</v>
      </c>
      <c r="I966" s="12" t="str">
        <f>Table1[[#This Row],[type]]</f>
        <v>field</v>
      </c>
      <c r="J966" s="62" t="str">
        <f>Table1[[#This Row],[Column42]]&amp;IF(Table1[[#This Row],[Column13]]="","",Table1[[#This Row],[Column13]])&amp;IF(Table1[[#This Row],[mod]]="","",Table1[[#This Row],[mod]])</f>
        <v>field__range--error</v>
      </c>
      <c r="K9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6" t="s">
        <v>3099</v>
      </c>
      <c r="M966" t="s">
        <v>3092</v>
      </c>
      <c r="Q9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966" t="s">
        <v>3117</v>
      </c>
      <c r="AB966" s="29"/>
      <c r="AC966" s="25"/>
      <c r="AD966" s="41" t="s">
        <v>7144</v>
      </c>
      <c r="AE966" s="41"/>
      <c r="AF966" s="11" t="s">
        <v>203</v>
      </c>
      <c r="AH966" s="7" t="str">
        <f>Table1[[#This Row],[html_tag]]&amp;Table1[[#This Row],[html_type]]&amp;Table1[[#This Row],[html_modifier]]</f>
        <v/>
      </c>
      <c r="AL966" s="23" t="str">
        <f>IFERROR(_xlfn.XLOOKUP(Table1[[#This Row],[word]],Table57[English style name],Table57[Style type]),"")</f>
        <v/>
      </c>
      <c r="AM966" s="21"/>
      <c r="AN966" s="11"/>
    </row>
    <row r="967" spans="5:44">
      <c r="E967" s="76"/>
      <c r="F9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7" s="13" t="s">
        <v>337</v>
      </c>
      <c r="H967" s="13" t="s">
        <v>2986</v>
      </c>
      <c r="I967" s="12" t="str">
        <f>Table1[[#This Row],[type]]</f>
        <v>field</v>
      </c>
      <c r="J967" s="62" t="str">
        <f>Table1[[#This Row],[Column42]]&amp;IF(Table1[[#This Row],[Column13]]="","",Table1[[#This Row],[Column13]])&amp;IF(Table1[[#This Row],[mod]]="","",Table1[[#This Row],[mod]])</f>
        <v>field__range--filled</v>
      </c>
      <c r="K9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7" t="s">
        <v>3099</v>
      </c>
      <c r="M967" t="s">
        <v>3092</v>
      </c>
      <c r="Q9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--filled</v>
      </c>
      <c r="W967" t="s">
        <v>3111</v>
      </c>
      <c r="AB967" s="29"/>
      <c r="AC967" s="25"/>
      <c r="AD967" s="41"/>
      <c r="AE967" s="41"/>
      <c r="AF967" s="11" t="s">
        <v>203</v>
      </c>
      <c r="AH967" s="1" t="str">
        <f>Table1[[#This Row],[html_tag]]&amp;Table1[[#This Row],[html_type]]&amp;Table1[[#This Row],[html_modifier]]</f>
        <v/>
      </c>
      <c r="AJ967" s="3"/>
      <c r="AL967" s="22" t="str">
        <f>IFERROR(_xlfn.XLOOKUP(Table1[[#This Row],[word]],Table57[English style name],Table57[Style type]),"")</f>
        <v/>
      </c>
      <c r="AM967" s="20"/>
      <c r="AN967" s="11"/>
      <c r="AQ967" s="6" t="s">
        <v>1969</v>
      </c>
      <c r="AR967" t="s">
        <v>1968</v>
      </c>
    </row>
    <row r="968" spans="5:44">
      <c r="E968" s="76"/>
      <c r="F9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8" s="13" t="s">
        <v>337</v>
      </c>
      <c r="H968" s="13" t="s">
        <v>2986</v>
      </c>
      <c r="I968" s="12" t="str">
        <f>Table1[[#This Row],[type]]</f>
        <v>field</v>
      </c>
      <c r="J968" s="62" t="str">
        <f>Table1[[#This Row],[Column42]]&amp;IF(Table1[[#This Row],[Column13]]="","",Table1[[#This Row],[Column13]])&amp;IF(Table1[[#This Row],[mod]]="","",Table1[[#This Row],[mod]])</f>
        <v>field__range--info</v>
      </c>
      <c r="K9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8" t="s">
        <v>3099</v>
      </c>
      <c r="M968" t="s">
        <v>3092</v>
      </c>
      <c r="Q9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968" t="s">
        <v>3119</v>
      </c>
      <c r="AB968" s="29"/>
      <c r="AC968" s="25"/>
      <c r="AD968" s="41" t="s">
        <v>7143</v>
      </c>
      <c r="AE968" s="41"/>
      <c r="AF968" s="11" t="s">
        <v>203</v>
      </c>
      <c r="AH968" s="7" t="str">
        <f>Table1[[#This Row],[html_tag]]&amp;Table1[[#This Row],[html_type]]&amp;Table1[[#This Row],[html_modifier]]</f>
        <v/>
      </c>
      <c r="AL968" s="23" t="str">
        <f>IFERROR(_xlfn.XLOOKUP(Table1[[#This Row],[word]],Table57[English style name],Table57[Style type]),"")</f>
        <v/>
      </c>
      <c r="AM968" s="21"/>
      <c r="AN968" s="11"/>
    </row>
    <row r="969" spans="5:44">
      <c r="E969" s="76"/>
      <c r="F9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9" s="13" t="s">
        <v>337</v>
      </c>
      <c r="H969" s="13" t="s">
        <v>2986</v>
      </c>
      <c r="I969" s="12" t="str">
        <f>Table1[[#This Row],[type]]</f>
        <v>field</v>
      </c>
      <c r="J969" s="62" t="str">
        <f>Table1[[#This Row],[Column42]]&amp;IF(Table1[[#This Row],[Column13]]="","",Table1[[#This Row],[Column13]])&amp;IF(Table1[[#This Row],[mod]]="","",Table1[[#This Row],[mod]])</f>
        <v>field__range--lg</v>
      </c>
      <c r="K9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9" t="s">
        <v>3099</v>
      </c>
      <c r="M969" t="s">
        <v>3092</v>
      </c>
      <c r="Q9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69" t="s">
        <v>3114</v>
      </c>
      <c r="AB969" s="29"/>
      <c r="AC969" s="25"/>
      <c r="AD969" s="41" t="s">
        <v>7148</v>
      </c>
      <c r="AE969" s="41"/>
      <c r="AF969" s="11" t="s">
        <v>203</v>
      </c>
      <c r="AH969" s="7" t="str">
        <f>Table1[[#This Row],[html_tag]]&amp;Table1[[#This Row],[html_type]]&amp;Table1[[#This Row],[html_modifier]]</f>
        <v/>
      </c>
      <c r="AL969" s="23" t="str">
        <f>IFERROR(_xlfn.XLOOKUP(Table1[[#This Row],[word]],Table57[English style name],Table57[Style type]),"")</f>
        <v/>
      </c>
      <c r="AM969" s="21"/>
      <c r="AN969" s="11"/>
    </row>
    <row r="970" spans="5:44">
      <c r="E970" s="76"/>
      <c r="F9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0" s="13" t="s">
        <v>337</v>
      </c>
      <c r="H970" s="13" t="s">
        <v>2986</v>
      </c>
      <c r="I970" s="12" t="str">
        <f>Table1[[#This Row],[type]]</f>
        <v>field</v>
      </c>
      <c r="J970" s="62" t="str">
        <f>Table1[[#This Row],[Column42]]&amp;IF(Table1[[#This Row],[Column13]]="","",Table1[[#This Row],[Column13]])&amp;IF(Table1[[#This Row],[mod]]="","",Table1[[#This Row],[mod]])</f>
        <v>field__range--md</v>
      </c>
      <c r="K9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0" t="s">
        <v>3099</v>
      </c>
      <c r="M970" t="s">
        <v>3092</v>
      </c>
      <c r="Q9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70" t="s">
        <v>3115</v>
      </c>
      <c r="AB970" s="29"/>
      <c r="AC970" s="25"/>
      <c r="AD970" s="41" t="s">
        <v>7147</v>
      </c>
      <c r="AE970" s="41"/>
      <c r="AF970" s="11" t="s">
        <v>203</v>
      </c>
      <c r="AH970" s="7" t="str">
        <f>Table1[[#This Row],[html_tag]]&amp;Table1[[#This Row],[html_type]]&amp;Table1[[#This Row],[html_modifier]]</f>
        <v/>
      </c>
      <c r="AL970" s="23" t="str">
        <f>IFERROR(_xlfn.XLOOKUP(Table1[[#This Row],[word]],Table57[English style name],Table57[Style type]),"")</f>
        <v/>
      </c>
      <c r="AM970" s="21"/>
      <c r="AN970" s="11"/>
    </row>
    <row r="971" spans="5:44">
      <c r="E971" s="76"/>
      <c r="F9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1" s="13" t="s">
        <v>337</v>
      </c>
      <c r="H971" s="13" t="s">
        <v>2986</v>
      </c>
      <c r="I971" s="12" t="str">
        <f>Table1[[#This Row],[type]]</f>
        <v>field</v>
      </c>
      <c r="J971" s="62" t="str">
        <f>Table1[[#This Row],[Column42]]&amp;IF(Table1[[#This Row],[Column13]]="","",Table1[[#This Row],[Column13]])&amp;IF(Table1[[#This Row],[mod]]="","",Table1[[#This Row],[mod]])</f>
        <v>field__range--neutral</v>
      </c>
      <c r="K9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1" t="s">
        <v>3099</v>
      </c>
      <c r="M971" t="s">
        <v>3092</v>
      </c>
      <c r="Q9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971" t="s">
        <v>7393</v>
      </c>
      <c r="AB971" s="29"/>
      <c r="AC971" s="25"/>
      <c r="AD971" s="41" t="s">
        <v>7137</v>
      </c>
      <c r="AE971" s="41"/>
      <c r="AF971" s="11" t="s">
        <v>203</v>
      </c>
      <c r="AH971" s="7" t="str">
        <f>Table1[[#This Row],[html_tag]]&amp;Table1[[#This Row],[html_type]]&amp;Table1[[#This Row],[html_modifier]]</f>
        <v/>
      </c>
      <c r="AL971" s="23" t="str">
        <f>IFERROR(_xlfn.XLOOKUP(Table1[[#This Row],[word]],Table57[English style name],Table57[Style type]),"")</f>
        <v/>
      </c>
      <c r="AM971" s="21"/>
      <c r="AN971" s="11"/>
    </row>
    <row r="972" spans="5:44">
      <c r="E972" s="76"/>
      <c r="F9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2" s="13" t="s">
        <v>337</v>
      </c>
      <c r="H972" s="13" t="s">
        <v>2986</v>
      </c>
      <c r="I972" s="12" t="str">
        <f>Table1[[#This Row],[type]]</f>
        <v>field</v>
      </c>
      <c r="J972" s="62" t="str">
        <f>Table1[[#This Row],[Column42]]&amp;IF(Table1[[#This Row],[Column13]]="","",Table1[[#This Row],[Column13]])&amp;IF(Table1[[#This Row],[mod]]="","",Table1[[#This Row],[mod]])</f>
        <v>field__range--primary</v>
      </c>
      <c r="K9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2" t="s">
        <v>3099</v>
      </c>
      <c r="M972" t="s">
        <v>3092</v>
      </c>
      <c r="Q9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72" t="s">
        <v>3164</v>
      </c>
      <c r="AB972" s="29"/>
      <c r="AC972" s="25"/>
      <c r="AD972" s="41" t="s">
        <v>7138</v>
      </c>
      <c r="AE972" s="41"/>
      <c r="AF972" s="11" t="s">
        <v>203</v>
      </c>
      <c r="AH972" s="7" t="str">
        <f>Table1[[#This Row],[html_tag]]&amp;Table1[[#This Row],[html_type]]&amp;Table1[[#This Row],[html_modifier]]</f>
        <v/>
      </c>
      <c r="AL972" s="23" t="str">
        <f>IFERROR(_xlfn.XLOOKUP(Table1[[#This Row],[word]],Table57[English style name],Table57[Style type]),"")</f>
        <v/>
      </c>
      <c r="AM972" s="21"/>
      <c r="AN972" s="11"/>
    </row>
    <row r="973" spans="5:44">
      <c r="E973" s="76"/>
      <c r="F9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3" s="13" t="s">
        <v>337</v>
      </c>
      <c r="H973" s="13" t="s">
        <v>2986</v>
      </c>
      <c r="I973" s="12" t="str">
        <f>Table1[[#This Row],[type]]</f>
        <v>field</v>
      </c>
      <c r="J973" s="62" t="str">
        <f>Table1[[#This Row],[Column42]]&amp;IF(Table1[[#This Row],[Column13]]="","",Table1[[#This Row],[Column13]])&amp;IF(Table1[[#This Row],[mod]]="","",Table1[[#This Row],[mod]])</f>
        <v>field__range--secondary</v>
      </c>
      <c r="K9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3" t="s">
        <v>3099</v>
      </c>
      <c r="M973" t="s">
        <v>3092</v>
      </c>
      <c r="Q9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73" t="s">
        <v>3502</v>
      </c>
      <c r="AB973" s="29"/>
      <c r="AC973" s="25"/>
      <c r="AD973" s="41" t="s">
        <v>7139</v>
      </c>
      <c r="AE973" s="41"/>
      <c r="AF973" s="11" t="s">
        <v>203</v>
      </c>
      <c r="AH973" s="7" t="str">
        <f>Table1[[#This Row],[html_tag]]&amp;Table1[[#This Row],[html_type]]&amp;Table1[[#This Row],[html_modifier]]</f>
        <v/>
      </c>
      <c r="AL973" s="23" t="str">
        <f>IFERROR(_xlfn.XLOOKUP(Table1[[#This Row],[word]],Table57[English style name],Table57[Style type]),"")</f>
        <v/>
      </c>
      <c r="AM973" s="21"/>
      <c r="AN973" s="11"/>
    </row>
    <row r="974" spans="5:44">
      <c r="E974" s="76"/>
      <c r="F9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4" s="13" t="s">
        <v>337</v>
      </c>
      <c r="H974" s="13" t="s">
        <v>2986</v>
      </c>
      <c r="I974" s="12" t="str">
        <f>Table1[[#This Row],[type]]</f>
        <v>field</v>
      </c>
      <c r="J974" s="62" t="str">
        <f>Table1[[#This Row],[Column42]]&amp;IF(Table1[[#This Row],[Column13]]="","",Table1[[#This Row],[Column13]])&amp;IF(Table1[[#This Row],[mod]]="","",Table1[[#This Row],[mod]])</f>
        <v>field__range--sm</v>
      </c>
      <c r="K9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4" t="s">
        <v>3099</v>
      </c>
      <c r="M974" t="s">
        <v>3092</v>
      </c>
      <c r="Q9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74" t="s">
        <v>3116</v>
      </c>
      <c r="AB974" s="29"/>
      <c r="AC974" s="25"/>
      <c r="AD974" s="41" t="s">
        <v>7146</v>
      </c>
      <c r="AE974" s="41"/>
      <c r="AF974" s="11" t="s">
        <v>203</v>
      </c>
      <c r="AH974" s="7" t="str">
        <f>Table1[[#This Row],[html_tag]]&amp;Table1[[#This Row],[html_type]]&amp;Table1[[#This Row],[html_modifier]]</f>
        <v/>
      </c>
      <c r="AL974" s="23" t="str">
        <f>IFERROR(_xlfn.XLOOKUP(Table1[[#This Row],[word]],Table57[English style name],Table57[Style type]),"")</f>
        <v/>
      </c>
      <c r="AM974" s="21"/>
      <c r="AN974" s="11"/>
    </row>
    <row r="975" spans="5:44">
      <c r="E975" s="76"/>
      <c r="F9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5" s="13" t="s">
        <v>337</v>
      </c>
      <c r="H975" s="13" t="s">
        <v>2986</v>
      </c>
      <c r="I975" s="12" t="str">
        <f>Table1[[#This Row],[type]]</f>
        <v>field</v>
      </c>
      <c r="J975" s="62" t="str">
        <f>Table1[[#This Row],[Column42]]&amp;IF(Table1[[#This Row],[Column13]]="","",Table1[[#This Row],[Column13]])&amp;IF(Table1[[#This Row],[mod]]="","",Table1[[#This Row],[mod]])</f>
        <v>field__range--success</v>
      </c>
      <c r="K9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5" t="s">
        <v>3099</v>
      </c>
      <c r="M975" t="s">
        <v>3092</v>
      </c>
      <c r="Q9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75" t="s">
        <v>3120</v>
      </c>
      <c r="AB975" s="29"/>
      <c r="AC975" s="25"/>
      <c r="AD975" s="41" t="s">
        <v>7141</v>
      </c>
      <c r="AE975" s="41"/>
      <c r="AF975" s="11" t="s">
        <v>203</v>
      </c>
      <c r="AH975" s="7" t="str">
        <f>Table1[[#This Row],[html_tag]]&amp;Table1[[#This Row],[html_type]]&amp;Table1[[#This Row],[html_modifier]]</f>
        <v/>
      </c>
      <c r="AL975" s="23" t="str">
        <f>IFERROR(_xlfn.XLOOKUP(Table1[[#This Row],[word]],Table57[English style name],Table57[Style type]),"")</f>
        <v/>
      </c>
      <c r="AM975" s="21"/>
      <c r="AN975" s="11"/>
    </row>
    <row r="976" spans="5:44">
      <c r="E976" s="76"/>
      <c r="F9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6" s="13" t="s">
        <v>337</v>
      </c>
      <c r="H976" s="13" t="s">
        <v>2986</v>
      </c>
      <c r="I976" s="12" t="str">
        <f>Table1[[#This Row],[type]]</f>
        <v>field</v>
      </c>
      <c r="J976" s="62" t="str">
        <f>Table1[[#This Row],[Column42]]&amp;IF(Table1[[#This Row],[Column13]]="","",Table1[[#This Row],[Column13]])&amp;IF(Table1[[#This Row],[mod]]="","",Table1[[#This Row],[mod]])</f>
        <v>field__range--warning</v>
      </c>
      <c r="K9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6" t="s">
        <v>3099</v>
      </c>
      <c r="M976" t="s">
        <v>3092</v>
      </c>
      <c r="Q9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976" t="s">
        <v>3121</v>
      </c>
      <c r="AB976" s="29"/>
      <c r="AC976" s="25"/>
      <c r="AD976" s="41" t="s">
        <v>7142</v>
      </c>
      <c r="AE976" s="41"/>
      <c r="AF976" s="11" t="s">
        <v>203</v>
      </c>
      <c r="AH976" s="7" t="str">
        <f>Table1[[#This Row],[html_tag]]&amp;Table1[[#This Row],[html_type]]&amp;Table1[[#This Row],[html_modifier]]</f>
        <v/>
      </c>
      <c r="AL976" s="23" t="str">
        <f>IFERROR(_xlfn.XLOOKUP(Table1[[#This Row],[word]],Table57[English style name],Table57[Style type]),"")</f>
        <v/>
      </c>
      <c r="AM976" s="21"/>
      <c r="AN976" s="11"/>
    </row>
    <row r="977" spans="5:44">
      <c r="E977" s="76"/>
      <c r="F9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7" s="13" t="s">
        <v>337</v>
      </c>
      <c r="H977" s="13" t="s">
        <v>2986</v>
      </c>
      <c r="I977" s="12" t="str">
        <f>Table1[[#This Row],[type]]</f>
        <v>field</v>
      </c>
      <c r="J977" s="62" t="str">
        <f>Table1[[#This Row],[Column42]]&amp;IF(Table1[[#This Row],[Column13]]="","",Table1[[#This Row],[Column13]])&amp;IF(Table1[[#This Row],[mod]]="","",Table1[[#This Row],[mod]])</f>
        <v>field__range--xl</v>
      </c>
      <c r="K9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7" t="s">
        <v>3099</v>
      </c>
      <c r="M977" t="s">
        <v>3092</v>
      </c>
      <c r="Q9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77" t="s">
        <v>3126</v>
      </c>
      <c r="AB977" s="29"/>
      <c r="AC977" s="25"/>
      <c r="AD977" s="41" t="s">
        <v>7149</v>
      </c>
      <c r="AE977" s="41"/>
      <c r="AF977" s="11" t="s">
        <v>203</v>
      </c>
      <c r="AH977" s="7" t="str">
        <f>Table1[[#This Row],[html_tag]]&amp;Table1[[#This Row],[html_type]]&amp;Table1[[#This Row],[html_modifier]]</f>
        <v/>
      </c>
      <c r="AL977" s="23" t="str">
        <f>IFERROR(_xlfn.XLOOKUP(Table1[[#This Row],[word]],Table57[English style name],Table57[Style type]),"")</f>
        <v/>
      </c>
      <c r="AM977" s="21"/>
      <c r="AN977" s="11"/>
    </row>
    <row r="978" spans="5:44">
      <c r="E978" s="76"/>
      <c r="F9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8" s="13" t="s">
        <v>337</v>
      </c>
      <c r="H978" s="13" t="s">
        <v>2986</v>
      </c>
      <c r="I978" s="12" t="str">
        <f>Table1[[#This Row],[type]]</f>
        <v>field</v>
      </c>
      <c r="J978" s="62" t="str">
        <f>Table1[[#This Row],[Column42]]&amp;IF(Table1[[#This Row],[Column13]]="","",Table1[[#This Row],[Column13]])&amp;IF(Table1[[#This Row],[mod]]="","",Table1[[#This Row],[mod]])</f>
        <v>field__range--xs</v>
      </c>
      <c r="K9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8" t="s">
        <v>3099</v>
      </c>
      <c r="M978" t="s">
        <v>3092</v>
      </c>
      <c r="Q9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78" t="s">
        <v>3127</v>
      </c>
      <c r="AB978" s="29"/>
      <c r="AC978" s="25"/>
      <c r="AD978" s="41" t="s">
        <v>7145</v>
      </c>
      <c r="AE978" s="41"/>
      <c r="AF978" s="11" t="s">
        <v>203</v>
      </c>
      <c r="AH978" s="7" t="str">
        <f>Table1[[#This Row],[html_tag]]&amp;Table1[[#This Row],[html_type]]&amp;Table1[[#This Row],[html_modifier]]</f>
        <v/>
      </c>
      <c r="AL978" s="23" t="str">
        <f>IFERROR(_xlfn.XLOOKUP(Table1[[#This Row],[word]],Table57[English style name],Table57[Style type]),"")</f>
        <v/>
      </c>
      <c r="AM978" s="21"/>
      <c r="AN978" s="11"/>
    </row>
    <row r="979" spans="5:44">
      <c r="E979" s="76"/>
      <c r="F9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9" s="13"/>
      <c r="H979" s="13"/>
      <c r="I979" s="12" t="str">
        <f>Table1[[#This Row],[type]]</f>
        <v>field</v>
      </c>
      <c r="J979" s="62" t="str">
        <f>Table1[[#This Row],[Column42]]&amp;IF(Table1[[#This Row],[Column13]]="","",Table1[[#This Row],[Column13]])&amp;IF(Table1[[#This Row],[mod]]="","",Table1[[#This Row],[mod]])</f>
        <v>field__rating</v>
      </c>
      <c r="K9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79" t="s">
        <v>3099</v>
      </c>
      <c r="M979" t="s">
        <v>7150</v>
      </c>
      <c r="Q9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79" s="29"/>
      <c r="AC979" s="25"/>
      <c r="AD979" s="41" t="s">
        <v>7162</v>
      </c>
      <c r="AE979" s="41"/>
      <c r="AF979" s="11"/>
      <c r="AH979" s="7" t="str">
        <f>Table1[[#This Row],[html_tag]]&amp;Table1[[#This Row],[html_type]]&amp;Table1[[#This Row],[html_modifier]]</f>
        <v/>
      </c>
      <c r="AL979" s="23" t="str">
        <f>IFERROR(_xlfn.XLOOKUP(Table1[[#This Row],[word]],Table57[English style name],Table57[Style type]),"")</f>
        <v/>
      </c>
      <c r="AM979" s="21"/>
      <c r="AN979" s="11"/>
    </row>
    <row r="980" spans="5:44">
      <c r="E980" s="76"/>
      <c r="F9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0" s="13"/>
      <c r="H980" s="13"/>
      <c r="I980" s="12" t="str">
        <f>Table1[[#This Row],[type]]</f>
        <v>field</v>
      </c>
      <c r="J980" s="62" t="str">
        <f>Table1[[#This Row],[Column42]]&amp;IF(Table1[[#This Row],[Column13]]="","",Table1[[#This Row],[Column13]])&amp;IF(Table1[[#This Row],[mod]]="","",Table1[[#This Row],[mod]])</f>
        <v>field__rating--half</v>
      </c>
      <c r="K9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0" t="s">
        <v>3099</v>
      </c>
      <c r="M980" t="s">
        <v>7150</v>
      </c>
      <c r="Q98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--half</v>
      </c>
      <c r="S980" t="s">
        <v>4565</v>
      </c>
      <c r="U9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80" s="29"/>
      <c r="AC980" s="25"/>
      <c r="AD980" s="41" t="s">
        <v>7163</v>
      </c>
      <c r="AE980" s="41"/>
      <c r="AF980" s="11"/>
      <c r="AH980" s="7" t="str">
        <f>Table1[[#This Row],[html_tag]]&amp;Table1[[#This Row],[html_type]]&amp;Table1[[#This Row],[html_modifier]]</f>
        <v/>
      </c>
      <c r="AL980" s="23" t="str">
        <f>IFERROR(_xlfn.XLOOKUP(Table1[[#This Row],[word]],Table57[English style name],Table57[Style type]),"")</f>
        <v/>
      </c>
      <c r="AM980" s="21"/>
      <c r="AN980" s="11"/>
    </row>
    <row r="981" spans="5:44">
      <c r="E981" s="76"/>
      <c r="F9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1" s="13"/>
      <c r="H981" s="13"/>
      <c r="I981" s="12" t="str">
        <f>Table1[[#This Row],[type]]</f>
        <v>field</v>
      </c>
      <c r="J981" s="62" t="str">
        <f>Table1[[#This Row],[Column42]]&amp;IF(Table1[[#This Row],[Column13]]="","",Table1[[#This Row],[Column13]])&amp;IF(Table1[[#This Row],[mod]]="","",Table1[[#This Row],[mod]])</f>
        <v>field__rating--hidden</v>
      </c>
      <c r="K9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1" t="s">
        <v>3099</v>
      </c>
      <c r="M981" t="s">
        <v>7150</v>
      </c>
      <c r="Q98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981" t="s">
        <v>3087</v>
      </c>
      <c r="AB981" s="29"/>
      <c r="AC981" s="25"/>
      <c r="AD981" s="41" t="s">
        <v>7164</v>
      </c>
      <c r="AE981" s="41"/>
      <c r="AF981" s="11"/>
      <c r="AH981" s="7" t="str">
        <f>Table1[[#This Row],[html_tag]]&amp;Table1[[#This Row],[html_type]]&amp;Table1[[#This Row],[html_modifier]]</f>
        <v/>
      </c>
      <c r="AL981" s="23" t="str">
        <f>IFERROR(_xlfn.XLOOKUP(Table1[[#This Row],[word]],Table57[English style name],Table57[Style type]),"")</f>
        <v/>
      </c>
      <c r="AM981" s="21"/>
      <c r="AN981" s="11"/>
    </row>
    <row r="982" spans="5:44">
      <c r="E982" s="76"/>
      <c r="F9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2" s="13"/>
      <c r="H982" s="13"/>
      <c r="I982" s="12" t="str">
        <f>Table1[[#This Row],[type]]</f>
        <v>field</v>
      </c>
      <c r="J982" s="62" t="str">
        <f>Table1[[#This Row],[Column42]]&amp;IF(Table1[[#This Row],[Column13]]="","",Table1[[#This Row],[Column13]])&amp;IF(Table1[[#This Row],[mod]]="","",Table1[[#This Row],[mod]])</f>
        <v>field__rating--lg</v>
      </c>
      <c r="K9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2" t="s">
        <v>3099</v>
      </c>
      <c r="M982" t="s">
        <v>7150</v>
      </c>
      <c r="Q9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82" t="s">
        <v>3114</v>
      </c>
      <c r="AB982" s="29"/>
      <c r="AC982" s="25"/>
      <c r="AD982" s="41" t="s">
        <v>7168</v>
      </c>
      <c r="AE982" s="41"/>
      <c r="AF982" s="11"/>
      <c r="AH982" s="7" t="str">
        <f>Table1[[#This Row],[html_tag]]&amp;Table1[[#This Row],[html_type]]&amp;Table1[[#This Row],[html_modifier]]</f>
        <v/>
      </c>
      <c r="AL982" s="23" t="str">
        <f>IFERROR(_xlfn.XLOOKUP(Table1[[#This Row],[word]],Table57[English style name],Table57[Style type]),"")</f>
        <v/>
      </c>
      <c r="AM982" s="21"/>
      <c r="AN982" s="11"/>
    </row>
    <row r="983" spans="5:44">
      <c r="E983" s="76"/>
      <c r="F9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3" s="13"/>
      <c r="H983" s="13"/>
      <c r="I983" s="12" t="str">
        <f>Table1[[#This Row],[type]]</f>
        <v>field</v>
      </c>
      <c r="J983" s="62" t="str">
        <f>Table1[[#This Row],[Column42]]&amp;IF(Table1[[#This Row],[Column13]]="","",Table1[[#This Row],[Column13]])&amp;IF(Table1[[#This Row],[mod]]="","",Table1[[#This Row],[mod]])</f>
        <v>field__rating--md</v>
      </c>
      <c r="K9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3" t="s">
        <v>3099</v>
      </c>
      <c r="M983" t="s">
        <v>7150</v>
      </c>
      <c r="Q98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83" t="s">
        <v>3115</v>
      </c>
      <c r="AB983" s="29"/>
      <c r="AC983" s="25"/>
      <c r="AD983" s="41" t="s">
        <v>7167</v>
      </c>
      <c r="AE983" s="41"/>
      <c r="AF983" s="11"/>
      <c r="AH983" s="7" t="str">
        <f>Table1[[#This Row],[html_tag]]&amp;Table1[[#This Row],[html_type]]&amp;Table1[[#This Row],[html_modifier]]</f>
        <v/>
      </c>
      <c r="AL983" s="23" t="str">
        <f>IFERROR(_xlfn.XLOOKUP(Table1[[#This Row],[word]],Table57[English style name],Table57[Style type]),"")</f>
        <v/>
      </c>
      <c r="AM983" s="21"/>
      <c r="AN983" s="11"/>
    </row>
    <row r="984" spans="5:44">
      <c r="E984" s="76"/>
      <c r="F9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4" s="13"/>
      <c r="H984" s="13"/>
      <c r="I984" s="12" t="str">
        <f>Table1[[#This Row],[type]]</f>
        <v>field</v>
      </c>
      <c r="J984" s="62" t="str">
        <f>Table1[[#This Row],[Column42]]&amp;IF(Table1[[#This Row],[Column13]]="","",Table1[[#This Row],[Column13]])&amp;IF(Table1[[#This Row],[mod]]="","",Table1[[#This Row],[mod]])</f>
        <v>field__rating--sm</v>
      </c>
      <c r="K9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4" t="s">
        <v>3099</v>
      </c>
      <c r="M984" t="s">
        <v>7150</v>
      </c>
      <c r="Q98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84" t="s">
        <v>3116</v>
      </c>
      <c r="AB984" s="29"/>
      <c r="AC984" s="25"/>
      <c r="AD984" s="41" t="s">
        <v>7166</v>
      </c>
      <c r="AE984" s="41"/>
      <c r="AF984" s="11"/>
      <c r="AH984" s="7" t="str">
        <f>Table1[[#This Row],[html_tag]]&amp;Table1[[#This Row],[html_type]]&amp;Table1[[#This Row],[html_modifier]]</f>
        <v/>
      </c>
      <c r="AL984" s="23" t="str">
        <f>IFERROR(_xlfn.XLOOKUP(Table1[[#This Row],[word]],Table57[English style name],Table57[Style type]),"")</f>
        <v/>
      </c>
      <c r="AM984" s="21"/>
      <c r="AN984" s="11"/>
    </row>
    <row r="985" spans="5:44">
      <c r="E985" s="76"/>
      <c r="F9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5" s="13"/>
      <c r="H985" s="13"/>
      <c r="I985" s="12" t="str">
        <f>Table1[[#This Row],[type]]</f>
        <v>field</v>
      </c>
      <c r="J985" s="62" t="str">
        <f>Table1[[#This Row],[Column42]]&amp;IF(Table1[[#This Row],[Column13]]="","",Table1[[#This Row],[Column13]])&amp;IF(Table1[[#This Row],[mod]]="","",Table1[[#This Row],[mod]])</f>
        <v>field__rating--xl</v>
      </c>
      <c r="K9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5" t="s">
        <v>3099</v>
      </c>
      <c r="M985" t="s">
        <v>7150</v>
      </c>
      <c r="Q9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85" t="s">
        <v>3126</v>
      </c>
      <c r="AB985" s="29"/>
      <c r="AC985" s="25"/>
      <c r="AD985" s="41" t="s">
        <v>7169</v>
      </c>
      <c r="AE985" s="41"/>
      <c r="AF985" s="11"/>
      <c r="AH985" s="7" t="str">
        <f>Table1[[#This Row],[html_tag]]&amp;Table1[[#This Row],[html_type]]&amp;Table1[[#This Row],[html_modifier]]</f>
        <v/>
      </c>
      <c r="AL985" s="23" t="str">
        <f>IFERROR(_xlfn.XLOOKUP(Table1[[#This Row],[word]],Table57[English style name],Table57[Style type]),"")</f>
        <v/>
      </c>
      <c r="AM985" s="21"/>
      <c r="AN985" s="11"/>
    </row>
    <row r="986" spans="5:44">
      <c r="E986" s="76"/>
      <c r="F9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6" s="13"/>
      <c r="H986" s="13"/>
      <c r="I986" s="12" t="str">
        <f>Table1[[#This Row],[type]]</f>
        <v>field</v>
      </c>
      <c r="J986" s="62" t="str">
        <f>Table1[[#This Row],[Column42]]&amp;IF(Table1[[#This Row],[Column13]]="","",Table1[[#This Row],[Column13]])&amp;IF(Table1[[#This Row],[mod]]="","",Table1[[#This Row],[mod]])</f>
        <v>field__rating--xs</v>
      </c>
      <c r="K9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6" t="s">
        <v>3099</v>
      </c>
      <c r="M986" t="s">
        <v>7150</v>
      </c>
      <c r="Q98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86" t="s">
        <v>3127</v>
      </c>
      <c r="AB986" s="29"/>
      <c r="AC986" s="25"/>
      <c r="AD986" s="41" t="s">
        <v>7165</v>
      </c>
      <c r="AE986" s="41"/>
      <c r="AF986" s="11"/>
      <c r="AH986" s="7" t="str">
        <f>Table1[[#This Row],[html_tag]]&amp;Table1[[#This Row],[html_type]]&amp;Table1[[#This Row],[html_modifier]]</f>
        <v/>
      </c>
      <c r="AL986" s="23" t="str">
        <f>IFERROR(_xlfn.XLOOKUP(Table1[[#This Row],[word]],Table57[English style name],Table57[Style type]),"")</f>
        <v/>
      </c>
      <c r="AM986" s="21"/>
      <c r="AN986" s="11"/>
    </row>
    <row r="987" spans="5:44">
      <c r="E987" s="76"/>
      <c r="F9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7" s="13"/>
      <c r="H987" s="13"/>
      <c r="I987" s="12" t="str">
        <f>Table1[[#This Row],[type]]</f>
        <v>field</v>
      </c>
      <c r="J987" s="62" t="str">
        <f>Table1[[#This Row],[Column42]]&amp;IF(Table1[[#This Row],[Column13]]="","",Table1[[#This Row],[Column13]])&amp;IF(Table1[[#This Row],[mod]]="","",Table1[[#This Row],[mod]])</f>
        <v>field__reset--type</v>
      </c>
      <c r="K9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field__reset</v>
      </c>
      <c r="L987" t="s">
        <v>3099</v>
      </c>
      <c r="M987" t="s">
        <v>3093</v>
      </c>
      <c r="Q9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87" t="s">
        <v>1</v>
      </c>
      <c r="U9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87" s="29"/>
      <c r="AC987" s="25"/>
      <c r="AD987" s="41"/>
      <c r="AE987" s="41"/>
      <c r="AF987" s="11" t="s">
        <v>203</v>
      </c>
      <c r="AH987" s="1" t="str">
        <f>Table1[[#This Row],[html_tag]]&amp;Table1[[#This Row],[html_type]]&amp;Table1[[#This Row],[html_modifier]]</f>
        <v>&lt;input&gt;reset</v>
      </c>
      <c r="AI987" t="s">
        <v>203</v>
      </c>
      <c r="AJ987" t="s">
        <v>3093</v>
      </c>
      <c r="AL987" s="22" t="str">
        <f>IFERROR(_xlfn.XLOOKUP(Table1[[#This Row],[word]],Table57[English style name],Table57[Style type]),"")</f>
        <v/>
      </c>
      <c r="AM987" s="20"/>
      <c r="AN987" s="11"/>
    </row>
    <row r="988" spans="5:44">
      <c r="E988" s="76"/>
      <c r="F9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88" s="13" t="s">
        <v>337</v>
      </c>
      <c r="H988" s="13" t="s">
        <v>2986</v>
      </c>
      <c r="I988" s="12" t="str">
        <f>Table1[[#This Row],[type]]</f>
        <v>field</v>
      </c>
      <c r="J988" s="62" t="str">
        <f>Table1[[#This Row],[Column42]]&amp;IF(Table1[[#This Row],[Column13]]="","",Table1[[#This Row],[Column13]])&amp;IF(Table1[[#This Row],[mod]]="","",Table1[[#This Row],[mod]])</f>
        <v>field__search</v>
      </c>
      <c r="K9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field__search</v>
      </c>
      <c r="L988" t="s">
        <v>3099</v>
      </c>
      <c r="M988" t="s">
        <v>581</v>
      </c>
      <c r="Q9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88" s="29"/>
      <c r="AC988" s="25"/>
      <c r="AD988" s="41"/>
      <c r="AE988" s="41"/>
      <c r="AF988" s="11" t="s">
        <v>203</v>
      </c>
      <c r="AH988" s="1" t="str">
        <f>Table1[[#This Row],[html_tag]]&amp;Table1[[#This Row],[html_type]]&amp;Table1[[#This Row],[html_modifier]]</f>
        <v>&lt;input&gt;search</v>
      </c>
      <c r="AI988" t="s">
        <v>203</v>
      </c>
      <c r="AJ988" t="s">
        <v>581</v>
      </c>
      <c r="AL988" s="22" t="str">
        <f>IFERROR(_xlfn.XLOOKUP(Table1[[#This Row],[word]],Table57[English style name],Table57[Style type]),"")</f>
        <v/>
      </c>
      <c r="AM988" s="20"/>
      <c r="AN988" s="11"/>
      <c r="AQ988" s="6" t="s">
        <v>1972</v>
      </c>
      <c r="AR988" t="s">
        <v>1971</v>
      </c>
    </row>
    <row r="989" spans="5:44">
      <c r="E989" s="76"/>
      <c r="F9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89" s="13" t="s">
        <v>337</v>
      </c>
      <c r="H989" s="13" t="s">
        <v>2986</v>
      </c>
      <c r="I989" s="12" t="str">
        <f>Table1[[#This Row],[type]]</f>
        <v>field</v>
      </c>
      <c r="J989" s="62" t="str">
        <f>Table1[[#This Row],[Column42]]&amp;IF(Table1[[#This Row],[Column13]]="","",Table1[[#This Row],[Column13]])&amp;IF(Table1[[#This Row],[mod]]="","",Table1[[#This Row],[mod]])</f>
        <v>field__search--decoration</v>
      </c>
      <c r="K9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field__search</v>
      </c>
      <c r="L989" t="s">
        <v>3099</v>
      </c>
      <c r="M989" t="s">
        <v>581</v>
      </c>
      <c r="Q9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--decoration</v>
      </c>
      <c r="R989" t="s">
        <v>7415</v>
      </c>
      <c r="U9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89" s="29"/>
      <c r="AC989" s="25"/>
      <c r="AD989" s="41"/>
      <c r="AE989" s="41"/>
      <c r="AF989" s="11" t="s">
        <v>262</v>
      </c>
      <c r="AH989" s="1" t="str">
        <f>Table1[[#This Row],[html_tag]]&amp;Table1[[#This Row],[html_type]]&amp;Table1[[#This Row],[html_modifier]]</f>
        <v/>
      </c>
      <c r="AL989" s="22" t="str">
        <f>IFERROR(_xlfn.XLOOKUP(Table1[[#This Row],[word]],Table57[English style name],Table57[Style type]),"")</f>
        <v/>
      </c>
      <c r="AM989" s="20"/>
      <c r="AN989" s="11"/>
      <c r="AQ989" s="6" t="s">
        <v>1973</v>
      </c>
      <c r="AR989" t="s">
        <v>1971</v>
      </c>
    </row>
    <row r="990" spans="5:44">
      <c r="E990" s="76"/>
      <c r="F9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0" s="13" t="s">
        <v>337</v>
      </c>
      <c r="H990" s="13" t="s">
        <v>2986</v>
      </c>
      <c r="I990" s="12" t="str">
        <f>Table1[[#This Row],[type]]</f>
        <v>field</v>
      </c>
      <c r="J990" s="62" t="str">
        <f>Table1[[#This Row],[Column42]]&amp;IF(Table1[[#This Row],[Column13]]="","",Table1[[#This Row],[Column13]])&amp;IF(Table1[[#This Row],[mod]]="","",Table1[[#This Row],[mod]])</f>
        <v>field__select</v>
      </c>
      <c r="K9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0" t="s">
        <v>3099</v>
      </c>
      <c r="M990" t="s">
        <v>582</v>
      </c>
      <c r="Q9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0" s="29"/>
      <c r="AC990" s="25"/>
      <c r="AD990" s="41"/>
      <c r="AE990" s="41"/>
      <c r="AF990" s="11" t="s">
        <v>235</v>
      </c>
      <c r="AH990" s="1" t="str">
        <f>Table1[[#This Row],[html_tag]]&amp;Table1[[#This Row],[html_type]]&amp;Table1[[#This Row],[html_modifier]]</f>
        <v>&lt;option&gt;</v>
      </c>
      <c r="AI990" t="s">
        <v>235</v>
      </c>
      <c r="AL990" s="22" t="str">
        <f>IFERROR(_xlfn.XLOOKUP(Table1[[#This Row],[word]],Table57[English style name],Table57[Style type]),"")</f>
        <v/>
      </c>
      <c r="AM990" s="20"/>
      <c r="AN990" s="11"/>
      <c r="AQ990" s="6" t="s">
        <v>1978</v>
      </c>
      <c r="AR990" t="s">
        <v>1974</v>
      </c>
    </row>
    <row r="991" spans="5:44">
      <c r="E991" s="76"/>
      <c r="F9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1" s="13" t="s">
        <v>337</v>
      </c>
      <c r="H991" s="13" t="s">
        <v>2986</v>
      </c>
      <c r="I991" s="12" t="str">
        <f>Table1[[#This Row],[type]]</f>
        <v>field</v>
      </c>
      <c r="J991" s="62" t="str">
        <f>Table1[[#This Row],[Column42]]&amp;IF(Table1[[#This Row],[Column13]]="","",Table1[[#This Row],[Column13]])&amp;IF(Table1[[#This Row],[mod]]="","",Table1[[#This Row],[mod]])</f>
        <v>field__select</v>
      </c>
      <c r="K9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1" t="s">
        <v>3099</v>
      </c>
      <c r="M991" t="s">
        <v>582</v>
      </c>
      <c r="Q9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1" s="29"/>
      <c r="AC991" s="25"/>
      <c r="AD991" s="41"/>
      <c r="AE991" s="41"/>
      <c r="AF991" s="11" t="s">
        <v>233</v>
      </c>
      <c r="AH991" s="1" t="str">
        <f>Table1[[#This Row],[html_tag]]&amp;Table1[[#This Row],[html_type]]&amp;Table1[[#This Row],[html_modifier]]</f>
        <v>&lt;optgroup&gt;</v>
      </c>
      <c r="AI991" t="s">
        <v>233</v>
      </c>
      <c r="AL991" s="22" t="str">
        <f>IFERROR(_xlfn.XLOOKUP(Table1[[#This Row],[word]],Table57[English style name],Table57[Style type]),"")</f>
        <v/>
      </c>
      <c r="AM991" s="20"/>
      <c r="AN991" s="11"/>
      <c r="AQ991" s="6" t="s">
        <v>1977</v>
      </c>
      <c r="AR991" t="s">
        <v>1974</v>
      </c>
    </row>
    <row r="992" spans="5:44">
      <c r="E992" s="76"/>
      <c r="F9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2" s="13" t="s">
        <v>337</v>
      </c>
      <c r="H992" s="13" t="s">
        <v>2986</v>
      </c>
      <c r="I992" s="12" t="str">
        <f>Table1[[#This Row],[type]]</f>
        <v>field</v>
      </c>
      <c r="J992" s="62" t="str">
        <f>Table1[[#This Row],[Column42]]&amp;IF(Table1[[#This Row],[Column13]]="","",Table1[[#This Row],[Column13]])&amp;IF(Table1[[#This Row],[mod]]="","",Table1[[#This Row],[mod]])</f>
        <v>field__select</v>
      </c>
      <c r="K9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2" t="s">
        <v>3099</v>
      </c>
      <c r="M992" t="s">
        <v>582</v>
      </c>
      <c r="Q9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2" s="29"/>
      <c r="AC992" s="25"/>
      <c r="AD992" s="41"/>
      <c r="AE992" s="41"/>
      <c r="AF992" s="11" t="s">
        <v>265</v>
      </c>
      <c r="AH992" s="1" t="str">
        <f>Table1[[#This Row],[html_tag]]&amp;Table1[[#This Row],[html_type]]&amp;Table1[[#This Row],[html_modifier]]</f>
        <v/>
      </c>
      <c r="AL992" s="22" t="str">
        <f>IFERROR(_xlfn.XLOOKUP(Table1[[#This Row],[word]],Table57[English style name],Table57[Style type]),"")</f>
        <v/>
      </c>
      <c r="AM992" s="20"/>
      <c r="AN992" s="11"/>
      <c r="AQ992" s="6" t="s">
        <v>1944</v>
      </c>
      <c r="AR992" t="s">
        <v>1940</v>
      </c>
    </row>
    <row r="993" spans="5:46">
      <c r="E993" s="76"/>
      <c r="F9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3" s="13" t="s">
        <v>337</v>
      </c>
      <c r="H993" s="13" t="s">
        <v>2986</v>
      </c>
      <c r="I993" s="12" t="str">
        <f>Table1[[#This Row],[type]]</f>
        <v>field</v>
      </c>
      <c r="J993" s="62" t="str">
        <f>Table1[[#This Row],[Column42]]&amp;IF(Table1[[#This Row],[Column13]]="","",Table1[[#This Row],[Column13]])&amp;IF(Table1[[#This Row],[mod]]="","",Table1[[#This Row],[mod]])</f>
        <v>field__select</v>
      </c>
      <c r="K9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3" t="s">
        <v>3099</v>
      </c>
      <c r="M993" t="s">
        <v>582</v>
      </c>
      <c r="P993" s="6" t="s">
        <v>1358</v>
      </c>
      <c r="Q9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3" s="29"/>
      <c r="AC993" s="25"/>
      <c r="AD993" s="41"/>
      <c r="AE993" s="41"/>
      <c r="AF993" s="11" t="s">
        <v>265</v>
      </c>
      <c r="AH993" s="1" t="str">
        <f>Table1[[#This Row],[html_tag]]&amp;Table1[[#This Row],[html_type]]&amp;Table1[[#This Row],[html_modifier]]</f>
        <v/>
      </c>
      <c r="AL993" s="22" t="str">
        <f>IFERROR(_xlfn.XLOOKUP(Table1[[#This Row],[word]],Table57[English style name],Table57[Style type]),"")</f>
        <v/>
      </c>
      <c r="AM993" s="20"/>
      <c r="AN993" s="11"/>
      <c r="AQ993" s="6" t="s">
        <v>1358</v>
      </c>
      <c r="AR993" t="s">
        <v>1356</v>
      </c>
    </row>
    <row r="994" spans="5:46">
      <c r="E994" s="76"/>
      <c r="F9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4" s="13" t="s">
        <v>337</v>
      </c>
      <c r="H994" s="13" t="s">
        <v>2986</v>
      </c>
      <c r="I994" s="12" t="str">
        <f>Table1[[#This Row],[type]]</f>
        <v>field</v>
      </c>
      <c r="J994" s="62" t="str">
        <f>Table1[[#This Row],[Column42]]&amp;IF(Table1[[#This Row],[Column13]]="","",Table1[[#This Row],[Column13]])&amp;IF(Table1[[#This Row],[mod]]="","",Table1[[#This Row],[mod]])</f>
        <v>field__select</v>
      </c>
      <c r="K9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4" t="s">
        <v>3099</v>
      </c>
      <c r="M994" t="s">
        <v>582</v>
      </c>
      <c r="P994" s="6" t="s">
        <v>1976</v>
      </c>
      <c r="Q9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4" s="29"/>
      <c r="AC994" s="25"/>
      <c r="AD994" s="41"/>
      <c r="AE994" s="41"/>
      <c r="AF994" s="11" t="s">
        <v>265</v>
      </c>
      <c r="AH994" s="1" t="str">
        <f>Table1[[#This Row],[html_tag]]&amp;Table1[[#This Row],[html_type]]&amp;Table1[[#This Row],[html_modifier]]</f>
        <v/>
      </c>
      <c r="AL994" s="22" t="str">
        <f>IFERROR(_xlfn.XLOOKUP(Table1[[#This Row],[word]],Table57[English style name],Table57[Style type]),"")</f>
        <v/>
      </c>
      <c r="AM994" s="20"/>
      <c r="AN994" s="11"/>
      <c r="AQ994" s="6" t="s">
        <v>1976</v>
      </c>
      <c r="AR994" t="s">
        <v>1974</v>
      </c>
    </row>
    <row r="995" spans="5:46">
      <c r="E995" s="76"/>
      <c r="F9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5" s="13" t="s">
        <v>337</v>
      </c>
      <c r="H995" s="13" t="s">
        <v>2986</v>
      </c>
      <c r="I995" s="12" t="str">
        <f>Table1[[#This Row],[type]]</f>
        <v>field</v>
      </c>
      <c r="J995" s="62" t="str">
        <f>Table1[[#This Row],[Column42]]&amp;IF(Table1[[#This Row],[Column13]]="","",Table1[[#This Row],[Column13]])&amp;IF(Table1[[#This Row],[mod]]="","",Table1[[#This Row],[mod]])</f>
        <v>field__select</v>
      </c>
      <c r="K9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5" t="s">
        <v>3099</v>
      </c>
      <c r="M995" t="s">
        <v>582</v>
      </c>
      <c r="P995" s="6" t="s">
        <v>1359</v>
      </c>
      <c r="Q9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5" s="29"/>
      <c r="AC995" s="25"/>
      <c r="AD995" s="41"/>
      <c r="AE995" s="41"/>
      <c r="AF995" s="11" t="s">
        <v>265</v>
      </c>
      <c r="AH995" s="1" t="str">
        <f>Table1[[#This Row],[html_tag]]&amp;Table1[[#This Row],[html_type]]&amp;Table1[[#This Row],[html_modifier]]</f>
        <v/>
      </c>
      <c r="AL995" s="22" t="str">
        <f>IFERROR(_xlfn.XLOOKUP(Table1[[#This Row],[word]],Table57[English style name],Table57[Style type]),"")</f>
        <v/>
      </c>
      <c r="AM995" s="20"/>
      <c r="AN995" s="11"/>
      <c r="AQ995" s="6" t="s">
        <v>1359</v>
      </c>
      <c r="AR995" t="s">
        <v>1356</v>
      </c>
    </row>
    <row r="996" spans="5:46">
      <c r="E996" s="76"/>
      <c r="F9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6" s="13" t="s">
        <v>337</v>
      </c>
      <c r="H996" s="13" t="s">
        <v>2986</v>
      </c>
      <c r="I996" s="12" t="str">
        <f>Table1[[#This Row],[type]]</f>
        <v>field</v>
      </c>
      <c r="J996" s="62" t="str">
        <f>Table1[[#This Row],[Column42]]&amp;IF(Table1[[#This Row],[Column13]]="","",Table1[[#This Row],[Column13]])&amp;IF(Table1[[#This Row],[mod]]="","",Table1[[#This Row],[mod]])</f>
        <v>field__select</v>
      </c>
      <c r="K9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6" t="s">
        <v>3099</v>
      </c>
      <c r="M996" t="s">
        <v>582</v>
      </c>
      <c r="P996" s="6" t="s">
        <v>1360</v>
      </c>
      <c r="Q9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6" s="29"/>
      <c r="AC996" s="25"/>
      <c r="AD996" s="41"/>
      <c r="AE996" s="41"/>
      <c r="AF996" s="11" t="s">
        <v>265</v>
      </c>
      <c r="AH996" s="1" t="str">
        <f>Table1[[#This Row],[html_tag]]&amp;Table1[[#This Row],[html_type]]&amp;Table1[[#This Row],[html_modifier]]</f>
        <v/>
      </c>
      <c r="AL996" s="22" t="str">
        <f>IFERROR(_xlfn.XLOOKUP(Table1[[#This Row],[word]],Table57[English style name],Table57[Style type]),"")</f>
        <v/>
      </c>
      <c r="AM996" s="20"/>
      <c r="AN996" s="11"/>
      <c r="AQ996" s="6" t="s">
        <v>1360</v>
      </c>
      <c r="AR996" t="s">
        <v>1356</v>
      </c>
    </row>
    <row r="997" spans="5:46">
      <c r="E997" s="76"/>
      <c r="F9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7" s="13" t="s">
        <v>337</v>
      </c>
      <c r="H997" s="13" t="s">
        <v>2986</v>
      </c>
      <c r="I997" s="12" t="str">
        <f>Table1[[#This Row],[type]]</f>
        <v>field</v>
      </c>
      <c r="J997" s="62" t="str">
        <f>Table1[[#This Row],[Column42]]&amp;IF(Table1[[#This Row],[Column13]]="","",Table1[[#This Row],[Column13]])&amp;IF(Table1[[#This Row],[mod]]="","",Table1[[#This Row],[mod]])</f>
        <v>field__select</v>
      </c>
      <c r="K9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7" t="s">
        <v>3099</v>
      </c>
      <c r="M997" t="s">
        <v>582</v>
      </c>
      <c r="P997" s="6" t="s">
        <v>1361</v>
      </c>
      <c r="Q9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7" s="29"/>
      <c r="AC997" s="25"/>
      <c r="AD997" s="41"/>
      <c r="AE997" s="41"/>
      <c r="AF997" s="11" t="s">
        <v>265</v>
      </c>
      <c r="AH997" s="1" t="str">
        <f>Table1[[#This Row],[html_tag]]&amp;Table1[[#This Row],[html_type]]&amp;Table1[[#This Row],[html_modifier]]</f>
        <v/>
      </c>
      <c r="AL997" s="22" t="str">
        <f>IFERROR(_xlfn.XLOOKUP(Table1[[#This Row],[word]],Table57[English style name],Table57[Style type]),"")</f>
        <v/>
      </c>
      <c r="AM997" s="20"/>
      <c r="AN997" s="11"/>
      <c r="AQ997" s="6" t="s">
        <v>1361</v>
      </c>
      <c r="AR997" t="s">
        <v>1356</v>
      </c>
    </row>
    <row r="998" spans="5:46">
      <c r="E998" s="76"/>
      <c r="F9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8" s="13" t="s">
        <v>337</v>
      </c>
      <c r="H998" s="13" t="s">
        <v>2986</v>
      </c>
      <c r="I998" s="12" t="str">
        <f>Table1[[#This Row],[type]]</f>
        <v>field</v>
      </c>
      <c r="J998" s="62" t="str">
        <f>Table1[[#This Row],[Column42]]&amp;IF(Table1[[#This Row],[Column13]]="","",Table1[[#This Row],[Column13]])&amp;IF(Table1[[#This Row],[mod]]="","",Table1[[#This Row],[mod]])</f>
        <v>field__select</v>
      </c>
      <c r="K9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8" t="s">
        <v>3099</v>
      </c>
      <c r="M998" t="s">
        <v>582</v>
      </c>
      <c r="P998" s="6" t="s">
        <v>1362</v>
      </c>
      <c r="Q9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8" s="29"/>
      <c r="AC998" s="25"/>
      <c r="AD998" s="41"/>
      <c r="AE998" s="41"/>
      <c r="AF998" s="11" t="s">
        <v>265</v>
      </c>
      <c r="AH998" s="1" t="str">
        <f>Table1[[#This Row],[html_tag]]&amp;Table1[[#This Row],[html_type]]&amp;Table1[[#This Row],[html_modifier]]</f>
        <v/>
      </c>
      <c r="AL998" s="22" t="str">
        <f>IFERROR(_xlfn.XLOOKUP(Table1[[#This Row],[word]],Table57[English style name],Table57[Style type]),"")</f>
        <v/>
      </c>
      <c r="AM998" s="20"/>
      <c r="AN998" s="11"/>
      <c r="AQ998" s="6" t="s">
        <v>1362</v>
      </c>
      <c r="AR998" t="s">
        <v>1356</v>
      </c>
    </row>
    <row r="999" spans="5:46">
      <c r="E999" s="76"/>
      <c r="F9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9" s="13" t="s">
        <v>337</v>
      </c>
      <c r="H999" s="13" t="s">
        <v>2986</v>
      </c>
      <c r="I999" s="12" t="str">
        <f>Table1[[#This Row],[type]]</f>
        <v>field</v>
      </c>
      <c r="J999" s="62" t="str">
        <f>Table1[[#This Row],[Column42]]&amp;IF(Table1[[#This Row],[Column13]]="","",Table1[[#This Row],[Column13]])&amp;IF(Table1[[#This Row],[mod]]="","",Table1[[#This Row],[mod]])</f>
        <v>field__select</v>
      </c>
      <c r="K9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9" t="s">
        <v>3099</v>
      </c>
      <c r="M999" t="s">
        <v>582</v>
      </c>
      <c r="P999" s="6" t="s">
        <v>1363</v>
      </c>
      <c r="Q9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9" s="29"/>
      <c r="AC999" s="25"/>
      <c r="AD999" s="41"/>
      <c r="AE999" s="41"/>
      <c r="AF999" s="11" t="s">
        <v>265</v>
      </c>
      <c r="AH999" s="1" t="str">
        <f>Table1[[#This Row],[html_tag]]&amp;Table1[[#This Row],[html_type]]&amp;Table1[[#This Row],[html_modifier]]</f>
        <v/>
      </c>
      <c r="AL999" s="22" t="str">
        <f>IFERROR(_xlfn.XLOOKUP(Table1[[#This Row],[word]],Table57[English style name],Table57[Style type]),"")</f>
        <v/>
      </c>
      <c r="AM999" s="20"/>
      <c r="AN999" s="11"/>
      <c r="AQ999" s="6" t="s">
        <v>1363</v>
      </c>
      <c r="AR999" t="s">
        <v>1356</v>
      </c>
    </row>
    <row r="1000" spans="5:46">
      <c r="E1000" s="76"/>
      <c r="F10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0" s="13" t="s">
        <v>337</v>
      </c>
      <c r="H1000" s="13" t="s">
        <v>2986</v>
      </c>
      <c r="I1000" s="12" t="str">
        <f>Table1[[#This Row],[type]]</f>
        <v>field</v>
      </c>
      <c r="J1000" s="62" t="str">
        <f>Table1[[#This Row],[Column42]]&amp;IF(Table1[[#This Row],[Column13]]="","",Table1[[#This Row],[Column13]])&amp;IF(Table1[[#This Row],[mod]]="","",Table1[[#This Row],[mod]])</f>
        <v>field__select</v>
      </c>
      <c r="K10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0" t="s">
        <v>3099</v>
      </c>
      <c r="M1000" t="s">
        <v>582</v>
      </c>
      <c r="P1000" s="6" t="s">
        <v>582</v>
      </c>
      <c r="Q10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00" s="29" t="s">
        <v>4124</v>
      </c>
      <c r="AC1000" s="64" t="s">
        <v>5002</v>
      </c>
      <c r="AD1000" s="41" t="s">
        <v>4124</v>
      </c>
      <c r="AE1000" s="41"/>
      <c r="AF1000" s="11" t="s">
        <v>265</v>
      </c>
      <c r="AH1000" s="1" t="str">
        <f>Table1[[#This Row],[html_tag]]&amp;Table1[[#This Row],[html_type]]&amp;Table1[[#This Row],[html_modifier]]</f>
        <v>&lt;select&gt;</v>
      </c>
      <c r="AI1000" t="s">
        <v>265</v>
      </c>
      <c r="AL1000" s="22" t="str">
        <f>IFERROR(_xlfn.XLOOKUP(Table1[[#This Row],[word]],Table57[English style name],Table57[Style type]),"")</f>
        <v/>
      </c>
      <c r="AM1000" s="20"/>
      <c r="AN1000" s="11"/>
      <c r="AQ1000" s="6" t="s">
        <v>582</v>
      </c>
      <c r="AR1000" t="s">
        <v>1974</v>
      </c>
    </row>
    <row r="1001" spans="5:46">
      <c r="E1001" s="76"/>
      <c r="F10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1" s="13"/>
      <c r="H1001" s="13"/>
      <c r="I1001" s="12" t="str">
        <f>Table1[[#This Row],[type]]</f>
        <v>field</v>
      </c>
      <c r="J1001" s="62" t="str">
        <f>Table1[[#This Row],[Column42]]&amp;IF(Table1[[#This Row],[Column13]]="","",Table1[[#This Row],[Column13]])&amp;IF(Table1[[#This Row],[mod]]="","",Table1[[#This Row],[mod]])</f>
        <v>field__select--accent</v>
      </c>
      <c r="K10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1" t="s">
        <v>3099</v>
      </c>
      <c r="M1001" t="s">
        <v>582</v>
      </c>
      <c r="Q10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001" t="s">
        <v>7394</v>
      </c>
      <c r="AB1001" s="29"/>
      <c r="AC1001" s="25"/>
      <c r="AD1001" s="41" t="s">
        <v>7190</v>
      </c>
      <c r="AE1001" s="41"/>
      <c r="AF1001" s="11"/>
      <c r="AH1001" s="7" t="str">
        <f>Table1[[#This Row],[html_tag]]&amp;Table1[[#This Row],[html_type]]&amp;Table1[[#This Row],[html_modifier]]</f>
        <v/>
      </c>
      <c r="AL1001" s="23" t="str">
        <f>IFERROR(_xlfn.XLOOKUP(Table1[[#This Row],[word]],Table57[English style name],Table57[Style type]),"")</f>
        <v/>
      </c>
      <c r="AM1001" s="21"/>
      <c r="AN1001" s="11"/>
    </row>
    <row r="1002" spans="5:46">
      <c r="E1002" s="76"/>
      <c r="F10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2" s="13" t="s">
        <v>337</v>
      </c>
      <c r="H1002" s="13" t="s">
        <v>2986</v>
      </c>
      <c r="I1002" s="12" t="str">
        <f>Table1[[#This Row],[type]]</f>
        <v>field</v>
      </c>
      <c r="J1002" s="62" t="str">
        <f>Table1[[#This Row],[Column42]]&amp;IF(Table1[[#This Row],[Column13]]="","",Table1[[#This Row],[Column13]])&amp;IF(Table1[[#This Row],[mod]]="","",Table1[[#This Row],[mod]])</f>
        <v>field__select--active</v>
      </c>
      <c r="K10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2" t="s">
        <v>3099</v>
      </c>
      <c r="M1002" t="s">
        <v>582</v>
      </c>
      <c r="P1002" s="6" t="s">
        <v>1364</v>
      </c>
      <c r="Q10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002" t="s">
        <v>350</v>
      </c>
      <c r="AB1002" s="29"/>
      <c r="AC1002" s="25"/>
      <c r="AD1002" s="41"/>
      <c r="AE1002" s="41"/>
      <c r="AF1002" s="11" t="s">
        <v>265</v>
      </c>
      <c r="AH1002" s="1" t="str">
        <f>Table1[[#This Row],[html_tag]]&amp;Table1[[#This Row],[html_type]]&amp;Table1[[#This Row],[html_modifier]]</f>
        <v>:active</v>
      </c>
      <c r="AK1002" t="s">
        <v>3015</v>
      </c>
      <c r="AL1002" s="22" t="str">
        <f>IFERROR(_xlfn.XLOOKUP(Table1[[#This Row],[word]],Table57[English style name],Table57[Style type]),"")</f>
        <v/>
      </c>
      <c r="AM1002" s="20"/>
      <c r="AN1002" s="11"/>
      <c r="AQ1002" s="6" t="s">
        <v>1364</v>
      </c>
      <c r="AR1002" t="s">
        <v>1356</v>
      </c>
    </row>
    <row r="1003" spans="5:46">
      <c r="E1003" s="76"/>
      <c r="F10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3" s="13" t="s">
        <v>337</v>
      </c>
      <c r="H1003" s="13" t="s">
        <v>2986</v>
      </c>
      <c r="I1003" s="12" t="str">
        <f>Table1[[#This Row],[type]]</f>
        <v>field</v>
      </c>
      <c r="J1003" s="62" t="str">
        <f>Table1[[#This Row],[Column42]]&amp;IF(Table1[[#This Row],[Column13]]="","",Table1[[#This Row],[Column13]])&amp;IF(Table1[[#This Row],[mod]]="","",Table1[[#This Row],[mod]])</f>
        <v>field__select--base</v>
      </c>
      <c r="K10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3" t="s">
        <v>3099</v>
      </c>
      <c r="M1003" t="s">
        <v>582</v>
      </c>
      <c r="Q10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03" t="s">
        <v>338</v>
      </c>
      <c r="AB1003" s="29"/>
      <c r="AC1003" s="25"/>
      <c r="AD1003" s="41"/>
      <c r="AE1003" s="41"/>
      <c r="AF1003" s="11" t="s">
        <v>265</v>
      </c>
      <c r="AH1003" s="1" t="str">
        <f>Table1[[#This Row],[html_tag]]&amp;Table1[[#This Row],[html_type]]&amp;Table1[[#This Row],[html_modifier]]</f>
        <v/>
      </c>
      <c r="AL1003" s="22" t="str">
        <f>IFERROR(_xlfn.XLOOKUP(Table1[[#This Row],[word]],Table57[English style name],Table57[Style type]),"")</f>
        <v/>
      </c>
      <c r="AM1003" s="20"/>
      <c r="AN1003" s="11"/>
      <c r="AQ1003" s="6" t="s">
        <v>1975</v>
      </c>
      <c r="AR1003" t="s">
        <v>1974</v>
      </c>
    </row>
    <row r="1004" spans="5:46">
      <c r="E1004" s="76"/>
      <c r="F10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4" s="13" t="s">
        <v>337</v>
      </c>
      <c r="H1004" s="13" t="s">
        <v>2986</v>
      </c>
      <c r="I1004" s="12" t="str">
        <f>Table1[[#This Row],[type]]</f>
        <v>field</v>
      </c>
      <c r="J1004" s="62" t="str">
        <f>Table1[[#This Row],[Column42]]&amp;IF(Table1[[#This Row],[Column13]]="","",Table1[[#This Row],[Column13]])&amp;IF(Table1[[#This Row],[mod]]="","",Table1[[#This Row],[mod]])</f>
        <v>field__select--custom</v>
      </c>
      <c r="K10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4" t="s">
        <v>3099</v>
      </c>
      <c r="M1004" t="s">
        <v>582</v>
      </c>
      <c r="P1004" s="6" t="s">
        <v>1355</v>
      </c>
      <c r="Q10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</v>
      </c>
      <c r="R1004" t="s">
        <v>7408</v>
      </c>
      <c r="U10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04" s="29"/>
      <c r="AC1004" s="25" t="s">
        <v>3882</v>
      </c>
      <c r="AD1004" s="41"/>
      <c r="AE1004" s="41"/>
      <c r="AF1004" s="11" t="s">
        <v>265</v>
      </c>
      <c r="AH1004" s="1" t="str">
        <f>Table1[[#This Row],[html_tag]]&amp;Table1[[#This Row],[html_type]]&amp;Table1[[#This Row],[html_modifier]]</f>
        <v/>
      </c>
      <c r="AL1004" s="22" t="str">
        <f>IFERROR(_xlfn.XLOOKUP(Table1[[#This Row],[word]],Table57[English style name],Table57[Style type]),"")</f>
        <v/>
      </c>
      <c r="AM1004" s="20"/>
      <c r="AN1004" s="11"/>
      <c r="AQ1004" s="6" t="s">
        <v>1355</v>
      </c>
      <c r="AR1004" t="s">
        <v>1356</v>
      </c>
      <c r="AS1004" s="6" t="s">
        <v>1357</v>
      </c>
      <c r="AT1004" t="s">
        <v>1356</v>
      </c>
    </row>
    <row r="1005" spans="5:46">
      <c r="E1005" s="76"/>
      <c r="F10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5" s="13"/>
      <c r="H1005" s="13"/>
      <c r="I1005" s="12" t="str">
        <f>Table1[[#This Row],[type]]</f>
        <v>field</v>
      </c>
      <c r="J1005" s="62" t="str">
        <f>Table1[[#This Row],[Column42]]&amp;IF(Table1[[#This Row],[Column13]]="","",Table1[[#This Row],[Column13]])&amp;IF(Table1[[#This Row],[mod]]="","",Table1[[#This Row],[mod]])</f>
        <v>field__select--error</v>
      </c>
      <c r="K10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5" t="s">
        <v>3099</v>
      </c>
      <c r="M1005" t="s">
        <v>582</v>
      </c>
      <c r="Q100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05" t="s">
        <v>3117</v>
      </c>
      <c r="AB1005" s="29"/>
      <c r="AC1005" s="25"/>
      <c r="AD1005" s="41" t="s">
        <v>7194</v>
      </c>
      <c r="AE1005" s="41"/>
      <c r="AF1005" s="11"/>
      <c r="AH1005" s="7" t="str">
        <f>Table1[[#This Row],[html_tag]]&amp;Table1[[#This Row],[html_type]]&amp;Table1[[#This Row],[html_modifier]]</f>
        <v/>
      </c>
      <c r="AL1005" s="23" t="str">
        <f>IFERROR(_xlfn.XLOOKUP(Table1[[#This Row],[word]],Table57[English style name],Table57[Style type]),"")</f>
        <v/>
      </c>
      <c r="AM1005" s="21"/>
      <c r="AN1005" s="11"/>
    </row>
    <row r="1006" spans="5:46">
      <c r="E1006" s="76"/>
      <c r="F10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6" s="13"/>
      <c r="H1006" s="13"/>
      <c r="I1006" s="12" t="str">
        <f>Table1[[#This Row],[type]]</f>
        <v>field</v>
      </c>
      <c r="J1006" s="62" t="str">
        <f>Table1[[#This Row],[Column42]]&amp;IF(Table1[[#This Row],[Column13]]="","",Table1[[#This Row],[Column13]])&amp;IF(Table1[[#This Row],[mod]]="","",Table1[[#This Row],[mod]])</f>
        <v>field__select--ghost</v>
      </c>
      <c r="K10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6" t="s">
        <v>3099</v>
      </c>
      <c r="M1006" t="s">
        <v>582</v>
      </c>
      <c r="Q10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1006" t="s">
        <v>7395</v>
      </c>
      <c r="AB1006" s="29"/>
      <c r="AC1006" s="25"/>
      <c r="AD1006" s="41" t="s">
        <v>7186</v>
      </c>
      <c r="AE1006" s="41"/>
      <c r="AF1006" s="11"/>
      <c r="AH1006" s="7" t="str">
        <f>Table1[[#This Row],[html_tag]]&amp;Table1[[#This Row],[html_type]]&amp;Table1[[#This Row],[html_modifier]]</f>
        <v/>
      </c>
      <c r="AL1006" s="23" t="str">
        <f>IFERROR(_xlfn.XLOOKUP(Table1[[#This Row],[word]],Table57[English style name],Table57[Style type]),"")</f>
        <v/>
      </c>
      <c r="AM1006" s="21"/>
      <c r="AN1006" s="11"/>
    </row>
    <row r="1007" spans="5:46">
      <c r="E1007" s="76"/>
      <c r="F10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7" s="13"/>
      <c r="H1007" s="13"/>
      <c r="I1007" s="12" t="str">
        <f>Table1[[#This Row],[type]]</f>
        <v>field</v>
      </c>
      <c r="J1007" s="62" t="str">
        <f>Table1[[#This Row],[Column42]]&amp;IF(Table1[[#This Row],[Column13]]="","",Table1[[#This Row],[Column13]])&amp;IF(Table1[[#This Row],[mod]]="","",Table1[[#This Row],[mod]])</f>
        <v>field__select--info</v>
      </c>
      <c r="K10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7" t="s">
        <v>3099</v>
      </c>
      <c r="M1007" t="s">
        <v>582</v>
      </c>
      <c r="Q100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007" t="s">
        <v>3119</v>
      </c>
      <c r="AB1007" s="29"/>
      <c r="AC1007" s="25"/>
      <c r="AD1007" s="41" t="s">
        <v>7191</v>
      </c>
      <c r="AE1007" s="41"/>
      <c r="AF1007" s="11"/>
      <c r="AH1007" s="7" t="str">
        <f>Table1[[#This Row],[html_tag]]&amp;Table1[[#This Row],[html_type]]&amp;Table1[[#This Row],[html_modifier]]</f>
        <v/>
      </c>
      <c r="AL1007" s="23" t="str">
        <f>IFERROR(_xlfn.XLOOKUP(Table1[[#This Row],[word]],Table57[English style name],Table57[Style type]),"")</f>
        <v/>
      </c>
      <c r="AM1007" s="21"/>
      <c r="AN1007" s="11"/>
    </row>
    <row r="1008" spans="5:46">
      <c r="E1008" s="76"/>
      <c r="F10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8" s="13"/>
      <c r="H1008" s="13"/>
      <c r="I1008" s="12" t="str">
        <f>Table1[[#This Row],[type]]</f>
        <v>field</v>
      </c>
      <c r="J1008" s="62" t="str">
        <f>Table1[[#This Row],[Column42]]&amp;IF(Table1[[#This Row],[Column13]]="","",Table1[[#This Row],[Column13]])&amp;IF(Table1[[#This Row],[mod]]="","",Table1[[#This Row],[mod]])</f>
        <v>field__select--lg</v>
      </c>
      <c r="K10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8" t="s">
        <v>3099</v>
      </c>
      <c r="M1008" t="s">
        <v>582</v>
      </c>
      <c r="Q100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008" t="s">
        <v>3114</v>
      </c>
      <c r="AB1008" s="29"/>
      <c r="AC1008" s="25" t="s">
        <v>5003</v>
      </c>
      <c r="AD1008" s="41" t="s">
        <v>7198</v>
      </c>
      <c r="AE1008" s="41"/>
      <c r="AF1008" s="11"/>
      <c r="AH1008" s="7" t="str">
        <f>Table1[[#This Row],[html_tag]]&amp;Table1[[#This Row],[html_type]]&amp;Table1[[#This Row],[html_modifier]]</f>
        <v/>
      </c>
      <c r="AL1008" s="23" t="str">
        <f>IFERROR(_xlfn.XLOOKUP(Table1[[#This Row],[word]],Table57[English style name],Table57[Style type]),"")</f>
        <v/>
      </c>
      <c r="AM1008" s="21"/>
      <c r="AN1008" s="11"/>
    </row>
    <row r="1009" spans="5:40">
      <c r="E1009" s="76"/>
      <c r="F10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9" s="13"/>
      <c r="H1009" s="13"/>
      <c r="I1009" s="12" t="str">
        <f>Table1[[#This Row],[type]]</f>
        <v>field</v>
      </c>
      <c r="J1009" s="62" t="str">
        <f>Table1[[#This Row],[Column42]]&amp;IF(Table1[[#This Row],[Column13]]="","",Table1[[#This Row],[Column13]])&amp;IF(Table1[[#This Row],[mod]]="","",Table1[[#This Row],[mod]])</f>
        <v>field__select--md</v>
      </c>
      <c r="K10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9" t="s">
        <v>3099</v>
      </c>
      <c r="M1009" t="s">
        <v>582</v>
      </c>
      <c r="Q100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009" t="s">
        <v>3115</v>
      </c>
      <c r="AB1009" s="29"/>
      <c r="AC1009" s="25"/>
      <c r="AD1009" s="41" t="s">
        <v>7197</v>
      </c>
      <c r="AE1009" s="41"/>
      <c r="AF1009" s="11"/>
      <c r="AH1009" s="7" t="str">
        <f>Table1[[#This Row],[html_tag]]&amp;Table1[[#This Row],[html_type]]&amp;Table1[[#This Row],[html_modifier]]</f>
        <v/>
      </c>
      <c r="AL1009" s="23" t="str">
        <f>IFERROR(_xlfn.XLOOKUP(Table1[[#This Row],[word]],Table57[English style name],Table57[Style type]),"")</f>
        <v/>
      </c>
      <c r="AM1009" s="21"/>
      <c r="AN1009" s="11"/>
    </row>
    <row r="1010" spans="5:40">
      <c r="E1010" s="76"/>
      <c r="F10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0" s="13"/>
      <c r="H1010" s="13"/>
      <c r="I1010" s="12" t="str">
        <f>Table1[[#This Row],[type]]</f>
        <v>field</v>
      </c>
      <c r="J1010" s="62" t="str">
        <f>Table1[[#This Row],[Column42]]&amp;IF(Table1[[#This Row],[Column13]]="","",Table1[[#This Row],[Column13]])&amp;IF(Table1[[#This Row],[mod]]="","",Table1[[#This Row],[mod]])</f>
        <v>field__select--neutral</v>
      </c>
      <c r="K10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0" t="s">
        <v>3099</v>
      </c>
      <c r="M1010" t="s">
        <v>582</v>
      </c>
      <c r="Q10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1010" t="s">
        <v>7393</v>
      </c>
      <c r="AB1010" s="29"/>
      <c r="AC1010" s="25"/>
      <c r="AD1010" s="41" t="s">
        <v>7187</v>
      </c>
      <c r="AE1010" s="41"/>
      <c r="AF1010" s="11"/>
      <c r="AH1010" s="7" t="str">
        <f>Table1[[#This Row],[html_tag]]&amp;Table1[[#This Row],[html_type]]&amp;Table1[[#This Row],[html_modifier]]</f>
        <v/>
      </c>
      <c r="AL1010" s="23" t="str">
        <f>IFERROR(_xlfn.XLOOKUP(Table1[[#This Row],[word]],Table57[English style name],Table57[Style type]),"")</f>
        <v/>
      </c>
      <c r="AM1010" s="21"/>
      <c r="AN1010" s="11"/>
    </row>
    <row r="1011" spans="5:40">
      <c r="E1011" s="76"/>
      <c r="F10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1" s="13"/>
      <c r="H1011" s="13"/>
      <c r="I1011" s="12" t="str">
        <f>Table1[[#This Row],[type]]</f>
        <v>field</v>
      </c>
      <c r="J1011" s="62" t="str">
        <f>Table1[[#This Row],[Column42]]&amp;IF(Table1[[#This Row],[Column13]]="","",Table1[[#This Row],[Column13]])&amp;IF(Table1[[#This Row],[mod]]="","",Table1[[#This Row],[mod]])</f>
        <v>field__select--primary</v>
      </c>
      <c r="K10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1" t="s">
        <v>3099</v>
      </c>
      <c r="M1011" t="s">
        <v>582</v>
      </c>
      <c r="Q101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011" t="s">
        <v>3164</v>
      </c>
      <c r="AB1011" s="29"/>
      <c r="AC1011" s="25"/>
      <c r="AD1011" s="41" t="s">
        <v>7188</v>
      </c>
      <c r="AE1011" s="41"/>
      <c r="AF1011" s="11"/>
      <c r="AH1011" s="7" t="str">
        <f>Table1[[#This Row],[html_tag]]&amp;Table1[[#This Row],[html_type]]&amp;Table1[[#This Row],[html_modifier]]</f>
        <v/>
      </c>
      <c r="AL1011" s="23" t="str">
        <f>IFERROR(_xlfn.XLOOKUP(Table1[[#This Row],[word]],Table57[English style name],Table57[Style type]),"")</f>
        <v/>
      </c>
      <c r="AM1011" s="21"/>
      <c r="AN1011" s="11"/>
    </row>
    <row r="1012" spans="5:40">
      <c r="E1012" s="76"/>
      <c r="F10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2" s="13"/>
      <c r="H1012" s="13"/>
      <c r="I1012" s="12" t="str">
        <f>Table1[[#This Row],[type]]</f>
        <v>field</v>
      </c>
      <c r="J1012" s="62" t="str">
        <f>Table1[[#This Row],[Column42]]&amp;IF(Table1[[#This Row],[Column13]]="","",Table1[[#This Row],[Column13]])&amp;IF(Table1[[#This Row],[mod]]="","",Table1[[#This Row],[mod]])</f>
        <v>field__select--secondary</v>
      </c>
      <c r="K10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2" t="s">
        <v>3099</v>
      </c>
      <c r="M1012" t="s">
        <v>582</v>
      </c>
      <c r="Q101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012" t="s">
        <v>3502</v>
      </c>
      <c r="AB1012" s="29"/>
      <c r="AC1012" s="25"/>
      <c r="AD1012" s="41" t="s">
        <v>7189</v>
      </c>
      <c r="AE1012" s="41"/>
      <c r="AF1012" s="11"/>
      <c r="AH1012" s="7" t="str">
        <f>Table1[[#This Row],[html_tag]]&amp;Table1[[#This Row],[html_type]]&amp;Table1[[#This Row],[html_modifier]]</f>
        <v/>
      </c>
      <c r="AL1012" s="23" t="str">
        <f>IFERROR(_xlfn.XLOOKUP(Table1[[#This Row],[word]],Table57[English style name],Table57[Style type]),"")</f>
        <v/>
      </c>
      <c r="AM1012" s="21"/>
      <c r="AN1012" s="11"/>
    </row>
    <row r="1013" spans="5:40">
      <c r="E1013" s="76"/>
      <c r="F10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3" s="13"/>
      <c r="H1013" s="13"/>
      <c r="I1013" s="12" t="str">
        <f>Table1[[#This Row],[type]]</f>
        <v>field</v>
      </c>
      <c r="J1013" s="62" t="str">
        <f>Table1[[#This Row],[Column42]]&amp;IF(Table1[[#This Row],[Column13]]="","",Table1[[#This Row],[Column13]])&amp;IF(Table1[[#This Row],[mod]]="","",Table1[[#This Row],[mod]])</f>
        <v>field__select--sm</v>
      </c>
      <c r="K10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3" t="s">
        <v>3099</v>
      </c>
      <c r="M1013" t="s">
        <v>582</v>
      </c>
      <c r="Q101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013" t="s">
        <v>3116</v>
      </c>
      <c r="AB1013" s="29"/>
      <c r="AC1013" s="25" t="s">
        <v>5004</v>
      </c>
      <c r="AD1013" s="41" t="s">
        <v>7196</v>
      </c>
      <c r="AE1013" s="41"/>
      <c r="AF1013" s="11"/>
      <c r="AH1013" s="7" t="str">
        <f>Table1[[#This Row],[html_tag]]&amp;Table1[[#This Row],[html_type]]&amp;Table1[[#This Row],[html_modifier]]</f>
        <v/>
      </c>
      <c r="AL1013" s="23" t="str">
        <f>IFERROR(_xlfn.XLOOKUP(Table1[[#This Row],[word]],Table57[English style name],Table57[Style type]),"")</f>
        <v/>
      </c>
      <c r="AM1013" s="21"/>
      <c r="AN1013" s="11"/>
    </row>
    <row r="1014" spans="5:40">
      <c r="E1014" s="76"/>
      <c r="F10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4" s="13"/>
      <c r="H1014" s="13"/>
      <c r="I1014" s="12" t="str">
        <f>Table1[[#This Row],[type]]</f>
        <v>field</v>
      </c>
      <c r="J1014" s="62" t="str">
        <f>Table1[[#This Row],[Column42]]&amp;IF(Table1[[#This Row],[Column13]]="","",Table1[[#This Row],[Column13]])&amp;IF(Table1[[#This Row],[mod]]="","",Table1[[#This Row],[mod]])</f>
        <v>field__select--success</v>
      </c>
      <c r="K10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4" t="s">
        <v>3099</v>
      </c>
      <c r="M1014" t="s">
        <v>582</v>
      </c>
      <c r="Q10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14" t="s">
        <v>3120</v>
      </c>
      <c r="AB1014" s="29"/>
      <c r="AC1014" s="25"/>
      <c r="AD1014" s="41" t="s">
        <v>7192</v>
      </c>
      <c r="AE1014" s="41"/>
      <c r="AF1014" s="11"/>
      <c r="AH1014" s="7" t="str">
        <f>Table1[[#This Row],[html_tag]]&amp;Table1[[#This Row],[html_type]]&amp;Table1[[#This Row],[html_modifier]]</f>
        <v/>
      </c>
      <c r="AL1014" s="23" t="str">
        <f>IFERROR(_xlfn.XLOOKUP(Table1[[#This Row],[word]],Table57[English style name],Table57[Style type]),"")</f>
        <v/>
      </c>
      <c r="AM1014" s="21"/>
      <c r="AN1014" s="11"/>
    </row>
    <row r="1015" spans="5:40">
      <c r="E1015" s="76"/>
      <c r="F10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5" s="13"/>
      <c r="H1015" s="13"/>
      <c r="I1015" s="12" t="str">
        <f>Table1[[#This Row],[type]]</f>
        <v>field</v>
      </c>
      <c r="J1015" s="62" t="str">
        <f>Table1[[#This Row],[Column42]]&amp;IF(Table1[[#This Row],[Column13]]="","",Table1[[#This Row],[Column13]])&amp;IF(Table1[[#This Row],[mod]]="","",Table1[[#This Row],[mod]])</f>
        <v>field__select--warning</v>
      </c>
      <c r="K10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5" t="s">
        <v>3099</v>
      </c>
      <c r="M1015" t="s">
        <v>582</v>
      </c>
      <c r="Q10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15" t="s">
        <v>3121</v>
      </c>
      <c r="AB1015" s="29"/>
      <c r="AC1015" s="25"/>
      <c r="AD1015" s="41" t="s">
        <v>7193</v>
      </c>
      <c r="AE1015" s="41"/>
      <c r="AF1015" s="11"/>
      <c r="AH1015" s="7" t="str">
        <f>Table1[[#This Row],[html_tag]]&amp;Table1[[#This Row],[html_type]]&amp;Table1[[#This Row],[html_modifier]]</f>
        <v/>
      </c>
      <c r="AL1015" s="23" t="str">
        <f>IFERROR(_xlfn.XLOOKUP(Table1[[#This Row],[word]],Table57[English style name],Table57[Style type]),"")</f>
        <v/>
      </c>
      <c r="AM1015" s="21"/>
      <c r="AN1015" s="11"/>
    </row>
    <row r="1016" spans="5:40">
      <c r="E1016" s="76"/>
      <c r="F10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6" s="13"/>
      <c r="H1016" s="13"/>
      <c r="I1016" s="12" t="str">
        <f>Table1[[#This Row],[type]]</f>
        <v>field</v>
      </c>
      <c r="J1016" s="62" t="str">
        <f>Table1[[#This Row],[Column42]]&amp;IF(Table1[[#This Row],[Column13]]="","",Table1[[#This Row],[Column13]])&amp;IF(Table1[[#This Row],[mod]]="","",Table1[[#This Row],[mod]])</f>
        <v>field__select--xl</v>
      </c>
      <c r="K10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6" t="s">
        <v>3099</v>
      </c>
      <c r="M1016" t="s">
        <v>582</v>
      </c>
      <c r="Q101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016" t="s">
        <v>3126</v>
      </c>
      <c r="AB1016" s="29"/>
      <c r="AC1016" s="25"/>
      <c r="AD1016" s="41" t="s">
        <v>7199</v>
      </c>
      <c r="AE1016" s="41"/>
      <c r="AF1016" s="11"/>
      <c r="AH1016" s="7" t="str">
        <f>Table1[[#This Row],[html_tag]]&amp;Table1[[#This Row],[html_type]]&amp;Table1[[#This Row],[html_modifier]]</f>
        <v/>
      </c>
      <c r="AL1016" s="23" t="str">
        <f>IFERROR(_xlfn.XLOOKUP(Table1[[#This Row],[word]],Table57[English style name],Table57[Style type]),"")</f>
        <v/>
      </c>
      <c r="AM1016" s="21"/>
      <c r="AN1016" s="11"/>
    </row>
    <row r="1017" spans="5:40">
      <c r="E1017" s="76"/>
      <c r="F10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7" s="13"/>
      <c r="H1017" s="13"/>
      <c r="I1017" s="12" t="str">
        <f>Table1[[#This Row],[type]]</f>
        <v>field</v>
      </c>
      <c r="J1017" s="62" t="str">
        <f>Table1[[#This Row],[Column42]]&amp;IF(Table1[[#This Row],[Column13]]="","",Table1[[#This Row],[Column13]])&amp;IF(Table1[[#This Row],[mod]]="","",Table1[[#This Row],[mod]])</f>
        <v>field__select--xs</v>
      </c>
      <c r="K10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7" t="s">
        <v>3099</v>
      </c>
      <c r="M1017" t="s">
        <v>582</v>
      </c>
      <c r="Q101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017" t="s">
        <v>3127</v>
      </c>
      <c r="AB1017" s="29"/>
      <c r="AC1017" s="25"/>
      <c r="AD1017" s="41" t="s">
        <v>7195</v>
      </c>
      <c r="AE1017" s="41"/>
      <c r="AF1017" s="11"/>
      <c r="AH1017" s="7" t="str">
        <f>Table1[[#This Row],[html_tag]]&amp;Table1[[#This Row],[html_type]]&amp;Table1[[#This Row],[html_modifier]]</f>
        <v/>
      </c>
      <c r="AL1017" s="23" t="str">
        <f>IFERROR(_xlfn.XLOOKUP(Table1[[#This Row],[word]],Table57[English style name],Table57[Style type]),"")</f>
        <v/>
      </c>
      <c r="AM1017" s="21"/>
      <c r="AN1017" s="11"/>
    </row>
    <row r="1018" spans="5:40">
      <c r="E1018" s="76"/>
      <c r="F10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8" s="13"/>
      <c r="H1018" s="13"/>
      <c r="I1018" s="12" t="str">
        <f>Table1[[#This Row],[type]]</f>
        <v>field</v>
      </c>
      <c r="J1018" s="62" t="str">
        <f>Table1[[#This Row],[Column42]]&amp;IF(Table1[[#This Row],[Column13]]="","",Table1[[#This Row],[Column13]])&amp;IF(Table1[[#This Row],[mod]]="","",Table1[[#This Row],[mod]])</f>
        <v>field__submit--type</v>
      </c>
      <c r="K10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field__submit</v>
      </c>
      <c r="L1018" t="s">
        <v>3099</v>
      </c>
      <c r="M1018" t="s">
        <v>3094</v>
      </c>
      <c r="Q10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18" t="s">
        <v>1</v>
      </c>
      <c r="U10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18" s="29"/>
      <c r="AC1018" s="25"/>
      <c r="AD1018" s="41"/>
      <c r="AE1018" s="41"/>
      <c r="AF1018" s="11" t="s">
        <v>203</v>
      </c>
      <c r="AH1018" s="1" t="str">
        <f>Table1[[#This Row],[html_tag]]&amp;Table1[[#This Row],[html_type]]&amp;Table1[[#This Row],[html_modifier]]</f>
        <v>&lt;input&gt;submit</v>
      </c>
      <c r="AI1018" t="s">
        <v>203</v>
      </c>
      <c r="AJ1018" t="s">
        <v>3094</v>
      </c>
      <c r="AL1018" s="22" t="str">
        <f>IFERROR(_xlfn.XLOOKUP(Table1[[#This Row],[word]],Table57[English style name],Table57[Style type]),"")</f>
        <v/>
      </c>
      <c r="AM1018" s="20"/>
      <c r="AN1018" s="11"/>
    </row>
    <row r="1019" spans="5:40">
      <c r="E1019" s="76"/>
      <c r="F10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9" s="13"/>
      <c r="H1019" s="13"/>
      <c r="I1019" s="12" t="str">
        <f>Table1[[#This Row],[type]]</f>
        <v>field</v>
      </c>
      <c r="J1019" s="62" t="str">
        <f>Table1[[#This Row],[Column42]]&amp;IF(Table1[[#This Row],[Column13]]="","",Table1[[#This Row],[Column13]])&amp;IF(Table1[[#This Row],[mod]]="","",Table1[[#This Row],[mod]])</f>
        <v>field__switch__.custom-switch</v>
      </c>
      <c r="K10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field__switch__.custom-switch</v>
      </c>
      <c r="L1019" t="s">
        <v>3099</v>
      </c>
      <c r="M1019" t="s">
        <v>7412</v>
      </c>
      <c r="O1019" s="25" t="s">
        <v>3883</v>
      </c>
      <c r="Q10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19" s="29"/>
      <c r="AC1019" s="25" t="s">
        <v>3883</v>
      </c>
      <c r="AD1019" s="41"/>
      <c r="AE1019" s="41"/>
      <c r="AF1019" s="11"/>
      <c r="AH1019" s="7" t="str">
        <f>Table1[[#This Row],[html_tag]]&amp;Table1[[#This Row],[html_type]]&amp;Table1[[#This Row],[html_modifier]]</f>
        <v/>
      </c>
      <c r="AL1019" s="23" t="str">
        <f>IFERROR(_xlfn.XLOOKUP(Table1[[#This Row],[word]],Table57[English style name],Table57[Style type]),"")</f>
        <v/>
      </c>
      <c r="AM1019" s="21"/>
      <c r="AN1019" s="11"/>
    </row>
    <row r="1020" spans="5:40">
      <c r="E1020" s="76"/>
      <c r="F10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0" s="13"/>
      <c r="H1020" s="13"/>
      <c r="I1020" s="12" t="str">
        <f>Table1[[#This Row],[type]]</f>
        <v>field</v>
      </c>
      <c r="J1020" s="62" t="str">
        <f>Table1[[#This Row],[Column42]]&amp;IF(Table1[[#This Row],[Column13]]="","",Table1[[#This Row],[Column13]])&amp;IF(Table1[[#This Row],[mod]]="","",Table1[[#This Row],[mod]])</f>
        <v>field__tel--type</v>
      </c>
      <c r="K10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field__tel</v>
      </c>
      <c r="L1020" t="s">
        <v>3099</v>
      </c>
      <c r="M1020" t="s">
        <v>3095</v>
      </c>
      <c r="Q10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20" t="s">
        <v>1</v>
      </c>
      <c r="U10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20" s="29"/>
      <c r="AC1020" s="25"/>
      <c r="AD1020" s="41"/>
      <c r="AE1020" s="41"/>
      <c r="AF1020" s="11" t="s">
        <v>203</v>
      </c>
      <c r="AH1020" s="1" t="str">
        <f>Table1[[#This Row],[html_tag]]&amp;Table1[[#This Row],[html_type]]&amp;Table1[[#This Row],[html_modifier]]</f>
        <v>&lt;input&gt;tel</v>
      </c>
      <c r="AI1020" t="s">
        <v>203</v>
      </c>
      <c r="AJ1020" t="s">
        <v>3095</v>
      </c>
      <c r="AL1020" s="22" t="str">
        <f>IFERROR(_xlfn.XLOOKUP(Table1[[#This Row],[word]],Table57[English style name],Table57[Style type]),"")</f>
        <v/>
      </c>
      <c r="AM1020" s="20"/>
      <c r="AN1020" s="11"/>
    </row>
    <row r="1021" spans="5:40">
      <c r="E1021" s="76"/>
      <c r="F10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1" s="13"/>
      <c r="H1021" s="13"/>
      <c r="I1021" s="12" t="str">
        <f>Table1[[#This Row],[type]]</f>
        <v>field</v>
      </c>
      <c r="J1021" s="62" t="str">
        <f>Table1[[#This Row],[Column42]]&amp;IF(Table1[[#This Row],[Column13]]="","",Table1[[#This Row],[Column13]])&amp;IF(Table1[[#This Row],[mod]]="","",Table1[[#This Row],[mod]])</f>
        <v>field__text</v>
      </c>
      <c r="K10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1" t="s">
        <v>3099</v>
      </c>
      <c r="M1021" t="s">
        <v>403</v>
      </c>
      <c r="Q10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21" s="29"/>
      <c r="AC1021" s="25"/>
      <c r="AD1021" s="41" t="s">
        <v>4114</v>
      </c>
      <c r="AE1021" s="41"/>
      <c r="AF1021" s="11"/>
      <c r="AH1021" s="7" t="str">
        <f>Table1[[#This Row],[html_tag]]&amp;Table1[[#This Row],[html_type]]&amp;Table1[[#This Row],[html_modifier]]</f>
        <v/>
      </c>
      <c r="AL1021" s="23" t="str">
        <f>IFERROR(_xlfn.XLOOKUP(Table1[[#This Row],[word]],Table57[English style name],Table57[Style type]),"")</f>
        <v/>
      </c>
      <c r="AM1021" s="21"/>
      <c r="AN1021" s="11"/>
    </row>
    <row r="1022" spans="5:40">
      <c r="E1022" s="76"/>
      <c r="F10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2" s="13"/>
      <c r="H1022" s="13"/>
      <c r="I1022" s="12" t="str">
        <f>Table1[[#This Row],[type]]</f>
        <v>field</v>
      </c>
      <c r="J1022" s="62" t="str">
        <f>Table1[[#This Row],[Column42]]&amp;IF(Table1[[#This Row],[Column13]]="","",Table1[[#This Row],[Column13]])&amp;IF(Table1[[#This Row],[mod]]="","",Table1[[#This Row],[mod]])</f>
        <v>field__text--accent</v>
      </c>
      <c r="K10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2" t="s">
        <v>3099</v>
      </c>
      <c r="M1022" t="s">
        <v>403</v>
      </c>
      <c r="Q10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022" t="s">
        <v>7394</v>
      </c>
      <c r="AB1022" s="29"/>
      <c r="AC1022" s="25"/>
      <c r="AD1022" s="41" t="s">
        <v>6751</v>
      </c>
      <c r="AE1022" s="41"/>
      <c r="AF1022" s="11"/>
      <c r="AH1022" s="7" t="str">
        <f>Table1[[#This Row],[html_tag]]&amp;Table1[[#This Row],[html_type]]&amp;Table1[[#This Row],[html_modifier]]</f>
        <v/>
      </c>
      <c r="AL1022" s="23" t="str">
        <f>IFERROR(_xlfn.XLOOKUP(Table1[[#This Row],[word]],Table57[English style name],Table57[Style type]),"")</f>
        <v/>
      </c>
      <c r="AM1022" s="21"/>
      <c r="AN1022" s="11"/>
    </row>
    <row r="1023" spans="5:40">
      <c r="E1023" s="76"/>
      <c r="F10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3" s="13"/>
      <c r="H1023" s="13"/>
      <c r="I1023" s="12" t="str">
        <f>Table1[[#This Row],[type]]</f>
        <v>field</v>
      </c>
      <c r="J1023" s="62" t="str">
        <f>Table1[[#This Row],[Column42]]&amp;IF(Table1[[#This Row],[Column13]]="","",Table1[[#This Row],[Column13]])&amp;IF(Table1[[#This Row],[mod]]="","",Table1[[#This Row],[mod]])</f>
        <v>field__text--error</v>
      </c>
      <c r="K10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3" t="s">
        <v>3099</v>
      </c>
      <c r="M1023" t="s">
        <v>403</v>
      </c>
      <c r="Q10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23" t="s">
        <v>3117</v>
      </c>
      <c r="AB1023" s="29"/>
      <c r="AC1023" s="25"/>
      <c r="AD1023" s="41" t="s">
        <v>6755</v>
      </c>
      <c r="AE1023" s="41"/>
      <c r="AF1023" s="11"/>
      <c r="AH1023" s="7" t="str">
        <f>Table1[[#This Row],[html_tag]]&amp;Table1[[#This Row],[html_type]]&amp;Table1[[#This Row],[html_modifier]]</f>
        <v/>
      </c>
      <c r="AL1023" s="23" t="str">
        <f>IFERROR(_xlfn.XLOOKUP(Table1[[#This Row],[word]],Table57[English style name],Table57[Style type]),"")</f>
        <v/>
      </c>
      <c r="AM1023" s="21"/>
      <c r="AN1023" s="11"/>
    </row>
    <row r="1024" spans="5:40">
      <c r="E1024" s="76"/>
      <c r="F10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4" s="13"/>
      <c r="H1024" s="13"/>
      <c r="I1024" s="12" t="str">
        <f>Table1[[#This Row],[type]]</f>
        <v>field</v>
      </c>
      <c r="J1024" s="62" t="str">
        <f>Table1[[#This Row],[Column42]]&amp;IF(Table1[[#This Row],[Column13]]="","",Table1[[#This Row],[Column13]])&amp;IF(Table1[[#This Row],[mod]]="","",Table1[[#This Row],[mod]])</f>
        <v>field__text--ghost</v>
      </c>
      <c r="K10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4" t="s">
        <v>3099</v>
      </c>
      <c r="M1024" t="s">
        <v>403</v>
      </c>
      <c r="Q10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1024" t="s">
        <v>7395</v>
      </c>
      <c r="AB1024" s="29"/>
      <c r="AC1024" s="25"/>
      <c r="AD1024" s="41" t="s">
        <v>6747</v>
      </c>
      <c r="AE1024" s="41"/>
      <c r="AF1024" s="11"/>
      <c r="AH1024" s="7" t="str">
        <f>Table1[[#This Row],[html_tag]]&amp;Table1[[#This Row],[html_type]]&amp;Table1[[#This Row],[html_modifier]]</f>
        <v/>
      </c>
      <c r="AL1024" s="23" t="str">
        <f>IFERROR(_xlfn.XLOOKUP(Table1[[#This Row],[word]],Table57[English style name],Table57[Style type]),"")</f>
        <v/>
      </c>
      <c r="AM1024" s="21"/>
      <c r="AN1024" s="11"/>
    </row>
    <row r="1025" spans="5:44">
      <c r="E1025" s="76"/>
      <c r="F10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5" s="13"/>
      <c r="H1025" s="13"/>
      <c r="I1025" s="12" t="str">
        <f>Table1[[#This Row],[type]]</f>
        <v>field</v>
      </c>
      <c r="J1025" s="62" t="str">
        <f>Table1[[#This Row],[Column42]]&amp;IF(Table1[[#This Row],[Column13]]="","",Table1[[#This Row],[Column13]])&amp;IF(Table1[[#This Row],[mod]]="","",Table1[[#This Row],[mod]])</f>
        <v>field__text--info</v>
      </c>
      <c r="K10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5" t="s">
        <v>3099</v>
      </c>
      <c r="M1025" t="s">
        <v>403</v>
      </c>
      <c r="Q102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025" t="s">
        <v>3119</v>
      </c>
      <c r="AB1025" s="29"/>
      <c r="AC1025" s="25"/>
      <c r="AD1025" s="41" t="s">
        <v>6752</v>
      </c>
      <c r="AE1025" s="41"/>
      <c r="AF1025" s="11"/>
      <c r="AH1025" s="7" t="str">
        <f>Table1[[#This Row],[html_tag]]&amp;Table1[[#This Row],[html_type]]&amp;Table1[[#This Row],[html_modifier]]</f>
        <v/>
      </c>
      <c r="AL1025" s="23" t="str">
        <f>IFERROR(_xlfn.XLOOKUP(Table1[[#This Row],[word]],Table57[English style name],Table57[Style type]),"")</f>
        <v/>
      </c>
      <c r="AM1025" s="21"/>
      <c r="AN1025" s="11"/>
    </row>
    <row r="1026" spans="5:44">
      <c r="E1026" s="76"/>
      <c r="F10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6" s="13"/>
      <c r="H1026" s="13"/>
      <c r="I1026" s="12" t="str">
        <f>Table1[[#This Row],[type]]</f>
        <v>field</v>
      </c>
      <c r="J1026" s="62" t="str">
        <f>Table1[[#This Row],[Column42]]&amp;IF(Table1[[#This Row],[Column13]]="","",Table1[[#This Row],[Column13]])&amp;IF(Table1[[#This Row],[mod]]="","",Table1[[#This Row],[mod]])</f>
        <v>field__text--lg</v>
      </c>
      <c r="K10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6" t="s">
        <v>3099</v>
      </c>
      <c r="M1026" t="s">
        <v>403</v>
      </c>
      <c r="Q10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026" t="s">
        <v>3114</v>
      </c>
      <c r="AB1026" s="29"/>
      <c r="AC1026" s="25"/>
      <c r="AD1026" s="41" t="s">
        <v>6759</v>
      </c>
      <c r="AE1026" s="41"/>
      <c r="AF1026" s="11"/>
      <c r="AH1026" s="7" t="str">
        <f>Table1[[#This Row],[html_tag]]&amp;Table1[[#This Row],[html_type]]&amp;Table1[[#This Row],[html_modifier]]</f>
        <v/>
      </c>
      <c r="AL1026" s="23" t="str">
        <f>IFERROR(_xlfn.XLOOKUP(Table1[[#This Row],[word]],Table57[English style name],Table57[Style type]),"")</f>
        <v/>
      </c>
      <c r="AM1026" s="21"/>
      <c r="AN1026" s="11"/>
    </row>
    <row r="1027" spans="5:44">
      <c r="E1027" s="76"/>
      <c r="F10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7" s="13"/>
      <c r="H1027" s="13"/>
      <c r="I1027" s="12" t="str">
        <f>Table1[[#This Row],[type]]</f>
        <v>field</v>
      </c>
      <c r="J1027" s="62" t="str">
        <f>Table1[[#This Row],[Column42]]&amp;IF(Table1[[#This Row],[Column13]]="","",Table1[[#This Row],[Column13]])&amp;IF(Table1[[#This Row],[mod]]="","",Table1[[#This Row],[mod]])</f>
        <v>field__text--md</v>
      </c>
      <c r="K10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7" t="s">
        <v>3099</v>
      </c>
      <c r="M1027" t="s">
        <v>403</v>
      </c>
      <c r="Q10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027" t="s">
        <v>3115</v>
      </c>
      <c r="AB1027" s="29"/>
      <c r="AC1027" s="25"/>
      <c r="AD1027" s="41" t="s">
        <v>6758</v>
      </c>
      <c r="AE1027" s="41"/>
      <c r="AF1027" s="11"/>
      <c r="AH1027" s="7" t="str">
        <f>Table1[[#This Row],[html_tag]]&amp;Table1[[#This Row],[html_type]]&amp;Table1[[#This Row],[html_modifier]]</f>
        <v/>
      </c>
      <c r="AL1027" s="23" t="str">
        <f>IFERROR(_xlfn.XLOOKUP(Table1[[#This Row],[word]],Table57[English style name],Table57[Style type]),"")</f>
        <v/>
      </c>
      <c r="AM1027" s="21"/>
      <c r="AN1027" s="11"/>
    </row>
    <row r="1028" spans="5:44">
      <c r="E1028" s="76"/>
      <c r="F10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8" s="13"/>
      <c r="H1028" s="13"/>
      <c r="I1028" s="12" t="str">
        <f>Table1[[#This Row],[type]]</f>
        <v>field</v>
      </c>
      <c r="J1028" s="62" t="str">
        <f>Table1[[#This Row],[Column42]]&amp;IF(Table1[[#This Row],[Column13]]="","",Table1[[#This Row],[Column13]])&amp;IF(Table1[[#This Row],[mod]]="","",Table1[[#This Row],[mod]])</f>
        <v>field__text--neutral</v>
      </c>
      <c r="K10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8" t="s">
        <v>3099</v>
      </c>
      <c r="M1028" t="s">
        <v>403</v>
      </c>
      <c r="Q10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1028" t="s">
        <v>7393</v>
      </c>
      <c r="AB1028" s="29"/>
      <c r="AC1028" s="25"/>
      <c r="AD1028" s="41" t="s">
        <v>6748</v>
      </c>
      <c r="AE1028" s="41"/>
      <c r="AF1028" s="11"/>
      <c r="AH1028" s="7" t="str">
        <f>Table1[[#This Row],[html_tag]]&amp;Table1[[#This Row],[html_type]]&amp;Table1[[#This Row],[html_modifier]]</f>
        <v/>
      </c>
      <c r="AL1028" s="23" t="str">
        <f>IFERROR(_xlfn.XLOOKUP(Table1[[#This Row],[word]],Table57[English style name],Table57[Style type]),"")</f>
        <v/>
      </c>
      <c r="AM1028" s="21"/>
      <c r="AN1028" s="11"/>
    </row>
    <row r="1029" spans="5:44">
      <c r="E1029" s="76"/>
      <c r="F10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9" s="13"/>
      <c r="H1029" s="13"/>
      <c r="I1029" s="12" t="str">
        <f>Table1[[#This Row],[type]]</f>
        <v>field</v>
      </c>
      <c r="J1029" s="62" t="str">
        <f>Table1[[#This Row],[Column42]]&amp;IF(Table1[[#This Row],[Column13]]="","",Table1[[#This Row],[Column13]])&amp;IF(Table1[[#This Row],[mod]]="","",Table1[[#This Row],[mod]])</f>
        <v>field__text--primary</v>
      </c>
      <c r="K10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9" t="s">
        <v>3099</v>
      </c>
      <c r="M1029" t="s">
        <v>403</v>
      </c>
      <c r="Q102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029" t="s">
        <v>3164</v>
      </c>
      <c r="AB1029" s="29"/>
      <c r="AC1029" s="25"/>
      <c r="AD1029" s="41" t="s">
        <v>6749</v>
      </c>
      <c r="AE1029" s="41"/>
      <c r="AF1029" s="11"/>
      <c r="AH1029" s="7" t="str">
        <f>Table1[[#This Row],[html_tag]]&amp;Table1[[#This Row],[html_type]]&amp;Table1[[#This Row],[html_modifier]]</f>
        <v/>
      </c>
      <c r="AL1029" s="23" t="str">
        <f>IFERROR(_xlfn.XLOOKUP(Table1[[#This Row],[word]],Table57[English style name],Table57[Style type]),"")</f>
        <v/>
      </c>
      <c r="AM1029" s="21"/>
      <c r="AN1029" s="11"/>
    </row>
    <row r="1030" spans="5:44">
      <c r="E1030" s="76"/>
      <c r="F10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0" s="13"/>
      <c r="H1030" s="13"/>
      <c r="I1030" s="12" t="str">
        <f>Table1[[#This Row],[type]]</f>
        <v>field</v>
      </c>
      <c r="J1030" s="62" t="str">
        <f>Table1[[#This Row],[Column42]]&amp;IF(Table1[[#This Row],[Column13]]="","",Table1[[#This Row],[Column13]])&amp;IF(Table1[[#This Row],[mod]]="","",Table1[[#This Row],[mod]])</f>
        <v>field__text--secondary</v>
      </c>
      <c r="K10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0" t="s">
        <v>3099</v>
      </c>
      <c r="M1030" t="s">
        <v>403</v>
      </c>
      <c r="Q103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030" t="s">
        <v>3502</v>
      </c>
      <c r="AB1030" s="29"/>
      <c r="AC1030" s="25"/>
      <c r="AD1030" s="41" t="s">
        <v>6750</v>
      </c>
      <c r="AE1030" s="41"/>
      <c r="AF1030" s="11"/>
      <c r="AH1030" s="7" t="str">
        <f>Table1[[#This Row],[html_tag]]&amp;Table1[[#This Row],[html_type]]&amp;Table1[[#This Row],[html_modifier]]</f>
        <v/>
      </c>
      <c r="AL1030" s="23" t="str">
        <f>IFERROR(_xlfn.XLOOKUP(Table1[[#This Row],[word]],Table57[English style name],Table57[Style type]),"")</f>
        <v/>
      </c>
      <c r="AM1030" s="21"/>
      <c r="AN1030" s="11"/>
    </row>
    <row r="1031" spans="5:44">
      <c r="E1031" s="76"/>
      <c r="F10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1" s="13"/>
      <c r="H1031" s="13"/>
      <c r="I1031" s="12" t="str">
        <f>Table1[[#This Row],[type]]</f>
        <v>field</v>
      </c>
      <c r="J1031" s="62" t="str">
        <f>Table1[[#This Row],[Column42]]&amp;IF(Table1[[#This Row],[Column13]]="","",Table1[[#This Row],[Column13]])&amp;IF(Table1[[#This Row],[mod]]="","",Table1[[#This Row],[mod]])</f>
        <v>field__text--sm</v>
      </c>
      <c r="K10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1" t="s">
        <v>3099</v>
      </c>
      <c r="M1031" t="s">
        <v>403</v>
      </c>
      <c r="Q103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031" t="s">
        <v>3116</v>
      </c>
      <c r="AB1031" s="29"/>
      <c r="AC1031" s="25"/>
      <c r="AD1031" s="41" t="s">
        <v>6757</v>
      </c>
      <c r="AE1031" s="41"/>
      <c r="AF1031" s="11"/>
      <c r="AH1031" s="7" t="str">
        <f>Table1[[#This Row],[html_tag]]&amp;Table1[[#This Row],[html_type]]&amp;Table1[[#This Row],[html_modifier]]</f>
        <v/>
      </c>
      <c r="AL1031" s="23" t="str">
        <f>IFERROR(_xlfn.XLOOKUP(Table1[[#This Row],[word]],Table57[English style name],Table57[Style type]),"")</f>
        <v/>
      </c>
      <c r="AM1031" s="21"/>
      <c r="AN1031" s="11"/>
    </row>
    <row r="1032" spans="5:44">
      <c r="E1032" s="76"/>
      <c r="F10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2" s="13"/>
      <c r="H1032" s="13"/>
      <c r="I1032" s="12" t="str">
        <f>Table1[[#This Row],[type]]</f>
        <v>field</v>
      </c>
      <c r="J1032" s="62" t="str">
        <f>Table1[[#This Row],[Column42]]&amp;IF(Table1[[#This Row],[Column13]]="","",Table1[[#This Row],[Column13]])&amp;IF(Table1[[#This Row],[mod]]="","",Table1[[#This Row],[mod]])</f>
        <v>field__text--success</v>
      </c>
      <c r="K10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2" t="s">
        <v>3099</v>
      </c>
      <c r="M1032" t="s">
        <v>403</v>
      </c>
      <c r="Q103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32" t="s">
        <v>3120</v>
      </c>
      <c r="AB1032" s="29"/>
      <c r="AC1032" s="25"/>
      <c r="AD1032" s="41" t="s">
        <v>6753</v>
      </c>
      <c r="AE1032" s="41"/>
      <c r="AF1032" s="11"/>
      <c r="AH1032" s="7" t="str">
        <f>Table1[[#This Row],[html_tag]]&amp;Table1[[#This Row],[html_type]]&amp;Table1[[#This Row],[html_modifier]]</f>
        <v/>
      </c>
      <c r="AL1032" s="23" t="str">
        <f>IFERROR(_xlfn.XLOOKUP(Table1[[#This Row],[word]],Table57[English style name],Table57[Style type]),"")</f>
        <v/>
      </c>
      <c r="AM1032" s="21"/>
      <c r="AN1032" s="11"/>
    </row>
    <row r="1033" spans="5:44">
      <c r="E1033" s="76"/>
      <c r="F10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3" s="13"/>
      <c r="H1033" s="13"/>
      <c r="I1033" s="12" t="str">
        <f>Table1[[#This Row],[type]]</f>
        <v>field</v>
      </c>
      <c r="J1033" s="62" t="str">
        <f>Table1[[#This Row],[Column42]]&amp;IF(Table1[[#This Row],[Column13]]="","",Table1[[#This Row],[Column13]])&amp;IF(Table1[[#This Row],[mod]]="","",Table1[[#This Row],[mod]])</f>
        <v>field__text--type</v>
      </c>
      <c r="K10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3" t="s">
        <v>3099</v>
      </c>
      <c r="M1033" t="s">
        <v>403</v>
      </c>
      <c r="Q10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33" t="s">
        <v>1</v>
      </c>
      <c r="U10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33" s="29"/>
      <c r="AC1033" s="25"/>
      <c r="AD1033" s="41"/>
      <c r="AE1033" s="41"/>
      <c r="AF1033" s="11" t="s">
        <v>203</v>
      </c>
      <c r="AH1033" s="1" t="str">
        <f>Table1[[#This Row],[html_tag]]&amp;Table1[[#This Row],[html_type]]&amp;Table1[[#This Row],[html_modifier]]</f>
        <v>&lt;input&gt;text</v>
      </c>
      <c r="AI1033" t="s">
        <v>203</v>
      </c>
      <c r="AJ1033" t="s">
        <v>403</v>
      </c>
      <c r="AL1033" s="22" t="str">
        <f>IFERROR(_xlfn.XLOOKUP(Table1[[#This Row],[word]],Table57[English style name],Table57[Style type]),"")</f>
        <v/>
      </c>
      <c r="AM1033" s="20"/>
      <c r="AN1033" s="11"/>
    </row>
    <row r="1034" spans="5:44">
      <c r="E1034" s="76"/>
      <c r="F10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4" s="13"/>
      <c r="H1034" s="13"/>
      <c r="I1034" s="12" t="str">
        <f>Table1[[#This Row],[type]]</f>
        <v>field</v>
      </c>
      <c r="J1034" s="62" t="str">
        <f>Table1[[#This Row],[Column42]]&amp;IF(Table1[[#This Row],[Column13]]="","",Table1[[#This Row],[Column13]])&amp;IF(Table1[[#This Row],[mod]]="","",Table1[[#This Row],[mod]])</f>
        <v>field__text--warning</v>
      </c>
      <c r="K10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4" t="s">
        <v>3099</v>
      </c>
      <c r="M1034" t="s">
        <v>403</v>
      </c>
      <c r="Q10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34" t="s">
        <v>3121</v>
      </c>
      <c r="AB1034" s="29"/>
      <c r="AC1034" s="25"/>
      <c r="AD1034" s="41" t="s">
        <v>6754</v>
      </c>
      <c r="AE1034" s="41"/>
      <c r="AF1034" s="11"/>
      <c r="AH1034" s="7" t="str">
        <f>Table1[[#This Row],[html_tag]]&amp;Table1[[#This Row],[html_type]]&amp;Table1[[#This Row],[html_modifier]]</f>
        <v/>
      </c>
      <c r="AL1034" s="23" t="str">
        <f>IFERROR(_xlfn.XLOOKUP(Table1[[#This Row],[word]],Table57[English style name],Table57[Style type]),"")</f>
        <v/>
      </c>
      <c r="AM1034" s="21"/>
      <c r="AN1034" s="11"/>
    </row>
    <row r="1035" spans="5:44">
      <c r="E1035" s="76"/>
      <c r="F10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5" s="13"/>
      <c r="H1035" s="13"/>
      <c r="I1035" s="12" t="str">
        <f>Table1[[#This Row],[type]]</f>
        <v>field</v>
      </c>
      <c r="J1035" s="62" t="str">
        <f>Table1[[#This Row],[Column42]]&amp;IF(Table1[[#This Row],[Column13]]="","",Table1[[#This Row],[Column13]])&amp;IF(Table1[[#This Row],[mod]]="","",Table1[[#This Row],[mod]])</f>
        <v>field__text--xl</v>
      </c>
      <c r="K10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5" t="s">
        <v>3099</v>
      </c>
      <c r="M1035" t="s">
        <v>403</v>
      </c>
      <c r="Q103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035" t="s">
        <v>3126</v>
      </c>
      <c r="AB1035" s="29"/>
      <c r="AC1035" s="25"/>
      <c r="AD1035" s="41" t="s">
        <v>6760</v>
      </c>
      <c r="AE1035" s="41"/>
      <c r="AF1035" s="11"/>
      <c r="AH1035" s="7" t="str">
        <f>Table1[[#This Row],[html_tag]]&amp;Table1[[#This Row],[html_type]]&amp;Table1[[#This Row],[html_modifier]]</f>
        <v/>
      </c>
      <c r="AL1035" s="23" t="str">
        <f>IFERROR(_xlfn.XLOOKUP(Table1[[#This Row],[word]],Table57[English style name],Table57[Style type]),"")</f>
        <v/>
      </c>
      <c r="AM1035" s="21"/>
      <c r="AN1035" s="11"/>
    </row>
    <row r="1036" spans="5:44">
      <c r="E1036" s="76"/>
      <c r="F10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6" s="13"/>
      <c r="H1036" s="13"/>
      <c r="I1036" s="12" t="str">
        <f>Table1[[#This Row],[type]]</f>
        <v>field</v>
      </c>
      <c r="J1036" s="62" t="str">
        <f>Table1[[#This Row],[Column42]]&amp;IF(Table1[[#This Row],[Column13]]="","",Table1[[#This Row],[Column13]])&amp;IF(Table1[[#This Row],[mod]]="","",Table1[[#This Row],[mod]])</f>
        <v>field__text--xs</v>
      </c>
      <c r="K10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6" t="s">
        <v>3099</v>
      </c>
      <c r="M1036" t="s">
        <v>403</v>
      </c>
      <c r="Q10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036" t="s">
        <v>3127</v>
      </c>
      <c r="AB1036" s="29"/>
      <c r="AC1036" s="25"/>
      <c r="AD1036" s="41" t="s">
        <v>6756</v>
      </c>
      <c r="AE1036" s="41"/>
      <c r="AF1036" s="11"/>
      <c r="AH1036" s="7" t="str">
        <f>Table1[[#This Row],[html_tag]]&amp;Table1[[#This Row],[html_type]]&amp;Table1[[#This Row],[html_modifier]]</f>
        <v/>
      </c>
      <c r="AL1036" s="23" t="str">
        <f>IFERROR(_xlfn.XLOOKUP(Table1[[#This Row],[word]],Table57[English style name],Table57[Style type]),"")</f>
        <v/>
      </c>
      <c r="AM1036" s="21"/>
      <c r="AN1036" s="11"/>
    </row>
    <row r="1037" spans="5:44">
      <c r="E1037" s="76"/>
      <c r="F10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7" s="13" t="s">
        <v>337</v>
      </c>
      <c r="H1037" s="13" t="s">
        <v>2986</v>
      </c>
      <c r="I1037" s="12" t="str">
        <f>Table1[[#This Row],[type]]</f>
        <v>field</v>
      </c>
      <c r="J1037" s="62" t="str">
        <f>Table1[[#This Row],[Column42]]&amp;IF(Table1[[#This Row],[Column13]]="","",Table1[[#This Row],[Column13]])&amp;IF(Table1[[#This Row],[mod]]="","",Table1[[#This Row],[mod]])</f>
        <v>field__textarea--accent</v>
      </c>
      <c r="K10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37" t="s">
        <v>3099</v>
      </c>
      <c r="M1037" t="s">
        <v>596</v>
      </c>
      <c r="Q103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037" t="s">
        <v>7394</v>
      </c>
      <c r="AB1037" s="29"/>
      <c r="AC1037" s="25"/>
      <c r="AD1037" s="41" t="s">
        <v>6693</v>
      </c>
      <c r="AE1037" s="41"/>
      <c r="AF1037" s="11" t="s">
        <v>290</v>
      </c>
      <c r="AH1037" s="7" t="str">
        <f>Table1[[#This Row],[html_tag]]&amp;Table1[[#This Row],[html_type]]&amp;Table1[[#This Row],[html_modifier]]</f>
        <v/>
      </c>
      <c r="AL1037" s="23" t="str">
        <f>IFERROR(_xlfn.XLOOKUP(Table1[[#This Row],[word]],Table57[English style name],Table57[Style type]),"")</f>
        <v/>
      </c>
      <c r="AM1037" s="21"/>
      <c r="AN1037" s="11"/>
    </row>
    <row r="1038" spans="5:44">
      <c r="E1038" s="76"/>
      <c r="F10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8" s="13" t="s">
        <v>337</v>
      </c>
      <c r="H1038" s="13" t="s">
        <v>2986</v>
      </c>
      <c r="I1038" s="12" t="str">
        <f>Table1[[#This Row],[type]]</f>
        <v>field</v>
      </c>
      <c r="J1038" s="62" t="str">
        <f>Table1[[#This Row],[Column42]]&amp;IF(Table1[[#This Row],[Column13]]="","",Table1[[#This Row],[Column13]])&amp;IF(Table1[[#This Row],[mod]]="","",Table1[[#This Row],[mod]])</f>
        <v>field__textarea--base</v>
      </c>
      <c r="K10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38" t="s">
        <v>3099</v>
      </c>
      <c r="M1038" t="s">
        <v>596</v>
      </c>
      <c r="Q10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38" t="s">
        <v>338</v>
      </c>
      <c r="AB1038" s="29" t="s">
        <v>4125</v>
      </c>
      <c r="AC1038" s="25"/>
      <c r="AD1038" s="41" t="s">
        <v>4125</v>
      </c>
      <c r="AE1038" s="41"/>
      <c r="AF1038" s="11" t="s">
        <v>290</v>
      </c>
      <c r="AH1038" s="7" t="str">
        <f>Table1[[#This Row],[html_tag]]&amp;Table1[[#This Row],[html_type]]&amp;Table1[[#This Row],[html_modifier]]</f>
        <v>&lt;textarea&gt;</v>
      </c>
      <c r="AI1038" t="s">
        <v>290</v>
      </c>
      <c r="AL1038" s="22" t="str">
        <f>IFERROR(_xlfn.XLOOKUP(Table1[[#This Row],[word]],Table57[English style name],Table57[Style type]),"")</f>
        <v/>
      </c>
      <c r="AM1038" s="20"/>
      <c r="AN1038" s="11"/>
      <c r="AQ1038" s="6" t="s">
        <v>1999</v>
      </c>
      <c r="AR1038" t="s">
        <v>2000</v>
      </c>
    </row>
    <row r="1039" spans="5:44">
      <c r="E1039" s="76"/>
      <c r="F10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9" s="13" t="s">
        <v>337</v>
      </c>
      <c r="H1039" s="13" t="s">
        <v>2986</v>
      </c>
      <c r="I1039" s="12" t="str">
        <f>Table1[[#This Row],[type]]</f>
        <v>field</v>
      </c>
      <c r="J1039" s="62" t="str">
        <f>Table1[[#This Row],[Column42]]&amp;IF(Table1[[#This Row],[Column13]]="","",Table1[[#This Row],[Column13]])&amp;IF(Table1[[#This Row],[mod]]="","",Table1[[#This Row],[mod]])</f>
        <v>field__textarea--error</v>
      </c>
      <c r="K10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39" t="s">
        <v>3099</v>
      </c>
      <c r="M1039" t="s">
        <v>596</v>
      </c>
      <c r="Q103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39" t="s">
        <v>3117</v>
      </c>
      <c r="AB1039" s="29"/>
      <c r="AC1039" s="25"/>
      <c r="AD1039" s="41" t="s">
        <v>6697</v>
      </c>
      <c r="AE1039" s="41"/>
      <c r="AF1039" s="11" t="s">
        <v>290</v>
      </c>
      <c r="AH1039" s="7" t="str">
        <f>Table1[[#This Row],[html_tag]]&amp;Table1[[#This Row],[html_type]]&amp;Table1[[#This Row],[html_modifier]]</f>
        <v/>
      </c>
      <c r="AL1039" s="23" t="str">
        <f>IFERROR(_xlfn.XLOOKUP(Table1[[#This Row],[word]],Table57[English style name],Table57[Style type]),"")</f>
        <v/>
      </c>
      <c r="AM1039" s="21"/>
      <c r="AN1039" s="11"/>
    </row>
    <row r="1040" spans="5:44">
      <c r="E1040" s="76"/>
      <c r="F10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0" s="13" t="s">
        <v>337</v>
      </c>
      <c r="H1040" s="13" t="s">
        <v>2986</v>
      </c>
      <c r="I1040" s="12" t="str">
        <f>Table1[[#This Row],[type]]</f>
        <v>field</v>
      </c>
      <c r="J1040" s="62" t="str">
        <f>Table1[[#This Row],[Column42]]&amp;IF(Table1[[#This Row],[Column13]]="","",Table1[[#This Row],[Column13]])&amp;IF(Table1[[#This Row],[mod]]="","",Table1[[#This Row],[mod]])</f>
        <v>field__textarea--ghost</v>
      </c>
      <c r="K10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0" t="s">
        <v>3099</v>
      </c>
      <c r="M1040" t="s">
        <v>596</v>
      </c>
      <c r="Q104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1040" t="s">
        <v>7395</v>
      </c>
      <c r="AB1040" s="29"/>
      <c r="AC1040" s="25"/>
      <c r="AD1040" s="41" t="s">
        <v>6689</v>
      </c>
      <c r="AE1040" s="41"/>
      <c r="AF1040" s="11" t="s">
        <v>290</v>
      </c>
      <c r="AH1040" s="7" t="str">
        <f>Table1[[#This Row],[html_tag]]&amp;Table1[[#This Row],[html_type]]&amp;Table1[[#This Row],[html_modifier]]</f>
        <v/>
      </c>
      <c r="AL1040" s="23" t="str">
        <f>IFERROR(_xlfn.XLOOKUP(Table1[[#This Row],[word]],Table57[English style name],Table57[Style type]),"")</f>
        <v/>
      </c>
      <c r="AM1040" s="21"/>
      <c r="AN1040" s="11"/>
    </row>
    <row r="1041" spans="5:44">
      <c r="E1041" s="76"/>
      <c r="F10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1" s="13" t="s">
        <v>337</v>
      </c>
      <c r="H1041" s="13" t="s">
        <v>2986</v>
      </c>
      <c r="I1041" s="12" t="str">
        <f>Table1[[#This Row],[type]]</f>
        <v>field</v>
      </c>
      <c r="J1041" s="62" t="str">
        <f>Table1[[#This Row],[Column42]]&amp;IF(Table1[[#This Row],[Column13]]="","",Table1[[#This Row],[Column13]])&amp;IF(Table1[[#This Row],[mod]]="","",Table1[[#This Row],[mod]])</f>
        <v>field__textarea--info</v>
      </c>
      <c r="K10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1" t="s">
        <v>3099</v>
      </c>
      <c r="M1041" t="s">
        <v>596</v>
      </c>
      <c r="Q104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041" t="s">
        <v>3119</v>
      </c>
      <c r="AB1041" s="29"/>
      <c r="AC1041" s="25"/>
      <c r="AD1041" s="41" t="s">
        <v>6694</v>
      </c>
      <c r="AE1041" s="41"/>
      <c r="AF1041" s="11" t="s">
        <v>290</v>
      </c>
      <c r="AH1041" s="7" t="str">
        <f>Table1[[#This Row],[html_tag]]&amp;Table1[[#This Row],[html_type]]&amp;Table1[[#This Row],[html_modifier]]</f>
        <v/>
      </c>
      <c r="AL1041" s="23" t="str">
        <f>IFERROR(_xlfn.XLOOKUP(Table1[[#This Row],[word]],Table57[English style name],Table57[Style type]),"")</f>
        <v/>
      </c>
      <c r="AM1041" s="21"/>
      <c r="AN1041" s="11"/>
    </row>
    <row r="1042" spans="5:44">
      <c r="E1042" s="76"/>
      <c r="F10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2" s="13" t="s">
        <v>337</v>
      </c>
      <c r="H1042" s="13" t="s">
        <v>2986</v>
      </c>
      <c r="I1042" s="12" t="str">
        <f>Table1[[#This Row],[type]]</f>
        <v>field</v>
      </c>
      <c r="J1042" s="62" t="str">
        <f>Table1[[#This Row],[Column42]]&amp;IF(Table1[[#This Row],[Column13]]="","",Table1[[#This Row],[Column13]])&amp;IF(Table1[[#This Row],[mod]]="","",Table1[[#This Row],[mod]])</f>
        <v>field__textarea--lg</v>
      </c>
      <c r="K10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2" t="s">
        <v>3099</v>
      </c>
      <c r="M1042" t="s">
        <v>596</v>
      </c>
      <c r="Q104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042" t="s">
        <v>3114</v>
      </c>
      <c r="AB1042" s="29"/>
      <c r="AC1042" s="25"/>
      <c r="AD1042" s="41" t="s">
        <v>6701</v>
      </c>
      <c r="AE1042" s="41"/>
      <c r="AF1042" s="11" t="s">
        <v>290</v>
      </c>
      <c r="AH1042" s="7" t="str">
        <f>Table1[[#This Row],[html_tag]]&amp;Table1[[#This Row],[html_type]]&amp;Table1[[#This Row],[html_modifier]]</f>
        <v/>
      </c>
      <c r="AL1042" s="23" t="str">
        <f>IFERROR(_xlfn.XLOOKUP(Table1[[#This Row],[word]],Table57[English style name],Table57[Style type]),"")</f>
        <v/>
      </c>
      <c r="AM1042" s="21"/>
      <c r="AN1042" s="11"/>
    </row>
    <row r="1043" spans="5:44">
      <c r="E1043" s="76"/>
      <c r="F10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3" s="13" t="s">
        <v>337</v>
      </c>
      <c r="H1043" s="13" t="s">
        <v>2986</v>
      </c>
      <c r="I1043" s="12" t="str">
        <f>Table1[[#This Row],[type]]</f>
        <v>field</v>
      </c>
      <c r="J1043" s="62" t="str">
        <f>Table1[[#This Row],[Column42]]&amp;IF(Table1[[#This Row],[Column13]]="","",Table1[[#This Row],[Column13]])&amp;IF(Table1[[#This Row],[mod]]="","",Table1[[#This Row],[mod]])</f>
        <v>field__textarea--md</v>
      </c>
      <c r="K10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3" t="s">
        <v>3099</v>
      </c>
      <c r="M1043" t="s">
        <v>596</v>
      </c>
      <c r="Q10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043" t="s">
        <v>3115</v>
      </c>
      <c r="AB1043" s="29"/>
      <c r="AC1043" s="25"/>
      <c r="AD1043" s="41" t="s">
        <v>6700</v>
      </c>
      <c r="AE1043" s="41"/>
      <c r="AF1043" s="11" t="s">
        <v>290</v>
      </c>
      <c r="AH1043" s="7" t="str">
        <f>Table1[[#This Row],[html_tag]]&amp;Table1[[#This Row],[html_type]]&amp;Table1[[#This Row],[html_modifier]]</f>
        <v/>
      </c>
      <c r="AL1043" s="23" t="str">
        <f>IFERROR(_xlfn.XLOOKUP(Table1[[#This Row],[word]],Table57[English style name],Table57[Style type]),"")</f>
        <v/>
      </c>
      <c r="AM1043" s="21"/>
      <c r="AN1043" s="11"/>
    </row>
    <row r="1044" spans="5:44">
      <c r="E1044" s="76"/>
      <c r="F10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4" s="13" t="s">
        <v>337</v>
      </c>
      <c r="H1044" s="13" t="s">
        <v>2986</v>
      </c>
      <c r="I1044" s="12" t="str">
        <f>Table1[[#This Row],[type]]</f>
        <v>field</v>
      </c>
      <c r="J1044" s="62" t="str">
        <f>Table1[[#This Row],[Column42]]&amp;IF(Table1[[#This Row],[Column13]]="","",Table1[[#This Row],[Column13]])&amp;IF(Table1[[#This Row],[mod]]="","",Table1[[#This Row],[mod]])</f>
        <v>field__textarea--neutral</v>
      </c>
      <c r="K10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4" t="s">
        <v>3099</v>
      </c>
      <c r="M1044" t="s">
        <v>596</v>
      </c>
      <c r="Q10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1044" t="s">
        <v>7393</v>
      </c>
      <c r="AB1044" s="29"/>
      <c r="AC1044" s="25"/>
      <c r="AD1044" s="41" t="s">
        <v>6690</v>
      </c>
      <c r="AE1044" s="41"/>
      <c r="AF1044" s="11" t="s">
        <v>290</v>
      </c>
      <c r="AH1044" s="7" t="str">
        <f>Table1[[#This Row],[html_tag]]&amp;Table1[[#This Row],[html_type]]&amp;Table1[[#This Row],[html_modifier]]</f>
        <v/>
      </c>
      <c r="AL1044" s="23" t="str">
        <f>IFERROR(_xlfn.XLOOKUP(Table1[[#This Row],[word]],Table57[English style name],Table57[Style type]),"")</f>
        <v/>
      </c>
      <c r="AM1044" s="21"/>
      <c r="AN1044" s="11"/>
    </row>
    <row r="1045" spans="5:44">
      <c r="E1045" s="76"/>
      <c r="F10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5" s="13" t="s">
        <v>337</v>
      </c>
      <c r="H1045" s="13" t="s">
        <v>2986</v>
      </c>
      <c r="I1045" s="12" t="str">
        <f>Table1[[#This Row],[type]]</f>
        <v>field</v>
      </c>
      <c r="J1045" s="62" t="str">
        <f>Table1[[#This Row],[Column42]]&amp;IF(Table1[[#This Row],[Column13]]="","",Table1[[#This Row],[Column13]])&amp;IF(Table1[[#This Row],[mod]]="","",Table1[[#This Row],[mod]])</f>
        <v>field__textarea--primary</v>
      </c>
      <c r="K10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5" t="s">
        <v>3099</v>
      </c>
      <c r="M1045" t="s">
        <v>596</v>
      </c>
      <c r="Q10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045" t="s">
        <v>3164</v>
      </c>
      <c r="AB1045" s="29"/>
      <c r="AC1045" s="25"/>
      <c r="AD1045" s="41" t="s">
        <v>6691</v>
      </c>
      <c r="AE1045" s="41"/>
      <c r="AF1045" s="11" t="s">
        <v>290</v>
      </c>
      <c r="AH1045" s="7" t="str">
        <f>Table1[[#This Row],[html_tag]]&amp;Table1[[#This Row],[html_type]]&amp;Table1[[#This Row],[html_modifier]]</f>
        <v/>
      </c>
      <c r="AL1045" s="23" t="str">
        <f>IFERROR(_xlfn.XLOOKUP(Table1[[#This Row],[word]],Table57[English style name],Table57[Style type]),"")</f>
        <v/>
      </c>
      <c r="AM1045" s="21"/>
      <c r="AN1045" s="11"/>
    </row>
    <row r="1046" spans="5:44">
      <c r="E1046" s="76"/>
      <c r="F10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6" s="13" t="s">
        <v>337</v>
      </c>
      <c r="H1046" s="13" t="s">
        <v>2986</v>
      </c>
      <c r="I1046" s="12" t="str">
        <f>Table1[[#This Row],[type]]</f>
        <v>field</v>
      </c>
      <c r="J1046" s="62" t="str">
        <f>Table1[[#This Row],[Column42]]&amp;IF(Table1[[#This Row],[Column13]]="","",Table1[[#This Row],[Column13]])&amp;IF(Table1[[#This Row],[mod]]="","",Table1[[#This Row],[mod]])</f>
        <v>field__textarea--resize_both</v>
      </c>
      <c r="K10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6" t="s">
        <v>3099</v>
      </c>
      <c r="M1046" t="s">
        <v>596</v>
      </c>
      <c r="Q10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--resize_both</v>
      </c>
      <c r="R1046" t="s">
        <v>7429</v>
      </c>
      <c r="U10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46" s="29"/>
      <c r="AC1046" s="25"/>
      <c r="AD1046" s="41"/>
      <c r="AE1046" s="41"/>
      <c r="AF1046" s="11" t="s">
        <v>290</v>
      </c>
      <c r="AH1046" s="1" t="str">
        <f>Table1[[#This Row],[html_tag]]&amp;Table1[[#This Row],[html_type]]&amp;Table1[[#This Row],[html_modifier]]</f>
        <v/>
      </c>
      <c r="AL1046" s="22" t="str">
        <f>IFERROR(_xlfn.XLOOKUP(Table1[[#This Row],[word]],Table57[English style name],Table57[Style type]),"")</f>
        <v/>
      </c>
      <c r="AM1046" s="20"/>
      <c r="AN1046" s="11"/>
      <c r="AQ1046" s="6" t="s">
        <v>1934</v>
      </c>
      <c r="AR1046" t="s">
        <v>1910</v>
      </c>
    </row>
    <row r="1047" spans="5:44">
      <c r="E1047" s="76"/>
      <c r="F10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7" s="13" t="s">
        <v>337</v>
      </c>
      <c r="H1047" s="13" t="s">
        <v>2986</v>
      </c>
      <c r="I1047" s="12" t="str">
        <f>Table1[[#This Row],[type]]</f>
        <v>field</v>
      </c>
      <c r="J1047" s="62" t="str">
        <f>Table1[[#This Row],[Column42]]&amp;IF(Table1[[#This Row],[Column13]]="","",Table1[[#This Row],[Column13]])&amp;IF(Table1[[#This Row],[mod]]="","",Table1[[#This Row],[mod]])</f>
        <v>field__textarea--resize_none</v>
      </c>
      <c r="K10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7" t="s">
        <v>3099</v>
      </c>
      <c r="M1047" t="s">
        <v>596</v>
      </c>
      <c r="Q10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--resize_none</v>
      </c>
      <c r="R1047" s="52" t="s">
        <v>7430</v>
      </c>
      <c r="U10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47" s="29" t="s">
        <v>4126</v>
      </c>
      <c r="AC1047" s="25"/>
      <c r="AD1047" s="41"/>
      <c r="AE1047" s="41"/>
      <c r="AF1047" s="11" t="s">
        <v>290</v>
      </c>
      <c r="AH1047" s="1" t="str">
        <f>Table1[[#This Row],[html_tag]]&amp;Table1[[#This Row],[html_type]]&amp;Table1[[#This Row],[html_modifier]]</f>
        <v/>
      </c>
      <c r="AJ1047" s="3"/>
      <c r="AL1047" s="22" t="str">
        <f>IFERROR(_xlfn.XLOOKUP(Table1[[#This Row],[word]],Table57[English style name],Table57[Style type]),"")</f>
        <v/>
      </c>
      <c r="AM1047" s="20"/>
      <c r="AN1047" s="11"/>
      <c r="AQ1047" s="6" t="s">
        <v>1933</v>
      </c>
      <c r="AR1047" t="s">
        <v>1910</v>
      </c>
    </row>
    <row r="1048" spans="5:44">
      <c r="E1048" s="76"/>
      <c r="F10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8" s="13" t="s">
        <v>337</v>
      </c>
      <c r="H1048" s="13" t="s">
        <v>2986</v>
      </c>
      <c r="I1048" s="12" t="str">
        <f>Table1[[#This Row],[type]]</f>
        <v>field</v>
      </c>
      <c r="J1048" s="62" t="str">
        <f>Table1[[#This Row],[Column42]]&amp;IF(Table1[[#This Row],[Column13]]="","",Table1[[#This Row],[Column13]])&amp;IF(Table1[[#This Row],[mod]]="","",Table1[[#This Row],[mod]])</f>
        <v>field__textarea--resize_x</v>
      </c>
      <c r="K10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8" t="s">
        <v>3099</v>
      </c>
      <c r="M1048" t="s">
        <v>596</v>
      </c>
      <c r="Q10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--resize_x</v>
      </c>
      <c r="R1048" t="s">
        <v>7428</v>
      </c>
      <c r="U10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48" s="29"/>
      <c r="AC1048" s="25"/>
      <c r="AD1048" s="41"/>
      <c r="AE1048" s="41"/>
      <c r="AF1048" s="11" t="s">
        <v>290</v>
      </c>
      <c r="AH1048" s="1" t="str">
        <f>Table1[[#This Row],[html_tag]]&amp;Table1[[#This Row],[html_type]]&amp;Table1[[#This Row],[html_modifier]]</f>
        <v/>
      </c>
      <c r="AL1048" s="22" t="str">
        <f>IFERROR(_xlfn.XLOOKUP(Table1[[#This Row],[word]],Table57[English style name],Table57[Style type]),"")</f>
        <v/>
      </c>
      <c r="AM1048" s="20"/>
      <c r="AN1048" s="11"/>
      <c r="AQ1048" s="6" t="s">
        <v>1935</v>
      </c>
      <c r="AR1048" t="s">
        <v>1910</v>
      </c>
    </row>
    <row r="1049" spans="5:44">
      <c r="E1049" s="76"/>
      <c r="F10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9" s="13" t="s">
        <v>337</v>
      </c>
      <c r="H1049" s="13" t="s">
        <v>2986</v>
      </c>
      <c r="I1049" s="12" t="str">
        <f>Table1[[#This Row],[type]]</f>
        <v>field</v>
      </c>
      <c r="J1049" s="62" t="str">
        <f>Table1[[#This Row],[Column42]]&amp;IF(Table1[[#This Row],[Column13]]="","",Table1[[#This Row],[Column13]])&amp;IF(Table1[[#This Row],[mod]]="","",Table1[[#This Row],[mod]])</f>
        <v>field__textarea--secondary</v>
      </c>
      <c r="K10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9" t="s">
        <v>3099</v>
      </c>
      <c r="M1049" t="s">
        <v>596</v>
      </c>
      <c r="Q10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049" t="s">
        <v>3502</v>
      </c>
      <c r="AB1049" s="29"/>
      <c r="AC1049" s="25"/>
      <c r="AD1049" s="41" t="s">
        <v>6692</v>
      </c>
      <c r="AE1049" s="41"/>
      <c r="AF1049" s="11" t="s">
        <v>290</v>
      </c>
      <c r="AH1049" s="7" t="str">
        <f>Table1[[#This Row],[html_tag]]&amp;Table1[[#This Row],[html_type]]&amp;Table1[[#This Row],[html_modifier]]</f>
        <v/>
      </c>
      <c r="AL1049" s="23" t="str">
        <f>IFERROR(_xlfn.XLOOKUP(Table1[[#This Row],[word]],Table57[English style name],Table57[Style type]),"")</f>
        <v/>
      </c>
      <c r="AM1049" s="21"/>
      <c r="AN1049" s="11"/>
    </row>
    <row r="1050" spans="5:44">
      <c r="E1050" s="76"/>
      <c r="F10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0" s="13" t="s">
        <v>337</v>
      </c>
      <c r="H1050" s="13" t="s">
        <v>2986</v>
      </c>
      <c r="I1050" s="12" t="str">
        <f>Table1[[#This Row],[type]]</f>
        <v>field</v>
      </c>
      <c r="J1050" s="62" t="str">
        <f>Table1[[#This Row],[Column42]]&amp;IF(Table1[[#This Row],[Column13]]="","",Table1[[#This Row],[Column13]])&amp;IF(Table1[[#This Row],[mod]]="","",Table1[[#This Row],[mod]])</f>
        <v>field__textarea--sm</v>
      </c>
      <c r="K10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50" t="s">
        <v>3099</v>
      </c>
      <c r="M1050" t="s">
        <v>596</v>
      </c>
      <c r="Q10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050" t="s">
        <v>3116</v>
      </c>
      <c r="AB1050" s="29"/>
      <c r="AC1050" s="25"/>
      <c r="AD1050" s="41" t="s">
        <v>6699</v>
      </c>
      <c r="AE1050" s="41"/>
      <c r="AF1050" s="11" t="s">
        <v>290</v>
      </c>
      <c r="AH1050" s="7" t="str">
        <f>Table1[[#This Row],[html_tag]]&amp;Table1[[#This Row],[html_type]]&amp;Table1[[#This Row],[html_modifier]]</f>
        <v/>
      </c>
      <c r="AL1050" s="23" t="str">
        <f>IFERROR(_xlfn.XLOOKUP(Table1[[#This Row],[word]],Table57[English style name],Table57[Style type]),"")</f>
        <v/>
      </c>
      <c r="AM1050" s="21"/>
      <c r="AN1050" s="11"/>
    </row>
    <row r="1051" spans="5:44">
      <c r="E1051" s="76"/>
      <c r="F10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1" s="13" t="s">
        <v>337</v>
      </c>
      <c r="H1051" s="13" t="s">
        <v>2986</v>
      </c>
      <c r="I1051" s="12" t="str">
        <f>Table1[[#This Row],[type]]</f>
        <v>field</v>
      </c>
      <c r="J1051" s="62" t="str">
        <f>Table1[[#This Row],[Column42]]&amp;IF(Table1[[#This Row],[Column13]]="","",Table1[[#This Row],[Column13]])&amp;IF(Table1[[#This Row],[mod]]="","",Table1[[#This Row],[mod]])</f>
        <v>field__textarea--success</v>
      </c>
      <c r="K10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51" t="s">
        <v>3099</v>
      </c>
      <c r="M1051" t="s">
        <v>596</v>
      </c>
      <c r="Q10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51" t="s">
        <v>3120</v>
      </c>
      <c r="AB1051" s="29"/>
      <c r="AC1051" s="25"/>
      <c r="AD1051" s="41" t="s">
        <v>6695</v>
      </c>
      <c r="AE1051" s="41"/>
      <c r="AF1051" s="11" t="s">
        <v>290</v>
      </c>
      <c r="AH1051" s="7" t="str">
        <f>Table1[[#This Row],[html_tag]]&amp;Table1[[#This Row],[html_type]]&amp;Table1[[#This Row],[html_modifier]]</f>
        <v/>
      </c>
      <c r="AL1051" s="23" t="str">
        <f>IFERROR(_xlfn.XLOOKUP(Table1[[#This Row],[word]],Table57[English style name],Table57[Style type]),"")</f>
        <v/>
      </c>
      <c r="AM1051" s="21"/>
      <c r="AN1051" s="11"/>
    </row>
    <row r="1052" spans="5:44">
      <c r="E1052" s="76"/>
      <c r="F10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2" s="13" t="s">
        <v>337</v>
      </c>
      <c r="H1052" s="13" t="s">
        <v>2986</v>
      </c>
      <c r="I1052" s="12" t="str">
        <f>Table1[[#This Row],[type]]</f>
        <v>field</v>
      </c>
      <c r="J1052" s="62" t="str">
        <f>Table1[[#This Row],[Column42]]&amp;IF(Table1[[#This Row],[Column13]]="","",Table1[[#This Row],[Column13]])&amp;IF(Table1[[#This Row],[mod]]="","",Table1[[#This Row],[mod]])</f>
        <v>field__textarea--warning</v>
      </c>
      <c r="K10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52" t="s">
        <v>3099</v>
      </c>
      <c r="M1052" t="s">
        <v>596</v>
      </c>
      <c r="Q10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52" t="s">
        <v>3121</v>
      </c>
      <c r="AB1052" s="29"/>
      <c r="AC1052" s="25"/>
      <c r="AD1052" s="41" t="s">
        <v>6696</v>
      </c>
      <c r="AE1052" s="41"/>
      <c r="AF1052" s="11" t="s">
        <v>290</v>
      </c>
      <c r="AH1052" s="7" t="str">
        <f>Table1[[#This Row],[html_tag]]&amp;Table1[[#This Row],[html_type]]&amp;Table1[[#This Row],[html_modifier]]</f>
        <v/>
      </c>
      <c r="AL1052" s="23" t="str">
        <f>IFERROR(_xlfn.XLOOKUP(Table1[[#This Row],[word]],Table57[English style name],Table57[Style type]),"")</f>
        <v/>
      </c>
      <c r="AM1052" s="21"/>
      <c r="AN1052" s="11"/>
    </row>
    <row r="1053" spans="5:44">
      <c r="E1053" s="76"/>
      <c r="F10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3" s="13" t="s">
        <v>337</v>
      </c>
      <c r="H1053" s="13" t="s">
        <v>2986</v>
      </c>
      <c r="I1053" s="12" t="str">
        <f>Table1[[#This Row],[type]]</f>
        <v>field</v>
      </c>
      <c r="J1053" s="62" t="str">
        <f>Table1[[#This Row],[Column42]]&amp;IF(Table1[[#This Row],[Column13]]="","",Table1[[#This Row],[Column13]])&amp;IF(Table1[[#This Row],[mod]]="","",Table1[[#This Row],[mod]])</f>
        <v>field__textarea--xl</v>
      </c>
      <c r="K10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53" t="s">
        <v>3099</v>
      </c>
      <c r="M1053" t="s">
        <v>596</v>
      </c>
      <c r="Q10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053" t="s">
        <v>3126</v>
      </c>
      <c r="AB1053" s="29"/>
      <c r="AC1053" s="25"/>
      <c r="AD1053" s="41" t="s">
        <v>6702</v>
      </c>
      <c r="AE1053" s="41"/>
      <c r="AF1053" s="11" t="s">
        <v>290</v>
      </c>
      <c r="AH1053" s="7" t="str">
        <f>Table1[[#This Row],[html_tag]]&amp;Table1[[#This Row],[html_type]]&amp;Table1[[#This Row],[html_modifier]]</f>
        <v/>
      </c>
      <c r="AL1053" s="23" t="str">
        <f>IFERROR(_xlfn.XLOOKUP(Table1[[#This Row],[word]],Table57[English style name],Table57[Style type]),"")</f>
        <v/>
      </c>
      <c r="AM1053" s="21"/>
      <c r="AN1053" s="11"/>
    </row>
    <row r="1054" spans="5:44">
      <c r="E1054" s="76"/>
      <c r="F10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4" s="13" t="s">
        <v>337</v>
      </c>
      <c r="H1054" s="13" t="s">
        <v>2986</v>
      </c>
      <c r="I1054" s="12" t="str">
        <f>Table1[[#This Row],[type]]</f>
        <v>field</v>
      </c>
      <c r="J1054" s="62" t="str">
        <f>Table1[[#This Row],[Column42]]&amp;IF(Table1[[#This Row],[Column13]]="","",Table1[[#This Row],[Column13]])&amp;IF(Table1[[#This Row],[mod]]="","",Table1[[#This Row],[mod]])</f>
        <v>field__textarea--xs</v>
      </c>
      <c r="K10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54" t="s">
        <v>3099</v>
      </c>
      <c r="M1054" t="s">
        <v>596</v>
      </c>
      <c r="Q10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054" t="s">
        <v>3127</v>
      </c>
      <c r="AB1054" s="29"/>
      <c r="AC1054" s="25"/>
      <c r="AD1054" s="41" t="s">
        <v>6698</v>
      </c>
      <c r="AE1054" s="41"/>
      <c r="AF1054" s="11" t="s">
        <v>290</v>
      </c>
      <c r="AH1054" s="7" t="str">
        <f>Table1[[#This Row],[html_tag]]&amp;Table1[[#This Row],[html_type]]&amp;Table1[[#This Row],[html_modifier]]</f>
        <v/>
      </c>
      <c r="AL1054" s="23" t="str">
        <f>IFERROR(_xlfn.XLOOKUP(Table1[[#This Row],[word]],Table57[English style name],Table57[Style type]),"")</f>
        <v/>
      </c>
      <c r="AM1054" s="21"/>
      <c r="AN1054" s="11"/>
    </row>
    <row r="1055" spans="5:44">
      <c r="E1055" s="76"/>
      <c r="F10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5" s="13"/>
      <c r="H1055" s="13"/>
      <c r="I1055" s="12" t="str">
        <f>Table1[[#This Row],[type]]</f>
        <v>field</v>
      </c>
      <c r="J1055" s="62" t="str">
        <f>Table1[[#This Row],[Column42]]&amp;IF(Table1[[#This Row],[Column13]]="","",Table1[[#This Row],[Column13]])&amp;IF(Table1[[#This Row],[mod]]="","",Table1[[#This Row],[mod]])</f>
        <v>field__theme</v>
      </c>
      <c r="K10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field__theme</v>
      </c>
      <c r="L1055" t="s">
        <v>3099</v>
      </c>
      <c r="M1055" t="s">
        <v>7360</v>
      </c>
      <c r="Q10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5" s="29"/>
      <c r="AC1055" s="25"/>
      <c r="AD1055" s="41" t="s">
        <v>7359</v>
      </c>
      <c r="AE1055" s="41"/>
      <c r="AF1055" s="11"/>
      <c r="AH1055" s="7" t="str">
        <f>Table1[[#This Row],[html_tag]]&amp;Table1[[#This Row],[html_type]]&amp;Table1[[#This Row],[html_modifier]]</f>
        <v/>
      </c>
      <c r="AL1055" s="23" t="str">
        <f>IFERROR(_xlfn.XLOOKUP(Table1[[#This Row],[word]],Table57[English style name],Table57[Style type]),"")</f>
        <v/>
      </c>
      <c r="AM1055" s="21"/>
      <c r="AN1055" s="11"/>
    </row>
    <row r="1056" spans="5:44">
      <c r="E1056" s="76"/>
      <c r="F10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6" s="13"/>
      <c r="H1056" s="13"/>
      <c r="I1056" s="12" t="str">
        <f>Table1[[#This Row],[type]]</f>
        <v>field</v>
      </c>
      <c r="J1056" s="62" t="str">
        <f>Table1[[#This Row],[Column42]]&amp;IF(Table1[[#This Row],[Column13]]="","",Table1[[#This Row],[Column13]])&amp;IF(Table1[[#This Row],[mod]]="","",Table1[[#This Row],[mod]])</f>
        <v>field__time--type</v>
      </c>
      <c r="K10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field__time</v>
      </c>
      <c r="L1056" t="s">
        <v>3099</v>
      </c>
      <c r="M1056" t="s">
        <v>600</v>
      </c>
      <c r="Q10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56" t="s">
        <v>1</v>
      </c>
      <c r="U10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6" s="29"/>
      <c r="AC1056" s="25"/>
      <c r="AD1056" s="41"/>
      <c r="AE1056" s="41"/>
      <c r="AF1056" s="11" t="s">
        <v>203</v>
      </c>
      <c r="AH1056" s="1" t="str">
        <f>Table1[[#This Row],[html_tag]]&amp;Table1[[#This Row],[html_type]]&amp;Table1[[#This Row],[html_modifier]]</f>
        <v>&lt;input&gt;time</v>
      </c>
      <c r="AI1056" t="s">
        <v>203</v>
      </c>
      <c r="AJ1056" t="s">
        <v>600</v>
      </c>
      <c r="AL1056" s="22" t="str">
        <f>IFERROR(_xlfn.XLOOKUP(Table1[[#This Row],[word]],Table57[English style name],Table57[Style type]),"")</f>
        <v/>
      </c>
      <c r="AM1056" s="20"/>
      <c r="AN1056" s="11"/>
    </row>
    <row r="1057" spans="5:44">
      <c r="E1057" s="76"/>
      <c r="F10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7" s="13" t="s">
        <v>337</v>
      </c>
      <c r="H1057" s="13" t="s">
        <v>2986</v>
      </c>
      <c r="I1057" s="12" t="str">
        <f>Table1[[#This Row],[type]]</f>
        <v>field</v>
      </c>
      <c r="J1057" s="62" t="str">
        <f>Table1[[#This Row],[Column42]]&amp;IF(Table1[[#This Row],[Column13]]="","",Table1[[#This Row],[Column13]])&amp;IF(Table1[[#This Row],[mod]]="","",Table1[[#This Row],[mod]])</f>
        <v>field__toggle</v>
      </c>
      <c r="K10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57" t="s">
        <v>3099</v>
      </c>
      <c r="M1057" t="s">
        <v>3110</v>
      </c>
      <c r="Q10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7" s="29"/>
      <c r="AC1057" s="25"/>
      <c r="AD1057" s="41" t="s">
        <v>6805</v>
      </c>
      <c r="AE1057" s="41"/>
      <c r="AF1057" s="11"/>
      <c r="AH1057" s="7" t="str">
        <f>Table1[[#This Row],[html_tag]]&amp;Table1[[#This Row],[html_type]]&amp;Table1[[#This Row],[html_modifier]]</f>
        <v/>
      </c>
      <c r="AL1057" s="23" t="str">
        <f>IFERROR(_xlfn.XLOOKUP(Table1[[#This Row],[word]],Table57[English style name],Table57[Style type]),"")</f>
        <v/>
      </c>
      <c r="AM1057" s="21"/>
      <c r="AN1057" s="11"/>
    </row>
    <row r="1058" spans="5:44">
      <c r="E1058" s="76"/>
      <c r="F10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8" s="13" t="s">
        <v>337</v>
      </c>
      <c r="H1058" s="13" t="s">
        <v>2986</v>
      </c>
      <c r="I1058" s="12" t="str">
        <f>Table1[[#This Row],[type]]</f>
        <v>field</v>
      </c>
      <c r="J1058" s="62" t="str">
        <f>Table1[[#This Row],[Column42]]&amp;IF(Table1[[#This Row],[Column13]]="","",Table1[[#This Row],[Column13]])&amp;IF(Table1[[#This Row],[mod]]="","",Table1[[#This Row],[mod]])</f>
        <v>field__toggle_panel</v>
      </c>
      <c r="K10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</v>
      </c>
      <c r="L1058" t="s">
        <v>3099</v>
      </c>
      <c r="M1058" t="s">
        <v>1991</v>
      </c>
      <c r="P1058" s="6" t="s">
        <v>1994</v>
      </c>
      <c r="Q10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8" s="29"/>
      <c r="AC1058" s="25"/>
      <c r="AD1058" s="41"/>
      <c r="AE1058" s="41"/>
      <c r="AF1058" s="11"/>
      <c r="AH1058" s="1" t="str">
        <f>Table1[[#This Row],[html_tag]]&amp;Table1[[#This Row],[html_type]]&amp;Table1[[#This Row],[html_modifier]]</f>
        <v/>
      </c>
      <c r="AL1058" s="22" t="str">
        <f>IFERROR(_xlfn.XLOOKUP(Table1[[#This Row],[word]],Table57[English style name],Table57[Style type]),"")</f>
        <v/>
      </c>
      <c r="AM1058" s="20"/>
      <c r="AN1058" s="11"/>
      <c r="AQ1058" s="6" t="s">
        <v>1994</v>
      </c>
      <c r="AR1058" t="s">
        <v>1992</v>
      </c>
    </row>
    <row r="1059" spans="5:44">
      <c r="E1059" s="76"/>
      <c r="F10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9" s="13" t="s">
        <v>337</v>
      </c>
      <c r="H1059" s="13" t="s">
        <v>2986</v>
      </c>
      <c r="I1059" s="12" t="str">
        <f>Table1[[#This Row],[type]]</f>
        <v>field</v>
      </c>
      <c r="J1059" s="62" t="str">
        <f>Table1[[#This Row],[Column42]]&amp;IF(Table1[[#This Row],[Column13]]="","",Table1[[#This Row],[Column13]])&amp;IF(Table1[[#This Row],[mod]]="","",Table1[[#This Row],[mod]])</f>
        <v>field__toggle_panel</v>
      </c>
      <c r="K10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</v>
      </c>
      <c r="L1059" t="s">
        <v>3099</v>
      </c>
      <c r="M1059" t="s">
        <v>1991</v>
      </c>
      <c r="P1059" s="6" t="s">
        <v>1991</v>
      </c>
      <c r="Q10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9" s="29"/>
      <c r="AC1059" s="25"/>
      <c r="AD1059" s="41"/>
      <c r="AE1059" s="41"/>
      <c r="AF1059" s="11"/>
      <c r="AH1059" s="1" t="str">
        <f>Table1[[#This Row],[html_tag]]&amp;Table1[[#This Row],[html_type]]&amp;Table1[[#This Row],[html_modifier]]</f>
        <v/>
      </c>
      <c r="AL1059" s="22" t="str">
        <f>IFERROR(_xlfn.XLOOKUP(Table1[[#This Row],[word]],Table57[English style name],Table57[Style type]),"")</f>
        <v/>
      </c>
      <c r="AM1059" s="20"/>
      <c r="AN1059" s="11"/>
      <c r="AQ1059" s="6" t="s">
        <v>1991</v>
      </c>
      <c r="AR1059" t="s">
        <v>1992</v>
      </c>
    </row>
    <row r="1060" spans="5:44">
      <c r="E1060" s="76"/>
      <c r="F10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0" s="13" t="s">
        <v>337</v>
      </c>
      <c r="H1060" s="13" t="s">
        <v>2986</v>
      </c>
      <c r="I1060" s="12" t="str">
        <f>Table1[[#This Row],[type]]</f>
        <v>field</v>
      </c>
      <c r="J1060" s="62" t="str">
        <f>Table1[[#This Row],[Column42]]&amp;IF(Table1[[#This Row],[Column13]]="","",Table1[[#This Row],[Column13]])&amp;IF(Table1[[#This Row],[mod]]="","",Table1[[#This Row],[mod]])</f>
        <v>field__toggle_panel__body</v>
      </c>
      <c r="K10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field__toggle_panel__body</v>
      </c>
      <c r="L1060" t="s">
        <v>3099</v>
      </c>
      <c r="M1060" t="s">
        <v>1991</v>
      </c>
      <c r="O1060" t="s">
        <v>337</v>
      </c>
      <c r="Q10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0" s="29"/>
      <c r="AC1060" s="25"/>
      <c r="AD1060" s="41"/>
      <c r="AE1060" s="41"/>
      <c r="AF1060" s="11"/>
      <c r="AH1060" s="1" t="str">
        <f>Table1[[#This Row],[html_tag]]&amp;Table1[[#This Row],[html_type]]&amp;Table1[[#This Row],[html_modifier]]</f>
        <v/>
      </c>
      <c r="AL1060" s="22" t="str">
        <f>IFERROR(_xlfn.XLOOKUP(Table1[[#This Row],[word]],Table57[English style name],Table57[Style type]),"")</f>
        <v/>
      </c>
      <c r="AM1060" s="20"/>
      <c r="AN1060" s="11"/>
      <c r="AQ1060" s="6" t="s">
        <v>1993</v>
      </c>
      <c r="AR1060" t="s">
        <v>1992</v>
      </c>
    </row>
    <row r="1061" spans="5:44">
      <c r="E1061" s="76"/>
      <c r="F10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1" s="13" t="s">
        <v>337</v>
      </c>
      <c r="H1061" s="13" t="s">
        <v>2986</v>
      </c>
      <c r="I1061" s="12" t="str">
        <f>Table1[[#This Row],[type]]</f>
        <v>field</v>
      </c>
      <c r="J1061" s="62" t="str">
        <f>Table1[[#This Row],[Column42]]&amp;IF(Table1[[#This Row],[Column13]]="","",Table1[[#This Row],[Column13]])&amp;IF(Table1[[#This Row],[mod]]="","",Table1[[#This Row],[mod]])</f>
        <v>field__toggle_panel__heading</v>
      </c>
      <c r="K10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field__toggle_panel__heading</v>
      </c>
      <c r="L1061" t="s">
        <v>3099</v>
      </c>
      <c r="M1061" t="s">
        <v>1991</v>
      </c>
      <c r="O1061" t="s">
        <v>100</v>
      </c>
      <c r="P1061" t="s">
        <v>1995</v>
      </c>
      <c r="Q10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1" s="29"/>
      <c r="AC1061" s="25"/>
      <c r="AD1061" s="41"/>
      <c r="AE1061" s="41"/>
      <c r="AF1061" s="11"/>
      <c r="AH1061" s="1" t="str">
        <f>Table1[[#This Row],[html_tag]]&amp;Table1[[#This Row],[html_type]]&amp;Table1[[#This Row],[html_modifier]]</f>
        <v/>
      </c>
      <c r="AL1061" s="22" t="str">
        <f>IFERROR(_xlfn.XLOOKUP(Table1[[#This Row],[word]],Table57[English style name],Table57[Style type]),"")</f>
        <v/>
      </c>
      <c r="AM1061" s="20"/>
      <c r="AN1061" s="11"/>
      <c r="AQ1061" s="6" t="s">
        <v>1995</v>
      </c>
      <c r="AR1061" t="s">
        <v>1992</v>
      </c>
    </row>
    <row r="1062" spans="5:44">
      <c r="E1062" s="76"/>
      <c r="F10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2" s="13" t="s">
        <v>337</v>
      </c>
      <c r="H1062" s="13" t="s">
        <v>2986</v>
      </c>
      <c r="I1062" s="12" t="str">
        <f>Table1[[#This Row],[type]]</f>
        <v>field</v>
      </c>
      <c r="J1062" s="62" t="str">
        <f>Table1[[#This Row],[Column42]]&amp;IF(Table1[[#This Row],[Column13]]="","",Table1[[#This Row],[Column13]])&amp;IF(Table1[[#This Row],[mod]]="","",Table1[[#This Row],[mod]])</f>
        <v>field__toggle_panel__heading</v>
      </c>
      <c r="K10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field__toggle_panel__heading</v>
      </c>
      <c r="L1062" t="s">
        <v>3099</v>
      </c>
      <c r="M1062" t="s">
        <v>1991</v>
      </c>
      <c r="O1062" t="s">
        <v>100</v>
      </c>
      <c r="P1062" t="s">
        <v>1996</v>
      </c>
      <c r="Q10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2" s="29"/>
      <c r="AC1062" s="25"/>
      <c r="AD1062" s="41"/>
      <c r="AE1062" s="41"/>
      <c r="AF1062" s="11"/>
      <c r="AH1062" s="1" t="str">
        <f>Table1[[#This Row],[html_tag]]&amp;Table1[[#This Row],[html_type]]&amp;Table1[[#This Row],[html_modifier]]</f>
        <v/>
      </c>
      <c r="AL1062" s="22" t="str">
        <f>IFERROR(_xlfn.XLOOKUP(Table1[[#This Row],[word]],Table57[English style name],Table57[Style type]),"")</f>
        <v/>
      </c>
      <c r="AM1062" s="20"/>
      <c r="AN1062" s="11"/>
      <c r="AQ1062" s="6" t="s">
        <v>1996</v>
      </c>
      <c r="AR1062" t="s">
        <v>1992</v>
      </c>
    </row>
    <row r="1063" spans="5:44">
      <c r="E1063" s="76"/>
      <c r="F10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3" s="13" t="s">
        <v>337</v>
      </c>
      <c r="H1063" s="13" t="s">
        <v>2986</v>
      </c>
      <c r="I1063" s="12" t="str">
        <f>Table1[[#This Row],[type]]</f>
        <v>field</v>
      </c>
      <c r="J1063" s="62" t="str">
        <f>Table1[[#This Row],[Column42]]&amp;IF(Table1[[#This Row],[Column13]]="","",Table1[[#This Row],[Column13]])&amp;IF(Table1[[#This Row],[mod]]="","",Table1[[#This Row],[mod]])</f>
        <v>field__toggle_panel__title</v>
      </c>
      <c r="K10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field__toggle_panel__title</v>
      </c>
      <c r="L1063" t="s">
        <v>3099</v>
      </c>
      <c r="M1063" t="s">
        <v>1991</v>
      </c>
      <c r="O1063" t="s">
        <v>333</v>
      </c>
      <c r="P1063" s="6"/>
      <c r="Q10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3" s="29"/>
      <c r="AC1063" s="25"/>
      <c r="AD1063" s="41"/>
      <c r="AE1063" s="41"/>
      <c r="AF1063" s="11"/>
      <c r="AH1063" s="1" t="str">
        <f>Table1[[#This Row],[html_tag]]&amp;Table1[[#This Row],[html_type]]&amp;Table1[[#This Row],[html_modifier]]</f>
        <v/>
      </c>
      <c r="AL1063" s="22" t="str">
        <f>IFERROR(_xlfn.XLOOKUP(Table1[[#This Row],[word]],Table57[English style name],Table57[Style type]),"")</f>
        <v/>
      </c>
      <c r="AM1063" s="20"/>
      <c r="AN1063" s="11"/>
      <c r="AQ1063" s="6" t="s">
        <v>1997</v>
      </c>
      <c r="AR1063" t="s">
        <v>1992</v>
      </c>
    </row>
    <row r="1064" spans="5:44">
      <c r="E1064" s="76"/>
      <c r="F10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4" s="13" t="s">
        <v>337</v>
      </c>
      <c r="H1064" s="13" t="s">
        <v>2986</v>
      </c>
      <c r="I1064" s="12" t="str">
        <f>Table1[[#This Row],[type]]</f>
        <v>field</v>
      </c>
      <c r="J1064" s="62" t="str">
        <f>Table1[[#This Row],[Column42]]&amp;IF(Table1[[#This Row],[Column13]]="","",Table1[[#This Row],[Column13]])&amp;IF(Table1[[#This Row],[mod]]="","",Table1[[#This Row],[mod]])</f>
        <v>field__toggle_panel__title--float</v>
      </c>
      <c r="K10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field__toggle_panel__title</v>
      </c>
      <c r="L1064" t="s">
        <v>3099</v>
      </c>
      <c r="M1064" t="s">
        <v>1991</v>
      </c>
      <c r="O1064" t="s">
        <v>333</v>
      </c>
      <c r="P1064" s="6"/>
      <c r="Q10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--float</v>
      </c>
      <c r="R1064" t="s">
        <v>3130</v>
      </c>
      <c r="U10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4" s="29"/>
      <c r="AC1064" s="25"/>
      <c r="AD1064" s="41"/>
      <c r="AE1064" s="41"/>
      <c r="AF1064" s="11"/>
      <c r="AH1064" s="1" t="str">
        <f>Table1[[#This Row],[html_tag]]&amp;Table1[[#This Row],[html_type]]&amp;Table1[[#This Row],[html_modifier]]</f>
        <v/>
      </c>
      <c r="AL1064" s="22" t="str">
        <f>IFERROR(_xlfn.XLOOKUP(Table1[[#This Row],[word]],Table57[English style name],Table57[Style type]),"")</f>
        <v/>
      </c>
      <c r="AM1064" s="20"/>
      <c r="AN1064" s="11"/>
      <c r="AQ1064" s="6" t="s">
        <v>1998</v>
      </c>
      <c r="AR1064" t="s">
        <v>1992</v>
      </c>
    </row>
    <row r="1065" spans="5:44">
      <c r="E1065" s="76"/>
      <c r="F10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5" s="13" t="s">
        <v>337</v>
      </c>
      <c r="H1065" s="13" t="s">
        <v>2986</v>
      </c>
      <c r="I1065" s="12" t="str">
        <f>Table1[[#This Row],[type]]</f>
        <v>field</v>
      </c>
      <c r="J1065" s="62" t="str">
        <f>Table1[[#This Row],[Column42]]&amp;IF(Table1[[#This Row],[Column13]]="","",Table1[[#This Row],[Column13]])&amp;IF(Table1[[#This Row],[mod]]="","",Table1[[#This Row],[mod]])</f>
        <v>field__toggle--accent</v>
      </c>
      <c r="K10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65" t="s">
        <v>3099</v>
      </c>
      <c r="M1065" t="s">
        <v>3110</v>
      </c>
      <c r="Q10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065" t="s">
        <v>7394</v>
      </c>
      <c r="AB1065" s="29"/>
      <c r="AC1065" s="25"/>
      <c r="AD1065" s="41" t="s">
        <v>6808</v>
      </c>
      <c r="AE1065" s="41"/>
      <c r="AF1065" s="11"/>
      <c r="AH1065" s="7" t="str">
        <f>Table1[[#This Row],[html_tag]]&amp;Table1[[#This Row],[html_type]]&amp;Table1[[#This Row],[html_modifier]]</f>
        <v/>
      </c>
      <c r="AL1065" s="23" t="str">
        <f>IFERROR(_xlfn.XLOOKUP(Table1[[#This Row],[word]],Table57[English style name],Table57[Style type]),"")</f>
        <v/>
      </c>
      <c r="AM1065" s="21"/>
      <c r="AN1065" s="11"/>
    </row>
    <row r="1066" spans="5:44">
      <c r="E1066" s="76"/>
      <c r="F10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6" s="13" t="s">
        <v>337</v>
      </c>
      <c r="H1066" s="13" t="s">
        <v>2986</v>
      </c>
      <c r="I1066" s="12" t="str">
        <f>Table1[[#This Row],[type]]</f>
        <v>field</v>
      </c>
      <c r="J1066" s="62" t="str">
        <f>Table1[[#This Row],[Column42]]&amp;IF(Table1[[#This Row],[Column13]]="","",Table1[[#This Row],[Column13]])&amp;IF(Table1[[#This Row],[mod]]="","",Table1[[#This Row],[mod]])</f>
        <v>field__toggle--error</v>
      </c>
      <c r="K10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66" t="s">
        <v>3099</v>
      </c>
      <c r="M1066" t="s">
        <v>3110</v>
      </c>
      <c r="Q10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66" t="s">
        <v>3117</v>
      </c>
      <c r="AB1066" s="29"/>
      <c r="AC1066" s="25"/>
      <c r="AD1066" s="41" t="s">
        <v>6813</v>
      </c>
      <c r="AE1066" s="41"/>
      <c r="AF1066" s="11"/>
      <c r="AH1066" s="7" t="str">
        <f>Table1[[#This Row],[html_tag]]&amp;Table1[[#This Row],[html_type]]&amp;Table1[[#This Row],[html_modifier]]</f>
        <v/>
      </c>
      <c r="AL1066" s="23" t="str">
        <f>IFERROR(_xlfn.XLOOKUP(Table1[[#This Row],[word]],Table57[English style name],Table57[Style type]),"")</f>
        <v/>
      </c>
      <c r="AM1066" s="21"/>
      <c r="AN1066" s="11"/>
    </row>
    <row r="1067" spans="5:44">
      <c r="E1067" s="76"/>
      <c r="F10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7" s="13" t="s">
        <v>337</v>
      </c>
      <c r="H1067" s="13" t="s">
        <v>2986</v>
      </c>
      <c r="I1067" s="12" t="str">
        <f>Table1[[#This Row],[type]]</f>
        <v>field</v>
      </c>
      <c r="J1067" s="62" t="str">
        <f>Table1[[#This Row],[Column42]]&amp;IF(Table1[[#This Row],[Column13]]="","",Table1[[#This Row],[Column13]])&amp;IF(Table1[[#This Row],[mod]]="","",Table1[[#This Row],[mod]])</f>
        <v>field__toggle--info</v>
      </c>
      <c r="K10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67" t="s">
        <v>3099</v>
      </c>
      <c r="M1067" t="s">
        <v>3110</v>
      </c>
      <c r="Q10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067" t="s">
        <v>3119</v>
      </c>
      <c r="AB1067" s="29"/>
      <c r="AC1067" s="25"/>
      <c r="AD1067" s="41" t="s">
        <v>6812</v>
      </c>
      <c r="AE1067" s="41"/>
      <c r="AF1067" s="11"/>
      <c r="AH1067" s="7" t="str">
        <f>Table1[[#This Row],[html_tag]]&amp;Table1[[#This Row],[html_type]]&amp;Table1[[#This Row],[html_modifier]]</f>
        <v/>
      </c>
      <c r="AL1067" s="23" t="str">
        <f>IFERROR(_xlfn.XLOOKUP(Table1[[#This Row],[word]],Table57[English style name],Table57[Style type]),"")</f>
        <v/>
      </c>
      <c r="AM1067" s="21"/>
      <c r="AN1067" s="11"/>
    </row>
    <row r="1068" spans="5:44">
      <c r="E1068" s="76"/>
      <c r="F10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8" s="13" t="s">
        <v>337</v>
      </c>
      <c r="H1068" s="13" t="s">
        <v>2986</v>
      </c>
      <c r="I1068" s="12" t="str">
        <f>Table1[[#This Row],[type]]</f>
        <v>field</v>
      </c>
      <c r="J1068" s="62" t="str">
        <f>Table1[[#This Row],[Column42]]&amp;IF(Table1[[#This Row],[Column13]]="","",Table1[[#This Row],[Column13]])&amp;IF(Table1[[#This Row],[mod]]="","",Table1[[#This Row],[mod]])</f>
        <v>field__toggle--lg</v>
      </c>
      <c r="K10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68" t="s">
        <v>3099</v>
      </c>
      <c r="M1068" t="s">
        <v>3110</v>
      </c>
      <c r="Q10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068" t="s">
        <v>3114</v>
      </c>
      <c r="AB1068" s="29"/>
      <c r="AC1068" s="25"/>
      <c r="AD1068" s="41" t="s">
        <v>6817</v>
      </c>
      <c r="AE1068" s="41"/>
      <c r="AF1068" s="11"/>
      <c r="AH1068" s="7" t="str">
        <f>Table1[[#This Row],[html_tag]]&amp;Table1[[#This Row],[html_type]]&amp;Table1[[#This Row],[html_modifier]]</f>
        <v/>
      </c>
      <c r="AL1068" s="23" t="str">
        <f>IFERROR(_xlfn.XLOOKUP(Table1[[#This Row],[word]],Table57[English style name],Table57[Style type]),"")</f>
        <v/>
      </c>
      <c r="AM1068" s="21"/>
      <c r="AN1068" s="11"/>
    </row>
    <row r="1069" spans="5:44">
      <c r="E1069" s="76"/>
      <c r="F10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9" s="13" t="s">
        <v>337</v>
      </c>
      <c r="H1069" s="13" t="s">
        <v>2986</v>
      </c>
      <c r="I1069" s="12" t="str">
        <f>Table1[[#This Row],[type]]</f>
        <v>field</v>
      </c>
      <c r="J1069" s="62" t="str">
        <f>Table1[[#This Row],[Column42]]&amp;IF(Table1[[#This Row],[Column13]]="","",Table1[[#This Row],[Column13]])&amp;IF(Table1[[#This Row],[mod]]="","",Table1[[#This Row],[mod]])</f>
        <v>field__toggle--md</v>
      </c>
      <c r="K10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69" t="s">
        <v>3099</v>
      </c>
      <c r="M1069" t="s">
        <v>3110</v>
      </c>
      <c r="Q10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069" t="s">
        <v>3115</v>
      </c>
      <c r="AB1069" s="29"/>
      <c r="AC1069" s="25"/>
      <c r="AD1069" s="41" t="s">
        <v>6816</v>
      </c>
      <c r="AE1069" s="41"/>
      <c r="AF1069" s="11"/>
      <c r="AH1069" s="7" t="str">
        <f>Table1[[#This Row],[html_tag]]&amp;Table1[[#This Row],[html_type]]&amp;Table1[[#This Row],[html_modifier]]</f>
        <v/>
      </c>
      <c r="AL1069" s="23" t="str">
        <f>IFERROR(_xlfn.XLOOKUP(Table1[[#This Row],[word]],Table57[English style name],Table57[Style type]),"")</f>
        <v/>
      </c>
      <c r="AM1069" s="21"/>
      <c r="AN1069" s="11"/>
    </row>
    <row r="1070" spans="5:44">
      <c r="E1070" s="76"/>
      <c r="F10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0" s="13" t="s">
        <v>337</v>
      </c>
      <c r="H1070" s="13" t="s">
        <v>2986</v>
      </c>
      <c r="I1070" s="12" t="str">
        <f>Table1[[#This Row],[type]]</f>
        <v>field</v>
      </c>
      <c r="J1070" s="62" t="str">
        <f>Table1[[#This Row],[Column42]]&amp;IF(Table1[[#This Row],[Column13]]="","",Table1[[#This Row],[Column13]])&amp;IF(Table1[[#This Row],[mod]]="","",Table1[[#This Row],[mod]])</f>
        <v>field__toggle--neutral</v>
      </c>
      <c r="K10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0" t="s">
        <v>3099</v>
      </c>
      <c r="M1070" t="s">
        <v>3110</v>
      </c>
      <c r="Q10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1070" t="s">
        <v>7393</v>
      </c>
      <c r="AB1070" s="29"/>
      <c r="AC1070" s="25"/>
      <c r="AD1070" s="41" t="s">
        <v>6809</v>
      </c>
      <c r="AE1070" s="41"/>
      <c r="AF1070" s="11"/>
      <c r="AH1070" s="7" t="str">
        <f>Table1[[#This Row],[html_tag]]&amp;Table1[[#This Row],[html_type]]&amp;Table1[[#This Row],[html_modifier]]</f>
        <v/>
      </c>
      <c r="AL1070" s="23" t="str">
        <f>IFERROR(_xlfn.XLOOKUP(Table1[[#This Row],[word]],Table57[English style name],Table57[Style type]),"")</f>
        <v/>
      </c>
      <c r="AM1070" s="21"/>
      <c r="AN1070" s="11"/>
    </row>
    <row r="1071" spans="5:44">
      <c r="E1071" s="76"/>
      <c r="F10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1" s="13" t="s">
        <v>337</v>
      </c>
      <c r="H1071" s="13" t="s">
        <v>2986</v>
      </c>
      <c r="I1071" s="12" t="str">
        <f>Table1[[#This Row],[type]]</f>
        <v>field</v>
      </c>
      <c r="J1071" s="62" t="str">
        <f>Table1[[#This Row],[Column42]]&amp;IF(Table1[[#This Row],[Column13]]="","",Table1[[#This Row],[Column13]])&amp;IF(Table1[[#This Row],[mod]]="","",Table1[[#This Row],[mod]])</f>
        <v>field__toggle--primary</v>
      </c>
      <c r="K10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1" t="s">
        <v>3099</v>
      </c>
      <c r="M1071" t="s">
        <v>3110</v>
      </c>
      <c r="Q10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071" t="s">
        <v>3164</v>
      </c>
      <c r="AB1071" s="29"/>
      <c r="AC1071" s="25"/>
      <c r="AD1071" s="41" t="s">
        <v>6806</v>
      </c>
      <c r="AE1071" s="41"/>
      <c r="AF1071" s="11"/>
      <c r="AH1071" s="7" t="str">
        <f>Table1[[#This Row],[html_tag]]&amp;Table1[[#This Row],[html_type]]&amp;Table1[[#This Row],[html_modifier]]</f>
        <v/>
      </c>
      <c r="AL1071" s="23" t="str">
        <f>IFERROR(_xlfn.XLOOKUP(Table1[[#This Row],[word]],Table57[English style name],Table57[Style type]),"")</f>
        <v/>
      </c>
      <c r="AM1071" s="21"/>
      <c r="AN1071" s="11"/>
    </row>
    <row r="1072" spans="5:44">
      <c r="E1072" s="76"/>
      <c r="F10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2" s="13" t="s">
        <v>337</v>
      </c>
      <c r="H1072" s="13" t="s">
        <v>2986</v>
      </c>
      <c r="I1072" s="12" t="str">
        <f>Table1[[#This Row],[type]]</f>
        <v>field</v>
      </c>
      <c r="J1072" s="62" t="str">
        <f>Table1[[#This Row],[Column42]]&amp;IF(Table1[[#This Row],[Column13]]="","",Table1[[#This Row],[Column13]])&amp;IF(Table1[[#This Row],[mod]]="","",Table1[[#This Row],[mod]])</f>
        <v>field__toggle--secondary</v>
      </c>
      <c r="K10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2" t="s">
        <v>3099</v>
      </c>
      <c r="M1072" t="s">
        <v>3110</v>
      </c>
      <c r="Q10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072" t="s">
        <v>3502</v>
      </c>
      <c r="AB1072" s="29"/>
      <c r="AC1072" s="25"/>
      <c r="AD1072" s="41" t="s">
        <v>6807</v>
      </c>
      <c r="AE1072" s="41"/>
      <c r="AF1072" s="11"/>
      <c r="AH1072" s="7" t="str">
        <f>Table1[[#This Row],[html_tag]]&amp;Table1[[#This Row],[html_type]]&amp;Table1[[#This Row],[html_modifier]]</f>
        <v/>
      </c>
      <c r="AL1072" s="23" t="str">
        <f>IFERROR(_xlfn.XLOOKUP(Table1[[#This Row],[word]],Table57[English style name],Table57[Style type]),"")</f>
        <v/>
      </c>
      <c r="AM1072" s="21"/>
      <c r="AN1072" s="11"/>
    </row>
    <row r="1073" spans="5:44">
      <c r="E1073" s="76"/>
      <c r="F10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3" s="13" t="s">
        <v>337</v>
      </c>
      <c r="H1073" s="13" t="s">
        <v>2986</v>
      </c>
      <c r="I1073" s="12" t="str">
        <f>Table1[[#This Row],[type]]</f>
        <v>field</v>
      </c>
      <c r="J1073" s="62" t="str">
        <f>Table1[[#This Row],[Column42]]&amp;IF(Table1[[#This Row],[Column13]]="","",Table1[[#This Row],[Column13]])&amp;IF(Table1[[#This Row],[mod]]="","",Table1[[#This Row],[mod]])</f>
        <v>field__toggle--sm</v>
      </c>
      <c r="K10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3" t="s">
        <v>3099</v>
      </c>
      <c r="M1073" t="s">
        <v>3110</v>
      </c>
      <c r="Q10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073" t="s">
        <v>3116</v>
      </c>
      <c r="AB1073" s="29"/>
      <c r="AC1073" s="25"/>
      <c r="AD1073" s="41" t="s">
        <v>6815</v>
      </c>
      <c r="AE1073" s="41"/>
      <c r="AF1073" s="11"/>
      <c r="AH1073" s="7" t="str">
        <f>Table1[[#This Row],[html_tag]]&amp;Table1[[#This Row],[html_type]]&amp;Table1[[#This Row],[html_modifier]]</f>
        <v/>
      </c>
      <c r="AL1073" s="23" t="str">
        <f>IFERROR(_xlfn.XLOOKUP(Table1[[#This Row],[word]],Table57[English style name],Table57[Style type]),"")</f>
        <v/>
      </c>
      <c r="AM1073" s="21"/>
      <c r="AN1073" s="11"/>
    </row>
    <row r="1074" spans="5:44">
      <c r="E1074" s="76"/>
      <c r="F10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4" s="13" t="s">
        <v>337</v>
      </c>
      <c r="H1074" s="13" t="s">
        <v>2986</v>
      </c>
      <c r="I1074" s="12" t="str">
        <f>Table1[[#This Row],[type]]</f>
        <v>field</v>
      </c>
      <c r="J1074" s="62" t="str">
        <f>Table1[[#This Row],[Column42]]&amp;IF(Table1[[#This Row],[Column13]]="","",Table1[[#This Row],[Column13]])&amp;IF(Table1[[#This Row],[mod]]="","",Table1[[#This Row],[mod]])</f>
        <v>field__toggle--success</v>
      </c>
      <c r="K10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4" t="s">
        <v>3099</v>
      </c>
      <c r="M1074" t="s">
        <v>3110</v>
      </c>
      <c r="Q10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74" t="s">
        <v>3120</v>
      </c>
      <c r="AB1074" s="29"/>
      <c r="AC1074" s="25"/>
      <c r="AD1074" s="41" t="s">
        <v>6810</v>
      </c>
      <c r="AE1074" s="41"/>
      <c r="AF1074" s="11"/>
      <c r="AH1074" s="7" t="str">
        <f>Table1[[#This Row],[html_tag]]&amp;Table1[[#This Row],[html_type]]&amp;Table1[[#This Row],[html_modifier]]</f>
        <v/>
      </c>
      <c r="AL1074" s="23" t="str">
        <f>IFERROR(_xlfn.XLOOKUP(Table1[[#This Row],[word]],Table57[English style name],Table57[Style type]),"")</f>
        <v/>
      </c>
      <c r="AM1074" s="21"/>
      <c r="AN1074" s="11"/>
    </row>
    <row r="1075" spans="5:44">
      <c r="E1075" s="76"/>
      <c r="F10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5" s="13" t="s">
        <v>337</v>
      </c>
      <c r="H1075" s="13" t="s">
        <v>2986</v>
      </c>
      <c r="I1075" s="12" t="str">
        <f>Table1[[#This Row],[type]]</f>
        <v>field</v>
      </c>
      <c r="J1075" s="62" t="str">
        <f>Table1[[#This Row],[Column42]]&amp;IF(Table1[[#This Row],[Column13]]="","",Table1[[#This Row],[Column13]])&amp;IF(Table1[[#This Row],[mod]]="","",Table1[[#This Row],[mod]])</f>
        <v>field__toggle--warning</v>
      </c>
      <c r="K10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5" t="s">
        <v>3099</v>
      </c>
      <c r="M1075" t="s">
        <v>3110</v>
      </c>
      <c r="Q10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75" t="s">
        <v>3121</v>
      </c>
      <c r="AB1075" s="29"/>
      <c r="AC1075" s="25"/>
      <c r="AD1075" s="41" t="s">
        <v>6811</v>
      </c>
      <c r="AE1075" s="41"/>
      <c r="AF1075" s="11"/>
      <c r="AH1075" s="7" t="str">
        <f>Table1[[#This Row],[html_tag]]&amp;Table1[[#This Row],[html_type]]&amp;Table1[[#This Row],[html_modifier]]</f>
        <v/>
      </c>
      <c r="AL1075" s="23" t="str">
        <f>IFERROR(_xlfn.XLOOKUP(Table1[[#This Row],[word]],Table57[English style name],Table57[Style type]),"")</f>
        <v/>
      </c>
      <c r="AM1075" s="21"/>
      <c r="AN1075" s="11"/>
    </row>
    <row r="1076" spans="5:44">
      <c r="E1076" s="76"/>
      <c r="F10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6" s="13" t="s">
        <v>337</v>
      </c>
      <c r="H1076" s="13" t="s">
        <v>2986</v>
      </c>
      <c r="I1076" s="12" t="str">
        <f>Table1[[#This Row],[type]]</f>
        <v>field</v>
      </c>
      <c r="J1076" s="62" t="str">
        <f>Table1[[#This Row],[Column42]]&amp;IF(Table1[[#This Row],[Column13]]="","",Table1[[#This Row],[Column13]])&amp;IF(Table1[[#This Row],[mod]]="","",Table1[[#This Row],[mod]])</f>
        <v>field__toggle--xl</v>
      </c>
      <c r="K10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6" t="s">
        <v>3099</v>
      </c>
      <c r="M1076" t="s">
        <v>3110</v>
      </c>
      <c r="Q10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076" t="s">
        <v>3126</v>
      </c>
      <c r="AB1076" s="29"/>
      <c r="AC1076" s="25"/>
      <c r="AD1076" s="41" t="s">
        <v>6818</v>
      </c>
      <c r="AE1076" s="41"/>
      <c r="AF1076" s="11"/>
      <c r="AH1076" s="7" t="str">
        <f>Table1[[#This Row],[html_tag]]&amp;Table1[[#This Row],[html_type]]&amp;Table1[[#This Row],[html_modifier]]</f>
        <v/>
      </c>
      <c r="AL1076" s="23" t="str">
        <f>IFERROR(_xlfn.XLOOKUP(Table1[[#This Row],[word]],Table57[English style name],Table57[Style type]),"")</f>
        <v/>
      </c>
      <c r="AM1076" s="21"/>
      <c r="AN1076" s="11"/>
    </row>
    <row r="1077" spans="5:44">
      <c r="E1077" s="76"/>
      <c r="F10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7" s="13" t="s">
        <v>337</v>
      </c>
      <c r="H1077" s="13" t="s">
        <v>2986</v>
      </c>
      <c r="I1077" s="12" t="str">
        <f>Table1[[#This Row],[type]]</f>
        <v>field</v>
      </c>
      <c r="J1077" s="62" t="str">
        <f>Table1[[#This Row],[Column42]]&amp;IF(Table1[[#This Row],[Column13]]="","",Table1[[#This Row],[Column13]])&amp;IF(Table1[[#This Row],[mod]]="","",Table1[[#This Row],[mod]])</f>
        <v>field__toggle--xs</v>
      </c>
      <c r="K10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7" t="s">
        <v>3099</v>
      </c>
      <c r="M1077" t="s">
        <v>3110</v>
      </c>
      <c r="Q10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077" t="s">
        <v>3127</v>
      </c>
      <c r="AB1077" s="29"/>
      <c r="AC1077" s="25"/>
      <c r="AD1077" s="41" t="s">
        <v>6814</v>
      </c>
      <c r="AE1077" s="41"/>
      <c r="AF1077" s="11"/>
      <c r="AH1077" s="7" t="str">
        <f>Table1[[#This Row],[html_tag]]&amp;Table1[[#This Row],[html_type]]&amp;Table1[[#This Row],[html_modifier]]</f>
        <v/>
      </c>
      <c r="AL1077" s="23" t="str">
        <f>IFERROR(_xlfn.XLOOKUP(Table1[[#This Row],[word]],Table57[English style name],Table57[Style type]),"")</f>
        <v/>
      </c>
      <c r="AM1077" s="21"/>
      <c r="AN1077" s="11"/>
    </row>
    <row r="1078" spans="5:44">
      <c r="E1078" s="76"/>
      <c r="F10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8" s="13"/>
      <c r="H1078" s="13"/>
      <c r="I1078" s="12" t="str">
        <f>Table1[[#This Row],[type]]</f>
        <v>field</v>
      </c>
      <c r="J1078" s="62" t="str">
        <f>Table1[[#This Row],[Column42]]&amp;IF(Table1[[#This Row],[Column13]]="","",Table1[[#This Row],[Column13]])&amp;IF(Table1[[#This Row],[mod]]="","",Table1[[#This Row],[mod]])</f>
        <v>field__url--type</v>
      </c>
      <c r="K10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field__url</v>
      </c>
      <c r="L1078" t="s">
        <v>3099</v>
      </c>
      <c r="M1078" t="s">
        <v>3096</v>
      </c>
      <c r="Q107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78" t="s">
        <v>1</v>
      </c>
      <c r="U10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78" s="29"/>
      <c r="AC1078" s="25"/>
      <c r="AD1078" s="41"/>
      <c r="AE1078" s="41"/>
      <c r="AF1078" s="11" t="s">
        <v>203</v>
      </c>
      <c r="AH1078" s="1" t="str">
        <f>Table1[[#This Row],[html_tag]]&amp;Table1[[#This Row],[html_type]]&amp;Table1[[#This Row],[html_modifier]]</f>
        <v>&lt;input&gt;url</v>
      </c>
      <c r="AI1078" t="s">
        <v>203</v>
      </c>
      <c r="AJ1078" t="s">
        <v>3096</v>
      </c>
      <c r="AL1078" s="22" t="str">
        <f>IFERROR(_xlfn.XLOOKUP(Table1[[#This Row],[word]],Table57[English style name],Table57[Style type]),"")</f>
        <v/>
      </c>
      <c r="AM1078" s="20"/>
      <c r="AN1078" s="11"/>
    </row>
    <row r="1079" spans="5:44">
      <c r="E1079" s="76"/>
      <c r="F10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9" s="13"/>
      <c r="H1079" s="13"/>
      <c r="I1079" s="12" t="str">
        <f>Table1[[#This Row],[type]]</f>
        <v>field</v>
      </c>
      <c r="J1079" s="62" t="str">
        <f>Table1[[#This Row],[Column42]]&amp;IF(Table1[[#This Row],[Column13]]="","",Table1[[#This Row],[Column13]])&amp;IF(Table1[[#This Row],[mod]]="","",Table1[[#This Row],[mod]])</f>
        <v>field__validation</v>
      </c>
      <c r="K10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79" t="s">
        <v>3099</v>
      </c>
      <c r="M1079" t="s">
        <v>3144</v>
      </c>
      <c r="Q10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79" s="29"/>
      <c r="AC1079" s="25"/>
      <c r="AD1079" s="41" t="s">
        <v>7388</v>
      </c>
      <c r="AE1079" s="41"/>
      <c r="AF1079" s="11"/>
      <c r="AH1079" s="7" t="str">
        <f>Table1[[#This Row],[html_tag]]&amp;Table1[[#This Row],[html_type]]&amp;Table1[[#This Row],[html_modifier]]</f>
        <v/>
      </c>
      <c r="AL1079" s="23" t="str">
        <f>IFERROR(_xlfn.XLOOKUP(Table1[[#This Row],[word]],Table57[English style name],Table57[Style type]),"")</f>
        <v/>
      </c>
      <c r="AM1079" s="21"/>
      <c r="AN1079" s="11"/>
    </row>
    <row r="1080" spans="5:44">
      <c r="E1080" s="76"/>
      <c r="F10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0" s="13"/>
      <c r="H1080" s="13"/>
      <c r="I1080" s="12" t="str">
        <f>Table1[[#This Row],[type]]</f>
        <v>field</v>
      </c>
      <c r="J1080" s="62" t="str">
        <f>Table1[[#This Row],[Column42]]&amp;IF(Table1[[#This Row],[Column13]]="","",Table1[[#This Row],[Column13]])&amp;IF(Table1[[#This Row],[mod]]="","",Table1[[#This Row],[mod]])</f>
        <v>field__validation__hint</v>
      </c>
      <c r="K10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field__validation__hint</v>
      </c>
      <c r="L1080" t="s">
        <v>3099</v>
      </c>
      <c r="M1080" t="s">
        <v>3144</v>
      </c>
      <c r="O1080" t="s">
        <v>7409</v>
      </c>
      <c r="Q108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80" s="29"/>
      <c r="AC1080" s="25"/>
      <c r="AD1080" s="41" t="s">
        <v>7389</v>
      </c>
      <c r="AE1080" s="41"/>
      <c r="AF1080" s="11"/>
      <c r="AH1080" s="7" t="str">
        <f>Table1[[#This Row],[html_tag]]&amp;Table1[[#This Row],[html_type]]&amp;Table1[[#This Row],[html_modifier]]</f>
        <v/>
      </c>
      <c r="AL1080" s="23" t="str">
        <f>IFERROR(_xlfn.XLOOKUP(Table1[[#This Row],[word]],Table57[English style name],Table57[Style type]),"")</f>
        <v/>
      </c>
      <c r="AM1080" s="21"/>
      <c r="AN1080" s="11"/>
    </row>
    <row r="1081" spans="5:44">
      <c r="E1081" s="76"/>
      <c r="F10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1" s="13" t="s">
        <v>337</v>
      </c>
      <c r="H1081" s="13" t="s">
        <v>2987</v>
      </c>
      <c r="I1081" s="12" t="str">
        <f>Table1[[#This Row],[type]]</f>
        <v>field</v>
      </c>
      <c r="J1081" s="62" t="str">
        <f>Table1[[#This Row],[Column42]]&amp;IF(Table1[[#This Row],[Column13]]="","",Table1[[#This Row],[Column13]])&amp;IF(Table1[[#This Row],[mod]]="","",Table1[[#This Row],[mod]])</f>
        <v>field__validation__visible--error</v>
      </c>
      <c r="K10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field__validation__visible</v>
      </c>
      <c r="L1081" t="s">
        <v>3099</v>
      </c>
      <c r="M1081" t="s">
        <v>3144</v>
      </c>
      <c r="O1081" t="s">
        <v>2967</v>
      </c>
      <c r="P1081" s="14" t="s">
        <v>2911</v>
      </c>
      <c r="Q10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81" t="s">
        <v>3117</v>
      </c>
      <c r="AB1081" s="29"/>
      <c r="AC1081" s="25"/>
      <c r="AD1081" s="41"/>
      <c r="AE1081" s="41"/>
      <c r="AF1081" s="11"/>
      <c r="AH1081" s="1" t="str">
        <f>Table1[[#This Row],[html_tag]]&amp;Table1[[#This Row],[html_type]]&amp;Table1[[#This Row],[html_modifier]]</f>
        <v/>
      </c>
      <c r="AL1081" s="22" t="str">
        <f>IFERROR(_xlfn.XLOOKUP(Table1[[#This Row],[word]],Table57[English style name],Table57[Style type]),"")</f>
        <v/>
      </c>
      <c r="AM1081" s="20"/>
      <c r="AN1081" s="11"/>
      <c r="AQ1081" s="14" t="s">
        <v>2911</v>
      </c>
      <c r="AR1081" t="s">
        <v>2904</v>
      </c>
    </row>
    <row r="1082" spans="5:44">
      <c r="E1082" s="76"/>
      <c r="F10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2" s="13" t="s">
        <v>337</v>
      </c>
      <c r="H1082" s="13" t="s">
        <v>2987</v>
      </c>
      <c r="I1082" s="12" t="str">
        <f>Table1[[#This Row],[type]]</f>
        <v>field</v>
      </c>
      <c r="J1082" s="62" t="str">
        <f>Table1[[#This Row],[Column42]]&amp;IF(Table1[[#This Row],[Column13]]="","",Table1[[#This Row],[Column13]])&amp;IF(Table1[[#This Row],[mod]]="","",Table1[[#This Row],[mod]])</f>
        <v>field__validation--error</v>
      </c>
      <c r="K10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82" t="s">
        <v>3099</v>
      </c>
      <c r="M1082" t="s">
        <v>3144</v>
      </c>
      <c r="P1082" s="14" t="s">
        <v>2910</v>
      </c>
      <c r="Q10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82" t="s">
        <v>3117</v>
      </c>
      <c r="AB1082" s="29"/>
      <c r="AC1082" s="25"/>
      <c r="AD1082" s="41"/>
      <c r="AE1082" s="41"/>
      <c r="AF1082" s="11"/>
      <c r="AH1082" s="1" t="str">
        <f>Table1[[#This Row],[html_tag]]&amp;Table1[[#This Row],[html_type]]&amp;Table1[[#This Row],[html_modifier]]</f>
        <v/>
      </c>
      <c r="AL1082" s="22" t="str">
        <f>IFERROR(_xlfn.XLOOKUP(Table1[[#This Row],[word]],Table57[English style name],Table57[Style type]),"")</f>
        <v/>
      </c>
      <c r="AM1082" s="20"/>
      <c r="AN1082" s="11"/>
      <c r="AQ1082" s="14" t="s">
        <v>2910</v>
      </c>
      <c r="AR1082" t="s">
        <v>2904</v>
      </c>
    </row>
    <row r="1083" spans="5:44">
      <c r="E1083" s="76"/>
      <c r="F10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3" s="13" t="s">
        <v>337</v>
      </c>
      <c r="H1083" s="13" t="s">
        <v>2987</v>
      </c>
      <c r="I1083" s="12" t="str">
        <f>Table1[[#This Row],[type]]</f>
        <v>field</v>
      </c>
      <c r="J1083" s="62" t="str">
        <f>Table1[[#This Row],[Column42]]&amp;IF(Table1[[#This Row],[Column13]]="","",Table1[[#This Row],[Column13]])&amp;IF(Table1[[#This Row],[mod]]="","",Table1[[#This Row],[mod]])</f>
        <v>field__validation--invalid</v>
      </c>
      <c r="K10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83" t="s">
        <v>3099</v>
      </c>
      <c r="M1083" t="s">
        <v>3144</v>
      </c>
      <c r="P1083" s="14" t="s">
        <v>2912</v>
      </c>
      <c r="Q10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--invalid</v>
      </c>
      <c r="Z1083" t="s">
        <v>3038</v>
      </c>
      <c r="AB1083" s="29"/>
      <c r="AC1083" s="25"/>
      <c r="AD1083" s="41"/>
      <c r="AE1083" s="41"/>
      <c r="AF1083" s="11"/>
      <c r="AH1083" s="1" t="str">
        <f>Table1[[#This Row],[html_tag]]&amp;Table1[[#This Row],[html_type]]&amp;Table1[[#This Row],[html_modifier]]</f>
        <v/>
      </c>
      <c r="AL1083" s="22" t="str">
        <f>IFERROR(_xlfn.XLOOKUP(Table1[[#This Row],[word]],Table57[English style name],Table57[Style type]),"")</f>
        <v/>
      </c>
      <c r="AM1083" s="20"/>
      <c r="AN1083" s="11"/>
      <c r="AQ1083" s="14" t="s">
        <v>2912</v>
      </c>
      <c r="AR1083" t="s">
        <v>2904</v>
      </c>
    </row>
    <row r="1084" spans="5:44">
      <c r="E1084" s="76"/>
      <c r="F10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4" s="13" t="s">
        <v>337</v>
      </c>
      <c r="H1084" s="13" t="s">
        <v>2987</v>
      </c>
      <c r="I1084" s="12" t="str">
        <f>Table1[[#This Row],[type]]</f>
        <v>field</v>
      </c>
      <c r="J1084" s="62" t="str">
        <f>Table1[[#This Row],[Column42]]&amp;IF(Table1[[#This Row],[Column13]]="","",Table1[[#This Row],[Column13]])&amp;IF(Table1[[#This Row],[mod]]="","",Table1[[#This Row],[mod]])</f>
        <v>field__validation--success</v>
      </c>
      <c r="K10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84" t="s">
        <v>3099</v>
      </c>
      <c r="M1084" t="s">
        <v>3144</v>
      </c>
      <c r="P1084" s="14" t="s">
        <v>2915</v>
      </c>
      <c r="Q10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84" t="s">
        <v>3120</v>
      </c>
      <c r="AB1084" s="29"/>
      <c r="AC1084" s="25"/>
      <c r="AD1084" s="41"/>
      <c r="AE1084" s="41"/>
      <c r="AF1084" s="11"/>
      <c r="AH1084" s="1" t="str">
        <f>Table1[[#This Row],[html_tag]]&amp;Table1[[#This Row],[html_type]]&amp;Table1[[#This Row],[html_modifier]]</f>
        <v/>
      </c>
      <c r="AL1084" s="22" t="str">
        <f>IFERROR(_xlfn.XLOOKUP(Table1[[#This Row],[word]],Table57[English style name],Table57[Style type]),"")</f>
        <v/>
      </c>
      <c r="AM1084" s="20"/>
      <c r="AN1084" s="11"/>
      <c r="AQ1084" s="14" t="s">
        <v>2915</v>
      </c>
      <c r="AR1084" t="s">
        <v>2904</v>
      </c>
    </row>
    <row r="1085" spans="5:44">
      <c r="E1085" s="76"/>
      <c r="F10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5" s="13" t="s">
        <v>337</v>
      </c>
      <c r="H1085" s="13" t="s">
        <v>2987</v>
      </c>
      <c r="I1085" s="12" t="str">
        <f>Table1[[#This Row],[type]]</f>
        <v>field</v>
      </c>
      <c r="J1085" s="62" t="str">
        <f>Table1[[#This Row],[Column42]]&amp;IF(Table1[[#This Row],[Column13]]="","",Table1[[#This Row],[Column13]])&amp;IF(Table1[[#This Row],[mod]]="","",Table1[[#This Row],[mod]])</f>
        <v>field__validation--valid</v>
      </c>
      <c r="K10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85" t="s">
        <v>3099</v>
      </c>
      <c r="M1085" t="s">
        <v>3144</v>
      </c>
      <c r="P1085" s="14" t="s">
        <v>2913</v>
      </c>
      <c r="Q10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--valid</v>
      </c>
      <c r="Z1085" t="s">
        <v>3037</v>
      </c>
      <c r="AB1085" s="29"/>
      <c r="AC1085" s="25"/>
      <c r="AD1085" s="41"/>
      <c r="AE1085" s="41"/>
      <c r="AF1085" s="11"/>
      <c r="AH1085" s="1" t="str">
        <f>Table1[[#This Row],[html_tag]]&amp;Table1[[#This Row],[html_type]]&amp;Table1[[#This Row],[html_modifier]]</f>
        <v/>
      </c>
      <c r="AL1085" s="22" t="str">
        <f>IFERROR(_xlfn.XLOOKUP(Table1[[#This Row],[word]],Table57[English style name],Table57[Style type]),"")</f>
        <v/>
      </c>
      <c r="AM1085" s="20"/>
      <c r="AN1085" s="11"/>
      <c r="AQ1085" s="14" t="s">
        <v>2913</v>
      </c>
      <c r="AR1085" t="s">
        <v>2904</v>
      </c>
    </row>
    <row r="1086" spans="5:44">
      <c r="E1086" s="76"/>
      <c r="F10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6" s="13" t="s">
        <v>337</v>
      </c>
      <c r="H1086" s="13" t="s">
        <v>2987</v>
      </c>
      <c r="I1086" s="12" t="str">
        <f>Table1[[#This Row],[type]]</f>
        <v>field</v>
      </c>
      <c r="J1086" s="62" t="str">
        <f>Table1[[#This Row],[Column42]]&amp;IF(Table1[[#This Row],[Column13]]="","",Table1[[#This Row],[Column13]])&amp;IF(Table1[[#This Row],[mod]]="","",Table1[[#This Row],[mod]])</f>
        <v>field__validation--warning</v>
      </c>
      <c r="K10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86" t="s">
        <v>3099</v>
      </c>
      <c r="M1086" t="s">
        <v>3144</v>
      </c>
      <c r="P1086" s="6" t="s">
        <v>2914</v>
      </c>
      <c r="Q10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86" t="s">
        <v>3121</v>
      </c>
      <c r="AB1086" s="29"/>
      <c r="AC1086" s="25"/>
      <c r="AD1086" s="41"/>
      <c r="AE1086" s="41"/>
      <c r="AF1086" s="11"/>
      <c r="AH1086" s="1" t="str">
        <f>Table1[[#This Row],[html_tag]]&amp;Table1[[#This Row],[html_type]]&amp;Table1[[#This Row],[html_modifier]]</f>
        <v/>
      </c>
      <c r="AL1086" s="22" t="str">
        <f>IFERROR(_xlfn.XLOOKUP(Table1[[#This Row],[word]],Table57[English style name],Table57[Style type]),"")</f>
        <v/>
      </c>
      <c r="AM1086" s="20"/>
      <c r="AN1086" s="11"/>
      <c r="AQ1086" s="6" t="s">
        <v>2914</v>
      </c>
      <c r="AR1086" t="s">
        <v>2904</v>
      </c>
    </row>
    <row r="1087" spans="5:44">
      <c r="E1087" s="76"/>
      <c r="F10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7" s="13"/>
      <c r="H1087" s="13"/>
      <c r="I1087" s="12" t="str">
        <f>Table1[[#This Row],[type]]</f>
        <v>field</v>
      </c>
      <c r="J1087" s="62" t="str">
        <f>Table1[[#This Row],[Column42]]&amp;IF(Table1[[#This Row],[Column13]]="","",Table1[[#This Row],[Column13]])&amp;IF(Table1[[#This Row],[mod]]="","",Table1[[#This Row],[mod]])</f>
        <v>field__week--type</v>
      </c>
      <c r="K10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field__week</v>
      </c>
      <c r="L1087" t="s">
        <v>3099</v>
      </c>
      <c r="M1087" t="s">
        <v>3097</v>
      </c>
      <c r="Q10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87" t="s">
        <v>1</v>
      </c>
      <c r="U10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87" s="29"/>
      <c r="AC1087" s="25"/>
      <c r="AD1087" s="41"/>
      <c r="AE1087" s="41"/>
      <c r="AF1087" s="11" t="s">
        <v>203</v>
      </c>
      <c r="AH1087" s="1" t="str">
        <f>Table1[[#This Row],[html_tag]]&amp;Table1[[#This Row],[html_type]]&amp;Table1[[#This Row],[html_modifier]]</f>
        <v>&lt;input&gt;week</v>
      </c>
      <c r="AI1087" t="s">
        <v>203</v>
      </c>
      <c r="AJ1087" t="s">
        <v>3097</v>
      </c>
      <c r="AL1087" s="22" t="str">
        <f>IFERROR(_xlfn.XLOOKUP(Table1[[#This Row],[word]],Table57[English style name],Table57[Style type]),"")</f>
        <v/>
      </c>
      <c r="AM1087" s="20"/>
      <c r="AN1087" s="11"/>
    </row>
    <row r="1088" spans="5:44">
      <c r="E1088" s="76"/>
      <c r="F10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88" s="13" t="s">
        <v>337</v>
      </c>
      <c r="H1088" s="13" t="s">
        <v>2986</v>
      </c>
      <c r="I1088" s="12" t="str">
        <f>Table1[[#This Row],[type]]</f>
        <v>field</v>
      </c>
      <c r="J1088" s="62" t="str">
        <f>Table1[[#This Row],[Column42]]&amp;IF(Table1[[#This Row],[Column13]]="","",Table1[[#This Row],[Column13]])&amp;IF(Table1[[#This Row],[mod]]="","",Table1[[#This Row],[mod]])</f>
        <v>field--base</v>
      </c>
      <c r="K10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88" t="s">
        <v>3099</v>
      </c>
      <c r="P1088" s="6" t="s">
        <v>1912</v>
      </c>
      <c r="Q10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88" t="s">
        <v>338</v>
      </c>
      <c r="AB1088" s="29"/>
      <c r="AC1088" s="25"/>
      <c r="AD1088" s="41"/>
      <c r="AE1088" s="41"/>
      <c r="AF1088" s="11"/>
      <c r="AH1088" s="1" t="str">
        <f>Table1[[#This Row],[html_tag]]&amp;Table1[[#This Row],[html_type]]&amp;Table1[[#This Row],[html_modifier]]</f>
        <v/>
      </c>
      <c r="AL1088" s="22" t="str">
        <f>IFERROR(_xlfn.XLOOKUP(Table1[[#This Row],[word]],Table57[English style name],Table57[Style type]),"")</f>
        <v/>
      </c>
      <c r="AM1088" s="20"/>
      <c r="AN1088" s="11"/>
      <c r="AQ1088" s="6" t="s">
        <v>1912</v>
      </c>
      <c r="AR1088" t="s">
        <v>1910</v>
      </c>
    </row>
    <row r="1089" spans="5:45">
      <c r="E1089" s="76"/>
      <c r="F10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89" s="13" t="s">
        <v>337</v>
      </c>
      <c r="H1089" s="13" t="s">
        <v>2986</v>
      </c>
      <c r="I1089" s="12" t="str">
        <f>Table1[[#This Row],[type]]</f>
        <v>field</v>
      </c>
      <c r="J1089" s="62" t="str">
        <f>Table1[[#This Row],[Column42]]&amp;IF(Table1[[#This Row],[Column13]]="","",Table1[[#This Row],[Column13]])&amp;IF(Table1[[#This Row],[mod]]="","",Table1[[#This Row],[mod]])</f>
        <v>field--base</v>
      </c>
      <c r="K10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89" t="s">
        <v>3099</v>
      </c>
      <c r="P1089" s="6" t="s">
        <v>1913</v>
      </c>
      <c r="Q10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89" t="s">
        <v>338</v>
      </c>
      <c r="AB1089" s="29"/>
      <c r="AC1089" s="25"/>
      <c r="AD1089" s="41"/>
      <c r="AE1089" s="41"/>
      <c r="AF1089" s="11"/>
      <c r="AH1089" s="1" t="str">
        <f>Table1[[#This Row],[html_tag]]&amp;Table1[[#This Row],[html_type]]&amp;Table1[[#This Row],[html_modifier]]</f>
        <v/>
      </c>
      <c r="AL1089" s="22" t="str">
        <f>IFERROR(_xlfn.XLOOKUP(Table1[[#This Row],[word]],Table57[English style name],Table57[Style type]),"")</f>
        <v/>
      </c>
      <c r="AM1089" s="20"/>
      <c r="AN1089" s="11"/>
      <c r="AQ1089" s="6" t="s">
        <v>1913</v>
      </c>
      <c r="AR1089" t="s">
        <v>1910</v>
      </c>
    </row>
    <row r="1090" spans="5:45">
      <c r="E1090" s="76"/>
      <c r="F10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0" s="13" t="s">
        <v>337</v>
      </c>
      <c r="H1090" s="13" t="s">
        <v>2986</v>
      </c>
      <c r="I1090" s="12" t="str">
        <f>Table1[[#This Row],[type]]</f>
        <v>field</v>
      </c>
      <c r="J1090" s="62" t="str">
        <f>Table1[[#This Row],[Column42]]&amp;IF(Table1[[#This Row],[Column13]]="","",Table1[[#This Row],[Column13]])&amp;IF(Table1[[#This Row],[mod]]="","",Table1[[#This Row],[mod]])</f>
        <v>field--base</v>
      </c>
      <c r="K10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0" t="s">
        <v>3099</v>
      </c>
      <c r="P1090" s="6" t="s">
        <v>1911</v>
      </c>
      <c r="Q10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90" t="s">
        <v>338</v>
      </c>
      <c r="AB1090" s="29"/>
      <c r="AC1090" s="25"/>
      <c r="AD1090" s="41"/>
      <c r="AE1090" s="41"/>
      <c r="AF1090" s="11" t="s">
        <v>203</v>
      </c>
      <c r="AH1090" s="1" t="str">
        <f>Table1[[#This Row],[html_tag]]&amp;Table1[[#This Row],[html_type]]&amp;Table1[[#This Row],[html_modifier]]</f>
        <v>&lt;input&gt;</v>
      </c>
      <c r="AI1090" t="s">
        <v>203</v>
      </c>
      <c r="AL1090" s="22" t="str">
        <f>IFERROR(_xlfn.XLOOKUP(Table1[[#This Row],[word]],Table57[English style name],Table57[Style type]),"")</f>
        <v/>
      </c>
      <c r="AM1090" s="20"/>
      <c r="AN1090" s="11"/>
      <c r="AQ1090" s="6" t="s">
        <v>1911</v>
      </c>
      <c r="AR1090" t="s">
        <v>1910</v>
      </c>
    </row>
    <row r="1091" spans="5:45">
      <c r="E1091" s="76"/>
      <c r="F10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1" s="13" t="s">
        <v>337</v>
      </c>
      <c r="H1091" s="13" t="s">
        <v>2986</v>
      </c>
      <c r="I1091" s="12" t="str">
        <f>Table1[[#This Row],[type]]</f>
        <v>field</v>
      </c>
      <c r="J1091" s="62" t="str">
        <f>Table1[[#This Row],[Column42]]&amp;IF(Table1[[#This Row],[Column13]]="","",Table1[[#This Row],[Column13]])&amp;IF(Table1[[#This Row],[mod]]="","",Table1[[#This Row],[mod]])</f>
        <v>field--disabled</v>
      </c>
      <c r="K10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1" t="s">
        <v>3099</v>
      </c>
      <c r="P1091" s="14" t="s">
        <v>1914</v>
      </c>
      <c r="Q10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1091" t="s">
        <v>3032</v>
      </c>
      <c r="AB1091" s="29"/>
      <c r="AC1091" s="25"/>
      <c r="AD1091" s="41"/>
      <c r="AE1091" s="41"/>
      <c r="AF1091" s="11" t="s">
        <v>203</v>
      </c>
      <c r="AH1091" s="1" t="str">
        <f>Table1[[#This Row],[html_tag]]&amp;Table1[[#This Row],[html_type]]&amp;Table1[[#This Row],[html_modifier]]</f>
        <v>&lt;input&gt;:disabled</v>
      </c>
      <c r="AI1091" t="s">
        <v>203</v>
      </c>
      <c r="AK1091" t="s">
        <v>3024</v>
      </c>
      <c r="AL1091" s="22" t="str">
        <f>IFERROR(_xlfn.XLOOKUP(Table1[[#This Row],[word]],Table57[English style name],Table57[Style type]),"")</f>
        <v/>
      </c>
      <c r="AM1091" s="20"/>
      <c r="AN1091" s="11"/>
      <c r="AQ1091" s="14" t="s">
        <v>1914</v>
      </c>
      <c r="AR1091" t="s">
        <v>1910</v>
      </c>
    </row>
    <row r="1092" spans="5:45">
      <c r="E1092" s="76"/>
      <c r="F10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2" s="13" t="s">
        <v>337</v>
      </c>
      <c r="H1092" s="13" t="s">
        <v>2986</v>
      </c>
      <c r="I1092" s="12" t="str">
        <f>Table1[[#This Row],[type]]</f>
        <v>field</v>
      </c>
      <c r="J1092" s="62" t="str">
        <f>Table1[[#This Row],[Column42]]&amp;IF(Table1[[#This Row],[Column13]]="","",Table1[[#This Row],[Column13]])&amp;IF(Table1[[#This Row],[mod]]="","",Table1[[#This Row],[mod]])</f>
        <v>field--disabled</v>
      </c>
      <c r="K10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2" t="s">
        <v>3099</v>
      </c>
      <c r="P1092" s="14" t="s">
        <v>1979</v>
      </c>
      <c r="Q10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1092" t="s">
        <v>3032</v>
      </c>
      <c r="AB1092" s="29"/>
      <c r="AC1092" s="25"/>
      <c r="AD1092" s="41"/>
      <c r="AE1092" s="41"/>
      <c r="AF1092" s="11" t="s">
        <v>203</v>
      </c>
      <c r="AH1092" s="1" t="str">
        <f>Table1[[#This Row],[html_tag]]&amp;Table1[[#This Row],[html_type]]&amp;Table1[[#This Row],[html_modifier]]</f>
        <v>&lt;input&gt;:disabled</v>
      </c>
      <c r="AI1092" t="s">
        <v>203</v>
      </c>
      <c r="AK1092" t="s">
        <v>3024</v>
      </c>
      <c r="AL1092" s="22" t="str">
        <f>IFERROR(_xlfn.XLOOKUP(Table1[[#This Row],[word]],Table57[English style name],Table57[Style type]),"")</f>
        <v/>
      </c>
      <c r="AM1092" s="20"/>
      <c r="AN1092" s="11"/>
      <c r="AQ1092" s="14" t="s">
        <v>1979</v>
      </c>
      <c r="AR1092" t="s">
        <v>1980</v>
      </c>
    </row>
    <row r="1093" spans="5:45">
      <c r="E1093" s="76"/>
      <c r="F10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93" s="13" t="s">
        <v>337</v>
      </c>
      <c r="H1093" s="13" t="s">
        <v>2987</v>
      </c>
      <c r="I1093" s="12" t="str">
        <f>Table1[[#This Row],[type]]</f>
        <v>field</v>
      </c>
      <c r="J1093" s="62" t="str">
        <f>Table1[[#This Row],[Column42]]&amp;IF(Table1[[#This Row],[Column13]]="","",Table1[[#This Row],[Column13]])&amp;IF(Table1[[#This Row],[mod]]="","",Table1[[#This Row],[mod]])</f>
        <v>field--error</v>
      </c>
      <c r="K10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3" t="s">
        <v>3099</v>
      </c>
      <c r="P1093" s="6" t="s">
        <v>1736</v>
      </c>
      <c r="Q10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--error</v>
      </c>
      <c r="S1093" t="s">
        <v>3117</v>
      </c>
      <c r="U10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93" s="29"/>
      <c r="AC1093" s="25"/>
      <c r="AD1093" s="41"/>
      <c r="AE1093" s="41"/>
      <c r="AF1093" s="11" t="s">
        <v>203</v>
      </c>
      <c r="AH1093" s="1" t="str">
        <f>Table1[[#This Row],[html_tag]]&amp;Table1[[#This Row],[html_type]]&amp;Table1[[#This Row],[html_modifier]]</f>
        <v/>
      </c>
      <c r="AL1093" s="22" t="str">
        <f>IFERROR(_xlfn.XLOOKUP(Table1[[#This Row],[word]],Table57[English style name],Table57[Style type]),"")</f>
        <v/>
      </c>
      <c r="AM1093" s="20"/>
      <c r="AN1093" s="11"/>
      <c r="AQ1093" s="6" t="s">
        <v>1736</v>
      </c>
      <c r="AR1093" t="s">
        <v>1718</v>
      </c>
    </row>
    <row r="1094" spans="5:45">
      <c r="E1094" s="76"/>
      <c r="F10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4" s="13" t="s">
        <v>337</v>
      </c>
      <c r="H1094" s="13" t="s">
        <v>2986</v>
      </c>
      <c r="I1094" s="12" t="str">
        <f>Table1[[#This Row],[type]]</f>
        <v>field</v>
      </c>
      <c r="J1094" s="62" t="str">
        <f>Table1[[#This Row],[Column42]]&amp;IF(Table1[[#This Row],[Column13]]="","",Table1[[#This Row],[Column13]])&amp;IF(Table1[[#This Row],[mod]]="","",Table1[[#This Row],[mod]])</f>
        <v>field--error</v>
      </c>
      <c r="K10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4" t="s">
        <v>3099</v>
      </c>
      <c r="P1094" s="14" t="s">
        <v>1983</v>
      </c>
      <c r="Q10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94" t="s">
        <v>3117</v>
      </c>
      <c r="AB1094" s="29"/>
      <c r="AC1094" s="25"/>
      <c r="AD1094" s="41"/>
      <c r="AE1094" s="41"/>
      <c r="AF1094" s="11"/>
      <c r="AH1094" s="1" t="str">
        <f>Table1[[#This Row],[html_tag]]&amp;Table1[[#This Row],[html_type]]&amp;Table1[[#This Row],[html_modifier]]</f>
        <v/>
      </c>
      <c r="AL1094" s="22" t="str">
        <f>IFERROR(_xlfn.XLOOKUP(Table1[[#This Row],[word]],Table57[English style name],Table57[Style type]),"")</f>
        <v/>
      </c>
      <c r="AM1094" s="20"/>
      <c r="AN1094" s="11"/>
      <c r="AQ1094" s="14" t="s">
        <v>1983</v>
      </c>
      <c r="AR1094" t="s">
        <v>1980</v>
      </c>
    </row>
    <row r="1095" spans="5:45">
      <c r="E1095" s="76"/>
      <c r="F10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5" s="13" t="s">
        <v>337</v>
      </c>
      <c r="H1095" s="13" t="s">
        <v>2986</v>
      </c>
      <c r="I1095" s="12" t="str">
        <f>Table1[[#This Row],[type]]</f>
        <v>field</v>
      </c>
      <c r="J1095" s="62" t="str">
        <f>Table1[[#This Row],[Column42]]&amp;IF(Table1[[#This Row],[Column13]]="","",Table1[[#This Row],[Column13]])&amp;IF(Table1[[#This Row],[mod]]="","",Table1[[#This Row],[mod]])</f>
        <v>field--filled</v>
      </c>
      <c r="K10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5" t="s">
        <v>3099</v>
      </c>
      <c r="P1095" s="14" t="s">
        <v>1924</v>
      </c>
      <c r="Q10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--filled</v>
      </c>
      <c r="W1095" t="s">
        <v>3111</v>
      </c>
      <c r="AB1095" s="29"/>
      <c r="AC1095" s="25"/>
      <c r="AD1095" s="41"/>
      <c r="AE1095" s="41"/>
      <c r="AF1095" s="11"/>
      <c r="AH1095" s="1" t="str">
        <f>Table1[[#This Row],[html_tag]]&amp;Table1[[#This Row],[html_type]]&amp;Table1[[#This Row],[html_modifier]]</f>
        <v/>
      </c>
      <c r="AL1095" s="22" t="str">
        <f>IFERROR(_xlfn.XLOOKUP(Table1[[#This Row],[word]],Table57[English style name],Table57[Style type]),"")</f>
        <v/>
      </c>
      <c r="AM1095" s="20"/>
      <c r="AN1095" s="11"/>
      <c r="AQ1095" s="14" t="s">
        <v>1924</v>
      </c>
      <c r="AR1095" t="s">
        <v>1910</v>
      </c>
    </row>
    <row r="1096" spans="5:45">
      <c r="E1096" s="76"/>
      <c r="F10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6" s="13" t="s">
        <v>337</v>
      </c>
      <c r="H1096" s="13" t="s">
        <v>2986</v>
      </c>
      <c r="I1096" s="12" t="str">
        <f>Table1[[#This Row],[type]]</f>
        <v>field</v>
      </c>
      <c r="J1096" s="62" t="str">
        <f>Table1[[#This Row],[Column42]]&amp;IF(Table1[[#This Row],[Column13]]="","",Table1[[#This Row],[Column13]])&amp;IF(Table1[[#This Row],[mod]]="","",Table1[[#This Row],[mod]])</f>
        <v>field--focus</v>
      </c>
      <c r="K10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6" t="s">
        <v>3099</v>
      </c>
      <c r="P1096" s="14" t="s">
        <v>1915</v>
      </c>
      <c r="Q10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1096" t="s">
        <v>3020</v>
      </c>
      <c r="AB1096" s="29"/>
      <c r="AC1096" s="25"/>
      <c r="AD1096" s="41"/>
      <c r="AE1096" s="41"/>
      <c r="AF1096" s="11" t="s">
        <v>203</v>
      </c>
      <c r="AH1096" s="1" t="str">
        <f>Table1[[#This Row],[html_tag]]&amp;Table1[[#This Row],[html_type]]&amp;Table1[[#This Row],[html_modifier]]</f>
        <v>&lt;input&gt;:focus</v>
      </c>
      <c r="AI1096" t="s">
        <v>203</v>
      </c>
      <c r="AK1096" t="s">
        <v>3016</v>
      </c>
      <c r="AL1096" s="22" t="str">
        <f>IFERROR(_xlfn.XLOOKUP(Table1[[#This Row],[word]],Table57[English style name],Table57[Style type]),"")</f>
        <v/>
      </c>
      <c r="AM1096" s="20"/>
      <c r="AN1096" s="11"/>
      <c r="AQ1096" s="14" t="s">
        <v>1915</v>
      </c>
      <c r="AR1096" t="s">
        <v>1910</v>
      </c>
    </row>
    <row r="1097" spans="5:45">
      <c r="E1097" s="76"/>
      <c r="F10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7" s="13" t="s">
        <v>337</v>
      </c>
      <c r="H1097" s="13" t="s">
        <v>2986</v>
      </c>
      <c r="I1097" s="12" t="str">
        <f>Table1[[#This Row],[type]]</f>
        <v>field</v>
      </c>
      <c r="J1097" s="62" t="str">
        <f>Table1[[#This Row],[Column42]]&amp;IF(Table1[[#This Row],[Column13]]="","",Table1[[#This Row],[Column13]])&amp;IF(Table1[[#This Row],[mod]]="","",Table1[[#This Row],[mod]])</f>
        <v>field--focus</v>
      </c>
      <c r="K10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7" t="s">
        <v>3099</v>
      </c>
      <c r="P1097" s="14" t="s">
        <v>1981</v>
      </c>
      <c r="Q10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1097" t="s">
        <v>3020</v>
      </c>
      <c r="AB1097" s="29"/>
      <c r="AC1097" s="25"/>
      <c r="AD1097" s="41"/>
      <c r="AE1097" s="41"/>
      <c r="AF1097" s="11" t="s">
        <v>203</v>
      </c>
      <c r="AH1097" s="1" t="str">
        <f>Table1[[#This Row],[html_tag]]&amp;Table1[[#This Row],[html_type]]&amp;Table1[[#This Row],[html_modifier]]</f>
        <v>&lt;input&gt;:focus</v>
      </c>
      <c r="AI1097" t="s">
        <v>203</v>
      </c>
      <c r="AK1097" t="s">
        <v>3016</v>
      </c>
      <c r="AL1097" s="22" t="str">
        <f>IFERROR(_xlfn.XLOOKUP(Table1[[#This Row],[word]],Table57[English style name],Table57[Style type]),"")</f>
        <v/>
      </c>
      <c r="AM1097" s="20"/>
      <c r="AN1097" s="11"/>
      <c r="AQ1097" s="14" t="s">
        <v>1981</v>
      </c>
      <c r="AR1097" t="s">
        <v>1980</v>
      </c>
    </row>
    <row r="1098" spans="5:45">
      <c r="E1098" s="76"/>
      <c r="F10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98" s="13" t="s">
        <v>337</v>
      </c>
      <c r="H1098" s="13" t="s">
        <v>2987</v>
      </c>
      <c r="I1098" s="12" t="str">
        <f>Table1[[#This Row],[type]]</f>
        <v>field</v>
      </c>
      <c r="J1098" s="62" t="str">
        <f>Table1[[#This Row],[Column42]]&amp;IF(Table1[[#This Row],[Column13]]="","",Table1[[#This Row],[Column13]])&amp;IF(Table1[[#This Row],[mod]]="","",Table1[[#This Row],[mod]])</f>
        <v>field--help</v>
      </c>
      <c r="K10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8" t="s">
        <v>3099</v>
      </c>
      <c r="P1098" s="6" t="s">
        <v>1737</v>
      </c>
      <c r="Q10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--help</v>
      </c>
      <c r="S1098" t="s">
        <v>3118</v>
      </c>
      <c r="U10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98" s="29"/>
      <c r="AC1098" s="25"/>
      <c r="AD1098" s="41"/>
      <c r="AE1098" s="41"/>
      <c r="AF1098" s="11" t="s">
        <v>203</v>
      </c>
      <c r="AH1098" s="1" t="str">
        <f>Table1[[#This Row],[html_tag]]&amp;Table1[[#This Row],[html_type]]&amp;Table1[[#This Row],[html_modifier]]</f>
        <v/>
      </c>
      <c r="AL1098" s="22" t="str">
        <f>IFERROR(_xlfn.XLOOKUP(Table1[[#This Row],[word]],Table57[English style name],Table57[Style type]),"")</f>
        <v/>
      </c>
      <c r="AM1098" s="20"/>
      <c r="AN1098" s="11"/>
      <c r="AQ1098" s="6" t="s">
        <v>1737</v>
      </c>
      <c r="AR1098" t="s">
        <v>1718</v>
      </c>
    </row>
    <row r="1099" spans="5:45">
      <c r="E1099" s="76"/>
      <c r="F10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9" s="13" t="s">
        <v>337</v>
      </c>
      <c r="H1099" s="13" t="s">
        <v>2986</v>
      </c>
      <c r="I1099" s="12" t="str">
        <f>Table1[[#This Row],[type]]</f>
        <v>field</v>
      </c>
      <c r="J1099" s="62" t="str">
        <f>Table1[[#This Row],[Column42]]&amp;IF(Table1[[#This Row],[Column13]]="","",Table1[[#This Row],[Column13]])&amp;IF(Table1[[#This Row],[mod]]="","",Table1[[#This Row],[mod]])</f>
        <v>field--hover</v>
      </c>
      <c r="K10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9" t="s">
        <v>3099</v>
      </c>
      <c r="P1099" s="14" t="s">
        <v>1916</v>
      </c>
      <c r="Q10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1099" t="s">
        <v>3019</v>
      </c>
      <c r="AB1099" s="29"/>
      <c r="AC1099" s="25"/>
      <c r="AD1099" s="41"/>
      <c r="AE1099" s="41"/>
      <c r="AF1099" s="11" t="s">
        <v>203</v>
      </c>
      <c r="AH1099" s="1" t="str">
        <f>Table1[[#This Row],[html_tag]]&amp;Table1[[#This Row],[html_type]]&amp;Table1[[#This Row],[html_modifier]]</f>
        <v>&lt;input&gt;:hover</v>
      </c>
      <c r="AI1099" t="s">
        <v>203</v>
      </c>
      <c r="AK1099" t="s">
        <v>3014</v>
      </c>
      <c r="AL1099" s="22" t="str">
        <f>IFERROR(_xlfn.XLOOKUP(Table1[[#This Row],[word]],Table57[English style name],Table57[Style type]),"")</f>
        <v/>
      </c>
      <c r="AM1099" s="20"/>
      <c r="AN1099" s="11"/>
      <c r="AQ1099" s="14" t="s">
        <v>1916</v>
      </c>
      <c r="AR1099" t="s">
        <v>1910</v>
      </c>
    </row>
    <row r="1100" spans="5:45">
      <c r="E1100" s="76"/>
      <c r="F11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0" s="13" t="s">
        <v>337</v>
      </c>
      <c r="H1100" s="13" t="s">
        <v>2986</v>
      </c>
      <c r="I1100" s="12" t="str">
        <f>Table1[[#This Row],[type]]</f>
        <v>field</v>
      </c>
      <c r="J1100" s="62" t="str">
        <f>Table1[[#This Row],[Column42]]&amp;IF(Table1[[#This Row],[Column13]]="","",Table1[[#This Row],[Column13]])&amp;IF(Table1[[#This Row],[mod]]="","",Table1[[#This Row],[mod]])</f>
        <v>field--info</v>
      </c>
      <c r="K11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0" t="s">
        <v>3099</v>
      </c>
      <c r="P1100" s="14" t="s">
        <v>1984</v>
      </c>
      <c r="Q11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100" t="s">
        <v>3119</v>
      </c>
      <c r="AB1100" s="29"/>
      <c r="AC1100" s="25"/>
      <c r="AD1100" s="41"/>
      <c r="AE1100" s="41"/>
      <c r="AF1100" s="11"/>
      <c r="AH1100" s="1" t="str">
        <f>Table1[[#This Row],[html_tag]]&amp;Table1[[#This Row],[html_type]]&amp;Table1[[#This Row],[html_modifier]]</f>
        <v/>
      </c>
      <c r="AL1100" s="22" t="str">
        <f>IFERROR(_xlfn.XLOOKUP(Table1[[#This Row],[word]],Table57[English style name],Table57[Style type]),"")</f>
        <v/>
      </c>
      <c r="AM1100" s="20"/>
      <c r="AN1100" s="11"/>
      <c r="AQ1100" s="14" t="s">
        <v>1984</v>
      </c>
      <c r="AR1100" t="s">
        <v>1980</v>
      </c>
    </row>
    <row r="1101" spans="5:45">
      <c r="E1101" s="76"/>
      <c r="F11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01" s="13" t="s">
        <v>337</v>
      </c>
      <c r="H1101" s="13" t="s">
        <v>2987</v>
      </c>
      <c r="I1101" s="12" t="str">
        <f>Table1[[#This Row],[type]]</f>
        <v>field</v>
      </c>
      <c r="J1101" s="62" t="str">
        <f>Table1[[#This Row],[Column42]]&amp;IF(Table1[[#This Row],[Column13]]="","",Table1[[#This Row],[Column13]])&amp;IF(Table1[[#This Row],[mod]]="","",Table1[[#This Row],[mod]])</f>
        <v>field--input</v>
      </c>
      <c r="K11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1" t="s">
        <v>3099</v>
      </c>
      <c r="P1101" s="6" t="s">
        <v>1739</v>
      </c>
      <c r="Q11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--input</v>
      </c>
      <c r="S1101" t="s">
        <v>551</v>
      </c>
      <c r="U11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01" s="29"/>
      <c r="AC1101" s="25"/>
      <c r="AD1101" s="41"/>
      <c r="AE1101" s="41"/>
      <c r="AF1101" s="11" t="s">
        <v>203</v>
      </c>
      <c r="AH1101" s="1" t="str">
        <f>Table1[[#This Row],[html_tag]]&amp;Table1[[#This Row],[html_type]]&amp;Table1[[#This Row],[html_modifier]]</f>
        <v/>
      </c>
      <c r="AL1101" s="22" t="str">
        <f>IFERROR(_xlfn.XLOOKUP(Table1[[#This Row],[word]],Table57[English style name],Table57[Style type]),"")</f>
        <v/>
      </c>
      <c r="AM1101" s="20"/>
      <c r="AN1101" s="11"/>
      <c r="AQ1101" s="6" t="s">
        <v>1739</v>
      </c>
      <c r="AR1101" t="s">
        <v>1718</v>
      </c>
    </row>
    <row r="1102" spans="5:45">
      <c r="E1102" s="76"/>
      <c r="F11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02" s="13" t="s">
        <v>337</v>
      </c>
      <c r="H1102" s="13" t="s">
        <v>2987</v>
      </c>
      <c r="I1102" s="12" t="str">
        <f>Table1[[#This Row],[type]]</f>
        <v>field</v>
      </c>
      <c r="J1102" s="62" t="str">
        <f>Table1[[#This Row],[Column42]]&amp;IF(Table1[[#This Row],[Column13]]="","",Table1[[#This Row],[Column13]])&amp;IF(Table1[[#This Row],[mod]]="","",Table1[[#This Row],[mod]])</f>
        <v>field--input</v>
      </c>
      <c r="K11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2" t="s">
        <v>3099</v>
      </c>
      <c r="P1102" s="6" t="s">
        <v>1740</v>
      </c>
      <c r="Q11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--input</v>
      </c>
      <c r="S1102" t="s">
        <v>551</v>
      </c>
      <c r="U11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02" s="29"/>
      <c r="AC1102" s="25"/>
      <c r="AD1102" s="41"/>
      <c r="AE1102" s="41"/>
      <c r="AF1102" s="11" t="s">
        <v>203</v>
      </c>
      <c r="AH1102" s="1" t="str">
        <f>Table1[[#This Row],[html_tag]]&amp;Table1[[#This Row],[html_type]]&amp;Table1[[#This Row],[html_modifier]]</f>
        <v/>
      </c>
      <c r="AL1102" s="22" t="str">
        <f>IFERROR(_xlfn.XLOOKUP(Table1[[#This Row],[word]],Table57[English style name],Table57[Style type]),"")</f>
        <v/>
      </c>
      <c r="AM1102" s="20"/>
      <c r="AN1102" s="11"/>
      <c r="AQ1102" s="6" t="s">
        <v>1740</v>
      </c>
      <c r="AR1102" t="s">
        <v>1718</v>
      </c>
    </row>
    <row r="1103" spans="5:45">
      <c r="E1103" s="76"/>
      <c r="F11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3" s="13" t="s">
        <v>337</v>
      </c>
      <c r="H1103" s="13" t="s">
        <v>2986</v>
      </c>
      <c r="I1103" s="12" t="str">
        <f>Table1[[#This Row],[type]]</f>
        <v>field</v>
      </c>
      <c r="J1103" s="62" t="str">
        <f>Table1[[#This Row],[Column42]]&amp;IF(Table1[[#This Row],[Column13]]="","",Table1[[#This Row],[Column13]])&amp;IF(Table1[[#This Row],[mod]]="","",Table1[[#This Row],[mod]])</f>
        <v>field--invalid</v>
      </c>
      <c r="K11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3" t="s">
        <v>3099</v>
      </c>
      <c r="P1103" s="14" t="s">
        <v>1982</v>
      </c>
      <c r="Q11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--invalid</v>
      </c>
      <c r="Z1103" t="s">
        <v>3038</v>
      </c>
      <c r="AB1103" s="29"/>
      <c r="AC1103" s="25"/>
      <c r="AD1103" s="41"/>
      <c r="AE1103" s="41"/>
      <c r="AF1103" s="11" t="s">
        <v>203</v>
      </c>
      <c r="AH1103" s="1" t="str">
        <f>Table1[[#This Row],[html_tag]]&amp;Table1[[#This Row],[html_type]]&amp;Table1[[#This Row],[html_modifier]]</f>
        <v>&lt;input&gt;:invalid</v>
      </c>
      <c r="AI1103" t="s">
        <v>203</v>
      </c>
      <c r="AK1103" t="s">
        <v>3029</v>
      </c>
      <c r="AL1103" s="22" t="str">
        <f>IFERROR(_xlfn.XLOOKUP(Table1[[#This Row],[word]],Table57[English style name],Table57[Style type]),"")</f>
        <v/>
      </c>
      <c r="AM1103" s="20"/>
      <c r="AN1103" s="11"/>
      <c r="AQ1103" s="14" t="s">
        <v>1982</v>
      </c>
      <c r="AR1103" t="s">
        <v>1980</v>
      </c>
    </row>
    <row r="1104" spans="5:45">
      <c r="E1104" s="76"/>
      <c r="F11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4" s="13" t="s">
        <v>337</v>
      </c>
      <c r="H1104" s="13" t="s">
        <v>2986</v>
      </c>
      <c r="I1104" s="12" t="str">
        <f>Table1[[#This Row],[type]]</f>
        <v>field</v>
      </c>
      <c r="J1104" s="62" t="str">
        <f>Table1[[#This Row],[Column42]]&amp;IF(Table1[[#This Row],[Column13]]="","",Table1[[#This Row],[Column13]])&amp;IF(Table1[[#This Row],[mod]]="","",Table1[[#This Row],[mod]])</f>
        <v>field--lg</v>
      </c>
      <c r="K11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4" t="s">
        <v>3099</v>
      </c>
      <c r="P1104" s="6" t="s">
        <v>1917</v>
      </c>
      <c r="Q11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104" t="s">
        <v>3114</v>
      </c>
      <c r="AB1104" s="29"/>
      <c r="AC1104" s="25"/>
      <c r="AD1104" s="41"/>
      <c r="AE1104" s="41"/>
      <c r="AF1104" s="11" t="s">
        <v>209</v>
      </c>
      <c r="AH1104" s="1" t="str">
        <f>Table1[[#This Row],[html_tag]]&amp;Table1[[#This Row],[html_type]]&amp;Table1[[#This Row],[html_modifier]]</f>
        <v>&lt;label&gt;</v>
      </c>
      <c r="AI1104" t="s">
        <v>209</v>
      </c>
      <c r="AL1104" s="22" t="str">
        <f>IFERROR(_xlfn.XLOOKUP(Table1[[#This Row],[word]],Table57[English style name],Table57[Style type]),"")</f>
        <v/>
      </c>
      <c r="AM1104" s="20"/>
      <c r="AN1104" s="11"/>
      <c r="AQ1104" s="6" t="s">
        <v>1917</v>
      </c>
      <c r="AR1104" s="14" t="s">
        <v>1920</v>
      </c>
      <c r="AS1104" t="s">
        <v>1910</v>
      </c>
    </row>
    <row r="1105" spans="6:45">
      <c r="F11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5" s="13" t="s">
        <v>337</v>
      </c>
      <c r="H1105" s="13" t="s">
        <v>2986</v>
      </c>
      <c r="I1105" s="12" t="str">
        <f>Table1[[#This Row],[type]]</f>
        <v>field</v>
      </c>
      <c r="J1105" s="62" t="str">
        <f>Table1[[#This Row],[Column42]]&amp;IF(Table1[[#This Row],[Column13]]="","",Table1[[#This Row],[Column13]])&amp;IF(Table1[[#This Row],[mod]]="","",Table1[[#This Row],[mod]])</f>
        <v>field--md</v>
      </c>
      <c r="K11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5" t="s">
        <v>3099</v>
      </c>
      <c r="P1105" s="6" t="s">
        <v>1918</v>
      </c>
      <c r="Q11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105" t="s">
        <v>3115</v>
      </c>
      <c r="AB1105" s="29"/>
      <c r="AC1105" s="25"/>
      <c r="AD1105" s="41"/>
      <c r="AE1105" s="41"/>
      <c r="AF1105" s="11"/>
      <c r="AH1105" s="1" t="str">
        <f>Table1[[#This Row],[html_tag]]&amp;Table1[[#This Row],[html_type]]&amp;Table1[[#This Row],[html_modifier]]</f>
        <v/>
      </c>
      <c r="AL1105" s="22" t="str">
        <f>IFERROR(_xlfn.XLOOKUP(Table1[[#This Row],[word]],Table57[English style name],Table57[Style type]),"")</f>
        <v/>
      </c>
      <c r="AM1105" s="20"/>
      <c r="AN1105" s="11"/>
      <c r="AQ1105" s="6" t="s">
        <v>1918</v>
      </c>
      <c r="AR1105" s="14" t="s">
        <v>1921</v>
      </c>
      <c r="AS1105" t="s">
        <v>1910</v>
      </c>
    </row>
    <row r="1106" spans="6:45">
      <c r="F11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6" s="13" t="s">
        <v>337</v>
      </c>
      <c r="H1106" s="13" t="s">
        <v>2986</v>
      </c>
      <c r="I1106" s="12" t="str">
        <f>Table1[[#This Row],[type]]</f>
        <v>field</v>
      </c>
      <c r="J1106" s="62" t="str">
        <f>Table1[[#This Row],[Column42]]&amp;IF(Table1[[#This Row],[Column13]]="","",Table1[[#This Row],[Column13]])&amp;IF(Table1[[#This Row],[mod]]="","",Table1[[#This Row],[mod]])</f>
        <v>field--optional</v>
      </c>
      <c r="K11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6" t="s">
        <v>3099</v>
      </c>
      <c r="Q11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--optional</v>
      </c>
      <c r="Z1106" t="s">
        <v>3036</v>
      </c>
      <c r="AB1106" s="29"/>
      <c r="AC1106" s="25"/>
      <c r="AD1106" s="41"/>
      <c r="AE1106" s="41"/>
      <c r="AF1106" s="11" t="s">
        <v>203</v>
      </c>
      <c r="AH1106" s="1" t="str">
        <f>Table1[[#This Row],[html_tag]]&amp;Table1[[#This Row],[html_type]]&amp;Table1[[#This Row],[html_modifier]]</f>
        <v>&lt;input&gt;:optional</v>
      </c>
      <c r="AI1106" t="s">
        <v>203</v>
      </c>
      <c r="AK1106" t="s">
        <v>3027</v>
      </c>
      <c r="AL1106" s="22" t="str">
        <f>IFERROR(_xlfn.XLOOKUP(Table1[[#This Row],[word]],Table57[English style name],Table57[Style type]),"")</f>
        <v/>
      </c>
      <c r="AM1106" s="20"/>
      <c r="AN1106" s="11"/>
      <c r="AQ1106" s="14" t="s">
        <v>1987</v>
      </c>
      <c r="AR1106" t="s">
        <v>1980</v>
      </c>
    </row>
    <row r="1107" spans="6:45">
      <c r="F11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7" s="13" t="s">
        <v>337</v>
      </c>
      <c r="H1107" s="13" t="s">
        <v>2986</v>
      </c>
      <c r="I1107" s="12" t="str">
        <f>Table1[[#This Row],[type]]</f>
        <v>field</v>
      </c>
      <c r="J1107" s="62" t="str">
        <f>Table1[[#This Row],[Column42]]&amp;IF(Table1[[#This Row],[Column13]]="","",Table1[[#This Row],[Column13]])&amp;IF(Table1[[#This Row],[mod]]="","",Table1[[#This Row],[mod]])</f>
        <v>field--placeholder</v>
      </c>
      <c r="K11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7" t="s">
        <v>3099</v>
      </c>
      <c r="P1107" s="6" t="s">
        <v>1961</v>
      </c>
      <c r="Q11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--placeholder</v>
      </c>
      <c r="R1107" t="s">
        <v>2244</v>
      </c>
      <c r="U11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07" s="29"/>
      <c r="AC1107" s="25"/>
      <c r="AD1107" s="41"/>
      <c r="AE1107" s="41"/>
      <c r="AF1107" s="11"/>
      <c r="AH1107" s="1" t="str">
        <f>Table1[[#This Row],[html_tag]]&amp;Table1[[#This Row],[html_type]]&amp;Table1[[#This Row],[html_modifier]]</f>
        <v/>
      </c>
      <c r="AL1107" s="22" t="str">
        <f>IFERROR(_xlfn.XLOOKUP(Table1[[#This Row],[word]],Table57[English style name],Table57[Style type]),"")</f>
        <v/>
      </c>
      <c r="AM1107" s="20"/>
      <c r="AN1107" s="11"/>
      <c r="AQ1107" s="6" t="s">
        <v>1961</v>
      </c>
      <c r="AR1107" t="s">
        <v>1962</v>
      </c>
    </row>
    <row r="1108" spans="6:45">
      <c r="F11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8" s="13" t="s">
        <v>337</v>
      </c>
      <c r="H1108" s="13" t="s">
        <v>2986</v>
      </c>
      <c r="I1108" s="12" t="str">
        <f>Table1[[#This Row],[type]]</f>
        <v>field</v>
      </c>
      <c r="J1108" s="62" t="str">
        <f>Table1[[#This Row],[Column42]]&amp;IF(Table1[[#This Row],[Column13]]="","",Table1[[#This Row],[Column13]])&amp;IF(Table1[[#This Row],[mod]]="","",Table1[[#This Row],[mod]])</f>
        <v>field--placeholder--focus</v>
      </c>
      <c r="K11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8" t="s">
        <v>3099</v>
      </c>
      <c r="P1108" s="6" t="s">
        <v>1963</v>
      </c>
      <c r="Q11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--placeholder</v>
      </c>
      <c r="R1108" t="s">
        <v>2244</v>
      </c>
      <c r="U11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1108" t="s">
        <v>3020</v>
      </c>
      <c r="AB1108" s="29"/>
      <c r="AC1108" s="25"/>
      <c r="AD1108" s="41"/>
      <c r="AE1108" s="41"/>
      <c r="AF1108" s="11" t="s">
        <v>203</v>
      </c>
      <c r="AH1108" s="1" t="str">
        <f>Table1[[#This Row],[html_tag]]&amp;Table1[[#This Row],[html_type]]&amp;Table1[[#This Row],[html_modifier]]</f>
        <v>&lt;input&gt;:focus</v>
      </c>
      <c r="AI1108" t="s">
        <v>203</v>
      </c>
      <c r="AK1108" t="s">
        <v>3016</v>
      </c>
      <c r="AL1108" s="22" t="str">
        <f>IFERROR(_xlfn.XLOOKUP(Table1[[#This Row],[word]],Table57[English style name],Table57[Style type]),"")</f>
        <v/>
      </c>
      <c r="AM1108" s="20"/>
      <c r="AN1108" s="11"/>
      <c r="AQ1108" s="6" t="s">
        <v>1963</v>
      </c>
      <c r="AR1108" t="s">
        <v>1962</v>
      </c>
    </row>
    <row r="1109" spans="6:45">
      <c r="F11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9" s="13" t="s">
        <v>337</v>
      </c>
      <c r="H1109" s="13" t="s">
        <v>2986</v>
      </c>
      <c r="I1109" s="12" t="str">
        <f>Table1[[#This Row],[type]]</f>
        <v>field</v>
      </c>
      <c r="J1109" s="62" t="str">
        <f>Table1[[#This Row],[Column42]]&amp;IF(Table1[[#This Row],[Column13]]="","",Table1[[#This Row],[Column13]])&amp;IF(Table1[[#This Row],[mod]]="","",Table1[[#This Row],[mod]])</f>
        <v>field--readonly</v>
      </c>
      <c r="K11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9" t="s">
        <v>3099</v>
      </c>
      <c r="P1109" s="14" t="s">
        <v>1919</v>
      </c>
      <c r="Q11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--readonly</v>
      </c>
      <c r="Z1109" t="s">
        <v>3098</v>
      </c>
      <c r="AB1109" s="29"/>
      <c r="AC1109" s="25"/>
      <c r="AD1109" s="41"/>
      <c r="AE1109" s="41"/>
      <c r="AF1109" s="11" t="s">
        <v>203</v>
      </c>
      <c r="AH1109" s="1" t="str">
        <f>Table1[[#This Row],[html_tag]]&amp;Table1[[#This Row],[html_type]]&amp;Table1[[#This Row],[html_modifier]]</f>
        <v>&lt;input&gt;:read-only</v>
      </c>
      <c r="AI1109" t="s">
        <v>203</v>
      </c>
      <c r="AK1109" t="s">
        <v>3025</v>
      </c>
      <c r="AL1109" s="22" t="str">
        <f>IFERROR(_xlfn.XLOOKUP(Table1[[#This Row],[word]],Table57[English style name],Table57[Style type]),"")</f>
        <v/>
      </c>
      <c r="AM1109" s="20"/>
      <c r="AN1109" s="11"/>
      <c r="AQ1109" s="14" t="s">
        <v>1919</v>
      </c>
      <c r="AR1109" t="s">
        <v>1910</v>
      </c>
    </row>
    <row r="1110" spans="6:45">
      <c r="F11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0" s="13" t="s">
        <v>337</v>
      </c>
      <c r="H1110" s="13" t="s">
        <v>2986</v>
      </c>
      <c r="I1110" s="12" t="str">
        <f>Table1[[#This Row],[type]]</f>
        <v>field</v>
      </c>
      <c r="J1110" s="62" t="str">
        <f>Table1[[#This Row],[Column42]]&amp;IF(Table1[[#This Row],[Column13]]="","",Table1[[#This Row],[Column13]])&amp;IF(Table1[[#This Row],[mod]]="","",Table1[[#This Row],[mod]])</f>
        <v>field--readonly</v>
      </c>
      <c r="K11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0" t="s">
        <v>3099</v>
      </c>
      <c r="P1110" s="14" t="s">
        <v>1988</v>
      </c>
      <c r="Q11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--readonly</v>
      </c>
      <c r="Z1110" t="s">
        <v>3098</v>
      </c>
      <c r="AB1110" s="29"/>
      <c r="AC1110" s="25"/>
      <c r="AD1110" s="41"/>
      <c r="AE1110" s="41"/>
      <c r="AF1110" s="11" t="s">
        <v>203</v>
      </c>
      <c r="AH1110" s="1" t="str">
        <f>Table1[[#This Row],[html_tag]]&amp;Table1[[#This Row],[html_type]]&amp;Table1[[#This Row],[html_modifier]]</f>
        <v>&lt;input&gt;:read-only</v>
      </c>
      <c r="AI1110" t="s">
        <v>203</v>
      </c>
      <c r="AK1110" t="s">
        <v>3025</v>
      </c>
      <c r="AL1110" s="22" t="str">
        <f>IFERROR(_xlfn.XLOOKUP(Table1[[#This Row],[word]],Table57[English style name],Table57[Style type]),"")</f>
        <v/>
      </c>
      <c r="AM1110" s="20"/>
      <c r="AN1110" s="11"/>
      <c r="AQ1110" s="14" t="s">
        <v>1988</v>
      </c>
      <c r="AR1110" t="s">
        <v>1980</v>
      </c>
    </row>
    <row r="1111" spans="6:45">
      <c r="F11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1" s="13" t="s">
        <v>337</v>
      </c>
      <c r="H1111" s="13" t="s">
        <v>2986</v>
      </c>
      <c r="I1111" s="12" t="str">
        <f>Table1[[#This Row],[type]]</f>
        <v>field</v>
      </c>
      <c r="J1111" s="62" t="str">
        <f>Table1[[#This Row],[Column42]]&amp;IF(Table1[[#This Row],[Column13]]="","",Table1[[#This Row],[Column13]])&amp;IF(Table1[[#This Row],[mod]]="","",Table1[[#This Row],[mod]])</f>
        <v>field--required</v>
      </c>
      <c r="K11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1" t="s">
        <v>3099</v>
      </c>
      <c r="P1111" s="14" t="s">
        <v>1989</v>
      </c>
      <c r="Q11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--required</v>
      </c>
      <c r="Z1111" t="s">
        <v>3035</v>
      </c>
      <c r="AB1111" s="29"/>
      <c r="AC1111" s="25"/>
      <c r="AD1111" s="41"/>
      <c r="AE1111" s="41"/>
      <c r="AF1111" s="11" t="s">
        <v>203</v>
      </c>
      <c r="AH1111" s="1" t="str">
        <f>Table1[[#This Row],[html_tag]]&amp;Table1[[#This Row],[html_type]]&amp;Table1[[#This Row],[html_modifier]]</f>
        <v>&lt;input&gt;:required</v>
      </c>
      <c r="AI1111" t="s">
        <v>203</v>
      </c>
      <c r="AK1111" t="s">
        <v>3026</v>
      </c>
      <c r="AL1111" s="22" t="str">
        <f>IFERROR(_xlfn.XLOOKUP(Table1[[#This Row],[word]],Table57[English style name],Table57[Style type]),"")</f>
        <v/>
      </c>
      <c r="AM1111" s="20"/>
      <c r="AN1111" s="11"/>
      <c r="AQ1111" s="14" t="s">
        <v>1989</v>
      </c>
      <c r="AR1111" t="s">
        <v>1980</v>
      </c>
    </row>
    <row r="1112" spans="6:45">
      <c r="F11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2" s="13" t="s">
        <v>337</v>
      </c>
      <c r="H1112" s="13" t="s">
        <v>2986</v>
      </c>
      <c r="I1112" s="12" t="str">
        <f>Table1[[#This Row],[type]]</f>
        <v>field</v>
      </c>
      <c r="J1112" s="62" t="str">
        <f>Table1[[#This Row],[Column42]]&amp;IF(Table1[[#This Row],[Column13]]="","",Table1[[#This Row],[Column13]])&amp;IF(Table1[[#This Row],[mod]]="","",Table1[[#This Row],[mod]])</f>
        <v>field--round</v>
      </c>
      <c r="K11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2" t="s">
        <v>3099</v>
      </c>
      <c r="P1112" s="14" t="s">
        <v>1925</v>
      </c>
      <c r="Q11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112" t="s">
        <v>3204</v>
      </c>
      <c r="AB1112" s="29"/>
      <c r="AC1112" s="25"/>
      <c r="AD1112" s="41"/>
      <c r="AE1112" s="41"/>
      <c r="AF1112" s="11"/>
      <c r="AH1112" s="1" t="str">
        <f>Table1[[#This Row],[html_tag]]&amp;Table1[[#This Row],[html_type]]&amp;Table1[[#This Row],[html_modifier]]</f>
        <v/>
      </c>
      <c r="AL1112" s="22" t="str">
        <f>IFERROR(_xlfn.XLOOKUP(Table1[[#This Row],[word]],Table57[English style name],Table57[Style type]),"")</f>
        <v/>
      </c>
      <c r="AM1112" s="20"/>
      <c r="AN1112" s="11"/>
      <c r="AQ1112" s="14" t="s">
        <v>1925</v>
      </c>
      <c r="AR1112" t="s">
        <v>1910</v>
      </c>
    </row>
    <row r="1113" spans="6:45">
      <c r="F11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3" s="13" t="s">
        <v>337</v>
      </c>
      <c r="H1113" s="13" t="s">
        <v>2986</v>
      </c>
      <c r="I1113" s="12" t="str">
        <f>Table1[[#This Row],[type]]</f>
        <v>field</v>
      </c>
      <c r="J1113" s="62" t="str">
        <f>Table1[[#This Row],[Column42]]&amp;IF(Table1[[#This Row],[Column13]]="","",Table1[[#This Row],[Column13]])&amp;IF(Table1[[#This Row],[mod]]="","",Table1[[#This Row],[mod]])</f>
        <v>field--sm</v>
      </c>
      <c r="K11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3" t="s">
        <v>3099</v>
      </c>
      <c r="P1113" s="4" t="s">
        <v>1923</v>
      </c>
      <c r="Q11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113" s="3" t="s">
        <v>3116</v>
      </c>
      <c r="AB1113" s="29"/>
      <c r="AC1113" s="25"/>
      <c r="AD1113" s="41"/>
      <c r="AE1113" s="41"/>
      <c r="AF1113" s="11"/>
      <c r="AH1113" s="1" t="str">
        <f>Table1[[#This Row],[html_tag]]&amp;Table1[[#This Row],[html_type]]&amp;Table1[[#This Row],[html_modifier]]</f>
        <v/>
      </c>
      <c r="AL1113" s="22" t="str">
        <f>IFERROR(_xlfn.XLOOKUP(Table1[[#This Row],[word]],Table57[English style name],Table57[Style type]),"")</f>
        <v/>
      </c>
      <c r="AM1113" s="20"/>
      <c r="AN1113" s="11"/>
      <c r="AQ1113" s="4" t="s">
        <v>1923</v>
      </c>
      <c r="AR1113" s="14" t="s">
        <v>1922</v>
      </c>
      <c r="AS1113" t="s">
        <v>1910</v>
      </c>
    </row>
    <row r="1114" spans="6:45">
      <c r="F11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4" s="13" t="s">
        <v>337</v>
      </c>
      <c r="H1114" s="13" t="s">
        <v>2986</v>
      </c>
      <c r="I1114" s="12" t="str">
        <f>Table1[[#This Row],[type]]</f>
        <v>field</v>
      </c>
      <c r="J1114" s="62" t="str">
        <f>Table1[[#This Row],[Column42]]&amp;IF(Table1[[#This Row],[Column13]]="","",Table1[[#This Row],[Column13]])&amp;IF(Table1[[#This Row],[mod]]="","",Table1[[#This Row],[mod]])</f>
        <v>field--straight</v>
      </c>
      <c r="K11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4" t="s">
        <v>3099</v>
      </c>
      <c r="P1114" s="14" t="s">
        <v>1926</v>
      </c>
      <c r="Q11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--straight</v>
      </c>
      <c r="W1114" t="s">
        <v>3112</v>
      </c>
      <c r="AB1114" s="29"/>
      <c r="AC1114" s="25"/>
      <c r="AD1114" s="41"/>
      <c r="AE1114" s="41"/>
      <c r="AF1114" s="11"/>
      <c r="AH1114" s="1" t="str">
        <f>Table1[[#This Row],[html_tag]]&amp;Table1[[#This Row],[html_type]]&amp;Table1[[#This Row],[html_modifier]]</f>
        <v/>
      </c>
      <c r="AL1114" s="22" t="str">
        <f>IFERROR(_xlfn.XLOOKUP(Table1[[#This Row],[word]],Table57[English style name],Table57[Style type]),"")</f>
        <v/>
      </c>
      <c r="AM1114" s="20"/>
      <c r="AN1114" s="11"/>
      <c r="AQ1114" s="14" t="s">
        <v>1926</v>
      </c>
      <c r="AR1114" t="s">
        <v>1910</v>
      </c>
    </row>
    <row r="1115" spans="6:45">
      <c r="F11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5" s="13" t="s">
        <v>337</v>
      </c>
      <c r="H1115" s="13" t="s">
        <v>2986</v>
      </c>
      <c r="I1115" s="12" t="str">
        <f>Table1[[#This Row],[type]]</f>
        <v>field</v>
      </c>
      <c r="J1115" s="62" t="str">
        <f>Table1[[#This Row],[Column42]]&amp;IF(Table1[[#This Row],[Column13]]="","",Table1[[#This Row],[Column13]])&amp;IF(Table1[[#This Row],[mod]]="","",Table1[[#This Row],[mod]])</f>
        <v>field--success</v>
      </c>
      <c r="K11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5" t="s">
        <v>3099</v>
      </c>
      <c r="P1115" s="14" t="s">
        <v>1985</v>
      </c>
      <c r="Q11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115" t="s">
        <v>3120</v>
      </c>
      <c r="AB1115" s="29"/>
      <c r="AC1115" s="25"/>
      <c r="AD1115" s="41"/>
      <c r="AE1115" s="41"/>
      <c r="AF1115" s="11"/>
      <c r="AH1115" s="1" t="str">
        <f>Table1[[#This Row],[html_tag]]&amp;Table1[[#This Row],[html_type]]&amp;Table1[[#This Row],[html_modifier]]</f>
        <v/>
      </c>
      <c r="AL1115" s="22" t="str">
        <f>IFERROR(_xlfn.XLOOKUP(Table1[[#This Row],[word]],Table57[English style name],Table57[Style type]),"")</f>
        <v/>
      </c>
      <c r="AM1115" s="20"/>
      <c r="AN1115" s="11"/>
      <c r="AQ1115" s="14" t="s">
        <v>1985</v>
      </c>
      <c r="AR1115" t="s">
        <v>1980</v>
      </c>
    </row>
    <row r="1116" spans="6:45">
      <c r="F11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6" s="13" t="s">
        <v>337</v>
      </c>
      <c r="H1116" s="13" t="s">
        <v>2986</v>
      </c>
      <c r="I1116" s="12" t="str">
        <f>Table1[[#This Row],[type]]</f>
        <v>field</v>
      </c>
      <c r="J1116" s="62" t="str">
        <f>Table1[[#This Row],[Column42]]&amp;IF(Table1[[#This Row],[Column13]]="","",Table1[[#This Row],[Column13]])&amp;IF(Table1[[#This Row],[mod]]="","",Table1[[#This Row],[mod]])</f>
        <v>field--underline</v>
      </c>
      <c r="K11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6" t="s">
        <v>3099</v>
      </c>
      <c r="P1116" s="14" t="s">
        <v>1927</v>
      </c>
      <c r="Q11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--underline</v>
      </c>
      <c r="W1116" t="s">
        <v>3113</v>
      </c>
      <c r="AB1116" s="29"/>
      <c r="AC1116" s="25"/>
      <c r="AD1116" s="41"/>
      <c r="AE1116" s="41"/>
      <c r="AF1116" s="11"/>
      <c r="AH1116" s="1" t="str">
        <f>Table1[[#This Row],[html_tag]]&amp;Table1[[#This Row],[html_type]]&amp;Table1[[#This Row],[html_modifier]]</f>
        <v/>
      </c>
      <c r="AL1116" s="22" t="str">
        <f>IFERROR(_xlfn.XLOOKUP(Table1[[#This Row],[word]],Table57[English style name],Table57[Style type]),"")</f>
        <v/>
      </c>
      <c r="AM1116" s="20"/>
      <c r="AN1116" s="11"/>
      <c r="AQ1116" s="14" t="s">
        <v>1927</v>
      </c>
      <c r="AR1116" t="s">
        <v>1910</v>
      </c>
    </row>
    <row r="1117" spans="6:45">
      <c r="F11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7" s="13" t="s">
        <v>337</v>
      </c>
      <c r="H1117" s="13" t="s">
        <v>2986</v>
      </c>
      <c r="I1117" s="12" t="str">
        <f>Table1[[#This Row],[type]]</f>
        <v>field</v>
      </c>
      <c r="J1117" s="62" t="str">
        <f>Table1[[#This Row],[Column42]]&amp;IF(Table1[[#This Row],[Column13]]="","",Table1[[#This Row],[Column13]])&amp;IF(Table1[[#This Row],[mod]]="","",Table1[[#This Row],[mod]])</f>
        <v>field--valid</v>
      </c>
      <c r="K11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7" t="s">
        <v>3099</v>
      </c>
      <c r="P1117" s="14" t="s">
        <v>1928</v>
      </c>
      <c r="Q11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--valid</v>
      </c>
      <c r="Z1117" t="s">
        <v>3037</v>
      </c>
      <c r="AB1117" s="29"/>
      <c r="AC1117" s="25"/>
      <c r="AD1117" s="41"/>
      <c r="AE1117" s="41"/>
      <c r="AF1117" s="11" t="s">
        <v>203</v>
      </c>
      <c r="AH1117" s="1" t="str">
        <f>Table1[[#This Row],[html_tag]]&amp;Table1[[#This Row],[html_type]]&amp;Table1[[#This Row],[html_modifier]]</f>
        <v>&lt;input&gt;:valid</v>
      </c>
      <c r="AI1117" t="s">
        <v>203</v>
      </c>
      <c r="AK1117" t="s">
        <v>3028</v>
      </c>
      <c r="AL1117" s="22" t="str">
        <f>IFERROR(_xlfn.XLOOKUP(Table1[[#This Row],[word]],Table57[English style name],Table57[Style type]),"")</f>
        <v/>
      </c>
      <c r="AM1117" s="20"/>
      <c r="AN1117" s="11"/>
      <c r="AQ1117" s="14" t="s">
        <v>1928</v>
      </c>
      <c r="AR1117" t="s">
        <v>1910</v>
      </c>
    </row>
    <row r="1118" spans="6:45">
      <c r="F11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8" s="13" t="s">
        <v>337</v>
      </c>
      <c r="H1118" s="13" t="s">
        <v>2986</v>
      </c>
      <c r="I1118" s="12" t="str">
        <f>Table1[[#This Row],[type]]</f>
        <v>field</v>
      </c>
      <c r="J1118" s="62" t="str">
        <f>Table1[[#This Row],[Column42]]&amp;IF(Table1[[#This Row],[Column13]]="","",Table1[[#This Row],[Column13]])&amp;IF(Table1[[#This Row],[mod]]="","",Table1[[#This Row],[mod]])</f>
        <v>field--visible</v>
      </c>
      <c r="K11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8" t="s">
        <v>3099</v>
      </c>
      <c r="P1118" s="14" t="s">
        <v>1990</v>
      </c>
      <c r="Q11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--visible</v>
      </c>
      <c r="Z1118" t="s">
        <v>2967</v>
      </c>
      <c r="AB1118" s="29"/>
      <c r="AC1118" s="25"/>
      <c r="AD1118" s="41"/>
      <c r="AE1118" s="41"/>
      <c r="AF1118" s="11" t="s">
        <v>203</v>
      </c>
      <c r="AH1118" s="1" t="str">
        <f>Table1[[#This Row],[html_tag]]&amp;Table1[[#This Row],[html_type]]&amp;Table1[[#This Row],[html_modifier]]</f>
        <v>&lt;input&gt;:focus-visible</v>
      </c>
      <c r="AI1118" t="s">
        <v>203</v>
      </c>
      <c r="AK1118" t="s">
        <v>3017</v>
      </c>
      <c r="AL1118" s="22" t="str">
        <f>IFERROR(_xlfn.XLOOKUP(Table1[[#This Row],[word]],Table57[English style name],Table57[Style type]),"")</f>
        <v/>
      </c>
      <c r="AM1118" s="20"/>
      <c r="AN1118" s="11"/>
      <c r="AQ1118" s="14" t="s">
        <v>1990</v>
      </c>
      <c r="AR1118" t="s">
        <v>1980</v>
      </c>
    </row>
    <row r="1119" spans="6:45">
      <c r="F11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9" s="13" t="s">
        <v>337</v>
      </c>
      <c r="H1119" s="13" t="s">
        <v>2986</v>
      </c>
      <c r="I1119" s="12" t="str">
        <f>Table1[[#This Row],[type]]</f>
        <v>field</v>
      </c>
      <c r="J1119" s="62" t="str">
        <f>Table1[[#This Row],[Column42]]&amp;IF(Table1[[#This Row],[Column13]]="","",Table1[[#This Row],[Column13]])&amp;IF(Table1[[#This Row],[mod]]="","",Table1[[#This Row],[mod]])</f>
        <v>field--warning</v>
      </c>
      <c r="K11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9" t="s">
        <v>3099</v>
      </c>
      <c r="P1119" s="14" t="s">
        <v>1986</v>
      </c>
      <c r="Q11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119" t="s">
        <v>3121</v>
      </c>
      <c r="AB1119" s="29"/>
      <c r="AC1119" s="25"/>
      <c r="AD1119" s="41"/>
      <c r="AE1119" s="41"/>
      <c r="AF1119" s="11" t="s">
        <v>203</v>
      </c>
      <c r="AH1119" s="1" t="str">
        <f>Table1[[#This Row],[html_tag]]&amp;Table1[[#This Row],[html_type]]&amp;Table1[[#This Row],[html_modifier]]</f>
        <v>&lt;input&gt;:invalid</v>
      </c>
      <c r="AI1119" t="s">
        <v>203</v>
      </c>
      <c r="AK1119" t="s">
        <v>3029</v>
      </c>
      <c r="AL1119" s="22" t="str">
        <f>IFERROR(_xlfn.XLOOKUP(Table1[[#This Row],[word]],Table57[English style name],Table57[Style type]),"")</f>
        <v/>
      </c>
      <c r="AM1119" s="20"/>
      <c r="AN1119" s="11"/>
      <c r="AQ1119" s="14" t="s">
        <v>1986</v>
      </c>
      <c r="AR1119" t="s">
        <v>1980</v>
      </c>
    </row>
    <row r="1120" spans="6:45">
      <c r="F11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0" s="13" t="s">
        <v>337</v>
      </c>
      <c r="H1120" s="13" t="s">
        <v>2986</v>
      </c>
      <c r="I1120" s="12" t="str">
        <f>Table1[[#This Row],[type]]</f>
        <v>field</v>
      </c>
      <c r="J1120" s="62" t="str">
        <f>Table1[[#This Row],[Column42]]&amp;IF(Table1[[#This Row],[Column13]]="","",Table1[[#This Row],[Column13]])&amp;IF(Table1[[#This Row],[mod]]="","",Table1[[#This Row],[mod]])</f>
        <v>field--warning</v>
      </c>
      <c r="K11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20" t="s">
        <v>3099</v>
      </c>
      <c r="P1120" s="14" t="s">
        <v>1929</v>
      </c>
      <c r="Q11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120" t="s">
        <v>3121</v>
      </c>
      <c r="AB1120" s="29"/>
      <c r="AC1120" s="25"/>
      <c r="AD1120" s="41"/>
      <c r="AE1120" s="41"/>
      <c r="AF1120" s="11" t="s">
        <v>203</v>
      </c>
      <c r="AH1120" s="1" t="str">
        <f>Table1[[#This Row],[html_tag]]&amp;Table1[[#This Row],[html_type]]&amp;Table1[[#This Row],[html_modifier]]</f>
        <v>&lt;input&gt;:invalid</v>
      </c>
      <c r="AI1120" t="s">
        <v>203</v>
      </c>
      <c r="AK1120" t="s">
        <v>3029</v>
      </c>
      <c r="AL1120" s="22" t="str">
        <f>IFERROR(_xlfn.XLOOKUP(Table1[[#This Row],[word]],Table57[English style name],Table57[Style type]),"")</f>
        <v/>
      </c>
      <c r="AM1120" s="20"/>
      <c r="AN1120" s="11"/>
      <c r="AQ1120" s="14" t="s">
        <v>1929</v>
      </c>
      <c r="AR1120" t="s">
        <v>1910</v>
      </c>
    </row>
    <row r="1121" spans="6:44">
      <c r="F11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1121" s="13"/>
      <c r="H1121" s="13"/>
      <c r="I1121" s="12" t="str">
        <f>Table1[[#This Row],[type]]</f>
        <v>fieldset</v>
      </c>
      <c r="J1121" s="62" t="str">
        <f>Table1[[#This Row],[Column42]]&amp;IF(Table1[[#This Row],[Column13]]="","",Table1[[#This Row],[Column13]])&amp;IF(Table1[[#This Row],[mod]]="","",Table1[[#This Row],[mod]])</f>
        <v>fieldset</v>
      </c>
      <c r="K11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1" t="s">
        <v>542</v>
      </c>
      <c r="Q11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1" s="29"/>
      <c r="AC1121" s="25"/>
      <c r="AD1121" s="41" t="s">
        <v>4348</v>
      </c>
      <c r="AE1121" s="41"/>
      <c r="AF1121" s="11"/>
      <c r="AH1121" s="7" t="str">
        <f>Table1[[#This Row],[html_tag]]&amp;Table1[[#This Row],[html_type]]&amp;Table1[[#This Row],[html_modifier]]</f>
        <v/>
      </c>
      <c r="AL1121" s="23" t="str">
        <f>IFERROR(_xlfn.XLOOKUP(Table1[[#This Row],[word]],Table57[English style name],Table57[Style type]),"")</f>
        <v/>
      </c>
      <c r="AM1121" s="21"/>
      <c r="AN1121" s="11"/>
    </row>
    <row r="1122" spans="6:44">
      <c r="F11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2" s="13" t="s">
        <v>337</v>
      </c>
      <c r="H1122" s="13" t="s">
        <v>2987</v>
      </c>
      <c r="I1122" s="12" t="str">
        <f>Table1[[#This Row],[type]]</f>
        <v>fieldset</v>
      </c>
      <c r="J1122" s="62" t="str">
        <f>Table1[[#This Row],[Column42]]&amp;IF(Table1[[#This Row],[Column13]]="","",Table1[[#This Row],[Column13]])&amp;IF(Table1[[#This Row],[mod]]="","",Table1[[#This Row],[mod]])</f>
        <v>fieldset</v>
      </c>
      <c r="K11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2" t="s">
        <v>542</v>
      </c>
      <c r="P1122" s="6" t="s">
        <v>1945</v>
      </c>
      <c r="Q11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2" s="29"/>
      <c r="AC1122" s="25"/>
      <c r="AD1122" s="41"/>
      <c r="AE1122" s="41"/>
      <c r="AF1122" s="11"/>
      <c r="AH1122" s="1" t="str">
        <f>Table1[[#This Row],[html_tag]]&amp;Table1[[#This Row],[html_type]]&amp;Table1[[#This Row],[html_modifier]]</f>
        <v/>
      </c>
      <c r="AL1122" s="22" t="str">
        <f>IFERROR(_xlfn.XLOOKUP(Table1[[#This Row],[word]],Table57[English style name],Table57[Style type]),"")</f>
        <v/>
      </c>
      <c r="AM1122" s="20"/>
      <c r="AN1122" s="11"/>
      <c r="AQ1122" s="6" t="s">
        <v>1945</v>
      </c>
      <c r="AR1122" t="s">
        <v>1946</v>
      </c>
    </row>
    <row r="1123" spans="6:44">
      <c r="F11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3" s="13" t="s">
        <v>337</v>
      </c>
      <c r="H1123" s="13" t="s">
        <v>2987</v>
      </c>
      <c r="I1123" s="12" t="str">
        <f>Table1[[#This Row],[type]]</f>
        <v>fieldset</v>
      </c>
      <c r="J1123" s="62" t="str">
        <f>Table1[[#This Row],[Column42]]&amp;IF(Table1[[#This Row],[Column13]]="","",Table1[[#This Row],[Column13]])&amp;IF(Table1[[#This Row],[mod]]="","",Table1[[#This Row],[mod]])</f>
        <v>fieldset</v>
      </c>
      <c r="K11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3" t="s">
        <v>542</v>
      </c>
      <c r="P1123" s="6" t="s">
        <v>1947</v>
      </c>
      <c r="Q11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3" s="29"/>
      <c r="AC1123" s="25"/>
      <c r="AD1123" s="41"/>
      <c r="AE1123" s="41"/>
      <c r="AF1123" s="11"/>
      <c r="AH1123" s="1" t="str">
        <f>Table1[[#This Row],[html_tag]]&amp;Table1[[#This Row],[html_type]]&amp;Table1[[#This Row],[html_modifier]]</f>
        <v/>
      </c>
      <c r="AL1123" s="22" t="str">
        <f>IFERROR(_xlfn.XLOOKUP(Table1[[#This Row],[word]],Table57[English style name],Table57[Style type]),"")</f>
        <v/>
      </c>
      <c r="AM1123" s="20"/>
      <c r="AN1123" s="11"/>
      <c r="AQ1123" s="6" t="s">
        <v>1947</v>
      </c>
      <c r="AR1123" t="s">
        <v>1946</v>
      </c>
    </row>
    <row r="1124" spans="6:44">
      <c r="F11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4" s="13" t="s">
        <v>337</v>
      </c>
      <c r="H1124" s="13" t="s">
        <v>2987</v>
      </c>
      <c r="I1124" s="12" t="str">
        <f>Table1[[#This Row],[type]]</f>
        <v>fieldset</v>
      </c>
      <c r="J1124" s="62" t="str">
        <f>Table1[[#This Row],[Column42]]&amp;IF(Table1[[#This Row],[Column13]]="","",Table1[[#This Row],[Column13]])&amp;IF(Table1[[#This Row],[mod]]="","",Table1[[#This Row],[mod]])</f>
        <v>fieldset</v>
      </c>
      <c r="K11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4" t="s">
        <v>542</v>
      </c>
      <c r="P1124" s="6" t="s">
        <v>1948</v>
      </c>
      <c r="Q11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4" s="29"/>
      <c r="AC1124" s="25"/>
      <c r="AD1124" s="41"/>
      <c r="AE1124" s="41"/>
      <c r="AF1124" s="11"/>
      <c r="AH1124" s="1" t="str">
        <f>Table1[[#This Row],[html_tag]]&amp;Table1[[#This Row],[html_type]]&amp;Table1[[#This Row],[html_modifier]]</f>
        <v/>
      </c>
      <c r="AL1124" s="22" t="str">
        <f>IFERROR(_xlfn.XLOOKUP(Table1[[#This Row],[word]],Table57[English style name],Table57[Style type]),"")</f>
        <v/>
      </c>
      <c r="AM1124" s="20"/>
      <c r="AN1124" s="11"/>
      <c r="AQ1124" s="6" t="s">
        <v>1948</v>
      </c>
      <c r="AR1124" t="s">
        <v>1946</v>
      </c>
    </row>
    <row r="1125" spans="6:44">
      <c r="F11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5" s="13" t="s">
        <v>337</v>
      </c>
      <c r="H1125" s="13" t="s">
        <v>2987</v>
      </c>
      <c r="I1125" s="12" t="str">
        <f>Table1[[#This Row],[type]]</f>
        <v>fieldset</v>
      </c>
      <c r="J1125" s="62" t="str">
        <f>Table1[[#This Row],[Column42]]&amp;IF(Table1[[#This Row],[Column13]]="","",Table1[[#This Row],[Column13]])&amp;IF(Table1[[#This Row],[mod]]="","",Table1[[#This Row],[mod]])</f>
        <v>fieldset</v>
      </c>
      <c r="K11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5" t="s">
        <v>542</v>
      </c>
      <c r="P1125" s="6" t="s">
        <v>1949</v>
      </c>
      <c r="Q11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5" s="29"/>
      <c r="AC1125" s="25"/>
      <c r="AD1125" s="41"/>
      <c r="AE1125" s="41"/>
      <c r="AF1125" s="11"/>
      <c r="AH1125" s="1" t="str">
        <f>Table1[[#This Row],[html_tag]]&amp;Table1[[#This Row],[html_type]]&amp;Table1[[#This Row],[html_modifier]]</f>
        <v/>
      </c>
      <c r="AL1125" s="22" t="str">
        <f>IFERROR(_xlfn.XLOOKUP(Table1[[#This Row],[word]],Table57[English style name],Table57[Style type]),"")</f>
        <v/>
      </c>
      <c r="AM1125" s="20"/>
      <c r="AN1125" s="11"/>
      <c r="AQ1125" s="6" t="s">
        <v>1949</v>
      </c>
      <c r="AR1125" t="s">
        <v>1946</v>
      </c>
    </row>
    <row r="1126" spans="6:44">
      <c r="F11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body/atoms/fieldset.scss</v>
      </c>
      <c r="G1126" s="13" t="s">
        <v>337</v>
      </c>
      <c r="H1126" s="13" t="s">
        <v>2986</v>
      </c>
      <c r="I1126" s="12" t="str">
        <f>Table1[[#This Row],[type]]</f>
        <v>fieldset</v>
      </c>
      <c r="J1126" s="62" t="str">
        <f>Table1[[#This Row],[Column42]]&amp;IF(Table1[[#This Row],[Column13]]="","",Table1[[#This Row],[Column13]])&amp;IF(Table1[[#This Row],[mod]]="","",Table1[[#This Row],[mod]])</f>
        <v>fieldset</v>
      </c>
      <c r="K11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6" t="s">
        <v>542</v>
      </c>
      <c r="P1126" s="6" t="s">
        <v>1931</v>
      </c>
      <c r="Q11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6" s="29"/>
      <c r="AC1126" s="25"/>
      <c r="AD1126" s="41"/>
      <c r="AE1126" s="41"/>
      <c r="AF1126" s="11"/>
      <c r="AH1126" s="1" t="str">
        <f>Table1[[#This Row],[html_tag]]&amp;Table1[[#This Row],[html_type]]&amp;Table1[[#This Row],[html_modifier]]</f>
        <v/>
      </c>
      <c r="AL1126" s="22" t="str">
        <f>IFERROR(_xlfn.XLOOKUP(Table1[[#This Row],[word]],Table57[English style name],Table57[Style type]),"")</f>
        <v/>
      </c>
      <c r="AM1126" s="20"/>
      <c r="AN1126" s="11"/>
      <c r="AQ1126" s="6" t="s">
        <v>1931</v>
      </c>
      <c r="AR1126" t="s">
        <v>1910</v>
      </c>
    </row>
    <row r="1127" spans="6:44">
      <c r="F11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7" s="13" t="s">
        <v>337</v>
      </c>
      <c r="H1127" s="13" t="s">
        <v>2987</v>
      </c>
      <c r="I1127" s="12" t="str">
        <f>Table1[[#This Row],[type]]</f>
        <v>fieldset</v>
      </c>
      <c r="J1127" s="62" t="str">
        <f>Table1[[#This Row],[Column42]]&amp;IF(Table1[[#This Row],[Column13]]="","",Table1[[#This Row],[Column13]])&amp;IF(Table1[[#This Row],[mod]]="","",Table1[[#This Row],[mod]])</f>
        <v>fieldset</v>
      </c>
      <c r="K11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7" t="s">
        <v>542</v>
      </c>
      <c r="P1127" s="6" t="s">
        <v>542</v>
      </c>
      <c r="Q11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7" s="29"/>
      <c r="AC1127" s="25"/>
      <c r="AD1127" s="41" t="s">
        <v>6882</v>
      </c>
      <c r="AE1127" s="41"/>
      <c r="AF1127" s="11" t="s">
        <v>175</v>
      </c>
      <c r="AH1127" s="1" t="str">
        <f>Table1[[#This Row],[html_tag]]&amp;Table1[[#This Row],[html_type]]&amp;Table1[[#This Row],[html_modifier]]</f>
        <v>&lt;fieldset&gt;</v>
      </c>
      <c r="AI1127" t="s">
        <v>175</v>
      </c>
      <c r="AL1127" s="22" t="str">
        <f>IFERROR(_xlfn.XLOOKUP(Table1[[#This Row],[word]],Table57[English style name],Table57[Style type]),"")</f>
        <v/>
      </c>
      <c r="AM1127" s="20"/>
      <c r="AN1127" s="11"/>
      <c r="AQ1127" s="6" t="s">
        <v>542</v>
      </c>
      <c r="AR1127" t="s">
        <v>1690</v>
      </c>
    </row>
    <row r="1128" spans="6:44">
      <c r="F11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1128" s="13"/>
      <c r="H1128" s="13"/>
      <c r="I1128" s="12" t="str">
        <f>Table1[[#This Row],[type]]</f>
        <v>fieldset</v>
      </c>
      <c r="J1128" s="62" t="str">
        <f>Table1[[#This Row],[Column42]]&amp;IF(Table1[[#This Row],[Column13]]="","",Table1[[#This Row],[Column13]])&amp;IF(Table1[[#This Row],[mod]]="","",Table1[[#This Row],[mod]])</f>
        <v>fieldset__end</v>
      </c>
      <c r="K11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fieldset__end</v>
      </c>
      <c r="L1128" t="s">
        <v>542</v>
      </c>
      <c r="N1128" t="s">
        <v>3194</v>
      </c>
      <c r="Q11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8" s="29"/>
      <c r="AC1128" s="25"/>
      <c r="AD1128" s="41" t="s">
        <v>6883</v>
      </c>
      <c r="AE1128" s="41"/>
      <c r="AF1128" s="11"/>
      <c r="AH1128" s="7" t="str">
        <f>Table1[[#This Row],[html_tag]]&amp;Table1[[#This Row],[html_type]]&amp;Table1[[#This Row],[html_modifier]]</f>
        <v/>
      </c>
      <c r="AL1128" s="23" t="str">
        <f>IFERROR(_xlfn.XLOOKUP(Table1[[#This Row],[word]],Table57[English style name],Table57[Style type]),"")</f>
        <v/>
      </c>
      <c r="AM1128" s="21"/>
      <c r="AN1128" s="11"/>
    </row>
    <row r="1129" spans="6:44">
      <c r="F11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9" s="13" t="s">
        <v>337</v>
      </c>
      <c r="H1129" s="13" t="s">
        <v>2987</v>
      </c>
      <c r="I1129" s="12" t="str">
        <f>Table1[[#This Row],[type]]</f>
        <v>fieldset</v>
      </c>
      <c r="J1129" s="62" t="str">
        <f>Table1[[#This Row],[Column42]]&amp;IF(Table1[[#This Row],[Column13]]="","",Table1[[#This Row],[Column13]])&amp;IF(Table1[[#This Row],[mod]]="","",Table1[[#This Row],[mod]])</f>
        <v>fieldset__legend</v>
      </c>
      <c r="K11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fieldset__legend</v>
      </c>
      <c r="L1129" t="s">
        <v>542</v>
      </c>
      <c r="M1129" t="s">
        <v>556</v>
      </c>
      <c r="P1129" s="6" t="s">
        <v>1691</v>
      </c>
      <c r="Q11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9" s="29"/>
      <c r="AC1129" s="25"/>
      <c r="AD1129" s="41"/>
      <c r="AE1129" s="41"/>
      <c r="AF1129" s="11" t="s">
        <v>210</v>
      </c>
      <c r="AH1129" s="1" t="str">
        <f>Table1[[#This Row],[html_tag]]&amp;Table1[[#This Row],[html_type]]&amp;Table1[[#This Row],[html_modifier]]</f>
        <v>&lt;legend&gt;</v>
      </c>
      <c r="AI1129" t="s">
        <v>210</v>
      </c>
      <c r="AL1129" s="22" t="str">
        <f>IFERROR(_xlfn.XLOOKUP(Table1[[#This Row],[word]],Table57[English style name],Table57[Style type]),"")</f>
        <v/>
      </c>
      <c r="AM1129" s="20"/>
      <c r="AN1129" s="11"/>
      <c r="AQ1129" s="6" t="s">
        <v>1691</v>
      </c>
      <c r="AR1129" t="s">
        <v>1690</v>
      </c>
    </row>
    <row r="1130" spans="6:44">
      <c r="F11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30" s="13" t="s">
        <v>337</v>
      </c>
      <c r="H1130" s="13" t="s">
        <v>2987</v>
      </c>
      <c r="I1130" s="12" t="str">
        <f>Table1[[#This Row],[type]]</f>
        <v>fieldset</v>
      </c>
      <c r="J1130" s="62" t="str">
        <f>Table1[[#This Row],[Column42]]&amp;IF(Table1[[#This Row],[Column13]]="","",Table1[[#This Row],[Column13]])&amp;IF(Table1[[#This Row],[mod]]="","",Table1[[#This Row],[mod]])</f>
        <v>fieldset__text</v>
      </c>
      <c r="K11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fieldset__text</v>
      </c>
      <c r="L1130" t="s">
        <v>542</v>
      </c>
      <c r="O1130" t="s">
        <v>403</v>
      </c>
      <c r="P1130" s="6" t="s">
        <v>1952</v>
      </c>
      <c r="Q11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0" s="29"/>
      <c r="AC1130" s="25"/>
      <c r="AD1130" s="41"/>
      <c r="AE1130" s="41"/>
      <c r="AF1130" s="11"/>
      <c r="AH1130" s="1" t="str">
        <f>Table1[[#This Row],[html_tag]]&amp;Table1[[#This Row],[html_type]]&amp;Table1[[#This Row],[html_modifier]]</f>
        <v/>
      </c>
      <c r="AL1130" s="22" t="str">
        <f>IFERROR(_xlfn.XLOOKUP(Table1[[#This Row],[word]],Table57[English style name],Table57[Style type]),"")</f>
        <v/>
      </c>
      <c r="AM1130" s="20"/>
      <c r="AN1130" s="11"/>
      <c r="AQ1130" s="6" t="s">
        <v>1952</v>
      </c>
      <c r="AR1130" t="s">
        <v>1946</v>
      </c>
    </row>
    <row r="1131" spans="6:44">
      <c r="F11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31" s="13" t="s">
        <v>337</v>
      </c>
      <c r="H1131" s="13" t="s">
        <v>2987</v>
      </c>
      <c r="I1131" s="12" t="str">
        <f>Table1[[#This Row],[type]]</f>
        <v>fieldset</v>
      </c>
      <c r="J1131" s="62" t="str">
        <f>Table1[[#This Row],[Column42]]&amp;IF(Table1[[#This Row],[Column13]]="","",Table1[[#This Row],[Column13]])&amp;IF(Table1[[#This Row],[mod]]="","",Table1[[#This Row],[mod]])</f>
        <v>fieldset--lg</v>
      </c>
      <c r="K11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31" t="s">
        <v>542</v>
      </c>
      <c r="P1131" s="6" t="s">
        <v>1950</v>
      </c>
      <c r="Q11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131" t="s">
        <v>3114</v>
      </c>
      <c r="AB1131" s="29"/>
      <c r="AC1131" s="25"/>
      <c r="AD1131" s="41"/>
      <c r="AE1131" s="41"/>
      <c r="AF1131" s="11"/>
      <c r="AH1131" s="1" t="str">
        <f>Table1[[#This Row],[html_tag]]&amp;Table1[[#This Row],[html_type]]&amp;Table1[[#This Row],[html_modifier]]</f>
        <v/>
      </c>
      <c r="AL1131" s="22" t="str">
        <f>IFERROR(_xlfn.XLOOKUP(Table1[[#This Row],[word]],Table57[English style name],Table57[Style type]),"")</f>
        <v/>
      </c>
      <c r="AM1131" s="20"/>
      <c r="AN1131" s="11"/>
      <c r="AQ1131" s="6" t="s">
        <v>1950</v>
      </c>
      <c r="AR1131" t="s">
        <v>1946</v>
      </c>
    </row>
    <row r="1132" spans="6:44">
      <c r="F11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32" s="13" t="s">
        <v>337</v>
      </c>
      <c r="H1132" s="13" t="s">
        <v>2987</v>
      </c>
      <c r="I1132" s="12" t="str">
        <f>Table1[[#This Row],[type]]</f>
        <v>fieldset</v>
      </c>
      <c r="J1132" s="62" t="str">
        <f>Table1[[#This Row],[Column42]]&amp;IF(Table1[[#This Row],[Column13]]="","",Table1[[#This Row],[Column13]])&amp;IF(Table1[[#This Row],[mod]]="","",Table1[[#This Row],[mod]])</f>
        <v>fieldset--sm</v>
      </c>
      <c r="K11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32" t="s">
        <v>542</v>
      </c>
      <c r="P1132" s="6" t="s">
        <v>1951</v>
      </c>
      <c r="Q11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132" s="3" t="s">
        <v>3116</v>
      </c>
      <c r="AB1132" s="29"/>
      <c r="AC1132" s="25"/>
      <c r="AD1132" s="41"/>
      <c r="AE1132" s="41"/>
      <c r="AF1132" s="11"/>
      <c r="AH1132" s="1" t="str">
        <f>Table1[[#This Row],[html_tag]]&amp;Table1[[#This Row],[html_type]]&amp;Table1[[#This Row],[html_modifier]]</f>
        <v/>
      </c>
      <c r="AL1132" s="22" t="str">
        <f>IFERROR(_xlfn.XLOOKUP(Table1[[#This Row],[word]],Table57[English style name],Table57[Style type]),"")</f>
        <v/>
      </c>
      <c r="AM1132" s="20"/>
      <c r="AN1132" s="11"/>
      <c r="AQ1132" s="6" t="s">
        <v>1951</v>
      </c>
      <c r="AR1132" t="s">
        <v>1946</v>
      </c>
    </row>
    <row r="1133" spans="6:44">
      <c r="F11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133" s="13"/>
      <c r="H1133" s="13"/>
      <c r="I1133" s="12" t="str">
        <f>Table1[[#This Row],[type]]</f>
        <v>filter</v>
      </c>
      <c r="J1133" s="62" t="str">
        <f>Table1[[#This Row],[Column42]]&amp;IF(Table1[[#This Row],[Column13]]="","",Table1[[#This Row],[Column13]])&amp;IF(Table1[[#This Row],[mod]]="","",Table1[[#This Row],[mod]])</f>
        <v>filter</v>
      </c>
      <c r="K11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filter</v>
      </c>
      <c r="L1133" t="s">
        <v>6533</v>
      </c>
      <c r="Q113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3" s="29"/>
      <c r="AC1133" s="25"/>
      <c r="AD1133" s="41" t="s">
        <v>6898</v>
      </c>
      <c r="AE1133" s="41"/>
      <c r="AF1133" s="11"/>
      <c r="AH1133" s="7" t="str">
        <f>Table1[[#This Row],[html_tag]]&amp;Table1[[#This Row],[html_type]]&amp;Table1[[#This Row],[html_modifier]]</f>
        <v/>
      </c>
      <c r="AL1133" s="23" t="str">
        <f>IFERROR(_xlfn.XLOOKUP(Table1[[#This Row],[word]],Table57[English style name],Table57[Style type]),"")</f>
        <v/>
      </c>
      <c r="AM1133" s="21"/>
      <c r="AN1133" s="11"/>
    </row>
    <row r="1134" spans="6:44">
      <c r="F11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134" s="13"/>
      <c r="H1134" s="13"/>
      <c r="I1134" s="12" t="str">
        <f>Table1[[#This Row],[type]]</f>
        <v>filter</v>
      </c>
      <c r="J1134" s="62" t="str">
        <f>Table1[[#This Row],[Column42]]&amp;IF(Table1[[#This Row],[Column13]]="","",Table1[[#This Row],[Column13]])&amp;IF(Table1[[#This Row],[mod]]="","",Table1[[#This Row],[mod]])</f>
        <v>filter--reset</v>
      </c>
      <c r="K11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filter</v>
      </c>
      <c r="L1134" t="s">
        <v>6533</v>
      </c>
      <c r="Q11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1134" t="s">
        <v>3093</v>
      </c>
      <c r="AB1134" s="29"/>
      <c r="AC1134" s="25"/>
      <c r="AD1134" s="41" t="s">
        <v>6899</v>
      </c>
      <c r="AE1134" s="41"/>
      <c r="AF1134" s="11"/>
      <c r="AH1134" s="7" t="str">
        <f>Table1[[#This Row],[html_tag]]&amp;Table1[[#This Row],[html_type]]&amp;Table1[[#This Row],[html_modifier]]</f>
        <v/>
      </c>
      <c r="AL1134" s="23" t="str">
        <f>IFERROR(_xlfn.XLOOKUP(Table1[[#This Row],[word]],Table57[English style name],Table57[Style type]),"")</f>
        <v/>
      </c>
      <c r="AM1134" s="21"/>
      <c r="AN1134" s="11"/>
    </row>
    <row r="1135" spans="6:44">
      <c r="F11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35" s="13" t="s">
        <v>461</v>
      </c>
      <c r="H1135" s="13" t="s">
        <v>2991</v>
      </c>
      <c r="I1135" s="12" t="str">
        <f>Table1[[#This Row],[type]]</f>
        <v>flex</v>
      </c>
      <c r="J1135" s="62" t="str">
        <f>Table1[[#This Row],[Column42]]&amp;IF(Table1[[#This Row],[Column13]]="","",Table1[[#This Row],[Column13]])&amp;IF(Table1[[#This Row],[mod]]="","",Table1[[#This Row],[mod]])</f>
        <v>flex</v>
      </c>
      <c r="K11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35" t="s">
        <v>1231</v>
      </c>
      <c r="Q11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5" s="29"/>
      <c r="AC1135" s="25"/>
      <c r="AD1135" s="41"/>
      <c r="AE1135" s="41"/>
      <c r="AF1135" s="11" t="s">
        <v>166</v>
      </c>
      <c r="AH1135" s="1" t="str">
        <f>Table1[[#This Row],[html_tag]]&amp;Table1[[#This Row],[html_type]]&amp;Table1[[#This Row],[html_modifier]]</f>
        <v/>
      </c>
      <c r="AL1135" s="22" t="str">
        <f>IFERROR(_xlfn.XLOOKUP(Table1[[#This Row],[word]],Table57[English style name],Table57[Style type]),"")</f>
        <v/>
      </c>
      <c r="AM1135" s="20"/>
      <c r="AN1135" s="11"/>
      <c r="AQ1135" s="6" t="s">
        <v>1231</v>
      </c>
      <c r="AR1135" t="s">
        <v>1232</v>
      </c>
    </row>
    <row r="1136" spans="6:44">
      <c r="F11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36" s="13" t="s">
        <v>461</v>
      </c>
      <c r="H1136" s="13" t="s">
        <v>2991</v>
      </c>
      <c r="I1136" s="12" t="str">
        <f>Table1[[#This Row],[type]]</f>
        <v>flex</v>
      </c>
      <c r="J1136" s="62" t="str">
        <f>Table1[[#This Row],[Column42]]&amp;IF(Table1[[#This Row],[Column13]]="","",Table1[[#This Row],[Column13]])&amp;IF(Table1[[#This Row],[mod]]="","",Table1[[#This Row],[mod]])</f>
        <v>flex--basis</v>
      </c>
      <c r="K11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36" t="s">
        <v>1231</v>
      </c>
      <c r="Q11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--basis</v>
      </c>
      <c r="R1136" t="s">
        <v>10210</v>
      </c>
      <c r="U11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6" s="29"/>
      <c r="AC1136" s="25"/>
      <c r="AD1136" s="41"/>
      <c r="AE1136" s="41"/>
      <c r="AF1136" s="11" t="s">
        <v>166</v>
      </c>
      <c r="AH1136" s="1" t="str">
        <f>Table1[[#This Row],[html_tag]]&amp;Table1[[#This Row],[html_type]]&amp;Table1[[#This Row],[html_modifier]]</f>
        <v/>
      </c>
      <c r="AL1136" s="22" t="str">
        <f>IFERROR(_xlfn.XLOOKUP(Table1[[#This Row],[word]],Table57[English style name],Table57[Style type]),"")</f>
        <v/>
      </c>
      <c r="AM1136" s="20"/>
      <c r="AN1136" s="11"/>
      <c r="AQ1136" s="6" t="s">
        <v>1427</v>
      </c>
      <c r="AR1136" t="s">
        <v>1428</v>
      </c>
    </row>
    <row r="1137" spans="6:44">
      <c r="F11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37" s="13" t="s">
        <v>461</v>
      </c>
      <c r="H1137" s="13" t="s">
        <v>2991</v>
      </c>
      <c r="I1137" s="12" t="str">
        <f>Table1[[#This Row],[type]]</f>
        <v>flex</v>
      </c>
      <c r="J1137" s="62" t="str">
        <f>Table1[[#This Row],[Column42]]&amp;IF(Table1[[#This Row],[Column13]]="","",Table1[[#This Row],[Column13]])&amp;IF(Table1[[#This Row],[mod]]="","",Table1[[#This Row],[mod]])</f>
        <v>flex--col</v>
      </c>
      <c r="K11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37" t="s">
        <v>1231</v>
      </c>
      <c r="Q11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</v>
      </c>
      <c r="R1137" t="s">
        <v>527</v>
      </c>
      <c r="U11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7" s="29"/>
      <c r="AC1137" s="25"/>
      <c r="AD1137" s="41"/>
      <c r="AE1137" s="41"/>
      <c r="AF1137" s="11" t="s">
        <v>166</v>
      </c>
      <c r="AH1137" s="1" t="str">
        <f>Table1[[#This Row],[html_tag]]&amp;Table1[[#This Row],[html_type]]&amp;Table1[[#This Row],[html_modifier]]</f>
        <v/>
      </c>
      <c r="AL1137" s="22" t="str">
        <f>IFERROR(_xlfn.XLOOKUP(Table1[[#This Row],[word]],Table57[English style name],Table57[Style type]),"")</f>
        <v/>
      </c>
      <c r="AM1137" s="20"/>
      <c r="AN1137" s="11"/>
      <c r="AQ1137" s="6" t="s">
        <v>1520</v>
      </c>
      <c r="AR1137" t="s">
        <v>1521</v>
      </c>
    </row>
    <row r="1138" spans="6:44">
      <c r="F11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38" s="13" t="s">
        <v>461</v>
      </c>
      <c r="H1138" s="13" t="s">
        <v>2991</v>
      </c>
      <c r="I1138" s="12" t="str">
        <f>Table1[[#This Row],[type]]</f>
        <v>flex</v>
      </c>
      <c r="J1138" s="62" t="str">
        <f>Table1[[#This Row],[Column42]]&amp;IF(Table1[[#This Row],[Column13]]="","",Table1[[#This Row],[Column13]])&amp;IF(Table1[[#This Row],[mod]]="","",Table1[[#This Row],[mod]])</f>
        <v>flex--col--reverse</v>
      </c>
      <c r="K11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38" t="s">
        <v>1231</v>
      </c>
      <c r="Q11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--col--reverse</v>
      </c>
      <c r="R1138" t="s">
        <v>527</v>
      </c>
      <c r="S1138" t="s">
        <v>3836</v>
      </c>
      <c r="U11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8" s="29"/>
      <c r="AC1138" s="25"/>
      <c r="AD1138" s="41"/>
      <c r="AE1138" s="41"/>
      <c r="AF1138" s="11" t="s">
        <v>166</v>
      </c>
      <c r="AH1138" s="1" t="str">
        <f>Table1[[#This Row],[html_tag]]&amp;Table1[[#This Row],[html_type]]&amp;Table1[[#This Row],[html_modifier]]</f>
        <v/>
      </c>
      <c r="AL1138" s="22" t="str">
        <f>IFERROR(_xlfn.XLOOKUP(Table1[[#This Row],[word]],Table57[English style name],Table57[Style type]),"")</f>
        <v/>
      </c>
      <c r="AM1138" s="20"/>
      <c r="AN1138" s="11"/>
      <c r="AQ1138" s="6" t="s">
        <v>1522</v>
      </c>
      <c r="AR1138" t="s">
        <v>1521</v>
      </c>
    </row>
    <row r="1139" spans="6:44">
      <c r="F11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39" s="13" t="s">
        <v>461</v>
      </c>
      <c r="H1139" s="13" t="s">
        <v>2991</v>
      </c>
      <c r="I1139" s="12" t="str">
        <f>Table1[[#This Row],[type]]</f>
        <v>flex</v>
      </c>
      <c r="J1139" s="62" t="str">
        <f>Table1[[#This Row],[Column42]]&amp;IF(Table1[[#This Row],[Column13]]="","",Table1[[#This Row],[Column13]])&amp;IF(Table1[[#This Row],[mod]]="","",Table1[[#This Row],[mod]])</f>
        <v>flex--fill</v>
      </c>
      <c r="K11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39" t="s">
        <v>1231</v>
      </c>
      <c r="Q11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--fill</v>
      </c>
      <c r="R1139" t="s">
        <v>7390</v>
      </c>
      <c r="U11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9" s="29"/>
      <c r="AC1139" s="25"/>
      <c r="AD1139" s="41"/>
      <c r="AE1139" s="41"/>
      <c r="AF1139" s="11" t="s">
        <v>166</v>
      </c>
      <c r="AH1139" s="1" t="str">
        <f>Table1[[#This Row],[html_tag]]&amp;Table1[[#This Row],[html_type]]&amp;Table1[[#This Row],[html_modifier]]</f>
        <v/>
      </c>
      <c r="AL1139" s="22" t="str">
        <f>IFERROR(_xlfn.XLOOKUP(Table1[[#This Row],[word]],Table57[English style name],Table57[Style type]),"")</f>
        <v/>
      </c>
      <c r="AM1139" s="20"/>
      <c r="AN1139" s="11"/>
      <c r="AQ1139" s="6" t="s">
        <v>1429</v>
      </c>
      <c r="AR1139" t="s">
        <v>1428</v>
      </c>
    </row>
    <row r="1140" spans="6:44">
      <c r="F11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0" s="13" t="s">
        <v>461</v>
      </c>
      <c r="H1140" s="13" t="s">
        <v>2991</v>
      </c>
      <c r="I1140" s="12" t="str">
        <f>Table1[[#This Row],[type]]</f>
        <v>flex</v>
      </c>
      <c r="J1140" s="62" t="str">
        <f>Table1[[#This Row],[Column42]]&amp;IF(Table1[[#This Row],[Column13]]="","",Table1[[#This Row],[Column13]])&amp;IF(Table1[[#This Row],[mod]]="","",Table1[[#This Row],[mod]])</f>
        <v>flex--grow</v>
      </c>
      <c r="K11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0" t="s">
        <v>1231</v>
      </c>
      <c r="Q11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</v>
      </c>
      <c r="R1140" t="s">
        <v>3723</v>
      </c>
      <c r="U11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0" s="29"/>
      <c r="AC1140" s="25"/>
      <c r="AD1140" s="41"/>
      <c r="AE1140" s="41"/>
      <c r="AF1140" s="11" t="s">
        <v>166</v>
      </c>
      <c r="AH1140" s="1" t="str">
        <f>Table1[[#This Row],[html_tag]]&amp;Table1[[#This Row],[html_type]]&amp;Table1[[#This Row],[html_modifier]]</f>
        <v/>
      </c>
      <c r="AL1140" s="22" t="str">
        <f>IFERROR(_xlfn.XLOOKUP(Table1[[#This Row],[word]],Table57[English style name],Table57[Style type]),"")</f>
        <v/>
      </c>
      <c r="AM1140" s="20"/>
      <c r="AN1140" s="11"/>
      <c r="AQ1140" s="6" t="s">
        <v>1430</v>
      </c>
      <c r="AR1140" t="s">
        <v>1428</v>
      </c>
    </row>
    <row r="1141" spans="6:44">
      <c r="F11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1" s="13" t="s">
        <v>461</v>
      </c>
      <c r="H1141" s="13" t="s">
        <v>2991</v>
      </c>
      <c r="I1141" s="12" t="str">
        <f>Table1[[#This Row],[type]]</f>
        <v>flex</v>
      </c>
      <c r="J1141" s="62" t="str">
        <f>Table1[[#This Row],[Column42]]&amp;IF(Table1[[#This Row],[Column13]]="","",Table1[[#This Row],[Column13]])&amp;IF(Table1[[#This Row],[mod]]="","",Table1[[#This Row],[mod]])</f>
        <v>flex--grow--0</v>
      </c>
      <c r="K11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1" t="s">
        <v>1231</v>
      </c>
      <c r="Q11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--grow--0</v>
      </c>
      <c r="R1141" t="s">
        <v>3723</v>
      </c>
      <c r="S1141">
        <v>0</v>
      </c>
      <c r="U11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1" s="29"/>
      <c r="AC1141" s="25"/>
      <c r="AD1141" s="41"/>
      <c r="AE1141" s="41"/>
      <c r="AF1141" s="11" t="s">
        <v>166</v>
      </c>
      <c r="AH1141" s="1" t="str">
        <f>Table1[[#This Row],[html_tag]]&amp;Table1[[#This Row],[html_type]]&amp;Table1[[#This Row],[html_modifier]]</f>
        <v/>
      </c>
      <c r="AL1141" s="22" t="str">
        <f>IFERROR(_xlfn.XLOOKUP(Table1[[#This Row],[word]],Table57[English style name],Table57[Style type]),"")</f>
        <v/>
      </c>
      <c r="AM1141" s="20"/>
      <c r="AN1141" s="11"/>
      <c r="AQ1141" s="6" t="s">
        <v>1600</v>
      </c>
      <c r="AR1141" t="s">
        <v>1601</v>
      </c>
    </row>
    <row r="1142" spans="6:44">
      <c r="F11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2" s="13" t="s">
        <v>461</v>
      </c>
      <c r="H1142" s="13" t="s">
        <v>2991</v>
      </c>
      <c r="I1142" s="12" t="str">
        <f>Table1[[#This Row],[type]]</f>
        <v>flex</v>
      </c>
      <c r="J1142" s="62" t="str">
        <f>Table1[[#This Row],[Column42]]&amp;IF(Table1[[#This Row],[Column13]]="","",Table1[[#This Row],[Column13]])&amp;IF(Table1[[#This Row],[mod]]="","",Table1[[#This Row],[mod]])</f>
        <v>flex--grow--1</v>
      </c>
      <c r="K11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2" t="s">
        <v>1231</v>
      </c>
      <c r="Q11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--grow--1</v>
      </c>
      <c r="R1142" t="s">
        <v>3723</v>
      </c>
      <c r="S1142">
        <v>1</v>
      </c>
      <c r="U11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2" s="29"/>
      <c r="AC1142" s="25"/>
      <c r="AD1142" s="41"/>
      <c r="AE1142" s="41"/>
      <c r="AF1142" s="11" t="s">
        <v>166</v>
      </c>
      <c r="AH1142" s="1" t="str">
        <f>Table1[[#This Row],[html_tag]]&amp;Table1[[#This Row],[html_type]]&amp;Table1[[#This Row],[html_modifier]]</f>
        <v/>
      </c>
      <c r="AL1142" s="22" t="str">
        <f>IFERROR(_xlfn.XLOOKUP(Table1[[#This Row],[word]],Table57[English style name],Table57[Style type]),"")</f>
        <v/>
      </c>
      <c r="AM1142" s="20"/>
      <c r="AN1142" s="11"/>
      <c r="AQ1142" s="6" t="s">
        <v>1602</v>
      </c>
      <c r="AR1142" t="s">
        <v>1601</v>
      </c>
    </row>
    <row r="1143" spans="6:44">
      <c r="F11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3" s="13" t="s">
        <v>461</v>
      </c>
      <c r="H1143" s="13" t="s">
        <v>2991</v>
      </c>
      <c r="I1143" s="12" t="str">
        <f>Table1[[#This Row],[type]]</f>
        <v>flex</v>
      </c>
      <c r="J1143" s="62" t="str">
        <f>Table1[[#This Row],[Column42]]&amp;IF(Table1[[#This Row],[Column13]]="","",Table1[[#This Row],[Column13]])&amp;IF(Table1[[#This Row],[mod]]="","",Table1[[#This Row],[mod]])</f>
        <v>flex--inline</v>
      </c>
      <c r="K11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3" t="s">
        <v>1231</v>
      </c>
      <c r="Q11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R1143" t="s">
        <v>323</v>
      </c>
      <c r="U11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3" s="29"/>
      <c r="AC1143" s="25"/>
      <c r="AD1143" s="41"/>
      <c r="AE1143" s="41"/>
      <c r="AF1143" s="11" t="s">
        <v>166</v>
      </c>
      <c r="AH1143" s="1" t="str">
        <f>Table1[[#This Row],[html_tag]]&amp;Table1[[#This Row],[html_type]]&amp;Table1[[#This Row],[html_modifier]]</f>
        <v/>
      </c>
      <c r="AL1143" s="22" t="str">
        <f>IFERROR(_xlfn.XLOOKUP(Table1[[#This Row],[word]],Table57[English style name],Table57[Style type]),"")</f>
        <v/>
      </c>
      <c r="AM1143" s="20"/>
      <c r="AN1143" s="11"/>
      <c r="AQ1143" s="6" t="s">
        <v>1233</v>
      </c>
      <c r="AR1143" t="s">
        <v>1232</v>
      </c>
    </row>
    <row r="1144" spans="6:44">
      <c r="F11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4" s="13" t="s">
        <v>461</v>
      </c>
      <c r="H1144" s="13" t="s">
        <v>2991</v>
      </c>
      <c r="I1144" s="12" t="str">
        <f>Table1[[#This Row],[type]]</f>
        <v>flex</v>
      </c>
      <c r="J1144" s="62" t="str">
        <f>Table1[[#This Row],[Column42]]&amp;IF(Table1[[#This Row],[Column13]]="","",Table1[[#This Row],[Column13]])&amp;IF(Table1[[#This Row],[mod]]="","",Table1[[#This Row],[mod]])</f>
        <v>flex--keep</v>
      </c>
      <c r="K11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4" t="s">
        <v>1231</v>
      </c>
      <c r="Q11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--keep</v>
      </c>
      <c r="R1144" t="s">
        <v>10211</v>
      </c>
      <c r="U11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4" s="29"/>
      <c r="AC1144" s="25"/>
      <c r="AD1144" s="41"/>
      <c r="AE1144" s="41"/>
      <c r="AF1144" s="11" t="s">
        <v>166</v>
      </c>
      <c r="AH1144" s="1" t="str">
        <f>Table1[[#This Row],[html_tag]]&amp;Table1[[#This Row],[html_type]]&amp;Table1[[#This Row],[html_modifier]]</f>
        <v/>
      </c>
      <c r="AL1144" s="22" t="str">
        <f>IFERROR(_xlfn.XLOOKUP(Table1[[#This Row],[word]],Table57[English style name],Table57[Style type]),"")</f>
        <v/>
      </c>
      <c r="AM1144" s="20"/>
      <c r="AN1144" s="11"/>
      <c r="AQ1144" s="6" t="s">
        <v>1431</v>
      </c>
      <c r="AR1144" t="s">
        <v>1428</v>
      </c>
    </row>
    <row r="1145" spans="6:44">
      <c r="F11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5" s="13" t="s">
        <v>461</v>
      </c>
      <c r="H1145" s="13" t="s">
        <v>2991</v>
      </c>
      <c r="I1145" s="12" t="str">
        <f>Table1[[#This Row],[type]]</f>
        <v>flex</v>
      </c>
      <c r="J1145" s="62" t="str">
        <f>Table1[[#This Row],[Column42]]&amp;IF(Table1[[#This Row],[Column13]]="","",Table1[[#This Row],[Column13]])&amp;IF(Table1[[#This Row],[mod]]="","",Table1[[#This Row],[mod]])</f>
        <v>flex--nowrap</v>
      </c>
      <c r="K11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5" t="s">
        <v>1231</v>
      </c>
      <c r="Q11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--nowrap</v>
      </c>
      <c r="R1145" t="s">
        <v>3417</v>
      </c>
      <c r="U11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5" s="29"/>
      <c r="AC1145" s="25"/>
      <c r="AD1145" s="41"/>
      <c r="AE1145" s="41"/>
      <c r="AF1145" s="11" t="s">
        <v>166</v>
      </c>
      <c r="AH1145" s="1" t="str">
        <f>Table1[[#This Row],[html_tag]]&amp;Table1[[#This Row],[html_type]]&amp;Table1[[#This Row],[html_modifier]]</f>
        <v/>
      </c>
      <c r="AL1145" s="22" t="str">
        <f>IFERROR(_xlfn.XLOOKUP(Table1[[#This Row],[word]],Table57[English style name],Table57[Style type]),"")</f>
        <v/>
      </c>
      <c r="AM1145" s="20"/>
      <c r="AN1145" s="11"/>
      <c r="AQ1145" s="6" t="s">
        <v>2977</v>
      </c>
      <c r="AR1145" t="s">
        <v>2978</v>
      </c>
    </row>
    <row r="1146" spans="6:44">
      <c r="F11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6" s="13" t="s">
        <v>461</v>
      </c>
      <c r="H1146" s="13" t="s">
        <v>2991</v>
      </c>
      <c r="I1146" s="12" t="str">
        <f>Table1[[#This Row],[type]]</f>
        <v>flex</v>
      </c>
      <c r="J1146" s="62" t="str">
        <f>Table1[[#This Row],[Column42]]&amp;IF(Table1[[#This Row],[Column13]]="","",Table1[[#This Row],[Column13]])&amp;IF(Table1[[#This Row],[mod]]="","",Table1[[#This Row],[mod]])</f>
        <v>flex--order</v>
      </c>
      <c r="K11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6" t="s">
        <v>1231</v>
      </c>
      <c r="Q11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</v>
      </c>
      <c r="R1146" t="s">
        <v>3151</v>
      </c>
      <c r="U11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6" s="29"/>
      <c r="AC1146" s="25"/>
      <c r="AD1146" s="41"/>
      <c r="AE1146" s="41"/>
      <c r="AF1146" s="11" t="s">
        <v>166</v>
      </c>
      <c r="AH1146" s="1" t="str">
        <f>Table1[[#This Row],[html_tag]]&amp;Table1[[#This Row],[html_type]]&amp;Table1[[#This Row],[html_modifier]]</f>
        <v/>
      </c>
      <c r="AL1146" s="22" t="str">
        <f>IFERROR(_xlfn.XLOOKUP(Table1[[#This Row],[word]],Table57[English style name],Table57[Style type]),"")</f>
        <v/>
      </c>
      <c r="AM1146" s="20"/>
      <c r="AN1146" s="11"/>
      <c r="AQ1146" s="6" t="s">
        <v>1432</v>
      </c>
      <c r="AR1146" t="s">
        <v>1428</v>
      </c>
    </row>
    <row r="1147" spans="6:44">
      <c r="F11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7" s="13" t="s">
        <v>461</v>
      </c>
      <c r="H1147" s="13" t="s">
        <v>2991</v>
      </c>
      <c r="I1147" s="12" t="str">
        <f>Table1[[#This Row],[type]]</f>
        <v>flex</v>
      </c>
      <c r="J1147" s="62" t="str">
        <f>Table1[[#This Row],[Column42]]&amp;IF(Table1[[#This Row],[Column13]]="","",Table1[[#This Row],[Column13]])&amp;IF(Table1[[#This Row],[mod]]="","",Table1[[#This Row],[mod]])</f>
        <v>flex--row</v>
      </c>
      <c r="K11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7" t="s">
        <v>1231</v>
      </c>
      <c r="Q11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</v>
      </c>
      <c r="R1147" t="s">
        <v>614</v>
      </c>
      <c r="U11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7" s="29"/>
      <c r="AC1147" s="25"/>
      <c r="AD1147" s="41"/>
      <c r="AE1147" s="41"/>
      <c r="AF1147" s="11" t="s">
        <v>166</v>
      </c>
      <c r="AH1147" s="1" t="str">
        <f>Table1[[#This Row],[html_tag]]&amp;Table1[[#This Row],[html_type]]&amp;Table1[[#This Row],[html_modifier]]</f>
        <v/>
      </c>
      <c r="AL1147" s="22" t="str">
        <f>IFERROR(_xlfn.XLOOKUP(Table1[[#This Row],[word]],Table57[English style name],Table57[Style type]),"")</f>
        <v/>
      </c>
      <c r="AM1147" s="20"/>
      <c r="AN1147" s="11"/>
      <c r="AQ1147" s="6" t="s">
        <v>1523</v>
      </c>
      <c r="AR1147" t="s">
        <v>1521</v>
      </c>
    </row>
    <row r="1148" spans="6:44">
      <c r="F11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8" s="13" t="s">
        <v>461</v>
      </c>
      <c r="H1148" s="13" t="s">
        <v>2991</v>
      </c>
      <c r="I1148" s="12" t="str">
        <f>Table1[[#This Row],[type]]</f>
        <v>flex</v>
      </c>
      <c r="J1148" s="62" t="str">
        <f>Table1[[#This Row],[Column42]]&amp;IF(Table1[[#This Row],[Column13]]="","",Table1[[#This Row],[Column13]])&amp;IF(Table1[[#This Row],[mod]]="","",Table1[[#This Row],[mod]])</f>
        <v>flex--row--reverse</v>
      </c>
      <c r="K11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8" t="s">
        <v>1231</v>
      </c>
      <c r="Q11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--row--reverse</v>
      </c>
      <c r="R1148" t="s">
        <v>614</v>
      </c>
      <c r="S1148" t="s">
        <v>3836</v>
      </c>
      <c r="U11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8" s="29"/>
      <c r="AC1148" s="25"/>
      <c r="AD1148" s="41"/>
      <c r="AE1148" s="41"/>
      <c r="AF1148" s="11" t="s">
        <v>166</v>
      </c>
      <c r="AH1148" s="1" t="str">
        <f>Table1[[#This Row],[html_tag]]&amp;Table1[[#This Row],[html_type]]&amp;Table1[[#This Row],[html_modifier]]</f>
        <v/>
      </c>
      <c r="AL1148" s="22" t="str">
        <f>IFERROR(_xlfn.XLOOKUP(Table1[[#This Row],[word]],Table57[English style name],Table57[Style type]),"")</f>
        <v/>
      </c>
      <c r="AM1148" s="20"/>
      <c r="AN1148" s="11"/>
      <c r="AQ1148" s="6" t="s">
        <v>1524</v>
      </c>
      <c r="AR1148" t="s">
        <v>1521</v>
      </c>
    </row>
    <row r="1149" spans="6:44">
      <c r="F11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9" s="13" t="s">
        <v>461</v>
      </c>
      <c r="H1149" s="13" t="s">
        <v>2991</v>
      </c>
      <c r="I1149" s="12" t="str">
        <f>Table1[[#This Row],[type]]</f>
        <v>flex</v>
      </c>
      <c r="J1149" s="62" t="str">
        <f>Table1[[#This Row],[Column42]]&amp;IF(Table1[[#This Row],[Column13]]="","",Table1[[#This Row],[Column13]])&amp;IF(Table1[[#This Row],[mod]]="","",Table1[[#This Row],[mod]])</f>
        <v>flex--shrink</v>
      </c>
      <c r="K11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9" t="s">
        <v>1231</v>
      </c>
      <c r="Q11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</v>
      </c>
      <c r="R1149" t="s">
        <v>10212</v>
      </c>
      <c r="U11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9" s="29"/>
      <c r="AC1149" s="25"/>
      <c r="AD1149" s="41"/>
      <c r="AE1149" s="41"/>
      <c r="AF1149" s="11" t="s">
        <v>166</v>
      </c>
      <c r="AH1149" s="1" t="str">
        <f>Table1[[#This Row],[html_tag]]&amp;Table1[[#This Row],[html_type]]&amp;Table1[[#This Row],[html_modifier]]</f>
        <v/>
      </c>
      <c r="AL1149" s="22" t="str">
        <f>IFERROR(_xlfn.XLOOKUP(Table1[[#This Row],[word]],Table57[English style name],Table57[Style type]),"")</f>
        <v/>
      </c>
      <c r="AM1149" s="20"/>
      <c r="AN1149" s="11"/>
      <c r="AQ1149" s="6" t="s">
        <v>1433</v>
      </c>
      <c r="AR1149" t="s">
        <v>1428</v>
      </c>
    </row>
    <row r="1150" spans="6:44">
      <c r="F11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50" s="13" t="s">
        <v>461</v>
      </c>
      <c r="H1150" s="13" t="s">
        <v>2991</v>
      </c>
      <c r="I1150" s="12" t="str">
        <f>Table1[[#This Row],[type]]</f>
        <v>flex</v>
      </c>
      <c r="J1150" s="62" t="str">
        <f>Table1[[#This Row],[Column42]]&amp;IF(Table1[[#This Row],[Column13]]="","",Table1[[#This Row],[Column13]])&amp;IF(Table1[[#This Row],[mod]]="","",Table1[[#This Row],[mod]])</f>
        <v>flex--shrink--0</v>
      </c>
      <c r="K11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50" t="s">
        <v>1231</v>
      </c>
      <c r="Q11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--shrink--0</v>
      </c>
      <c r="R1150" t="s">
        <v>10212</v>
      </c>
      <c r="S1150">
        <v>0</v>
      </c>
      <c r="U11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0" s="29"/>
      <c r="AC1150" s="25"/>
      <c r="AD1150" s="41"/>
      <c r="AE1150" s="41"/>
      <c r="AF1150" s="11" t="s">
        <v>166</v>
      </c>
      <c r="AH1150" s="1" t="str">
        <f>Table1[[#This Row],[html_tag]]&amp;Table1[[#This Row],[html_type]]&amp;Table1[[#This Row],[html_modifier]]</f>
        <v/>
      </c>
      <c r="AL1150" s="22" t="str">
        <f>IFERROR(_xlfn.XLOOKUP(Table1[[#This Row],[word]],Table57[English style name],Table57[Style type]),"")</f>
        <v/>
      </c>
      <c r="AM1150" s="20"/>
      <c r="AN1150" s="11"/>
      <c r="AQ1150" s="6" t="s">
        <v>1603</v>
      </c>
      <c r="AR1150" t="s">
        <v>1601</v>
      </c>
    </row>
    <row r="1151" spans="6:44">
      <c r="F11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51" s="13" t="s">
        <v>461</v>
      </c>
      <c r="H1151" s="13" t="s">
        <v>2991</v>
      </c>
      <c r="I1151" s="12" t="str">
        <f>Table1[[#This Row],[type]]</f>
        <v>flex</v>
      </c>
      <c r="J1151" s="62" t="str">
        <f>Table1[[#This Row],[Column42]]&amp;IF(Table1[[#This Row],[Column13]]="","",Table1[[#This Row],[Column13]])&amp;IF(Table1[[#This Row],[mod]]="","",Table1[[#This Row],[mod]])</f>
        <v>flex--shrink--1</v>
      </c>
      <c r="K11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51" t="s">
        <v>1231</v>
      </c>
      <c r="Q11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--shrink--1</v>
      </c>
      <c r="R1151" t="s">
        <v>10212</v>
      </c>
      <c r="S1151">
        <v>1</v>
      </c>
      <c r="U11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1" s="29"/>
      <c r="AC1151" s="25"/>
      <c r="AD1151" s="41"/>
      <c r="AE1151" s="41"/>
      <c r="AF1151" s="11" t="s">
        <v>166</v>
      </c>
      <c r="AH1151" s="1" t="str">
        <f>Table1[[#This Row],[html_tag]]&amp;Table1[[#This Row],[html_type]]&amp;Table1[[#This Row],[html_modifier]]</f>
        <v/>
      </c>
      <c r="AL1151" s="22" t="str">
        <f>IFERROR(_xlfn.XLOOKUP(Table1[[#This Row],[word]],Table57[English style name],Table57[Style type]),"")</f>
        <v/>
      </c>
      <c r="AM1151" s="20"/>
      <c r="AN1151" s="11"/>
      <c r="AQ1151" s="6" t="s">
        <v>1604</v>
      </c>
      <c r="AR1151" t="s">
        <v>1601</v>
      </c>
    </row>
    <row r="1152" spans="6:44">
      <c r="F11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52" s="13" t="s">
        <v>461</v>
      </c>
      <c r="H1152" s="13" t="s">
        <v>2991</v>
      </c>
      <c r="I1152" s="12" t="str">
        <f>Table1[[#This Row],[type]]</f>
        <v>flex</v>
      </c>
      <c r="J1152" s="62" t="str">
        <f>Table1[[#This Row],[Column42]]&amp;IF(Table1[[#This Row],[Column13]]="","",Table1[[#This Row],[Column13]])&amp;IF(Table1[[#This Row],[mod]]="","",Table1[[#This Row],[mod]])</f>
        <v>flex--size</v>
      </c>
      <c r="K11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52" t="s">
        <v>1231</v>
      </c>
      <c r="Q11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R1152" t="s">
        <v>3008</v>
      </c>
      <c r="U11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2" s="29"/>
      <c r="AC1152" s="25"/>
      <c r="AD1152" s="41"/>
      <c r="AE1152" s="41"/>
      <c r="AF1152" s="11" t="s">
        <v>166</v>
      </c>
      <c r="AH1152" s="1" t="str">
        <f>Table1[[#This Row],[html_tag]]&amp;Table1[[#This Row],[html_type]]&amp;Table1[[#This Row],[html_modifier]]</f>
        <v/>
      </c>
      <c r="AL1152" s="22" t="str">
        <f>IFERROR(_xlfn.XLOOKUP(Table1[[#This Row],[word]],Table57[English style name],Table57[Style type]),"")</f>
        <v/>
      </c>
      <c r="AM1152" s="20"/>
      <c r="AN1152" s="11"/>
      <c r="AQ1152" s="6" t="s">
        <v>1434</v>
      </c>
      <c r="AR1152" t="s">
        <v>1428</v>
      </c>
    </row>
    <row r="1153" spans="6:44">
      <c r="F11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53" s="13" t="s">
        <v>461</v>
      </c>
      <c r="H1153" s="13" t="s">
        <v>2991</v>
      </c>
      <c r="I1153" s="12" t="str">
        <f>Table1[[#This Row],[type]]</f>
        <v>flex</v>
      </c>
      <c r="J1153" s="62" t="str">
        <f>Table1[[#This Row],[Column42]]&amp;IF(Table1[[#This Row],[Column13]]="","",Table1[[#This Row],[Column13]])&amp;IF(Table1[[#This Row],[mod]]="","",Table1[[#This Row],[mod]])</f>
        <v>flex--wrap</v>
      </c>
      <c r="K11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53" t="s">
        <v>1231</v>
      </c>
      <c r="Q11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</v>
      </c>
      <c r="R1153" t="s">
        <v>3422</v>
      </c>
      <c r="U11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3" s="29"/>
      <c r="AC1153" s="25"/>
      <c r="AD1153" s="41"/>
      <c r="AE1153" s="41"/>
      <c r="AF1153" s="11" t="s">
        <v>166</v>
      </c>
      <c r="AH1153" s="1" t="str">
        <f>Table1[[#This Row],[html_tag]]&amp;Table1[[#This Row],[html_type]]&amp;Table1[[#This Row],[html_modifier]]</f>
        <v/>
      </c>
      <c r="AL1153" s="22" t="str">
        <f>IFERROR(_xlfn.XLOOKUP(Table1[[#This Row],[word]],Table57[English style name],Table57[Style type]),"")</f>
        <v/>
      </c>
      <c r="AM1153" s="20"/>
      <c r="AN1153" s="11"/>
      <c r="AQ1153" s="6" t="s">
        <v>2979</v>
      </c>
      <c r="AR1153" t="s">
        <v>2978</v>
      </c>
    </row>
    <row r="1154" spans="6:44">
      <c r="F11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54" s="13" t="s">
        <v>461</v>
      </c>
      <c r="H1154" s="13" t="s">
        <v>2991</v>
      </c>
      <c r="I1154" s="12" t="str">
        <f>Table1[[#This Row],[type]]</f>
        <v>flex</v>
      </c>
      <c r="J1154" s="62" t="str">
        <f>Table1[[#This Row],[Column42]]&amp;IF(Table1[[#This Row],[Column13]]="","",Table1[[#This Row],[Column13]])&amp;IF(Table1[[#This Row],[mod]]="","",Table1[[#This Row],[mod]])</f>
        <v>flex--wrap--reverse</v>
      </c>
      <c r="K11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54" t="s">
        <v>1231</v>
      </c>
      <c r="Q11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--wrap--reverse</v>
      </c>
      <c r="R1154" t="s">
        <v>3422</v>
      </c>
      <c r="S1154" t="s">
        <v>3836</v>
      </c>
      <c r="U11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4" s="29"/>
      <c r="AC1154" s="25"/>
      <c r="AD1154" s="41"/>
      <c r="AE1154" s="41"/>
      <c r="AF1154" s="11" t="s">
        <v>166</v>
      </c>
      <c r="AH1154" s="1" t="str">
        <f>Table1[[#This Row],[html_tag]]&amp;Table1[[#This Row],[html_type]]&amp;Table1[[#This Row],[html_modifier]]</f>
        <v/>
      </c>
      <c r="AL1154" s="22" t="str">
        <f>IFERROR(_xlfn.XLOOKUP(Table1[[#This Row],[word]],Table57[English style name],Table57[Style type]),"")</f>
        <v/>
      </c>
      <c r="AM1154" s="20"/>
      <c r="AN1154" s="11"/>
      <c r="AQ1154" s="6" t="s">
        <v>2980</v>
      </c>
      <c r="AR1154" t="s">
        <v>2978</v>
      </c>
    </row>
    <row r="1155" spans="6:44">
      <c r="F11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55" s="13" t="s">
        <v>337</v>
      </c>
      <c r="H1155" s="13" t="s">
        <v>2986</v>
      </c>
      <c r="I1155" s="12" t="str">
        <f>Table1[[#This Row],[type]]</f>
        <v>flipper</v>
      </c>
      <c r="J1155" s="62" t="str">
        <f>Table1[[#This Row],[Column42]]&amp;IF(Table1[[#This Row],[Column13]]="","",Table1[[#This Row],[Column13]])&amp;IF(Table1[[#This Row],[mod]]="","",Table1[[#This Row],[mod]])</f>
        <v>flipper</v>
      </c>
      <c r="K11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</v>
      </c>
      <c r="L1155" t="s">
        <v>3106</v>
      </c>
      <c r="P1155" s="6" t="s">
        <v>1343</v>
      </c>
      <c r="Q11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5" s="29"/>
      <c r="AC1155" s="25"/>
      <c r="AD1155" s="41"/>
      <c r="AE1155" s="41"/>
      <c r="AF1155" s="11"/>
      <c r="AH1155" s="1" t="str">
        <f>Table1[[#This Row],[html_tag]]&amp;Table1[[#This Row],[html_type]]&amp;Table1[[#This Row],[html_modifier]]</f>
        <v/>
      </c>
      <c r="AL1155" s="22" t="str">
        <f>IFERROR(_xlfn.XLOOKUP(Table1[[#This Row],[word]],Table57[English style name],Table57[Style type]),"")</f>
        <v/>
      </c>
      <c r="AM1155" s="20"/>
      <c r="AN1155" s="11"/>
      <c r="AQ1155" s="6" t="s">
        <v>1343</v>
      </c>
      <c r="AR1155" t="s">
        <v>1344</v>
      </c>
    </row>
    <row r="1156" spans="6:44">
      <c r="F11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56" s="13" t="s">
        <v>337</v>
      </c>
      <c r="H1156" s="13" t="s">
        <v>2986</v>
      </c>
      <c r="I1156" s="12" t="str">
        <f>Table1[[#This Row],[type]]</f>
        <v>flipper</v>
      </c>
      <c r="J1156" s="62" t="str">
        <f>Table1[[#This Row],[Column42]]&amp;IF(Table1[[#This Row],[Column13]]="","",Table1[[#This Row],[Column13]])&amp;IF(Table1[[#This Row],[mod]]="","",Table1[[#This Row],[mod]])</f>
        <v>flipper</v>
      </c>
      <c r="K11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</v>
      </c>
      <c r="L1156" t="s">
        <v>3106</v>
      </c>
      <c r="P1156" s="6" t="s">
        <v>1347</v>
      </c>
      <c r="Q11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6" s="29"/>
      <c r="AC1156" s="25"/>
      <c r="AD1156" s="41"/>
      <c r="AE1156" s="41"/>
      <c r="AF1156" s="11"/>
      <c r="AH1156" s="1" t="str">
        <f>Table1[[#This Row],[html_tag]]&amp;Table1[[#This Row],[html_type]]&amp;Table1[[#This Row],[html_modifier]]</f>
        <v/>
      </c>
      <c r="AL1156" s="22" t="str">
        <f>IFERROR(_xlfn.XLOOKUP(Table1[[#This Row],[word]],Table57[English style name],Table57[Style type]),"")</f>
        <v/>
      </c>
      <c r="AM1156" s="20"/>
      <c r="AN1156" s="11"/>
      <c r="AQ1156" s="6" t="s">
        <v>1347</v>
      </c>
      <c r="AR1156" t="s">
        <v>1344</v>
      </c>
    </row>
    <row r="1157" spans="6:44">
      <c r="F11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57" s="13" t="s">
        <v>337</v>
      </c>
      <c r="H1157" s="13" t="s">
        <v>2986</v>
      </c>
      <c r="I1157" s="12" t="str">
        <f>Table1[[#This Row],[type]]</f>
        <v>flipper</v>
      </c>
      <c r="J1157" s="62" t="str">
        <f>Table1[[#This Row],[Column42]]&amp;IF(Table1[[#This Row],[Column13]]="","",Table1[[#This Row],[Column13]])&amp;IF(Table1[[#This Row],[mod]]="","",Table1[[#This Row],[mod]])</f>
        <v>flipper__left</v>
      </c>
      <c r="K11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flipper__left</v>
      </c>
      <c r="L1157" t="s">
        <v>3106</v>
      </c>
      <c r="N1157" t="s">
        <v>616</v>
      </c>
      <c r="P1157" s="6" t="s">
        <v>1345</v>
      </c>
      <c r="Q11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7" s="29"/>
      <c r="AC1157" s="25"/>
      <c r="AD1157" s="41"/>
      <c r="AE1157" s="41"/>
      <c r="AF1157" s="11"/>
      <c r="AH1157" s="1" t="str">
        <f>Table1[[#This Row],[html_tag]]&amp;Table1[[#This Row],[html_type]]&amp;Table1[[#This Row],[html_modifier]]</f>
        <v/>
      </c>
      <c r="AL1157" s="22" t="str">
        <f>IFERROR(_xlfn.XLOOKUP(Table1[[#This Row],[word]],Table57[English style name],Table57[Style type]),"")</f>
        <v/>
      </c>
      <c r="AM1157" s="20"/>
      <c r="AN1157" s="11"/>
      <c r="AQ1157" s="6" t="s">
        <v>1345</v>
      </c>
      <c r="AR1157" t="s">
        <v>1344</v>
      </c>
    </row>
    <row r="1158" spans="6:44">
      <c r="F11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58" s="13" t="s">
        <v>337</v>
      </c>
      <c r="H1158" s="13" t="s">
        <v>2986</v>
      </c>
      <c r="I1158" s="12" t="str">
        <f>Table1[[#This Row],[type]]</f>
        <v>flipper</v>
      </c>
      <c r="J1158" s="62" t="str">
        <f>Table1[[#This Row],[Column42]]&amp;IF(Table1[[#This Row],[Column13]]="","",Table1[[#This Row],[Column13]])&amp;IF(Table1[[#This Row],[mod]]="","",Table1[[#This Row],[mod]])</f>
        <v>flipper__right</v>
      </c>
      <c r="K11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flipper__right</v>
      </c>
      <c r="L1158" t="s">
        <v>3106</v>
      </c>
      <c r="N1158" t="s">
        <v>617</v>
      </c>
      <c r="P1158" s="6" t="s">
        <v>1346</v>
      </c>
      <c r="Q11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8" s="29"/>
      <c r="AC1158" s="25"/>
      <c r="AD1158" s="41"/>
      <c r="AE1158" s="41"/>
      <c r="AF1158" s="11"/>
      <c r="AH1158" s="1" t="str">
        <f>Table1[[#This Row],[html_tag]]&amp;Table1[[#This Row],[html_type]]&amp;Table1[[#This Row],[html_modifier]]</f>
        <v/>
      </c>
      <c r="AL1158" s="22" t="str">
        <f>IFERROR(_xlfn.XLOOKUP(Table1[[#This Row],[word]],Table57[English style name],Table57[Style type]),"")</f>
        <v/>
      </c>
      <c r="AM1158" s="20"/>
      <c r="AN1158" s="11"/>
      <c r="AQ1158" s="6" t="s">
        <v>1346</v>
      </c>
      <c r="AR1158" t="s">
        <v>1344</v>
      </c>
    </row>
    <row r="1159" spans="6:44">
      <c r="F11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59" s="13" t="s">
        <v>337</v>
      </c>
      <c r="H1159" s="13" t="s">
        <v>2986</v>
      </c>
      <c r="I1159" s="12" t="str">
        <f>Table1[[#This Row],[type]]</f>
        <v>flipper</v>
      </c>
      <c r="J1159" s="62" t="str">
        <f>Table1[[#This Row],[Column42]]&amp;IF(Table1[[#This Row],[Column13]]="","",Table1[[#This Row],[Column13]])&amp;IF(Table1[[#This Row],[mod]]="","",Table1[[#This Row],[mod]])</f>
        <v>flipper--base</v>
      </c>
      <c r="K11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</v>
      </c>
      <c r="L1159" t="s">
        <v>3106</v>
      </c>
      <c r="P1159" s="6" t="s">
        <v>1348</v>
      </c>
      <c r="Q11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159" t="s">
        <v>338</v>
      </c>
      <c r="AB1159" s="29"/>
      <c r="AC1159" s="25"/>
      <c r="AD1159" s="41"/>
      <c r="AE1159" s="41"/>
      <c r="AF1159" s="11"/>
      <c r="AH1159" s="1" t="str">
        <f>Table1[[#This Row],[html_tag]]&amp;Table1[[#This Row],[html_type]]&amp;Table1[[#This Row],[html_modifier]]</f>
        <v/>
      </c>
      <c r="AL1159" s="22" t="str">
        <f>IFERROR(_xlfn.XLOOKUP(Table1[[#This Row],[word]],Table57[English style name],Table57[Style type]),"")</f>
        <v/>
      </c>
      <c r="AM1159" s="20"/>
      <c r="AN1159" s="11"/>
      <c r="AQ1159" s="6" t="s">
        <v>1348</v>
      </c>
      <c r="AR1159" t="s">
        <v>1344</v>
      </c>
    </row>
    <row r="1160" spans="6:44">
      <c r="F11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60" s="13" t="s">
        <v>337</v>
      </c>
      <c r="H1160" s="13" t="s">
        <v>2986</v>
      </c>
      <c r="I1160" s="12" t="str">
        <f>Table1[[#This Row],[type]]</f>
        <v>flipper</v>
      </c>
      <c r="J1160" s="62" t="str">
        <f>Table1[[#This Row],[Column42]]&amp;IF(Table1[[#This Row],[Column13]]="","",Table1[[#This Row],[Column13]])&amp;IF(Table1[[#This Row],[mod]]="","",Table1[[#This Row],[mod]])</f>
        <v>flipper--base--horizontal</v>
      </c>
      <c r="K11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</v>
      </c>
      <c r="L1160" t="s">
        <v>3106</v>
      </c>
      <c r="P1160" s="6" t="s">
        <v>1349</v>
      </c>
      <c r="Q11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--base--horizontal</v>
      </c>
      <c r="V1160" t="s">
        <v>338</v>
      </c>
      <c r="X1160" t="s">
        <v>3205</v>
      </c>
      <c r="AB1160" s="29"/>
      <c r="AC1160" s="25"/>
      <c r="AD1160" s="41"/>
      <c r="AE1160" s="41"/>
      <c r="AF1160" s="11"/>
      <c r="AH1160" s="1" t="str">
        <f>Table1[[#This Row],[html_tag]]&amp;Table1[[#This Row],[html_type]]&amp;Table1[[#This Row],[html_modifier]]</f>
        <v/>
      </c>
      <c r="AL1160" s="22" t="str">
        <f>IFERROR(_xlfn.XLOOKUP(Table1[[#This Row],[word]],Table57[English style name],Table57[Style type]),"")</f>
        <v/>
      </c>
      <c r="AM1160" s="20"/>
      <c r="AN1160" s="11"/>
      <c r="AQ1160" s="6" t="s">
        <v>1349</v>
      </c>
      <c r="AR1160" t="s">
        <v>1344</v>
      </c>
    </row>
    <row r="1161" spans="6:44">
      <c r="F11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61" s="13" t="s">
        <v>337</v>
      </c>
      <c r="H1161" s="13" t="s">
        <v>2986</v>
      </c>
      <c r="I1161" s="12" t="str">
        <f>Table1[[#This Row],[type]]</f>
        <v>flipper</v>
      </c>
      <c r="J1161" s="62" t="str">
        <f>Table1[[#This Row],[Column42]]&amp;IF(Table1[[#This Row],[Column13]]="","",Table1[[#This Row],[Column13]])&amp;IF(Table1[[#This Row],[mod]]="","",Table1[[#This Row],[mod]])</f>
        <v>flipper--base--vertical</v>
      </c>
      <c r="K11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</v>
      </c>
      <c r="L1161" t="s">
        <v>3106</v>
      </c>
      <c r="P1161" s="6" t="s">
        <v>1350</v>
      </c>
      <c r="Q11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--base--vertical</v>
      </c>
      <c r="V1161" t="s">
        <v>338</v>
      </c>
      <c r="X1161" t="s">
        <v>2943</v>
      </c>
      <c r="AB1161" s="29"/>
      <c r="AC1161" s="25"/>
      <c r="AD1161" s="41"/>
      <c r="AE1161" s="41"/>
      <c r="AF1161" s="11"/>
      <c r="AH1161" s="1" t="str">
        <f>Table1[[#This Row],[html_tag]]&amp;Table1[[#This Row],[html_type]]&amp;Table1[[#This Row],[html_modifier]]</f>
        <v/>
      </c>
      <c r="AL1161" s="22" t="str">
        <f>IFERROR(_xlfn.XLOOKUP(Table1[[#This Row],[word]],Table57[English style name],Table57[Style type]),"")</f>
        <v/>
      </c>
      <c r="AM1161" s="20"/>
      <c r="AN1161" s="11"/>
      <c r="AQ1161" s="6" t="s">
        <v>1350</v>
      </c>
      <c r="AR1161" t="s">
        <v>1344</v>
      </c>
    </row>
    <row r="1162" spans="6:44">
      <c r="F11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162" s="13" t="s">
        <v>461</v>
      </c>
      <c r="H1162" s="13" t="s">
        <v>2991</v>
      </c>
      <c r="I1162" s="12" t="str">
        <f>Table1[[#This Row],[type]]</f>
        <v>float</v>
      </c>
      <c r="J1162" s="62" t="str">
        <f>Table1[[#This Row],[Column42]]&amp;IF(Table1[[#This Row],[Column13]]="","",Table1[[#This Row],[Column13]])&amp;IF(Table1[[#This Row],[mod]]="","",Table1[[#This Row],[mod]])</f>
        <v>float</v>
      </c>
      <c r="K11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</v>
      </c>
      <c r="L1162" t="s">
        <v>3130</v>
      </c>
      <c r="P1162" s="6" t="s">
        <v>1607</v>
      </c>
      <c r="Q11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2" s="29"/>
      <c r="AC1162" s="25"/>
      <c r="AD1162" s="41"/>
      <c r="AE1162" s="41"/>
      <c r="AF1162" s="11"/>
      <c r="AH1162" s="1" t="str">
        <f>Table1[[#This Row],[html_tag]]&amp;Table1[[#This Row],[html_type]]&amp;Table1[[#This Row],[html_modifier]]</f>
        <v/>
      </c>
      <c r="AL1162" s="22" t="str">
        <f>IFERROR(_xlfn.XLOOKUP(Table1[[#This Row],[word]],Table57[English style name],Table57[Style type]),"")</f>
        <v/>
      </c>
      <c r="AM1162" s="20"/>
      <c r="AN1162" s="11"/>
      <c r="AQ1162" s="6" t="s">
        <v>1607</v>
      </c>
      <c r="AR1162" t="s">
        <v>1606</v>
      </c>
    </row>
    <row r="1163" spans="6:44">
      <c r="F11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163" s="13" t="s">
        <v>461</v>
      </c>
      <c r="H1163" s="13" t="s">
        <v>2991</v>
      </c>
      <c r="I1163" s="12" t="str">
        <f>Table1[[#This Row],[type]]</f>
        <v>float</v>
      </c>
      <c r="J1163" s="62" t="str">
        <f>Table1[[#This Row],[Column42]]&amp;IF(Table1[[#This Row],[Column13]]="","",Table1[[#This Row],[Column13]])&amp;IF(Table1[[#This Row],[mod]]="","",Table1[[#This Row],[mod]])</f>
        <v>float</v>
      </c>
      <c r="K11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</v>
      </c>
      <c r="L1163" t="s">
        <v>3130</v>
      </c>
      <c r="P1163" s="6" t="s">
        <v>1609</v>
      </c>
      <c r="Q11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3" s="29"/>
      <c r="AC1163" s="25"/>
      <c r="AD1163" s="41"/>
      <c r="AE1163" s="41"/>
      <c r="AF1163" s="11"/>
      <c r="AH1163" s="1" t="str">
        <f>Table1[[#This Row],[html_tag]]&amp;Table1[[#This Row],[html_type]]&amp;Table1[[#This Row],[html_modifier]]</f>
        <v/>
      </c>
      <c r="AL1163" s="22" t="str">
        <f>IFERROR(_xlfn.XLOOKUP(Table1[[#This Row],[word]],Table57[English style name],Table57[Style type]),"")</f>
        <v/>
      </c>
      <c r="AM1163" s="20"/>
      <c r="AN1163" s="11"/>
      <c r="AQ1163" s="6" t="s">
        <v>1609</v>
      </c>
      <c r="AR1163" t="s">
        <v>1606</v>
      </c>
    </row>
    <row r="1164" spans="6:44">
      <c r="F11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164" s="13" t="s">
        <v>461</v>
      </c>
      <c r="H1164" s="13" t="s">
        <v>2991</v>
      </c>
      <c r="I1164" s="12" t="str">
        <f>Table1[[#This Row],[type]]</f>
        <v>float</v>
      </c>
      <c r="J1164" s="62" t="str">
        <f>Table1[[#This Row],[Column42]]&amp;IF(Table1[[#This Row],[Column13]]="","",Table1[[#This Row],[Column13]])&amp;IF(Table1[[#This Row],[mod]]="","",Table1[[#This Row],[mod]])</f>
        <v>float__end</v>
      </c>
      <c r="K11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float__end</v>
      </c>
      <c r="L1164" t="s">
        <v>3130</v>
      </c>
      <c r="N1164" t="s">
        <v>3194</v>
      </c>
      <c r="P1164" s="6" t="s">
        <v>1605</v>
      </c>
      <c r="Q11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4" s="29"/>
      <c r="AC1164" s="25"/>
      <c r="AD1164" s="41"/>
      <c r="AE1164" s="41"/>
      <c r="AF1164" s="11"/>
      <c r="AH1164" s="1" t="str">
        <f>Table1[[#This Row],[html_tag]]&amp;Table1[[#This Row],[html_type]]&amp;Table1[[#This Row],[html_modifier]]</f>
        <v/>
      </c>
      <c r="AL1164" s="22" t="str">
        <f>IFERROR(_xlfn.XLOOKUP(Table1[[#This Row],[word]],Table57[English style name],Table57[Style type]),"")</f>
        <v/>
      </c>
      <c r="AM1164" s="20"/>
      <c r="AN1164" s="11"/>
      <c r="AQ1164" s="6" t="s">
        <v>1605</v>
      </c>
      <c r="AR1164" t="s">
        <v>1606</v>
      </c>
    </row>
    <row r="1165" spans="6:44">
      <c r="F11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165" s="13" t="s">
        <v>461</v>
      </c>
      <c r="H1165" s="13" t="s">
        <v>2991</v>
      </c>
      <c r="I1165" s="12" t="str">
        <f>Table1[[#This Row],[type]]</f>
        <v>float</v>
      </c>
      <c r="J1165" s="62" t="str">
        <f>Table1[[#This Row],[Column42]]&amp;IF(Table1[[#This Row],[Column13]]="","",Table1[[#This Row],[Column13]])&amp;IF(Table1[[#This Row],[mod]]="","",Table1[[#This Row],[mod]])</f>
        <v>float__start</v>
      </c>
      <c r="K11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float__start</v>
      </c>
      <c r="L1165" t="s">
        <v>3130</v>
      </c>
      <c r="N1165" t="s">
        <v>3193</v>
      </c>
      <c r="P1165" s="6" t="s">
        <v>1608</v>
      </c>
      <c r="Q116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5" s="29"/>
      <c r="AC1165" s="25"/>
      <c r="AD1165" s="41"/>
      <c r="AE1165" s="41"/>
      <c r="AF1165" s="11"/>
      <c r="AH1165" s="1" t="str">
        <f>Table1[[#This Row],[html_tag]]&amp;Table1[[#This Row],[html_type]]&amp;Table1[[#This Row],[html_modifier]]</f>
        <v/>
      </c>
      <c r="AL1165" s="22" t="str">
        <f>IFERROR(_xlfn.XLOOKUP(Table1[[#This Row],[word]],Table57[English style name],Table57[Style type]),"")</f>
        <v/>
      </c>
      <c r="AM1165" s="20"/>
      <c r="AN1165" s="11"/>
      <c r="AQ1165" s="6" t="s">
        <v>1608</v>
      </c>
      <c r="AR1165" t="s">
        <v>1606</v>
      </c>
    </row>
    <row r="1166" spans="6:44">
      <c r="F11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6" s="13" t="s">
        <v>2992</v>
      </c>
      <c r="H1166" s="13" t="s">
        <v>1</v>
      </c>
      <c r="I1166" s="12" t="str">
        <f>Table1[[#This Row],[type]]</f>
        <v>font</v>
      </c>
      <c r="J1166" s="62" t="str">
        <f>Table1[[#This Row],[Column42]]&amp;IF(Table1[[#This Row],[Column13]]="","",Table1[[#This Row],[Column13]])&amp;IF(Table1[[#This Row],[mod]]="","",Table1[[#This Row],[mod]])</f>
        <v>font</v>
      </c>
      <c r="K11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6" t="s">
        <v>544</v>
      </c>
      <c r="P1166" s="6" t="s">
        <v>1629</v>
      </c>
      <c r="Q116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6" s="29"/>
      <c r="AC1166" s="25"/>
      <c r="AD1166" s="41"/>
      <c r="AE1166" s="41"/>
      <c r="AF1166" s="11" t="s">
        <v>239</v>
      </c>
      <c r="AH1166" s="1" t="str">
        <f>Table1[[#This Row],[html_tag]]&amp;Table1[[#This Row],[html_type]]&amp;Table1[[#This Row],[html_modifier]]</f>
        <v/>
      </c>
      <c r="AL1166" s="22" t="str">
        <f>IFERROR(_xlfn.XLOOKUP(Table1[[#This Row],[word]],Table57[English style name],Table57[Style type]),"")</f>
        <v/>
      </c>
      <c r="AM1166" s="20"/>
      <c r="AN1166" s="11"/>
      <c r="AQ1166" s="6" t="s">
        <v>1629</v>
      </c>
      <c r="AR1166" t="s">
        <v>1627</v>
      </c>
    </row>
    <row r="1167" spans="6:44">
      <c r="F11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7" s="13" t="s">
        <v>2992</v>
      </c>
      <c r="H1167" s="13" t="s">
        <v>1</v>
      </c>
      <c r="I1167" s="12" t="str">
        <f>Table1[[#This Row],[type]]</f>
        <v>font</v>
      </c>
      <c r="J1167" s="62" t="str">
        <f>Table1[[#This Row],[Column42]]&amp;IF(Table1[[#This Row],[Column13]]="","",Table1[[#This Row],[Column13]])&amp;IF(Table1[[#This Row],[mod]]="","",Table1[[#This Row],[mod]])</f>
        <v>font</v>
      </c>
      <c r="K11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7" t="s">
        <v>544</v>
      </c>
      <c r="P1167" s="6" t="s">
        <v>1630</v>
      </c>
      <c r="Q11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7" s="29"/>
      <c r="AC1167" s="25"/>
      <c r="AD1167" s="41"/>
      <c r="AE1167" s="41"/>
      <c r="AF1167" s="11" t="s">
        <v>239</v>
      </c>
      <c r="AH1167" s="1" t="str">
        <f>Table1[[#This Row],[html_tag]]&amp;Table1[[#This Row],[html_type]]&amp;Table1[[#This Row],[html_modifier]]</f>
        <v/>
      </c>
      <c r="AL1167" s="22" t="str">
        <f>IFERROR(_xlfn.XLOOKUP(Table1[[#This Row],[word]],Table57[English style name],Table57[Style type]),"")</f>
        <v/>
      </c>
      <c r="AM1167" s="20"/>
      <c r="AN1167" s="11"/>
      <c r="AQ1167" s="6" t="s">
        <v>1630</v>
      </c>
      <c r="AR1167" t="s">
        <v>1627</v>
      </c>
    </row>
    <row r="1168" spans="6:44">
      <c r="F11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8" s="13" t="s">
        <v>2992</v>
      </c>
      <c r="H1168" s="13" t="s">
        <v>1</v>
      </c>
      <c r="I1168" s="12" t="str">
        <f>Table1[[#This Row],[type]]</f>
        <v>font</v>
      </c>
      <c r="J1168" s="62" t="str">
        <f>Table1[[#This Row],[Column42]]&amp;IF(Table1[[#This Row],[Column13]]="","",Table1[[#This Row],[Column13]])&amp;IF(Table1[[#This Row],[mod]]="","",Table1[[#This Row],[mod]])</f>
        <v>font</v>
      </c>
      <c r="K11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8" t="s">
        <v>544</v>
      </c>
      <c r="P1168" s="6" t="s">
        <v>1631</v>
      </c>
      <c r="Q11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8" s="29"/>
      <c r="AC1168" s="25"/>
      <c r="AD1168" s="41"/>
      <c r="AE1168" s="41"/>
      <c r="AF1168" s="11" t="s">
        <v>239</v>
      </c>
      <c r="AH1168" s="1" t="str">
        <f>Table1[[#This Row],[html_tag]]&amp;Table1[[#This Row],[html_type]]&amp;Table1[[#This Row],[html_modifier]]</f>
        <v/>
      </c>
      <c r="AL1168" s="22" t="str">
        <f>IFERROR(_xlfn.XLOOKUP(Table1[[#This Row],[word]],Table57[English style name],Table57[Style type]),"")</f>
        <v/>
      </c>
      <c r="AM1168" s="20"/>
      <c r="AN1168" s="11"/>
      <c r="AQ1168" s="6" t="s">
        <v>1631</v>
      </c>
      <c r="AR1168" t="s">
        <v>1627</v>
      </c>
    </row>
    <row r="1169" spans="6:44">
      <c r="F11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9" s="13" t="s">
        <v>2992</v>
      </c>
      <c r="H1169" s="13" t="s">
        <v>1</v>
      </c>
      <c r="I1169" s="12" t="str">
        <f>Table1[[#This Row],[type]]</f>
        <v>font</v>
      </c>
      <c r="J1169" s="62" t="str">
        <f>Table1[[#This Row],[Column42]]&amp;IF(Table1[[#This Row],[Column13]]="","",Table1[[#This Row],[Column13]])&amp;IF(Table1[[#This Row],[mod]]="","",Table1[[#This Row],[mod]])</f>
        <v>font</v>
      </c>
      <c r="K11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9" t="s">
        <v>544</v>
      </c>
      <c r="P1169" s="6" t="s">
        <v>1632</v>
      </c>
      <c r="Q11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9" s="29"/>
      <c r="AC1169" s="25"/>
      <c r="AD1169" s="41"/>
      <c r="AE1169" s="41"/>
      <c r="AF1169" s="11" t="s">
        <v>239</v>
      </c>
      <c r="AH1169" s="1" t="str">
        <f>Table1[[#This Row],[html_tag]]&amp;Table1[[#This Row],[html_type]]&amp;Table1[[#This Row],[html_modifier]]</f>
        <v/>
      </c>
      <c r="AL1169" s="22" t="str">
        <f>IFERROR(_xlfn.XLOOKUP(Table1[[#This Row],[word]],Table57[English style name],Table57[Style type]),"")</f>
        <v/>
      </c>
      <c r="AM1169" s="20"/>
      <c r="AN1169" s="11"/>
      <c r="AQ1169" s="6" t="s">
        <v>1632</v>
      </c>
      <c r="AR1169" t="s">
        <v>1627</v>
      </c>
    </row>
    <row r="1170" spans="6:44">
      <c r="F11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0" s="13" t="s">
        <v>2992</v>
      </c>
      <c r="H1170" s="13" t="s">
        <v>1</v>
      </c>
      <c r="I1170" s="12" t="str">
        <f>Table1[[#This Row],[type]]</f>
        <v>font</v>
      </c>
      <c r="J1170" s="62" t="str">
        <f>Table1[[#This Row],[Column42]]&amp;IF(Table1[[#This Row],[Column13]]="","",Table1[[#This Row],[Column13]])&amp;IF(Table1[[#This Row],[mod]]="","",Table1[[#This Row],[mod]])</f>
        <v>font</v>
      </c>
      <c r="K11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0" t="s">
        <v>544</v>
      </c>
      <c r="P1170" s="6" t="s">
        <v>1675</v>
      </c>
      <c r="Q11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0" s="29"/>
      <c r="AC1170" s="25"/>
      <c r="AD1170" s="41"/>
      <c r="AE1170" s="41"/>
      <c r="AF1170" s="11" t="s">
        <v>239</v>
      </c>
      <c r="AH1170" s="1" t="str">
        <f>Table1[[#This Row],[html_tag]]&amp;Table1[[#This Row],[html_type]]&amp;Table1[[#This Row],[html_modifier]]</f>
        <v/>
      </c>
      <c r="AL1170" s="22" t="str">
        <f>IFERROR(_xlfn.XLOOKUP(Table1[[#This Row],[word]],Table57[English style name],Table57[Style type]),"")</f>
        <v/>
      </c>
      <c r="AM1170" s="20"/>
      <c r="AN1170" s="11"/>
      <c r="AQ1170" s="6" t="s">
        <v>1675</v>
      </c>
      <c r="AR1170" t="s">
        <v>1676</v>
      </c>
    </row>
    <row r="1171" spans="6:44">
      <c r="F11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1" s="13" t="s">
        <v>2992</v>
      </c>
      <c r="H1171" s="13" t="s">
        <v>1</v>
      </c>
      <c r="I1171" s="12" t="str">
        <f>Table1[[#This Row],[type]]</f>
        <v>font</v>
      </c>
      <c r="J1171" s="62" t="str">
        <f>Table1[[#This Row],[Column42]]&amp;IF(Table1[[#This Row],[Column13]]="","",Table1[[#This Row],[Column13]])&amp;IF(Table1[[#This Row],[mod]]="","",Table1[[#This Row],[mod]])</f>
        <v>font</v>
      </c>
      <c r="K11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1" t="s">
        <v>544</v>
      </c>
      <c r="P1171" s="6" t="s">
        <v>1686</v>
      </c>
      <c r="Q11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1" s="29"/>
      <c r="AC1171" s="25"/>
      <c r="AD1171" s="41"/>
      <c r="AE1171" s="41"/>
      <c r="AF1171" s="11"/>
      <c r="AH1171" s="1" t="str">
        <f>Table1[[#This Row],[html_tag]]&amp;Table1[[#This Row],[html_type]]&amp;Table1[[#This Row],[html_modifier]]</f>
        <v/>
      </c>
      <c r="AL1171" s="22" t="str">
        <f>IFERROR(_xlfn.XLOOKUP(Table1[[#This Row],[word]],Table57[English style name],Table57[Style type]),"")</f>
        <v/>
      </c>
      <c r="AM1171" s="20"/>
      <c r="AN1171" s="11"/>
      <c r="AQ1171" s="6" t="s">
        <v>1686</v>
      </c>
      <c r="AR1171" t="s">
        <v>1676</v>
      </c>
    </row>
    <row r="1172" spans="6:44">
      <c r="F11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font.scss</v>
      </c>
      <c r="G1172" s="13"/>
      <c r="H1172" s="13"/>
      <c r="I1172" s="12" t="str">
        <f>Table1[[#This Row],[type]]</f>
        <v>font</v>
      </c>
      <c r="J1172" s="62" t="str">
        <f>Table1[[#This Row],[Column42]]&amp;IF(Table1[[#This Row],[Column13]]="","",Table1[[#This Row],[Column13]])&amp;IF(Table1[[#This Row],[mod]]="","",Table1[[#This Row],[mod]])</f>
        <v>font</v>
      </c>
      <c r="K11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2" t="s">
        <v>544</v>
      </c>
      <c r="Q11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2" s="29"/>
      <c r="AC1172" s="25" t="s">
        <v>3753</v>
      </c>
      <c r="AD1172" s="41"/>
      <c r="AE1172" s="41"/>
      <c r="AF1172" s="11"/>
      <c r="AH1172" s="7" t="str">
        <f>Table1[[#This Row],[html_tag]]&amp;Table1[[#This Row],[html_type]]&amp;Table1[[#This Row],[html_modifier]]</f>
        <v/>
      </c>
      <c r="AL1172" s="23" t="str">
        <f>IFERROR(_xlfn.XLOOKUP(Table1[[#This Row],[word]],Table57[English style name],Table57[Style type]),"")</f>
        <v/>
      </c>
      <c r="AM1172" s="21"/>
      <c r="AN1172" s="11"/>
    </row>
    <row r="1173" spans="6:44">
      <c r="F11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3" s="13" t="s">
        <v>2992</v>
      </c>
      <c r="H1173" s="13" t="s">
        <v>1</v>
      </c>
      <c r="I1173" s="12" t="str">
        <f>Table1[[#This Row],[type]]</f>
        <v>font</v>
      </c>
      <c r="J1173" s="62" t="str">
        <f>Table1[[#This Row],[Column42]]&amp;IF(Table1[[#This Row],[Column13]]="","",Table1[[#This Row],[Column13]])&amp;IF(Table1[[#This Row],[mod]]="","",Table1[[#This Row],[mod]])</f>
        <v>font</v>
      </c>
      <c r="K11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3" t="s">
        <v>544</v>
      </c>
      <c r="P1173" s="6" t="s">
        <v>1660</v>
      </c>
      <c r="Q117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3" s="29"/>
      <c r="AC1173" s="25"/>
      <c r="AD1173" s="41"/>
      <c r="AE1173" s="41"/>
      <c r="AF1173" s="11" t="s">
        <v>239</v>
      </c>
      <c r="AH1173" s="1" t="str">
        <f>Table1[[#This Row],[html_tag]]&amp;Table1[[#This Row],[html_type]]&amp;Table1[[#This Row],[html_modifier]]</f>
        <v/>
      </c>
      <c r="AL1173" s="22" t="str">
        <f>IFERROR(_xlfn.XLOOKUP(Table1[[#This Row],[word]],Table57[English style name],Table57[Style type]),"")</f>
        <v/>
      </c>
      <c r="AM1173" s="20"/>
      <c r="AN1173" s="11"/>
      <c r="AQ1173" s="6" t="s">
        <v>1660</v>
      </c>
      <c r="AR1173" t="s">
        <v>1661</v>
      </c>
    </row>
    <row r="1174" spans="6:44">
      <c r="F11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4" s="13" t="s">
        <v>2992</v>
      </c>
      <c r="H1174" s="13" t="s">
        <v>1</v>
      </c>
      <c r="I1174" s="12" t="str">
        <f>Table1[[#This Row],[type]]</f>
        <v>font</v>
      </c>
      <c r="J1174" s="62" t="str">
        <f>Table1[[#This Row],[Column42]]&amp;IF(Table1[[#This Row],[Column13]]="","",Table1[[#This Row],[Column13]])&amp;IF(Table1[[#This Row],[mod]]="","",Table1[[#This Row],[mod]])</f>
        <v>font--0</v>
      </c>
      <c r="K11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4" t="s">
        <v>544</v>
      </c>
      <c r="P1174" s="6" t="s">
        <v>1671</v>
      </c>
      <c r="Q117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--0</v>
      </c>
      <c r="R1174">
        <v>0</v>
      </c>
      <c r="U11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4" s="29"/>
      <c r="AC1174" s="25"/>
      <c r="AD1174" s="41"/>
      <c r="AE1174" s="41"/>
      <c r="AF1174" s="11" t="s">
        <v>239</v>
      </c>
      <c r="AH1174" s="1" t="str">
        <f>Table1[[#This Row],[html_tag]]&amp;Table1[[#This Row],[html_type]]&amp;Table1[[#This Row],[html_modifier]]</f>
        <v/>
      </c>
      <c r="AL1174" s="22" t="str">
        <f>IFERROR(_xlfn.XLOOKUP(Table1[[#This Row],[word]],Table57[English style name],Table57[Style type]),"")</f>
        <v/>
      </c>
      <c r="AM1174" s="20"/>
      <c r="AN1174" s="11"/>
      <c r="AQ1174" s="6" t="s">
        <v>1671</v>
      </c>
      <c r="AR1174" t="s">
        <v>1661</v>
      </c>
    </row>
    <row r="1175" spans="6:44">
      <c r="F11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5" s="13" t="s">
        <v>2992</v>
      </c>
      <c r="H1175" s="13" t="s">
        <v>1</v>
      </c>
      <c r="I1175" s="12" t="str">
        <f>Table1[[#This Row],[type]]</f>
        <v>font</v>
      </c>
      <c r="J1175" s="62" t="str">
        <f>Table1[[#This Row],[Column42]]&amp;IF(Table1[[#This Row],[Column13]]="","",Table1[[#This Row],[Column13]])&amp;IF(Table1[[#This Row],[mod]]="","",Table1[[#This Row],[mod]])</f>
        <v>font--1</v>
      </c>
      <c r="K11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5" t="s">
        <v>544</v>
      </c>
      <c r="P1175" s="6" t="s">
        <v>1662</v>
      </c>
      <c r="Q117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1175">
        <v>1</v>
      </c>
      <c r="U11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5" s="29"/>
      <c r="AC1175" s="25"/>
      <c r="AD1175" s="41"/>
      <c r="AE1175" s="41"/>
      <c r="AF1175" s="11" t="s">
        <v>239</v>
      </c>
      <c r="AH1175" s="1" t="str">
        <f>Table1[[#This Row],[html_tag]]&amp;Table1[[#This Row],[html_type]]&amp;Table1[[#This Row],[html_modifier]]</f>
        <v/>
      </c>
      <c r="AL1175" s="22" t="str">
        <f>IFERROR(_xlfn.XLOOKUP(Table1[[#This Row],[word]],Table57[English style name],Table57[Style type]),"")</f>
        <v/>
      </c>
      <c r="AM1175" s="20"/>
      <c r="AN1175" s="11"/>
      <c r="AQ1175" s="6" t="s">
        <v>1662</v>
      </c>
      <c r="AR1175" t="s">
        <v>1661</v>
      </c>
    </row>
    <row r="1176" spans="6:44">
      <c r="F11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6" s="13" t="s">
        <v>2992</v>
      </c>
      <c r="H1176" s="13" t="s">
        <v>1</v>
      </c>
      <c r="I1176" s="12" t="str">
        <f>Table1[[#This Row],[type]]</f>
        <v>font</v>
      </c>
      <c r="J1176" s="62" t="str">
        <f>Table1[[#This Row],[Column42]]&amp;IF(Table1[[#This Row],[Column13]]="","",Table1[[#This Row],[Column13]])&amp;IF(Table1[[#This Row],[mod]]="","",Table1[[#This Row],[mod]])</f>
        <v>font--100</v>
      </c>
      <c r="K11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6" t="s">
        <v>544</v>
      </c>
      <c r="P1176" s="14" t="s">
        <v>1677</v>
      </c>
      <c r="Q117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1176">
        <v>100</v>
      </c>
      <c r="AB1176" s="29"/>
      <c r="AC1176" s="25"/>
      <c r="AD1176" s="41"/>
      <c r="AE1176" s="41"/>
      <c r="AF1176" s="11" t="s">
        <v>239</v>
      </c>
      <c r="AH1176" s="1" t="str">
        <f>Table1[[#This Row],[html_tag]]&amp;Table1[[#This Row],[html_type]]&amp;Table1[[#This Row],[html_modifier]]</f>
        <v>-</v>
      </c>
      <c r="AI1176" t="s">
        <v>3080</v>
      </c>
      <c r="AL1176" s="22" t="str">
        <f>IFERROR(_xlfn.XLOOKUP(Table1[[#This Row],[word]],Table57[English style name],Table57[Style type]),"")</f>
        <v/>
      </c>
      <c r="AM1176" s="20"/>
      <c r="AN1176" s="11"/>
      <c r="AQ1176" s="14" t="s">
        <v>1677</v>
      </c>
      <c r="AR1176" t="s">
        <v>1676</v>
      </c>
    </row>
    <row r="1177" spans="6:44">
      <c r="F11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7" s="13" t="s">
        <v>2992</v>
      </c>
      <c r="H1177" s="13" t="s">
        <v>1</v>
      </c>
      <c r="I1177" s="12" t="str">
        <f>Table1[[#This Row],[type]]</f>
        <v>font</v>
      </c>
      <c r="J1177" s="62" t="str">
        <f>Table1[[#This Row],[Column42]]&amp;IF(Table1[[#This Row],[Column13]]="","",Table1[[#This Row],[Column13]])&amp;IF(Table1[[#This Row],[mod]]="","",Table1[[#This Row],[mod]])</f>
        <v>font--11</v>
      </c>
      <c r="K11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7" t="s">
        <v>544</v>
      </c>
      <c r="P1177" s="6" t="s">
        <v>1672</v>
      </c>
      <c r="Q117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--11</v>
      </c>
      <c r="R1177">
        <v>11</v>
      </c>
      <c r="U11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7" s="29"/>
      <c r="AC1177" s="25"/>
      <c r="AD1177" s="41"/>
      <c r="AE1177" s="41"/>
      <c r="AF1177" s="11" t="s">
        <v>239</v>
      </c>
      <c r="AH1177" s="1" t="str">
        <f>Table1[[#This Row],[html_tag]]&amp;Table1[[#This Row],[html_type]]&amp;Table1[[#This Row],[html_modifier]]</f>
        <v/>
      </c>
      <c r="AL1177" s="22" t="str">
        <f>IFERROR(_xlfn.XLOOKUP(Table1[[#This Row],[word]],Table57[English style name],Table57[Style type]),"")</f>
        <v/>
      </c>
      <c r="AM1177" s="20"/>
      <c r="AN1177" s="11"/>
      <c r="AQ1177" s="6" t="s">
        <v>1672</v>
      </c>
      <c r="AR1177" t="s">
        <v>1661</v>
      </c>
    </row>
    <row r="1178" spans="6:44">
      <c r="F11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8" s="13" t="s">
        <v>2992</v>
      </c>
      <c r="H1178" s="13" t="s">
        <v>1</v>
      </c>
      <c r="I1178" s="12" t="str">
        <f>Table1[[#This Row],[type]]</f>
        <v>font</v>
      </c>
      <c r="J1178" s="62" t="str">
        <f>Table1[[#This Row],[Column42]]&amp;IF(Table1[[#This Row],[Column13]]="","",Table1[[#This Row],[Column13]])&amp;IF(Table1[[#This Row],[mod]]="","",Table1[[#This Row],[mod]])</f>
        <v>font--12</v>
      </c>
      <c r="K11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8" t="s">
        <v>544</v>
      </c>
      <c r="P1178" s="6" t="s">
        <v>1673</v>
      </c>
      <c r="Q117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--12</v>
      </c>
      <c r="R1178">
        <v>12</v>
      </c>
      <c r="U11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8" s="29"/>
      <c r="AC1178" s="25"/>
      <c r="AD1178" s="41"/>
      <c r="AE1178" s="41"/>
      <c r="AF1178" s="11" t="s">
        <v>239</v>
      </c>
      <c r="AH1178" s="1" t="str">
        <f>Table1[[#This Row],[html_tag]]&amp;Table1[[#This Row],[html_type]]&amp;Table1[[#This Row],[html_modifier]]</f>
        <v/>
      </c>
      <c r="AL1178" s="22" t="str">
        <f>IFERROR(_xlfn.XLOOKUP(Table1[[#This Row],[word]],Table57[English style name],Table57[Style type]),"")</f>
        <v/>
      </c>
      <c r="AM1178" s="20"/>
      <c r="AN1178" s="11"/>
      <c r="AQ1178" s="6" t="s">
        <v>1673</v>
      </c>
      <c r="AR1178" t="s">
        <v>1661</v>
      </c>
    </row>
    <row r="1179" spans="6:44">
      <c r="F11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9" s="13" t="s">
        <v>2992</v>
      </c>
      <c r="H1179" s="13" t="s">
        <v>1</v>
      </c>
      <c r="I1179" s="12" t="str">
        <f>Table1[[#This Row],[type]]</f>
        <v>font</v>
      </c>
      <c r="J1179" s="62" t="str">
        <f>Table1[[#This Row],[Column42]]&amp;IF(Table1[[#This Row],[Column13]]="","",Table1[[#This Row],[Column13]])&amp;IF(Table1[[#This Row],[mod]]="","",Table1[[#This Row],[mod]])</f>
        <v>font--2</v>
      </c>
      <c r="K11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9" t="s">
        <v>544</v>
      </c>
      <c r="P1179" s="6" t="s">
        <v>1663</v>
      </c>
      <c r="Q11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1179">
        <v>2</v>
      </c>
      <c r="U11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9" s="29"/>
      <c r="AC1179" s="25"/>
      <c r="AD1179" s="41"/>
      <c r="AE1179" s="41"/>
      <c r="AF1179" s="11" t="s">
        <v>239</v>
      </c>
      <c r="AH1179" s="1" t="str">
        <f>Table1[[#This Row],[html_tag]]&amp;Table1[[#This Row],[html_type]]&amp;Table1[[#This Row],[html_modifier]]</f>
        <v/>
      </c>
      <c r="AL1179" s="22" t="str">
        <f>IFERROR(_xlfn.XLOOKUP(Table1[[#This Row],[word]],Table57[English style name],Table57[Style type]),"")</f>
        <v/>
      </c>
      <c r="AM1179" s="20"/>
      <c r="AN1179" s="11"/>
      <c r="AQ1179" s="6" t="s">
        <v>1663</v>
      </c>
      <c r="AR1179" t="s">
        <v>1661</v>
      </c>
    </row>
    <row r="1180" spans="6:44">
      <c r="F11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0" s="13" t="s">
        <v>2992</v>
      </c>
      <c r="H1180" s="13" t="s">
        <v>1</v>
      </c>
      <c r="I1180" s="12" t="str">
        <f>Table1[[#This Row],[type]]</f>
        <v>font</v>
      </c>
      <c r="J1180" s="62" t="str">
        <f>Table1[[#This Row],[Column42]]&amp;IF(Table1[[#This Row],[Column13]]="","",Table1[[#This Row],[Column13]])&amp;IF(Table1[[#This Row],[mod]]="","",Table1[[#This Row],[mod]])</f>
        <v>font--200</v>
      </c>
      <c r="K11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0" t="s">
        <v>544</v>
      </c>
      <c r="P1180" s="14" t="s">
        <v>1678</v>
      </c>
      <c r="Q11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1180">
        <v>200</v>
      </c>
      <c r="AB1180" s="29"/>
      <c r="AC1180" s="25"/>
      <c r="AD1180" s="41"/>
      <c r="AE1180" s="41"/>
      <c r="AF1180" s="11" t="s">
        <v>239</v>
      </c>
      <c r="AH1180" s="1" t="str">
        <f>Table1[[#This Row],[html_tag]]&amp;Table1[[#This Row],[html_type]]&amp;Table1[[#This Row],[html_modifier]]</f>
        <v>-</v>
      </c>
      <c r="AI1180" t="s">
        <v>3080</v>
      </c>
      <c r="AL1180" s="22" t="str">
        <f>IFERROR(_xlfn.XLOOKUP(Table1[[#This Row],[word]],Table57[English style name],Table57[Style type]),"")</f>
        <v/>
      </c>
      <c r="AM1180" s="20"/>
      <c r="AN1180" s="11"/>
      <c r="AQ1180" s="14" t="s">
        <v>1678</v>
      </c>
      <c r="AR1180" t="s">
        <v>1676</v>
      </c>
    </row>
    <row r="1181" spans="6:44">
      <c r="F11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1" s="13" t="s">
        <v>2992</v>
      </c>
      <c r="H1181" s="13" t="s">
        <v>1</v>
      </c>
      <c r="I1181" s="12" t="str">
        <f>Table1[[#This Row],[type]]</f>
        <v>font</v>
      </c>
      <c r="J1181" s="62" t="str">
        <f>Table1[[#This Row],[Column42]]&amp;IF(Table1[[#This Row],[Column13]]="","",Table1[[#This Row],[Column13]])&amp;IF(Table1[[#This Row],[mod]]="","",Table1[[#This Row],[mod]])</f>
        <v>font--3</v>
      </c>
      <c r="K11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1" t="s">
        <v>544</v>
      </c>
      <c r="P1181" s="6" t="s">
        <v>1664</v>
      </c>
      <c r="Q11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R1181">
        <v>3</v>
      </c>
      <c r="U11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1" s="29"/>
      <c r="AC1181" s="25"/>
      <c r="AD1181" s="41"/>
      <c r="AE1181" s="41"/>
      <c r="AF1181" s="11" t="s">
        <v>239</v>
      </c>
      <c r="AH1181" s="1" t="str">
        <f>Table1[[#This Row],[html_tag]]&amp;Table1[[#This Row],[html_type]]&amp;Table1[[#This Row],[html_modifier]]</f>
        <v/>
      </c>
      <c r="AL1181" s="22" t="str">
        <f>IFERROR(_xlfn.XLOOKUP(Table1[[#This Row],[word]],Table57[English style name],Table57[Style type]),"")</f>
        <v/>
      </c>
      <c r="AM1181" s="20"/>
      <c r="AN1181" s="11"/>
      <c r="AQ1181" s="6" t="s">
        <v>1664</v>
      </c>
      <c r="AR1181" t="s">
        <v>1661</v>
      </c>
    </row>
    <row r="1182" spans="6:44">
      <c r="F11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2" s="13" t="s">
        <v>2992</v>
      </c>
      <c r="H1182" s="13" t="s">
        <v>1</v>
      </c>
      <c r="I1182" s="12" t="str">
        <f>Table1[[#This Row],[type]]</f>
        <v>font</v>
      </c>
      <c r="J1182" s="62" t="str">
        <f>Table1[[#This Row],[Column42]]&amp;IF(Table1[[#This Row],[Column13]]="","",Table1[[#This Row],[Column13]])&amp;IF(Table1[[#This Row],[mod]]="","",Table1[[#This Row],[mod]])</f>
        <v>font--300</v>
      </c>
      <c r="K11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2" t="s">
        <v>544</v>
      </c>
      <c r="P1182" s="14" t="s">
        <v>1679</v>
      </c>
      <c r="Q11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1182">
        <v>300</v>
      </c>
      <c r="AB1182" s="29"/>
      <c r="AC1182" s="25" t="s">
        <v>3756</v>
      </c>
      <c r="AD1182" s="41"/>
      <c r="AE1182" s="41"/>
      <c r="AF1182" s="11" t="s">
        <v>239</v>
      </c>
      <c r="AH1182" s="1" t="str">
        <f>Table1[[#This Row],[html_tag]]&amp;Table1[[#This Row],[html_type]]&amp;Table1[[#This Row],[html_modifier]]</f>
        <v>-</v>
      </c>
      <c r="AI1182" t="s">
        <v>3080</v>
      </c>
      <c r="AL1182" s="22" t="str">
        <f>IFERROR(_xlfn.XLOOKUP(Table1[[#This Row],[word]],Table57[English style name],Table57[Style type]),"")</f>
        <v/>
      </c>
      <c r="AM1182" s="20"/>
      <c r="AN1182" s="11"/>
      <c r="AQ1182" s="14" t="s">
        <v>1679</v>
      </c>
      <c r="AR1182" t="s">
        <v>1676</v>
      </c>
    </row>
    <row r="1183" spans="6:44">
      <c r="F11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3" s="13" t="s">
        <v>2992</v>
      </c>
      <c r="H1183" s="13" t="s">
        <v>1</v>
      </c>
      <c r="I1183" s="12" t="str">
        <f>Table1[[#This Row],[type]]</f>
        <v>font</v>
      </c>
      <c r="J1183" s="62" t="str">
        <f>Table1[[#This Row],[Column42]]&amp;IF(Table1[[#This Row],[Column13]]="","",Table1[[#This Row],[Column13]])&amp;IF(Table1[[#This Row],[mod]]="","",Table1[[#This Row],[mod]])</f>
        <v>font--4</v>
      </c>
      <c r="K11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3" t="s">
        <v>544</v>
      </c>
      <c r="P1183" s="6" t="s">
        <v>1665</v>
      </c>
      <c r="Q11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R1183">
        <v>4</v>
      </c>
      <c r="U11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3" s="29"/>
      <c r="AC1183" s="25"/>
      <c r="AD1183" s="41"/>
      <c r="AE1183" s="41"/>
      <c r="AF1183" s="11" t="s">
        <v>239</v>
      </c>
      <c r="AH1183" s="1" t="str">
        <f>Table1[[#This Row],[html_tag]]&amp;Table1[[#This Row],[html_type]]&amp;Table1[[#This Row],[html_modifier]]</f>
        <v/>
      </c>
      <c r="AL1183" s="22" t="str">
        <f>IFERROR(_xlfn.XLOOKUP(Table1[[#This Row],[word]],Table57[English style name],Table57[Style type]),"")</f>
        <v/>
      </c>
      <c r="AM1183" s="20"/>
      <c r="AN1183" s="11"/>
      <c r="AQ1183" s="6" t="s">
        <v>1665</v>
      </c>
      <c r="AR1183" t="s">
        <v>1661</v>
      </c>
    </row>
    <row r="1184" spans="6:44">
      <c r="F11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4" s="13" t="s">
        <v>2992</v>
      </c>
      <c r="H1184" s="13" t="s">
        <v>1</v>
      </c>
      <c r="I1184" s="12" t="str">
        <f>Table1[[#This Row],[type]]</f>
        <v>font</v>
      </c>
      <c r="J1184" s="62" t="str">
        <f>Table1[[#This Row],[Column42]]&amp;IF(Table1[[#This Row],[Column13]]="","",Table1[[#This Row],[Column13]])&amp;IF(Table1[[#This Row],[mod]]="","",Table1[[#This Row],[mod]])</f>
        <v>font--400</v>
      </c>
      <c r="K11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4" t="s">
        <v>544</v>
      </c>
      <c r="P1184" s="14" t="s">
        <v>1680</v>
      </c>
      <c r="Q11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1184">
        <v>400</v>
      </c>
      <c r="AB1184" s="29"/>
      <c r="AC1184" s="25"/>
      <c r="AD1184" s="41"/>
      <c r="AE1184" s="41"/>
      <c r="AF1184" s="11" t="s">
        <v>239</v>
      </c>
      <c r="AH1184" s="1" t="str">
        <f>Table1[[#This Row],[html_tag]]&amp;Table1[[#This Row],[html_type]]&amp;Table1[[#This Row],[html_modifier]]</f>
        <v>-</v>
      </c>
      <c r="AI1184" t="s">
        <v>3080</v>
      </c>
      <c r="AL1184" s="22" t="str">
        <f>IFERROR(_xlfn.XLOOKUP(Table1[[#This Row],[word]],Table57[English style name],Table57[Style type]),"")</f>
        <v/>
      </c>
      <c r="AM1184" s="20"/>
      <c r="AN1184" s="11"/>
      <c r="AQ1184" s="14" t="s">
        <v>1680</v>
      </c>
      <c r="AR1184" t="s">
        <v>1676</v>
      </c>
    </row>
    <row r="1185" spans="6:44">
      <c r="F11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5" s="13" t="s">
        <v>2992</v>
      </c>
      <c r="H1185" s="13" t="s">
        <v>1</v>
      </c>
      <c r="I1185" s="12" t="str">
        <f>Table1[[#This Row],[type]]</f>
        <v>font</v>
      </c>
      <c r="J1185" s="62" t="str">
        <f>Table1[[#This Row],[Column42]]&amp;IF(Table1[[#This Row],[Column13]]="","",Table1[[#This Row],[Column13]])&amp;IF(Table1[[#This Row],[mod]]="","",Table1[[#This Row],[mod]])</f>
        <v>font--5</v>
      </c>
      <c r="K11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5" t="s">
        <v>544</v>
      </c>
      <c r="P1185" s="6" t="s">
        <v>1666</v>
      </c>
      <c r="Q11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R1185">
        <v>5</v>
      </c>
      <c r="U11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5" s="29"/>
      <c r="AC1185" s="25"/>
      <c r="AD1185" s="41"/>
      <c r="AE1185" s="41"/>
      <c r="AF1185" s="11" t="s">
        <v>239</v>
      </c>
      <c r="AH1185" s="1" t="str">
        <f>Table1[[#This Row],[html_tag]]&amp;Table1[[#This Row],[html_type]]&amp;Table1[[#This Row],[html_modifier]]</f>
        <v/>
      </c>
      <c r="AL1185" s="22" t="str">
        <f>IFERROR(_xlfn.XLOOKUP(Table1[[#This Row],[word]],Table57[English style name],Table57[Style type]),"")</f>
        <v/>
      </c>
      <c r="AM1185" s="20"/>
      <c r="AN1185" s="11"/>
      <c r="AQ1185" s="6" t="s">
        <v>1666</v>
      </c>
      <c r="AR1185" t="s">
        <v>1661</v>
      </c>
    </row>
    <row r="1186" spans="6:44">
      <c r="F11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6" s="13" t="s">
        <v>2992</v>
      </c>
      <c r="H1186" s="13" t="s">
        <v>1</v>
      </c>
      <c r="I1186" s="12" t="str">
        <f>Table1[[#This Row],[type]]</f>
        <v>font</v>
      </c>
      <c r="J1186" s="62" t="str">
        <f>Table1[[#This Row],[Column42]]&amp;IF(Table1[[#This Row],[Column13]]="","",Table1[[#This Row],[Column13]])&amp;IF(Table1[[#This Row],[mod]]="","",Table1[[#This Row],[mod]])</f>
        <v>font--500</v>
      </c>
      <c r="K11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6" t="s">
        <v>544</v>
      </c>
      <c r="P1186" s="14" t="s">
        <v>1681</v>
      </c>
      <c r="Q11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1186">
        <v>500</v>
      </c>
      <c r="AB1186" s="29"/>
      <c r="AC1186" s="25" t="s">
        <v>3757</v>
      </c>
      <c r="AD1186" s="41"/>
      <c r="AE1186" s="41"/>
      <c r="AF1186" s="11" t="s">
        <v>239</v>
      </c>
      <c r="AH1186" s="1" t="str">
        <f>Table1[[#This Row],[html_tag]]&amp;Table1[[#This Row],[html_type]]&amp;Table1[[#This Row],[html_modifier]]</f>
        <v>-</v>
      </c>
      <c r="AI1186" t="s">
        <v>3080</v>
      </c>
      <c r="AL1186" s="22" t="str">
        <f>IFERROR(_xlfn.XLOOKUP(Table1[[#This Row],[word]],Table57[English style name],Table57[Style type]),"")</f>
        <v/>
      </c>
      <c r="AM1186" s="20"/>
      <c r="AN1186" s="11"/>
      <c r="AQ1186" s="14" t="s">
        <v>1681</v>
      </c>
      <c r="AR1186" t="s">
        <v>1676</v>
      </c>
    </row>
    <row r="1187" spans="6:44">
      <c r="F11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7" s="13" t="s">
        <v>2992</v>
      </c>
      <c r="H1187" s="13" t="s">
        <v>1</v>
      </c>
      <c r="I1187" s="12" t="str">
        <f>Table1[[#This Row],[type]]</f>
        <v>font</v>
      </c>
      <c r="J1187" s="62" t="str">
        <f>Table1[[#This Row],[Column42]]&amp;IF(Table1[[#This Row],[Column13]]="","",Table1[[#This Row],[Column13]])&amp;IF(Table1[[#This Row],[mod]]="","",Table1[[#This Row],[mod]])</f>
        <v>font--6</v>
      </c>
      <c r="K11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7" t="s">
        <v>544</v>
      </c>
      <c r="P1187" s="6" t="s">
        <v>1667</v>
      </c>
      <c r="Q11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R1187">
        <v>6</v>
      </c>
      <c r="U11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7" s="29"/>
      <c r="AC1187" s="25"/>
      <c r="AD1187" s="41"/>
      <c r="AE1187" s="41"/>
      <c r="AF1187" s="11" t="s">
        <v>239</v>
      </c>
      <c r="AH1187" s="1" t="str">
        <f>Table1[[#This Row],[html_tag]]&amp;Table1[[#This Row],[html_type]]&amp;Table1[[#This Row],[html_modifier]]</f>
        <v/>
      </c>
      <c r="AL1187" s="22" t="str">
        <f>IFERROR(_xlfn.XLOOKUP(Table1[[#This Row],[word]],Table57[English style name],Table57[Style type]),"")</f>
        <v/>
      </c>
      <c r="AM1187" s="20"/>
      <c r="AN1187" s="11"/>
      <c r="AQ1187" s="6" t="s">
        <v>1667</v>
      </c>
      <c r="AR1187" t="s">
        <v>1661</v>
      </c>
    </row>
    <row r="1188" spans="6:44">
      <c r="F11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8" s="13" t="s">
        <v>2992</v>
      </c>
      <c r="H1188" s="13" t="s">
        <v>1</v>
      </c>
      <c r="I1188" s="12" t="str">
        <f>Table1[[#This Row],[type]]</f>
        <v>font</v>
      </c>
      <c r="J1188" s="62" t="str">
        <f>Table1[[#This Row],[Column42]]&amp;IF(Table1[[#This Row],[Column13]]="","",Table1[[#This Row],[Column13]])&amp;IF(Table1[[#This Row],[mod]]="","",Table1[[#This Row],[mod]])</f>
        <v>font--600</v>
      </c>
      <c r="K11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8" t="s">
        <v>544</v>
      </c>
      <c r="P1188" s="14" t="s">
        <v>1682</v>
      </c>
      <c r="Q11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1188">
        <v>600</v>
      </c>
      <c r="AB1188" s="29"/>
      <c r="AC1188" s="25"/>
      <c r="AD1188" s="41"/>
      <c r="AE1188" s="41"/>
      <c r="AF1188" s="11" t="s">
        <v>239</v>
      </c>
      <c r="AH1188" s="1" t="str">
        <f>Table1[[#This Row],[html_tag]]&amp;Table1[[#This Row],[html_type]]&amp;Table1[[#This Row],[html_modifier]]</f>
        <v>-</v>
      </c>
      <c r="AI1188" t="s">
        <v>3080</v>
      </c>
      <c r="AL1188" s="22" t="str">
        <f>IFERROR(_xlfn.XLOOKUP(Table1[[#This Row],[word]],Table57[English style name],Table57[Style type]),"")</f>
        <v/>
      </c>
      <c r="AM1188" s="20"/>
      <c r="AN1188" s="11"/>
      <c r="AQ1188" s="14" t="s">
        <v>1682</v>
      </c>
      <c r="AR1188" t="s">
        <v>1676</v>
      </c>
    </row>
    <row r="1189" spans="6:44">
      <c r="F11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9" s="13" t="s">
        <v>2992</v>
      </c>
      <c r="H1189" s="13" t="s">
        <v>1</v>
      </c>
      <c r="I1189" s="12" t="str">
        <f>Table1[[#This Row],[type]]</f>
        <v>font</v>
      </c>
      <c r="J1189" s="62" t="str">
        <f>Table1[[#This Row],[Column42]]&amp;IF(Table1[[#This Row],[Column13]]="","",Table1[[#This Row],[Column13]])&amp;IF(Table1[[#This Row],[mod]]="","",Table1[[#This Row],[mod]])</f>
        <v>font--7</v>
      </c>
      <c r="K11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9" t="s">
        <v>544</v>
      </c>
      <c r="P1189" s="6" t="s">
        <v>1668</v>
      </c>
      <c r="Q11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R1189">
        <v>7</v>
      </c>
      <c r="U11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9" s="29"/>
      <c r="AC1189" s="25"/>
      <c r="AD1189" s="41"/>
      <c r="AE1189" s="41"/>
      <c r="AF1189" s="11" t="s">
        <v>239</v>
      </c>
      <c r="AH1189" s="1" t="str">
        <f>Table1[[#This Row],[html_tag]]&amp;Table1[[#This Row],[html_type]]&amp;Table1[[#This Row],[html_modifier]]</f>
        <v/>
      </c>
      <c r="AL1189" s="22" t="str">
        <f>IFERROR(_xlfn.XLOOKUP(Table1[[#This Row],[word]],Table57[English style name],Table57[Style type]),"")</f>
        <v/>
      </c>
      <c r="AM1189" s="20"/>
      <c r="AN1189" s="11"/>
      <c r="AQ1189" s="6" t="s">
        <v>1668</v>
      </c>
      <c r="AR1189" t="s">
        <v>1661</v>
      </c>
    </row>
    <row r="1190" spans="6:44">
      <c r="F11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0" s="13" t="s">
        <v>2992</v>
      </c>
      <c r="H1190" s="13" t="s">
        <v>1</v>
      </c>
      <c r="I1190" s="12" t="str">
        <f>Table1[[#This Row],[type]]</f>
        <v>font</v>
      </c>
      <c r="J1190" s="62" t="str">
        <f>Table1[[#This Row],[Column42]]&amp;IF(Table1[[#This Row],[Column13]]="","",Table1[[#This Row],[Column13]])&amp;IF(Table1[[#This Row],[mod]]="","",Table1[[#This Row],[mod]])</f>
        <v>font--700</v>
      </c>
      <c r="K11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0" t="s">
        <v>544</v>
      </c>
      <c r="P1190" s="14" t="s">
        <v>1683</v>
      </c>
      <c r="Q11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--700</v>
      </c>
      <c r="AA1190">
        <v>700</v>
      </c>
      <c r="AB1190" s="29"/>
      <c r="AC1190" s="25" t="s">
        <v>3754</v>
      </c>
      <c r="AD1190" s="41"/>
      <c r="AE1190" s="41"/>
      <c r="AF1190" s="11" t="s">
        <v>239</v>
      </c>
      <c r="AH1190" s="1" t="str">
        <f>Table1[[#This Row],[html_tag]]&amp;Table1[[#This Row],[html_type]]&amp;Table1[[#This Row],[html_modifier]]</f>
        <v>-</v>
      </c>
      <c r="AI1190" t="s">
        <v>3080</v>
      </c>
      <c r="AL1190" s="22" t="str">
        <f>IFERROR(_xlfn.XLOOKUP(Table1[[#This Row],[word]],Table57[English style name],Table57[Style type]),"")</f>
        <v/>
      </c>
      <c r="AM1190" s="20"/>
      <c r="AN1190" s="11"/>
      <c r="AQ1190" s="14" t="s">
        <v>1683</v>
      </c>
      <c r="AR1190" t="s">
        <v>1676</v>
      </c>
    </row>
    <row r="1191" spans="6:44">
      <c r="F11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1" s="13" t="s">
        <v>2992</v>
      </c>
      <c r="H1191" s="13" t="s">
        <v>1</v>
      </c>
      <c r="I1191" s="12" t="str">
        <f>Table1[[#This Row],[type]]</f>
        <v>font</v>
      </c>
      <c r="J1191" s="62" t="str">
        <f>Table1[[#This Row],[Column42]]&amp;IF(Table1[[#This Row],[Column13]]="","",Table1[[#This Row],[Column13]])&amp;IF(Table1[[#This Row],[mod]]="","",Table1[[#This Row],[mod]])</f>
        <v>font--8</v>
      </c>
      <c r="K11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1" t="s">
        <v>544</v>
      </c>
      <c r="P1191" s="6" t="s">
        <v>1669</v>
      </c>
      <c r="Q11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R1191">
        <v>8</v>
      </c>
      <c r="U11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1" s="29"/>
      <c r="AC1191" s="25"/>
      <c r="AD1191" s="41"/>
      <c r="AE1191" s="41"/>
      <c r="AF1191" s="11" t="s">
        <v>239</v>
      </c>
      <c r="AH1191" s="1" t="str">
        <f>Table1[[#This Row],[html_tag]]&amp;Table1[[#This Row],[html_type]]&amp;Table1[[#This Row],[html_modifier]]</f>
        <v/>
      </c>
      <c r="AL1191" s="22" t="str">
        <f>IFERROR(_xlfn.XLOOKUP(Table1[[#This Row],[word]],Table57[English style name],Table57[Style type]),"")</f>
        <v/>
      </c>
      <c r="AM1191" s="20"/>
      <c r="AN1191" s="11"/>
      <c r="AQ1191" s="6" t="s">
        <v>1669</v>
      </c>
      <c r="AR1191" t="s">
        <v>1661</v>
      </c>
    </row>
    <row r="1192" spans="6:44">
      <c r="F11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2" s="13" t="s">
        <v>2992</v>
      </c>
      <c r="H1192" s="13" t="s">
        <v>1</v>
      </c>
      <c r="I1192" s="12" t="str">
        <f>Table1[[#This Row],[type]]</f>
        <v>font</v>
      </c>
      <c r="J1192" s="62" t="str">
        <f>Table1[[#This Row],[Column42]]&amp;IF(Table1[[#This Row],[Column13]]="","",Table1[[#This Row],[Column13]])&amp;IF(Table1[[#This Row],[mod]]="","",Table1[[#This Row],[mod]])</f>
        <v>font--800</v>
      </c>
      <c r="K11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2" t="s">
        <v>544</v>
      </c>
      <c r="P1192" s="14" t="s">
        <v>1684</v>
      </c>
      <c r="Q11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--800</v>
      </c>
      <c r="AA1192">
        <v>800</v>
      </c>
      <c r="AB1192" s="29"/>
      <c r="AC1192" s="25"/>
      <c r="AD1192" s="41"/>
      <c r="AE1192" s="41"/>
      <c r="AF1192" s="11" t="s">
        <v>239</v>
      </c>
      <c r="AH1192" s="1" t="str">
        <f>Table1[[#This Row],[html_tag]]&amp;Table1[[#This Row],[html_type]]&amp;Table1[[#This Row],[html_modifier]]</f>
        <v>-</v>
      </c>
      <c r="AI1192" t="s">
        <v>3080</v>
      </c>
      <c r="AL1192" s="22" t="str">
        <f>IFERROR(_xlfn.XLOOKUP(Table1[[#This Row],[word]],Table57[English style name],Table57[Style type]),"")</f>
        <v/>
      </c>
      <c r="AM1192" s="20"/>
      <c r="AN1192" s="11"/>
      <c r="AQ1192" s="14" t="s">
        <v>1684</v>
      </c>
      <c r="AR1192" t="s">
        <v>1676</v>
      </c>
    </row>
    <row r="1193" spans="6:44">
      <c r="F11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3" s="13" t="s">
        <v>2992</v>
      </c>
      <c r="H1193" s="13" t="s">
        <v>1</v>
      </c>
      <c r="I1193" s="12" t="str">
        <f>Table1[[#This Row],[type]]</f>
        <v>font</v>
      </c>
      <c r="J1193" s="62" t="str">
        <f>Table1[[#This Row],[Column42]]&amp;IF(Table1[[#This Row],[Column13]]="","",Table1[[#This Row],[Column13]])&amp;IF(Table1[[#This Row],[mod]]="","",Table1[[#This Row],[mod]])</f>
        <v>font--9</v>
      </c>
      <c r="K11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3" t="s">
        <v>544</v>
      </c>
      <c r="P1193" s="6" t="s">
        <v>1670</v>
      </c>
      <c r="Q11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--9</v>
      </c>
      <c r="R1193">
        <v>9</v>
      </c>
      <c r="U11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3" s="29"/>
      <c r="AC1193" s="25"/>
      <c r="AD1193" s="41"/>
      <c r="AE1193" s="41"/>
      <c r="AF1193" s="11" t="s">
        <v>239</v>
      </c>
      <c r="AH1193" s="1" t="str">
        <f>Table1[[#This Row],[html_tag]]&amp;Table1[[#This Row],[html_type]]&amp;Table1[[#This Row],[html_modifier]]</f>
        <v/>
      </c>
      <c r="AL1193" s="22" t="str">
        <f>IFERROR(_xlfn.XLOOKUP(Table1[[#This Row],[word]],Table57[English style name],Table57[Style type]),"")</f>
        <v/>
      </c>
      <c r="AM1193" s="20"/>
      <c r="AN1193" s="11"/>
      <c r="AQ1193" s="6" t="s">
        <v>1670</v>
      </c>
      <c r="AR1193" t="s">
        <v>1661</v>
      </c>
    </row>
    <row r="1194" spans="6:44">
      <c r="F11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4" s="13" t="s">
        <v>2992</v>
      </c>
      <c r="H1194" s="13" t="s">
        <v>1</v>
      </c>
      <c r="I1194" s="12" t="str">
        <f>Table1[[#This Row],[type]]</f>
        <v>font</v>
      </c>
      <c r="J1194" s="62" t="str">
        <f>Table1[[#This Row],[Column42]]&amp;IF(Table1[[#This Row],[Column13]]="","",Table1[[#This Row],[Column13]])&amp;IF(Table1[[#This Row],[mod]]="","",Table1[[#This Row],[mod]])</f>
        <v>font--900</v>
      </c>
      <c r="K11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4" t="s">
        <v>544</v>
      </c>
      <c r="P1194" s="14" t="s">
        <v>1685</v>
      </c>
      <c r="Q11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--900</v>
      </c>
      <c r="AA1194">
        <v>900</v>
      </c>
      <c r="AB1194" s="29"/>
      <c r="AC1194" s="25" t="s">
        <v>3755</v>
      </c>
      <c r="AD1194" s="41"/>
      <c r="AE1194" s="41"/>
      <c r="AF1194" s="11" t="s">
        <v>239</v>
      </c>
      <c r="AH1194" s="1" t="str">
        <f>Table1[[#This Row],[html_tag]]&amp;Table1[[#This Row],[html_type]]&amp;Table1[[#This Row],[html_modifier]]</f>
        <v>-</v>
      </c>
      <c r="AI1194" t="s">
        <v>3080</v>
      </c>
      <c r="AL1194" s="22" t="str">
        <f>IFERROR(_xlfn.XLOOKUP(Table1[[#This Row],[word]],Table57[English style name],Table57[Style type]),"")</f>
        <v/>
      </c>
      <c r="AM1194" s="20"/>
      <c r="AN1194" s="11"/>
      <c r="AQ1194" s="14" t="s">
        <v>1685</v>
      </c>
      <c r="AR1194" t="s">
        <v>1676</v>
      </c>
    </row>
    <row r="1195" spans="6:44">
      <c r="F11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5" s="13" t="s">
        <v>2992</v>
      </c>
      <c r="H1195" s="13" t="s">
        <v>1</v>
      </c>
      <c r="I1195" s="12" t="str">
        <f>Table1[[#This Row],[type]]</f>
        <v>font</v>
      </c>
      <c r="J1195" s="62" t="str">
        <f>Table1[[#This Row],[Column42]]&amp;IF(Table1[[#This Row],[Column13]]="","",Table1[[#This Row],[Column13]])&amp;IF(Table1[[#This Row],[mod]]="","",Table1[[#This Row],[mod]])</f>
        <v>font--base</v>
      </c>
      <c r="K11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5" t="s">
        <v>544</v>
      </c>
      <c r="P1195" s="6" t="s">
        <v>1626</v>
      </c>
      <c r="Q11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195" t="s">
        <v>338</v>
      </c>
      <c r="AB1195" s="29"/>
      <c r="AC1195" s="25"/>
      <c r="AD1195" s="41"/>
      <c r="AE1195" s="41"/>
      <c r="AF1195" s="11" t="s">
        <v>239</v>
      </c>
      <c r="AH1195" s="1" t="str">
        <f>Table1[[#This Row],[html_tag]]&amp;Table1[[#This Row],[html_type]]&amp;Table1[[#This Row],[html_modifier]]</f>
        <v/>
      </c>
      <c r="AL1195" s="22" t="str">
        <f>IFERROR(_xlfn.XLOOKUP(Table1[[#This Row],[word]],Table57[English style name],Table57[Style type]),"")</f>
        <v/>
      </c>
      <c r="AM1195" s="20"/>
      <c r="AN1195" s="11"/>
      <c r="AQ1195" s="6" t="s">
        <v>1626</v>
      </c>
      <c r="AR1195" t="s">
        <v>1627</v>
      </c>
    </row>
    <row r="1196" spans="6:44">
      <c r="F11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6" s="13" t="s">
        <v>2992</v>
      </c>
      <c r="H1196" s="13" t="s">
        <v>1</v>
      </c>
      <c r="I1196" s="12" t="str">
        <f>Table1[[#This Row],[type]]</f>
        <v>font</v>
      </c>
      <c r="J1196" s="62" t="str">
        <f>Table1[[#This Row],[Column42]]&amp;IF(Table1[[#This Row],[Column13]]="","",Table1[[#This Row],[Column13]])&amp;IF(Table1[[#This Row],[mod]]="","",Table1[[#This Row],[mod]])</f>
        <v>font--default</v>
      </c>
      <c r="K11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6" t="s">
        <v>544</v>
      </c>
      <c r="Q11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1196" t="s">
        <v>3004</v>
      </c>
      <c r="AB1196" s="29"/>
      <c r="AC1196" s="25"/>
      <c r="AD1196" s="41"/>
      <c r="AE1196" s="41"/>
      <c r="AF1196" s="11" t="s">
        <v>239</v>
      </c>
      <c r="AH1196" s="1" t="str">
        <f>Table1[[#This Row],[html_tag]]&amp;Table1[[#This Row],[html_type]]&amp;Table1[[#This Row],[html_modifier]]</f>
        <v/>
      </c>
      <c r="AL1196" s="22" t="str">
        <f>IFERROR(_xlfn.XLOOKUP(Table1[[#This Row],[word]],Table57[English style name],Table57[Style type]),"")</f>
        <v/>
      </c>
      <c r="AM1196" s="20"/>
      <c r="AN1196" s="11"/>
      <c r="AQ1196" s="6" t="s">
        <v>1628</v>
      </c>
      <c r="AR1196" t="s">
        <v>1627</v>
      </c>
    </row>
    <row r="1197" spans="6:44">
      <c r="F11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7" s="13" t="s">
        <v>2992</v>
      </c>
      <c r="H1197" s="13" t="s">
        <v>1</v>
      </c>
      <c r="I1197" s="12" t="str">
        <f>Table1[[#This Row],[type]]</f>
        <v>font</v>
      </c>
      <c r="J1197" s="62" t="str">
        <f>Table1[[#This Row],[Column42]]&amp;IF(Table1[[#This Row],[Column13]]="","",Table1[[#This Row],[Column13]])&amp;IF(Table1[[#This Row],[mod]]="","",Table1[[#This Row],[mod]])</f>
        <v>font--letter--spacing</v>
      </c>
      <c r="K11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7" t="s">
        <v>544</v>
      </c>
      <c r="P1197" s="6" t="s">
        <v>1633</v>
      </c>
      <c r="Q11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97" t="s">
        <v>3005</v>
      </c>
      <c r="S1197" t="s">
        <v>3006</v>
      </c>
      <c r="U11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7" s="29"/>
      <c r="AC1197" s="25"/>
      <c r="AD1197" s="41"/>
      <c r="AE1197" s="41"/>
      <c r="AF1197" s="11"/>
      <c r="AH1197" s="1" t="str">
        <f>Table1[[#This Row],[html_tag]]&amp;Table1[[#This Row],[html_type]]&amp;Table1[[#This Row],[html_modifier]]</f>
        <v/>
      </c>
      <c r="AL1197" s="22" t="str">
        <f>IFERROR(_xlfn.XLOOKUP(Table1[[#This Row],[word]],Table57[English style name],Table57[Style type]),"")</f>
        <v/>
      </c>
      <c r="AM1197" s="20"/>
      <c r="AN1197" s="11"/>
      <c r="AQ1197" s="6" t="s">
        <v>1633</v>
      </c>
      <c r="AR1197" t="s">
        <v>1634</v>
      </c>
    </row>
    <row r="1198" spans="6:44">
      <c r="F11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8" s="13" t="s">
        <v>2992</v>
      </c>
      <c r="H1198" s="13" t="s">
        <v>1</v>
      </c>
      <c r="I1198" s="12" t="str">
        <f>Table1[[#This Row],[type]]</f>
        <v>font</v>
      </c>
      <c r="J1198" s="62" t="str">
        <f>Table1[[#This Row],[Column42]]&amp;IF(Table1[[#This Row],[Column13]]="","",Table1[[#This Row],[Column13]])&amp;IF(Table1[[#This Row],[mod]]="","",Table1[[#This Row],[mod]])</f>
        <v>font--letter--spacing</v>
      </c>
      <c r="K11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8" t="s">
        <v>544</v>
      </c>
      <c r="P1198" s="6" t="s">
        <v>1635</v>
      </c>
      <c r="Q11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98" t="s">
        <v>3005</v>
      </c>
      <c r="S1198" t="s">
        <v>3006</v>
      </c>
      <c r="U11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8" s="29"/>
      <c r="AC1198" s="25"/>
      <c r="AD1198" s="41"/>
      <c r="AE1198" s="41"/>
      <c r="AF1198" s="11"/>
      <c r="AH1198" s="1" t="str">
        <f>Table1[[#This Row],[html_tag]]&amp;Table1[[#This Row],[html_type]]&amp;Table1[[#This Row],[html_modifier]]</f>
        <v/>
      </c>
      <c r="AL1198" s="22" t="str">
        <f>IFERROR(_xlfn.XLOOKUP(Table1[[#This Row],[word]],Table57[English style name],Table57[Style type]),"")</f>
        <v/>
      </c>
      <c r="AM1198" s="20"/>
      <c r="AN1198" s="11"/>
      <c r="AQ1198" s="6" t="s">
        <v>1635</v>
      </c>
      <c r="AR1198" t="s">
        <v>1634</v>
      </c>
    </row>
    <row r="1199" spans="6:44">
      <c r="F11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9" s="13" t="s">
        <v>2992</v>
      </c>
      <c r="H1199" s="13" t="s">
        <v>1</v>
      </c>
      <c r="I1199" s="12" t="str">
        <f>Table1[[#This Row],[type]]</f>
        <v>font</v>
      </c>
      <c r="J1199" s="62" t="str">
        <f>Table1[[#This Row],[Column42]]&amp;IF(Table1[[#This Row],[Column13]]="","",Table1[[#This Row],[Column13]])&amp;IF(Table1[[#This Row],[mod]]="","",Table1[[#This Row],[mod]])</f>
        <v>font--letter--spacing</v>
      </c>
      <c r="K11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9" t="s">
        <v>544</v>
      </c>
      <c r="P1199" s="6" t="s">
        <v>1636</v>
      </c>
      <c r="Q11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99" t="s">
        <v>3005</v>
      </c>
      <c r="S1199" t="s">
        <v>3006</v>
      </c>
      <c r="U11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9" s="29"/>
      <c r="AC1199" s="25"/>
      <c r="AD1199" s="41"/>
      <c r="AE1199" s="41"/>
      <c r="AF1199" s="11"/>
      <c r="AH1199" s="1" t="str">
        <f>Table1[[#This Row],[html_tag]]&amp;Table1[[#This Row],[html_type]]&amp;Table1[[#This Row],[html_modifier]]</f>
        <v/>
      </c>
      <c r="AL1199" s="22" t="str">
        <f>IFERROR(_xlfn.XLOOKUP(Table1[[#This Row],[word]],Table57[English style name],Table57[Style type]),"")</f>
        <v/>
      </c>
      <c r="AM1199" s="20"/>
      <c r="AN1199" s="11"/>
      <c r="AQ1199" s="6" t="s">
        <v>1636</v>
      </c>
      <c r="AR1199" t="s">
        <v>1634</v>
      </c>
    </row>
    <row r="1200" spans="6:44">
      <c r="F12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0" s="13" t="s">
        <v>2992</v>
      </c>
      <c r="H1200" s="13" t="s">
        <v>1</v>
      </c>
      <c r="I1200" s="12" t="str">
        <f>Table1[[#This Row],[type]]</f>
        <v>font</v>
      </c>
      <c r="J1200" s="62" t="str">
        <f>Table1[[#This Row],[Column42]]&amp;IF(Table1[[#This Row],[Column13]]="","",Table1[[#This Row],[Column13]])&amp;IF(Table1[[#This Row],[mod]]="","",Table1[[#This Row],[mod]])</f>
        <v>font--letter--spacing</v>
      </c>
      <c r="K12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0" t="s">
        <v>544</v>
      </c>
      <c r="P1200" s="6" t="s">
        <v>1637</v>
      </c>
      <c r="Q12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0" t="s">
        <v>3005</v>
      </c>
      <c r="S1200" t="s">
        <v>3006</v>
      </c>
      <c r="U12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0" s="29"/>
      <c r="AC1200" s="25"/>
      <c r="AD1200" s="41"/>
      <c r="AE1200" s="41"/>
      <c r="AF1200" s="11"/>
      <c r="AH1200" s="1" t="str">
        <f>Table1[[#This Row],[html_tag]]&amp;Table1[[#This Row],[html_type]]&amp;Table1[[#This Row],[html_modifier]]</f>
        <v/>
      </c>
      <c r="AL1200" s="22" t="str">
        <f>IFERROR(_xlfn.XLOOKUP(Table1[[#This Row],[word]],Table57[English style name],Table57[Style type]),"")</f>
        <v/>
      </c>
      <c r="AM1200" s="20"/>
      <c r="AN1200" s="11"/>
      <c r="AQ1200" s="6" t="s">
        <v>1637</v>
      </c>
      <c r="AR1200" t="s">
        <v>1634</v>
      </c>
    </row>
    <row r="1201" spans="6:44">
      <c r="F12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1" s="13" t="s">
        <v>2992</v>
      </c>
      <c r="H1201" s="13" t="s">
        <v>1</v>
      </c>
      <c r="I1201" s="12" t="str">
        <f>Table1[[#This Row],[type]]</f>
        <v>font</v>
      </c>
      <c r="J1201" s="62" t="str">
        <f>Table1[[#This Row],[Column42]]&amp;IF(Table1[[#This Row],[Column13]]="","",Table1[[#This Row],[Column13]])&amp;IF(Table1[[#This Row],[mod]]="","",Table1[[#This Row],[mod]])</f>
        <v>font--letter--spacing</v>
      </c>
      <c r="K12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1" t="s">
        <v>544</v>
      </c>
      <c r="P1201" s="6" t="s">
        <v>1638</v>
      </c>
      <c r="Q12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1" t="s">
        <v>3005</v>
      </c>
      <c r="S1201" t="s">
        <v>3006</v>
      </c>
      <c r="U12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1" s="29"/>
      <c r="AC1201" s="25"/>
      <c r="AD1201" s="41"/>
      <c r="AE1201" s="41"/>
      <c r="AF1201" s="11"/>
      <c r="AH1201" s="1" t="str">
        <f>Table1[[#This Row],[html_tag]]&amp;Table1[[#This Row],[html_type]]&amp;Table1[[#This Row],[html_modifier]]</f>
        <v/>
      </c>
      <c r="AL1201" s="22" t="str">
        <f>IFERROR(_xlfn.XLOOKUP(Table1[[#This Row],[word]],Table57[English style name],Table57[Style type]),"")</f>
        <v/>
      </c>
      <c r="AM1201" s="20"/>
      <c r="AN1201" s="11"/>
      <c r="AQ1201" s="6" t="s">
        <v>1638</v>
      </c>
      <c r="AR1201" t="s">
        <v>1634</v>
      </c>
    </row>
    <row r="1202" spans="6:44">
      <c r="F12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2" s="13" t="s">
        <v>2992</v>
      </c>
      <c r="H1202" s="13" t="s">
        <v>1</v>
      </c>
      <c r="I1202" s="12" t="str">
        <f>Table1[[#This Row],[type]]</f>
        <v>font</v>
      </c>
      <c r="J1202" s="62" t="str">
        <f>Table1[[#This Row],[Column42]]&amp;IF(Table1[[#This Row],[Column13]]="","",Table1[[#This Row],[Column13]])&amp;IF(Table1[[#This Row],[mod]]="","",Table1[[#This Row],[mod]])</f>
        <v>font--letter--spacing</v>
      </c>
      <c r="K12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2" t="s">
        <v>544</v>
      </c>
      <c r="P1202" s="6" t="s">
        <v>1639</v>
      </c>
      <c r="Q12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2" t="s">
        <v>3005</v>
      </c>
      <c r="S1202" t="s">
        <v>3006</v>
      </c>
      <c r="U12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2" s="29"/>
      <c r="AC1202" s="25"/>
      <c r="AD1202" s="41"/>
      <c r="AE1202" s="41"/>
      <c r="AF1202" s="11"/>
      <c r="AH1202" s="1" t="str">
        <f>Table1[[#This Row],[html_tag]]&amp;Table1[[#This Row],[html_type]]&amp;Table1[[#This Row],[html_modifier]]</f>
        <v/>
      </c>
      <c r="AL1202" s="22" t="str">
        <f>IFERROR(_xlfn.XLOOKUP(Table1[[#This Row],[word]],Table57[English style name],Table57[Style type]),"")</f>
        <v/>
      </c>
      <c r="AM1202" s="20"/>
      <c r="AN1202" s="11"/>
      <c r="AQ1202" s="6" t="s">
        <v>1639</v>
      </c>
      <c r="AR1202" t="s">
        <v>1634</v>
      </c>
    </row>
    <row r="1203" spans="6:44">
      <c r="F12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3" s="13" t="s">
        <v>2992</v>
      </c>
      <c r="H1203" s="13" t="s">
        <v>1</v>
      </c>
      <c r="I1203" s="12" t="str">
        <f>Table1[[#This Row],[type]]</f>
        <v>font</v>
      </c>
      <c r="J1203" s="62" t="str">
        <f>Table1[[#This Row],[Column42]]&amp;IF(Table1[[#This Row],[Column13]]="","",Table1[[#This Row],[Column13]])&amp;IF(Table1[[#This Row],[mod]]="","",Table1[[#This Row],[mod]])</f>
        <v>font--letter--spacing</v>
      </c>
      <c r="K12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3" t="s">
        <v>544</v>
      </c>
      <c r="P1203" s="6" t="s">
        <v>1640</v>
      </c>
      <c r="Q12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3" t="s">
        <v>3005</v>
      </c>
      <c r="S1203" t="s">
        <v>3006</v>
      </c>
      <c r="U12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3" s="29"/>
      <c r="AC1203" s="25"/>
      <c r="AD1203" s="41"/>
      <c r="AE1203" s="41"/>
      <c r="AF1203" s="11"/>
      <c r="AH1203" s="1" t="str">
        <f>Table1[[#This Row],[html_tag]]&amp;Table1[[#This Row],[html_type]]&amp;Table1[[#This Row],[html_modifier]]</f>
        <v/>
      </c>
      <c r="AL1203" s="22" t="str">
        <f>IFERROR(_xlfn.XLOOKUP(Table1[[#This Row],[word]],Table57[English style name],Table57[Style type]),"")</f>
        <v/>
      </c>
      <c r="AM1203" s="20"/>
      <c r="AN1203" s="11"/>
      <c r="AQ1203" s="6" t="s">
        <v>1640</v>
      </c>
      <c r="AR1203" t="s">
        <v>1634</v>
      </c>
    </row>
    <row r="1204" spans="6:44">
      <c r="F12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4" s="13" t="s">
        <v>2992</v>
      </c>
      <c r="H1204" s="13" t="s">
        <v>1</v>
      </c>
      <c r="I1204" s="12" t="str">
        <f>Table1[[#This Row],[type]]</f>
        <v>font</v>
      </c>
      <c r="J1204" s="62" t="str">
        <f>Table1[[#This Row],[Column42]]&amp;IF(Table1[[#This Row],[Column13]]="","",Table1[[#This Row],[Column13]])&amp;IF(Table1[[#This Row],[mod]]="","",Table1[[#This Row],[mod]])</f>
        <v>font--letter--spacing</v>
      </c>
      <c r="K12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4" t="s">
        <v>544</v>
      </c>
      <c r="P1204" s="6" t="s">
        <v>1641</v>
      </c>
      <c r="Q12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4" t="s">
        <v>3005</v>
      </c>
      <c r="S1204" t="s">
        <v>3006</v>
      </c>
      <c r="U12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4" s="29"/>
      <c r="AC1204" s="25"/>
      <c r="AD1204" s="41"/>
      <c r="AE1204" s="41"/>
      <c r="AF1204" s="11"/>
      <c r="AH1204" s="1" t="str">
        <f>Table1[[#This Row],[html_tag]]&amp;Table1[[#This Row],[html_type]]&amp;Table1[[#This Row],[html_modifier]]</f>
        <v/>
      </c>
      <c r="AL1204" s="22" t="str">
        <f>IFERROR(_xlfn.XLOOKUP(Table1[[#This Row],[word]],Table57[English style name],Table57[Style type]),"")</f>
        <v/>
      </c>
      <c r="AM1204" s="20"/>
      <c r="AN1204" s="11"/>
      <c r="AQ1204" s="6" t="s">
        <v>1641</v>
      </c>
      <c r="AR1204" t="s">
        <v>1634</v>
      </c>
    </row>
    <row r="1205" spans="6:44">
      <c r="F12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5" s="13" t="s">
        <v>2992</v>
      </c>
      <c r="H1205" s="13" t="s">
        <v>1</v>
      </c>
      <c r="I1205" s="12" t="str">
        <f>Table1[[#This Row],[type]]</f>
        <v>font</v>
      </c>
      <c r="J1205" s="62" t="str">
        <f>Table1[[#This Row],[Column42]]&amp;IF(Table1[[#This Row],[Column13]]="","",Table1[[#This Row],[Column13]])&amp;IF(Table1[[#This Row],[mod]]="","",Table1[[#This Row],[mod]])</f>
        <v>font--letter--spacing</v>
      </c>
      <c r="K12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5" t="s">
        <v>544</v>
      </c>
      <c r="P1205" s="6" t="s">
        <v>1642</v>
      </c>
      <c r="Q12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5" t="s">
        <v>3005</v>
      </c>
      <c r="S1205" t="s">
        <v>3006</v>
      </c>
      <c r="U12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5" s="29"/>
      <c r="AC1205" s="25"/>
      <c r="AD1205" s="41"/>
      <c r="AE1205" s="41"/>
      <c r="AF1205" s="11"/>
      <c r="AH1205" s="1" t="str">
        <f>Table1[[#This Row],[html_tag]]&amp;Table1[[#This Row],[html_type]]&amp;Table1[[#This Row],[html_modifier]]</f>
        <v/>
      </c>
      <c r="AL1205" s="22" t="str">
        <f>IFERROR(_xlfn.XLOOKUP(Table1[[#This Row],[word]],Table57[English style name],Table57[Style type]),"")</f>
        <v/>
      </c>
      <c r="AM1205" s="20"/>
      <c r="AN1205" s="11"/>
      <c r="AQ1205" s="6" t="s">
        <v>1642</v>
      </c>
      <c r="AR1205" t="s">
        <v>1634</v>
      </c>
    </row>
    <row r="1206" spans="6:44">
      <c r="F12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6" s="13" t="s">
        <v>2992</v>
      </c>
      <c r="H1206" s="13" t="s">
        <v>1</v>
      </c>
      <c r="I1206" s="12" t="str">
        <f>Table1[[#This Row],[type]]</f>
        <v>font</v>
      </c>
      <c r="J1206" s="62" t="str">
        <f>Table1[[#This Row],[Column42]]&amp;IF(Table1[[#This Row],[Column13]]="","",Table1[[#This Row],[Column13]])&amp;IF(Table1[[#This Row],[mod]]="","",Table1[[#This Row],[mod]])</f>
        <v>font--letter--spacing</v>
      </c>
      <c r="K12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6" t="s">
        <v>544</v>
      </c>
      <c r="P1206" s="6" t="s">
        <v>1643</v>
      </c>
      <c r="Q12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6" t="s">
        <v>3005</v>
      </c>
      <c r="S1206" t="s">
        <v>3006</v>
      </c>
      <c r="U12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6" s="29"/>
      <c r="AC1206" s="25"/>
      <c r="AD1206" s="41"/>
      <c r="AE1206" s="41"/>
      <c r="AF1206" s="11"/>
      <c r="AH1206" s="1" t="str">
        <f>Table1[[#This Row],[html_tag]]&amp;Table1[[#This Row],[html_type]]&amp;Table1[[#This Row],[html_modifier]]</f>
        <v/>
      </c>
      <c r="AL1206" s="22" t="str">
        <f>IFERROR(_xlfn.XLOOKUP(Table1[[#This Row],[word]],Table57[English style name],Table57[Style type]),"")</f>
        <v/>
      </c>
      <c r="AM1206" s="20"/>
      <c r="AN1206" s="11"/>
      <c r="AQ1206" s="6" t="s">
        <v>1643</v>
      </c>
      <c r="AR1206" t="s">
        <v>1634</v>
      </c>
    </row>
    <row r="1207" spans="6:44">
      <c r="F12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7" s="13" t="s">
        <v>2992</v>
      </c>
      <c r="H1207" s="13" t="s">
        <v>1</v>
      </c>
      <c r="I1207" s="12" t="str">
        <f>Table1[[#This Row],[type]]</f>
        <v>font</v>
      </c>
      <c r="J1207" s="62" t="str">
        <f>Table1[[#This Row],[Column42]]&amp;IF(Table1[[#This Row],[Column13]]="","",Table1[[#This Row],[Column13]])&amp;IF(Table1[[#This Row],[mod]]="","",Table1[[#This Row],[mod]])</f>
        <v>font--letter--spacing</v>
      </c>
      <c r="K12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7" t="s">
        <v>544</v>
      </c>
      <c r="P1207" s="6" t="s">
        <v>1644</v>
      </c>
      <c r="Q12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7" t="s">
        <v>3005</v>
      </c>
      <c r="S1207" t="s">
        <v>3006</v>
      </c>
      <c r="U12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7" s="29"/>
      <c r="AC1207" s="25"/>
      <c r="AD1207" s="41"/>
      <c r="AE1207" s="41"/>
      <c r="AF1207" s="11"/>
      <c r="AH1207" s="1" t="str">
        <f>Table1[[#This Row],[html_tag]]&amp;Table1[[#This Row],[html_type]]&amp;Table1[[#This Row],[html_modifier]]</f>
        <v/>
      </c>
      <c r="AL1207" s="22" t="str">
        <f>IFERROR(_xlfn.XLOOKUP(Table1[[#This Row],[word]],Table57[English style name],Table57[Style type]),"")</f>
        <v/>
      </c>
      <c r="AM1207" s="20"/>
      <c r="AN1207" s="11"/>
      <c r="AQ1207" s="6" t="s">
        <v>1644</v>
      </c>
      <c r="AR1207" t="s">
        <v>1634</v>
      </c>
    </row>
    <row r="1208" spans="6:44">
      <c r="F12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8" s="13" t="s">
        <v>2992</v>
      </c>
      <c r="H1208" s="13" t="s">
        <v>1</v>
      </c>
      <c r="I1208" s="12" t="str">
        <f>Table1[[#This Row],[type]]</f>
        <v>font</v>
      </c>
      <c r="J1208" s="62" t="str">
        <f>Table1[[#This Row],[Column42]]&amp;IF(Table1[[#This Row],[Column13]]="","",Table1[[#This Row],[Column13]])&amp;IF(Table1[[#This Row],[mod]]="","",Table1[[#This Row],[mod]])</f>
        <v>font--letter--spacing</v>
      </c>
      <c r="K12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8" t="s">
        <v>544</v>
      </c>
      <c r="P1208" s="6" t="s">
        <v>1645</v>
      </c>
      <c r="Q12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8" t="s">
        <v>3005</v>
      </c>
      <c r="S1208" t="s">
        <v>3006</v>
      </c>
      <c r="U12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8" s="29"/>
      <c r="AC1208" s="25"/>
      <c r="AD1208" s="41"/>
      <c r="AE1208" s="41"/>
      <c r="AF1208" s="11"/>
      <c r="AH1208" s="1" t="str">
        <f>Table1[[#This Row],[html_tag]]&amp;Table1[[#This Row],[html_type]]&amp;Table1[[#This Row],[html_modifier]]</f>
        <v/>
      </c>
      <c r="AL1208" s="22" t="str">
        <f>IFERROR(_xlfn.XLOOKUP(Table1[[#This Row],[word]],Table57[English style name],Table57[Style type]),"")</f>
        <v/>
      </c>
      <c r="AM1208" s="20"/>
      <c r="AN1208" s="11"/>
      <c r="AQ1208" s="6" t="s">
        <v>1645</v>
      </c>
      <c r="AR1208" t="s">
        <v>1634</v>
      </c>
    </row>
    <row r="1209" spans="6:44">
      <c r="F12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9" s="13" t="s">
        <v>2992</v>
      </c>
      <c r="H1209" s="13" t="s">
        <v>1</v>
      </c>
      <c r="I1209" s="12" t="str">
        <f>Table1[[#This Row],[type]]</f>
        <v>font</v>
      </c>
      <c r="J1209" s="62" t="str">
        <f>Table1[[#This Row],[Column42]]&amp;IF(Table1[[#This Row],[Column13]]="","",Table1[[#This Row],[Column13]])&amp;IF(Table1[[#This Row],[mod]]="","",Table1[[#This Row],[mod]])</f>
        <v>font--letter--spacing</v>
      </c>
      <c r="K12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9" t="s">
        <v>544</v>
      </c>
      <c r="P1209" s="6" t="s">
        <v>1646</v>
      </c>
      <c r="Q12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9" t="s">
        <v>3005</v>
      </c>
      <c r="S1209" t="s">
        <v>3006</v>
      </c>
      <c r="U12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9" s="29"/>
      <c r="AC1209" s="25"/>
      <c r="AD1209" s="41"/>
      <c r="AE1209" s="41"/>
      <c r="AF1209" s="11"/>
      <c r="AH1209" s="1" t="str">
        <f>Table1[[#This Row],[html_tag]]&amp;Table1[[#This Row],[html_type]]&amp;Table1[[#This Row],[html_modifier]]</f>
        <v/>
      </c>
      <c r="AL1209" s="22" t="str">
        <f>IFERROR(_xlfn.XLOOKUP(Table1[[#This Row],[word]],Table57[English style name],Table57[Style type]),"")</f>
        <v/>
      </c>
      <c r="AM1209" s="20"/>
      <c r="AN1209" s="11"/>
      <c r="AQ1209" s="6" t="s">
        <v>1646</v>
      </c>
      <c r="AR1209" t="s">
        <v>1634</v>
      </c>
    </row>
    <row r="1210" spans="6:44">
      <c r="F12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0" s="13" t="s">
        <v>2992</v>
      </c>
      <c r="H1210" s="13" t="s">
        <v>1</v>
      </c>
      <c r="I1210" s="12" t="str">
        <f>Table1[[#This Row],[type]]</f>
        <v>font</v>
      </c>
      <c r="J1210" s="62" t="str">
        <f>Table1[[#This Row],[Column42]]&amp;IF(Table1[[#This Row],[Column13]]="","",Table1[[#This Row],[Column13]])&amp;IF(Table1[[#This Row],[mod]]="","",Table1[[#This Row],[mod]])</f>
        <v>font--letter--spacing</v>
      </c>
      <c r="K12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0" t="s">
        <v>544</v>
      </c>
      <c r="P1210" s="6" t="s">
        <v>1647</v>
      </c>
      <c r="Q12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0" t="s">
        <v>3005</v>
      </c>
      <c r="S1210" t="s">
        <v>3006</v>
      </c>
      <c r="U12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0" s="29"/>
      <c r="AC1210" s="25"/>
      <c r="AD1210" s="41"/>
      <c r="AE1210" s="41"/>
      <c r="AF1210" s="11"/>
      <c r="AH1210" s="1" t="str">
        <f>Table1[[#This Row],[html_tag]]&amp;Table1[[#This Row],[html_type]]&amp;Table1[[#This Row],[html_modifier]]</f>
        <v/>
      </c>
      <c r="AL1210" s="22" t="str">
        <f>IFERROR(_xlfn.XLOOKUP(Table1[[#This Row],[word]],Table57[English style name],Table57[Style type]),"")</f>
        <v/>
      </c>
      <c r="AM1210" s="20"/>
      <c r="AN1210" s="11"/>
      <c r="AQ1210" s="6" t="s">
        <v>1647</v>
      </c>
      <c r="AR1210" t="s">
        <v>1634</v>
      </c>
    </row>
    <row r="1211" spans="6:44">
      <c r="F12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1" s="13" t="s">
        <v>2992</v>
      </c>
      <c r="H1211" s="13" t="s">
        <v>1</v>
      </c>
      <c r="I1211" s="12" t="str">
        <f>Table1[[#This Row],[type]]</f>
        <v>font</v>
      </c>
      <c r="J1211" s="62" t="str">
        <f>Table1[[#This Row],[Column42]]&amp;IF(Table1[[#This Row],[Column13]]="","",Table1[[#This Row],[Column13]])&amp;IF(Table1[[#This Row],[mod]]="","",Table1[[#This Row],[mod]])</f>
        <v>font--letter--spacing</v>
      </c>
      <c r="K12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1" t="s">
        <v>544</v>
      </c>
      <c r="P1211" s="6" t="s">
        <v>1648</v>
      </c>
      <c r="Q12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1" t="s">
        <v>3005</v>
      </c>
      <c r="S1211" t="s">
        <v>3006</v>
      </c>
      <c r="U12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1" s="29"/>
      <c r="AC1211" s="25"/>
      <c r="AD1211" s="41"/>
      <c r="AE1211" s="41"/>
      <c r="AF1211" s="11"/>
      <c r="AH1211" s="1" t="str">
        <f>Table1[[#This Row],[html_tag]]&amp;Table1[[#This Row],[html_type]]&amp;Table1[[#This Row],[html_modifier]]</f>
        <v/>
      </c>
      <c r="AL1211" s="22" t="str">
        <f>IFERROR(_xlfn.XLOOKUP(Table1[[#This Row],[word]],Table57[English style name],Table57[Style type]),"")</f>
        <v/>
      </c>
      <c r="AM1211" s="20"/>
      <c r="AN1211" s="11"/>
      <c r="AQ1211" s="6" t="s">
        <v>1648</v>
      </c>
      <c r="AR1211" t="s">
        <v>1634</v>
      </c>
    </row>
    <row r="1212" spans="6:44">
      <c r="F12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2" s="13" t="s">
        <v>2992</v>
      </c>
      <c r="H1212" s="13" t="s">
        <v>1</v>
      </c>
      <c r="I1212" s="12" t="str">
        <f>Table1[[#This Row],[type]]</f>
        <v>font</v>
      </c>
      <c r="J1212" s="62" t="str">
        <f>Table1[[#This Row],[Column42]]&amp;IF(Table1[[#This Row],[Column13]]="","",Table1[[#This Row],[Column13]])&amp;IF(Table1[[#This Row],[mod]]="","",Table1[[#This Row],[mod]])</f>
        <v>font--letter--spacing</v>
      </c>
      <c r="K12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2" t="s">
        <v>544</v>
      </c>
      <c r="P1212" s="6" t="s">
        <v>1649</v>
      </c>
      <c r="Q12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2" t="s">
        <v>3005</v>
      </c>
      <c r="S1212" t="s">
        <v>3006</v>
      </c>
      <c r="U12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2" s="29"/>
      <c r="AC1212" s="25"/>
      <c r="AD1212" s="41"/>
      <c r="AE1212" s="41"/>
      <c r="AF1212" s="11"/>
      <c r="AH1212" s="1" t="str">
        <f>Table1[[#This Row],[html_tag]]&amp;Table1[[#This Row],[html_type]]&amp;Table1[[#This Row],[html_modifier]]</f>
        <v/>
      </c>
      <c r="AL1212" s="22" t="str">
        <f>IFERROR(_xlfn.XLOOKUP(Table1[[#This Row],[word]],Table57[English style name],Table57[Style type]),"")</f>
        <v/>
      </c>
      <c r="AM1212" s="20"/>
      <c r="AN1212" s="11"/>
      <c r="AQ1212" s="6" t="s">
        <v>1649</v>
      </c>
      <c r="AR1212" t="s">
        <v>1634</v>
      </c>
    </row>
    <row r="1213" spans="6:44">
      <c r="F12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3" s="13" t="s">
        <v>2992</v>
      </c>
      <c r="H1213" s="13" t="s">
        <v>1</v>
      </c>
      <c r="I1213" s="12" t="str">
        <f>Table1[[#This Row],[type]]</f>
        <v>font</v>
      </c>
      <c r="J1213" s="62" t="str">
        <f>Table1[[#This Row],[Column42]]&amp;IF(Table1[[#This Row],[Column13]]="","",Table1[[#This Row],[Column13]])&amp;IF(Table1[[#This Row],[mod]]="","",Table1[[#This Row],[mod]])</f>
        <v>font--letter--spacing</v>
      </c>
      <c r="K12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3" t="s">
        <v>544</v>
      </c>
      <c r="P1213" s="6" t="s">
        <v>1650</v>
      </c>
      <c r="Q12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3" t="s">
        <v>3005</v>
      </c>
      <c r="S1213" t="s">
        <v>3006</v>
      </c>
      <c r="U12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3" s="29"/>
      <c r="AC1213" s="25"/>
      <c r="AD1213" s="41"/>
      <c r="AE1213" s="41"/>
      <c r="AF1213" s="11"/>
      <c r="AH1213" s="1" t="str">
        <f>Table1[[#This Row],[html_tag]]&amp;Table1[[#This Row],[html_type]]&amp;Table1[[#This Row],[html_modifier]]</f>
        <v/>
      </c>
      <c r="AL1213" s="22" t="str">
        <f>IFERROR(_xlfn.XLOOKUP(Table1[[#This Row],[word]],Table57[English style name],Table57[Style type]),"")</f>
        <v/>
      </c>
      <c r="AM1213" s="20"/>
      <c r="AN1213" s="11"/>
      <c r="AQ1213" s="6" t="s">
        <v>1650</v>
      </c>
      <c r="AR1213" t="s">
        <v>1634</v>
      </c>
    </row>
    <row r="1214" spans="6:44">
      <c r="F12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4" s="13" t="s">
        <v>2992</v>
      </c>
      <c r="H1214" s="13" t="s">
        <v>1</v>
      </c>
      <c r="I1214" s="12" t="str">
        <f>Table1[[#This Row],[type]]</f>
        <v>font</v>
      </c>
      <c r="J1214" s="62" t="str">
        <f>Table1[[#This Row],[Column42]]&amp;IF(Table1[[#This Row],[Column13]]="","",Table1[[#This Row],[Column13]])&amp;IF(Table1[[#This Row],[mod]]="","",Table1[[#This Row],[mod]])</f>
        <v>font--letter--spacing</v>
      </c>
      <c r="K12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4" t="s">
        <v>544</v>
      </c>
      <c r="P1214" s="6" t="s">
        <v>1651</v>
      </c>
      <c r="Q12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4" t="s">
        <v>3005</v>
      </c>
      <c r="S1214" t="s">
        <v>3006</v>
      </c>
      <c r="U12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4" s="29"/>
      <c r="AC1214" s="25"/>
      <c r="AD1214" s="41"/>
      <c r="AE1214" s="41"/>
      <c r="AF1214" s="11"/>
      <c r="AH1214" s="1" t="str">
        <f>Table1[[#This Row],[html_tag]]&amp;Table1[[#This Row],[html_type]]&amp;Table1[[#This Row],[html_modifier]]</f>
        <v/>
      </c>
      <c r="AL1214" s="22" t="str">
        <f>IFERROR(_xlfn.XLOOKUP(Table1[[#This Row],[word]],Table57[English style name],Table57[Style type]),"")</f>
        <v/>
      </c>
      <c r="AM1214" s="20"/>
      <c r="AN1214" s="11"/>
      <c r="AQ1214" s="6" t="s">
        <v>1651</v>
      </c>
      <c r="AR1214" t="s">
        <v>1634</v>
      </c>
    </row>
    <row r="1215" spans="6:44">
      <c r="F12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5" s="13" t="s">
        <v>2992</v>
      </c>
      <c r="H1215" s="13" t="s">
        <v>1</v>
      </c>
      <c r="I1215" s="12" t="str">
        <f>Table1[[#This Row],[type]]</f>
        <v>font</v>
      </c>
      <c r="J1215" s="62" t="str">
        <f>Table1[[#This Row],[Column42]]&amp;IF(Table1[[#This Row],[Column13]]="","",Table1[[#This Row],[Column13]])&amp;IF(Table1[[#This Row],[mod]]="","",Table1[[#This Row],[mod]])</f>
        <v>font--letter--spacing</v>
      </c>
      <c r="K12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5" t="s">
        <v>544</v>
      </c>
      <c r="P1215" s="6" t="s">
        <v>1652</v>
      </c>
      <c r="Q12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5" t="s">
        <v>3005</v>
      </c>
      <c r="S1215" t="s">
        <v>3006</v>
      </c>
      <c r="U12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5" s="29"/>
      <c r="AC1215" s="25"/>
      <c r="AD1215" s="41"/>
      <c r="AE1215" s="41"/>
      <c r="AF1215" s="11"/>
      <c r="AH1215" s="1" t="str">
        <f>Table1[[#This Row],[html_tag]]&amp;Table1[[#This Row],[html_type]]&amp;Table1[[#This Row],[html_modifier]]</f>
        <v/>
      </c>
      <c r="AL1215" s="22" t="str">
        <f>IFERROR(_xlfn.XLOOKUP(Table1[[#This Row],[word]],Table57[English style name],Table57[Style type]),"")</f>
        <v/>
      </c>
      <c r="AM1215" s="20"/>
      <c r="AN1215" s="11"/>
      <c r="AQ1215" s="6" t="s">
        <v>1652</v>
      </c>
      <c r="AR1215" t="s">
        <v>1634</v>
      </c>
    </row>
    <row r="1216" spans="6:44">
      <c r="F12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6" s="13" t="s">
        <v>2992</v>
      </c>
      <c r="H1216" s="13" t="s">
        <v>1</v>
      </c>
      <c r="I1216" s="12" t="str">
        <f>Table1[[#This Row],[type]]</f>
        <v>font</v>
      </c>
      <c r="J1216" s="62" t="str">
        <f>Table1[[#This Row],[Column42]]&amp;IF(Table1[[#This Row],[Column13]]="","",Table1[[#This Row],[Column13]])&amp;IF(Table1[[#This Row],[mod]]="","",Table1[[#This Row],[mod]])</f>
        <v>font--letter--spacing</v>
      </c>
      <c r="K12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6" t="s">
        <v>544</v>
      </c>
      <c r="P1216" s="6" t="s">
        <v>1653</v>
      </c>
      <c r="Q12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6" t="s">
        <v>3005</v>
      </c>
      <c r="S1216" t="s">
        <v>3006</v>
      </c>
      <c r="U12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6" s="29"/>
      <c r="AC1216" s="25"/>
      <c r="AD1216" s="41"/>
      <c r="AE1216" s="41"/>
      <c r="AF1216" s="11"/>
      <c r="AH1216" s="1" t="str">
        <f>Table1[[#This Row],[html_tag]]&amp;Table1[[#This Row],[html_type]]&amp;Table1[[#This Row],[html_modifier]]</f>
        <v/>
      </c>
      <c r="AL1216" s="22" t="str">
        <f>IFERROR(_xlfn.XLOOKUP(Table1[[#This Row],[word]],Table57[English style name],Table57[Style type]),"")</f>
        <v/>
      </c>
      <c r="AM1216" s="20"/>
      <c r="AN1216" s="11"/>
      <c r="AQ1216" s="6" t="s">
        <v>1653</v>
      </c>
      <c r="AR1216" t="s">
        <v>1634</v>
      </c>
    </row>
    <row r="1217" spans="6:44">
      <c r="F12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7" s="13" t="s">
        <v>2992</v>
      </c>
      <c r="H1217" s="13" t="s">
        <v>1</v>
      </c>
      <c r="I1217" s="12" t="str">
        <f>Table1[[#This Row],[type]]</f>
        <v>font</v>
      </c>
      <c r="J1217" s="62" t="str">
        <f>Table1[[#This Row],[Column42]]&amp;IF(Table1[[#This Row],[Column13]]="","",Table1[[#This Row],[Column13]])&amp;IF(Table1[[#This Row],[mod]]="","",Table1[[#This Row],[mod]])</f>
        <v>font--letter--spacing</v>
      </c>
      <c r="K12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7" t="s">
        <v>544</v>
      </c>
      <c r="P1217" s="6" t="s">
        <v>1654</v>
      </c>
      <c r="Q12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7" t="s">
        <v>3005</v>
      </c>
      <c r="S1217" t="s">
        <v>3006</v>
      </c>
      <c r="U12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7" s="29"/>
      <c r="AC1217" s="25"/>
      <c r="AD1217" s="41"/>
      <c r="AE1217" s="41"/>
      <c r="AF1217" s="11"/>
      <c r="AH1217" s="1" t="str">
        <f>Table1[[#This Row],[html_tag]]&amp;Table1[[#This Row],[html_type]]&amp;Table1[[#This Row],[html_modifier]]</f>
        <v/>
      </c>
      <c r="AL1217" s="22" t="str">
        <f>IFERROR(_xlfn.XLOOKUP(Table1[[#This Row],[word]],Table57[English style name],Table57[Style type]),"")</f>
        <v/>
      </c>
      <c r="AM1217" s="20"/>
      <c r="AN1217" s="11"/>
      <c r="AQ1217" s="6" t="s">
        <v>1654</v>
      </c>
      <c r="AR1217" t="s">
        <v>1634</v>
      </c>
    </row>
    <row r="1218" spans="6:44">
      <c r="F12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8" s="13" t="s">
        <v>2992</v>
      </c>
      <c r="H1218" s="13" t="s">
        <v>1</v>
      </c>
      <c r="I1218" s="12" t="str">
        <f>Table1[[#This Row],[type]]</f>
        <v>font</v>
      </c>
      <c r="J1218" s="62" t="str">
        <f>Table1[[#This Row],[Column42]]&amp;IF(Table1[[#This Row],[Column13]]="","",Table1[[#This Row],[Column13]])&amp;IF(Table1[[#This Row],[mod]]="","",Table1[[#This Row],[mod]])</f>
        <v>font--letter--spacing</v>
      </c>
      <c r="K12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8" t="s">
        <v>544</v>
      </c>
      <c r="P1218" s="6" t="s">
        <v>1655</v>
      </c>
      <c r="Q12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8" t="s">
        <v>3005</v>
      </c>
      <c r="S1218" t="s">
        <v>3006</v>
      </c>
      <c r="U12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8" s="29"/>
      <c r="AC1218" s="25"/>
      <c r="AD1218" s="41"/>
      <c r="AE1218" s="41"/>
      <c r="AF1218" s="11"/>
      <c r="AH1218" s="1" t="str">
        <f>Table1[[#This Row],[html_tag]]&amp;Table1[[#This Row],[html_type]]&amp;Table1[[#This Row],[html_modifier]]</f>
        <v/>
      </c>
      <c r="AL1218" s="22" t="str">
        <f>IFERROR(_xlfn.XLOOKUP(Table1[[#This Row],[word]],Table57[English style name],Table57[Style type]),"")</f>
        <v/>
      </c>
      <c r="AM1218" s="20"/>
      <c r="AN1218" s="11"/>
      <c r="AQ1218" s="6" t="s">
        <v>1655</v>
      </c>
      <c r="AR1218" t="s">
        <v>1634</v>
      </c>
    </row>
    <row r="1219" spans="6:44">
      <c r="F12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9" s="13" t="s">
        <v>2992</v>
      </c>
      <c r="H1219" s="13" t="s">
        <v>1</v>
      </c>
      <c r="I1219" s="12" t="str">
        <f>Table1[[#This Row],[type]]</f>
        <v>font</v>
      </c>
      <c r="J1219" s="62" t="str">
        <f>Table1[[#This Row],[Column42]]&amp;IF(Table1[[#This Row],[Column13]]="","",Table1[[#This Row],[Column13]])&amp;IF(Table1[[#This Row],[mod]]="","",Table1[[#This Row],[mod]])</f>
        <v>font--letter--spacing</v>
      </c>
      <c r="K12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9" t="s">
        <v>544</v>
      </c>
      <c r="P1219" s="6" t="s">
        <v>1656</v>
      </c>
      <c r="Q12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9" t="s">
        <v>3005</v>
      </c>
      <c r="S1219" t="s">
        <v>3006</v>
      </c>
      <c r="U12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9" s="29"/>
      <c r="AC1219" s="25"/>
      <c r="AD1219" s="41"/>
      <c r="AE1219" s="41"/>
      <c r="AF1219" s="11"/>
      <c r="AH1219" s="1" t="str">
        <f>Table1[[#This Row],[html_tag]]&amp;Table1[[#This Row],[html_type]]&amp;Table1[[#This Row],[html_modifier]]</f>
        <v/>
      </c>
      <c r="AL1219" s="22" t="str">
        <f>IFERROR(_xlfn.XLOOKUP(Table1[[#This Row],[word]],Table57[English style name],Table57[Style type]),"")</f>
        <v/>
      </c>
      <c r="AM1219" s="20"/>
      <c r="AN1219" s="11"/>
      <c r="AQ1219" s="6" t="s">
        <v>1656</v>
      </c>
      <c r="AR1219" t="s">
        <v>1634</v>
      </c>
    </row>
    <row r="1220" spans="6:44">
      <c r="F12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20" s="13" t="s">
        <v>2992</v>
      </c>
      <c r="H1220" s="13" t="s">
        <v>1</v>
      </c>
      <c r="I1220" s="12" t="str">
        <f>Table1[[#This Row],[type]]</f>
        <v>font</v>
      </c>
      <c r="J1220" s="62" t="str">
        <f>Table1[[#This Row],[Column42]]&amp;IF(Table1[[#This Row],[Column13]]="","",Table1[[#This Row],[Column13]])&amp;IF(Table1[[#This Row],[mod]]="","",Table1[[#This Row],[mod]])</f>
        <v>font--letter--spacing</v>
      </c>
      <c r="K12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20" t="s">
        <v>544</v>
      </c>
      <c r="P1220" s="6" t="s">
        <v>1657</v>
      </c>
      <c r="Q12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20" t="s">
        <v>3005</v>
      </c>
      <c r="S1220" t="s">
        <v>3006</v>
      </c>
      <c r="U12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0" s="29"/>
      <c r="AC1220" s="25"/>
      <c r="AD1220" s="41"/>
      <c r="AE1220" s="41"/>
      <c r="AF1220" s="11"/>
      <c r="AH1220" s="1" t="str">
        <f>Table1[[#This Row],[html_tag]]&amp;Table1[[#This Row],[html_type]]&amp;Table1[[#This Row],[html_modifier]]</f>
        <v/>
      </c>
      <c r="AL1220" s="22" t="str">
        <f>IFERROR(_xlfn.XLOOKUP(Table1[[#This Row],[word]],Table57[English style name],Table57[Style type]),"")</f>
        <v/>
      </c>
      <c r="AM1220" s="20"/>
      <c r="AN1220" s="11"/>
      <c r="AQ1220" s="6" t="s">
        <v>1657</v>
      </c>
      <c r="AR1220" t="s">
        <v>1634</v>
      </c>
    </row>
    <row r="1221" spans="6:44">
      <c r="F12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21" s="13" t="s">
        <v>2992</v>
      </c>
      <c r="H1221" s="13" t="s">
        <v>1</v>
      </c>
      <c r="I1221" s="12" t="str">
        <f>Table1[[#This Row],[type]]</f>
        <v>font</v>
      </c>
      <c r="J1221" s="62" t="str">
        <f>Table1[[#This Row],[Column42]]&amp;IF(Table1[[#This Row],[Column13]]="","",Table1[[#This Row],[Column13]])&amp;IF(Table1[[#This Row],[mod]]="","",Table1[[#This Row],[mod]])</f>
        <v>font--letter--spacing</v>
      </c>
      <c r="K12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21" t="s">
        <v>544</v>
      </c>
      <c r="P1221" s="6" t="s">
        <v>1658</v>
      </c>
      <c r="Q12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21" t="s">
        <v>3005</v>
      </c>
      <c r="S1221" t="s">
        <v>3006</v>
      </c>
      <c r="U12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1" s="29"/>
      <c r="AC1221" s="25"/>
      <c r="AD1221" s="41"/>
      <c r="AE1221" s="41"/>
      <c r="AF1221" s="11"/>
      <c r="AH1221" s="1" t="str">
        <f>Table1[[#This Row],[html_tag]]&amp;Table1[[#This Row],[html_type]]&amp;Table1[[#This Row],[html_modifier]]</f>
        <v/>
      </c>
      <c r="AL1221" s="22" t="str">
        <f>IFERROR(_xlfn.XLOOKUP(Table1[[#This Row],[word]],Table57[English style name],Table57[Style type]),"")</f>
        <v/>
      </c>
      <c r="AM1221" s="20"/>
      <c r="AN1221" s="11"/>
      <c r="AQ1221" s="6" t="s">
        <v>1658</v>
      </c>
      <c r="AR1221" t="s">
        <v>1634</v>
      </c>
    </row>
    <row r="1222" spans="6:44">
      <c r="F12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22" s="13" t="s">
        <v>2992</v>
      </c>
      <c r="H1222" s="13" t="s">
        <v>1</v>
      </c>
      <c r="I1222" s="12" t="str">
        <f>Table1[[#This Row],[type]]</f>
        <v>font</v>
      </c>
      <c r="J1222" s="62" t="str">
        <f>Table1[[#This Row],[Column42]]&amp;IF(Table1[[#This Row],[Column13]]="","",Table1[[#This Row],[Column13]])&amp;IF(Table1[[#This Row],[mod]]="","",Table1[[#This Row],[mod]])</f>
        <v>font--letter--spacing</v>
      </c>
      <c r="K12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22" t="s">
        <v>544</v>
      </c>
      <c r="P1222" s="6" t="s">
        <v>1659</v>
      </c>
      <c r="Q12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22" t="s">
        <v>3005</v>
      </c>
      <c r="S1222" t="s">
        <v>3006</v>
      </c>
      <c r="U12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2" s="29"/>
      <c r="AC1222" s="25"/>
      <c r="AD1222" s="41"/>
      <c r="AE1222" s="41"/>
      <c r="AF1222" s="11"/>
      <c r="AH1222" s="1" t="str">
        <f>Table1[[#This Row],[html_tag]]&amp;Table1[[#This Row],[html_type]]&amp;Table1[[#This Row],[html_modifier]]</f>
        <v/>
      </c>
      <c r="AL1222" s="22" t="str">
        <f>IFERROR(_xlfn.XLOOKUP(Table1[[#This Row],[word]],Table57[English style name],Table57[Style type]),"")</f>
        <v/>
      </c>
      <c r="AM1222" s="20"/>
      <c r="AN1222" s="11"/>
      <c r="AQ1222" s="6" t="s">
        <v>1659</v>
      </c>
      <c r="AR1222" t="s">
        <v>1634</v>
      </c>
    </row>
    <row r="1223" spans="6:44">
      <c r="F12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23" s="13" t="s">
        <v>2992</v>
      </c>
      <c r="H1223" s="13" t="s">
        <v>1</v>
      </c>
      <c r="I1223" s="12" t="str">
        <f>Table1[[#This Row],[type]]</f>
        <v>font</v>
      </c>
      <c r="J1223" s="62" t="str">
        <f>Table1[[#This Row],[Column42]]&amp;IF(Table1[[#This Row],[Column13]]="","",Table1[[#This Row],[Column13]])&amp;IF(Table1[[#This Row],[mod]]="","",Table1[[#This Row],[mod]])</f>
        <v>font--size</v>
      </c>
      <c r="K12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23" t="s">
        <v>544</v>
      </c>
      <c r="P1223" s="6" t="s">
        <v>1674</v>
      </c>
      <c r="Q12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R1223" t="s">
        <v>3008</v>
      </c>
      <c r="U12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3" s="29"/>
      <c r="AC1223" s="25"/>
      <c r="AD1223" s="41"/>
      <c r="AE1223" s="41"/>
      <c r="AF1223" s="11" t="s">
        <v>239</v>
      </c>
      <c r="AH1223" s="1" t="str">
        <f>Table1[[#This Row],[html_tag]]&amp;Table1[[#This Row],[html_type]]&amp;Table1[[#This Row],[html_modifier]]</f>
        <v/>
      </c>
      <c r="AL1223" s="22" t="str">
        <f>IFERROR(_xlfn.XLOOKUP(Table1[[#This Row],[word]],Table57[English style name],Table57[Style type]),"")</f>
        <v/>
      </c>
      <c r="AM1223" s="20"/>
      <c r="AN1223" s="11"/>
      <c r="AQ1223" s="6" t="s">
        <v>1674</v>
      </c>
      <c r="AR1223" t="s">
        <v>1661</v>
      </c>
    </row>
    <row r="1224" spans="6:44">
      <c r="F12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224" s="13" t="s">
        <v>461</v>
      </c>
      <c r="H1224" s="13" t="s">
        <v>2990</v>
      </c>
      <c r="I1224" s="12" t="str">
        <f>Table1[[#This Row],[type]]</f>
        <v>footer</v>
      </c>
      <c r="J1224" s="62" t="str">
        <f>Table1[[#This Row],[Column42]]&amp;IF(Table1[[#This Row],[Column13]]="","",Table1[[#This Row],[Column13]])&amp;IF(Table1[[#This Row],[mod]]="","",Table1[[#This Row],[mod]])</f>
        <v>footer</v>
      </c>
      <c r="K12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</v>
      </c>
      <c r="L1224" t="s">
        <v>451</v>
      </c>
      <c r="P1224" s="6"/>
      <c r="Q12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4" s="29"/>
      <c r="AC1224" s="25"/>
      <c r="AD1224" s="41"/>
      <c r="AE1224" s="41"/>
      <c r="AF1224" s="11" t="s">
        <v>181</v>
      </c>
      <c r="AH1224" s="1" t="str">
        <f>Table1[[#This Row],[html_tag]]&amp;Table1[[#This Row],[html_type]]&amp;Table1[[#This Row],[html_modifier]]</f>
        <v/>
      </c>
      <c r="AL1224" s="22" t="str">
        <f>IFERROR(_xlfn.XLOOKUP(Table1[[#This Row],[word]],Table57[English style name],Table57[Style type]),"")</f>
        <v/>
      </c>
      <c r="AM1224" s="20"/>
      <c r="AN1224" s="11"/>
      <c r="AQ1224" s="6" t="s">
        <v>1689</v>
      </c>
      <c r="AR1224" t="s">
        <v>1687</v>
      </c>
    </row>
    <row r="1225" spans="6:44">
      <c r="F12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225" s="13" t="s">
        <v>461</v>
      </c>
      <c r="H1225" s="13" t="s">
        <v>2990</v>
      </c>
      <c r="I1225" s="12" t="str">
        <f>Table1[[#This Row],[type]]</f>
        <v>footer</v>
      </c>
      <c r="J1225" s="62" t="str">
        <f>Table1[[#This Row],[Column42]]&amp;IF(Table1[[#This Row],[Column13]]="","",Table1[[#This Row],[Column13]])&amp;IF(Table1[[#This Row],[mod]]="","",Table1[[#This Row],[mod]])</f>
        <v>footer</v>
      </c>
      <c r="K12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</v>
      </c>
      <c r="L1225" t="s">
        <v>451</v>
      </c>
      <c r="P1225" s="6"/>
      <c r="Q12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5" s="29"/>
      <c r="AC1225" s="25"/>
      <c r="AD1225" s="41" t="s">
        <v>4009</v>
      </c>
      <c r="AE1225" s="41"/>
      <c r="AF1225" s="11" t="s">
        <v>181</v>
      </c>
      <c r="AH1225" s="1" t="str">
        <f>Table1[[#This Row],[html_tag]]&amp;Table1[[#This Row],[html_type]]&amp;Table1[[#This Row],[html_modifier]]</f>
        <v>&lt;footer&gt;</v>
      </c>
      <c r="AI1225" t="s">
        <v>181</v>
      </c>
      <c r="AL1225" s="22" t="str">
        <f>IFERROR(_xlfn.XLOOKUP(Table1[[#This Row],[word]],Table57[English style name],Table57[Style type]),"")</f>
        <v/>
      </c>
      <c r="AM1225" s="20"/>
      <c r="AN1225" s="11"/>
      <c r="AQ1225" s="6" t="s">
        <v>451</v>
      </c>
      <c r="AR1225" t="s">
        <v>1687</v>
      </c>
    </row>
    <row r="1226" spans="6:44">
      <c r="F12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226" s="13"/>
      <c r="H1226" s="13"/>
      <c r="I1226" s="12" t="str">
        <f>Table1[[#This Row],[type]]</f>
        <v>footer</v>
      </c>
      <c r="J1226" s="62" t="str">
        <f>Table1[[#This Row],[Column42]]&amp;IF(Table1[[#This Row],[Column13]]="","",Table1[[#This Row],[Column13]])&amp;IF(Table1[[#This Row],[mod]]="","",Table1[[#This Row],[mod]])</f>
        <v>footer__center</v>
      </c>
      <c r="K12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footer__center</v>
      </c>
      <c r="L1226" t="s">
        <v>451</v>
      </c>
      <c r="N1226" t="s">
        <v>425</v>
      </c>
      <c r="Q12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6" s="29"/>
      <c r="AC1226" s="25"/>
      <c r="AD1226" s="41" t="s">
        <v>6901</v>
      </c>
      <c r="AE1226" s="41"/>
      <c r="AF1226" s="11"/>
      <c r="AH1226" s="7" t="str">
        <f>Table1[[#This Row],[html_tag]]&amp;Table1[[#This Row],[html_type]]&amp;Table1[[#This Row],[html_modifier]]</f>
        <v/>
      </c>
      <c r="AL1226" s="23" t="str">
        <f>IFERROR(_xlfn.XLOOKUP(Table1[[#This Row],[word]],Table57[English style name],Table57[Style type]),"")</f>
        <v/>
      </c>
      <c r="AM1226" s="21"/>
      <c r="AN1226" s="11"/>
    </row>
    <row r="1227" spans="6:44">
      <c r="F12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227" s="13" t="s">
        <v>461</v>
      </c>
      <c r="H1227" s="13" t="s">
        <v>2990</v>
      </c>
      <c r="I1227" s="12" t="str">
        <f>Table1[[#This Row],[type]]</f>
        <v>footer</v>
      </c>
      <c r="J1227" s="62" t="str">
        <f>Table1[[#This Row],[Column42]]&amp;IF(Table1[[#This Row],[Column13]]="","",Table1[[#This Row],[Column13]])&amp;IF(Table1[[#This Row],[mod]]="","",Table1[[#This Row],[mod]])</f>
        <v>footer__right</v>
      </c>
      <c r="K12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footer__right</v>
      </c>
      <c r="L1227" t="s">
        <v>451</v>
      </c>
      <c r="N1227" t="s">
        <v>617</v>
      </c>
      <c r="P1227" s="6"/>
      <c r="Q12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7" s="29"/>
      <c r="AC1227" s="25"/>
      <c r="AD1227" s="41"/>
      <c r="AE1227" s="41"/>
      <c r="AF1227" s="11" t="s">
        <v>181</v>
      </c>
      <c r="AH1227" s="1" t="str">
        <f>Table1[[#This Row],[html_tag]]&amp;Table1[[#This Row],[html_type]]&amp;Table1[[#This Row],[html_modifier]]</f>
        <v/>
      </c>
      <c r="AL1227" s="22" t="str">
        <f>IFERROR(_xlfn.XLOOKUP(Table1[[#This Row],[word]],Table57[English style name],Table57[Style type]),"")</f>
        <v/>
      </c>
      <c r="AM1227" s="20"/>
      <c r="AN1227" s="11"/>
      <c r="AQ1227" s="6" t="s">
        <v>1688</v>
      </c>
      <c r="AR1227" t="s">
        <v>1687</v>
      </c>
    </row>
    <row r="1228" spans="6:44">
      <c r="F12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228" s="13"/>
      <c r="H1228" s="13"/>
      <c r="I1228" s="12" t="str">
        <f>Table1[[#This Row],[type]]</f>
        <v>footer</v>
      </c>
      <c r="J1228" s="62" t="str">
        <f>Table1[[#This Row],[Column42]]&amp;IF(Table1[[#This Row],[Column13]]="","",Table1[[#This Row],[Column13]])&amp;IF(Table1[[#This Row],[mod]]="","",Table1[[#This Row],[mod]])</f>
        <v>footer__title</v>
      </c>
      <c r="K12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footer__title</v>
      </c>
      <c r="L1228" t="s">
        <v>451</v>
      </c>
      <c r="O1228" t="s">
        <v>333</v>
      </c>
      <c r="Q12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8" s="29"/>
      <c r="AC1228" s="25"/>
      <c r="AD1228" s="41" t="s">
        <v>6900</v>
      </c>
      <c r="AE1228" s="41"/>
      <c r="AF1228" s="11"/>
      <c r="AH1228" s="7" t="str">
        <f>Table1[[#This Row],[html_tag]]&amp;Table1[[#This Row],[html_type]]&amp;Table1[[#This Row],[html_modifier]]</f>
        <v/>
      </c>
      <c r="AL1228" s="23" t="str">
        <f>IFERROR(_xlfn.XLOOKUP(Table1[[#This Row],[word]],Table57[English style name],Table57[Style type]),"")</f>
        <v/>
      </c>
      <c r="AM1228" s="21"/>
      <c r="AN1228" s="11"/>
    </row>
    <row r="1229" spans="6:44">
      <c r="F12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229" s="13"/>
      <c r="H1229" s="13"/>
      <c r="I1229" s="12" t="str">
        <f>Table1[[#This Row],[type]]</f>
        <v>footer</v>
      </c>
      <c r="J1229" s="62" t="str">
        <f>Table1[[#This Row],[Column42]]&amp;IF(Table1[[#This Row],[Column13]]="","",Table1[[#This Row],[Column13]])&amp;IF(Table1[[#This Row],[mod]]="","",Table1[[#This Row],[mod]])</f>
        <v>footer--horizontal</v>
      </c>
      <c r="K12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</v>
      </c>
      <c r="L1229" t="s">
        <v>451</v>
      </c>
      <c r="Q122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229" t="s">
        <v>3205</v>
      </c>
      <c r="AB1229" s="29"/>
      <c r="AC1229" s="25"/>
      <c r="AD1229" s="41" t="s">
        <v>6902</v>
      </c>
      <c r="AE1229" s="41"/>
      <c r="AF1229" s="11"/>
      <c r="AH1229" s="7" t="str">
        <f>Table1[[#This Row],[html_tag]]&amp;Table1[[#This Row],[html_type]]&amp;Table1[[#This Row],[html_modifier]]</f>
        <v/>
      </c>
      <c r="AL1229" s="23" t="str">
        <f>IFERROR(_xlfn.XLOOKUP(Table1[[#This Row],[word]],Table57[English style name],Table57[Style type]),"")</f>
        <v/>
      </c>
      <c r="AM1229" s="21"/>
      <c r="AN1229" s="11"/>
    </row>
    <row r="1230" spans="6:44">
      <c r="F12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0" s="13" t="s">
        <v>337</v>
      </c>
      <c r="H1230" s="13" t="s">
        <v>2987</v>
      </c>
      <c r="I1230" s="12" t="str">
        <f>Table1[[#This Row],[type]]</f>
        <v>form</v>
      </c>
      <c r="J1230" s="62" t="str">
        <f>Table1[[#This Row],[Column42]]&amp;IF(Table1[[#This Row],[Column13]]="","",Table1[[#This Row],[Column13]])&amp;IF(Table1[[#This Row],[mod]]="","",Table1[[#This Row],[mod]])</f>
        <v>form</v>
      </c>
      <c r="K12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0" t="s">
        <v>415</v>
      </c>
      <c r="P1230" s="6" t="s">
        <v>1713</v>
      </c>
      <c r="Q12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0" s="29"/>
      <c r="AC1230" s="25"/>
      <c r="AD1230" s="41"/>
      <c r="AE1230" s="41"/>
      <c r="AF1230" s="11" t="s">
        <v>183</v>
      </c>
      <c r="AH1230" s="1" t="str">
        <f>Table1[[#This Row],[html_tag]]&amp;Table1[[#This Row],[html_type]]&amp;Table1[[#This Row],[html_modifier]]</f>
        <v/>
      </c>
      <c r="AL1230" s="22" t="str">
        <f>IFERROR(_xlfn.XLOOKUP(Table1[[#This Row],[word]],Table57[English style name],Table57[Style type]),"")</f>
        <v/>
      </c>
      <c r="AM1230" s="20"/>
      <c r="AN1230" s="11"/>
      <c r="AQ1230" s="6" t="s">
        <v>1713</v>
      </c>
      <c r="AR1230" t="s">
        <v>1690</v>
      </c>
    </row>
    <row r="1231" spans="6:44">
      <c r="F12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1" s="13" t="s">
        <v>337</v>
      </c>
      <c r="H1231" s="13" t="s">
        <v>2987</v>
      </c>
      <c r="I1231" s="12" t="str">
        <f>Table1[[#This Row],[type]]</f>
        <v>form</v>
      </c>
      <c r="J1231" s="62" t="str">
        <f>Table1[[#This Row],[Column42]]&amp;IF(Table1[[#This Row],[Column13]]="","",Table1[[#This Row],[Column13]])&amp;IF(Table1[[#This Row],[mod]]="","",Table1[[#This Row],[mod]])</f>
        <v>form</v>
      </c>
      <c r="K12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1" t="s">
        <v>415</v>
      </c>
      <c r="P1231" s="6" t="s">
        <v>1715</v>
      </c>
      <c r="Q12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1" s="29"/>
      <c r="AC1231" s="25"/>
      <c r="AD1231" s="41"/>
      <c r="AE1231" s="41"/>
      <c r="AF1231" s="11" t="s">
        <v>183</v>
      </c>
      <c r="AH1231" s="1" t="str">
        <f>Table1[[#This Row],[html_tag]]&amp;Table1[[#This Row],[html_type]]&amp;Table1[[#This Row],[html_modifier]]</f>
        <v/>
      </c>
      <c r="AL1231" s="22" t="str">
        <f>IFERROR(_xlfn.XLOOKUP(Table1[[#This Row],[word]],Table57[English style name],Table57[Style type]),"")</f>
        <v/>
      </c>
      <c r="AM1231" s="20"/>
      <c r="AN1231" s="11"/>
      <c r="AQ1231" s="6" t="s">
        <v>1715</v>
      </c>
      <c r="AR1231" t="s">
        <v>1690</v>
      </c>
    </row>
    <row r="1232" spans="6:44">
      <c r="F12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2" s="13" t="s">
        <v>337</v>
      </c>
      <c r="H1232" s="13" t="s">
        <v>2987</v>
      </c>
      <c r="I1232" s="12" t="str">
        <f>Table1[[#This Row],[type]]</f>
        <v>form</v>
      </c>
      <c r="J1232" s="62" t="str">
        <f>Table1[[#This Row],[Column42]]&amp;IF(Table1[[#This Row],[Column13]]="","",Table1[[#This Row],[Column13]])&amp;IF(Table1[[#This Row],[mod]]="","",Table1[[#This Row],[mod]])</f>
        <v>form</v>
      </c>
      <c r="K12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2" t="s">
        <v>415</v>
      </c>
      <c r="P1232" s="6" t="s">
        <v>1716</v>
      </c>
      <c r="Q12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2" s="29"/>
      <c r="AC1232" s="25"/>
      <c r="AD1232" s="41"/>
      <c r="AE1232" s="41"/>
      <c r="AF1232" s="11" t="s">
        <v>183</v>
      </c>
      <c r="AH1232" s="1" t="str">
        <f>Table1[[#This Row],[html_tag]]&amp;Table1[[#This Row],[html_type]]&amp;Table1[[#This Row],[html_modifier]]</f>
        <v/>
      </c>
      <c r="AL1232" s="22" t="str">
        <f>IFERROR(_xlfn.XLOOKUP(Table1[[#This Row],[word]],Table57[English style name],Table57[Style type]),"")</f>
        <v/>
      </c>
      <c r="AM1232" s="20"/>
      <c r="AN1232" s="11"/>
      <c r="AQ1232" s="6" t="s">
        <v>1716</v>
      </c>
      <c r="AR1232" t="s">
        <v>1690</v>
      </c>
    </row>
    <row r="1233" spans="6:44">
      <c r="F12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3" s="13" t="s">
        <v>337</v>
      </c>
      <c r="H1233" s="13" t="s">
        <v>2987</v>
      </c>
      <c r="I1233" s="12" t="str">
        <f>Table1[[#This Row],[type]]</f>
        <v>form</v>
      </c>
      <c r="J1233" s="62" t="str">
        <f>Table1[[#This Row],[Column42]]&amp;IF(Table1[[#This Row],[Column13]]="","",Table1[[#This Row],[Column13]])&amp;IF(Table1[[#This Row],[mod]]="","",Table1[[#This Row],[mod]])</f>
        <v>form</v>
      </c>
      <c r="K12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3" t="s">
        <v>415</v>
      </c>
      <c r="P1233" s="6" t="s">
        <v>1610</v>
      </c>
      <c r="Q12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3" s="29"/>
      <c r="AC1233" s="25"/>
      <c r="AD1233" s="41"/>
      <c r="AE1233" s="41"/>
      <c r="AF1233" s="11" t="s">
        <v>183</v>
      </c>
      <c r="AH1233" s="1" t="str">
        <f>Table1[[#This Row],[html_tag]]&amp;Table1[[#This Row],[html_type]]&amp;Table1[[#This Row],[html_modifier]]</f>
        <v/>
      </c>
      <c r="AL1233" s="22" t="str">
        <f>IFERROR(_xlfn.XLOOKUP(Table1[[#This Row],[word]],Table57[English style name],Table57[Style type]),"")</f>
        <v/>
      </c>
      <c r="AM1233" s="20"/>
      <c r="AN1233" s="11"/>
      <c r="AQ1233" s="6" t="s">
        <v>1610</v>
      </c>
      <c r="AR1233" t="s">
        <v>1611</v>
      </c>
    </row>
    <row r="1234" spans="6:44">
      <c r="F12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4" s="13" t="s">
        <v>337</v>
      </c>
      <c r="H1234" s="13" t="s">
        <v>2987</v>
      </c>
      <c r="I1234" s="12" t="str">
        <f>Table1[[#This Row],[type]]</f>
        <v>form</v>
      </c>
      <c r="J1234" s="62" t="str">
        <f>Table1[[#This Row],[Column42]]&amp;IF(Table1[[#This Row],[Column13]]="","",Table1[[#This Row],[Column13]])&amp;IF(Table1[[#This Row],[mod]]="","",Table1[[#This Row],[mod]])</f>
        <v>form</v>
      </c>
      <c r="K12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4" t="s">
        <v>415</v>
      </c>
      <c r="P1234" s="6" t="s">
        <v>1612</v>
      </c>
      <c r="Q12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4" s="29"/>
      <c r="AC1234" s="25"/>
      <c r="AD1234" s="41"/>
      <c r="AE1234" s="41"/>
      <c r="AF1234" s="11" t="s">
        <v>183</v>
      </c>
      <c r="AH1234" s="1" t="str">
        <f>Table1[[#This Row],[html_tag]]&amp;Table1[[#This Row],[html_type]]&amp;Table1[[#This Row],[html_modifier]]</f>
        <v/>
      </c>
      <c r="AL1234" s="22" t="str">
        <f>IFERROR(_xlfn.XLOOKUP(Table1[[#This Row],[word]],Table57[English style name],Table57[Style type]),"")</f>
        <v/>
      </c>
      <c r="AM1234" s="20"/>
      <c r="AN1234" s="11"/>
      <c r="AQ1234" s="6" t="s">
        <v>1612</v>
      </c>
      <c r="AR1234" t="s">
        <v>1611</v>
      </c>
    </row>
    <row r="1235" spans="6:44">
      <c r="F12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5" s="13" t="s">
        <v>337</v>
      </c>
      <c r="H1235" s="13" t="s">
        <v>2987</v>
      </c>
      <c r="I1235" s="12" t="str">
        <f>Table1[[#This Row],[type]]</f>
        <v>form</v>
      </c>
      <c r="J1235" s="62" t="str">
        <f>Table1[[#This Row],[Column42]]&amp;IF(Table1[[#This Row],[Column13]]="","",Table1[[#This Row],[Column13]])&amp;IF(Table1[[#This Row],[mod]]="","",Table1[[#This Row],[mod]])</f>
        <v>form</v>
      </c>
      <c r="K12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5" t="s">
        <v>415</v>
      </c>
      <c r="P1235" s="6" t="s">
        <v>1693</v>
      </c>
      <c r="Q12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5" s="29"/>
      <c r="AC1235" s="25"/>
      <c r="AD1235" s="41"/>
      <c r="AE1235" s="41"/>
      <c r="AF1235" s="11" t="s">
        <v>183</v>
      </c>
      <c r="AH1235" s="1" t="str">
        <f>Table1[[#This Row],[html_tag]]&amp;Table1[[#This Row],[html_type]]&amp;Table1[[#This Row],[html_modifier]]</f>
        <v/>
      </c>
      <c r="AL1235" s="22" t="str">
        <f>IFERROR(_xlfn.XLOOKUP(Table1[[#This Row],[word]],Table57[English style name],Table57[Style type]),"")</f>
        <v/>
      </c>
      <c r="AM1235" s="20"/>
      <c r="AN1235" s="11"/>
      <c r="AQ1235" s="6" t="s">
        <v>1693</v>
      </c>
      <c r="AR1235" t="s">
        <v>1690</v>
      </c>
    </row>
    <row r="1236" spans="6:44">
      <c r="F12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6" s="13" t="s">
        <v>337</v>
      </c>
      <c r="H1236" s="13" t="s">
        <v>2987</v>
      </c>
      <c r="I1236" s="12" t="str">
        <f>Table1[[#This Row],[type]]</f>
        <v>form</v>
      </c>
      <c r="J1236" s="62" t="str">
        <f>Table1[[#This Row],[Column42]]&amp;IF(Table1[[#This Row],[Column13]]="","",Table1[[#This Row],[Column13]])&amp;IF(Table1[[#This Row],[mod]]="","",Table1[[#This Row],[mod]])</f>
        <v>form</v>
      </c>
      <c r="K12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6" t="s">
        <v>415</v>
      </c>
      <c r="P1236" s="6" t="s">
        <v>1695</v>
      </c>
      <c r="Q12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6" s="29"/>
      <c r="AC1236" s="25"/>
      <c r="AD1236" s="41"/>
      <c r="AE1236" s="41"/>
      <c r="AF1236" s="11" t="s">
        <v>183</v>
      </c>
      <c r="AH1236" s="1" t="str">
        <f>Table1[[#This Row],[html_tag]]&amp;Table1[[#This Row],[html_type]]&amp;Table1[[#This Row],[html_modifier]]</f>
        <v/>
      </c>
      <c r="AL1236" s="22" t="str">
        <f>IFERROR(_xlfn.XLOOKUP(Table1[[#This Row],[word]],Table57[English style name],Table57[Style type]),"")</f>
        <v/>
      </c>
      <c r="AM1236" s="20"/>
      <c r="AN1236" s="11"/>
      <c r="AQ1236" s="6" t="s">
        <v>1695</v>
      </c>
      <c r="AR1236" t="s">
        <v>1690</v>
      </c>
    </row>
    <row r="1237" spans="6:44">
      <c r="F12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7" s="13" t="s">
        <v>337</v>
      </c>
      <c r="H1237" s="13" t="s">
        <v>2987</v>
      </c>
      <c r="I1237" s="12" t="str">
        <f>Table1[[#This Row],[type]]</f>
        <v>form</v>
      </c>
      <c r="J1237" s="62" t="str">
        <f>Table1[[#This Row],[Column42]]&amp;IF(Table1[[#This Row],[Column13]]="","",Table1[[#This Row],[Column13]])&amp;IF(Table1[[#This Row],[mod]]="","",Table1[[#This Row],[mod]])</f>
        <v>form</v>
      </c>
      <c r="K12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7" t="s">
        <v>415</v>
      </c>
      <c r="P1237" s="6" t="s">
        <v>1696</v>
      </c>
      <c r="Q12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7" s="29"/>
      <c r="AC1237" s="25"/>
      <c r="AD1237" s="41"/>
      <c r="AE1237" s="41"/>
      <c r="AF1237" s="11" t="s">
        <v>183</v>
      </c>
      <c r="AH1237" s="1" t="str">
        <f>Table1[[#This Row],[html_tag]]&amp;Table1[[#This Row],[html_type]]&amp;Table1[[#This Row],[html_modifier]]</f>
        <v/>
      </c>
      <c r="AL1237" s="22" t="str">
        <f>IFERROR(_xlfn.XLOOKUP(Table1[[#This Row],[word]],Table57[English style name],Table57[Style type]),"")</f>
        <v/>
      </c>
      <c r="AM1237" s="20"/>
      <c r="AN1237" s="11"/>
      <c r="AQ1237" s="6" t="s">
        <v>1696</v>
      </c>
      <c r="AR1237" t="s">
        <v>1690</v>
      </c>
    </row>
    <row r="1238" spans="6:44">
      <c r="F12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8" s="13" t="s">
        <v>337</v>
      </c>
      <c r="H1238" s="13" t="s">
        <v>2987</v>
      </c>
      <c r="I1238" s="12" t="str">
        <f>Table1[[#This Row],[type]]</f>
        <v>form</v>
      </c>
      <c r="J1238" s="62" t="str">
        <f>Table1[[#This Row],[Column42]]&amp;IF(Table1[[#This Row],[Column13]]="","",Table1[[#This Row],[Column13]])&amp;IF(Table1[[#This Row],[mod]]="","",Table1[[#This Row],[mod]])</f>
        <v>form</v>
      </c>
      <c r="K12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8" t="s">
        <v>415</v>
      </c>
      <c r="P1238" s="6" t="s">
        <v>1697</v>
      </c>
      <c r="Q12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8" s="29"/>
      <c r="AC1238" s="25"/>
      <c r="AD1238" s="41"/>
      <c r="AE1238" s="41"/>
      <c r="AF1238" s="11" t="s">
        <v>183</v>
      </c>
      <c r="AH1238" s="1" t="str">
        <f>Table1[[#This Row],[html_tag]]&amp;Table1[[#This Row],[html_type]]&amp;Table1[[#This Row],[html_modifier]]</f>
        <v/>
      </c>
      <c r="AL1238" s="22" t="str">
        <f>IFERROR(_xlfn.XLOOKUP(Table1[[#This Row],[word]],Table57[English style name],Table57[Style type]),"")</f>
        <v/>
      </c>
      <c r="AM1238" s="20"/>
      <c r="AN1238" s="11"/>
      <c r="AQ1238" s="6" t="s">
        <v>1697</v>
      </c>
      <c r="AR1238" t="s">
        <v>1690</v>
      </c>
    </row>
    <row r="1239" spans="6:44">
      <c r="F12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9" s="13" t="s">
        <v>337</v>
      </c>
      <c r="H1239" s="13" t="s">
        <v>2987</v>
      </c>
      <c r="I1239" s="12" t="str">
        <f>Table1[[#This Row],[type]]</f>
        <v>form</v>
      </c>
      <c r="J1239" s="62" t="str">
        <f>Table1[[#This Row],[Column42]]&amp;IF(Table1[[#This Row],[Column13]]="","",Table1[[#This Row],[Column13]])&amp;IF(Table1[[#This Row],[mod]]="","",Table1[[#This Row],[mod]])</f>
        <v>form</v>
      </c>
      <c r="K12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9" t="s">
        <v>415</v>
      </c>
      <c r="P1239" s="6" t="s">
        <v>1698</v>
      </c>
      <c r="Q12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9" s="29"/>
      <c r="AC1239" s="25"/>
      <c r="AD1239" s="41"/>
      <c r="AE1239" s="41"/>
      <c r="AF1239" s="11" t="s">
        <v>183</v>
      </c>
      <c r="AH1239" s="1" t="str">
        <f>Table1[[#This Row],[html_tag]]&amp;Table1[[#This Row],[html_type]]&amp;Table1[[#This Row],[html_modifier]]</f>
        <v/>
      </c>
      <c r="AL1239" s="22" t="str">
        <f>IFERROR(_xlfn.XLOOKUP(Table1[[#This Row],[word]],Table57[English style name],Table57[Style type]),"")</f>
        <v/>
      </c>
      <c r="AM1239" s="20"/>
      <c r="AN1239" s="11"/>
      <c r="AQ1239" s="6" t="s">
        <v>1698</v>
      </c>
      <c r="AR1239" t="s">
        <v>1690</v>
      </c>
    </row>
    <row r="1240" spans="6:44">
      <c r="F12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40" s="13" t="s">
        <v>337</v>
      </c>
      <c r="H1240" s="13" t="s">
        <v>2987</v>
      </c>
      <c r="I1240" s="12" t="str">
        <f>Table1[[#This Row],[type]]</f>
        <v>form</v>
      </c>
      <c r="J1240" s="62" t="str">
        <f>Table1[[#This Row],[Column42]]&amp;IF(Table1[[#This Row],[Column13]]="","",Table1[[#This Row],[Column13]])&amp;IF(Table1[[#This Row],[mod]]="","",Table1[[#This Row],[mod]])</f>
        <v>form</v>
      </c>
      <c r="K12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0" t="s">
        <v>415</v>
      </c>
      <c r="P1240" s="6" t="s">
        <v>1701</v>
      </c>
      <c r="Q12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0" s="29"/>
      <c r="AC1240" s="25"/>
      <c r="AD1240" s="41"/>
      <c r="AE1240" s="41"/>
      <c r="AF1240" s="11" t="s">
        <v>183</v>
      </c>
      <c r="AH1240" s="1" t="str">
        <f>Table1[[#This Row],[html_tag]]&amp;Table1[[#This Row],[html_type]]&amp;Table1[[#This Row],[html_modifier]]</f>
        <v/>
      </c>
      <c r="AL1240" s="22" t="str">
        <f>IFERROR(_xlfn.XLOOKUP(Table1[[#This Row],[word]],Table57[English style name],Table57[Style type]),"")</f>
        <v/>
      </c>
      <c r="AM1240" s="20"/>
      <c r="AN1240" s="11"/>
      <c r="AQ1240" s="6" t="s">
        <v>1701</v>
      </c>
      <c r="AR1240" t="s">
        <v>1690</v>
      </c>
    </row>
    <row r="1241" spans="6:44">
      <c r="F12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41" s="13" t="s">
        <v>337</v>
      </c>
      <c r="H1241" s="13" t="s">
        <v>2987</v>
      </c>
      <c r="I1241" s="12" t="str">
        <f>Table1[[#This Row],[type]]</f>
        <v>form</v>
      </c>
      <c r="J1241" s="62" t="str">
        <f>Table1[[#This Row],[Column42]]&amp;IF(Table1[[#This Row],[Column13]]="","",Table1[[#This Row],[Column13]])&amp;IF(Table1[[#This Row],[mod]]="","",Table1[[#This Row],[mod]])</f>
        <v>form</v>
      </c>
      <c r="K12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1" t="s">
        <v>415</v>
      </c>
      <c r="P1241" s="6" t="s">
        <v>1705</v>
      </c>
      <c r="Q12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1" s="29"/>
      <c r="AC1241" s="25"/>
      <c r="AD1241" s="41"/>
      <c r="AE1241" s="41"/>
      <c r="AF1241" s="11" t="s">
        <v>183</v>
      </c>
      <c r="AH1241" s="1" t="str">
        <f>Table1[[#This Row],[html_tag]]&amp;Table1[[#This Row],[html_type]]&amp;Table1[[#This Row],[html_modifier]]</f>
        <v/>
      </c>
      <c r="AL1241" s="22" t="str">
        <f>IFERROR(_xlfn.XLOOKUP(Table1[[#This Row],[word]],Table57[English style name],Table57[Style type]),"")</f>
        <v/>
      </c>
      <c r="AM1241" s="20"/>
      <c r="AN1241" s="11"/>
      <c r="AQ1241" s="6" t="s">
        <v>1705</v>
      </c>
      <c r="AR1241" t="s">
        <v>1690</v>
      </c>
    </row>
    <row r="1242" spans="6:44">
      <c r="F12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42" s="13" t="s">
        <v>337</v>
      </c>
      <c r="H1242" s="13" t="s">
        <v>2987</v>
      </c>
      <c r="I1242" s="12" t="str">
        <f>Table1[[#This Row],[type]]</f>
        <v>form</v>
      </c>
      <c r="J1242" s="62" t="str">
        <f>Table1[[#This Row],[Column42]]&amp;IF(Table1[[#This Row],[Column13]]="","",Table1[[#This Row],[Column13]])&amp;IF(Table1[[#This Row],[mod]]="","",Table1[[#This Row],[mod]])</f>
        <v>form</v>
      </c>
      <c r="K12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2" t="s">
        <v>415</v>
      </c>
      <c r="P1242" s="6" t="s">
        <v>1709</v>
      </c>
      <c r="Q12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2" s="29"/>
      <c r="AC1242" s="25"/>
      <c r="AD1242" s="41"/>
      <c r="AE1242" s="41"/>
      <c r="AF1242" s="11"/>
      <c r="AH1242" s="1" t="str">
        <f>Table1[[#This Row],[html_tag]]&amp;Table1[[#This Row],[html_type]]&amp;Table1[[#This Row],[html_modifier]]</f>
        <v/>
      </c>
      <c r="AL1242" s="22" t="str">
        <f>IFERROR(_xlfn.XLOOKUP(Table1[[#This Row],[word]],Table57[English style name],Table57[Style type]),"")</f>
        <v/>
      </c>
      <c r="AM1242" s="20"/>
      <c r="AN1242" s="11"/>
      <c r="AQ1242" s="6" t="s">
        <v>1709</v>
      </c>
      <c r="AR1242" t="s">
        <v>1690</v>
      </c>
    </row>
    <row r="1243" spans="6:44">
      <c r="F12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43" s="13" t="s">
        <v>337</v>
      </c>
      <c r="H1243" s="13" t="s">
        <v>2987</v>
      </c>
      <c r="I1243" s="12" t="str">
        <f>Table1[[#This Row],[type]]</f>
        <v>form</v>
      </c>
      <c r="J1243" s="62" t="str">
        <f>Table1[[#This Row],[Column42]]&amp;IF(Table1[[#This Row],[Column13]]="","",Table1[[#This Row],[Column13]])&amp;IF(Table1[[#This Row],[mod]]="","",Table1[[#This Row],[mod]])</f>
        <v>form</v>
      </c>
      <c r="K12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3" t="s">
        <v>415</v>
      </c>
      <c r="P1243" s="6" t="s">
        <v>1710</v>
      </c>
      <c r="Q12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3" s="29"/>
      <c r="AC1243" s="25"/>
      <c r="AD1243" s="41"/>
      <c r="AE1243" s="41"/>
      <c r="AF1243" s="11"/>
      <c r="AH1243" s="1" t="str">
        <f>Table1[[#This Row],[html_tag]]&amp;Table1[[#This Row],[html_type]]&amp;Table1[[#This Row],[html_modifier]]</f>
        <v/>
      </c>
      <c r="AL1243" s="22" t="str">
        <f>IFERROR(_xlfn.XLOOKUP(Table1[[#This Row],[word]],Table57[English style name],Table57[Style type]),"")</f>
        <v/>
      </c>
      <c r="AM1243" s="20"/>
      <c r="AN1243" s="11"/>
      <c r="AQ1243" s="6" t="s">
        <v>1710</v>
      </c>
      <c r="AR1243" t="s">
        <v>1690</v>
      </c>
    </row>
    <row r="1244" spans="6:44">
      <c r="F12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44" s="13" t="s">
        <v>337</v>
      </c>
      <c r="H1244" s="13" t="s">
        <v>2987</v>
      </c>
      <c r="I1244" s="12" t="str">
        <f>Table1[[#This Row],[type]]</f>
        <v>form</v>
      </c>
      <c r="J1244" s="62" t="str">
        <f>Table1[[#This Row],[Column42]]&amp;IF(Table1[[#This Row],[Column13]]="","",Table1[[#This Row],[Column13]])&amp;IF(Table1[[#This Row],[mod]]="","",Table1[[#This Row],[mod]])</f>
        <v>form</v>
      </c>
      <c r="K12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4" t="s">
        <v>415</v>
      </c>
      <c r="P1244" s="6" t="s">
        <v>1711</v>
      </c>
      <c r="Q12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4" s="29"/>
      <c r="AC1244" s="25"/>
      <c r="AD1244" s="41"/>
      <c r="AE1244" s="41"/>
      <c r="AF1244" s="11"/>
      <c r="AH1244" s="1" t="str">
        <f>Table1[[#This Row],[html_tag]]&amp;Table1[[#This Row],[html_type]]&amp;Table1[[#This Row],[html_modifier]]</f>
        <v/>
      </c>
      <c r="AL1244" s="22" t="str">
        <f>IFERROR(_xlfn.XLOOKUP(Table1[[#This Row],[word]],Table57[English style name],Table57[Style type]),"")</f>
        <v/>
      </c>
      <c r="AM1244" s="20"/>
      <c r="AN1244" s="11"/>
      <c r="AQ1244" s="6" t="s">
        <v>1711</v>
      </c>
      <c r="AR1244" t="s">
        <v>1690</v>
      </c>
    </row>
    <row r="1245" spans="6:44">
      <c r="F12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45" s="13"/>
      <c r="H1245" s="13"/>
      <c r="I1245" s="12" t="str">
        <f>Table1[[#This Row],[type]]</f>
        <v>form</v>
      </c>
      <c r="J1245" s="62" t="str">
        <f>Table1[[#This Row],[Column42]]&amp;IF(Table1[[#This Row],[Column13]]="","",Table1[[#This Row],[Column13]])&amp;IF(Table1[[#This Row],[mod]]="","",Table1[[#This Row],[mod]])</f>
        <v>form</v>
      </c>
      <c r="K12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5" t="s">
        <v>415</v>
      </c>
      <c r="O1245" s="29"/>
      <c r="Q12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5" s="29"/>
      <c r="AC1245" s="25"/>
      <c r="AD1245" s="41"/>
      <c r="AE1245" s="41"/>
      <c r="AF1245" s="11"/>
      <c r="AH1245" s="7" t="str">
        <f>Table1[[#This Row],[html_tag]]&amp;Table1[[#This Row],[html_type]]&amp;Table1[[#This Row],[html_modifier]]</f>
        <v/>
      </c>
      <c r="AL1245" s="23" t="str">
        <f>IFERROR(_xlfn.XLOOKUP(Table1[[#This Row],[word]],Table57[English style name],Table57[Style type]),"")</f>
        <v/>
      </c>
      <c r="AM1245" s="21"/>
      <c r="AN1245" s="11"/>
    </row>
    <row r="1246" spans="6:44">
      <c r="F12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46" s="13"/>
      <c r="H1246" s="13"/>
      <c r="I1246" s="12" t="str">
        <f>Table1[[#This Row],[type]]</f>
        <v>form</v>
      </c>
      <c r="J1246" s="62" t="str">
        <f>Table1[[#This Row],[Column42]]&amp;IF(Table1[[#This Row],[Column13]]="","",Table1[[#This Row],[Column13]])&amp;IF(Table1[[#This Row],[mod]]="","",Table1[[#This Row],[mod]])</f>
        <v>form__.control</v>
      </c>
      <c r="K12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form__.control</v>
      </c>
      <c r="L1246" t="s">
        <v>415</v>
      </c>
      <c r="O1246" s="29" t="s">
        <v>4109</v>
      </c>
      <c r="Q12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6" s="29" t="s">
        <v>4109</v>
      </c>
      <c r="AC1246" s="25"/>
      <c r="AD1246" s="41"/>
      <c r="AE1246" s="41"/>
      <c r="AF1246" s="11"/>
      <c r="AH1246" s="7" t="str">
        <f>Table1[[#This Row],[html_tag]]&amp;Table1[[#This Row],[html_type]]&amp;Table1[[#This Row],[html_modifier]]</f>
        <v/>
      </c>
      <c r="AL1246" s="23" t="str">
        <f>IFERROR(_xlfn.XLOOKUP(Table1[[#This Row],[word]],Table57[English style name],Table57[Style type]),"")</f>
        <v/>
      </c>
      <c r="AM1246" s="21"/>
      <c r="AN1246" s="11"/>
    </row>
    <row r="1247" spans="6:44">
      <c r="F12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47" s="13"/>
      <c r="H1247" s="13"/>
      <c r="I1247" s="12" t="str">
        <f>Table1[[#This Row],[type]]</f>
        <v>form</v>
      </c>
      <c r="J1247" s="62" t="str">
        <f>Table1[[#This Row],[Column42]]&amp;IF(Table1[[#This Row],[Column13]]="","",Table1[[#This Row],[Column13]])&amp;IF(Table1[[#This Row],[mod]]="","",Table1[[#This Row],[mod]])</f>
        <v>form__.control.has-icons-left</v>
      </c>
      <c r="K12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form__.control.has-icons-left</v>
      </c>
      <c r="L1247" t="s">
        <v>415</v>
      </c>
      <c r="O1247" s="29" t="s">
        <v>4110</v>
      </c>
      <c r="Q12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7" s="29" t="s">
        <v>4110</v>
      </c>
      <c r="AC1247" s="25"/>
      <c r="AD1247" s="41"/>
      <c r="AE1247" s="41"/>
      <c r="AF1247" s="11"/>
      <c r="AH1247" s="7" t="str">
        <f>Table1[[#This Row],[html_tag]]&amp;Table1[[#This Row],[html_type]]&amp;Table1[[#This Row],[html_modifier]]</f>
        <v/>
      </c>
      <c r="AL1247" s="23" t="str">
        <f>IFERROR(_xlfn.XLOOKUP(Table1[[#This Row],[word]],Table57[English style name],Table57[Style type]),"")</f>
        <v/>
      </c>
      <c r="AM1247" s="21"/>
      <c r="AN1247" s="11"/>
    </row>
    <row r="1248" spans="6:44">
      <c r="F12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48" s="13"/>
      <c r="H1248" s="13"/>
      <c r="I1248" s="12" t="str">
        <f>Table1[[#This Row],[type]]</f>
        <v>form</v>
      </c>
      <c r="J1248" s="62" t="str">
        <f>Table1[[#This Row],[Column42]]&amp;IF(Table1[[#This Row],[Column13]]="","",Table1[[#This Row],[Column13]])&amp;IF(Table1[[#This Row],[mod]]="","",Table1[[#This Row],[mod]])</f>
        <v>form__.control.has-icons-right</v>
      </c>
      <c r="K12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form__.control.has-icons-right</v>
      </c>
      <c r="L1248" t="s">
        <v>415</v>
      </c>
      <c r="O1248" s="29" t="s">
        <v>4111</v>
      </c>
      <c r="Q12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8" s="29" t="s">
        <v>4111</v>
      </c>
      <c r="AC1248" s="25"/>
      <c r="AD1248" s="41"/>
      <c r="AE1248" s="41"/>
      <c r="AF1248" s="11"/>
      <c r="AH1248" s="7" t="str">
        <f>Table1[[#This Row],[html_tag]]&amp;Table1[[#This Row],[html_type]]&amp;Table1[[#This Row],[html_modifier]]</f>
        <v/>
      </c>
      <c r="AL1248" s="23" t="str">
        <f>IFERROR(_xlfn.XLOOKUP(Table1[[#This Row],[word]],Table57[English style name],Table57[Style type]),"")</f>
        <v/>
      </c>
      <c r="AM1248" s="21"/>
      <c r="AN1248" s="11"/>
    </row>
    <row r="1249" spans="6:40">
      <c r="F12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49" s="13"/>
      <c r="H1249" s="13"/>
      <c r="I1249" s="12" t="str">
        <f>Table1[[#This Row],[type]]</f>
        <v>form</v>
      </c>
      <c r="J1249" s="62" t="str">
        <f>Table1[[#This Row],[Column42]]&amp;IF(Table1[[#This Row],[Column13]]="","",Table1[[#This Row],[Column13]])&amp;IF(Table1[[#This Row],[mod]]="","",Table1[[#This Row],[mod]])</f>
        <v>form__.control.is-loading</v>
      </c>
      <c r="K12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form__.control.is-loading</v>
      </c>
      <c r="L1249" t="s">
        <v>415</v>
      </c>
      <c r="O1249" s="29" t="s">
        <v>4112</v>
      </c>
      <c r="Q12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9" s="29" t="s">
        <v>4112</v>
      </c>
      <c r="AC1249" s="25"/>
      <c r="AD1249" s="41"/>
      <c r="AE1249" s="41"/>
      <c r="AF1249" s="11"/>
      <c r="AH1249" s="7" t="str">
        <f>Table1[[#This Row],[html_tag]]&amp;Table1[[#This Row],[html_type]]&amp;Table1[[#This Row],[html_modifier]]</f>
        <v/>
      </c>
      <c r="AL1249" s="23" t="str">
        <f>IFERROR(_xlfn.XLOOKUP(Table1[[#This Row],[word]],Table57[English style name],Table57[Style type]),"")</f>
        <v/>
      </c>
      <c r="AM1249" s="21"/>
      <c r="AN1249" s="11"/>
    </row>
    <row r="1250" spans="6:40">
      <c r="F12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0" s="13"/>
      <c r="H1250" s="13"/>
      <c r="I1250" s="12" t="str">
        <f>Table1[[#This Row],[type]]</f>
        <v>form</v>
      </c>
      <c r="J1250" s="62" t="str">
        <f>Table1[[#This Row],[Column42]]&amp;IF(Table1[[#This Row],[Column13]]="","",Table1[[#This Row],[Column13]])&amp;IF(Table1[[#This Row],[mod]]="","",Table1[[#This Row],[mod]])</f>
        <v>form__.disabled items</v>
      </c>
      <c r="K12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form__.disabled items</v>
      </c>
      <c r="L1250" t="s">
        <v>415</v>
      </c>
      <c r="O1250" s="25" t="s">
        <v>7410</v>
      </c>
      <c r="Q12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0" s="29"/>
      <c r="AC1250" s="25" t="s">
        <v>7410</v>
      </c>
      <c r="AD1250" s="41"/>
      <c r="AE1250" s="41"/>
      <c r="AF1250" s="11"/>
      <c r="AH1250" s="7" t="str">
        <f>Table1[[#This Row],[html_tag]]&amp;Table1[[#This Row],[html_type]]&amp;Table1[[#This Row],[html_modifier]]</f>
        <v/>
      </c>
      <c r="AL1250" s="23" t="str">
        <f>IFERROR(_xlfn.XLOOKUP(Table1[[#This Row],[word]],Table57[English style name],Table57[Style type]),"")</f>
        <v/>
      </c>
      <c r="AM1250" s="21"/>
      <c r="AN1250" s="11"/>
    </row>
    <row r="1251" spans="6:40">
      <c r="F12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1" s="13"/>
      <c r="H1251" s="13"/>
      <c r="I1251" s="12" t="str">
        <f>Table1[[#This Row],[type]]</f>
        <v>form</v>
      </c>
      <c r="J1251" s="62" t="str">
        <f>Table1[[#This Row],[Column42]]&amp;IF(Table1[[#This Row],[Column13]]="","",Table1[[#This Row],[Column13]])&amp;IF(Table1[[#This Row],[mod]]="","",Table1[[#This Row],[mod]])</f>
        <v>form__.form using the grid</v>
      </c>
      <c r="K12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 using the grid</v>
      </c>
      <c r="L1251" t="s">
        <v>415</v>
      </c>
      <c r="O1251" s="25" t="s">
        <v>7411</v>
      </c>
      <c r="Q12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1" s="29"/>
      <c r="AC1251" s="25" t="s">
        <v>7411</v>
      </c>
      <c r="AD1251" s="41"/>
      <c r="AE1251" s="41"/>
      <c r="AF1251" s="11"/>
      <c r="AH1251" s="7" t="str">
        <f>Table1[[#This Row],[html_tag]]&amp;Table1[[#This Row],[html_type]]&amp;Table1[[#This Row],[html_modifier]]</f>
        <v/>
      </c>
      <c r="AL1251" s="23" t="str">
        <f>IFERROR(_xlfn.XLOOKUP(Table1[[#This Row],[word]],Table57[English style name],Table57[Style type]),"")</f>
        <v/>
      </c>
      <c r="AM1251" s="21"/>
      <c r="AN1251" s="11"/>
    </row>
    <row r="1252" spans="6:40">
      <c r="F12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2" s="13"/>
      <c r="H1252" s="13"/>
      <c r="I1252" s="12" t="str">
        <f>Table1[[#This Row],[type]]</f>
        <v>form</v>
      </c>
      <c r="J1252" s="62" t="str">
        <f>Table1[[#This Row],[Column42]]&amp;IF(Table1[[#This Row],[Column13]]="","",Table1[[#This Row],[Column13]])&amp;IF(Table1[[#This Row],[mod]]="","",Table1[[#This Row],[mod]])</f>
        <v>form__.form-control</v>
      </c>
      <c r="K12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</v>
      </c>
      <c r="L1252" t="s">
        <v>415</v>
      </c>
      <c r="O1252" s="25" t="s">
        <v>4994</v>
      </c>
      <c r="Q12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2" s="29"/>
      <c r="AC1252" s="25" t="s">
        <v>4994</v>
      </c>
      <c r="AD1252" s="41"/>
      <c r="AE1252" s="41"/>
      <c r="AF1252" s="11"/>
      <c r="AH1252" s="7" t="str">
        <f>Table1[[#This Row],[html_tag]]&amp;Table1[[#This Row],[html_type]]&amp;Table1[[#This Row],[html_modifier]]</f>
        <v/>
      </c>
      <c r="AL1252" s="23" t="str">
        <f>IFERROR(_xlfn.XLOOKUP(Table1[[#This Row],[word]],Table57[English style name],Table57[Style type]),"")</f>
        <v/>
      </c>
      <c r="AM1252" s="21"/>
      <c r="AN1252" s="11"/>
    </row>
    <row r="1253" spans="6:40">
      <c r="F12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3" s="13"/>
      <c r="H1253" s="13"/>
      <c r="I1253" s="12" t="str">
        <f>Table1[[#This Row],[type]]</f>
        <v>form</v>
      </c>
      <c r="J1253" s="62" t="str">
        <f>Table1[[#This Row],[Column42]]&amp;IF(Table1[[#This Row],[Column13]]="","",Table1[[#This Row],[Column13]])&amp;IF(Table1[[#This Row],[mod]]="","",Table1[[#This Row],[mod]])</f>
        <v>form__.form-control-lg</v>
      </c>
      <c r="K12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form__.form-control-lg</v>
      </c>
      <c r="L1253" t="s">
        <v>415</v>
      </c>
      <c r="O1253" s="25" t="s">
        <v>4996</v>
      </c>
      <c r="Q12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3" s="29"/>
      <c r="AC1253" s="25" t="s">
        <v>4996</v>
      </c>
      <c r="AD1253" s="41"/>
      <c r="AE1253" s="41"/>
      <c r="AF1253" s="11"/>
      <c r="AH1253" s="7" t="str">
        <f>Table1[[#This Row],[html_tag]]&amp;Table1[[#This Row],[html_type]]&amp;Table1[[#This Row],[html_modifier]]</f>
        <v/>
      </c>
      <c r="AL1253" s="23" t="str">
        <f>IFERROR(_xlfn.XLOOKUP(Table1[[#This Row],[word]],Table57[English style name],Table57[Style type]),"")</f>
        <v/>
      </c>
      <c r="AM1253" s="21"/>
      <c r="AN1253" s="11"/>
    </row>
    <row r="1254" spans="6:40">
      <c r="F12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4" s="13"/>
      <c r="H1254" s="13"/>
      <c r="I1254" s="12" t="str">
        <f>Table1[[#This Row],[type]]</f>
        <v>form</v>
      </c>
      <c r="J1254" s="62" t="str">
        <f>Table1[[#This Row],[Column42]]&amp;IF(Table1[[#This Row],[Column13]]="","",Table1[[#This Row],[Column13]])&amp;IF(Table1[[#This Row],[mod]]="","",Table1[[#This Row],[mod]])</f>
        <v>form__.form-control-plaintext</v>
      </c>
      <c r="K12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form__.form-control-plaintext</v>
      </c>
      <c r="L1254" t="s">
        <v>415</v>
      </c>
      <c r="O1254" s="25" t="s">
        <v>4997</v>
      </c>
      <c r="Q12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4" s="29"/>
      <c r="AC1254" s="25" t="s">
        <v>4997</v>
      </c>
      <c r="AD1254" s="41"/>
      <c r="AE1254" s="41"/>
      <c r="AF1254" s="11"/>
      <c r="AH1254" s="7" t="str">
        <f>Table1[[#This Row],[html_tag]]&amp;Table1[[#This Row],[html_type]]&amp;Table1[[#This Row],[html_modifier]]</f>
        <v/>
      </c>
      <c r="AL1254" s="23" t="str">
        <f>IFERROR(_xlfn.XLOOKUP(Table1[[#This Row],[word]],Table57[English style name],Table57[Style type]),"")</f>
        <v/>
      </c>
      <c r="AM1254" s="21"/>
      <c r="AN1254" s="11"/>
    </row>
    <row r="1255" spans="6:40">
      <c r="F12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5" s="13"/>
      <c r="H1255" s="13"/>
      <c r="I1255" s="12" t="str">
        <f>Table1[[#This Row],[type]]</f>
        <v>form</v>
      </c>
      <c r="J1255" s="62" t="str">
        <f>Table1[[#This Row],[Column42]]&amp;IF(Table1[[#This Row],[Column13]]="","",Table1[[#This Row],[Column13]])&amp;IF(Table1[[#This Row],[mod]]="","",Table1[[#This Row],[mod]])</f>
        <v>form__.form-control-range</v>
      </c>
      <c r="K12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form__.form-control-range</v>
      </c>
      <c r="L1255" t="s">
        <v>415</v>
      </c>
      <c r="O1255" s="25" t="s">
        <v>7423</v>
      </c>
      <c r="Q12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5" s="29"/>
      <c r="AC1255" s="25" t="s">
        <v>7423</v>
      </c>
      <c r="AD1255" s="41"/>
      <c r="AE1255" s="41"/>
      <c r="AF1255" s="11"/>
      <c r="AH1255" s="7" t="str">
        <f>Table1[[#This Row],[html_tag]]&amp;Table1[[#This Row],[html_type]]&amp;Table1[[#This Row],[html_modifier]]</f>
        <v/>
      </c>
      <c r="AL1255" s="23" t="str">
        <f>IFERROR(_xlfn.XLOOKUP(Table1[[#This Row],[word]],Table57[English style name],Table57[Style type]),"")</f>
        <v/>
      </c>
      <c r="AM1255" s="21"/>
      <c r="AN1255" s="11"/>
    </row>
    <row r="1256" spans="6:40">
      <c r="F12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6" s="13"/>
      <c r="H1256" s="13"/>
      <c r="I1256" s="12" t="str">
        <f>Table1[[#This Row],[type]]</f>
        <v>form</v>
      </c>
      <c r="J1256" s="62" t="str">
        <f>Table1[[#This Row],[Column42]]&amp;IF(Table1[[#This Row],[Column13]]="","",Table1[[#This Row],[Column13]])&amp;IF(Table1[[#This Row],[mod]]="","",Table1[[#This Row],[mod]])</f>
        <v>form__.form-control-sm</v>
      </c>
      <c r="K12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form__.form-control-sm</v>
      </c>
      <c r="L1256" t="s">
        <v>415</v>
      </c>
      <c r="O1256" s="25" t="s">
        <v>4998</v>
      </c>
      <c r="Q125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6" s="29"/>
      <c r="AC1256" s="25" t="s">
        <v>4998</v>
      </c>
      <c r="AD1256" s="41"/>
      <c r="AE1256" s="41"/>
      <c r="AF1256" s="11"/>
      <c r="AH1256" s="7" t="str">
        <f>Table1[[#This Row],[html_tag]]&amp;Table1[[#This Row],[html_type]]&amp;Table1[[#This Row],[html_modifier]]</f>
        <v/>
      </c>
      <c r="AL1256" s="23" t="str">
        <f>IFERROR(_xlfn.XLOOKUP(Table1[[#This Row],[word]],Table57[English style name],Table57[Style type]),"")</f>
        <v/>
      </c>
      <c r="AM1256" s="21"/>
      <c r="AN1256" s="11"/>
    </row>
    <row r="1257" spans="6:40">
      <c r="F12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7" s="13"/>
      <c r="H1257" s="13"/>
      <c r="I1257" s="12" t="str">
        <f>Table1[[#This Row],[type]]</f>
        <v>form</v>
      </c>
      <c r="J1257" s="62" t="str">
        <f>Table1[[#This Row],[Column42]]&amp;IF(Table1[[#This Row],[Column13]]="","",Table1[[#This Row],[Column13]])&amp;IF(Table1[[#This Row],[mod]]="","",Table1[[#This Row],[mod]])</f>
        <v>form__.form-floating</v>
      </c>
      <c r="K12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form__.form-floating</v>
      </c>
      <c r="L1257" t="s">
        <v>415</v>
      </c>
      <c r="O1257" s="25" t="s">
        <v>4999</v>
      </c>
      <c r="Q12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7" s="29"/>
      <c r="AC1257" s="25" t="s">
        <v>4999</v>
      </c>
      <c r="AD1257" s="41"/>
      <c r="AE1257" s="41"/>
      <c r="AF1257" s="11"/>
      <c r="AH1257" s="7" t="str">
        <f>Table1[[#This Row],[html_tag]]&amp;Table1[[#This Row],[html_type]]&amp;Table1[[#This Row],[html_modifier]]</f>
        <v/>
      </c>
      <c r="AL1257" s="23" t="str">
        <f>IFERROR(_xlfn.XLOOKUP(Table1[[#This Row],[word]],Table57[English style name],Table57[Style type]),"")</f>
        <v/>
      </c>
      <c r="AM1257" s="21"/>
      <c r="AN1257" s="11"/>
    </row>
    <row r="1258" spans="6:40">
      <c r="F12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8" s="13"/>
      <c r="H1258" s="13"/>
      <c r="I1258" s="12" t="str">
        <f>Table1[[#This Row],[type]]</f>
        <v>form</v>
      </c>
      <c r="J1258" s="62" t="str">
        <f>Table1[[#This Row],[Column42]]&amp;IF(Table1[[#This Row],[Column13]]="","",Table1[[#This Row],[Column13]])&amp;IF(Table1[[#This Row],[mod]]="","",Table1[[#This Row],[mod]])</f>
        <v>form__.form-group</v>
      </c>
      <c r="K12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form__.form-group</v>
      </c>
      <c r="L1258" t="s">
        <v>415</v>
      </c>
      <c r="O1258" s="25" t="s">
        <v>7424</v>
      </c>
      <c r="Q12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8" s="29"/>
      <c r="AC1258" s="25" t="s">
        <v>7424</v>
      </c>
      <c r="AD1258" s="41"/>
      <c r="AE1258" s="41"/>
      <c r="AF1258" s="11"/>
      <c r="AH1258" s="7" t="str">
        <f>Table1[[#This Row],[html_tag]]&amp;Table1[[#This Row],[html_type]]&amp;Table1[[#This Row],[html_modifier]]</f>
        <v/>
      </c>
      <c r="AL1258" s="23" t="str">
        <f>IFERROR(_xlfn.XLOOKUP(Table1[[#This Row],[word]],Table57[English style name],Table57[Style type]),"")</f>
        <v/>
      </c>
      <c r="AM1258" s="21"/>
      <c r="AN1258" s="11"/>
    </row>
    <row r="1259" spans="6:40">
      <c r="F12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9" s="13"/>
      <c r="H1259" s="13"/>
      <c r="I1259" s="12" t="str">
        <f>Table1[[#This Row],[type]]</f>
        <v>form</v>
      </c>
      <c r="J1259" s="62" t="str">
        <f>Table1[[#This Row],[Column42]]&amp;IF(Table1[[#This Row],[Column13]]="","",Table1[[#This Row],[Column13]])&amp;IF(Table1[[#This Row],[mod]]="","",Table1[[#This Row],[mod]])</f>
        <v>form__.form-inline</v>
      </c>
      <c r="K12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form__.form-inline</v>
      </c>
      <c r="L1259" t="s">
        <v>415</v>
      </c>
      <c r="O1259" s="25" t="s">
        <v>7425</v>
      </c>
      <c r="Q125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9" s="29"/>
      <c r="AC1259" s="25" t="s">
        <v>7425</v>
      </c>
      <c r="AD1259" s="41"/>
      <c r="AE1259" s="41"/>
      <c r="AF1259" s="11"/>
      <c r="AH1259" s="7" t="str">
        <f>Table1[[#This Row],[html_tag]]&amp;Table1[[#This Row],[html_type]]&amp;Table1[[#This Row],[html_modifier]]</f>
        <v/>
      </c>
      <c r="AL1259" s="23" t="str">
        <f>IFERROR(_xlfn.XLOOKUP(Table1[[#This Row],[word]],Table57[English style name],Table57[Style type]),"")</f>
        <v/>
      </c>
      <c r="AM1259" s="21"/>
      <c r="AN1259" s="11"/>
    </row>
    <row r="1260" spans="6:40">
      <c r="F12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0" s="13"/>
      <c r="H1260" s="13"/>
      <c r="I1260" s="12" t="str">
        <f>Table1[[#This Row],[type]]</f>
        <v>form</v>
      </c>
      <c r="J1260" s="62" t="str">
        <f>Table1[[#This Row],[Column42]]&amp;IF(Table1[[#This Row],[Column13]]="","",Table1[[#This Row],[Column13]])&amp;IF(Table1[[#This Row],[mod]]="","",Table1[[#This Row],[mod]])</f>
        <v>form__.form-switch</v>
      </c>
      <c r="K12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form__.form-switch</v>
      </c>
      <c r="L1260" t="s">
        <v>415</v>
      </c>
      <c r="O1260" s="25" t="s">
        <v>5005</v>
      </c>
      <c r="Q12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0" s="29"/>
      <c r="AC1260" s="25" t="s">
        <v>5005</v>
      </c>
      <c r="AD1260" s="41"/>
      <c r="AE1260" s="41"/>
      <c r="AF1260" s="11"/>
      <c r="AH1260" s="7" t="str">
        <f>Table1[[#This Row],[html_tag]]&amp;Table1[[#This Row],[html_type]]&amp;Table1[[#This Row],[html_modifier]]</f>
        <v/>
      </c>
      <c r="AL1260" s="23" t="str">
        <f>IFERROR(_xlfn.XLOOKUP(Table1[[#This Row],[word]],Table57[English style name],Table57[Style type]),"")</f>
        <v/>
      </c>
      <c r="AM1260" s="21"/>
      <c r="AN1260" s="11"/>
    </row>
    <row r="1261" spans="6:40">
      <c r="F12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1" s="13"/>
      <c r="H1261" s="13"/>
      <c r="I1261" s="12" t="str">
        <f>Table1[[#This Row],[type]]</f>
        <v>form</v>
      </c>
      <c r="J1261" s="62" t="str">
        <f>Table1[[#This Row],[Column42]]&amp;IF(Table1[[#This Row],[Column13]]="","",Table1[[#This Row],[Column13]])&amp;IF(Table1[[#This Row],[mod]]="","",Table1[[#This Row],[mod]])</f>
        <v>form__.form-text</v>
      </c>
      <c r="K12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form__.form-text</v>
      </c>
      <c r="L1261" t="s">
        <v>415</v>
      </c>
      <c r="O1261" s="25" t="s">
        <v>5006</v>
      </c>
      <c r="Q12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1" s="29"/>
      <c r="AC1261" s="25" t="s">
        <v>5006</v>
      </c>
      <c r="AD1261" s="41"/>
      <c r="AE1261" s="41"/>
      <c r="AF1261" s="11"/>
      <c r="AH1261" s="7" t="str">
        <f>Table1[[#This Row],[html_tag]]&amp;Table1[[#This Row],[html_type]]&amp;Table1[[#This Row],[html_modifier]]</f>
        <v/>
      </c>
      <c r="AL1261" s="23" t="str">
        <f>IFERROR(_xlfn.XLOOKUP(Table1[[#This Row],[word]],Table57[English style name],Table57[Style type]),"")</f>
        <v/>
      </c>
      <c r="AM1261" s="21"/>
      <c r="AN1261" s="11"/>
    </row>
    <row r="1262" spans="6:40">
      <c r="F12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2" s="13"/>
      <c r="H1262" s="13"/>
      <c r="I1262" s="12" t="str">
        <f>Table1[[#This Row],[type]]</f>
        <v>form</v>
      </c>
      <c r="J1262" s="62" t="str">
        <f>Table1[[#This Row],[Column42]]&amp;IF(Table1[[#This Row],[Column13]]="","",Table1[[#This Row],[Column13]])&amp;IF(Table1[[#This Row],[mod]]="","",Table1[[#This Row],[mod]])</f>
        <v>form__.has-name</v>
      </c>
      <c r="K12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form__.has-name</v>
      </c>
      <c r="L1262" t="s">
        <v>415</v>
      </c>
      <c r="O1262" s="29" t="s">
        <v>4113</v>
      </c>
      <c r="Q12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2" s="29" t="s">
        <v>4113</v>
      </c>
      <c r="AC1262" s="25"/>
      <c r="AD1262" s="41"/>
      <c r="AE1262" s="41"/>
      <c r="AF1262" s="11"/>
      <c r="AH1262" s="7" t="str">
        <f>Table1[[#This Row],[html_tag]]&amp;Table1[[#This Row],[html_type]]&amp;Table1[[#This Row],[html_modifier]]</f>
        <v/>
      </c>
      <c r="AL1262" s="23" t="str">
        <f>IFERROR(_xlfn.XLOOKUP(Table1[[#This Row],[word]],Table57[English style name],Table57[Style type]),"")</f>
        <v/>
      </c>
      <c r="AM1262" s="21"/>
      <c r="AN1262" s="11"/>
    </row>
    <row r="1263" spans="6:40">
      <c r="F12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3" s="13"/>
      <c r="H1263" s="13"/>
      <c r="I1263" s="12" t="str">
        <f>Table1[[#This Row],[type]]</f>
        <v>form</v>
      </c>
      <c r="J1263" s="62" t="str">
        <f>Table1[[#This Row],[Column42]]&amp;IF(Table1[[#This Row],[Column13]]="","",Table1[[#This Row],[Column13]])&amp;IF(Table1[[#This Row],[mod]]="","",Table1[[#This Row],[mod]])</f>
        <v>form__.input</v>
      </c>
      <c r="K12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</v>
      </c>
      <c r="L1263" t="s">
        <v>415</v>
      </c>
      <c r="O1263" s="29" t="s">
        <v>4114</v>
      </c>
      <c r="Q12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3" s="29" t="s">
        <v>4114</v>
      </c>
      <c r="AC1263" s="25"/>
      <c r="AD1263" s="41"/>
      <c r="AE1263" s="41"/>
      <c r="AF1263" s="11"/>
      <c r="AH1263" s="7" t="str">
        <f>Table1[[#This Row],[html_tag]]&amp;Table1[[#This Row],[html_type]]&amp;Table1[[#This Row],[html_modifier]]</f>
        <v/>
      </c>
      <c r="AL1263" s="23" t="str">
        <f>IFERROR(_xlfn.XLOOKUP(Table1[[#This Row],[word]],Table57[English style name],Table57[Style type]),"")</f>
        <v/>
      </c>
      <c r="AM1263" s="21"/>
      <c r="AN1263" s="11"/>
    </row>
    <row r="1264" spans="6:40">
      <c r="F12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4" s="13"/>
      <c r="H1264" s="13"/>
      <c r="I1264" s="12" t="str">
        <f>Table1[[#This Row],[type]]</f>
        <v>form</v>
      </c>
      <c r="J1264" s="62" t="str">
        <f>Table1[[#This Row],[Column42]]&amp;IF(Table1[[#This Row],[Column13]]="","",Table1[[#This Row],[Column13]])&amp;IF(Table1[[#This Row],[mod]]="","",Table1[[#This Row],[mod]])</f>
        <v>form__.input-group-tekst</v>
      </c>
      <c r="K12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form__.input-group-tekst</v>
      </c>
      <c r="L1264" t="s">
        <v>415</v>
      </c>
      <c r="O1264" s="25" t="s">
        <v>7426</v>
      </c>
      <c r="Q12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4" s="29"/>
      <c r="AC1264" s="25" t="s">
        <v>7426</v>
      </c>
      <c r="AD1264" s="41"/>
      <c r="AE1264" s="41"/>
      <c r="AF1264" s="11"/>
      <c r="AH1264" s="7" t="str">
        <f>Table1[[#This Row],[html_tag]]&amp;Table1[[#This Row],[html_type]]&amp;Table1[[#This Row],[html_modifier]]</f>
        <v/>
      </c>
      <c r="AL1264" s="23" t="str">
        <f>IFERROR(_xlfn.XLOOKUP(Table1[[#This Row],[word]],Table57[English style name],Table57[Style type]),"")</f>
        <v/>
      </c>
      <c r="AM1264" s="21"/>
      <c r="AN1264" s="11"/>
    </row>
    <row r="1265" spans="6:44">
      <c r="F12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5" s="13"/>
      <c r="H1265" s="13"/>
      <c r="I1265" s="12" t="str">
        <f>Table1[[#This Row],[type]]</f>
        <v>form</v>
      </c>
      <c r="J1265" s="62" t="str">
        <f>Table1[[#This Row],[Column42]]&amp;IF(Table1[[#This Row],[Column13]]="","",Table1[[#This Row],[Column13]])&amp;IF(Table1[[#This Row],[mod]]="","",Table1[[#This Row],[mod]])</f>
        <v>form__.input.is-rounded</v>
      </c>
      <c r="K12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form__.input.is-rounded</v>
      </c>
      <c r="L1265" t="s">
        <v>415</v>
      </c>
      <c r="O1265" s="29" t="s">
        <v>4115</v>
      </c>
      <c r="Q12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5" s="29" t="s">
        <v>4115</v>
      </c>
      <c r="AC1265" s="25"/>
      <c r="AD1265" s="41"/>
      <c r="AE1265" s="41"/>
      <c r="AF1265" s="11"/>
      <c r="AH1265" s="7" t="str">
        <f>Table1[[#This Row],[html_tag]]&amp;Table1[[#This Row],[html_type]]&amp;Table1[[#This Row],[html_modifier]]</f>
        <v/>
      </c>
      <c r="AL1265" s="23" t="str">
        <f>IFERROR(_xlfn.XLOOKUP(Table1[[#This Row],[word]],Table57[English style name],Table57[Style type]),"")</f>
        <v/>
      </c>
      <c r="AM1265" s="21"/>
      <c r="AN1265" s="11"/>
    </row>
    <row r="1266" spans="6:44">
      <c r="F12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6" s="13"/>
      <c r="H1266" s="13"/>
      <c r="I1266" s="12" t="str">
        <f>Table1[[#This Row],[type]]</f>
        <v>form</v>
      </c>
      <c r="J1266" s="62" t="str">
        <f>Table1[[#This Row],[Column42]]&amp;IF(Table1[[#This Row],[Column13]]="","",Table1[[#This Row],[Column13]])&amp;IF(Table1[[#This Row],[mod]]="","",Table1[[#This Row],[mod]])</f>
        <v>form__.input.is-static</v>
      </c>
      <c r="K12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form__.input.is-static</v>
      </c>
      <c r="L1266" t="s">
        <v>415</v>
      </c>
      <c r="O1266" s="29" t="s">
        <v>4116</v>
      </c>
      <c r="Q12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6" s="29" t="s">
        <v>4116</v>
      </c>
      <c r="AC1266" s="25"/>
      <c r="AD1266" s="41"/>
      <c r="AE1266" s="41"/>
      <c r="AF1266" s="11"/>
      <c r="AH1266" s="7" t="str">
        <f>Table1[[#This Row],[html_tag]]&amp;Table1[[#This Row],[html_type]]&amp;Table1[[#This Row],[html_modifier]]</f>
        <v/>
      </c>
      <c r="AL1266" s="23" t="str">
        <f>IFERROR(_xlfn.XLOOKUP(Table1[[#This Row],[word]],Table57[English style name],Table57[Style type]),"")</f>
        <v/>
      </c>
      <c r="AM1266" s="21"/>
      <c r="AN1266" s="11"/>
    </row>
    <row r="1267" spans="6:44">
      <c r="F12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7" s="13"/>
      <c r="H1267" s="13"/>
      <c r="I1267" s="12" t="str">
        <f>Table1[[#This Row],[type]]</f>
        <v>form</v>
      </c>
      <c r="J1267" s="62" t="str">
        <f>Table1[[#This Row],[Column42]]&amp;IF(Table1[[#This Row],[Column13]]="","",Table1[[#This Row],[Column13]])&amp;IF(Table1[[#This Row],[mod]]="","",Table1[[#This Row],[mod]])</f>
        <v>form__.is-expanded</v>
      </c>
      <c r="K12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form__.is-expanded</v>
      </c>
      <c r="L1267" t="s">
        <v>415</v>
      </c>
      <c r="O1267" s="29" t="s">
        <v>4117</v>
      </c>
      <c r="Q12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7" s="29" t="s">
        <v>4117</v>
      </c>
      <c r="AC1267" s="25"/>
      <c r="AD1267" s="41"/>
      <c r="AE1267" s="41"/>
      <c r="AF1267" s="11"/>
      <c r="AH1267" s="7" t="str">
        <f>Table1[[#This Row],[html_tag]]&amp;Table1[[#This Row],[html_type]]&amp;Table1[[#This Row],[html_modifier]]</f>
        <v/>
      </c>
      <c r="AL1267" s="23" t="str">
        <f>IFERROR(_xlfn.XLOOKUP(Table1[[#This Row],[word]],Table57[English style name],Table57[Style type]),"")</f>
        <v/>
      </c>
      <c r="AM1267" s="21"/>
      <c r="AN1267" s="11"/>
    </row>
    <row r="1268" spans="6:44">
      <c r="F12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8" s="13"/>
      <c r="H1268" s="13"/>
      <c r="I1268" s="12" t="str">
        <f>Table1[[#This Row],[type]]</f>
        <v>form</v>
      </c>
      <c r="J1268" s="62" t="str">
        <f>Table1[[#This Row],[Column42]]&amp;IF(Table1[[#This Row],[Column13]]="","",Table1[[#This Row],[Column13]])&amp;IF(Table1[[#This Row],[mod]]="","",Table1[[#This Row],[mod]])</f>
        <v>form__.is-focused</v>
      </c>
      <c r="K12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form__.is-focused</v>
      </c>
      <c r="L1268" t="s">
        <v>415</v>
      </c>
      <c r="O1268" s="29" t="s">
        <v>4118</v>
      </c>
      <c r="Q12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8" s="29" t="s">
        <v>4118</v>
      </c>
      <c r="AC1268" s="25"/>
      <c r="AD1268" s="41"/>
      <c r="AE1268" s="41"/>
      <c r="AF1268" s="11"/>
      <c r="AH1268" s="7" t="str">
        <f>Table1[[#This Row],[html_tag]]&amp;Table1[[#This Row],[html_type]]&amp;Table1[[#This Row],[html_modifier]]</f>
        <v/>
      </c>
      <c r="AL1268" s="23" t="str">
        <f>IFERROR(_xlfn.XLOOKUP(Table1[[#This Row],[word]],Table57[English style name],Table57[Style type]),"")</f>
        <v/>
      </c>
      <c r="AM1268" s="21"/>
      <c r="AN1268" s="11"/>
    </row>
    <row r="1269" spans="6:44">
      <c r="F12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9" s="13"/>
      <c r="H1269" s="13"/>
      <c r="I1269" s="12" t="str">
        <f>Table1[[#This Row],[type]]</f>
        <v>form</v>
      </c>
      <c r="J1269" s="62" t="str">
        <f>Table1[[#This Row],[Column42]]&amp;IF(Table1[[#This Row],[Column13]]="","",Table1[[#This Row],[Column13]])&amp;IF(Table1[[#This Row],[mod]]="","",Table1[[#This Row],[mod]])</f>
        <v>form__.is-horizontal</v>
      </c>
      <c r="K12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form__.is-horizontal</v>
      </c>
      <c r="L1269" t="s">
        <v>415</v>
      </c>
      <c r="O1269" s="29" t="s">
        <v>4119</v>
      </c>
      <c r="Q12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9" s="29" t="s">
        <v>4119</v>
      </c>
      <c r="AC1269" s="25"/>
      <c r="AD1269" s="41"/>
      <c r="AE1269" s="41"/>
      <c r="AF1269" s="11"/>
      <c r="AH1269" s="7" t="str">
        <f>Table1[[#This Row],[html_tag]]&amp;Table1[[#This Row],[html_type]]&amp;Table1[[#This Row],[html_modifier]]</f>
        <v/>
      </c>
      <c r="AL1269" s="23" t="str">
        <f>IFERROR(_xlfn.XLOOKUP(Table1[[#This Row],[word]],Table57[English style name],Table57[Style type]),"")</f>
        <v/>
      </c>
      <c r="AM1269" s="21"/>
      <c r="AN1269" s="11"/>
    </row>
    <row r="1270" spans="6:44">
      <c r="F12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0" s="13"/>
      <c r="H1270" s="13"/>
      <c r="I1270" s="12" t="str">
        <f>Table1[[#This Row],[type]]</f>
        <v>form</v>
      </c>
      <c r="J1270" s="62" t="str">
        <f>Table1[[#This Row],[Column42]]&amp;IF(Table1[[#This Row],[Column13]]="","",Table1[[#This Row],[Column13]])&amp;IF(Table1[[#This Row],[mod]]="","",Table1[[#This Row],[mod]])</f>
        <v>form__.is-invalid</v>
      </c>
      <c r="K12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form__.is-invalid</v>
      </c>
      <c r="L1270" t="s">
        <v>415</v>
      </c>
      <c r="O1270" s="25" t="s">
        <v>5164</v>
      </c>
      <c r="Q12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0" s="29"/>
      <c r="AC1270" s="25" t="s">
        <v>5164</v>
      </c>
      <c r="AD1270" s="41"/>
      <c r="AE1270" s="41"/>
      <c r="AF1270" s="11"/>
      <c r="AH1270" s="7" t="str">
        <f>Table1[[#This Row],[html_tag]]&amp;Table1[[#This Row],[html_type]]&amp;Table1[[#This Row],[html_modifier]]</f>
        <v/>
      </c>
      <c r="AL1270" s="23" t="str">
        <f>IFERROR(_xlfn.XLOOKUP(Table1[[#This Row],[word]],Table57[English style name],Table57[Style type]),"")</f>
        <v/>
      </c>
      <c r="AM1270" s="21"/>
      <c r="AN1270" s="11"/>
    </row>
    <row r="1271" spans="6:44">
      <c r="F12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1" s="13"/>
      <c r="H1271" s="13"/>
      <c r="I1271" s="12" t="str">
        <f>Table1[[#This Row],[type]]</f>
        <v>form</v>
      </c>
      <c r="J1271" s="62" t="str">
        <f>Table1[[#This Row],[Column42]]&amp;IF(Table1[[#This Row],[Column13]]="","",Table1[[#This Row],[Column13]])&amp;IF(Table1[[#This Row],[mod]]="","",Table1[[#This Row],[mod]])</f>
        <v>form__.is-left</v>
      </c>
      <c r="K12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form__.is-left</v>
      </c>
      <c r="L1271" t="s">
        <v>415</v>
      </c>
      <c r="O1271" s="29" t="s">
        <v>4120</v>
      </c>
      <c r="Q12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1" s="29" t="s">
        <v>4120</v>
      </c>
      <c r="AC1271" s="25"/>
      <c r="AD1271" s="41"/>
      <c r="AE1271" s="41"/>
      <c r="AF1271" s="11"/>
      <c r="AH1271" s="7" t="str">
        <f>Table1[[#This Row],[html_tag]]&amp;Table1[[#This Row],[html_type]]&amp;Table1[[#This Row],[html_modifier]]</f>
        <v/>
      </c>
      <c r="AL1271" s="23" t="str">
        <f>IFERROR(_xlfn.XLOOKUP(Table1[[#This Row],[word]],Table57[English style name],Table57[Style type]),"")</f>
        <v/>
      </c>
      <c r="AM1271" s="21"/>
      <c r="AN1271" s="11"/>
    </row>
    <row r="1272" spans="6:44">
      <c r="F12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2" s="13"/>
      <c r="H1272" s="13"/>
      <c r="I1272" s="12" t="str">
        <f>Table1[[#This Row],[type]]</f>
        <v>form</v>
      </c>
      <c r="J1272" s="62" t="str">
        <f>Table1[[#This Row],[Column42]]&amp;IF(Table1[[#This Row],[Column13]]="","",Table1[[#This Row],[Column13]])&amp;IF(Table1[[#This Row],[mod]]="","",Table1[[#This Row],[mod]])</f>
        <v>form__.is-multiple</v>
      </c>
      <c r="K12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form__.is-multiple</v>
      </c>
      <c r="L1272" t="s">
        <v>415</v>
      </c>
      <c r="O1272" s="29" t="s">
        <v>4121</v>
      </c>
      <c r="Q12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2" s="29" t="s">
        <v>4121</v>
      </c>
      <c r="AC1272" s="25"/>
      <c r="AD1272" s="41"/>
      <c r="AE1272" s="41"/>
      <c r="AF1272" s="11"/>
      <c r="AH1272" s="7" t="str">
        <f>Table1[[#This Row],[html_tag]]&amp;Table1[[#This Row],[html_type]]&amp;Table1[[#This Row],[html_modifier]]</f>
        <v/>
      </c>
      <c r="AL1272" s="23" t="str">
        <f>IFERROR(_xlfn.XLOOKUP(Table1[[#This Row],[word]],Table57[English style name],Table57[Style type]),"")</f>
        <v/>
      </c>
      <c r="AM1272" s="21"/>
      <c r="AN1272" s="11"/>
    </row>
    <row r="1273" spans="6:44">
      <c r="F12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3" s="13"/>
      <c r="H1273" s="13"/>
      <c r="I1273" s="12" t="str">
        <f>Table1[[#This Row],[type]]</f>
        <v>form</v>
      </c>
      <c r="J1273" s="62" t="str">
        <f>Table1[[#This Row],[Column42]]&amp;IF(Table1[[#This Row],[Column13]]="","",Table1[[#This Row],[Column13]])&amp;IF(Table1[[#This Row],[mod]]="","",Table1[[#This Row],[mod]])</f>
        <v>form__.is-normal</v>
      </c>
      <c r="K12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form__.is-normal</v>
      </c>
      <c r="L1273" t="s">
        <v>415</v>
      </c>
      <c r="O1273" s="29" t="s">
        <v>4122</v>
      </c>
      <c r="Q12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3" s="29" t="s">
        <v>4122</v>
      </c>
      <c r="AC1273" s="25"/>
      <c r="AD1273" s="41"/>
      <c r="AE1273" s="41"/>
      <c r="AF1273" s="11"/>
      <c r="AH1273" s="7" t="str">
        <f>Table1[[#This Row],[html_tag]]&amp;Table1[[#This Row],[html_type]]&amp;Table1[[#This Row],[html_modifier]]</f>
        <v/>
      </c>
      <c r="AL1273" s="23" t="str">
        <f>IFERROR(_xlfn.XLOOKUP(Table1[[#This Row],[word]],Table57[English style name],Table57[Style type]),"")</f>
        <v/>
      </c>
      <c r="AM1273" s="21"/>
      <c r="AN1273" s="11"/>
    </row>
    <row r="1274" spans="6:44">
      <c r="F12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4" s="13"/>
      <c r="H1274" s="13"/>
      <c r="I1274" s="12" t="str">
        <f>Table1[[#This Row],[type]]</f>
        <v>form</v>
      </c>
      <c r="J1274" s="62" t="str">
        <f>Table1[[#This Row],[Column42]]&amp;IF(Table1[[#This Row],[Column13]]="","",Table1[[#This Row],[Column13]])&amp;IF(Table1[[#This Row],[mod]]="","",Table1[[#This Row],[mod]])</f>
        <v>form__.is-right</v>
      </c>
      <c r="K12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form__.is-right</v>
      </c>
      <c r="L1274" t="s">
        <v>415</v>
      </c>
      <c r="O1274" s="29" t="s">
        <v>4123</v>
      </c>
      <c r="Q12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4" s="29" t="s">
        <v>4123</v>
      </c>
      <c r="AC1274" s="25"/>
      <c r="AD1274" s="41"/>
      <c r="AE1274" s="41"/>
      <c r="AF1274" s="11"/>
      <c r="AH1274" s="7" t="str">
        <f>Table1[[#This Row],[html_tag]]&amp;Table1[[#This Row],[html_type]]&amp;Table1[[#This Row],[html_modifier]]</f>
        <v/>
      </c>
      <c r="AL1274" s="23" t="str">
        <f>IFERROR(_xlfn.XLOOKUP(Table1[[#This Row],[word]],Table57[English style name],Table57[Style type]),"")</f>
        <v/>
      </c>
      <c r="AM1274" s="21"/>
      <c r="AN1274" s="11"/>
    </row>
    <row r="1275" spans="6:44">
      <c r="F12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5" s="13"/>
      <c r="H1275" s="13"/>
      <c r="I1275" s="12" t="str">
        <f>Table1[[#This Row],[type]]</f>
        <v>form</v>
      </c>
      <c r="J1275" s="62" t="str">
        <f>Table1[[#This Row],[Column42]]&amp;IF(Table1[[#This Row],[Column13]]="","",Table1[[#This Row],[Column13]])&amp;IF(Table1[[#This Row],[mod]]="","",Table1[[#This Row],[mod]])</f>
        <v>form__.is-valid</v>
      </c>
      <c r="K12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form__.is-valid</v>
      </c>
      <c r="L1275" t="s">
        <v>415</v>
      </c>
      <c r="O1275" s="25" t="s">
        <v>5165</v>
      </c>
      <c r="Q12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5" s="29"/>
      <c r="AC1275" s="25" t="s">
        <v>5165</v>
      </c>
      <c r="AD1275" s="41"/>
      <c r="AE1275" s="41"/>
      <c r="AF1275" s="11"/>
      <c r="AH1275" s="7" t="str">
        <f>Table1[[#This Row],[html_tag]]&amp;Table1[[#This Row],[html_type]]&amp;Table1[[#This Row],[html_modifier]]</f>
        <v/>
      </c>
      <c r="AL1275" s="23" t="str">
        <f>IFERROR(_xlfn.XLOOKUP(Table1[[#This Row],[word]],Table57[English style name],Table57[Style type]),"")</f>
        <v/>
      </c>
      <c r="AM1275" s="21"/>
      <c r="AN1275" s="11"/>
    </row>
    <row r="1276" spans="6:44">
      <c r="F12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6" s="13"/>
      <c r="H1276" s="13"/>
      <c r="I1276" s="12" t="str">
        <f>Table1[[#This Row],[type]]</f>
        <v>form</v>
      </c>
      <c r="J1276" s="62" t="str">
        <f>Table1[[#This Row],[Column42]]&amp;IF(Table1[[#This Row],[Column13]]="","",Table1[[#This Row],[Column13]])&amp;IF(Table1[[#This Row],[mod]]="","",Table1[[#This Row],[mod]])</f>
        <v>form__.readonly</v>
      </c>
      <c r="K12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form__.readonly</v>
      </c>
      <c r="L1276" t="s">
        <v>415</v>
      </c>
      <c r="O1276" s="25" t="s">
        <v>7427</v>
      </c>
      <c r="Q12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6" s="29"/>
      <c r="AC1276" s="25" t="s">
        <v>7427</v>
      </c>
      <c r="AD1276" s="41"/>
      <c r="AE1276" s="41"/>
      <c r="AF1276" s="11"/>
      <c r="AH1276" s="7" t="str">
        <f>Table1[[#This Row],[html_tag]]&amp;Table1[[#This Row],[html_type]]&amp;Table1[[#This Row],[html_modifier]]</f>
        <v/>
      </c>
      <c r="AL1276" s="23" t="str">
        <f>IFERROR(_xlfn.XLOOKUP(Table1[[#This Row],[word]],Table57[English style name],Table57[Style type]),"")</f>
        <v/>
      </c>
      <c r="AM1276" s="21"/>
      <c r="AN1276" s="11"/>
    </row>
    <row r="1277" spans="6:44">
      <c r="F12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7" s="13"/>
      <c r="H1277" s="13"/>
      <c r="I1277" s="12" t="str">
        <f>Table1[[#This Row],[type]]</f>
        <v>form</v>
      </c>
      <c r="J1277" s="62" t="str">
        <f>Table1[[#This Row],[Column42]]&amp;IF(Table1[[#This Row],[Column13]]="","",Table1[[#This Row],[Column13]])&amp;IF(Table1[[#This Row],[mod]]="","",Table1[[#This Row],[mod]])</f>
        <v>form__.valid-feedback</v>
      </c>
      <c r="K12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form__.valid-feedback</v>
      </c>
      <c r="L1277" t="s">
        <v>415</v>
      </c>
      <c r="O1277" s="25" t="s">
        <v>6050</v>
      </c>
      <c r="Q12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7" s="29"/>
      <c r="AC1277" s="25" t="s">
        <v>6050</v>
      </c>
      <c r="AD1277" s="41"/>
      <c r="AE1277" s="41"/>
      <c r="AF1277" s="11"/>
      <c r="AH1277" s="7" t="str">
        <f>Table1[[#This Row],[html_tag]]&amp;Table1[[#This Row],[html_type]]&amp;Table1[[#This Row],[html_modifier]]</f>
        <v/>
      </c>
      <c r="AL1277" s="23" t="str">
        <f>IFERROR(_xlfn.XLOOKUP(Table1[[#This Row],[word]],Table57[English style name],Table57[Style type]),"")</f>
        <v/>
      </c>
      <c r="AM1277" s="21"/>
      <c r="AN1277" s="11"/>
    </row>
    <row r="1278" spans="6:44">
      <c r="F12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8" s="13"/>
      <c r="H1278" s="13"/>
      <c r="I1278" s="12" t="str">
        <f>Table1[[#This Row],[type]]</f>
        <v>form</v>
      </c>
      <c r="J1278" s="62" t="str">
        <f>Table1[[#This Row],[Column42]]&amp;IF(Table1[[#This Row],[Column13]]="","",Table1[[#This Row],[Column13]])&amp;IF(Table1[[#This Row],[mod]]="","",Table1[[#This Row],[mod]])</f>
        <v>form__.valid-tooltip</v>
      </c>
      <c r="K12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form__.valid-tooltip</v>
      </c>
      <c r="L1278" t="s">
        <v>415</v>
      </c>
      <c r="O1278" s="25" t="s">
        <v>6051</v>
      </c>
      <c r="Q12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8" s="29"/>
      <c r="AC1278" s="25" t="s">
        <v>6051</v>
      </c>
      <c r="AD1278" s="41"/>
      <c r="AE1278" s="41"/>
      <c r="AF1278" s="11"/>
      <c r="AH1278" s="7" t="str">
        <f>Table1[[#This Row],[html_tag]]&amp;Table1[[#This Row],[html_type]]&amp;Table1[[#This Row],[html_modifier]]</f>
        <v/>
      </c>
      <c r="AL1278" s="23" t="str">
        <f>IFERROR(_xlfn.XLOOKUP(Table1[[#This Row],[word]],Table57[English style name],Table57[Style type]),"")</f>
        <v/>
      </c>
      <c r="AM1278" s="21"/>
      <c r="AN1278" s="11"/>
    </row>
    <row r="1279" spans="6:44">
      <c r="F12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9" s="13"/>
      <c r="H1279" s="13"/>
      <c r="I1279" s="12" t="str">
        <f>Table1[[#This Row],[type]]</f>
        <v>form</v>
      </c>
      <c r="J1279" s="62" t="str">
        <f>Table1[[#This Row],[Column42]]&amp;IF(Table1[[#This Row],[Column13]]="","",Table1[[#This Row],[Column13]])&amp;IF(Table1[[#This Row],[mod]]="","",Table1[[#This Row],[mod]])</f>
        <v>form__&lt;form&gt;</v>
      </c>
      <c r="K12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form__&lt;form&gt;</v>
      </c>
      <c r="L1279" t="s">
        <v>415</v>
      </c>
      <c r="O1279" t="s">
        <v>183</v>
      </c>
      <c r="Q12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9" s="29"/>
      <c r="AC1279" s="25"/>
      <c r="AD1279" s="41"/>
      <c r="AE1279" s="41"/>
      <c r="AF1279" s="11" t="s">
        <v>183</v>
      </c>
      <c r="AH1279" s="1" t="str">
        <f>Table1[[#This Row],[html_tag]]&amp;Table1[[#This Row],[html_type]]&amp;Table1[[#This Row],[html_modifier]]</f>
        <v>&lt;form&gt;</v>
      </c>
      <c r="AI1279" t="s">
        <v>183</v>
      </c>
      <c r="AL1279" s="22" t="str">
        <f>IFERROR(_xlfn.XLOOKUP(Table1[[#This Row],[word]],Table57[English style name],Table57[Style type]),"")</f>
        <v/>
      </c>
      <c r="AM1279" s="20"/>
      <c r="AN1279" s="11"/>
    </row>
    <row r="1280" spans="6:44">
      <c r="F12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0" s="13" t="s">
        <v>337</v>
      </c>
      <c r="H1280" s="13" t="s">
        <v>2987</v>
      </c>
      <c r="I1280" s="12" t="str">
        <f>Table1[[#This Row],[type]]</f>
        <v>form</v>
      </c>
      <c r="J1280" s="62" t="str">
        <f>Table1[[#This Row],[Column42]]&amp;IF(Table1[[#This Row],[Column13]]="","",Table1[[#This Row],[Column13]])&amp;IF(Table1[[#This Row],[mod]]="","",Table1[[#This Row],[mod]])</f>
        <v>form__center</v>
      </c>
      <c r="K12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form__center</v>
      </c>
      <c r="L1280" t="s">
        <v>415</v>
      </c>
      <c r="N1280" t="s">
        <v>425</v>
      </c>
      <c r="P1280" s="6" t="s">
        <v>1699</v>
      </c>
      <c r="Q12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0" s="29"/>
      <c r="AC1280" s="25"/>
      <c r="AD1280" s="41"/>
      <c r="AE1280" s="41"/>
      <c r="AF1280" s="11" t="s">
        <v>183</v>
      </c>
      <c r="AH1280" s="1" t="str">
        <f>Table1[[#This Row],[html_tag]]&amp;Table1[[#This Row],[html_type]]&amp;Table1[[#This Row],[html_modifier]]</f>
        <v/>
      </c>
      <c r="AL1280" s="22" t="str">
        <f>IFERROR(_xlfn.XLOOKUP(Table1[[#This Row],[word]],Table57[English style name],Table57[Style type]),"")</f>
        <v/>
      </c>
      <c r="AM1280" s="20"/>
      <c r="AN1280" s="11"/>
      <c r="AQ1280" s="6" t="s">
        <v>1699</v>
      </c>
      <c r="AR1280" t="s">
        <v>1690</v>
      </c>
    </row>
    <row r="1281" spans="6:44">
      <c r="F12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81" s="13"/>
      <c r="H1281" s="13"/>
      <c r="I1281" s="12" t="str">
        <f>Table1[[#This Row],[type]]</f>
        <v>form</v>
      </c>
      <c r="J1281" s="62" t="str">
        <f>Table1[[#This Row],[Column42]]&amp;IF(Table1[[#This Row],[Column13]]="","",Table1[[#This Row],[Column13]])&amp;IF(Table1[[#This Row],[mod]]="","",Table1[[#This Row],[mod]])</f>
        <v>form__checkbox</v>
      </c>
      <c r="K12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form__checkbox</v>
      </c>
      <c r="L1281" t="s">
        <v>415</v>
      </c>
      <c r="M1281" t="s">
        <v>1936</v>
      </c>
      <c r="O1281" s="25"/>
      <c r="Q128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1" s="29"/>
      <c r="AC1281" s="25" t="s">
        <v>4992</v>
      </c>
      <c r="AD1281" s="41"/>
      <c r="AE1281" s="41"/>
      <c r="AF1281" s="11"/>
      <c r="AH1281" s="7" t="str">
        <f>Table1[[#This Row],[html_tag]]&amp;Table1[[#This Row],[html_type]]&amp;Table1[[#This Row],[html_modifier]]</f>
        <v/>
      </c>
      <c r="AL1281" s="23" t="str">
        <f>IFERROR(_xlfn.XLOOKUP(Table1[[#This Row],[word]],Table57[English style name],Table57[Style type]),"")</f>
        <v/>
      </c>
      <c r="AM1281" s="21"/>
      <c r="AN1281" s="11"/>
    </row>
    <row r="1282" spans="6:44">
      <c r="F12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82" s="13"/>
      <c r="H1282" s="13"/>
      <c r="I1282" s="12" t="str">
        <f>Table1[[#This Row],[type]]</f>
        <v>form</v>
      </c>
      <c r="J1282" s="62" t="str">
        <f>Table1[[#This Row],[Column42]]&amp;IF(Table1[[#This Row],[Column13]]="","",Table1[[#This Row],[Column13]])&amp;IF(Table1[[#This Row],[mod]]="","",Table1[[#This Row],[mod]])</f>
        <v>form__checkbox</v>
      </c>
      <c r="K12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form__checkbox</v>
      </c>
      <c r="L1282" t="s">
        <v>415</v>
      </c>
      <c r="M1282" t="s">
        <v>1936</v>
      </c>
      <c r="O1282" s="25"/>
      <c r="Q12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2" s="29" t="s">
        <v>3870</v>
      </c>
      <c r="AC1282" s="25" t="s">
        <v>4990</v>
      </c>
      <c r="AD1282" s="41"/>
      <c r="AE1282" s="41"/>
      <c r="AF1282" s="11"/>
      <c r="AH1282" s="7" t="str">
        <f>Table1[[#This Row],[html_tag]]&amp;Table1[[#This Row],[html_type]]&amp;Table1[[#This Row],[html_modifier]]</f>
        <v/>
      </c>
      <c r="AL1282" s="23" t="str">
        <f>IFERROR(_xlfn.XLOOKUP(Table1[[#This Row],[word]],Table57[English style name],Table57[Style type]),"")</f>
        <v/>
      </c>
      <c r="AM1282" s="21"/>
      <c r="AN1282" s="11"/>
    </row>
    <row r="1283" spans="6:44">
      <c r="F12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83" s="13"/>
      <c r="H1283" s="13"/>
      <c r="I1283" s="12" t="str">
        <f>Table1[[#This Row],[type]]</f>
        <v>form</v>
      </c>
      <c r="J1283" s="62" t="str">
        <f>Table1[[#This Row],[Column42]]&amp;IF(Table1[[#This Row],[Column13]]="","",Table1[[#This Row],[Column13]])&amp;IF(Table1[[#This Row],[mod]]="","",Table1[[#This Row],[mod]])</f>
        <v>form__checkbox--inline</v>
      </c>
      <c r="K12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form__checkbox</v>
      </c>
      <c r="L1283" t="s">
        <v>415</v>
      </c>
      <c r="M1283" t="s">
        <v>1936</v>
      </c>
      <c r="O1283" s="25"/>
      <c r="Q128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S1283" t="s">
        <v>323</v>
      </c>
      <c r="U128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3" s="29"/>
      <c r="AC1283" s="25" t="s">
        <v>4991</v>
      </c>
      <c r="AD1283" s="41"/>
      <c r="AE1283" s="41"/>
      <c r="AF1283" s="11"/>
      <c r="AH1283" s="7" t="str">
        <f>Table1[[#This Row],[html_tag]]&amp;Table1[[#This Row],[html_type]]&amp;Table1[[#This Row],[html_modifier]]</f>
        <v/>
      </c>
      <c r="AL1283" s="23" t="str">
        <f>IFERROR(_xlfn.XLOOKUP(Table1[[#This Row],[word]],Table57[English style name],Table57[Style type]),"")</f>
        <v/>
      </c>
      <c r="AM1283" s="21"/>
      <c r="AN1283" s="11"/>
    </row>
    <row r="1284" spans="6:44">
      <c r="F12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4" s="13" t="s">
        <v>337</v>
      </c>
      <c r="H1284" s="13" t="s">
        <v>2987</v>
      </c>
      <c r="I1284" s="12" t="str">
        <f>Table1[[#This Row],[type]]</f>
        <v>form</v>
      </c>
      <c r="J1284" s="62" t="str">
        <f>Table1[[#This Row],[Column42]]&amp;IF(Table1[[#This Row],[Column13]]="","",Table1[[#This Row],[Column13]])&amp;IF(Table1[[#This Row],[mod]]="","",Table1[[#This Row],[mod]])</f>
        <v>form__right</v>
      </c>
      <c r="K12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form__right</v>
      </c>
      <c r="L1284" t="s">
        <v>415</v>
      </c>
      <c r="N1284" t="s">
        <v>617</v>
      </c>
      <c r="P1284" s="6" t="s">
        <v>1700</v>
      </c>
      <c r="Q12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4" s="29"/>
      <c r="AC1284" s="25"/>
      <c r="AD1284" s="41"/>
      <c r="AE1284" s="41"/>
      <c r="AF1284" s="11" t="s">
        <v>183</v>
      </c>
      <c r="AH1284" s="1" t="str">
        <f>Table1[[#This Row],[html_tag]]&amp;Table1[[#This Row],[html_type]]&amp;Table1[[#This Row],[html_modifier]]</f>
        <v/>
      </c>
      <c r="AL1284" s="22" t="str">
        <f>IFERROR(_xlfn.XLOOKUP(Table1[[#This Row],[word]],Table57[English style name],Table57[Style type]),"")</f>
        <v/>
      </c>
      <c r="AM1284" s="20"/>
      <c r="AN1284" s="11"/>
      <c r="AQ1284" s="6" t="s">
        <v>1700</v>
      </c>
      <c r="AR1284" t="s">
        <v>1690</v>
      </c>
    </row>
    <row r="1285" spans="6:44">
      <c r="F12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5" s="13" t="s">
        <v>337</v>
      </c>
      <c r="H1285" s="13" t="s">
        <v>2987</v>
      </c>
      <c r="I1285" s="12" t="str">
        <f>Table1[[#This Row],[type]]</f>
        <v>form</v>
      </c>
      <c r="J1285" s="62" t="str">
        <f>Table1[[#This Row],[Column42]]&amp;IF(Table1[[#This Row],[Column13]]="","",Table1[[#This Row],[Column13]])&amp;IF(Table1[[#This Row],[mod]]="","",Table1[[#This Row],[mod]])</f>
        <v>form--base</v>
      </c>
      <c r="K12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85" t="s">
        <v>415</v>
      </c>
      <c r="P1285" s="6" t="s">
        <v>1714</v>
      </c>
      <c r="Q12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285" t="s">
        <v>338</v>
      </c>
      <c r="AB1285" s="29"/>
      <c r="AC1285" s="25"/>
      <c r="AD1285" s="41"/>
      <c r="AE1285" s="41"/>
      <c r="AF1285" s="11" t="s">
        <v>183</v>
      </c>
      <c r="AH1285" s="1" t="str">
        <f>Table1[[#This Row],[html_tag]]&amp;Table1[[#This Row],[html_type]]&amp;Table1[[#This Row],[html_modifier]]</f>
        <v/>
      </c>
      <c r="AL1285" s="22" t="str">
        <f>IFERROR(_xlfn.XLOOKUP(Table1[[#This Row],[word]],Table57[English style name],Table57[Style type]),"")</f>
        <v/>
      </c>
      <c r="AM1285" s="20"/>
      <c r="AN1285" s="11"/>
      <c r="AQ1285" s="6" t="s">
        <v>1714</v>
      </c>
      <c r="AR1285" t="s">
        <v>1690</v>
      </c>
    </row>
    <row r="1286" spans="6:44">
      <c r="F12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6" s="13" t="s">
        <v>337</v>
      </c>
      <c r="H1286" s="13" t="s">
        <v>2987</v>
      </c>
      <c r="I1286" s="12" t="str">
        <f>Table1[[#This Row],[type]]</f>
        <v>form</v>
      </c>
      <c r="J1286" s="62" t="str">
        <f>Table1[[#This Row],[Column42]]&amp;IF(Table1[[#This Row],[Column13]]="","",Table1[[#This Row],[Column13]])&amp;IF(Table1[[#This Row],[mod]]="","",Table1[[#This Row],[mod]])</f>
        <v>form--base</v>
      </c>
      <c r="K12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86" t="s">
        <v>415</v>
      </c>
      <c r="P1286" s="6" t="s">
        <v>1692</v>
      </c>
      <c r="Q12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286" t="s">
        <v>338</v>
      </c>
      <c r="AB1286" s="29"/>
      <c r="AC1286" s="25"/>
      <c r="AD1286" s="41"/>
      <c r="AE1286" s="41"/>
      <c r="AF1286" s="11" t="s">
        <v>183</v>
      </c>
      <c r="AH1286" s="1" t="str">
        <f>Table1[[#This Row],[html_tag]]&amp;Table1[[#This Row],[html_type]]&amp;Table1[[#This Row],[html_modifier]]</f>
        <v/>
      </c>
      <c r="AL1286" s="22" t="str">
        <f>IFERROR(_xlfn.XLOOKUP(Table1[[#This Row],[word]],Table57[English style name],Table57[Style type]),"")</f>
        <v/>
      </c>
      <c r="AM1286" s="20"/>
      <c r="AN1286" s="11"/>
      <c r="AQ1286" s="6" t="s">
        <v>1692</v>
      </c>
      <c r="AR1286" t="s">
        <v>1690</v>
      </c>
    </row>
    <row r="1287" spans="6:44">
      <c r="F12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7" s="13" t="s">
        <v>337</v>
      </c>
      <c r="H1287" s="13" t="s">
        <v>2987</v>
      </c>
      <c r="I1287" s="12" t="str">
        <f>Table1[[#This Row],[type]]</f>
        <v>form</v>
      </c>
      <c r="J1287" s="62" t="str">
        <f>Table1[[#This Row],[Column42]]&amp;IF(Table1[[#This Row],[Column13]]="","",Table1[[#This Row],[Column13]])&amp;IF(Table1[[#This Row],[mod]]="","",Table1[[#This Row],[mod]])</f>
        <v>form--horizontal</v>
      </c>
      <c r="K12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87" t="s">
        <v>415</v>
      </c>
      <c r="P1287" s="6" t="s">
        <v>1694</v>
      </c>
      <c r="Q12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287" t="s">
        <v>3205</v>
      </c>
      <c r="AB1287" s="29"/>
      <c r="AC1287" s="25"/>
      <c r="AD1287" s="41"/>
      <c r="AE1287" s="41"/>
      <c r="AF1287" s="11" t="s">
        <v>183</v>
      </c>
      <c r="AH1287" s="1" t="str">
        <f>Table1[[#This Row],[html_tag]]&amp;Table1[[#This Row],[html_type]]&amp;Table1[[#This Row],[html_modifier]]</f>
        <v/>
      </c>
      <c r="AL1287" s="22" t="str">
        <f>IFERROR(_xlfn.XLOOKUP(Table1[[#This Row],[word]],Table57[English style name],Table57[Style type]),"")</f>
        <v/>
      </c>
      <c r="AM1287" s="20"/>
      <c r="AN1287" s="11"/>
      <c r="AQ1287" s="6" t="s">
        <v>1694</v>
      </c>
      <c r="AR1287" t="s">
        <v>1690</v>
      </c>
    </row>
    <row r="1288" spans="6:44">
      <c r="F12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8" s="13" t="s">
        <v>337</v>
      </c>
      <c r="H1288" s="13" t="s">
        <v>2987</v>
      </c>
      <c r="I1288" s="12" t="str">
        <f>Table1[[#This Row],[type]]</f>
        <v>form</v>
      </c>
      <c r="J1288" s="62" t="str">
        <f>Table1[[#This Row],[Column42]]&amp;IF(Table1[[#This Row],[Column13]]="","",Table1[[#This Row],[Column13]])&amp;IF(Table1[[#This Row],[mod]]="","",Table1[[#This Row],[mod]])</f>
        <v>form--success</v>
      </c>
      <c r="K12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88" t="s">
        <v>415</v>
      </c>
      <c r="P1288" s="6" t="s">
        <v>1712</v>
      </c>
      <c r="Q12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288" t="s">
        <v>3120</v>
      </c>
      <c r="AB1288" s="29"/>
      <c r="AC1288" s="25"/>
      <c r="AD1288" s="41"/>
      <c r="AE1288" s="41"/>
      <c r="AF1288" s="11"/>
      <c r="AH1288" s="1" t="str">
        <f>Table1[[#This Row],[html_tag]]&amp;Table1[[#This Row],[html_type]]&amp;Table1[[#This Row],[html_modifier]]</f>
        <v/>
      </c>
      <c r="AL1288" s="22" t="str">
        <f>IFERROR(_xlfn.XLOOKUP(Table1[[#This Row],[word]],Table57[English style name],Table57[Style type]),"")</f>
        <v/>
      </c>
      <c r="AM1288" s="20"/>
      <c r="AN1288" s="11"/>
      <c r="AQ1288" s="6" t="s">
        <v>1712</v>
      </c>
      <c r="AR1288" t="s">
        <v>1690</v>
      </c>
    </row>
    <row r="1289" spans="6:44">
      <c r="F12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9" s="13" t="s">
        <v>461</v>
      </c>
      <c r="H1289" s="13" t="s">
        <v>545</v>
      </c>
      <c r="I1289" s="12" t="str">
        <f>Table1[[#This Row],[type]]</f>
        <v>frame</v>
      </c>
      <c r="J1289" s="62" t="str">
        <f>Table1[[#This Row],[Column42]]&amp;IF(Table1[[#This Row],[Column13]]="","",Table1[[#This Row],[Column13]])&amp;IF(Table1[[#This Row],[mod]]="","",Table1[[#This Row],[mod]])</f>
        <v>frame</v>
      </c>
      <c r="K12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89" t="s">
        <v>545</v>
      </c>
      <c r="P1289" s="6" t="s">
        <v>1770</v>
      </c>
      <c r="Q12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9" s="29"/>
      <c r="AC1289" s="25"/>
      <c r="AD1289" s="41"/>
      <c r="AE1289" s="41"/>
      <c r="AF1289" s="11"/>
      <c r="AH1289" s="1" t="str">
        <f>Table1[[#This Row],[html_tag]]&amp;Table1[[#This Row],[html_type]]&amp;Table1[[#This Row],[html_modifier]]</f>
        <v/>
      </c>
      <c r="AL1289" s="22" t="str">
        <f>IFERROR(_xlfn.XLOOKUP(Table1[[#This Row],[word]],Table57[English style name],Table57[Style type]),"")</f>
        <v/>
      </c>
      <c r="AM1289" s="20"/>
      <c r="AN1289" s="11"/>
      <c r="AQ1289" s="6" t="s">
        <v>1770</v>
      </c>
      <c r="AR1289" t="s">
        <v>1747</v>
      </c>
    </row>
    <row r="1290" spans="6:44">
      <c r="F12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0" s="13" t="s">
        <v>461</v>
      </c>
      <c r="H1290" s="13" t="s">
        <v>545</v>
      </c>
      <c r="I1290" s="12" t="str">
        <f>Table1[[#This Row],[type]]</f>
        <v>frame</v>
      </c>
      <c r="J1290" s="62" t="str">
        <f>Table1[[#This Row],[Column42]]&amp;IF(Table1[[#This Row],[Column13]]="","",Table1[[#This Row],[Column13]])&amp;IF(Table1[[#This Row],[mod]]="","",Table1[[#This Row],[mod]])</f>
        <v>frame</v>
      </c>
      <c r="K12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0" t="s">
        <v>545</v>
      </c>
      <c r="P1290" s="6" t="s">
        <v>1774</v>
      </c>
      <c r="Q12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0" s="29"/>
      <c r="AC1290" s="25"/>
      <c r="AD1290" s="41"/>
      <c r="AE1290" s="41"/>
      <c r="AF1290" s="11"/>
      <c r="AH1290" s="1" t="str">
        <f>Table1[[#This Row],[html_tag]]&amp;Table1[[#This Row],[html_type]]&amp;Table1[[#This Row],[html_modifier]]</f>
        <v/>
      </c>
      <c r="AL1290" s="22" t="str">
        <f>IFERROR(_xlfn.XLOOKUP(Table1[[#This Row],[word]],Table57[English style name],Table57[Style type]),"")</f>
        <v/>
      </c>
      <c r="AM1290" s="20"/>
      <c r="AN1290" s="11"/>
      <c r="AQ1290" s="6" t="s">
        <v>1774</v>
      </c>
      <c r="AR1290" t="s">
        <v>1747</v>
      </c>
    </row>
    <row r="1291" spans="6:44">
      <c r="F12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1" s="13" t="s">
        <v>461</v>
      </c>
      <c r="H1291" s="13" t="s">
        <v>545</v>
      </c>
      <c r="I1291" s="12" t="str">
        <f>Table1[[#This Row],[type]]</f>
        <v>frame</v>
      </c>
      <c r="J1291" s="62" t="str">
        <f>Table1[[#This Row],[Column42]]&amp;IF(Table1[[#This Row],[Column13]]="","",Table1[[#This Row],[Column13]])&amp;IF(Table1[[#This Row],[mod]]="","",Table1[[#This Row],[mod]])</f>
        <v>frame</v>
      </c>
      <c r="K12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1" t="s">
        <v>545</v>
      </c>
      <c r="P1291" s="6" t="s">
        <v>1789</v>
      </c>
      <c r="Q12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1" s="29"/>
      <c r="AC1291" s="25"/>
      <c r="AD1291" s="41"/>
      <c r="AE1291" s="41"/>
      <c r="AF1291" s="11"/>
      <c r="AH1291" s="1" t="str">
        <f>Table1[[#This Row],[html_tag]]&amp;Table1[[#This Row],[html_type]]&amp;Table1[[#This Row],[html_modifier]]</f>
        <v/>
      </c>
      <c r="AL1291" s="22" t="str">
        <f>IFERROR(_xlfn.XLOOKUP(Table1[[#This Row],[word]],Table57[English style name],Table57[Style type]),"")</f>
        <v/>
      </c>
      <c r="AM1291" s="20"/>
      <c r="AN1291" s="11"/>
      <c r="AQ1291" s="6" t="s">
        <v>1789</v>
      </c>
      <c r="AR1291" t="s">
        <v>1790</v>
      </c>
    </row>
    <row r="1292" spans="6:44">
      <c r="F12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2" s="13" t="s">
        <v>461</v>
      </c>
      <c r="H1292" s="13" t="s">
        <v>545</v>
      </c>
      <c r="I1292" s="12" t="str">
        <f>Table1[[#This Row],[type]]</f>
        <v>frame</v>
      </c>
      <c r="J1292" s="62" t="str">
        <f>Table1[[#This Row],[Column42]]&amp;IF(Table1[[#This Row],[Column13]]="","",Table1[[#This Row],[Column13]])&amp;IF(Table1[[#This Row],[mod]]="","",Table1[[#This Row],[mod]])</f>
        <v>frame</v>
      </c>
      <c r="K12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2" t="s">
        <v>545</v>
      </c>
      <c r="P1292" s="6" t="s">
        <v>1791</v>
      </c>
      <c r="Q12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2" s="29"/>
      <c r="AC1292" s="25"/>
      <c r="AD1292" s="41"/>
      <c r="AE1292" s="41"/>
      <c r="AF1292" s="11"/>
      <c r="AH1292" s="1" t="str">
        <f>Table1[[#This Row],[html_tag]]&amp;Table1[[#This Row],[html_type]]&amp;Table1[[#This Row],[html_modifier]]</f>
        <v/>
      </c>
      <c r="AL1292" s="22" t="str">
        <f>IFERROR(_xlfn.XLOOKUP(Table1[[#This Row],[word]],Table57[English style name],Table57[Style type]),"")</f>
        <v/>
      </c>
      <c r="AM1292" s="20"/>
      <c r="AN1292" s="11"/>
      <c r="AQ1292" s="6" t="s">
        <v>1791</v>
      </c>
      <c r="AR1292" t="s">
        <v>1790</v>
      </c>
    </row>
    <row r="1293" spans="6:44">
      <c r="F12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3" s="13" t="s">
        <v>461</v>
      </c>
      <c r="H1293" s="13" t="s">
        <v>545</v>
      </c>
      <c r="I1293" s="12" t="str">
        <f>Table1[[#This Row],[type]]</f>
        <v>frame</v>
      </c>
      <c r="J1293" s="62" t="str">
        <f>Table1[[#This Row],[Column42]]&amp;IF(Table1[[#This Row],[Column13]]="","",Table1[[#This Row],[Column13]])&amp;IF(Table1[[#This Row],[mod]]="","",Table1[[#This Row],[mod]])</f>
        <v>frame</v>
      </c>
      <c r="K12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3" t="s">
        <v>545</v>
      </c>
      <c r="P1293" s="6" t="s">
        <v>1792</v>
      </c>
      <c r="Q12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3" s="29"/>
      <c r="AC1293" s="25"/>
      <c r="AD1293" s="41"/>
      <c r="AE1293" s="41"/>
      <c r="AF1293" s="11"/>
      <c r="AH1293" s="1" t="str">
        <f>Table1[[#This Row],[html_tag]]&amp;Table1[[#This Row],[html_type]]&amp;Table1[[#This Row],[html_modifier]]</f>
        <v/>
      </c>
      <c r="AL1293" s="22" t="str">
        <f>IFERROR(_xlfn.XLOOKUP(Table1[[#This Row],[word]],Table57[English style name],Table57[Style type]),"")</f>
        <v/>
      </c>
      <c r="AM1293" s="20"/>
      <c r="AN1293" s="11"/>
      <c r="AQ1293" s="6" t="s">
        <v>1792</v>
      </c>
      <c r="AR1293" t="s">
        <v>1793</v>
      </c>
    </row>
    <row r="1294" spans="6:44">
      <c r="F12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4" s="13" t="s">
        <v>461</v>
      </c>
      <c r="H1294" s="13" t="s">
        <v>545</v>
      </c>
      <c r="I1294" s="12" t="str">
        <f>Table1[[#This Row],[type]]</f>
        <v>frame</v>
      </c>
      <c r="J1294" s="62" t="str">
        <f>Table1[[#This Row],[Column42]]&amp;IF(Table1[[#This Row],[Column13]]="","",Table1[[#This Row],[Column13]])&amp;IF(Table1[[#This Row],[mod]]="","",Table1[[#This Row],[mod]])</f>
        <v>frame</v>
      </c>
      <c r="K12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4" t="s">
        <v>545</v>
      </c>
      <c r="P1294" s="6" t="s">
        <v>1794</v>
      </c>
      <c r="Q12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4" s="29"/>
      <c r="AC1294" s="25"/>
      <c r="AD1294" s="41"/>
      <c r="AE1294" s="41"/>
      <c r="AF1294" s="11"/>
      <c r="AH1294" s="1" t="str">
        <f>Table1[[#This Row],[html_tag]]&amp;Table1[[#This Row],[html_type]]&amp;Table1[[#This Row],[html_modifier]]</f>
        <v/>
      </c>
      <c r="AL1294" s="22" t="str">
        <f>IFERROR(_xlfn.XLOOKUP(Table1[[#This Row],[word]],Table57[English style name],Table57[Style type]),"")</f>
        <v/>
      </c>
      <c r="AM1294" s="20"/>
      <c r="AN1294" s="11"/>
      <c r="AQ1294" s="6" t="s">
        <v>1794</v>
      </c>
      <c r="AR1294" t="s">
        <v>1793</v>
      </c>
    </row>
    <row r="1295" spans="6:44">
      <c r="F12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5" s="13" t="s">
        <v>461</v>
      </c>
      <c r="H1295" s="13" t="s">
        <v>545</v>
      </c>
      <c r="I1295" s="12" t="str">
        <f>Table1[[#This Row],[type]]</f>
        <v>frame</v>
      </c>
      <c r="J1295" s="62" t="str">
        <f>Table1[[#This Row],[Column42]]&amp;IF(Table1[[#This Row],[Column13]]="","",Table1[[#This Row],[Column13]])&amp;IF(Table1[[#This Row],[mod]]="","",Table1[[#This Row],[mod]])</f>
        <v>frame</v>
      </c>
      <c r="K12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5" t="s">
        <v>545</v>
      </c>
      <c r="P1295" s="6" t="s">
        <v>1795</v>
      </c>
      <c r="Q12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5" s="29"/>
      <c r="AC1295" s="25"/>
      <c r="AD1295" s="41"/>
      <c r="AE1295" s="41"/>
      <c r="AF1295" s="11"/>
      <c r="AH1295" s="1" t="str">
        <f>Table1[[#This Row],[html_tag]]&amp;Table1[[#This Row],[html_type]]&amp;Table1[[#This Row],[html_modifier]]</f>
        <v/>
      </c>
      <c r="AL1295" s="22" t="str">
        <f>IFERROR(_xlfn.XLOOKUP(Table1[[#This Row],[word]],Table57[English style name],Table57[Style type]),"")</f>
        <v/>
      </c>
      <c r="AM1295" s="20"/>
      <c r="AN1295" s="11"/>
      <c r="AQ1295" s="6" t="s">
        <v>1795</v>
      </c>
      <c r="AR1295" t="s">
        <v>1814</v>
      </c>
    </row>
    <row r="1296" spans="6:44">
      <c r="F12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6" s="13" t="s">
        <v>461</v>
      </c>
      <c r="H1296" s="13" t="s">
        <v>545</v>
      </c>
      <c r="I1296" s="12" t="str">
        <f>Table1[[#This Row],[type]]</f>
        <v>frame</v>
      </c>
      <c r="J1296" s="62" t="str">
        <f>Table1[[#This Row],[Column42]]&amp;IF(Table1[[#This Row],[Column13]]="","",Table1[[#This Row],[Column13]])&amp;IF(Table1[[#This Row],[mod]]="","",Table1[[#This Row],[mod]])</f>
        <v>frame</v>
      </c>
      <c r="K12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6" t="s">
        <v>545</v>
      </c>
      <c r="P1296" s="6" t="s">
        <v>1795</v>
      </c>
      <c r="Q12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6" s="29"/>
      <c r="AC1296" s="25"/>
      <c r="AD1296" s="41"/>
      <c r="AE1296" s="41"/>
      <c r="AF1296" s="11"/>
      <c r="AH1296" s="1" t="str">
        <f>Table1[[#This Row],[html_tag]]&amp;Table1[[#This Row],[html_type]]&amp;Table1[[#This Row],[html_modifier]]</f>
        <v/>
      </c>
      <c r="AL1296" s="22" t="str">
        <f>IFERROR(_xlfn.XLOOKUP(Table1[[#This Row],[word]],Table57[English style name],Table57[Style type]),"")</f>
        <v/>
      </c>
      <c r="AM1296" s="20"/>
      <c r="AN1296" s="11"/>
      <c r="AQ1296" s="6" t="s">
        <v>1795</v>
      </c>
      <c r="AR1296" t="s">
        <v>1796</v>
      </c>
    </row>
    <row r="1297" spans="6:44">
      <c r="F12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7" s="13" t="s">
        <v>461</v>
      </c>
      <c r="H1297" s="13" t="s">
        <v>545</v>
      </c>
      <c r="I1297" s="12" t="str">
        <f>Table1[[#This Row],[type]]</f>
        <v>frame</v>
      </c>
      <c r="J1297" s="62" t="str">
        <f>Table1[[#This Row],[Column42]]&amp;IF(Table1[[#This Row],[Column13]]="","",Table1[[#This Row],[Column13]])&amp;IF(Table1[[#This Row],[mod]]="","",Table1[[#This Row],[mod]])</f>
        <v>frame</v>
      </c>
      <c r="K12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7" t="s">
        <v>545</v>
      </c>
      <c r="P1297" s="6" t="s">
        <v>1744</v>
      </c>
      <c r="Q12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7" s="29"/>
      <c r="AC1297" s="25"/>
      <c r="AD1297" s="41"/>
      <c r="AE1297" s="41"/>
      <c r="AF1297" s="11"/>
      <c r="AH1297" s="1" t="str">
        <f>Table1[[#This Row],[html_tag]]&amp;Table1[[#This Row],[html_type]]&amp;Table1[[#This Row],[html_modifier]]</f>
        <v/>
      </c>
      <c r="AL1297" s="22" t="str">
        <f>IFERROR(_xlfn.XLOOKUP(Table1[[#This Row],[word]],Table57[English style name],Table57[Style type]),"")</f>
        <v/>
      </c>
      <c r="AM1297" s="20"/>
      <c r="AN1297" s="11"/>
      <c r="AQ1297" s="6" t="s">
        <v>1744</v>
      </c>
      <c r="AR1297" t="s">
        <v>1745</v>
      </c>
    </row>
    <row r="1298" spans="6:44">
      <c r="F12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8" s="13" t="s">
        <v>461</v>
      </c>
      <c r="H1298" s="13" t="s">
        <v>545</v>
      </c>
      <c r="I1298" s="12" t="str">
        <f>Table1[[#This Row],[type]]</f>
        <v>frame</v>
      </c>
      <c r="J1298" s="62" t="str">
        <f>Table1[[#This Row],[Column42]]&amp;IF(Table1[[#This Row],[Column13]]="","",Table1[[#This Row],[Column13]])&amp;IF(Table1[[#This Row],[mod]]="","",Table1[[#This Row],[mod]])</f>
        <v>frame</v>
      </c>
      <c r="K12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8" t="s">
        <v>545</v>
      </c>
      <c r="P1298" s="6" t="s">
        <v>1803</v>
      </c>
      <c r="Q12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8" s="29"/>
      <c r="AC1298" s="25"/>
      <c r="AD1298" s="41"/>
      <c r="AE1298" s="41"/>
      <c r="AF1298" s="11"/>
      <c r="AH1298" s="1" t="str">
        <f>Table1[[#This Row],[html_tag]]&amp;Table1[[#This Row],[html_type]]&amp;Table1[[#This Row],[html_modifier]]</f>
        <v/>
      </c>
      <c r="AL1298" s="22" t="str">
        <f>IFERROR(_xlfn.XLOOKUP(Table1[[#This Row],[word]],Table57[English style name],Table57[Style type]),"")</f>
        <v/>
      </c>
      <c r="AM1298" s="20"/>
      <c r="AN1298" s="11"/>
      <c r="AQ1298" s="6" t="s">
        <v>1803</v>
      </c>
      <c r="AR1298" t="s">
        <v>1814</v>
      </c>
    </row>
    <row r="1299" spans="6:44">
      <c r="F12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9" s="13" t="s">
        <v>461</v>
      </c>
      <c r="H1299" s="13" t="s">
        <v>545</v>
      </c>
      <c r="I1299" s="12" t="str">
        <f>Table1[[#This Row],[type]]</f>
        <v>frame</v>
      </c>
      <c r="J1299" s="62" t="str">
        <f>Table1[[#This Row],[Column42]]&amp;IF(Table1[[#This Row],[Column13]]="","",Table1[[#This Row],[Column13]])&amp;IF(Table1[[#This Row],[mod]]="","",Table1[[#This Row],[mod]])</f>
        <v>frame</v>
      </c>
      <c r="K12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9" t="s">
        <v>545</v>
      </c>
      <c r="P1299" s="6" t="s">
        <v>1803</v>
      </c>
      <c r="Q12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9" s="29"/>
      <c r="AC1299" s="25"/>
      <c r="AD1299" s="41"/>
      <c r="AE1299" s="41"/>
      <c r="AF1299" s="11"/>
      <c r="AH1299" s="1" t="str">
        <f>Table1[[#This Row],[html_tag]]&amp;Table1[[#This Row],[html_type]]&amp;Table1[[#This Row],[html_modifier]]</f>
        <v/>
      </c>
      <c r="AL1299" s="22" t="str">
        <f>IFERROR(_xlfn.XLOOKUP(Table1[[#This Row],[word]],Table57[English style name],Table57[Style type]),"")</f>
        <v/>
      </c>
      <c r="AM1299" s="20"/>
      <c r="AN1299" s="11"/>
      <c r="AQ1299" s="6" t="s">
        <v>1803</v>
      </c>
      <c r="AR1299" t="s">
        <v>1796</v>
      </c>
    </row>
    <row r="1300" spans="6:44">
      <c r="F13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0" s="13" t="s">
        <v>461</v>
      </c>
      <c r="H1300" s="13" t="s">
        <v>545</v>
      </c>
      <c r="I1300" s="12" t="str">
        <f>Table1[[#This Row],[type]]</f>
        <v>frame</v>
      </c>
      <c r="J1300" s="62" t="str">
        <f>Table1[[#This Row],[Column42]]&amp;IF(Table1[[#This Row],[Column13]]="","",Table1[[#This Row],[Column13]])&amp;IF(Table1[[#This Row],[mod]]="","",Table1[[#This Row],[mod]])</f>
        <v>frame</v>
      </c>
      <c r="K13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0" t="s">
        <v>545</v>
      </c>
      <c r="P1300" s="6" t="s">
        <v>1805</v>
      </c>
      <c r="Q13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0" s="29"/>
      <c r="AC1300" s="25"/>
      <c r="AD1300" s="41"/>
      <c r="AE1300" s="41"/>
      <c r="AF1300" s="11"/>
      <c r="AH1300" s="1" t="str">
        <f>Table1[[#This Row],[html_tag]]&amp;Table1[[#This Row],[html_type]]&amp;Table1[[#This Row],[html_modifier]]</f>
        <v/>
      </c>
      <c r="AL1300" s="22" t="str">
        <f>IFERROR(_xlfn.XLOOKUP(Table1[[#This Row],[word]],Table57[English style name],Table57[Style type]),"")</f>
        <v/>
      </c>
      <c r="AM1300" s="20"/>
      <c r="AN1300" s="11"/>
      <c r="AQ1300" s="6" t="s">
        <v>1805</v>
      </c>
      <c r="AR1300" t="s">
        <v>1814</v>
      </c>
    </row>
    <row r="1301" spans="6:44">
      <c r="F13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1" s="13" t="s">
        <v>461</v>
      </c>
      <c r="H1301" s="13" t="s">
        <v>545</v>
      </c>
      <c r="I1301" s="12" t="str">
        <f>Table1[[#This Row],[type]]</f>
        <v>frame</v>
      </c>
      <c r="J1301" s="62" t="str">
        <f>Table1[[#This Row],[Column42]]&amp;IF(Table1[[#This Row],[Column13]]="","",Table1[[#This Row],[Column13]])&amp;IF(Table1[[#This Row],[mod]]="","",Table1[[#This Row],[mod]])</f>
        <v>frame</v>
      </c>
      <c r="K13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1" t="s">
        <v>545</v>
      </c>
      <c r="P1301" s="6" t="s">
        <v>1805</v>
      </c>
      <c r="Q13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1" s="29"/>
      <c r="AC1301" s="25"/>
      <c r="AD1301" s="41"/>
      <c r="AE1301" s="41"/>
      <c r="AF1301" s="11"/>
      <c r="AH1301" s="1" t="str">
        <f>Table1[[#This Row],[html_tag]]&amp;Table1[[#This Row],[html_type]]&amp;Table1[[#This Row],[html_modifier]]</f>
        <v/>
      </c>
      <c r="AL1301" s="22" t="str">
        <f>IFERROR(_xlfn.XLOOKUP(Table1[[#This Row],[word]],Table57[English style name],Table57[Style type]),"")</f>
        <v/>
      </c>
      <c r="AM1301" s="20"/>
      <c r="AN1301" s="11"/>
      <c r="AQ1301" s="6" t="s">
        <v>1805</v>
      </c>
      <c r="AR1301" t="s">
        <v>1796</v>
      </c>
    </row>
    <row r="1302" spans="6:44">
      <c r="F13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2" s="13" t="s">
        <v>461</v>
      </c>
      <c r="H1302" s="13" t="s">
        <v>545</v>
      </c>
      <c r="I1302" s="12" t="str">
        <f>Table1[[#This Row],[type]]</f>
        <v>frame</v>
      </c>
      <c r="J1302" s="62" t="str">
        <f>Table1[[#This Row],[Column42]]&amp;IF(Table1[[#This Row],[Column13]]="","",Table1[[#This Row],[Column13]])&amp;IF(Table1[[#This Row],[mod]]="","",Table1[[#This Row],[mod]])</f>
        <v>frame</v>
      </c>
      <c r="K13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2" t="s">
        <v>545</v>
      </c>
      <c r="P1302" s="6" t="s">
        <v>1746</v>
      </c>
      <c r="Q13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2" s="29"/>
      <c r="AC1302" s="25"/>
      <c r="AD1302" s="41"/>
      <c r="AE1302" s="41"/>
      <c r="AF1302" s="11"/>
      <c r="AH1302" s="1" t="str">
        <f>Table1[[#This Row],[html_tag]]&amp;Table1[[#This Row],[html_type]]&amp;Table1[[#This Row],[html_modifier]]</f>
        <v/>
      </c>
      <c r="AL1302" s="22" t="str">
        <f>IFERROR(_xlfn.XLOOKUP(Table1[[#This Row],[word]],Table57[English style name],Table57[Style type]),"")</f>
        <v/>
      </c>
      <c r="AM1302" s="20"/>
      <c r="AN1302" s="11"/>
      <c r="AQ1302" s="6" t="s">
        <v>1746</v>
      </c>
      <c r="AR1302" t="s">
        <v>1747</v>
      </c>
    </row>
    <row r="1303" spans="6:44">
      <c r="F13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3" s="13" t="s">
        <v>461</v>
      </c>
      <c r="H1303" s="13" t="s">
        <v>545</v>
      </c>
      <c r="I1303" s="12" t="str">
        <f>Table1[[#This Row],[type]]</f>
        <v>frame</v>
      </c>
      <c r="J1303" s="62" t="str">
        <f>Table1[[#This Row],[Column42]]&amp;IF(Table1[[#This Row],[Column13]]="","",Table1[[#This Row],[Column13]])&amp;IF(Table1[[#This Row],[mod]]="","",Table1[[#This Row],[mod]])</f>
        <v>frame</v>
      </c>
      <c r="K13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3" t="s">
        <v>545</v>
      </c>
      <c r="P1303" s="6" t="s">
        <v>1748</v>
      </c>
      <c r="Q13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3" s="29"/>
      <c r="AC1303" s="25"/>
      <c r="AD1303" s="41"/>
      <c r="AE1303" s="41"/>
      <c r="AF1303" s="11"/>
      <c r="AH1303" s="1" t="str">
        <f>Table1[[#This Row],[html_tag]]&amp;Table1[[#This Row],[html_type]]&amp;Table1[[#This Row],[html_modifier]]</f>
        <v/>
      </c>
      <c r="AL1303" s="22" t="str">
        <f>IFERROR(_xlfn.XLOOKUP(Table1[[#This Row],[word]],Table57[English style name],Table57[Style type]),"")</f>
        <v/>
      </c>
      <c r="AM1303" s="20"/>
      <c r="AN1303" s="11"/>
      <c r="AQ1303" s="6" t="s">
        <v>1748</v>
      </c>
      <c r="AR1303" t="s">
        <v>1747</v>
      </c>
    </row>
    <row r="1304" spans="6:44">
      <c r="F13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4" s="13" t="s">
        <v>461</v>
      </c>
      <c r="H1304" s="13" t="s">
        <v>545</v>
      </c>
      <c r="I1304" s="12" t="str">
        <f>Table1[[#This Row],[type]]</f>
        <v>frame</v>
      </c>
      <c r="J1304" s="62" t="str">
        <f>Table1[[#This Row],[Column42]]&amp;IF(Table1[[#This Row],[Column13]]="","",Table1[[#This Row],[Column13]])&amp;IF(Table1[[#This Row],[mod]]="","",Table1[[#This Row],[mod]])</f>
        <v>frame</v>
      </c>
      <c r="K13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4" t="s">
        <v>545</v>
      </c>
      <c r="P1304" s="6" t="s">
        <v>1756</v>
      </c>
      <c r="Q13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4" s="29"/>
      <c r="AC1304" s="25"/>
      <c r="AD1304" s="41"/>
      <c r="AE1304" s="41"/>
      <c r="AF1304" s="11"/>
      <c r="AH1304" s="1" t="str">
        <f>Table1[[#This Row],[html_tag]]&amp;Table1[[#This Row],[html_type]]&amp;Table1[[#This Row],[html_modifier]]</f>
        <v/>
      </c>
      <c r="AL1304" s="22" t="str">
        <f>IFERROR(_xlfn.XLOOKUP(Table1[[#This Row],[word]],Table57[English style name],Table57[Style type]),"")</f>
        <v/>
      </c>
      <c r="AM1304" s="20"/>
      <c r="AN1304" s="11"/>
      <c r="AQ1304" s="6" t="s">
        <v>1756</v>
      </c>
      <c r="AR1304" t="s">
        <v>1747</v>
      </c>
    </row>
    <row r="1305" spans="6:44">
      <c r="F13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5" s="13" t="s">
        <v>461</v>
      </c>
      <c r="H1305" s="13" t="s">
        <v>545</v>
      </c>
      <c r="I1305" s="12" t="str">
        <f>Table1[[#This Row],[type]]</f>
        <v>frame</v>
      </c>
      <c r="J1305" s="62" t="str">
        <f>Table1[[#This Row],[Column42]]&amp;IF(Table1[[#This Row],[Column13]]="","",Table1[[#This Row],[Column13]])&amp;IF(Table1[[#This Row],[mod]]="","",Table1[[#This Row],[mod]])</f>
        <v>frame</v>
      </c>
      <c r="K13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5" t="s">
        <v>545</v>
      </c>
      <c r="P1305" s="6" t="s">
        <v>1757</v>
      </c>
      <c r="Q13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5" s="29"/>
      <c r="AC1305" s="25"/>
      <c r="AD1305" s="41"/>
      <c r="AE1305" s="41"/>
      <c r="AF1305" s="11"/>
      <c r="AH1305" s="1" t="str">
        <f>Table1[[#This Row],[html_tag]]&amp;Table1[[#This Row],[html_type]]&amp;Table1[[#This Row],[html_modifier]]</f>
        <v/>
      </c>
      <c r="AL1305" s="22" t="str">
        <f>IFERROR(_xlfn.XLOOKUP(Table1[[#This Row],[word]],Table57[English style name],Table57[Style type]),"")</f>
        <v/>
      </c>
      <c r="AM1305" s="20"/>
      <c r="AN1305" s="11"/>
      <c r="AQ1305" s="6" t="s">
        <v>1757</v>
      </c>
      <c r="AR1305" t="s">
        <v>1747</v>
      </c>
    </row>
    <row r="1306" spans="6:44">
      <c r="F13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6" s="13" t="s">
        <v>461</v>
      </c>
      <c r="H1306" s="13" t="s">
        <v>545</v>
      </c>
      <c r="I1306" s="12" t="str">
        <f>Table1[[#This Row],[type]]</f>
        <v>frame</v>
      </c>
      <c r="J1306" s="62" t="str">
        <f>Table1[[#This Row],[Column42]]&amp;IF(Table1[[#This Row],[Column13]]="","",Table1[[#This Row],[Column13]])&amp;IF(Table1[[#This Row],[mod]]="","",Table1[[#This Row],[mod]])</f>
        <v>frame</v>
      </c>
      <c r="K13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6" t="s">
        <v>545</v>
      </c>
      <c r="P1306" s="6" t="s">
        <v>1778</v>
      </c>
      <c r="Q13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6" s="29"/>
      <c r="AC1306" s="25"/>
      <c r="AD1306" s="41"/>
      <c r="AE1306" s="41"/>
      <c r="AF1306" s="11"/>
      <c r="AH1306" s="1" t="str">
        <f>Table1[[#This Row],[html_tag]]&amp;Table1[[#This Row],[html_type]]&amp;Table1[[#This Row],[html_modifier]]</f>
        <v/>
      </c>
      <c r="AL1306" s="22" t="str">
        <f>IFERROR(_xlfn.XLOOKUP(Table1[[#This Row],[word]],Table57[English style name],Table57[Style type]),"")</f>
        <v/>
      </c>
      <c r="AM1306" s="20"/>
      <c r="AN1306" s="11"/>
      <c r="AQ1306" s="6" t="s">
        <v>1778</v>
      </c>
      <c r="AR1306" t="s">
        <v>1779</v>
      </c>
    </row>
    <row r="1307" spans="6:44">
      <c r="F13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7" s="13" t="s">
        <v>461</v>
      </c>
      <c r="H1307" s="13" t="s">
        <v>545</v>
      </c>
      <c r="I1307" s="12" t="str">
        <f>Table1[[#This Row],[type]]</f>
        <v>frame</v>
      </c>
      <c r="J1307" s="62" t="str">
        <f>Table1[[#This Row],[Column42]]&amp;IF(Table1[[#This Row],[Column13]]="","",Table1[[#This Row],[Column13]])&amp;IF(Table1[[#This Row],[mod]]="","",Table1[[#This Row],[mod]])</f>
        <v>frame</v>
      </c>
      <c r="K13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7" t="s">
        <v>545</v>
      </c>
      <c r="P1307" s="6" t="s">
        <v>1759</v>
      </c>
      <c r="Q13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7" s="29"/>
      <c r="AC1307" s="25"/>
      <c r="AD1307" s="41"/>
      <c r="AE1307" s="41"/>
      <c r="AF1307" s="11"/>
      <c r="AH1307" s="1" t="str">
        <f>Table1[[#This Row],[html_tag]]&amp;Table1[[#This Row],[html_type]]&amp;Table1[[#This Row],[html_modifier]]</f>
        <v/>
      </c>
      <c r="AL1307" s="22" t="str">
        <f>IFERROR(_xlfn.XLOOKUP(Table1[[#This Row],[word]],Table57[English style name],Table57[Style type]),"")</f>
        <v/>
      </c>
      <c r="AM1307" s="20"/>
      <c r="AN1307" s="11"/>
      <c r="AQ1307" s="6" t="s">
        <v>1759</v>
      </c>
      <c r="AR1307" t="s">
        <v>1747</v>
      </c>
    </row>
    <row r="1308" spans="6:44">
      <c r="F13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8" s="13" t="s">
        <v>461</v>
      </c>
      <c r="H1308" s="13" t="s">
        <v>545</v>
      </c>
      <c r="I1308" s="12" t="str">
        <f>Table1[[#This Row],[type]]</f>
        <v>frame</v>
      </c>
      <c r="J1308" s="62" t="str">
        <f>Table1[[#This Row],[Column42]]&amp;IF(Table1[[#This Row],[Column13]]="","",Table1[[#This Row],[Column13]])&amp;IF(Table1[[#This Row],[mod]]="","",Table1[[#This Row],[mod]])</f>
        <v>frame</v>
      </c>
      <c r="K13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8" t="s">
        <v>545</v>
      </c>
      <c r="P1308" s="6" t="s">
        <v>1760</v>
      </c>
      <c r="Q13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8" s="29"/>
      <c r="AC1308" s="25"/>
      <c r="AD1308" s="41"/>
      <c r="AE1308" s="41"/>
      <c r="AF1308" s="11"/>
      <c r="AH1308" s="1" t="str">
        <f>Table1[[#This Row],[html_tag]]&amp;Table1[[#This Row],[html_type]]&amp;Table1[[#This Row],[html_modifier]]</f>
        <v/>
      </c>
      <c r="AL1308" s="22" t="str">
        <f>IFERROR(_xlfn.XLOOKUP(Table1[[#This Row],[word]],Table57[English style name],Table57[Style type]),"")</f>
        <v/>
      </c>
      <c r="AM1308" s="20"/>
      <c r="AN1308" s="11"/>
      <c r="AQ1308" s="6" t="s">
        <v>1760</v>
      </c>
      <c r="AR1308" t="s">
        <v>1747</v>
      </c>
    </row>
    <row r="1309" spans="6:44">
      <c r="F13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9" s="13" t="s">
        <v>461</v>
      </c>
      <c r="H1309" s="13" t="s">
        <v>545</v>
      </c>
      <c r="I1309" s="12" t="str">
        <f>Table1[[#This Row],[type]]</f>
        <v>frame</v>
      </c>
      <c r="J1309" s="62" t="str">
        <f>Table1[[#This Row],[Column42]]&amp;IF(Table1[[#This Row],[Column13]]="","",Table1[[#This Row],[Column13]])&amp;IF(Table1[[#This Row],[mod]]="","",Table1[[#This Row],[mod]])</f>
        <v>frame</v>
      </c>
      <c r="K13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9" t="s">
        <v>545</v>
      </c>
      <c r="P1309" s="6" t="s">
        <v>1761</v>
      </c>
      <c r="Q13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9" s="29"/>
      <c r="AC1309" s="25"/>
      <c r="AD1309" s="41"/>
      <c r="AE1309" s="41"/>
      <c r="AF1309" s="11"/>
      <c r="AH1309" s="1" t="str">
        <f>Table1[[#This Row],[html_tag]]&amp;Table1[[#This Row],[html_type]]&amp;Table1[[#This Row],[html_modifier]]</f>
        <v/>
      </c>
      <c r="AL1309" s="22" t="str">
        <f>IFERROR(_xlfn.XLOOKUP(Table1[[#This Row],[word]],Table57[English style name],Table57[Style type]),"")</f>
        <v/>
      </c>
      <c r="AM1309" s="20"/>
      <c r="AN1309" s="11"/>
      <c r="AQ1309" s="6" t="s">
        <v>1761</v>
      </c>
      <c r="AR1309" t="s">
        <v>1747</v>
      </c>
    </row>
    <row r="1310" spans="6:44">
      <c r="F13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0" s="13" t="s">
        <v>461</v>
      </c>
      <c r="H1310" s="13" t="s">
        <v>545</v>
      </c>
      <c r="I1310" s="12" t="str">
        <f>Table1[[#This Row],[type]]</f>
        <v>frame</v>
      </c>
      <c r="J1310" s="62" t="str">
        <f>Table1[[#This Row],[Column42]]&amp;IF(Table1[[#This Row],[Column13]]="","",Table1[[#This Row],[Column13]])&amp;IF(Table1[[#This Row],[mod]]="","",Table1[[#This Row],[mod]])</f>
        <v>frame</v>
      </c>
      <c r="K13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0" t="s">
        <v>545</v>
      </c>
      <c r="P1310" s="6" t="s">
        <v>1762</v>
      </c>
      <c r="Q13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0" s="29"/>
      <c r="AC1310" s="25"/>
      <c r="AD1310" s="41"/>
      <c r="AE1310" s="41"/>
      <c r="AF1310" s="11"/>
      <c r="AH1310" s="1" t="str">
        <f>Table1[[#This Row],[html_tag]]&amp;Table1[[#This Row],[html_type]]&amp;Table1[[#This Row],[html_modifier]]</f>
        <v/>
      </c>
      <c r="AL1310" s="22" t="str">
        <f>IFERROR(_xlfn.XLOOKUP(Table1[[#This Row],[word]],Table57[English style name],Table57[Style type]),"")</f>
        <v/>
      </c>
      <c r="AM1310" s="20"/>
      <c r="AN1310" s="11"/>
      <c r="AQ1310" s="6" t="s">
        <v>1762</v>
      </c>
      <c r="AR1310" t="s">
        <v>1747</v>
      </c>
    </row>
    <row r="1311" spans="6:44">
      <c r="F13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1" s="13" t="s">
        <v>461</v>
      </c>
      <c r="H1311" s="13" t="s">
        <v>545</v>
      </c>
      <c r="I1311" s="12" t="str">
        <f>Table1[[#This Row],[type]]</f>
        <v>frame</v>
      </c>
      <c r="J1311" s="62" t="str">
        <f>Table1[[#This Row],[Column42]]&amp;IF(Table1[[#This Row],[Column13]]="","",Table1[[#This Row],[Column13]])&amp;IF(Table1[[#This Row],[mod]]="","",Table1[[#This Row],[mod]])</f>
        <v>frame</v>
      </c>
      <c r="K13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1" t="s">
        <v>545</v>
      </c>
      <c r="P1311" s="6" t="s">
        <v>1763</v>
      </c>
      <c r="Q13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1" s="29"/>
      <c r="AC1311" s="25"/>
      <c r="AD1311" s="41"/>
      <c r="AE1311" s="41"/>
      <c r="AF1311" s="11"/>
      <c r="AH1311" s="1" t="str">
        <f>Table1[[#This Row],[html_tag]]&amp;Table1[[#This Row],[html_type]]&amp;Table1[[#This Row],[html_modifier]]</f>
        <v/>
      </c>
      <c r="AL1311" s="22" t="str">
        <f>IFERROR(_xlfn.XLOOKUP(Table1[[#This Row],[word]],Table57[English style name],Table57[Style type]),"")</f>
        <v/>
      </c>
      <c r="AM1311" s="20"/>
      <c r="AN1311" s="11"/>
      <c r="AQ1311" s="6" t="s">
        <v>1763</v>
      </c>
      <c r="AR1311" t="s">
        <v>1747</v>
      </c>
    </row>
    <row r="1312" spans="6:44">
      <c r="F13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2" s="13" t="s">
        <v>461</v>
      </c>
      <c r="H1312" s="13" t="s">
        <v>545</v>
      </c>
      <c r="I1312" s="12" t="str">
        <f>Table1[[#This Row],[type]]</f>
        <v>frame</v>
      </c>
      <c r="J1312" s="62" t="str">
        <f>Table1[[#This Row],[Column42]]&amp;IF(Table1[[#This Row],[Column13]]="","",Table1[[#This Row],[Column13]])&amp;IF(Table1[[#This Row],[mod]]="","",Table1[[#This Row],[mod]])</f>
        <v>frame</v>
      </c>
      <c r="K13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2" t="s">
        <v>545</v>
      </c>
      <c r="P1312" s="6" t="s">
        <v>1764</v>
      </c>
      <c r="Q13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2" s="29"/>
      <c r="AC1312" s="25"/>
      <c r="AD1312" s="41"/>
      <c r="AE1312" s="41"/>
      <c r="AF1312" s="11"/>
      <c r="AH1312" s="1" t="str">
        <f>Table1[[#This Row],[html_tag]]&amp;Table1[[#This Row],[html_type]]&amp;Table1[[#This Row],[html_modifier]]</f>
        <v/>
      </c>
      <c r="AL1312" s="22" t="str">
        <f>IFERROR(_xlfn.XLOOKUP(Table1[[#This Row],[word]],Table57[English style name],Table57[Style type]),"")</f>
        <v/>
      </c>
      <c r="AM1312" s="20"/>
      <c r="AN1312" s="11"/>
      <c r="AQ1312" s="6" t="s">
        <v>1764</v>
      </c>
      <c r="AR1312" t="s">
        <v>1747</v>
      </c>
    </row>
    <row r="1313" spans="6:44">
      <c r="F13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3" s="13" t="s">
        <v>461</v>
      </c>
      <c r="H1313" s="13" t="s">
        <v>545</v>
      </c>
      <c r="I1313" s="12" t="str">
        <f>Table1[[#This Row],[type]]</f>
        <v>frame</v>
      </c>
      <c r="J1313" s="62" t="str">
        <f>Table1[[#This Row],[Column42]]&amp;IF(Table1[[#This Row],[Column13]]="","",Table1[[#This Row],[Column13]])&amp;IF(Table1[[#This Row],[mod]]="","",Table1[[#This Row],[mod]])</f>
        <v>frame</v>
      </c>
      <c r="K13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3" t="s">
        <v>545</v>
      </c>
      <c r="P1313" s="6" t="s">
        <v>1765</v>
      </c>
      <c r="Q13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3" s="29"/>
      <c r="AC1313" s="25"/>
      <c r="AD1313" s="41"/>
      <c r="AE1313" s="41"/>
      <c r="AF1313" s="11"/>
      <c r="AH1313" s="1" t="str">
        <f>Table1[[#This Row],[html_tag]]&amp;Table1[[#This Row],[html_type]]&amp;Table1[[#This Row],[html_modifier]]</f>
        <v/>
      </c>
      <c r="AL1313" s="22" t="str">
        <f>IFERROR(_xlfn.XLOOKUP(Table1[[#This Row],[word]],Table57[English style name],Table57[Style type]),"")</f>
        <v/>
      </c>
      <c r="AM1313" s="20"/>
      <c r="AN1313" s="11"/>
      <c r="AQ1313" s="6" t="s">
        <v>1765</v>
      </c>
      <c r="AR1313" t="s">
        <v>1747</v>
      </c>
    </row>
    <row r="1314" spans="6:44">
      <c r="F13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4" s="13" t="s">
        <v>461</v>
      </c>
      <c r="H1314" s="13" t="s">
        <v>545</v>
      </c>
      <c r="I1314" s="12" t="str">
        <f>Table1[[#This Row],[type]]</f>
        <v>frame</v>
      </c>
      <c r="J1314" s="62" t="str">
        <f>Table1[[#This Row],[Column42]]&amp;IF(Table1[[#This Row],[Column13]]="","",Table1[[#This Row],[Column13]])&amp;IF(Table1[[#This Row],[mod]]="","",Table1[[#This Row],[mod]])</f>
        <v>frame</v>
      </c>
      <c r="K13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4" t="s">
        <v>545</v>
      </c>
      <c r="P1314" s="6" t="s">
        <v>1766</v>
      </c>
      <c r="Q13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4" s="29"/>
      <c r="AC1314" s="25"/>
      <c r="AD1314" s="41"/>
      <c r="AE1314" s="41"/>
      <c r="AF1314" s="11"/>
      <c r="AH1314" s="1" t="str">
        <f>Table1[[#This Row],[html_tag]]&amp;Table1[[#This Row],[html_type]]&amp;Table1[[#This Row],[html_modifier]]</f>
        <v/>
      </c>
      <c r="AL1314" s="22" t="str">
        <f>IFERROR(_xlfn.XLOOKUP(Table1[[#This Row],[word]],Table57[English style name],Table57[Style type]),"")</f>
        <v/>
      </c>
      <c r="AM1314" s="20"/>
      <c r="AN1314" s="11"/>
      <c r="AQ1314" s="6" t="s">
        <v>1766</v>
      </c>
      <c r="AR1314" t="s">
        <v>1747</v>
      </c>
    </row>
    <row r="1315" spans="6:44">
      <c r="F13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5" s="13" t="s">
        <v>461</v>
      </c>
      <c r="H1315" s="13" t="s">
        <v>545</v>
      </c>
      <c r="I1315" s="12" t="str">
        <f>Table1[[#This Row],[type]]</f>
        <v>frame</v>
      </c>
      <c r="J1315" s="62" t="str">
        <f>Table1[[#This Row],[Column42]]&amp;IF(Table1[[#This Row],[Column13]]="","",Table1[[#This Row],[Column13]])&amp;IF(Table1[[#This Row],[mod]]="","",Table1[[#This Row],[mod]])</f>
        <v>frame</v>
      </c>
      <c r="K13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5" t="s">
        <v>545</v>
      </c>
      <c r="P1315" s="6" t="s">
        <v>1769</v>
      </c>
      <c r="Q13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5" s="29"/>
      <c r="AC1315" s="25"/>
      <c r="AD1315" s="41"/>
      <c r="AE1315" s="41"/>
      <c r="AF1315" s="11"/>
      <c r="AH1315" s="1" t="str">
        <f>Table1[[#This Row],[html_tag]]&amp;Table1[[#This Row],[html_type]]&amp;Table1[[#This Row],[html_modifier]]</f>
        <v/>
      </c>
      <c r="AL1315" s="22" t="str">
        <f>IFERROR(_xlfn.XLOOKUP(Table1[[#This Row],[word]],Table57[English style name],Table57[Style type]),"")</f>
        <v/>
      </c>
      <c r="AM1315" s="20"/>
      <c r="AN1315" s="11"/>
      <c r="AQ1315" s="6" t="s">
        <v>1769</v>
      </c>
      <c r="AR1315" t="s">
        <v>1747</v>
      </c>
    </row>
    <row r="1316" spans="6:44">
      <c r="F13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6" s="13" t="s">
        <v>461</v>
      </c>
      <c r="H1316" s="13" t="s">
        <v>545</v>
      </c>
      <c r="I1316" s="12" t="str">
        <f>Table1[[#This Row],[type]]</f>
        <v>frame</v>
      </c>
      <c r="J1316" s="62" t="str">
        <f>Table1[[#This Row],[Column42]]&amp;IF(Table1[[#This Row],[Column13]]="","",Table1[[#This Row],[Column13]])&amp;IF(Table1[[#This Row],[mod]]="","",Table1[[#This Row],[mod]])</f>
        <v>frame__bottom</v>
      </c>
      <c r="K13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</v>
      </c>
      <c r="L1316" t="s">
        <v>545</v>
      </c>
      <c r="N1316" t="s">
        <v>3186</v>
      </c>
      <c r="P1316" s="6" t="s">
        <v>1771</v>
      </c>
      <c r="Q13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6" s="29"/>
      <c r="AC1316" s="25"/>
      <c r="AD1316" s="41"/>
      <c r="AE1316" s="41"/>
      <c r="AF1316" s="11"/>
      <c r="AH1316" s="1" t="str">
        <f>Table1[[#This Row],[html_tag]]&amp;Table1[[#This Row],[html_type]]&amp;Table1[[#This Row],[html_modifier]]</f>
        <v/>
      </c>
      <c r="AL1316" s="22" t="str">
        <f>IFERROR(_xlfn.XLOOKUP(Table1[[#This Row],[word]],Table57[English style name],Table57[Style type]),"")</f>
        <v/>
      </c>
      <c r="AM1316" s="20"/>
      <c r="AN1316" s="11"/>
      <c r="AQ1316" s="6" t="s">
        <v>1771</v>
      </c>
      <c r="AR1316" t="s">
        <v>1747</v>
      </c>
    </row>
    <row r="1317" spans="6:44">
      <c r="F13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7" s="13" t="s">
        <v>461</v>
      </c>
      <c r="H1317" s="13" t="s">
        <v>545</v>
      </c>
      <c r="I1317" s="12" t="str">
        <f>Table1[[#This Row],[type]]</f>
        <v>frame</v>
      </c>
      <c r="J1317" s="62" t="str">
        <f>Table1[[#This Row],[Column42]]&amp;IF(Table1[[#This Row],[Column13]]="","",Table1[[#This Row],[Column13]])&amp;IF(Table1[[#This Row],[mod]]="","",Table1[[#This Row],[mod]])</f>
        <v>frame__bottom</v>
      </c>
      <c r="K13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</v>
      </c>
      <c r="L1317" t="s">
        <v>545</v>
      </c>
      <c r="N1317" t="s">
        <v>3186</v>
      </c>
      <c r="P1317" s="6" t="s">
        <v>1798</v>
      </c>
      <c r="Q13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7" s="29"/>
      <c r="AC1317" s="25"/>
      <c r="AD1317" s="41"/>
      <c r="AE1317" s="41"/>
      <c r="AF1317" s="11"/>
      <c r="AH1317" s="1" t="str">
        <f>Table1[[#This Row],[html_tag]]&amp;Table1[[#This Row],[html_type]]&amp;Table1[[#This Row],[html_modifier]]</f>
        <v/>
      </c>
      <c r="AL1317" s="22" t="str">
        <f>IFERROR(_xlfn.XLOOKUP(Table1[[#This Row],[word]],Table57[English style name],Table57[Style type]),"")</f>
        <v/>
      </c>
      <c r="AM1317" s="20"/>
      <c r="AN1317" s="11"/>
      <c r="AQ1317" s="6" t="s">
        <v>1798</v>
      </c>
      <c r="AR1317" t="s">
        <v>1814</v>
      </c>
    </row>
    <row r="1318" spans="6:44">
      <c r="F13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8" s="13" t="s">
        <v>461</v>
      </c>
      <c r="H1318" s="13" t="s">
        <v>545</v>
      </c>
      <c r="I1318" s="12" t="str">
        <f>Table1[[#This Row],[type]]</f>
        <v>frame</v>
      </c>
      <c r="J1318" s="62" t="str">
        <f>Table1[[#This Row],[Column42]]&amp;IF(Table1[[#This Row],[Column13]]="","",Table1[[#This Row],[Column13]])&amp;IF(Table1[[#This Row],[mod]]="","",Table1[[#This Row],[mod]])</f>
        <v>frame__bottom</v>
      </c>
      <c r="K13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</v>
      </c>
      <c r="L1318" t="s">
        <v>545</v>
      </c>
      <c r="N1318" t="s">
        <v>3186</v>
      </c>
      <c r="P1318" s="6" t="s">
        <v>1798</v>
      </c>
      <c r="Q13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8" s="29"/>
      <c r="AC1318" s="25"/>
      <c r="AD1318" s="41"/>
      <c r="AE1318" s="41"/>
      <c r="AF1318" s="11"/>
      <c r="AH1318" s="1" t="str">
        <f>Table1[[#This Row],[html_tag]]&amp;Table1[[#This Row],[html_type]]&amp;Table1[[#This Row],[html_modifier]]</f>
        <v/>
      </c>
      <c r="AL1318" s="22" t="str">
        <f>IFERROR(_xlfn.XLOOKUP(Table1[[#This Row],[word]],Table57[English style name],Table57[Style type]),"")</f>
        <v/>
      </c>
      <c r="AM1318" s="20"/>
      <c r="AN1318" s="11"/>
      <c r="AQ1318" s="6" t="s">
        <v>1798</v>
      </c>
      <c r="AR1318" t="s">
        <v>1796</v>
      </c>
    </row>
    <row r="1319" spans="6:44">
      <c r="F13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9" s="13" t="s">
        <v>461</v>
      </c>
      <c r="H1319" s="13" t="s">
        <v>545</v>
      </c>
      <c r="I1319" s="12" t="str">
        <f>Table1[[#This Row],[type]]</f>
        <v>frame</v>
      </c>
      <c r="J1319" s="62" t="str">
        <f>Table1[[#This Row],[Column42]]&amp;IF(Table1[[#This Row],[Column13]]="","",Table1[[#This Row],[Column13]])&amp;IF(Table1[[#This Row],[mod]]="","",Table1[[#This Row],[mod]])</f>
        <v>frame__bottom_center</v>
      </c>
      <c r="K13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frame__bottom_center</v>
      </c>
      <c r="L1319" t="s">
        <v>545</v>
      </c>
      <c r="N1319" t="s">
        <v>3187</v>
      </c>
      <c r="P1319" s="6" t="s">
        <v>1780</v>
      </c>
      <c r="Q13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9" s="29"/>
      <c r="AC1319" s="25"/>
      <c r="AD1319" s="41"/>
      <c r="AE1319" s="41"/>
      <c r="AF1319" s="11"/>
      <c r="AH1319" s="1" t="str">
        <f>Table1[[#This Row],[html_tag]]&amp;Table1[[#This Row],[html_type]]&amp;Table1[[#This Row],[html_modifier]]</f>
        <v/>
      </c>
      <c r="AL1319" s="22" t="str">
        <f>IFERROR(_xlfn.XLOOKUP(Table1[[#This Row],[word]],Table57[English style name],Table57[Style type]),"")</f>
        <v/>
      </c>
      <c r="AM1319" s="20"/>
      <c r="AN1319" s="11"/>
      <c r="AQ1319" s="6" t="s">
        <v>1780</v>
      </c>
      <c r="AR1319" t="s">
        <v>1779</v>
      </c>
    </row>
    <row r="1320" spans="6:44">
      <c r="F13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0" s="13" t="s">
        <v>461</v>
      </c>
      <c r="H1320" s="13" t="s">
        <v>545</v>
      </c>
      <c r="I1320" s="12" t="str">
        <f>Table1[[#This Row],[type]]</f>
        <v>frame</v>
      </c>
      <c r="J1320" s="62" t="str">
        <f>Table1[[#This Row],[Column42]]&amp;IF(Table1[[#This Row],[Column13]]="","",Table1[[#This Row],[Column13]])&amp;IF(Table1[[#This Row],[mod]]="","",Table1[[#This Row],[mod]])</f>
        <v>frame__bottom_center</v>
      </c>
      <c r="K13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frame__bottom_center</v>
      </c>
      <c r="L1320" t="s">
        <v>545</v>
      </c>
      <c r="N1320" t="s">
        <v>3187</v>
      </c>
      <c r="P1320" s="6" t="s">
        <v>1799</v>
      </c>
      <c r="Q13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0" s="29"/>
      <c r="AC1320" s="25"/>
      <c r="AD1320" s="41"/>
      <c r="AE1320" s="41"/>
      <c r="AF1320" s="11"/>
      <c r="AH1320" s="1" t="str">
        <f>Table1[[#This Row],[html_tag]]&amp;Table1[[#This Row],[html_type]]&amp;Table1[[#This Row],[html_modifier]]</f>
        <v/>
      </c>
      <c r="AL1320" s="22" t="str">
        <f>IFERROR(_xlfn.XLOOKUP(Table1[[#This Row],[word]],Table57[English style name],Table57[Style type]),"")</f>
        <v/>
      </c>
      <c r="AM1320" s="20"/>
      <c r="AN1320" s="11"/>
      <c r="AQ1320" s="6" t="s">
        <v>1799</v>
      </c>
      <c r="AR1320" t="s">
        <v>1814</v>
      </c>
    </row>
    <row r="1321" spans="6:44">
      <c r="F13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1" s="13" t="s">
        <v>461</v>
      </c>
      <c r="H1321" s="13" t="s">
        <v>545</v>
      </c>
      <c r="I1321" s="12" t="str">
        <f>Table1[[#This Row],[type]]</f>
        <v>frame</v>
      </c>
      <c r="J1321" s="62" t="str">
        <f>Table1[[#This Row],[Column42]]&amp;IF(Table1[[#This Row],[Column13]]="","",Table1[[#This Row],[Column13]])&amp;IF(Table1[[#This Row],[mod]]="","",Table1[[#This Row],[mod]])</f>
        <v>frame__bottom_center</v>
      </c>
      <c r="K13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frame__bottom_center</v>
      </c>
      <c r="L1321" t="s">
        <v>545</v>
      </c>
      <c r="N1321" t="s">
        <v>3187</v>
      </c>
      <c r="P1321" s="6" t="s">
        <v>1799</v>
      </c>
      <c r="Q13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1" s="29"/>
      <c r="AC1321" s="25"/>
      <c r="AD1321" s="41"/>
      <c r="AE1321" s="41"/>
      <c r="AF1321" s="11"/>
      <c r="AH1321" s="1" t="str">
        <f>Table1[[#This Row],[html_tag]]&amp;Table1[[#This Row],[html_type]]&amp;Table1[[#This Row],[html_modifier]]</f>
        <v/>
      </c>
      <c r="AL1321" s="22" t="str">
        <f>IFERROR(_xlfn.XLOOKUP(Table1[[#This Row],[word]],Table57[English style name],Table57[Style type]),"")</f>
        <v/>
      </c>
      <c r="AM1321" s="20"/>
      <c r="AN1321" s="11"/>
      <c r="AQ1321" s="6" t="s">
        <v>1799</v>
      </c>
      <c r="AR1321" t="s">
        <v>1796</v>
      </c>
    </row>
    <row r="1322" spans="6:44">
      <c r="F13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2" s="13" t="s">
        <v>461</v>
      </c>
      <c r="H1322" s="13" t="s">
        <v>545</v>
      </c>
      <c r="I1322" s="12" t="str">
        <f>Table1[[#This Row],[type]]</f>
        <v>frame</v>
      </c>
      <c r="J1322" s="62" t="str">
        <f>Table1[[#This Row],[Column42]]&amp;IF(Table1[[#This Row],[Column13]]="","",Table1[[#This Row],[Column13]])&amp;IF(Table1[[#This Row],[mod]]="","",Table1[[#This Row],[mod]])</f>
        <v>frame__bottom_left</v>
      </c>
      <c r="K13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frame__bottom_left</v>
      </c>
      <c r="L1322" t="s">
        <v>545</v>
      </c>
      <c r="N1322" s="3" t="s">
        <v>3188</v>
      </c>
      <c r="P1322" s="6" t="s">
        <v>1781</v>
      </c>
      <c r="Q13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2" s="29"/>
      <c r="AC1322" s="25"/>
      <c r="AD1322" s="41"/>
      <c r="AE1322" s="41"/>
      <c r="AF1322" s="11"/>
      <c r="AH1322" s="1" t="str">
        <f>Table1[[#This Row],[html_tag]]&amp;Table1[[#This Row],[html_type]]&amp;Table1[[#This Row],[html_modifier]]</f>
        <v/>
      </c>
      <c r="AL1322" s="22" t="str">
        <f>IFERROR(_xlfn.XLOOKUP(Table1[[#This Row],[word]],Table57[English style name],Table57[Style type]),"")</f>
        <v/>
      </c>
      <c r="AM1322" s="20"/>
      <c r="AN1322" s="11"/>
      <c r="AQ1322" s="6" t="s">
        <v>1781</v>
      </c>
      <c r="AR1322" t="s">
        <v>1779</v>
      </c>
    </row>
    <row r="1323" spans="6:44">
      <c r="F13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3" s="13" t="s">
        <v>461</v>
      </c>
      <c r="H1323" s="13" t="s">
        <v>545</v>
      </c>
      <c r="I1323" s="12" t="str">
        <f>Table1[[#This Row],[type]]</f>
        <v>frame</v>
      </c>
      <c r="J1323" s="62" t="str">
        <f>Table1[[#This Row],[Column42]]&amp;IF(Table1[[#This Row],[Column13]]="","",Table1[[#This Row],[Column13]])&amp;IF(Table1[[#This Row],[mod]]="","",Table1[[#This Row],[mod]])</f>
        <v>frame__bottom_left</v>
      </c>
      <c r="K13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frame__bottom_left</v>
      </c>
      <c r="L1323" t="s">
        <v>545</v>
      </c>
      <c r="N1323" s="3" t="s">
        <v>3188</v>
      </c>
      <c r="P1323" s="6" t="s">
        <v>1800</v>
      </c>
      <c r="Q13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3" s="29"/>
      <c r="AC1323" s="25"/>
      <c r="AD1323" s="41"/>
      <c r="AE1323" s="41"/>
      <c r="AF1323" s="11"/>
      <c r="AH1323" s="1" t="str">
        <f>Table1[[#This Row],[html_tag]]&amp;Table1[[#This Row],[html_type]]&amp;Table1[[#This Row],[html_modifier]]</f>
        <v/>
      </c>
      <c r="AL1323" s="22" t="str">
        <f>IFERROR(_xlfn.XLOOKUP(Table1[[#This Row],[word]],Table57[English style name],Table57[Style type]),"")</f>
        <v/>
      </c>
      <c r="AM1323" s="20"/>
      <c r="AN1323" s="11"/>
      <c r="AQ1323" s="6" t="s">
        <v>1800</v>
      </c>
      <c r="AR1323" t="s">
        <v>1814</v>
      </c>
    </row>
    <row r="1324" spans="6:44">
      <c r="F13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4" s="13" t="s">
        <v>461</v>
      </c>
      <c r="H1324" s="13" t="s">
        <v>545</v>
      </c>
      <c r="I1324" s="12" t="str">
        <f>Table1[[#This Row],[type]]</f>
        <v>frame</v>
      </c>
      <c r="J1324" s="62" t="str">
        <f>Table1[[#This Row],[Column42]]&amp;IF(Table1[[#This Row],[Column13]]="","",Table1[[#This Row],[Column13]])&amp;IF(Table1[[#This Row],[mod]]="","",Table1[[#This Row],[mod]])</f>
        <v>frame__bottom_left</v>
      </c>
      <c r="K13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frame__bottom_left</v>
      </c>
      <c r="L1324" t="s">
        <v>545</v>
      </c>
      <c r="N1324" s="3" t="s">
        <v>3188</v>
      </c>
      <c r="P1324" s="6" t="s">
        <v>1800</v>
      </c>
      <c r="Q13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4" s="29"/>
      <c r="AC1324" s="25"/>
      <c r="AD1324" s="41"/>
      <c r="AE1324" s="41"/>
      <c r="AF1324" s="11"/>
      <c r="AH1324" s="1" t="str">
        <f>Table1[[#This Row],[html_tag]]&amp;Table1[[#This Row],[html_type]]&amp;Table1[[#This Row],[html_modifier]]</f>
        <v/>
      </c>
      <c r="AL1324" s="22" t="str">
        <f>IFERROR(_xlfn.XLOOKUP(Table1[[#This Row],[word]],Table57[English style name],Table57[Style type]),"")</f>
        <v/>
      </c>
      <c r="AM1324" s="20"/>
      <c r="AN1324" s="11"/>
      <c r="AQ1324" s="6" t="s">
        <v>1800</v>
      </c>
      <c r="AR1324" t="s">
        <v>1796</v>
      </c>
    </row>
    <row r="1325" spans="6:44">
      <c r="F13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5" s="13" t="s">
        <v>461</v>
      </c>
      <c r="H1325" s="13" t="s">
        <v>545</v>
      </c>
      <c r="I1325" s="12" t="str">
        <f>Table1[[#This Row],[type]]</f>
        <v>frame</v>
      </c>
      <c r="J1325" s="62" t="str">
        <f>Table1[[#This Row],[Column42]]&amp;IF(Table1[[#This Row],[Column13]]="","",Table1[[#This Row],[Column13]])&amp;IF(Table1[[#This Row],[mod]]="","",Table1[[#This Row],[mod]])</f>
        <v>frame__bottom_right</v>
      </c>
      <c r="K13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frame__bottom_right</v>
      </c>
      <c r="L1325" t="s">
        <v>545</v>
      </c>
      <c r="N1325" t="s">
        <v>3189</v>
      </c>
      <c r="P1325" s="6" t="s">
        <v>1782</v>
      </c>
      <c r="Q13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5" s="29"/>
      <c r="AC1325" s="25"/>
      <c r="AD1325" s="41"/>
      <c r="AE1325" s="41"/>
      <c r="AF1325" s="11"/>
      <c r="AH1325" s="1" t="str">
        <f>Table1[[#This Row],[html_tag]]&amp;Table1[[#This Row],[html_type]]&amp;Table1[[#This Row],[html_modifier]]</f>
        <v/>
      </c>
      <c r="AL1325" s="22" t="str">
        <f>IFERROR(_xlfn.XLOOKUP(Table1[[#This Row],[word]],Table57[English style name],Table57[Style type]),"")</f>
        <v/>
      </c>
      <c r="AM1325" s="20"/>
      <c r="AN1325" s="11"/>
      <c r="AQ1325" s="6" t="s">
        <v>1782</v>
      </c>
      <c r="AR1325" t="s">
        <v>1779</v>
      </c>
    </row>
    <row r="1326" spans="6:44">
      <c r="F13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6" s="13" t="s">
        <v>461</v>
      </c>
      <c r="H1326" s="13" t="s">
        <v>545</v>
      </c>
      <c r="I1326" s="12" t="str">
        <f>Table1[[#This Row],[type]]</f>
        <v>frame</v>
      </c>
      <c r="J1326" s="62" t="str">
        <f>Table1[[#This Row],[Column42]]&amp;IF(Table1[[#This Row],[Column13]]="","",Table1[[#This Row],[Column13]])&amp;IF(Table1[[#This Row],[mod]]="","",Table1[[#This Row],[mod]])</f>
        <v>frame__bottom_right</v>
      </c>
      <c r="K13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frame__bottom_right</v>
      </c>
      <c r="L1326" t="s">
        <v>545</v>
      </c>
      <c r="N1326" t="s">
        <v>3189</v>
      </c>
      <c r="P1326" s="6" t="s">
        <v>1801</v>
      </c>
      <c r="Q13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6" s="29"/>
      <c r="AC1326" s="25"/>
      <c r="AD1326" s="41"/>
      <c r="AE1326" s="41"/>
      <c r="AF1326" s="11"/>
      <c r="AH1326" s="1" t="str">
        <f>Table1[[#This Row],[html_tag]]&amp;Table1[[#This Row],[html_type]]&amp;Table1[[#This Row],[html_modifier]]</f>
        <v/>
      </c>
      <c r="AL1326" s="22" t="str">
        <f>IFERROR(_xlfn.XLOOKUP(Table1[[#This Row],[word]],Table57[English style name],Table57[Style type]),"")</f>
        <v/>
      </c>
      <c r="AM1326" s="20"/>
      <c r="AN1326" s="11"/>
      <c r="AQ1326" s="6" t="s">
        <v>1801</v>
      </c>
      <c r="AR1326" t="s">
        <v>1814</v>
      </c>
    </row>
    <row r="1327" spans="6:44">
      <c r="F13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7" s="13" t="s">
        <v>461</v>
      </c>
      <c r="H1327" s="13" t="s">
        <v>545</v>
      </c>
      <c r="I1327" s="12" t="str">
        <f>Table1[[#This Row],[type]]</f>
        <v>frame</v>
      </c>
      <c r="J1327" s="62" t="str">
        <f>Table1[[#This Row],[Column42]]&amp;IF(Table1[[#This Row],[Column13]]="","",Table1[[#This Row],[Column13]])&amp;IF(Table1[[#This Row],[mod]]="","",Table1[[#This Row],[mod]])</f>
        <v>frame__bottom_right</v>
      </c>
      <c r="K13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frame__bottom_right</v>
      </c>
      <c r="L1327" t="s">
        <v>545</v>
      </c>
      <c r="N1327" t="s">
        <v>3189</v>
      </c>
      <c r="P1327" s="6" t="s">
        <v>1801</v>
      </c>
      <c r="Q13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7" s="29"/>
      <c r="AC1327" s="25"/>
      <c r="AD1327" s="41"/>
      <c r="AE1327" s="41"/>
      <c r="AF1327" s="11"/>
      <c r="AH1327" s="1" t="str">
        <f>Table1[[#This Row],[html_tag]]&amp;Table1[[#This Row],[html_type]]&amp;Table1[[#This Row],[html_modifier]]</f>
        <v/>
      </c>
      <c r="AL1327" s="22" t="str">
        <f>IFERROR(_xlfn.XLOOKUP(Table1[[#This Row],[word]],Table57[English style name],Table57[Style type]),"")</f>
        <v/>
      </c>
      <c r="AM1327" s="20"/>
      <c r="AN1327" s="11"/>
      <c r="AQ1327" s="6" t="s">
        <v>1801</v>
      </c>
      <c r="AR1327" t="s">
        <v>1796</v>
      </c>
    </row>
    <row r="1328" spans="6:44">
      <c r="F13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8" s="13" t="s">
        <v>461</v>
      </c>
      <c r="H1328" s="13" t="s">
        <v>545</v>
      </c>
      <c r="I1328" s="12" t="str">
        <f>Table1[[#This Row],[type]]</f>
        <v>frame</v>
      </c>
      <c r="J1328" s="62" t="str">
        <f>Table1[[#This Row],[Column42]]&amp;IF(Table1[[#This Row],[Column13]]="","",Table1[[#This Row],[Column13]])&amp;IF(Table1[[#This Row],[mod]]="","",Table1[[#This Row],[mod]])</f>
        <v>frame__center</v>
      </c>
      <c r="K13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frame__center</v>
      </c>
      <c r="L1328" t="s">
        <v>545</v>
      </c>
      <c r="N1328" t="s">
        <v>425</v>
      </c>
      <c r="P1328" s="6" t="s">
        <v>1772</v>
      </c>
      <c r="Q13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8" s="29"/>
      <c r="AC1328" s="25"/>
      <c r="AD1328" s="41"/>
      <c r="AE1328" s="41"/>
      <c r="AF1328" s="11"/>
      <c r="AH1328" s="1" t="str">
        <f>Table1[[#This Row],[html_tag]]&amp;Table1[[#This Row],[html_type]]&amp;Table1[[#This Row],[html_modifier]]</f>
        <v/>
      </c>
      <c r="AL1328" s="22" t="str">
        <f>IFERROR(_xlfn.XLOOKUP(Table1[[#This Row],[word]],Table57[English style name],Table57[Style type]),"")</f>
        <v/>
      </c>
      <c r="AM1328" s="20"/>
      <c r="AN1328" s="11"/>
      <c r="AQ1328" s="6" t="s">
        <v>1772</v>
      </c>
      <c r="AR1328" t="s">
        <v>1747</v>
      </c>
    </row>
    <row r="1329" spans="6:44">
      <c r="F13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9" s="13" t="s">
        <v>461</v>
      </c>
      <c r="H1329" s="13" t="s">
        <v>545</v>
      </c>
      <c r="I1329" s="12" t="str">
        <f>Table1[[#This Row],[type]]</f>
        <v>frame</v>
      </c>
      <c r="J1329" s="62" t="str">
        <f>Table1[[#This Row],[Column42]]&amp;IF(Table1[[#This Row],[Column13]]="","",Table1[[#This Row],[Column13]])&amp;IF(Table1[[#This Row],[mod]]="","",Table1[[#This Row],[mod]])</f>
        <v>frame__center</v>
      </c>
      <c r="K13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frame__center</v>
      </c>
      <c r="L1329" t="s">
        <v>545</v>
      </c>
      <c r="N1329" t="s">
        <v>425</v>
      </c>
      <c r="P1329" s="6" t="s">
        <v>1802</v>
      </c>
      <c r="Q13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9" s="29"/>
      <c r="AC1329" s="25"/>
      <c r="AD1329" s="41"/>
      <c r="AE1329" s="41"/>
      <c r="AF1329" s="11"/>
      <c r="AH1329" s="1" t="str">
        <f>Table1[[#This Row],[html_tag]]&amp;Table1[[#This Row],[html_type]]&amp;Table1[[#This Row],[html_modifier]]</f>
        <v/>
      </c>
      <c r="AL1329" s="22" t="str">
        <f>IFERROR(_xlfn.XLOOKUP(Table1[[#This Row],[word]],Table57[English style name],Table57[Style type]),"")</f>
        <v/>
      </c>
      <c r="AM1329" s="20"/>
      <c r="AN1329" s="11"/>
      <c r="AQ1329" s="6" t="s">
        <v>1802</v>
      </c>
      <c r="AR1329" t="s">
        <v>1814</v>
      </c>
    </row>
    <row r="1330" spans="6:44">
      <c r="F13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0" s="13" t="s">
        <v>461</v>
      </c>
      <c r="H1330" s="13" t="s">
        <v>545</v>
      </c>
      <c r="I1330" s="12" t="str">
        <f>Table1[[#This Row],[type]]</f>
        <v>frame</v>
      </c>
      <c r="J1330" s="62" t="str">
        <f>Table1[[#This Row],[Column42]]&amp;IF(Table1[[#This Row],[Column13]]="","",Table1[[#This Row],[Column13]])&amp;IF(Table1[[#This Row],[mod]]="","",Table1[[#This Row],[mod]])</f>
        <v>frame__center</v>
      </c>
      <c r="K13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frame__center</v>
      </c>
      <c r="L1330" t="s">
        <v>545</v>
      </c>
      <c r="N1330" t="s">
        <v>425</v>
      </c>
      <c r="P1330" s="6" t="s">
        <v>1802</v>
      </c>
      <c r="Q13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0" s="29"/>
      <c r="AC1330" s="25"/>
      <c r="AD1330" s="41"/>
      <c r="AE1330" s="41"/>
      <c r="AF1330" s="11"/>
      <c r="AH1330" s="1" t="str">
        <f>Table1[[#This Row],[html_tag]]&amp;Table1[[#This Row],[html_type]]&amp;Table1[[#This Row],[html_modifier]]</f>
        <v/>
      </c>
      <c r="AL1330" s="22" t="str">
        <f>IFERROR(_xlfn.XLOOKUP(Table1[[#This Row],[word]],Table57[English style name],Table57[Style type]),"")</f>
        <v/>
      </c>
      <c r="AM1330" s="20"/>
      <c r="AN1330" s="11"/>
      <c r="AQ1330" s="6" t="s">
        <v>1802</v>
      </c>
      <c r="AR1330" t="s">
        <v>1796</v>
      </c>
    </row>
    <row r="1331" spans="6:44">
      <c r="F13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1" s="13" t="s">
        <v>461</v>
      </c>
      <c r="H1331" s="13" t="s">
        <v>545</v>
      </c>
      <c r="I1331" s="12" t="str">
        <f>Table1[[#This Row],[type]]</f>
        <v>frame</v>
      </c>
      <c r="J1331" s="62" t="str">
        <f>Table1[[#This Row],[Column42]]&amp;IF(Table1[[#This Row],[Column13]]="","",Table1[[#This Row],[Column13]])&amp;IF(Table1[[#This Row],[mod]]="","",Table1[[#This Row],[mod]])</f>
        <v>frame__header</v>
      </c>
      <c r="K13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frame__header</v>
      </c>
      <c r="L1331" t="s">
        <v>545</v>
      </c>
      <c r="O1331" t="s">
        <v>465</v>
      </c>
      <c r="Q13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1" s="29"/>
      <c r="AC1331" s="25"/>
      <c r="AD1331" s="41"/>
      <c r="AE1331" s="41"/>
      <c r="AF1331" s="11"/>
      <c r="AH1331" s="1" t="str">
        <f>Table1[[#This Row],[html_tag]]&amp;Table1[[#This Row],[html_type]]&amp;Table1[[#This Row],[html_modifier]]</f>
        <v/>
      </c>
      <c r="AL1331" s="22" t="str">
        <f>IFERROR(_xlfn.XLOOKUP(Table1[[#This Row],[word]],Table57[English style name],Table57[Style type]),"")</f>
        <v/>
      </c>
      <c r="AM1331" s="20"/>
      <c r="AN1331" s="11"/>
      <c r="AQ1331" s="6" t="s">
        <v>1758</v>
      </c>
      <c r="AR1331" t="s">
        <v>1747</v>
      </c>
    </row>
    <row r="1332" spans="6:44">
      <c r="F13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2" s="13" t="s">
        <v>461</v>
      </c>
      <c r="H1332" s="13" t="s">
        <v>545</v>
      </c>
      <c r="I1332" s="12" t="str">
        <f>Table1[[#This Row],[type]]</f>
        <v>frame</v>
      </c>
      <c r="J1332" s="62" t="str">
        <f>Table1[[#This Row],[Column42]]&amp;IF(Table1[[#This Row],[Column13]]="","",Table1[[#This Row],[Column13]])&amp;IF(Table1[[#This Row],[mod]]="","",Table1[[#This Row],[mod]])</f>
        <v>frame__left</v>
      </c>
      <c r="K13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frame__left</v>
      </c>
      <c r="L1332" t="s">
        <v>545</v>
      </c>
      <c r="N1332" t="s">
        <v>616</v>
      </c>
      <c r="P1332" s="6" t="s">
        <v>1773</v>
      </c>
      <c r="Q13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2" s="29"/>
      <c r="AC1332" s="25"/>
      <c r="AD1332" s="41"/>
      <c r="AE1332" s="41"/>
      <c r="AF1332" s="11"/>
      <c r="AH1332" s="1" t="str">
        <f>Table1[[#This Row],[html_tag]]&amp;Table1[[#This Row],[html_type]]&amp;Table1[[#This Row],[html_modifier]]</f>
        <v/>
      </c>
      <c r="AL1332" s="22" t="str">
        <f>IFERROR(_xlfn.XLOOKUP(Table1[[#This Row],[word]],Table57[English style name],Table57[Style type]),"")</f>
        <v/>
      </c>
      <c r="AM1332" s="20"/>
      <c r="AN1332" s="11"/>
      <c r="AQ1332" s="6" t="s">
        <v>1773</v>
      </c>
      <c r="AR1332" t="s">
        <v>1747</v>
      </c>
    </row>
    <row r="1333" spans="6:44">
      <c r="F13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3" s="13" t="s">
        <v>461</v>
      </c>
      <c r="H1333" s="13" t="s">
        <v>545</v>
      </c>
      <c r="I1333" s="12" t="str">
        <f>Table1[[#This Row],[type]]</f>
        <v>frame</v>
      </c>
      <c r="J1333" s="62" t="str">
        <f>Table1[[#This Row],[Column42]]&amp;IF(Table1[[#This Row],[Column13]]="","",Table1[[#This Row],[Column13]])&amp;IF(Table1[[#This Row],[mod]]="","",Table1[[#This Row],[mod]])</f>
        <v>frame__left</v>
      </c>
      <c r="K13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frame__left</v>
      </c>
      <c r="L1333" t="s">
        <v>545</v>
      </c>
      <c r="N1333" t="s">
        <v>616</v>
      </c>
      <c r="P1333" s="6" t="s">
        <v>1804</v>
      </c>
      <c r="Q13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3" s="29"/>
      <c r="AC1333" s="25"/>
      <c r="AD1333" s="41"/>
      <c r="AE1333" s="41"/>
      <c r="AF1333" s="11"/>
      <c r="AH1333" s="1" t="str">
        <f>Table1[[#This Row],[html_tag]]&amp;Table1[[#This Row],[html_type]]&amp;Table1[[#This Row],[html_modifier]]</f>
        <v/>
      </c>
      <c r="AL1333" s="22" t="str">
        <f>IFERROR(_xlfn.XLOOKUP(Table1[[#This Row],[word]],Table57[English style name],Table57[Style type]),"")</f>
        <v/>
      </c>
      <c r="AM1333" s="20"/>
      <c r="AN1333" s="11"/>
      <c r="AQ1333" s="6" t="s">
        <v>1804</v>
      </c>
      <c r="AR1333" t="s">
        <v>1814</v>
      </c>
    </row>
    <row r="1334" spans="6:44">
      <c r="F13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4" s="13" t="s">
        <v>461</v>
      </c>
      <c r="H1334" s="13" t="s">
        <v>545</v>
      </c>
      <c r="I1334" s="12" t="str">
        <f>Table1[[#This Row],[type]]</f>
        <v>frame</v>
      </c>
      <c r="J1334" s="62" t="str">
        <f>Table1[[#This Row],[Column42]]&amp;IF(Table1[[#This Row],[Column13]]="","",Table1[[#This Row],[Column13]])&amp;IF(Table1[[#This Row],[mod]]="","",Table1[[#This Row],[mod]])</f>
        <v>frame__left</v>
      </c>
      <c r="K13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frame__left</v>
      </c>
      <c r="L1334" t="s">
        <v>545</v>
      </c>
      <c r="N1334" t="s">
        <v>616</v>
      </c>
      <c r="P1334" s="6" t="s">
        <v>1804</v>
      </c>
      <c r="Q13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4" s="29"/>
      <c r="AC1334" s="25"/>
      <c r="AD1334" s="41"/>
      <c r="AE1334" s="41"/>
      <c r="AF1334" s="11"/>
      <c r="AH1334" s="1" t="str">
        <f>Table1[[#This Row],[html_tag]]&amp;Table1[[#This Row],[html_type]]&amp;Table1[[#This Row],[html_modifier]]</f>
        <v/>
      </c>
      <c r="AL1334" s="22" t="str">
        <f>IFERROR(_xlfn.XLOOKUP(Table1[[#This Row],[word]],Table57[English style name],Table57[Style type]),"")</f>
        <v/>
      </c>
      <c r="AM1334" s="20"/>
      <c r="AN1334" s="11"/>
      <c r="AQ1334" s="6" t="s">
        <v>1804</v>
      </c>
      <c r="AR1334" t="s">
        <v>1796</v>
      </c>
    </row>
    <row r="1335" spans="6:44">
      <c r="F13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5" s="13" t="s">
        <v>461</v>
      </c>
      <c r="H1335" s="13" t="s">
        <v>545</v>
      </c>
      <c r="I1335" s="12" t="str">
        <f>Table1[[#This Row],[type]]</f>
        <v>frame</v>
      </c>
      <c r="J1335" s="62" t="str">
        <f>Table1[[#This Row],[Column42]]&amp;IF(Table1[[#This Row],[Column13]]="","",Table1[[#This Row],[Column13]])&amp;IF(Table1[[#This Row],[mod]]="","",Table1[[#This Row],[mod]])</f>
        <v>frame__middle_center</v>
      </c>
      <c r="K13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frame__middle_center</v>
      </c>
      <c r="L1335" t="s">
        <v>545</v>
      </c>
      <c r="N1335" t="s">
        <v>3191</v>
      </c>
      <c r="P1335" s="6" t="s">
        <v>1783</v>
      </c>
      <c r="Q13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5" s="29"/>
      <c r="AC1335" s="25"/>
      <c r="AD1335" s="41"/>
      <c r="AE1335" s="41"/>
      <c r="AF1335" s="11"/>
      <c r="AH1335" s="1" t="str">
        <f>Table1[[#This Row],[html_tag]]&amp;Table1[[#This Row],[html_type]]&amp;Table1[[#This Row],[html_modifier]]</f>
        <v/>
      </c>
      <c r="AL1335" s="22" t="str">
        <f>IFERROR(_xlfn.XLOOKUP(Table1[[#This Row],[word]],Table57[English style name],Table57[Style type]),"")</f>
        <v/>
      </c>
      <c r="AM1335" s="20"/>
      <c r="AN1335" s="11"/>
      <c r="AQ1335" s="6" t="s">
        <v>1783</v>
      </c>
      <c r="AR1335" t="s">
        <v>1779</v>
      </c>
    </row>
    <row r="1336" spans="6:44">
      <c r="F13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6" s="13" t="s">
        <v>461</v>
      </c>
      <c r="H1336" s="13" t="s">
        <v>545</v>
      </c>
      <c r="I1336" s="12" t="str">
        <f>Table1[[#This Row],[type]]</f>
        <v>frame</v>
      </c>
      <c r="J1336" s="62" t="str">
        <f>Table1[[#This Row],[Column42]]&amp;IF(Table1[[#This Row],[Column13]]="","",Table1[[#This Row],[Column13]])&amp;IF(Table1[[#This Row],[mod]]="","",Table1[[#This Row],[mod]])</f>
        <v>frame__middle_center</v>
      </c>
      <c r="K13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frame__middle_center</v>
      </c>
      <c r="L1336" t="s">
        <v>545</v>
      </c>
      <c r="N1336" t="s">
        <v>3191</v>
      </c>
      <c r="P1336" s="6" t="s">
        <v>1806</v>
      </c>
      <c r="Q13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6" s="29"/>
      <c r="AC1336" s="25"/>
      <c r="AD1336" s="41"/>
      <c r="AE1336" s="41"/>
      <c r="AF1336" s="11"/>
      <c r="AH1336" s="1" t="str">
        <f>Table1[[#This Row],[html_tag]]&amp;Table1[[#This Row],[html_type]]&amp;Table1[[#This Row],[html_modifier]]</f>
        <v/>
      </c>
      <c r="AL1336" s="22" t="str">
        <f>IFERROR(_xlfn.XLOOKUP(Table1[[#This Row],[word]],Table57[English style name],Table57[Style type]),"")</f>
        <v/>
      </c>
      <c r="AM1336" s="20"/>
      <c r="AN1336" s="11"/>
      <c r="AQ1336" s="6" t="s">
        <v>1806</v>
      </c>
      <c r="AR1336" t="s">
        <v>1814</v>
      </c>
    </row>
    <row r="1337" spans="6:44">
      <c r="F13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7" s="13" t="s">
        <v>461</v>
      </c>
      <c r="H1337" s="13" t="s">
        <v>545</v>
      </c>
      <c r="I1337" s="12" t="str">
        <f>Table1[[#This Row],[type]]</f>
        <v>frame</v>
      </c>
      <c r="J1337" s="62" t="str">
        <f>Table1[[#This Row],[Column42]]&amp;IF(Table1[[#This Row],[Column13]]="","",Table1[[#This Row],[Column13]])&amp;IF(Table1[[#This Row],[mod]]="","",Table1[[#This Row],[mod]])</f>
        <v>frame__middle_center</v>
      </c>
      <c r="K13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frame__middle_center</v>
      </c>
      <c r="L1337" t="s">
        <v>545</v>
      </c>
      <c r="N1337" t="s">
        <v>3191</v>
      </c>
      <c r="P1337" s="6" t="s">
        <v>1806</v>
      </c>
      <c r="Q13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7" s="29"/>
      <c r="AC1337" s="25"/>
      <c r="AD1337" s="41"/>
      <c r="AE1337" s="41"/>
      <c r="AF1337" s="11"/>
      <c r="AH1337" s="1" t="str">
        <f>Table1[[#This Row],[html_tag]]&amp;Table1[[#This Row],[html_type]]&amp;Table1[[#This Row],[html_modifier]]</f>
        <v/>
      </c>
      <c r="AL1337" s="22" t="str">
        <f>IFERROR(_xlfn.XLOOKUP(Table1[[#This Row],[word]],Table57[English style name],Table57[Style type]),"")</f>
        <v/>
      </c>
      <c r="AM1337" s="20"/>
      <c r="AN1337" s="11"/>
      <c r="AQ1337" s="6" t="s">
        <v>1806</v>
      </c>
      <c r="AR1337" t="s">
        <v>1796</v>
      </c>
    </row>
    <row r="1338" spans="6:44">
      <c r="F13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8" s="13" t="s">
        <v>461</v>
      </c>
      <c r="H1338" s="13" t="s">
        <v>545</v>
      </c>
      <c r="I1338" s="12" t="str">
        <f>Table1[[#This Row],[type]]</f>
        <v>frame</v>
      </c>
      <c r="J1338" s="62" t="str">
        <f>Table1[[#This Row],[Column42]]&amp;IF(Table1[[#This Row],[Column13]]="","",Table1[[#This Row],[Column13]])&amp;IF(Table1[[#This Row],[mod]]="","",Table1[[#This Row],[mod]])</f>
        <v>frame__middle_left</v>
      </c>
      <c r="K13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frame__middle_left</v>
      </c>
      <c r="L1338" t="s">
        <v>545</v>
      </c>
      <c r="N1338" t="s">
        <v>3190</v>
      </c>
      <c r="P1338" s="6" t="s">
        <v>1784</v>
      </c>
      <c r="Q13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8" s="29"/>
      <c r="AC1338" s="25"/>
      <c r="AD1338" s="41"/>
      <c r="AE1338" s="41"/>
      <c r="AF1338" s="11"/>
      <c r="AH1338" s="1" t="str">
        <f>Table1[[#This Row],[html_tag]]&amp;Table1[[#This Row],[html_type]]&amp;Table1[[#This Row],[html_modifier]]</f>
        <v/>
      </c>
      <c r="AL1338" s="22" t="str">
        <f>IFERROR(_xlfn.XLOOKUP(Table1[[#This Row],[word]],Table57[English style name],Table57[Style type]),"")</f>
        <v/>
      </c>
      <c r="AM1338" s="20"/>
      <c r="AN1338" s="11"/>
      <c r="AQ1338" s="6" t="s">
        <v>1784</v>
      </c>
      <c r="AR1338" t="s">
        <v>1779</v>
      </c>
    </row>
    <row r="1339" spans="6:44">
      <c r="F13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9" s="13" t="s">
        <v>461</v>
      </c>
      <c r="H1339" s="13" t="s">
        <v>545</v>
      </c>
      <c r="I1339" s="12" t="str">
        <f>Table1[[#This Row],[type]]</f>
        <v>frame</v>
      </c>
      <c r="J1339" s="62" t="str">
        <f>Table1[[#This Row],[Column42]]&amp;IF(Table1[[#This Row],[Column13]]="","",Table1[[#This Row],[Column13]])&amp;IF(Table1[[#This Row],[mod]]="","",Table1[[#This Row],[mod]])</f>
        <v>frame__middle_left</v>
      </c>
      <c r="K13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frame__middle_left</v>
      </c>
      <c r="L1339" t="s">
        <v>545</v>
      </c>
      <c r="N1339" t="s">
        <v>3190</v>
      </c>
      <c r="P1339" s="6" t="s">
        <v>1807</v>
      </c>
      <c r="Q13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9" s="29"/>
      <c r="AC1339" s="25"/>
      <c r="AD1339" s="41"/>
      <c r="AE1339" s="41"/>
      <c r="AF1339" s="11"/>
      <c r="AH1339" s="1" t="str">
        <f>Table1[[#This Row],[html_tag]]&amp;Table1[[#This Row],[html_type]]&amp;Table1[[#This Row],[html_modifier]]</f>
        <v/>
      </c>
      <c r="AL1339" s="22" t="str">
        <f>IFERROR(_xlfn.XLOOKUP(Table1[[#This Row],[word]],Table57[English style name],Table57[Style type]),"")</f>
        <v/>
      </c>
      <c r="AM1339" s="20"/>
      <c r="AN1339" s="11"/>
      <c r="AQ1339" s="6" t="s">
        <v>1807</v>
      </c>
      <c r="AR1339" t="s">
        <v>1814</v>
      </c>
    </row>
    <row r="1340" spans="6:44">
      <c r="F13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0" s="13" t="s">
        <v>461</v>
      </c>
      <c r="H1340" s="13" t="s">
        <v>545</v>
      </c>
      <c r="I1340" s="12" t="str">
        <f>Table1[[#This Row],[type]]</f>
        <v>frame</v>
      </c>
      <c r="J1340" s="62" t="str">
        <f>Table1[[#This Row],[Column42]]&amp;IF(Table1[[#This Row],[Column13]]="","",Table1[[#This Row],[Column13]])&amp;IF(Table1[[#This Row],[mod]]="","",Table1[[#This Row],[mod]])</f>
        <v>frame__middle_left</v>
      </c>
      <c r="K13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frame__middle_left</v>
      </c>
      <c r="L1340" t="s">
        <v>545</v>
      </c>
      <c r="N1340" t="s">
        <v>3190</v>
      </c>
      <c r="P1340" s="6" t="s">
        <v>1807</v>
      </c>
      <c r="Q13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0" s="29"/>
      <c r="AC1340" s="25"/>
      <c r="AD1340" s="41"/>
      <c r="AE1340" s="41"/>
      <c r="AF1340" s="11"/>
      <c r="AH1340" s="1" t="str">
        <f>Table1[[#This Row],[html_tag]]&amp;Table1[[#This Row],[html_type]]&amp;Table1[[#This Row],[html_modifier]]</f>
        <v/>
      </c>
      <c r="AL1340" s="22" t="str">
        <f>IFERROR(_xlfn.XLOOKUP(Table1[[#This Row],[word]],Table57[English style name],Table57[Style type]),"")</f>
        <v/>
      </c>
      <c r="AM1340" s="20"/>
      <c r="AN1340" s="11"/>
      <c r="AQ1340" s="6" t="s">
        <v>1807</v>
      </c>
      <c r="AR1340" t="s">
        <v>1796</v>
      </c>
    </row>
    <row r="1341" spans="6:44">
      <c r="F13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1" s="13" t="s">
        <v>461</v>
      </c>
      <c r="H1341" s="13" t="s">
        <v>545</v>
      </c>
      <c r="I1341" s="12" t="str">
        <f>Table1[[#This Row],[type]]</f>
        <v>frame</v>
      </c>
      <c r="J1341" s="62" t="str">
        <f>Table1[[#This Row],[Column42]]&amp;IF(Table1[[#This Row],[Column13]]="","",Table1[[#This Row],[Column13]])&amp;IF(Table1[[#This Row],[mod]]="","",Table1[[#This Row],[mod]])</f>
        <v>frame__middle_right</v>
      </c>
      <c r="K13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frame__middle_right</v>
      </c>
      <c r="L1341" t="s">
        <v>545</v>
      </c>
      <c r="N1341" t="s">
        <v>3192</v>
      </c>
      <c r="P1341" s="6" t="s">
        <v>1785</v>
      </c>
      <c r="Q13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1" s="29"/>
      <c r="AC1341" s="25"/>
      <c r="AD1341" s="41"/>
      <c r="AE1341" s="41"/>
      <c r="AF1341" s="11"/>
      <c r="AH1341" s="1" t="str">
        <f>Table1[[#This Row],[html_tag]]&amp;Table1[[#This Row],[html_type]]&amp;Table1[[#This Row],[html_modifier]]</f>
        <v/>
      </c>
      <c r="AL1341" s="22" t="str">
        <f>IFERROR(_xlfn.XLOOKUP(Table1[[#This Row],[word]],Table57[English style name],Table57[Style type]),"")</f>
        <v/>
      </c>
      <c r="AM1341" s="20"/>
      <c r="AN1341" s="11"/>
      <c r="AQ1341" s="6" t="s">
        <v>1785</v>
      </c>
      <c r="AR1341" t="s">
        <v>1779</v>
      </c>
    </row>
    <row r="1342" spans="6:44">
      <c r="F13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2" s="13" t="s">
        <v>461</v>
      </c>
      <c r="H1342" s="13" t="s">
        <v>545</v>
      </c>
      <c r="I1342" s="12" t="str">
        <f>Table1[[#This Row],[type]]</f>
        <v>frame</v>
      </c>
      <c r="J1342" s="62" t="str">
        <f>Table1[[#This Row],[Column42]]&amp;IF(Table1[[#This Row],[Column13]]="","",Table1[[#This Row],[Column13]])&amp;IF(Table1[[#This Row],[mod]]="","",Table1[[#This Row],[mod]])</f>
        <v>frame__middle_right</v>
      </c>
      <c r="K13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frame__middle_right</v>
      </c>
      <c r="L1342" t="s">
        <v>545</v>
      </c>
      <c r="N1342" t="s">
        <v>3192</v>
      </c>
      <c r="P1342" s="6" t="s">
        <v>1808</v>
      </c>
      <c r="Q13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2" s="29"/>
      <c r="AC1342" s="25"/>
      <c r="AD1342" s="41"/>
      <c r="AE1342" s="41"/>
      <c r="AF1342" s="11"/>
      <c r="AH1342" s="1" t="str">
        <f>Table1[[#This Row],[html_tag]]&amp;Table1[[#This Row],[html_type]]&amp;Table1[[#This Row],[html_modifier]]</f>
        <v/>
      </c>
      <c r="AL1342" s="22" t="str">
        <f>IFERROR(_xlfn.XLOOKUP(Table1[[#This Row],[word]],Table57[English style name],Table57[Style type]),"")</f>
        <v/>
      </c>
      <c r="AM1342" s="20"/>
      <c r="AN1342" s="11"/>
      <c r="AQ1342" s="6" t="s">
        <v>1808</v>
      </c>
      <c r="AR1342" t="s">
        <v>1814</v>
      </c>
    </row>
    <row r="1343" spans="6:44">
      <c r="F13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3" s="13" t="s">
        <v>461</v>
      </c>
      <c r="H1343" s="13" t="s">
        <v>545</v>
      </c>
      <c r="I1343" s="12" t="str">
        <f>Table1[[#This Row],[type]]</f>
        <v>frame</v>
      </c>
      <c r="J1343" s="62" t="str">
        <f>Table1[[#This Row],[Column42]]&amp;IF(Table1[[#This Row],[Column13]]="","",Table1[[#This Row],[Column13]])&amp;IF(Table1[[#This Row],[mod]]="","",Table1[[#This Row],[mod]])</f>
        <v>frame__middle_right</v>
      </c>
      <c r="K13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frame__middle_right</v>
      </c>
      <c r="L1343" t="s">
        <v>545</v>
      </c>
      <c r="N1343" t="s">
        <v>3192</v>
      </c>
      <c r="P1343" s="6" t="s">
        <v>1808</v>
      </c>
      <c r="Q13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3" s="29"/>
      <c r="AC1343" s="25"/>
      <c r="AD1343" s="41"/>
      <c r="AE1343" s="41"/>
      <c r="AF1343" s="11"/>
      <c r="AH1343" s="1" t="str">
        <f>Table1[[#This Row],[html_tag]]&amp;Table1[[#This Row],[html_type]]&amp;Table1[[#This Row],[html_modifier]]</f>
        <v/>
      </c>
      <c r="AL1343" s="22" t="str">
        <f>IFERROR(_xlfn.XLOOKUP(Table1[[#This Row],[word]],Table57[English style name],Table57[Style type]),"")</f>
        <v/>
      </c>
      <c r="AM1343" s="20"/>
      <c r="AN1343" s="11"/>
      <c r="AQ1343" s="6" t="s">
        <v>1808</v>
      </c>
      <c r="AR1343" t="s">
        <v>1796</v>
      </c>
    </row>
    <row r="1344" spans="6:44">
      <c r="F13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4" s="13" t="s">
        <v>461</v>
      </c>
      <c r="H1344" s="13" t="s">
        <v>545</v>
      </c>
      <c r="I1344" s="12" t="str">
        <f>Table1[[#This Row],[type]]</f>
        <v>frame</v>
      </c>
      <c r="J1344" s="62" t="str">
        <f>Table1[[#This Row],[Column42]]&amp;IF(Table1[[#This Row],[Column13]]="","",Table1[[#This Row],[Column13]])&amp;IF(Table1[[#This Row],[mod]]="","",Table1[[#This Row],[mod]])</f>
        <v>frame__right</v>
      </c>
      <c r="K13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frame__right</v>
      </c>
      <c r="L1344" t="s">
        <v>545</v>
      </c>
      <c r="N1344" t="s">
        <v>617</v>
      </c>
      <c r="P1344" s="6" t="s">
        <v>1775</v>
      </c>
      <c r="Q13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4" s="29"/>
      <c r="AC1344" s="25"/>
      <c r="AD1344" s="41"/>
      <c r="AE1344" s="41"/>
      <c r="AF1344" s="11"/>
      <c r="AH1344" s="1" t="str">
        <f>Table1[[#This Row],[html_tag]]&amp;Table1[[#This Row],[html_type]]&amp;Table1[[#This Row],[html_modifier]]</f>
        <v/>
      </c>
      <c r="AL1344" s="22" t="str">
        <f>IFERROR(_xlfn.XLOOKUP(Table1[[#This Row],[word]],Table57[English style name],Table57[Style type]),"")</f>
        <v/>
      </c>
      <c r="AM1344" s="20"/>
      <c r="AN1344" s="11"/>
      <c r="AQ1344" s="6" t="s">
        <v>1775</v>
      </c>
      <c r="AR1344" t="s">
        <v>1747</v>
      </c>
    </row>
    <row r="1345" spans="6:44">
      <c r="F13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5" s="13" t="s">
        <v>461</v>
      </c>
      <c r="H1345" s="13" t="s">
        <v>545</v>
      </c>
      <c r="I1345" s="12" t="str">
        <f>Table1[[#This Row],[type]]</f>
        <v>frame</v>
      </c>
      <c r="J1345" s="62" t="str">
        <f>Table1[[#This Row],[Column42]]&amp;IF(Table1[[#This Row],[Column13]]="","",Table1[[#This Row],[Column13]])&amp;IF(Table1[[#This Row],[mod]]="","",Table1[[#This Row],[mod]])</f>
        <v>frame__right</v>
      </c>
      <c r="K13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frame__right</v>
      </c>
      <c r="L1345" t="s">
        <v>545</v>
      </c>
      <c r="N1345" t="s">
        <v>617</v>
      </c>
      <c r="P1345" s="6" t="s">
        <v>1809</v>
      </c>
      <c r="Q13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5" s="29"/>
      <c r="AC1345" s="25"/>
      <c r="AD1345" s="41"/>
      <c r="AE1345" s="41"/>
      <c r="AF1345" s="11"/>
      <c r="AH1345" s="1" t="str">
        <f>Table1[[#This Row],[html_tag]]&amp;Table1[[#This Row],[html_type]]&amp;Table1[[#This Row],[html_modifier]]</f>
        <v/>
      </c>
      <c r="AL1345" s="22" t="str">
        <f>IFERROR(_xlfn.XLOOKUP(Table1[[#This Row],[word]],Table57[English style name],Table57[Style type]),"")</f>
        <v/>
      </c>
      <c r="AM1345" s="20"/>
      <c r="AN1345" s="11"/>
      <c r="AQ1345" s="6" t="s">
        <v>1809</v>
      </c>
      <c r="AR1345" t="s">
        <v>1814</v>
      </c>
    </row>
    <row r="1346" spans="6:44">
      <c r="F13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6" s="13" t="s">
        <v>461</v>
      </c>
      <c r="H1346" s="13" t="s">
        <v>545</v>
      </c>
      <c r="I1346" s="12" t="str">
        <f>Table1[[#This Row],[type]]</f>
        <v>frame</v>
      </c>
      <c r="J1346" s="62" t="str">
        <f>Table1[[#This Row],[Column42]]&amp;IF(Table1[[#This Row],[Column13]]="","",Table1[[#This Row],[Column13]])&amp;IF(Table1[[#This Row],[mod]]="","",Table1[[#This Row],[mod]])</f>
        <v>frame__right</v>
      </c>
      <c r="K13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frame__right</v>
      </c>
      <c r="L1346" t="s">
        <v>545</v>
      </c>
      <c r="N1346" t="s">
        <v>617</v>
      </c>
      <c r="P1346" s="6" t="s">
        <v>1809</v>
      </c>
      <c r="Q13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6" s="29"/>
      <c r="AC1346" s="25"/>
      <c r="AD1346" s="41"/>
      <c r="AE1346" s="41"/>
      <c r="AF1346" s="11"/>
      <c r="AH1346" s="1" t="str">
        <f>Table1[[#This Row],[html_tag]]&amp;Table1[[#This Row],[html_type]]&amp;Table1[[#This Row],[html_modifier]]</f>
        <v/>
      </c>
      <c r="AL1346" s="22" t="str">
        <f>IFERROR(_xlfn.XLOOKUP(Table1[[#This Row],[word]],Table57[English style name],Table57[Style type]),"")</f>
        <v/>
      </c>
      <c r="AM1346" s="20"/>
      <c r="AN1346" s="11"/>
      <c r="AQ1346" s="6" t="s">
        <v>1809</v>
      </c>
      <c r="AR1346" t="s">
        <v>1796</v>
      </c>
    </row>
    <row r="1347" spans="6:44">
      <c r="F13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7" s="13" t="s">
        <v>461</v>
      </c>
      <c r="H1347" s="13" t="s">
        <v>545</v>
      </c>
      <c r="I1347" s="12" t="str">
        <f>Table1[[#This Row],[type]]</f>
        <v>frame</v>
      </c>
      <c r="J1347" s="62" t="str">
        <f>Table1[[#This Row],[Column42]]&amp;IF(Table1[[#This Row],[Column13]]="","",Table1[[#This Row],[Column13]])&amp;IF(Table1[[#This Row],[mod]]="","",Table1[[#This Row],[mod]])</f>
        <v>frame__top</v>
      </c>
      <c r="K13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</v>
      </c>
      <c r="L1347" t="s">
        <v>545</v>
      </c>
      <c r="N1347" t="s">
        <v>3182</v>
      </c>
      <c r="P1347" s="6" t="s">
        <v>1776</v>
      </c>
      <c r="Q13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7" s="29"/>
      <c r="AC1347" s="25"/>
      <c r="AD1347" s="41"/>
      <c r="AE1347" s="41"/>
      <c r="AF1347" s="11"/>
      <c r="AH1347" s="1" t="str">
        <f>Table1[[#This Row],[html_tag]]&amp;Table1[[#This Row],[html_type]]&amp;Table1[[#This Row],[html_modifier]]</f>
        <v/>
      </c>
      <c r="AL1347" s="22" t="str">
        <f>IFERROR(_xlfn.XLOOKUP(Table1[[#This Row],[word]],Table57[English style name],Table57[Style type]),"")</f>
        <v/>
      </c>
      <c r="AM1347" s="20"/>
      <c r="AN1347" s="11"/>
      <c r="AQ1347" s="6" t="s">
        <v>1776</v>
      </c>
      <c r="AR1347" t="s">
        <v>1747</v>
      </c>
    </row>
    <row r="1348" spans="6:44">
      <c r="F13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8" s="13" t="s">
        <v>461</v>
      </c>
      <c r="H1348" s="13" t="s">
        <v>545</v>
      </c>
      <c r="I1348" s="12" t="str">
        <f>Table1[[#This Row],[type]]</f>
        <v>frame</v>
      </c>
      <c r="J1348" s="62" t="str">
        <f>Table1[[#This Row],[Column42]]&amp;IF(Table1[[#This Row],[Column13]]="","",Table1[[#This Row],[Column13]])&amp;IF(Table1[[#This Row],[mod]]="","",Table1[[#This Row],[mod]])</f>
        <v>frame__top</v>
      </c>
      <c r="K13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</v>
      </c>
      <c r="L1348" t="s">
        <v>545</v>
      </c>
      <c r="N1348" t="s">
        <v>3182</v>
      </c>
      <c r="P1348" s="6" t="s">
        <v>1810</v>
      </c>
      <c r="Q13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8" s="29"/>
      <c r="AC1348" s="25"/>
      <c r="AD1348" s="41"/>
      <c r="AE1348" s="41"/>
      <c r="AF1348" s="11"/>
      <c r="AH1348" s="1" t="str">
        <f>Table1[[#This Row],[html_tag]]&amp;Table1[[#This Row],[html_type]]&amp;Table1[[#This Row],[html_modifier]]</f>
        <v/>
      </c>
      <c r="AL1348" s="22" t="str">
        <f>IFERROR(_xlfn.XLOOKUP(Table1[[#This Row],[word]],Table57[English style name],Table57[Style type]),"")</f>
        <v/>
      </c>
      <c r="AM1348" s="20"/>
      <c r="AN1348" s="11"/>
      <c r="AQ1348" s="6" t="s">
        <v>1810</v>
      </c>
      <c r="AR1348" t="s">
        <v>1814</v>
      </c>
    </row>
    <row r="1349" spans="6:44">
      <c r="F13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9" s="13" t="s">
        <v>461</v>
      </c>
      <c r="H1349" s="13" t="s">
        <v>545</v>
      </c>
      <c r="I1349" s="12" t="str">
        <f>Table1[[#This Row],[type]]</f>
        <v>frame</v>
      </c>
      <c r="J1349" s="62" t="str">
        <f>Table1[[#This Row],[Column42]]&amp;IF(Table1[[#This Row],[Column13]]="","",Table1[[#This Row],[Column13]])&amp;IF(Table1[[#This Row],[mod]]="","",Table1[[#This Row],[mod]])</f>
        <v>frame__top</v>
      </c>
      <c r="K13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</v>
      </c>
      <c r="L1349" t="s">
        <v>545</v>
      </c>
      <c r="N1349" t="s">
        <v>3182</v>
      </c>
      <c r="P1349" s="6" t="s">
        <v>1810</v>
      </c>
      <c r="Q13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9" s="29"/>
      <c r="AC1349" s="25"/>
      <c r="AD1349" s="41"/>
      <c r="AE1349" s="41"/>
      <c r="AF1349" s="11"/>
      <c r="AH1349" s="1" t="str">
        <f>Table1[[#This Row],[html_tag]]&amp;Table1[[#This Row],[html_type]]&amp;Table1[[#This Row],[html_modifier]]</f>
        <v/>
      </c>
      <c r="AL1349" s="22" t="str">
        <f>IFERROR(_xlfn.XLOOKUP(Table1[[#This Row],[word]],Table57[English style name],Table57[Style type]),"")</f>
        <v/>
      </c>
      <c r="AM1349" s="20"/>
      <c r="AN1349" s="11"/>
      <c r="AQ1349" s="6" t="s">
        <v>1810</v>
      </c>
      <c r="AR1349" t="s">
        <v>1796</v>
      </c>
    </row>
    <row r="1350" spans="6:44">
      <c r="F13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0" s="13" t="s">
        <v>461</v>
      </c>
      <c r="H1350" s="13" t="s">
        <v>545</v>
      </c>
      <c r="I1350" s="12" t="str">
        <f>Table1[[#This Row],[type]]</f>
        <v>frame</v>
      </c>
      <c r="J1350" s="62" t="str">
        <f>Table1[[#This Row],[Column42]]&amp;IF(Table1[[#This Row],[Column13]]="","",Table1[[#This Row],[Column13]])&amp;IF(Table1[[#This Row],[mod]]="","",Table1[[#This Row],[mod]])</f>
        <v>frame__top_center</v>
      </c>
      <c r="K13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frame__top_center</v>
      </c>
      <c r="L1350" t="s">
        <v>545</v>
      </c>
      <c r="N1350" t="s">
        <v>3183</v>
      </c>
      <c r="P1350" s="6" t="s">
        <v>1786</v>
      </c>
      <c r="Q13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0" s="29"/>
      <c r="AC1350" s="25"/>
      <c r="AD1350" s="41"/>
      <c r="AE1350" s="41"/>
      <c r="AF1350" s="11"/>
      <c r="AH1350" s="1" t="str">
        <f>Table1[[#This Row],[html_tag]]&amp;Table1[[#This Row],[html_type]]&amp;Table1[[#This Row],[html_modifier]]</f>
        <v/>
      </c>
      <c r="AL1350" s="22" t="str">
        <f>IFERROR(_xlfn.XLOOKUP(Table1[[#This Row],[word]],Table57[English style name],Table57[Style type]),"")</f>
        <v/>
      </c>
      <c r="AM1350" s="20"/>
      <c r="AN1350" s="11"/>
      <c r="AQ1350" s="6" t="s">
        <v>1786</v>
      </c>
      <c r="AR1350" t="s">
        <v>1779</v>
      </c>
    </row>
    <row r="1351" spans="6:44">
      <c r="F13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1" s="13" t="s">
        <v>461</v>
      </c>
      <c r="H1351" s="13" t="s">
        <v>545</v>
      </c>
      <c r="I1351" s="12" t="str">
        <f>Table1[[#This Row],[type]]</f>
        <v>frame</v>
      </c>
      <c r="J1351" s="62" t="str">
        <f>Table1[[#This Row],[Column42]]&amp;IF(Table1[[#This Row],[Column13]]="","",Table1[[#This Row],[Column13]])&amp;IF(Table1[[#This Row],[mod]]="","",Table1[[#This Row],[mod]])</f>
        <v>frame__top_center</v>
      </c>
      <c r="K13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frame__top_center</v>
      </c>
      <c r="L1351" t="s">
        <v>545</v>
      </c>
      <c r="N1351" t="s">
        <v>3183</v>
      </c>
      <c r="P1351" s="6" t="s">
        <v>1811</v>
      </c>
      <c r="Q13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1" s="29"/>
      <c r="AC1351" s="25"/>
      <c r="AD1351" s="41"/>
      <c r="AE1351" s="41"/>
      <c r="AF1351" s="11"/>
      <c r="AH1351" s="1" t="str">
        <f>Table1[[#This Row],[html_tag]]&amp;Table1[[#This Row],[html_type]]&amp;Table1[[#This Row],[html_modifier]]</f>
        <v/>
      </c>
      <c r="AL1351" s="22" t="str">
        <f>IFERROR(_xlfn.XLOOKUP(Table1[[#This Row],[word]],Table57[English style name],Table57[Style type]),"")</f>
        <v/>
      </c>
      <c r="AM1351" s="20"/>
      <c r="AN1351" s="11"/>
      <c r="AQ1351" s="6" t="s">
        <v>1811</v>
      </c>
      <c r="AR1351" t="s">
        <v>1814</v>
      </c>
    </row>
    <row r="1352" spans="6:44">
      <c r="F13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2" s="13" t="s">
        <v>461</v>
      </c>
      <c r="H1352" s="13" t="s">
        <v>545</v>
      </c>
      <c r="I1352" s="12" t="str">
        <f>Table1[[#This Row],[type]]</f>
        <v>frame</v>
      </c>
      <c r="J1352" s="62" t="str">
        <f>Table1[[#This Row],[Column42]]&amp;IF(Table1[[#This Row],[Column13]]="","",Table1[[#This Row],[Column13]])&amp;IF(Table1[[#This Row],[mod]]="","",Table1[[#This Row],[mod]])</f>
        <v>frame__top_center</v>
      </c>
      <c r="K13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frame__top_center</v>
      </c>
      <c r="L1352" t="s">
        <v>545</v>
      </c>
      <c r="N1352" t="s">
        <v>3183</v>
      </c>
      <c r="P1352" s="6" t="s">
        <v>1811</v>
      </c>
      <c r="Q13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2" s="29"/>
      <c r="AC1352" s="25"/>
      <c r="AD1352" s="41"/>
      <c r="AE1352" s="41"/>
      <c r="AF1352" s="11"/>
      <c r="AH1352" s="1" t="str">
        <f>Table1[[#This Row],[html_tag]]&amp;Table1[[#This Row],[html_type]]&amp;Table1[[#This Row],[html_modifier]]</f>
        <v/>
      </c>
      <c r="AL1352" s="22" t="str">
        <f>IFERROR(_xlfn.XLOOKUP(Table1[[#This Row],[word]],Table57[English style name],Table57[Style type]),"")</f>
        <v/>
      </c>
      <c r="AM1352" s="20"/>
      <c r="AN1352" s="11"/>
      <c r="AQ1352" s="6" t="s">
        <v>1811</v>
      </c>
      <c r="AR1352" t="s">
        <v>1796</v>
      </c>
    </row>
    <row r="1353" spans="6:44">
      <c r="F13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3" s="13" t="s">
        <v>461</v>
      </c>
      <c r="H1353" s="13" t="s">
        <v>545</v>
      </c>
      <c r="I1353" s="12" t="str">
        <f>Table1[[#This Row],[type]]</f>
        <v>frame</v>
      </c>
      <c r="J1353" s="62" t="str">
        <f>Table1[[#This Row],[Column42]]&amp;IF(Table1[[#This Row],[Column13]]="","",Table1[[#This Row],[Column13]])&amp;IF(Table1[[#This Row],[mod]]="","",Table1[[#This Row],[mod]])</f>
        <v>frame__top_left</v>
      </c>
      <c r="K13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frame__top_left</v>
      </c>
      <c r="L1353" t="s">
        <v>545</v>
      </c>
      <c r="N1353" t="s">
        <v>3184</v>
      </c>
      <c r="P1353" s="6" t="s">
        <v>1787</v>
      </c>
      <c r="Q13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3" s="29"/>
      <c r="AC1353" s="25"/>
      <c r="AD1353" s="41"/>
      <c r="AE1353" s="41"/>
      <c r="AF1353" s="11"/>
      <c r="AH1353" s="1" t="str">
        <f>Table1[[#This Row],[html_tag]]&amp;Table1[[#This Row],[html_type]]&amp;Table1[[#This Row],[html_modifier]]</f>
        <v/>
      </c>
      <c r="AL1353" s="22" t="str">
        <f>IFERROR(_xlfn.XLOOKUP(Table1[[#This Row],[word]],Table57[English style name],Table57[Style type]),"")</f>
        <v/>
      </c>
      <c r="AM1353" s="20"/>
      <c r="AN1353" s="11"/>
      <c r="AQ1353" s="6" t="s">
        <v>1787</v>
      </c>
      <c r="AR1353" t="s">
        <v>1779</v>
      </c>
    </row>
    <row r="1354" spans="6:44">
      <c r="F13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4" s="13" t="s">
        <v>461</v>
      </c>
      <c r="H1354" s="13" t="s">
        <v>545</v>
      </c>
      <c r="I1354" s="12" t="str">
        <f>Table1[[#This Row],[type]]</f>
        <v>frame</v>
      </c>
      <c r="J1354" s="62" t="str">
        <f>Table1[[#This Row],[Column42]]&amp;IF(Table1[[#This Row],[Column13]]="","",Table1[[#This Row],[Column13]])&amp;IF(Table1[[#This Row],[mod]]="","",Table1[[#This Row],[mod]])</f>
        <v>frame__top_left</v>
      </c>
      <c r="K13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frame__top_left</v>
      </c>
      <c r="L1354" t="s">
        <v>545</v>
      </c>
      <c r="N1354" t="s">
        <v>3184</v>
      </c>
      <c r="P1354" s="6" t="s">
        <v>1812</v>
      </c>
      <c r="Q13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4" s="29"/>
      <c r="AC1354" s="25"/>
      <c r="AD1354" s="41"/>
      <c r="AE1354" s="41"/>
      <c r="AF1354" s="11"/>
      <c r="AH1354" s="1" t="str">
        <f>Table1[[#This Row],[html_tag]]&amp;Table1[[#This Row],[html_type]]&amp;Table1[[#This Row],[html_modifier]]</f>
        <v/>
      </c>
      <c r="AL1354" s="22" t="str">
        <f>IFERROR(_xlfn.XLOOKUP(Table1[[#This Row],[word]],Table57[English style name],Table57[Style type]),"")</f>
        <v/>
      </c>
      <c r="AM1354" s="20"/>
      <c r="AN1354" s="11"/>
      <c r="AQ1354" s="6" t="s">
        <v>1812</v>
      </c>
      <c r="AR1354" t="s">
        <v>1814</v>
      </c>
    </row>
    <row r="1355" spans="6:44">
      <c r="F13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5" s="13" t="s">
        <v>461</v>
      </c>
      <c r="H1355" s="13" t="s">
        <v>545</v>
      </c>
      <c r="I1355" s="12" t="str">
        <f>Table1[[#This Row],[type]]</f>
        <v>frame</v>
      </c>
      <c r="J1355" s="62" t="str">
        <f>Table1[[#This Row],[Column42]]&amp;IF(Table1[[#This Row],[Column13]]="","",Table1[[#This Row],[Column13]])&amp;IF(Table1[[#This Row],[mod]]="","",Table1[[#This Row],[mod]])</f>
        <v>frame__top_left</v>
      </c>
      <c r="K13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frame__top_left</v>
      </c>
      <c r="L1355" t="s">
        <v>545</v>
      </c>
      <c r="N1355" t="s">
        <v>3184</v>
      </c>
      <c r="P1355" s="6" t="s">
        <v>1812</v>
      </c>
      <c r="Q13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5" s="29"/>
      <c r="AC1355" s="25"/>
      <c r="AD1355" s="41"/>
      <c r="AE1355" s="41"/>
      <c r="AF1355" s="11"/>
      <c r="AH1355" s="1" t="str">
        <f>Table1[[#This Row],[html_tag]]&amp;Table1[[#This Row],[html_type]]&amp;Table1[[#This Row],[html_modifier]]</f>
        <v/>
      </c>
      <c r="AL1355" s="22" t="str">
        <f>IFERROR(_xlfn.XLOOKUP(Table1[[#This Row],[word]],Table57[English style name],Table57[Style type]),"")</f>
        <v/>
      </c>
      <c r="AM1355" s="20"/>
      <c r="AN1355" s="11"/>
      <c r="AQ1355" s="6" t="s">
        <v>1812</v>
      </c>
      <c r="AR1355" t="s">
        <v>1796</v>
      </c>
    </row>
    <row r="1356" spans="6:44">
      <c r="F13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6" s="13" t="s">
        <v>461</v>
      </c>
      <c r="H1356" s="13" t="s">
        <v>545</v>
      </c>
      <c r="I1356" s="12" t="str">
        <f>Table1[[#This Row],[type]]</f>
        <v>frame</v>
      </c>
      <c r="J1356" s="62" t="str">
        <f>Table1[[#This Row],[Column42]]&amp;IF(Table1[[#This Row],[Column13]]="","",Table1[[#This Row],[Column13]])&amp;IF(Table1[[#This Row],[mod]]="","",Table1[[#This Row],[mod]])</f>
        <v>frame__top_right</v>
      </c>
      <c r="K13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frame__top_right</v>
      </c>
      <c r="L1356" t="s">
        <v>545</v>
      </c>
      <c r="N1356" t="s">
        <v>3185</v>
      </c>
      <c r="P1356" s="6" t="s">
        <v>1788</v>
      </c>
      <c r="Q13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6" s="29"/>
      <c r="AC1356" s="25"/>
      <c r="AD1356" s="41"/>
      <c r="AE1356" s="41"/>
      <c r="AF1356" s="11"/>
      <c r="AH1356" s="1" t="str">
        <f>Table1[[#This Row],[html_tag]]&amp;Table1[[#This Row],[html_type]]&amp;Table1[[#This Row],[html_modifier]]</f>
        <v/>
      </c>
      <c r="AL1356" s="22" t="str">
        <f>IFERROR(_xlfn.XLOOKUP(Table1[[#This Row],[word]],Table57[English style name],Table57[Style type]),"")</f>
        <v/>
      </c>
      <c r="AM1356" s="20"/>
      <c r="AN1356" s="11"/>
      <c r="AQ1356" s="6" t="s">
        <v>1788</v>
      </c>
      <c r="AR1356" t="s">
        <v>1779</v>
      </c>
    </row>
    <row r="1357" spans="6:44">
      <c r="F13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7" s="13" t="s">
        <v>461</v>
      </c>
      <c r="H1357" s="13" t="s">
        <v>545</v>
      </c>
      <c r="I1357" s="12" t="str">
        <f>Table1[[#This Row],[type]]</f>
        <v>frame</v>
      </c>
      <c r="J1357" s="62" t="str">
        <f>Table1[[#This Row],[Column42]]&amp;IF(Table1[[#This Row],[Column13]]="","",Table1[[#This Row],[Column13]])&amp;IF(Table1[[#This Row],[mod]]="","",Table1[[#This Row],[mod]])</f>
        <v>frame__top_right</v>
      </c>
      <c r="K13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frame__top_right</v>
      </c>
      <c r="L1357" t="s">
        <v>545</v>
      </c>
      <c r="N1357" t="s">
        <v>3185</v>
      </c>
      <c r="P1357" s="6" t="s">
        <v>1813</v>
      </c>
      <c r="Q13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7" s="29"/>
      <c r="AC1357" s="25"/>
      <c r="AD1357" s="41"/>
      <c r="AE1357" s="41"/>
      <c r="AF1357" s="11"/>
      <c r="AH1357" s="1" t="str">
        <f>Table1[[#This Row],[html_tag]]&amp;Table1[[#This Row],[html_type]]&amp;Table1[[#This Row],[html_modifier]]</f>
        <v/>
      </c>
      <c r="AL1357" s="22" t="str">
        <f>IFERROR(_xlfn.XLOOKUP(Table1[[#This Row],[word]],Table57[English style name],Table57[Style type]),"")</f>
        <v/>
      </c>
      <c r="AM1357" s="20"/>
      <c r="AN1357" s="11"/>
      <c r="AQ1357" s="6" t="s">
        <v>1813</v>
      </c>
      <c r="AR1357" t="s">
        <v>1814</v>
      </c>
    </row>
    <row r="1358" spans="6:44">
      <c r="F13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8" s="13" t="s">
        <v>461</v>
      </c>
      <c r="H1358" s="13" t="s">
        <v>545</v>
      </c>
      <c r="I1358" s="12" t="str">
        <f>Table1[[#This Row],[type]]</f>
        <v>frame</v>
      </c>
      <c r="J1358" s="62" t="str">
        <f>Table1[[#This Row],[Column42]]&amp;IF(Table1[[#This Row],[Column13]]="","",Table1[[#This Row],[Column13]])&amp;IF(Table1[[#This Row],[mod]]="","",Table1[[#This Row],[mod]])</f>
        <v>frame__top_right</v>
      </c>
      <c r="K13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frame__top_right</v>
      </c>
      <c r="L1358" t="s">
        <v>545</v>
      </c>
      <c r="N1358" t="s">
        <v>3185</v>
      </c>
      <c r="P1358" s="6" t="s">
        <v>1813</v>
      </c>
      <c r="Q13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8" s="29"/>
      <c r="AC1358" s="25"/>
      <c r="AD1358" s="41"/>
      <c r="AE1358" s="41"/>
      <c r="AF1358" s="11"/>
      <c r="AH1358" s="1" t="str">
        <f>Table1[[#This Row],[html_tag]]&amp;Table1[[#This Row],[html_type]]&amp;Table1[[#This Row],[html_modifier]]</f>
        <v/>
      </c>
      <c r="AL1358" s="22" t="str">
        <f>IFERROR(_xlfn.XLOOKUP(Table1[[#This Row],[word]],Table57[English style name],Table57[Style type]),"")</f>
        <v/>
      </c>
      <c r="AM1358" s="20"/>
      <c r="AN1358" s="11"/>
      <c r="AQ1358" s="6" t="s">
        <v>1813</v>
      </c>
      <c r="AR1358" t="s">
        <v>1796</v>
      </c>
    </row>
    <row r="1359" spans="6:44">
      <c r="F13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9" s="13" t="s">
        <v>461</v>
      </c>
      <c r="H1359" s="13" t="s">
        <v>545</v>
      </c>
      <c r="I1359" s="12" t="str">
        <f>Table1[[#This Row],[type]]</f>
        <v>frame</v>
      </c>
      <c r="J1359" s="62" t="str">
        <f>Table1[[#This Row],[Column42]]&amp;IF(Table1[[#This Row],[Column13]]="","",Table1[[#This Row],[Column13]])&amp;IF(Table1[[#This Row],[mod]]="","",Table1[[#This Row],[mod]])</f>
        <v>frame__viewport--lg</v>
      </c>
      <c r="K13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frame__viewport</v>
      </c>
      <c r="L1359" t="s">
        <v>545</v>
      </c>
      <c r="M1359" t="s">
        <v>3207</v>
      </c>
      <c r="P1359" s="14" t="s">
        <v>1767</v>
      </c>
      <c r="Q13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359" t="s">
        <v>3114</v>
      </c>
      <c r="AB1359" s="29"/>
      <c r="AC1359" s="25"/>
      <c r="AD1359" s="41"/>
      <c r="AE1359" s="41"/>
      <c r="AF1359" s="11"/>
      <c r="AH1359" s="1" t="str">
        <f>Table1[[#This Row],[html_tag]]&amp;Table1[[#This Row],[html_type]]&amp;Table1[[#This Row],[html_modifier]]</f>
        <v/>
      </c>
      <c r="AL1359" s="22" t="str">
        <f>IFERROR(_xlfn.XLOOKUP(Table1[[#This Row],[word]],Table57[English style name],Table57[Style type]),"")</f>
        <v/>
      </c>
      <c r="AM1359" s="20"/>
      <c r="AN1359" s="11"/>
      <c r="AQ1359" s="14" t="s">
        <v>1767</v>
      </c>
      <c r="AR1359" t="s">
        <v>1747</v>
      </c>
    </row>
    <row r="1360" spans="6:44">
      <c r="F13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0" s="13" t="s">
        <v>461</v>
      </c>
      <c r="H1360" s="13" t="s">
        <v>545</v>
      </c>
      <c r="I1360" s="12" t="str">
        <f>Table1[[#This Row],[type]]</f>
        <v>frame</v>
      </c>
      <c r="J1360" s="62" t="str">
        <f>Table1[[#This Row],[Column42]]&amp;IF(Table1[[#This Row],[Column13]]="","",Table1[[#This Row],[Column13]])&amp;IF(Table1[[#This Row],[mod]]="","",Table1[[#This Row],[mod]])</f>
        <v>frame--base</v>
      </c>
      <c r="K13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0" t="s">
        <v>545</v>
      </c>
      <c r="P1360" s="6" t="s">
        <v>1742</v>
      </c>
      <c r="Q13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60" t="s">
        <v>338</v>
      </c>
      <c r="AB1360" s="29"/>
      <c r="AC1360" s="25"/>
      <c r="AD1360" s="41"/>
      <c r="AE1360" s="41"/>
      <c r="AF1360" s="11"/>
      <c r="AH1360" s="1" t="str">
        <f>Table1[[#This Row],[html_tag]]&amp;Table1[[#This Row],[html_type]]&amp;Table1[[#This Row],[html_modifier]]</f>
        <v/>
      </c>
      <c r="AL1360" s="22" t="str">
        <f>IFERROR(_xlfn.XLOOKUP(Table1[[#This Row],[word]],Table57[English style name],Table57[Style type]),"")</f>
        <v/>
      </c>
      <c r="AM1360" s="20"/>
      <c r="AN1360" s="11"/>
      <c r="AQ1360" s="6" t="s">
        <v>1742</v>
      </c>
      <c r="AR1360" t="s">
        <v>1743</v>
      </c>
    </row>
    <row r="1361" spans="6:44">
      <c r="F13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1" s="13" t="s">
        <v>461</v>
      </c>
      <c r="H1361" s="13" t="s">
        <v>545</v>
      </c>
      <c r="I1361" s="12" t="str">
        <f>Table1[[#This Row],[type]]</f>
        <v>frame</v>
      </c>
      <c r="J1361" s="62" t="str">
        <f>Table1[[#This Row],[Column42]]&amp;IF(Table1[[#This Row],[Column13]]="","",Table1[[#This Row],[Column13]])&amp;IF(Table1[[#This Row],[mod]]="","",Table1[[#This Row],[mod]])</f>
        <v>frame--base</v>
      </c>
      <c r="K13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1" t="s">
        <v>545</v>
      </c>
      <c r="P1361" s="6" t="s">
        <v>1777</v>
      </c>
      <c r="Q13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61" t="s">
        <v>338</v>
      </c>
      <c r="AB1361" s="29"/>
      <c r="AC1361" s="25"/>
      <c r="AD1361" s="41"/>
      <c r="AE1361" s="41"/>
      <c r="AF1361" s="11"/>
      <c r="AH1361" s="1" t="str">
        <f>Table1[[#This Row],[html_tag]]&amp;Table1[[#This Row],[html_type]]&amp;Table1[[#This Row],[html_modifier]]</f>
        <v/>
      </c>
      <c r="AL1361" s="22" t="str">
        <f>IFERROR(_xlfn.XLOOKUP(Table1[[#This Row],[word]],Table57[English style name],Table57[Style type]),"")</f>
        <v/>
      </c>
      <c r="AM1361" s="20"/>
      <c r="AN1361" s="11"/>
      <c r="AQ1361" s="6" t="s">
        <v>1777</v>
      </c>
      <c r="AR1361" t="s">
        <v>1747</v>
      </c>
    </row>
    <row r="1362" spans="6:44">
      <c r="F13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2" s="13" t="s">
        <v>461</v>
      </c>
      <c r="H1362" s="13" t="s">
        <v>545</v>
      </c>
      <c r="I1362" s="12" t="str">
        <f>Table1[[#This Row],[type]]</f>
        <v>frame</v>
      </c>
      <c r="J1362" s="62" t="str">
        <f>Table1[[#This Row],[Column42]]&amp;IF(Table1[[#This Row],[Column13]]="","",Table1[[#This Row],[Column13]])&amp;IF(Table1[[#This Row],[mod]]="","",Table1[[#This Row],[mod]])</f>
        <v>frame--base</v>
      </c>
      <c r="K13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2" t="s">
        <v>545</v>
      </c>
      <c r="P1362" s="6" t="s">
        <v>1797</v>
      </c>
      <c r="Q13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62" t="s">
        <v>338</v>
      </c>
      <c r="AB1362" s="29"/>
      <c r="AC1362" s="25"/>
      <c r="AD1362" s="41"/>
      <c r="AE1362" s="41"/>
      <c r="AF1362" s="11"/>
      <c r="AH1362" s="1" t="str">
        <f>Table1[[#This Row],[html_tag]]&amp;Table1[[#This Row],[html_type]]&amp;Table1[[#This Row],[html_modifier]]</f>
        <v/>
      </c>
      <c r="AL1362" s="22" t="str">
        <f>IFERROR(_xlfn.XLOOKUP(Table1[[#This Row],[word]],Table57[English style name],Table57[Style type]),"")</f>
        <v/>
      </c>
      <c r="AM1362" s="20"/>
      <c r="AN1362" s="11"/>
      <c r="AQ1362" s="6" t="s">
        <v>1797</v>
      </c>
      <c r="AR1362" t="s">
        <v>1814</v>
      </c>
    </row>
    <row r="1363" spans="6:44">
      <c r="F13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3" s="13" t="s">
        <v>461</v>
      </c>
      <c r="H1363" s="13" t="s">
        <v>545</v>
      </c>
      <c r="I1363" s="12" t="str">
        <f>Table1[[#This Row],[type]]</f>
        <v>frame</v>
      </c>
      <c r="J1363" s="62" t="str">
        <f>Table1[[#This Row],[Column42]]&amp;IF(Table1[[#This Row],[Column13]]="","",Table1[[#This Row],[Column13]])&amp;IF(Table1[[#This Row],[mod]]="","",Table1[[#This Row],[mod]])</f>
        <v>frame--base</v>
      </c>
      <c r="K13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3" t="s">
        <v>545</v>
      </c>
      <c r="P1363" s="6" t="s">
        <v>1797</v>
      </c>
      <c r="Q13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63" t="s">
        <v>338</v>
      </c>
      <c r="AB1363" s="29"/>
      <c r="AC1363" s="25"/>
      <c r="AD1363" s="41"/>
      <c r="AE1363" s="41"/>
      <c r="AF1363" s="11"/>
      <c r="AH1363" s="1" t="str">
        <f>Table1[[#This Row],[html_tag]]&amp;Table1[[#This Row],[html_type]]&amp;Table1[[#This Row],[html_modifier]]</f>
        <v/>
      </c>
      <c r="AL1363" s="22" t="str">
        <f>IFERROR(_xlfn.XLOOKUP(Table1[[#This Row],[word]],Table57[English style name],Table57[Style type]),"")</f>
        <v/>
      </c>
      <c r="AM1363" s="20"/>
      <c r="AN1363" s="11"/>
      <c r="AQ1363" s="6" t="s">
        <v>1797</v>
      </c>
      <c r="AR1363" t="s">
        <v>1796</v>
      </c>
    </row>
    <row r="1364" spans="6:44">
      <c r="F13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4" s="13" t="s">
        <v>461</v>
      </c>
      <c r="H1364" s="13" t="s">
        <v>545</v>
      </c>
      <c r="I1364" s="12" t="str">
        <f>Table1[[#This Row],[type]]</f>
        <v>frame</v>
      </c>
      <c r="J1364" s="62" t="str">
        <f>Table1[[#This Row],[Column42]]&amp;IF(Table1[[#This Row],[Column13]]="","",Table1[[#This Row],[Column13]])&amp;IF(Table1[[#This Row],[mod]]="","",Table1[[#This Row],[mod]])</f>
        <v>frame--base</v>
      </c>
      <c r="K13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4" t="s">
        <v>545</v>
      </c>
      <c r="P1364" s="6" t="s">
        <v>1755</v>
      </c>
      <c r="Q13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64" t="s">
        <v>338</v>
      </c>
      <c r="AB1364" s="29"/>
      <c r="AC1364" s="25"/>
      <c r="AD1364" s="41"/>
      <c r="AE1364" s="41"/>
      <c r="AF1364" s="11"/>
      <c r="AH1364" s="1" t="str">
        <f>Table1[[#This Row],[html_tag]]&amp;Table1[[#This Row],[html_type]]&amp;Table1[[#This Row],[html_modifier]]</f>
        <v/>
      </c>
      <c r="AL1364" s="22" t="str">
        <f>IFERROR(_xlfn.XLOOKUP(Table1[[#This Row],[word]],Table57[English style name],Table57[Style type]),"")</f>
        <v/>
      </c>
      <c r="AM1364" s="20"/>
      <c r="AN1364" s="11"/>
      <c r="AQ1364" s="6" t="s">
        <v>1755</v>
      </c>
      <c r="AR1364" t="s">
        <v>1747</v>
      </c>
    </row>
    <row r="1365" spans="6:44">
      <c r="F13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5" s="13" t="s">
        <v>461</v>
      </c>
      <c r="H1365" s="13" t="s">
        <v>545</v>
      </c>
      <c r="I1365" s="12" t="str">
        <f>Table1[[#This Row],[type]]</f>
        <v>frame</v>
      </c>
      <c r="J1365" s="62" t="str">
        <f>Table1[[#This Row],[Column42]]&amp;IF(Table1[[#This Row],[Column13]]="","",Table1[[#This Row],[Column13]])&amp;IF(Table1[[#This Row],[mod]]="","",Table1[[#This Row],[mod]])</f>
        <v>frame--container</v>
      </c>
      <c r="K13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5" t="s">
        <v>545</v>
      </c>
      <c r="P1365" s="6"/>
      <c r="Q13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365" t="s">
        <v>3445</v>
      </c>
      <c r="AB1365" s="29"/>
      <c r="AC1365" s="25"/>
      <c r="AD1365" s="41"/>
      <c r="AE1365" s="41"/>
      <c r="AF1365" s="11"/>
      <c r="AH1365" s="1" t="str">
        <f>Table1[[#This Row],[html_tag]]&amp;Table1[[#This Row],[html_type]]&amp;Table1[[#This Row],[html_modifier]]</f>
        <v/>
      </c>
      <c r="AL1365" s="22" t="str">
        <f>IFERROR(_xlfn.XLOOKUP(Table1[[#This Row],[word]],Table57[English style name],Table57[Style type]),"")</f>
        <v/>
      </c>
      <c r="AM1365" s="20"/>
      <c r="AN1365" s="11"/>
      <c r="AQ1365" s="6" t="s">
        <v>1749</v>
      </c>
      <c r="AR1365" t="s">
        <v>1747</v>
      </c>
    </row>
    <row r="1366" spans="6:44">
      <c r="F13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6" s="13" t="s">
        <v>461</v>
      </c>
      <c r="H1366" s="13" t="s">
        <v>545</v>
      </c>
      <c r="I1366" s="12" t="str">
        <f>Table1[[#This Row],[type]]</f>
        <v>frame</v>
      </c>
      <c r="J1366" s="62" t="str">
        <f>Table1[[#This Row],[Column42]]&amp;IF(Table1[[#This Row],[Column13]]="","",Table1[[#This Row],[Column13]])&amp;IF(Table1[[#This Row],[mod]]="","",Table1[[#This Row],[mod]])</f>
        <v>frame--container--2xl</v>
      </c>
      <c r="K13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6" t="s">
        <v>545</v>
      </c>
      <c r="P1366" s="6"/>
      <c r="Q13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--container--2xl</v>
      </c>
      <c r="V1366" t="s">
        <v>3445</v>
      </c>
      <c r="AA1366" s="3" t="s">
        <v>3161</v>
      </c>
      <c r="AB1366" s="29"/>
      <c r="AC1366" s="25"/>
      <c r="AD1366" s="41"/>
      <c r="AE1366" s="41"/>
      <c r="AF1366" s="11"/>
      <c r="AH1366" s="1" t="str">
        <f>Table1[[#This Row],[html_tag]]&amp;Table1[[#This Row],[html_type]]&amp;Table1[[#This Row],[html_modifier]]</f>
        <v/>
      </c>
      <c r="AL1366" s="22" t="str">
        <f>IFERROR(_xlfn.XLOOKUP(Table1[[#This Row],[word]],Table57[English style name],Table57[Style type]),"")</f>
        <v/>
      </c>
      <c r="AM1366" s="20"/>
      <c r="AN1366" s="11"/>
      <c r="AQ1366" s="6" t="s">
        <v>1750</v>
      </c>
      <c r="AR1366" t="s">
        <v>1747</v>
      </c>
    </row>
    <row r="1367" spans="6:44">
      <c r="F13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7" s="13" t="s">
        <v>461</v>
      </c>
      <c r="H1367" s="13" t="s">
        <v>545</v>
      </c>
      <c r="I1367" s="12" t="str">
        <f>Table1[[#This Row],[type]]</f>
        <v>frame</v>
      </c>
      <c r="J1367" s="62" t="str">
        <f>Table1[[#This Row],[Column42]]&amp;IF(Table1[[#This Row],[Column13]]="","",Table1[[#This Row],[Column13]])&amp;IF(Table1[[#This Row],[mod]]="","",Table1[[#This Row],[mod]])</f>
        <v>frame--container--lg</v>
      </c>
      <c r="K13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7" t="s">
        <v>545</v>
      </c>
      <c r="P1367" s="6"/>
      <c r="Q13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--container--lg</v>
      </c>
      <c r="V1367" t="s">
        <v>3445</v>
      </c>
      <c r="AA1367" t="s">
        <v>3114</v>
      </c>
      <c r="AB1367" s="29"/>
      <c r="AC1367" s="25"/>
      <c r="AD1367" s="41"/>
      <c r="AE1367" s="41"/>
      <c r="AF1367" s="11"/>
      <c r="AH1367" s="1" t="str">
        <f>Table1[[#This Row],[html_tag]]&amp;Table1[[#This Row],[html_type]]&amp;Table1[[#This Row],[html_modifier]]</f>
        <v/>
      </c>
      <c r="AL1367" s="22" t="str">
        <f>IFERROR(_xlfn.XLOOKUP(Table1[[#This Row],[word]],Table57[English style name],Table57[Style type]),"")</f>
        <v/>
      </c>
      <c r="AM1367" s="20"/>
      <c r="AN1367" s="11"/>
      <c r="AQ1367" s="6" t="s">
        <v>1751</v>
      </c>
      <c r="AR1367" t="s">
        <v>1747</v>
      </c>
    </row>
    <row r="1368" spans="6:44">
      <c r="F13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8" s="13" t="s">
        <v>461</v>
      </c>
      <c r="H1368" s="13" t="s">
        <v>545</v>
      </c>
      <c r="I1368" s="12" t="str">
        <f>Table1[[#This Row],[type]]</f>
        <v>frame</v>
      </c>
      <c r="J1368" s="62" t="str">
        <f>Table1[[#This Row],[Column42]]&amp;IF(Table1[[#This Row],[Column13]]="","",Table1[[#This Row],[Column13]])&amp;IF(Table1[[#This Row],[mod]]="","",Table1[[#This Row],[mod]])</f>
        <v>frame--container--md</v>
      </c>
      <c r="K13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8" t="s">
        <v>545</v>
      </c>
      <c r="P1368" s="6"/>
      <c r="Q13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--container--md</v>
      </c>
      <c r="V1368" t="s">
        <v>3445</v>
      </c>
      <c r="AA1368" t="s">
        <v>3115</v>
      </c>
      <c r="AB1368" s="29"/>
      <c r="AC1368" s="25"/>
      <c r="AD1368" s="41"/>
      <c r="AE1368" s="41"/>
      <c r="AF1368" s="11"/>
      <c r="AH1368" s="1" t="str">
        <f>Table1[[#This Row],[html_tag]]&amp;Table1[[#This Row],[html_type]]&amp;Table1[[#This Row],[html_modifier]]</f>
        <v/>
      </c>
      <c r="AL1368" s="22" t="str">
        <f>IFERROR(_xlfn.XLOOKUP(Table1[[#This Row],[word]],Table57[English style name],Table57[Style type]),"")</f>
        <v/>
      </c>
      <c r="AM1368" s="20"/>
      <c r="AN1368" s="11"/>
      <c r="AQ1368" s="6" t="s">
        <v>1752</v>
      </c>
      <c r="AR1368" t="s">
        <v>1747</v>
      </c>
    </row>
    <row r="1369" spans="6:44">
      <c r="F13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9" s="13" t="s">
        <v>461</v>
      </c>
      <c r="H1369" s="13" t="s">
        <v>545</v>
      </c>
      <c r="I1369" s="12" t="str">
        <f>Table1[[#This Row],[type]]</f>
        <v>frame</v>
      </c>
      <c r="J1369" s="62" t="str">
        <f>Table1[[#This Row],[Column42]]&amp;IF(Table1[[#This Row],[Column13]]="","",Table1[[#This Row],[Column13]])&amp;IF(Table1[[#This Row],[mod]]="","",Table1[[#This Row],[mod]])</f>
        <v>frame--container--sm</v>
      </c>
      <c r="K13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9" t="s">
        <v>545</v>
      </c>
      <c r="P1369" s="6"/>
      <c r="Q13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--container--sm</v>
      </c>
      <c r="V1369" t="s">
        <v>3445</v>
      </c>
      <c r="AA1369" s="3" t="s">
        <v>3116</v>
      </c>
      <c r="AB1369" s="29"/>
      <c r="AC1369" s="25"/>
      <c r="AD1369" s="41"/>
      <c r="AE1369" s="41"/>
      <c r="AF1369" s="11"/>
      <c r="AH1369" s="1" t="str">
        <f>Table1[[#This Row],[html_tag]]&amp;Table1[[#This Row],[html_type]]&amp;Table1[[#This Row],[html_modifier]]</f>
        <v/>
      </c>
      <c r="AL1369" s="22" t="str">
        <f>IFERROR(_xlfn.XLOOKUP(Table1[[#This Row],[word]],Table57[English style name],Table57[Style type]),"")</f>
        <v/>
      </c>
      <c r="AM1369" s="20"/>
      <c r="AN1369" s="11"/>
      <c r="AQ1369" s="6" t="s">
        <v>1753</v>
      </c>
      <c r="AR1369" t="s">
        <v>1747</v>
      </c>
    </row>
    <row r="1370" spans="6:44">
      <c r="F13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70" s="13" t="s">
        <v>461</v>
      </c>
      <c r="H1370" s="13" t="s">
        <v>545</v>
      </c>
      <c r="I1370" s="12" t="str">
        <f>Table1[[#This Row],[type]]</f>
        <v>frame</v>
      </c>
      <c r="J1370" s="62" t="str">
        <f>Table1[[#This Row],[Column42]]&amp;IF(Table1[[#This Row],[Column13]]="","",Table1[[#This Row],[Column13]])&amp;IF(Table1[[#This Row],[mod]]="","",Table1[[#This Row],[mod]])</f>
        <v>frame--container--xl</v>
      </c>
      <c r="K13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70" t="s">
        <v>545</v>
      </c>
      <c r="P1370" s="6"/>
      <c r="Q13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--container--xl</v>
      </c>
      <c r="V1370" t="s">
        <v>3445</v>
      </c>
      <c r="AA1370" s="3" t="s">
        <v>3126</v>
      </c>
      <c r="AB1370" s="29"/>
      <c r="AC1370" s="25"/>
      <c r="AD1370" s="41"/>
      <c r="AE1370" s="41"/>
      <c r="AF1370" s="11"/>
      <c r="AH1370" s="1" t="str">
        <f>Table1[[#This Row],[html_tag]]&amp;Table1[[#This Row],[html_type]]&amp;Table1[[#This Row],[html_modifier]]</f>
        <v/>
      </c>
      <c r="AL1370" s="22" t="str">
        <f>IFERROR(_xlfn.XLOOKUP(Table1[[#This Row],[word]],Table57[English style name],Table57[Style type]),"")</f>
        <v/>
      </c>
      <c r="AM1370" s="20"/>
      <c r="AN1370" s="11"/>
      <c r="AQ1370" s="6" t="s">
        <v>1754</v>
      </c>
      <c r="AR1370" t="s">
        <v>1747</v>
      </c>
    </row>
    <row r="1371" spans="6:44">
      <c r="F13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71" s="13" t="s">
        <v>461</v>
      </c>
      <c r="H1371" s="13" t="s">
        <v>545</v>
      </c>
      <c r="I1371" s="12" t="str">
        <f>Table1[[#This Row],[type]]</f>
        <v>frame</v>
      </c>
      <c r="J1371" s="62" t="str">
        <f>Table1[[#This Row],[Column42]]&amp;IF(Table1[[#This Row],[Column13]]="","",Table1[[#This Row],[Column13]])&amp;IF(Table1[[#This Row],[mod]]="","",Table1[[#This Row],[mod]])</f>
        <v>frame--sm</v>
      </c>
      <c r="K13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71" t="s">
        <v>545</v>
      </c>
      <c r="P1371" s="6" t="s">
        <v>1768</v>
      </c>
      <c r="Q13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371" s="3" t="s">
        <v>3116</v>
      </c>
      <c r="AB1371" s="29"/>
      <c r="AC1371" s="25"/>
      <c r="AD1371" s="41"/>
      <c r="AE1371" s="41"/>
      <c r="AF1371" s="11"/>
      <c r="AH1371" s="1" t="str">
        <f>Table1[[#This Row],[html_tag]]&amp;Table1[[#This Row],[html_type]]&amp;Table1[[#This Row],[html_modifier]]</f>
        <v/>
      </c>
      <c r="AL1371" s="22" t="str">
        <f>IFERROR(_xlfn.XLOOKUP(Table1[[#This Row],[word]],Table57[English style name],Table57[Style type]),"")</f>
        <v/>
      </c>
      <c r="AM1371" s="20"/>
      <c r="AN1371" s="11"/>
      <c r="AQ1371" s="6" t="s">
        <v>1768</v>
      </c>
      <c r="AR1371" t="s">
        <v>1747</v>
      </c>
    </row>
    <row r="1372" spans="6:44">
      <c r="F13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372" s="13" t="s">
        <v>337</v>
      </c>
      <c r="H1372" s="13" t="s">
        <v>2988</v>
      </c>
      <c r="I1372" s="12" t="str">
        <f>Table1[[#This Row],[type]]</f>
        <v>gallery</v>
      </c>
      <c r="J1372" s="62" t="str">
        <f>Table1[[#This Row],[Column42]]&amp;IF(Table1[[#This Row],[Column13]]="","",Table1[[#This Row],[Column13]])&amp;IF(Table1[[#This Row],[mod]]="","",Table1[[#This Row],[mod]])</f>
        <v>gallery</v>
      </c>
      <c r="K13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</v>
      </c>
      <c r="L1372" t="s">
        <v>1815</v>
      </c>
      <c r="P1372" s="6" t="s">
        <v>1815</v>
      </c>
      <c r="Q13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2" s="29"/>
      <c r="AC1372" s="25"/>
      <c r="AD1372" s="41"/>
      <c r="AE1372" s="41"/>
      <c r="AF1372" s="11"/>
      <c r="AH1372" s="1" t="str">
        <f>Table1[[#This Row],[html_tag]]&amp;Table1[[#This Row],[html_type]]&amp;Table1[[#This Row],[html_modifier]]</f>
        <v/>
      </c>
      <c r="AL1372" s="22" t="str">
        <f>IFERROR(_xlfn.XLOOKUP(Table1[[#This Row],[word]],Table57[English style name],Table57[Style type]),"")</f>
        <v/>
      </c>
      <c r="AM1372" s="20"/>
      <c r="AN1372" s="11"/>
      <c r="AQ1372" s="6" t="s">
        <v>1815</v>
      </c>
      <c r="AR1372" t="s">
        <v>1816</v>
      </c>
    </row>
    <row r="1373" spans="6:44">
      <c r="F13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373" s="13" t="s">
        <v>337</v>
      </c>
      <c r="H1373" s="13" t="s">
        <v>2988</v>
      </c>
      <c r="I1373" s="12" t="str">
        <f>Table1[[#This Row],[type]]</f>
        <v>gallery</v>
      </c>
      <c r="J1373" s="62" t="str">
        <f>Table1[[#This Row],[Column42]]&amp;IF(Table1[[#This Row],[Column13]]="","",Table1[[#This Row],[Column13]])&amp;IF(Table1[[#This Row],[mod]]="","",Table1[[#This Row],[mod]])</f>
        <v>gallery</v>
      </c>
      <c r="K13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</v>
      </c>
      <c r="L1373" t="s">
        <v>1815</v>
      </c>
      <c r="P1373" s="6" t="s">
        <v>1817</v>
      </c>
      <c r="Q13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3" s="29"/>
      <c r="AC1373" s="25"/>
      <c r="AD1373" s="41"/>
      <c r="AE1373" s="41"/>
      <c r="AF1373" s="11"/>
      <c r="AH1373" s="1" t="str">
        <f>Table1[[#This Row],[html_tag]]&amp;Table1[[#This Row],[html_type]]&amp;Table1[[#This Row],[html_modifier]]</f>
        <v/>
      </c>
      <c r="AL1373" s="22" t="str">
        <f>IFERROR(_xlfn.XLOOKUP(Table1[[#This Row],[word]],Table57[English style name],Table57[Style type]),"")</f>
        <v/>
      </c>
      <c r="AM1373" s="20"/>
      <c r="AN1373" s="11"/>
      <c r="AQ1373" s="6" t="s">
        <v>1817</v>
      </c>
      <c r="AR1373" t="s">
        <v>1816</v>
      </c>
    </row>
    <row r="1374" spans="6:44">
      <c r="F13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374" s="13" t="s">
        <v>337</v>
      </c>
      <c r="H1374" s="13" t="s">
        <v>2988</v>
      </c>
      <c r="I1374" s="12" t="str">
        <f>Table1[[#This Row],[type]]</f>
        <v>gallery</v>
      </c>
      <c r="J1374" s="62" t="str">
        <f>Table1[[#This Row],[Column42]]&amp;IF(Table1[[#This Row],[Column13]]="","",Table1[[#This Row],[Column13]])&amp;IF(Table1[[#This Row],[mod]]="","",Table1[[#This Row],[mod]])</f>
        <v>gallery__image</v>
      </c>
      <c r="K13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gallery__image</v>
      </c>
      <c r="L1374" t="s">
        <v>1815</v>
      </c>
      <c r="M1374" t="s">
        <v>3088</v>
      </c>
      <c r="P1374" s="6"/>
      <c r="Q13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4" s="29"/>
      <c r="AC1374" s="25"/>
      <c r="AD1374" s="41"/>
      <c r="AE1374" s="41"/>
      <c r="AF1374" s="11"/>
      <c r="AH1374" s="1" t="str">
        <f>Table1[[#This Row],[html_tag]]&amp;Table1[[#This Row],[html_type]]&amp;Table1[[#This Row],[html_modifier]]</f>
        <v/>
      </c>
      <c r="AL1374" s="22" t="str">
        <f>IFERROR(_xlfn.XLOOKUP(Table1[[#This Row],[word]],Table57[English style name],Table57[Style type]),"")</f>
        <v/>
      </c>
      <c r="AM1374" s="20"/>
      <c r="AN1374" s="11"/>
      <c r="AQ1374" s="6" t="s">
        <v>1819</v>
      </c>
      <c r="AR1374" t="s">
        <v>1816</v>
      </c>
    </row>
    <row r="1375" spans="6:44">
      <c r="F13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375" s="13" t="s">
        <v>337</v>
      </c>
      <c r="H1375" s="13" t="s">
        <v>2988</v>
      </c>
      <c r="I1375" s="12" t="str">
        <f>Table1[[#This Row],[type]]</f>
        <v>gallery</v>
      </c>
      <c r="J1375" s="62" t="str">
        <f>Table1[[#This Row],[Column42]]&amp;IF(Table1[[#This Row],[Column13]]="","",Table1[[#This Row],[Column13]])&amp;IF(Table1[[#This Row],[mod]]="","",Table1[[#This Row],[mod]])</f>
        <v>gallery__image</v>
      </c>
      <c r="K13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gallery__image</v>
      </c>
      <c r="L1375" t="s">
        <v>1815</v>
      </c>
      <c r="M1375" t="s">
        <v>3088</v>
      </c>
      <c r="P1375" s="6"/>
      <c r="Q13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5" s="29"/>
      <c r="AC1375" s="25"/>
      <c r="AD1375" s="41"/>
      <c r="AE1375" s="41"/>
      <c r="AF1375" s="11"/>
      <c r="AH1375" s="1" t="str">
        <f>Table1[[#This Row],[html_tag]]&amp;Table1[[#This Row],[html_type]]&amp;Table1[[#This Row],[html_modifier]]</f>
        <v/>
      </c>
      <c r="AL1375" s="22" t="str">
        <f>IFERROR(_xlfn.XLOOKUP(Table1[[#This Row],[word]],Table57[English style name],Table57[Style type]),"")</f>
        <v/>
      </c>
      <c r="AM1375" s="20"/>
      <c r="AN1375" s="11"/>
      <c r="AQ1375" s="6" t="s">
        <v>1818</v>
      </c>
      <c r="AR1375" t="s">
        <v>1816</v>
      </c>
    </row>
    <row r="1376" spans="6:44">
      <c r="F13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76" s="13" t="s">
        <v>461</v>
      </c>
      <c r="H1376" s="13" t="s">
        <v>2991</v>
      </c>
      <c r="I1376" s="12" t="str">
        <f>Table1[[#This Row],[type]]</f>
        <v>gap</v>
      </c>
      <c r="J1376" s="62" t="str">
        <f>Table1[[#This Row],[Column42]]&amp;IF(Table1[[#This Row],[Column13]]="","",Table1[[#This Row],[Column13]])&amp;IF(Table1[[#This Row],[mod]]="","",Table1[[#This Row],[mod]])</f>
        <v>gap</v>
      </c>
      <c r="K13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76" t="s">
        <v>1820</v>
      </c>
      <c r="P1376" s="6" t="s">
        <v>1820</v>
      </c>
      <c r="Q13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6" s="29"/>
      <c r="AC1376" s="25"/>
      <c r="AD1376" s="41"/>
      <c r="AE1376" s="41"/>
      <c r="AF1376" s="11"/>
      <c r="AH1376" s="1" t="str">
        <f>Table1[[#This Row],[html_tag]]&amp;Table1[[#This Row],[html_type]]&amp;Table1[[#This Row],[html_modifier]]</f>
        <v/>
      </c>
      <c r="AL1376" s="22" t="str">
        <f>IFERROR(_xlfn.XLOOKUP(Table1[[#This Row],[word]],Table57[English style name],Table57[Style type]),"")</f>
        <v/>
      </c>
      <c r="AM1376" s="20"/>
      <c r="AN1376" s="11"/>
      <c r="AQ1376" s="6" t="s">
        <v>1820</v>
      </c>
      <c r="AR1376" t="s">
        <v>1821</v>
      </c>
    </row>
    <row r="1377" spans="6:44">
      <c r="F13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77" s="13" t="s">
        <v>461</v>
      </c>
      <c r="H1377" s="13" t="s">
        <v>2991</v>
      </c>
      <c r="I1377" s="12" t="str">
        <f>Table1[[#This Row],[type]]</f>
        <v>gap</v>
      </c>
      <c r="J1377" s="62" t="str">
        <f>Table1[[#This Row],[Column42]]&amp;IF(Table1[[#This Row],[Column13]]="","",Table1[[#This Row],[Column13]])&amp;IF(Table1[[#This Row],[mod]]="","",Table1[[#This Row],[mod]])</f>
        <v>gap</v>
      </c>
      <c r="K13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77" t="s">
        <v>1820</v>
      </c>
      <c r="P1377" s="6" t="s">
        <v>1825</v>
      </c>
      <c r="Q13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7" s="29"/>
      <c r="AC1377" s="25"/>
      <c r="AD1377" s="41"/>
      <c r="AE1377" s="41"/>
      <c r="AF1377" s="11"/>
      <c r="AH1377" s="1" t="str">
        <f>Table1[[#This Row],[html_tag]]&amp;Table1[[#This Row],[html_type]]&amp;Table1[[#This Row],[html_modifier]]</f>
        <v/>
      </c>
      <c r="AL1377" s="22" t="str">
        <f>IFERROR(_xlfn.XLOOKUP(Table1[[#This Row],[word]],Table57[English style name],Table57[Style type]),"")</f>
        <v/>
      </c>
      <c r="AM1377" s="20"/>
      <c r="AN1377" s="11"/>
      <c r="AQ1377" s="6" t="s">
        <v>1825</v>
      </c>
      <c r="AR1377" t="s">
        <v>1826</v>
      </c>
    </row>
    <row r="1378" spans="6:44">
      <c r="F13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78" s="13" t="s">
        <v>461</v>
      </c>
      <c r="H1378" s="13" t="s">
        <v>2991</v>
      </c>
      <c r="I1378" s="12" t="str">
        <f>Table1[[#This Row],[type]]</f>
        <v>gap</v>
      </c>
      <c r="J1378" s="62" t="str">
        <f>Table1[[#This Row],[Column42]]&amp;IF(Table1[[#This Row],[Column13]]="","",Table1[[#This Row],[Column13]])&amp;IF(Table1[[#This Row],[mod]]="","",Table1[[#This Row],[mod]])</f>
        <v>gap</v>
      </c>
      <c r="K13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78" t="s">
        <v>1820</v>
      </c>
      <c r="P1378" s="6" t="s">
        <v>1827</v>
      </c>
      <c r="Q13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8" s="29"/>
      <c r="AC1378" s="25"/>
      <c r="AD1378" s="41"/>
      <c r="AE1378" s="41"/>
      <c r="AF1378" s="11"/>
      <c r="AH1378" s="1" t="str">
        <f>Table1[[#This Row],[html_tag]]&amp;Table1[[#This Row],[html_type]]&amp;Table1[[#This Row],[html_modifier]]</f>
        <v/>
      </c>
      <c r="AL1378" s="22" t="str">
        <f>IFERROR(_xlfn.XLOOKUP(Table1[[#This Row],[word]],Table57[English style name],Table57[Style type]),"")</f>
        <v/>
      </c>
      <c r="AM1378" s="20"/>
      <c r="AN1378" s="11"/>
      <c r="AQ1378" s="6" t="s">
        <v>1827</v>
      </c>
      <c r="AR1378" t="s">
        <v>1826</v>
      </c>
    </row>
    <row r="1379" spans="6:44">
      <c r="F13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79" s="13" t="s">
        <v>461</v>
      </c>
      <c r="H1379" s="13" t="s">
        <v>2991</v>
      </c>
      <c r="I1379" s="12" t="str">
        <f>Table1[[#This Row],[type]]</f>
        <v>gap</v>
      </c>
      <c r="J1379" s="62" t="str">
        <f>Table1[[#This Row],[Column42]]&amp;IF(Table1[[#This Row],[Column13]]="","",Table1[[#This Row],[Column13]])&amp;IF(Table1[[#This Row],[mod]]="","",Table1[[#This Row],[mod]])</f>
        <v>gap</v>
      </c>
      <c r="K13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79" t="s">
        <v>1820</v>
      </c>
      <c r="P1379" s="6" t="s">
        <v>1828</v>
      </c>
      <c r="Q13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9" s="29"/>
      <c r="AC1379" s="25"/>
      <c r="AD1379" s="41"/>
      <c r="AE1379" s="41"/>
      <c r="AF1379" s="11"/>
      <c r="AH1379" s="1" t="str">
        <f>Table1[[#This Row],[html_tag]]&amp;Table1[[#This Row],[html_type]]&amp;Table1[[#This Row],[html_modifier]]</f>
        <v/>
      </c>
      <c r="AL1379" s="22" t="str">
        <f>IFERROR(_xlfn.XLOOKUP(Table1[[#This Row],[word]],Table57[English style name],Table57[Style type]),"")</f>
        <v/>
      </c>
      <c r="AM1379" s="20"/>
      <c r="AN1379" s="11"/>
      <c r="AQ1379" s="6" t="s">
        <v>1828</v>
      </c>
      <c r="AR1379" t="s">
        <v>1826</v>
      </c>
    </row>
    <row r="1380" spans="6:44">
      <c r="F13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0" s="13" t="s">
        <v>461</v>
      </c>
      <c r="H1380" s="13" t="s">
        <v>2991</v>
      </c>
      <c r="I1380" s="12" t="str">
        <f>Table1[[#This Row],[type]]</f>
        <v>gap</v>
      </c>
      <c r="J1380" s="62" t="str">
        <f>Table1[[#This Row],[Column42]]&amp;IF(Table1[[#This Row],[Column13]]="","",Table1[[#This Row],[Column13]])&amp;IF(Table1[[#This Row],[mod]]="","",Table1[[#This Row],[mod]])</f>
        <v>gap</v>
      </c>
      <c r="K13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0" t="s">
        <v>1820</v>
      </c>
      <c r="P1380" s="6" t="s">
        <v>1829</v>
      </c>
      <c r="Q13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0" s="29"/>
      <c r="AC1380" s="25"/>
      <c r="AD1380" s="41"/>
      <c r="AE1380" s="41"/>
      <c r="AF1380" s="11"/>
      <c r="AH1380" s="1" t="str">
        <f>Table1[[#This Row],[html_tag]]&amp;Table1[[#This Row],[html_type]]&amp;Table1[[#This Row],[html_modifier]]</f>
        <v/>
      </c>
      <c r="AL1380" s="22" t="str">
        <f>IFERROR(_xlfn.XLOOKUP(Table1[[#This Row],[word]],Table57[English style name],Table57[Style type]),"")</f>
        <v/>
      </c>
      <c r="AM1380" s="20"/>
      <c r="AN1380" s="11"/>
      <c r="AQ1380" s="6" t="s">
        <v>1829</v>
      </c>
      <c r="AR1380" t="s">
        <v>1826</v>
      </c>
    </row>
    <row r="1381" spans="6:44">
      <c r="F13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1" s="13" t="s">
        <v>461</v>
      </c>
      <c r="H1381" s="13" t="s">
        <v>2991</v>
      </c>
      <c r="I1381" s="12" t="str">
        <f>Table1[[#This Row],[type]]</f>
        <v>gap</v>
      </c>
      <c r="J1381" s="62" t="str">
        <f>Table1[[#This Row],[Column42]]&amp;IF(Table1[[#This Row],[Column13]]="","",Table1[[#This Row],[Column13]])&amp;IF(Table1[[#This Row],[mod]]="","",Table1[[#This Row],[mod]])</f>
        <v>gap</v>
      </c>
      <c r="K13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1" t="s">
        <v>1820</v>
      </c>
      <c r="P1381" s="6" t="s">
        <v>1830</v>
      </c>
      <c r="Q13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1" s="29"/>
      <c r="AC1381" s="25"/>
      <c r="AD1381" s="41"/>
      <c r="AE1381" s="41"/>
      <c r="AF1381" s="11"/>
      <c r="AH1381" s="1" t="str">
        <f>Table1[[#This Row],[html_tag]]&amp;Table1[[#This Row],[html_type]]&amp;Table1[[#This Row],[html_modifier]]</f>
        <v/>
      </c>
      <c r="AL1381" s="22" t="str">
        <f>IFERROR(_xlfn.XLOOKUP(Table1[[#This Row],[word]],Table57[English style name],Table57[Style type]),"")</f>
        <v/>
      </c>
      <c r="AM1381" s="20"/>
      <c r="AN1381" s="11"/>
      <c r="AQ1381" s="6" t="s">
        <v>1830</v>
      </c>
      <c r="AR1381" t="s">
        <v>1826</v>
      </c>
    </row>
    <row r="1382" spans="6:44">
      <c r="F13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2" s="13" t="s">
        <v>461</v>
      </c>
      <c r="H1382" s="13" t="s">
        <v>2991</v>
      </c>
      <c r="I1382" s="12" t="str">
        <f>Table1[[#This Row],[type]]</f>
        <v>gap</v>
      </c>
      <c r="J1382" s="62" t="str">
        <f>Table1[[#This Row],[Column42]]&amp;IF(Table1[[#This Row],[Column13]]="","",Table1[[#This Row],[Column13]])&amp;IF(Table1[[#This Row],[mod]]="","",Table1[[#This Row],[mod]])</f>
        <v>gap</v>
      </c>
      <c r="K13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2" t="s">
        <v>1820</v>
      </c>
      <c r="P1382" s="6" t="s">
        <v>1831</v>
      </c>
      <c r="Q13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2" s="29"/>
      <c r="AC1382" s="25"/>
      <c r="AD1382" s="41"/>
      <c r="AE1382" s="41"/>
      <c r="AF1382" s="11"/>
      <c r="AH1382" s="1" t="str">
        <f>Table1[[#This Row],[html_tag]]&amp;Table1[[#This Row],[html_type]]&amp;Table1[[#This Row],[html_modifier]]</f>
        <v/>
      </c>
      <c r="AL1382" s="22" t="str">
        <f>IFERROR(_xlfn.XLOOKUP(Table1[[#This Row],[word]],Table57[English style name],Table57[Style type]),"")</f>
        <v/>
      </c>
      <c r="AM1382" s="20"/>
      <c r="AN1382" s="11"/>
      <c r="AQ1382" s="6" t="s">
        <v>1831</v>
      </c>
      <c r="AR1382" t="s">
        <v>1826</v>
      </c>
    </row>
    <row r="1383" spans="6:44">
      <c r="F13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3" s="13" t="s">
        <v>461</v>
      </c>
      <c r="H1383" s="13" t="s">
        <v>2991</v>
      </c>
      <c r="I1383" s="12" t="str">
        <f>Table1[[#This Row],[type]]</f>
        <v>gap</v>
      </c>
      <c r="J1383" s="62" t="str">
        <f>Table1[[#This Row],[Column42]]&amp;IF(Table1[[#This Row],[Column13]]="","",Table1[[#This Row],[Column13]])&amp;IF(Table1[[#This Row],[mod]]="","",Table1[[#This Row],[mod]])</f>
        <v>gap</v>
      </c>
      <c r="K13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3" t="s">
        <v>1820</v>
      </c>
      <c r="P1383" s="6" t="s">
        <v>1832</v>
      </c>
      <c r="Q13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3" s="29"/>
      <c r="AC1383" s="25"/>
      <c r="AD1383" s="41"/>
      <c r="AE1383" s="41"/>
      <c r="AF1383" s="11"/>
      <c r="AH1383" s="1" t="str">
        <f>Table1[[#This Row],[html_tag]]&amp;Table1[[#This Row],[html_type]]&amp;Table1[[#This Row],[html_modifier]]</f>
        <v/>
      </c>
      <c r="AL1383" s="22" t="str">
        <f>IFERROR(_xlfn.XLOOKUP(Table1[[#This Row],[word]],Table57[English style name],Table57[Style type]),"")</f>
        <v/>
      </c>
      <c r="AM1383" s="20"/>
      <c r="AN1383" s="11"/>
      <c r="AQ1383" s="6" t="s">
        <v>1832</v>
      </c>
      <c r="AR1383" t="s">
        <v>1826</v>
      </c>
    </row>
    <row r="1384" spans="6:44">
      <c r="F13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4" s="13" t="s">
        <v>461</v>
      </c>
      <c r="H1384" s="13" t="s">
        <v>2991</v>
      </c>
      <c r="I1384" s="12" t="str">
        <f>Table1[[#This Row],[type]]</f>
        <v>gap</v>
      </c>
      <c r="J1384" s="62" t="str">
        <f>Table1[[#This Row],[Column42]]&amp;IF(Table1[[#This Row],[Column13]]="","",Table1[[#This Row],[Column13]])&amp;IF(Table1[[#This Row],[mod]]="","",Table1[[#This Row],[mod]])</f>
        <v>gap</v>
      </c>
      <c r="K13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4" t="s">
        <v>1820</v>
      </c>
      <c r="P1384" s="6" t="s">
        <v>1833</v>
      </c>
      <c r="Q13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4" s="29"/>
      <c r="AC1384" s="25"/>
      <c r="AD1384" s="41"/>
      <c r="AE1384" s="41"/>
      <c r="AF1384" s="11"/>
      <c r="AH1384" s="1" t="str">
        <f>Table1[[#This Row],[html_tag]]&amp;Table1[[#This Row],[html_type]]&amp;Table1[[#This Row],[html_modifier]]</f>
        <v/>
      </c>
      <c r="AL1384" s="22" t="str">
        <f>IFERROR(_xlfn.XLOOKUP(Table1[[#This Row],[word]],Table57[English style name],Table57[Style type]),"")</f>
        <v/>
      </c>
      <c r="AM1384" s="20"/>
      <c r="AN1384" s="11"/>
      <c r="AQ1384" s="6" t="s">
        <v>1833</v>
      </c>
      <c r="AR1384" t="s">
        <v>1826</v>
      </c>
    </row>
    <row r="1385" spans="6:44">
      <c r="F13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5" s="13" t="s">
        <v>461</v>
      </c>
      <c r="H1385" s="13" t="s">
        <v>2991</v>
      </c>
      <c r="I1385" s="12" t="str">
        <f>Table1[[#This Row],[type]]</f>
        <v>gap</v>
      </c>
      <c r="J1385" s="62" t="str">
        <f>Table1[[#This Row],[Column42]]&amp;IF(Table1[[#This Row],[Column13]]="","",Table1[[#This Row],[Column13]])&amp;IF(Table1[[#This Row],[mod]]="","",Table1[[#This Row],[mod]])</f>
        <v>gap</v>
      </c>
      <c r="K13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5" t="s">
        <v>1820</v>
      </c>
      <c r="P1385" s="6" t="s">
        <v>1834</v>
      </c>
      <c r="Q13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5" s="29"/>
      <c r="AC1385" s="25"/>
      <c r="AD1385" s="41"/>
      <c r="AE1385" s="41"/>
      <c r="AF1385" s="11"/>
      <c r="AH1385" s="1" t="str">
        <f>Table1[[#This Row],[html_tag]]&amp;Table1[[#This Row],[html_type]]&amp;Table1[[#This Row],[html_modifier]]</f>
        <v/>
      </c>
      <c r="AL1385" s="22" t="str">
        <f>IFERROR(_xlfn.XLOOKUP(Table1[[#This Row],[word]],Table57[English style name],Table57[Style type]),"")</f>
        <v/>
      </c>
      <c r="AM1385" s="20"/>
      <c r="AN1385" s="11"/>
      <c r="AQ1385" s="6" t="s">
        <v>1834</v>
      </c>
      <c r="AR1385" t="s">
        <v>1826</v>
      </c>
    </row>
    <row r="1386" spans="6:44">
      <c r="F13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6" s="13" t="s">
        <v>461</v>
      </c>
      <c r="H1386" s="13" t="s">
        <v>2991</v>
      </c>
      <c r="I1386" s="12" t="str">
        <f>Table1[[#This Row],[type]]</f>
        <v>gap</v>
      </c>
      <c r="J1386" s="62" t="str">
        <f>Table1[[#This Row],[Column42]]&amp;IF(Table1[[#This Row],[Column13]]="","",Table1[[#This Row],[Column13]])&amp;IF(Table1[[#This Row],[mod]]="","",Table1[[#This Row],[mod]])</f>
        <v>gap</v>
      </c>
      <c r="K13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6" t="s">
        <v>1820</v>
      </c>
      <c r="P1386" s="6" t="s">
        <v>1824</v>
      </c>
      <c r="Q13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6" s="29"/>
      <c r="AC1386" s="25"/>
      <c r="AD1386" s="41"/>
      <c r="AE1386" s="41"/>
      <c r="AF1386" s="11"/>
      <c r="AH1386" s="1" t="str">
        <f>Table1[[#This Row],[html_tag]]&amp;Table1[[#This Row],[html_type]]&amp;Table1[[#This Row],[html_modifier]]</f>
        <v/>
      </c>
      <c r="AL1386" s="22" t="str">
        <f>IFERROR(_xlfn.XLOOKUP(Table1[[#This Row],[word]],Table57[English style name],Table57[Style type]),"")</f>
        <v/>
      </c>
      <c r="AM1386" s="20"/>
      <c r="AN1386" s="11"/>
      <c r="AQ1386" s="6" t="s">
        <v>1824</v>
      </c>
      <c r="AR1386" t="s">
        <v>1821</v>
      </c>
    </row>
    <row r="1387" spans="6:44">
      <c r="F13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7" s="13" t="s">
        <v>461</v>
      </c>
      <c r="H1387" s="13" t="s">
        <v>2991</v>
      </c>
      <c r="I1387" s="12" t="str">
        <f>Table1[[#This Row],[type]]</f>
        <v>gap</v>
      </c>
      <c r="J1387" s="62" t="str">
        <f>Table1[[#This Row],[Column42]]&amp;IF(Table1[[#This Row],[Column13]]="","",Table1[[#This Row],[Column13]])&amp;IF(Table1[[#This Row],[mod]]="","",Table1[[#This Row],[mod]])</f>
        <v>gap</v>
      </c>
      <c r="K13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7" t="s">
        <v>1820</v>
      </c>
      <c r="P1387" s="6" t="s">
        <v>1822</v>
      </c>
      <c r="Q13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7" s="29"/>
      <c r="AC1387" s="25"/>
      <c r="AD1387" s="41"/>
      <c r="AE1387" s="41"/>
      <c r="AF1387" s="11"/>
      <c r="AH1387" s="1" t="str">
        <f>Table1[[#This Row],[html_tag]]&amp;Table1[[#This Row],[html_type]]&amp;Table1[[#This Row],[html_modifier]]</f>
        <v/>
      </c>
      <c r="AL1387" s="22" t="str">
        <f>IFERROR(_xlfn.XLOOKUP(Table1[[#This Row],[word]],Table57[English style name],Table57[Style type]),"")</f>
        <v/>
      </c>
      <c r="AM1387" s="20"/>
      <c r="AN1387" s="11"/>
      <c r="AQ1387" s="6" t="s">
        <v>1822</v>
      </c>
      <c r="AR1387" t="s">
        <v>1821</v>
      </c>
    </row>
    <row r="1388" spans="6:44">
      <c r="F13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8" s="13" t="s">
        <v>461</v>
      </c>
      <c r="H1388" s="13" t="s">
        <v>2991</v>
      </c>
      <c r="I1388" s="12" t="str">
        <f>Table1[[#This Row],[type]]</f>
        <v>gap</v>
      </c>
      <c r="J1388" s="62" t="str">
        <f>Table1[[#This Row],[Column42]]&amp;IF(Table1[[#This Row],[Column13]]="","",Table1[[#This Row],[Column13]])&amp;IF(Table1[[#This Row],[mod]]="","",Table1[[#This Row],[mod]])</f>
        <v>gap</v>
      </c>
      <c r="K13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8" t="s">
        <v>1820</v>
      </c>
      <c r="P1388" s="6" t="s">
        <v>1823</v>
      </c>
      <c r="Q13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8" s="29"/>
      <c r="AC1388" s="25"/>
      <c r="AD1388" s="41"/>
      <c r="AE1388" s="41"/>
      <c r="AF1388" s="11"/>
      <c r="AH1388" s="1" t="str">
        <f>Table1[[#This Row],[html_tag]]&amp;Table1[[#This Row],[html_type]]&amp;Table1[[#This Row],[html_modifier]]</f>
        <v/>
      </c>
      <c r="AL1388" s="22" t="str">
        <f>IFERROR(_xlfn.XLOOKUP(Table1[[#This Row],[word]],Table57[English style name],Table57[Style type]),"")</f>
        <v/>
      </c>
      <c r="AM1388" s="20"/>
      <c r="AN1388" s="11"/>
      <c r="AQ1388" s="6" t="s">
        <v>1823</v>
      </c>
      <c r="AR1388" t="s">
        <v>1821</v>
      </c>
    </row>
    <row r="1389" spans="6:44">
      <c r="F13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soul/line/gradient.scss</v>
      </c>
      <c r="G1389" s="13" t="s">
        <v>2992</v>
      </c>
      <c r="H1389" s="13" t="s">
        <v>2993</v>
      </c>
      <c r="I1389" s="12" t="str">
        <f>Table1[[#This Row],[type]]</f>
        <v>gradient</v>
      </c>
      <c r="J1389" s="62" t="str">
        <f>Table1[[#This Row],[Column42]]&amp;IF(Table1[[#This Row],[Column13]]="","",Table1[[#This Row],[Column13]])&amp;IF(Table1[[#This Row],[mod]]="","",Table1[[#This Row],[mod]])</f>
        <v>gradient</v>
      </c>
      <c r="K13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89" t="s">
        <v>3131</v>
      </c>
      <c r="P1389" s="6" t="s">
        <v>1247</v>
      </c>
      <c r="Q13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9" s="29"/>
      <c r="AC1389" s="25"/>
      <c r="AD1389" s="41"/>
      <c r="AE1389" s="41"/>
      <c r="AF1389" s="11"/>
      <c r="AH1389" s="1" t="str">
        <f>Table1[[#This Row],[html_tag]]&amp;Table1[[#This Row],[html_type]]&amp;Table1[[#This Row],[html_modifier]]</f>
        <v/>
      </c>
      <c r="AL1389" s="22" t="str">
        <f>IFERROR(_xlfn.XLOOKUP(Table1[[#This Row],[word]],Table57[English style name],Table57[Style type]),"")</f>
        <v/>
      </c>
      <c r="AM1389" s="20"/>
      <c r="AN1389" s="11"/>
      <c r="AQ1389" s="6" t="s">
        <v>1247</v>
      </c>
      <c r="AR1389" t="s">
        <v>1242</v>
      </c>
    </row>
    <row r="1390" spans="6:44">
      <c r="F13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90" s="13" t="s">
        <v>2994</v>
      </c>
      <c r="H1390" s="13"/>
      <c r="I1390" s="12" t="str">
        <f>Table1[[#This Row],[type]]</f>
        <v>gradient</v>
      </c>
      <c r="J1390" s="62" t="str">
        <f>Table1[[#This Row],[Column42]]&amp;IF(Table1[[#This Row],[Column13]]="","",Table1[[#This Row],[Column13]])&amp;IF(Table1[[#This Row],[mod]]="","",Table1[[#This Row],[mod]])</f>
        <v>gradient--danger</v>
      </c>
      <c r="K13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90" t="s">
        <v>3131</v>
      </c>
      <c r="P1390" s="6" t="s">
        <v>1837</v>
      </c>
      <c r="Q13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390" t="s">
        <v>3163</v>
      </c>
      <c r="AB1390" s="29"/>
      <c r="AC1390" s="25"/>
      <c r="AD1390" s="41"/>
      <c r="AE1390" s="41"/>
      <c r="AF1390" s="11"/>
      <c r="AH1390" s="1" t="str">
        <f>Table1[[#This Row],[html_tag]]&amp;Table1[[#This Row],[html_type]]&amp;Table1[[#This Row],[html_modifier]]</f>
        <v/>
      </c>
      <c r="AL1390" s="22" t="str">
        <f>IFERROR(_xlfn.XLOOKUP(Table1[[#This Row],[word]],Table57[English style name],Table57[Style type]),"")</f>
        <v/>
      </c>
      <c r="AM1390" s="20"/>
      <c r="AN1390" s="11"/>
      <c r="AQ1390" s="6" t="s">
        <v>1837</v>
      </c>
      <c r="AR1390" t="s">
        <v>1836</v>
      </c>
    </row>
    <row r="1391" spans="6:44">
      <c r="F13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91" s="13" t="s">
        <v>2994</v>
      </c>
      <c r="H1391" s="13"/>
      <c r="I1391" s="12" t="str">
        <f>Table1[[#This Row],[type]]</f>
        <v>gradient</v>
      </c>
      <c r="J1391" s="62" t="str">
        <f>Table1[[#This Row],[Column42]]&amp;IF(Table1[[#This Row],[Column13]]="","",Table1[[#This Row],[Column13]])&amp;IF(Table1[[#This Row],[mod]]="","",Table1[[#This Row],[mod]])</f>
        <v>gradient--info</v>
      </c>
      <c r="K13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91" t="s">
        <v>3131</v>
      </c>
      <c r="P1391" s="6" t="s">
        <v>1838</v>
      </c>
      <c r="Q13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391" t="s">
        <v>3119</v>
      </c>
      <c r="AB1391" s="29"/>
      <c r="AC1391" s="25"/>
      <c r="AD1391" s="41"/>
      <c r="AE1391" s="41"/>
      <c r="AF1391" s="11"/>
      <c r="AH1391" s="1" t="str">
        <f>Table1[[#This Row],[html_tag]]&amp;Table1[[#This Row],[html_type]]&amp;Table1[[#This Row],[html_modifier]]</f>
        <v/>
      </c>
      <c r="AL1391" s="22" t="str">
        <f>IFERROR(_xlfn.XLOOKUP(Table1[[#This Row],[word]],Table57[English style name],Table57[Style type]),"")</f>
        <v/>
      </c>
      <c r="AM1391" s="20"/>
      <c r="AN1391" s="11"/>
      <c r="AQ1391" s="6" t="s">
        <v>1838</v>
      </c>
      <c r="AR1391" t="s">
        <v>1836</v>
      </c>
    </row>
    <row r="1392" spans="6:44">
      <c r="F13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92" s="13" t="s">
        <v>2994</v>
      </c>
      <c r="H1392" s="13"/>
      <c r="I1392" s="12" t="str">
        <f>Table1[[#This Row],[type]]</f>
        <v>gradient</v>
      </c>
      <c r="J1392" s="62" t="str">
        <f>Table1[[#This Row],[Column42]]&amp;IF(Table1[[#This Row],[Column13]]="","",Table1[[#This Row],[Column13]])&amp;IF(Table1[[#This Row],[mod]]="","",Table1[[#This Row],[mod]])</f>
        <v>gradient--primary</v>
      </c>
      <c r="K13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92" t="s">
        <v>3131</v>
      </c>
      <c r="P1392" s="6" t="s">
        <v>1839</v>
      </c>
      <c r="Q13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1392" t="s">
        <v>3164</v>
      </c>
      <c r="AB1392" s="29"/>
      <c r="AC1392" s="25"/>
      <c r="AD1392" s="41"/>
      <c r="AE1392" s="41"/>
      <c r="AF1392" s="11"/>
      <c r="AH1392" s="1" t="str">
        <f>Table1[[#This Row],[html_tag]]&amp;Table1[[#This Row],[html_type]]&amp;Table1[[#This Row],[html_modifier]]</f>
        <v/>
      </c>
      <c r="AL1392" s="22" t="str">
        <f>IFERROR(_xlfn.XLOOKUP(Table1[[#This Row],[word]],Table57[English style name],Table57[Style type]),"")</f>
        <v/>
      </c>
      <c r="AM1392" s="20"/>
      <c r="AN1392" s="11"/>
      <c r="AQ1392" s="6" t="s">
        <v>1839</v>
      </c>
      <c r="AR1392" t="s">
        <v>1836</v>
      </c>
    </row>
    <row r="1393" spans="6:44">
      <c r="F13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93" s="13" t="s">
        <v>2994</v>
      </c>
      <c r="H1393" s="13"/>
      <c r="I1393" s="12" t="str">
        <f>Table1[[#This Row],[type]]</f>
        <v>gradient</v>
      </c>
      <c r="J1393" s="62" t="str">
        <f>Table1[[#This Row],[Column42]]&amp;IF(Table1[[#This Row],[Column13]]="","",Table1[[#This Row],[Column13]])&amp;IF(Table1[[#This Row],[mod]]="","",Table1[[#This Row],[mod]])</f>
        <v>gradient--success</v>
      </c>
      <c r="K13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93" t="s">
        <v>3131</v>
      </c>
      <c r="P1393" s="6" t="s">
        <v>1840</v>
      </c>
      <c r="Q13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393" t="s">
        <v>3120</v>
      </c>
      <c r="AB1393" s="29"/>
      <c r="AC1393" s="25"/>
      <c r="AD1393" s="41"/>
      <c r="AE1393" s="41"/>
      <c r="AF1393" s="11"/>
      <c r="AH1393" s="1" t="str">
        <f>Table1[[#This Row],[html_tag]]&amp;Table1[[#This Row],[html_type]]&amp;Table1[[#This Row],[html_modifier]]</f>
        <v/>
      </c>
      <c r="AL1393" s="22" t="str">
        <f>IFERROR(_xlfn.XLOOKUP(Table1[[#This Row],[word]],Table57[English style name],Table57[Style type]),"")</f>
        <v/>
      </c>
      <c r="AM1393" s="20"/>
      <c r="AN1393" s="11"/>
      <c r="AQ1393" s="6" t="s">
        <v>1840</v>
      </c>
      <c r="AR1393" t="s">
        <v>1836</v>
      </c>
    </row>
    <row r="1394" spans="6:44">
      <c r="F13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94" s="13" t="s">
        <v>2994</v>
      </c>
      <c r="H1394" s="13"/>
      <c r="I1394" s="12" t="str">
        <f>Table1[[#This Row],[type]]</f>
        <v>gradient</v>
      </c>
      <c r="J1394" s="62" t="str">
        <f>Table1[[#This Row],[Column42]]&amp;IF(Table1[[#This Row],[Column13]]="","",Table1[[#This Row],[Column13]])&amp;IF(Table1[[#This Row],[mod]]="","",Table1[[#This Row],[mod]])</f>
        <v>gradient--warning</v>
      </c>
      <c r="K13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94" t="s">
        <v>3131</v>
      </c>
      <c r="P1394" s="6" t="s">
        <v>1841</v>
      </c>
      <c r="Q13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394" t="s">
        <v>3121</v>
      </c>
      <c r="AB1394" s="29"/>
      <c r="AC1394" s="25"/>
      <c r="AD1394" s="41"/>
      <c r="AE1394" s="41"/>
      <c r="AF1394" s="11"/>
      <c r="AH1394" s="1" t="str">
        <f>Table1[[#This Row],[html_tag]]&amp;Table1[[#This Row],[html_type]]&amp;Table1[[#This Row],[html_modifier]]</f>
        <v/>
      </c>
      <c r="AL1394" s="22" t="str">
        <f>IFERROR(_xlfn.XLOOKUP(Table1[[#This Row],[word]],Table57[English style name],Table57[Style type]),"")</f>
        <v/>
      </c>
      <c r="AM1394" s="20"/>
      <c r="AN1394" s="11"/>
      <c r="AQ1394" s="6" t="s">
        <v>1841</v>
      </c>
      <c r="AR1394" t="s">
        <v>1836</v>
      </c>
    </row>
    <row r="1395" spans="6:44">
      <c r="F13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95" s="13" t="s">
        <v>461</v>
      </c>
      <c r="H1395" s="13" t="s">
        <v>2991</v>
      </c>
      <c r="I1395" s="12" t="str">
        <f>Table1[[#This Row],[type]]</f>
        <v>grid</v>
      </c>
      <c r="J1395" s="62" t="str">
        <f>Table1[[#This Row],[Column42]]&amp;IF(Table1[[#This Row],[Column13]]="","",Table1[[#This Row],[Column13]])&amp;IF(Table1[[#This Row],[mod]]="","",Table1[[#This Row],[mod]])</f>
        <v>grid</v>
      </c>
      <c r="K13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95" t="s">
        <v>3133</v>
      </c>
      <c r="P1395" s="6" t="s">
        <v>1613</v>
      </c>
      <c r="Q13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95" s="29"/>
      <c r="AC1395" s="25"/>
      <c r="AD1395" s="41"/>
      <c r="AE1395" s="41"/>
      <c r="AF1395" s="11"/>
      <c r="AH1395" s="1" t="str">
        <f>Table1[[#This Row],[html_tag]]&amp;Table1[[#This Row],[html_type]]&amp;Table1[[#This Row],[html_modifier]]</f>
        <v/>
      </c>
      <c r="AL1395" s="22" t="str">
        <f>IFERROR(_xlfn.XLOOKUP(Table1[[#This Row],[word]],Table57[English style name],Table57[Style type]),"")</f>
        <v/>
      </c>
      <c r="AM1395" s="20"/>
      <c r="AN1395" s="11"/>
      <c r="AQ1395" s="6" t="s">
        <v>1613</v>
      </c>
      <c r="AR1395" t="s">
        <v>1614</v>
      </c>
    </row>
    <row r="1396" spans="6:44">
      <c r="F13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96" s="13" t="s">
        <v>461</v>
      </c>
      <c r="H1396" s="13" t="s">
        <v>2991</v>
      </c>
      <c r="I1396" s="12" t="str">
        <f>Table1[[#This Row],[type]]</f>
        <v>grid</v>
      </c>
      <c r="J1396" s="62" t="str">
        <f>Table1[[#This Row],[Column42]]&amp;IF(Table1[[#This Row],[Column13]]="","",Table1[[#This Row],[Column13]])&amp;IF(Table1[[#This Row],[mod]]="","",Table1[[#This Row],[mod]])</f>
        <v>grid</v>
      </c>
      <c r="K13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96" t="s">
        <v>3133</v>
      </c>
      <c r="P1396" s="6" t="s">
        <v>1615</v>
      </c>
      <c r="Q13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96" s="29"/>
      <c r="AC1396" s="25"/>
      <c r="AD1396" s="41"/>
      <c r="AE1396" s="41"/>
      <c r="AF1396" s="11"/>
      <c r="AH1396" s="1" t="str">
        <f>Table1[[#This Row],[html_tag]]&amp;Table1[[#This Row],[html_type]]&amp;Table1[[#This Row],[html_modifier]]</f>
        <v/>
      </c>
      <c r="AL1396" s="22" t="str">
        <f>IFERROR(_xlfn.XLOOKUP(Table1[[#This Row],[word]],Table57[English style name],Table57[Style type]),"")</f>
        <v/>
      </c>
      <c r="AM1396" s="20"/>
      <c r="AN1396" s="11"/>
      <c r="AQ1396" s="6" t="s">
        <v>1615</v>
      </c>
      <c r="AR1396" t="s">
        <v>1614</v>
      </c>
    </row>
    <row r="1397" spans="6:44">
      <c r="F13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97" s="13" t="s">
        <v>461</v>
      </c>
      <c r="H1397" s="13" t="s">
        <v>2991</v>
      </c>
      <c r="I1397" s="12" t="str">
        <f>Table1[[#This Row],[type]]</f>
        <v>grid</v>
      </c>
      <c r="J1397" s="62" t="str">
        <f>Table1[[#This Row],[Column42]]&amp;IF(Table1[[#This Row],[Column13]]="","",Table1[[#This Row],[Column13]])&amp;IF(Table1[[#This Row],[mod]]="","",Table1[[#This Row],[mod]])</f>
        <v>grid</v>
      </c>
      <c r="K13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97" t="s">
        <v>3133</v>
      </c>
      <c r="P1397" s="6" t="s">
        <v>1616</v>
      </c>
      <c r="Q13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97" s="29"/>
      <c r="AC1397" s="25"/>
      <c r="AD1397" s="41"/>
      <c r="AE1397" s="41"/>
      <c r="AF1397" s="11"/>
      <c r="AH1397" s="1" t="str">
        <f>Table1[[#This Row],[html_tag]]&amp;Table1[[#This Row],[html_type]]&amp;Table1[[#This Row],[html_modifier]]</f>
        <v/>
      </c>
      <c r="AL1397" s="22" t="str">
        <f>IFERROR(_xlfn.XLOOKUP(Table1[[#This Row],[word]],Table57[English style name],Table57[Style type]),"")</f>
        <v/>
      </c>
      <c r="AM1397" s="20"/>
      <c r="AN1397" s="11"/>
      <c r="AQ1397" s="6" t="s">
        <v>1616</v>
      </c>
      <c r="AR1397" t="s">
        <v>1614</v>
      </c>
    </row>
    <row r="1398" spans="6:44">
      <c r="F13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98" s="13" t="s">
        <v>461</v>
      </c>
      <c r="H1398" s="13" t="s">
        <v>2991</v>
      </c>
      <c r="I1398" s="12" t="str">
        <f>Table1[[#This Row],[type]]</f>
        <v>grid</v>
      </c>
      <c r="J1398" s="62" t="str">
        <f>Table1[[#This Row],[Column42]]&amp;IF(Table1[[#This Row],[Column13]]="","",Table1[[#This Row],[Column13]])&amp;IF(Table1[[#This Row],[mod]]="","",Table1[[#This Row],[mod]])</f>
        <v>grid</v>
      </c>
      <c r="K13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98" t="s">
        <v>3133</v>
      </c>
      <c r="P1398" s="6" t="s">
        <v>1617</v>
      </c>
      <c r="Q13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98" s="29"/>
      <c r="AC1398" s="25"/>
      <c r="AD1398" s="41"/>
      <c r="AE1398" s="41"/>
      <c r="AF1398" s="11"/>
      <c r="AH1398" s="1" t="str">
        <f>Table1[[#This Row],[html_tag]]&amp;Table1[[#This Row],[html_type]]&amp;Table1[[#This Row],[html_modifier]]</f>
        <v/>
      </c>
      <c r="AL1398" s="22" t="str">
        <f>IFERROR(_xlfn.XLOOKUP(Table1[[#This Row],[word]],Table57[English style name],Table57[Style type]),"")</f>
        <v/>
      </c>
      <c r="AM1398" s="20"/>
      <c r="AN1398" s="11"/>
      <c r="AQ1398" s="6" t="s">
        <v>1617</v>
      </c>
      <c r="AR1398" t="s">
        <v>1614</v>
      </c>
    </row>
    <row r="1399" spans="6:44">
      <c r="F13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99" s="13" t="s">
        <v>461</v>
      </c>
      <c r="H1399" s="13" t="s">
        <v>2991</v>
      </c>
      <c r="I1399" s="12" t="str">
        <f>Table1[[#This Row],[type]]</f>
        <v>grid</v>
      </c>
      <c r="J1399" s="62" t="str">
        <f>Table1[[#This Row],[Column42]]&amp;IF(Table1[[#This Row],[Column13]]="","",Table1[[#This Row],[Column13]])&amp;IF(Table1[[#This Row],[mod]]="","",Table1[[#This Row],[mod]])</f>
        <v>grid</v>
      </c>
      <c r="K13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99" t="s">
        <v>3133</v>
      </c>
      <c r="P1399" s="6" t="s">
        <v>1618</v>
      </c>
      <c r="Q13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99" s="29"/>
      <c r="AC1399" s="25"/>
      <c r="AD1399" s="41"/>
      <c r="AE1399" s="41"/>
      <c r="AF1399" s="11"/>
      <c r="AH1399" s="1" t="str">
        <f>Table1[[#This Row],[html_tag]]&amp;Table1[[#This Row],[html_type]]&amp;Table1[[#This Row],[html_modifier]]</f>
        <v/>
      </c>
      <c r="AL1399" s="22" t="str">
        <f>IFERROR(_xlfn.XLOOKUP(Table1[[#This Row],[word]],Table57[English style name],Table57[Style type]),"")</f>
        <v/>
      </c>
      <c r="AM1399" s="20"/>
      <c r="AN1399" s="11"/>
      <c r="AQ1399" s="6" t="s">
        <v>1618</v>
      </c>
      <c r="AR1399" t="s">
        <v>1614</v>
      </c>
    </row>
    <row r="1400" spans="6:44">
      <c r="F14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0" s="13" t="s">
        <v>461</v>
      </c>
      <c r="H1400" s="13" t="s">
        <v>2991</v>
      </c>
      <c r="I1400" s="12" t="str">
        <f>Table1[[#This Row],[type]]</f>
        <v>grid</v>
      </c>
      <c r="J1400" s="62" t="str">
        <f>Table1[[#This Row],[Column42]]&amp;IF(Table1[[#This Row],[Column13]]="","",Table1[[#This Row],[Column13]])&amp;IF(Table1[[#This Row],[mod]]="","",Table1[[#This Row],[mod]])</f>
        <v>grid</v>
      </c>
      <c r="K14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0" t="s">
        <v>3133</v>
      </c>
      <c r="P1400" s="6" t="s">
        <v>2014</v>
      </c>
      <c r="Q14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0" s="29"/>
      <c r="AC1400" s="25"/>
      <c r="AD1400" s="41"/>
      <c r="AE1400" s="41"/>
      <c r="AF1400" s="11"/>
      <c r="AH1400" s="1" t="str">
        <f>Table1[[#This Row],[html_tag]]&amp;Table1[[#This Row],[html_type]]&amp;Table1[[#This Row],[html_modifier]]</f>
        <v/>
      </c>
      <c r="AL1400" s="22" t="str">
        <f>IFERROR(_xlfn.XLOOKUP(Table1[[#This Row],[word]],Table57[English style name],Table57[Style type]),"")</f>
        <v/>
      </c>
      <c r="AM1400" s="20"/>
      <c r="AN1400" s="11"/>
      <c r="AQ1400" s="6" t="s">
        <v>2014</v>
      </c>
      <c r="AR1400" t="s">
        <v>2015</v>
      </c>
    </row>
    <row r="1401" spans="6:44">
      <c r="F14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1" s="13" t="s">
        <v>461</v>
      </c>
      <c r="H1401" s="13" t="s">
        <v>2991</v>
      </c>
      <c r="I1401" s="12" t="str">
        <f>Table1[[#This Row],[type]]</f>
        <v>grid</v>
      </c>
      <c r="J1401" s="62" t="str">
        <f>Table1[[#This Row],[Column42]]&amp;IF(Table1[[#This Row],[Column13]]="","",Table1[[#This Row],[Column13]])&amp;IF(Table1[[#This Row],[mod]]="","",Table1[[#This Row],[mod]])</f>
        <v>grid</v>
      </c>
      <c r="K14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1" t="s">
        <v>3133</v>
      </c>
      <c r="P1401" s="6" t="s">
        <v>2016</v>
      </c>
      <c r="Q14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1" s="29"/>
      <c r="AC1401" s="25"/>
      <c r="AD1401" s="41"/>
      <c r="AE1401" s="41"/>
      <c r="AF1401" s="11"/>
      <c r="AH1401" s="1" t="str">
        <f>Table1[[#This Row],[html_tag]]&amp;Table1[[#This Row],[html_type]]&amp;Table1[[#This Row],[html_modifier]]</f>
        <v/>
      </c>
      <c r="AL1401" s="22" t="str">
        <f>IFERROR(_xlfn.XLOOKUP(Table1[[#This Row],[word]],Table57[English style name],Table57[Style type]),"")</f>
        <v/>
      </c>
      <c r="AM1401" s="20"/>
      <c r="AN1401" s="11"/>
      <c r="AQ1401" s="6" t="s">
        <v>2016</v>
      </c>
      <c r="AR1401" t="s">
        <v>2015</v>
      </c>
    </row>
    <row r="1402" spans="6:44">
      <c r="F14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2" s="13" t="s">
        <v>461</v>
      </c>
      <c r="H1402" s="13" t="s">
        <v>2991</v>
      </c>
      <c r="I1402" s="12" t="str">
        <f>Table1[[#This Row],[type]]</f>
        <v>grid</v>
      </c>
      <c r="J1402" s="62" t="str">
        <f>Table1[[#This Row],[Column42]]&amp;IF(Table1[[#This Row],[Column13]]="","",Table1[[#This Row],[Column13]])&amp;IF(Table1[[#This Row],[mod]]="","",Table1[[#This Row],[mod]])</f>
        <v>grid</v>
      </c>
      <c r="K14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2" t="s">
        <v>3133</v>
      </c>
      <c r="P1402" s="6" t="s">
        <v>2017</v>
      </c>
      <c r="Q14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2" s="29"/>
      <c r="AC1402" s="25"/>
      <c r="AD1402" s="41"/>
      <c r="AE1402" s="41"/>
      <c r="AF1402" s="11"/>
      <c r="AH1402" s="1" t="str">
        <f>Table1[[#This Row],[html_tag]]&amp;Table1[[#This Row],[html_type]]&amp;Table1[[#This Row],[html_modifier]]</f>
        <v/>
      </c>
      <c r="AL1402" s="22" t="str">
        <f>IFERROR(_xlfn.XLOOKUP(Table1[[#This Row],[word]],Table57[English style name],Table57[Style type]),"")</f>
        <v/>
      </c>
      <c r="AM1402" s="20"/>
      <c r="AN1402" s="11"/>
      <c r="AQ1402" s="6" t="s">
        <v>2017</v>
      </c>
      <c r="AR1402" t="s">
        <v>2015</v>
      </c>
    </row>
    <row r="1403" spans="6:44">
      <c r="F14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3" s="13" t="s">
        <v>461</v>
      </c>
      <c r="H1403" s="13" t="s">
        <v>2991</v>
      </c>
      <c r="I1403" s="12" t="str">
        <f>Table1[[#This Row],[type]]</f>
        <v>grid</v>
      </c>
      <c r="J1403" s="62" t="str">
        <f>Table1[[#This Row],[Column42]]&amp;IF(Table1[[#This Row],[Column13]]="","",Table1[[#This Row],[Column13]])&amp;IF(Table1[[#This Row],[mod]]="","",Table1[[#This Row],[mod]])</f>
        <v>grid</v>
      </c>
      <c r="K14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3" t="s">
        <v>3133</v>
      </c>
      <c r="P1403" s="6" t="s">
        <v>2018</v>
      </c>
      <c r="Q14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3" s="29"/>
      <c r="AC1403" s="25"/>
      <c r="AD1403" s="41"/>
      <c r="AE1403" s="41"/>
      <c r="AF1403" s="11"/>
      <c r="AH1403" s="1" t="str">
        <f>Table1[[#This Row],[html_tag]]&amp;Table1[[#This Row],[html_type]]&amp;Table1[[#This Row],[html_modifier]]</f>
        <v/>
      </c>
      <c r="AL1403" s="22" t="str">
        <f>IFERROR(_xlfn.XLOOKUP(Table1[[#This Row],[word]],Table57[English style name],Table57[Style type]),"")</f>
        <v/>
      </c>
      <c r="AM1403" s="20"/>
      <c r="AN1403" s="11"/>
      <c r="AQ1403" s="6" t="s">
        <v>2018</v>
      </c>
      <c r="AR1403" t="s">
        <v>2015</v>
      </c>
    </row>
    <row r="1404" spans="6:44">
      <c r="F14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body/molecules/grid.scss</v>
      </c>
      <c r="G1404" s="13" t="s">
        <v>337</v>
      </c>
      <c r="H1404" s="13" t="s">
        <v>2987</v>
      </c>
      <c r="I1404" s="12" t="str">
        <f>Table1[[#This Row],[type]]</f>
        <v>grid</v>
      </c>
      <c r="J1404" s="62" t="str">
        <f>Table1[[#This Row],[Column42]]&amp;IF(Table1[[#This Row],[Column13]]="","",Table1[[#This Row],[Column13]])&amp;IF(Table1[[#This Row],[mod]]="","",Table1[[#This Row],[mod]])</f>
        <v>grid</v>
      </c>
      <c r="K14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4" t="s">
        <v>3133</v>
      </c>
      <c r="P1404" s="6" t="s">
        <v>2297</v>
      </c>
      <c r="Q14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4" s="29"/>
      <c r="AC1404" s="25"/>
      <c r="AD1404" s="41"/>
      <c r="AE1404" s="41"/>
      <c r="AF1404" s="11"/>
      <c r="AH1404" s="1" t="str">
        <f>Table1[[#This Row],[html_tag]]&amp;Table1[[#This Row],[html_type]]&amp;Table1[[#This Row],[html_modifier]]</f>
        <v/>
      </c>
      <c r="AL1404" s="22" t="str">
        <f>IFERROR(_xlfn.XLOOKUP(Table1[[#This Row],[word]],Table57[English style name],Table57[Style type]),"")</f>
        <v/>
      </c>
      <c r="AM1404" s="20"/>
      <c r="AN1404" s="11"/>
      <c r="AQ1404" s="6" t="s">
        <v>2297</v>
      </c>
      <c r="AR1404" t="s">
        <v>2298</v>
      </c>
    </row>
    <row r="1405" spans="6:44">
      <c r="F14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5" s="13" t="s">
        <v>461</v>
      </c>
      <c r="H1405" s="13" t="s">
        <v>2991</v>
      </c>
      <c r="I1405" s="12" t="str">
        <f>Table1[[#This Row],[type]]</f>
        <v>grid</v>
      </c>
      <c r="J1405" s="62" t="str">
        <f>Table1[[#This Row],[Column42]]&amp;IF(Table1[[#This Row],[Column13]]="","",Table1[[#This Row],[Column13]])&amp;IF(Table1[[#This Row],[mod]]="","",Table1[[#This Row],[mod]])</f>
        <v>grid</v>
      </c>
      <c r="K14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5" t="s">
        <v>3133</v>
      </c>
      <c r="P1405" s="6" t="s">
        <v>2549</v>
      </c>
      <c r="Q14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5" s="29"/>
      <c r="AC1405" s="25"/>
      <c r="AD1405" s="41"/>
      <c r="AE1405" s="41"/>
      <c r="AF1405" s="11"/>
      <c r="AH1405" s="1" t="str">
        <f>Table1[[#This Row],[html_tag]]&amp;Table1[[#This Row],[html_type]]&amp;Table1[[#This Row],[html_modifier]]</f>
        <v/>
      </c>
      <c r="AL1405" s="22" t="str">
        <f>IFERROR(_xlfn.XLOOKUP(Table1[[#This Row],[word]],Table57[English style name],Table57[Style type]),"")</f>
        <v/>
      </c>
      <c r="AM1405" s="20"/>
      <c r="AN1405" s="11"/>
      <c r="AQ1405" s="6" t="s">
        <v>2549</v>
      </c>
      <c r="AR1405" t="s">
        <v>2550</v>
      </c>
    </row>
    <row r="1406" spans="6:44">
      <c r="F14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6" s="13" t="s">
        <v>461</v>
      </c>
      <c r="H1406" s="13" t="s">
        <v>2991</v>
      </c>
      <c r="I1406" s="12" t="str">
        <f>Table1[[#This Row],[type]]</f>
        <v>grid</v>
      </c>
      <c r="J1406" s="62" t="str">
        <f>Table1[[#This Row],[Column42]]&amp;IF(Table1[[#This Row],[Column13]]="","",Table1[[#This Row],[Column13]])&amp;IF(Table1[[#This Row],[mod]]="","",Table1[[#This Row],[mod]])</f>
        <v>grid</v>
      </c>
      <c r="K14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6" t="s">
        <v>3133</v>
      </c>
      <c r="P1406" s="6" t="s">
        <v>2551</v>
      </c>
      <c r="Q14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6" s="29"/>
      <c r="AC1406" s="25"/>
      <c r="AD1406" s="41"/>
      <c r="AE1406" s="41"/>
      <c r="AF1406" s="11"/>
      <c r="AH1406" s="1" t="str">
        <f>Table1[[#This Row],[html_tag]]&amp;Table1[[#This Row],[html_type]]&amp;Table1[[#This Row],[html_modifier]]</f>
        <v/>
      </c>
      <c r="AL1406" s="22" t="str">
        <f>IFERROR(_xlfn.XLOOKUP(Table1[[#This Row],[word]],Table57[English style name],Table57[Style type]),"")</f>
        <v/>
      </c>
      <c r="AM1406" s="20"/>
      <c r="AN1406" s="11"/>
      <c r="AQ1406" s="6" t="s">
        <v>2551</v>
      </c>
      <c r="AR1406" t="s">
        <v>2550</v>
      </c>
    </row>
    <row r="1407" spans="6:44">
      <c r="F14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7" s="13" t="s">
        <v>461</v>
      </c>
      <c r="H1407" s="13" t="s">
        <v>2991</v>
      </c>
      <c r="I1407" s="12" t="str">
        <f>Table1[[#This Row],[type]]</f>
        <v>grid</v>
      </c>
      <c r="J1407" s="62" t="str">
        <f>Table1[[#This Row],[Column42]]&amp;IF(Table1[[#This Row],[Column13]]="","",Table1[[#This Row],[Column13]])&amp;IF(Table1[[#This Row],[mod]]="","",Table1[[#This Row],[mod]])</f>
        <v>grid</v>
      </c>
      <c r="K14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7" t="s">
        <v>3133</v>
      </c>
      <c r="P1407" s="6" t="s">
        <v>2552</v>
      </c>
      <c r="Q14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7" s="29"/>
      <c r="AC1407" s="25"/>
      <c r="AD1407" s="41"/>
      <c r="AE1407" s="41"/>
      <c r="AF1407" s="11"/>
      <c r="AH1407" s="1" t="str">
        <f>Table1[[#This Row],[html_tag]]&amp;Table1[[#This Row],[html_type]]&amp;Table1[[#This Row],[html_modifier]]</f>
        <v/>
      </c>
      <c r="AL1407" s="22" t="str">
        <f>IFERROR(_xlfn.XLOOKUP(Table1[[#This Row],[word]],Table57[English style name],Table57[Style type]),"")</f>
        <v/>
      </c>
      <c r="AM1407" s="20"/>
      <c r="AN1407" s="11"/>
      <c r="AQ1407" s="6" t="s">
        <v>2552</v>
      </c>
      <c r="AR1407" t="s">
        <v>2550</v>
      </c>
    </row>
    <row r="1408" spans="6:44">
      <c r="F14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8" s="13" t="s">
        <v>461</v>
      </c>
      <c r="H1408" s="13" t="s">
        <v>2991</v>
      </c>
      <c r="I1408" s="12" t="str">
        <f>Table1[[#This Row],[type]]</f>
        <v>grid</v>
      </c>
      <c r="J1408" s="62" t="str">
        <f>Table1[[#This Row],[Column42]]&amp;IF(Table1[[#This Row],[Column13]]="","",Table1[[#This Row],[Column13]])&amp;IF(Table1[[#This Row],[mod]]="","",Table1[[#This Row],[mod]])</f>
        <v>grid</v>
      </c>
      <c r="K14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8" t="s">
        <v>3133</v>
      </c>
      <c r="P1408" s="6" t="s">
        <v>2553</v>
      </c>
      <c r="Q14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8" s="29"/>
      <c r="AC1408" s="25"/>
      <c r="AD1408" s="41"/>
      <c r="AE1408" s="41"/>
      <c r="AF1408" s="11"/>
      <c r="AH1408" s="1" t="str">
        <f>Table1[[#This Row],[html_tag]]&amp;Table1[[#This Row],[html_type]]&amp;Table1[[#This Row],[html_modifier]]</f>
        <v/>
      </c>
      <c r="AL1408" s="22" t="str">
        <f>IFERROR(_xlfn.XLOOKUP(Table1[[#This Row],[word]],Table57[English style name],Table57[Style type]),"")</f>
        <v/>
      </c>
      <c r="AM1408" s="20"/>
      <c r="AN1408" s="11"/>
      <c r="AQ1408" s="6" t="s">
        <v>2553</v>
      </c>
      <c r="AR1408" t="s">
        <v>2550</v>
      </c>
    </row>
    <row r="1409" spans="6:44">
      <c r="F14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9" s="13" t="s">
        <v>461</v>
      </c>
      <c r="H1409" s="13" t="s">
        <v>2991</v>
      </c>
      <c r="I1409" s="12" t="str">
        <f>Table1[[#This Row],[type]]</f>
        <v>grid</v>
      </c>
      <c r="J1409" s="62" t="str">
        <f>Table1[[#This Row],[Column42]]&amp;IF(Table1[[#This Row],[Column13]]="","",Table1[[#This Row],[Column13]])&amp;IF(Table1[[#This Row],[mod]]="","",Table1[[#This Row],[mod]])</f>
        <v>grid</v>
      </c>
      <c r="K14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9" t="s">
        <v>3133</v>
      </c>
      <c r="P1409" s="6" t="s">
        <v>2554</v>
      </c>
      <c r="Q14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9" s="29"/>
      <c r="AC1409" s="25"/>
      <c r="AD1409" s="41"/>
      <c r="AE1409" s="41"/>
      <c r="AF1409" s="11"/>
      <c r="AH1409" s="1" t="str">
        <f>Table1[[#This Row],[html_tag]]&amp;Table1[[#This Row],[html_type]]&amp;Table1[[#This Row],[html_modifier]]</f>
        <v/>
      </c>
      <c r="AL1409" s="22" t="str">
        <f>IFERROR(_xlfn.XLOOKUP(Table1[[#This Row],[word]],Table57[English style name],Table57[Style type]),"")</f>
        <v/>
      </c>
      <c r="AM1409" s="20"/>
      <c r="AN1409" s="11"/>
      <c r="AQ1409" s="6" t="s">
        <v>2554</v>
      </c>
      <c r="AR1409" t="s">
        <v>2550</v>
      </c>
    </row>
    <row r="1410" spans="6:44">
      <c r="F14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0" s="13" t="s">
        <v>461</v>
      </c>
      <c r="H1410" s="13" t="s">
        <v>2991</v>
      </c>
      <c r="I1410" s="12" t="str">
        <f>Table1[[#This Row],[type]]</f>
        <v>grid</v>
      </c>
      <c r="J1410" s="62" t="str">
        <f>Table1[[#This Row],[Column42]]&amp;IF(Table1[[#This Row],[Column13]]="","",Table1[[#This Row],[Column13]])&amp;IF(Table1[[#This Row],[mod]]="","",Table1[[#This Row],[mod]])</f>
        <v>grid</v>
      </c>
      <c r="K14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0" t="s">
        <v>3133</v>
      </c>
      <c r="P1410" s="6" t="s">
        <v>2555</v>
      </c>
      <c r="Q14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10" s="29"/>
      <c r="AC1410" s="25"/>
      <c r="AD1410" s="41"/>
      <c r="AE1410" s="41"/>
      <c r="AF1410" s="11"/>
      <c r="AH1410" s="1" t="str">
        <f>Table1[[#This Row],[html_tag]]&amp;Table1[[#This Row],[html_type]]&amp;Table1[[#This Row],[html_modifier]]</f>
        <v/>
      </c>
      <c r="AL1410" s="22" t="str">
        <f>IFERROR(_xlfn.XLOOKUP(Table1[[#This Row],[word]],Table57[English style name],Table57[Style type]),"")</f>
        <v/>
      </c>
      <c r="AM1410" s="20"/>
      <c r="AN1410" s="11"/>
      <c r="AQ1410" s="6" t="s">
        <v>2555</v>
      </c>
      <c r="AR1410" t="s">
        <v>2550</v>
      </c>
    </row>
    <row r="1411" spans="6:44">
      <c r="F14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1" s="13" t="s">
        <v>461</v>
      </c>
      <c r="H1411" s="13" t="s">
        <v>2991</v>
      </c>
      <c r="I1411" s="12" t="str">
        <f>Table1[[#This Row],[type]]</f>
        <v>grid</v>
      </c>
      <c r="J1411" s="62" t="str">
        <f>Table1[[#This Row],[Column42]]&amp;IF(Table1[[#This Row],[Column13]]="","",Table1[[#This Row],[Column13]])&amp;IF(Table1[[#This Row],[mod]]="","",Table1[[#This Row],[mod]])</f>
        <v>grid</v>
      </c>
      <c r="K14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1" t="s">
        <v>3133</v>
      </c>
      <c r="P1411" s="6" t="s">
        <v>2556</v>
      </c>
      <c r="Q14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11" s="29"/>
      <c r="AC1411" s="25"/>
      <c r="AD1411" s="41"/>
      <c r="AE1411" s="41"/>
      <c r="AF1411" s="11"/>
      <c r="AH1411" s="1" t="str">
        <f>Table1[[#This Row],[html_tag]]&amp;Table1[[#This Row],[html_type]]&amp;Table1[[#This Row],[html_modifier]]</f>
        <v/>
      </c>
      <c r="AL1411" s="22" t="str">
        <f>IFERROR(_xlfn.XLOOKUP(Table1[[#This Row],[word]],Table57[English style name],Table57[Style type]),"")</f>
        <v/>
      </c>
      <c r="AM1411" s="20"/>
      <c r="AN1411" s="11"/>
      <c r="AQ1411" s="6" t="s">
        <v>2556</v>
      </c>
      <c r="AR1411" t="s">
        <v>2550</v>
      </c>
    </row>
    <row r="1412" spans="6:44">
      <c r="F14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2" s="13" t="s">
        <v>461</v>
      </c>
      <c r="H1412" s="13" t="s">
        <v>2991</v>
      </c>
      <c r="I1412" s="12" t="str">
        <f>Table1[[#This Row],[type]]</f>
        <v>grid</v>
      </c>
      <c r="J1412" s="62" t="str">
        <f>Table1[[#This Row],[Column42]]&amp;IF(Table1[[#This Row],[Column13]]="","",Table1[[#This Row],[Column13]])&amp;IF(Table1[[#This Row],[mod]]="","",Table1[[#This Row],[mod]])</f>
        <v>grid</v>
      </c>
      <c r="K14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2" t="s">
        <v>3133</v>
      </c>
      <c r="P1412" s="6" t="s">
        <v>2557</v>
      </c>
      <c r="Q14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12" s="29"/>
      <c r="AC1412" s="25"/>
      <c r="AD1412" s="41"/>
      <c r="AE1412" s="41"/>
      <c r="AF1412" s="11"/>
      <c r="AH1412" s="1" t="str">
        <f>Table1[[#This Row],[html_tag]]&amp;Table1[[#This Row],[html_type]]&amp;Table1[[#This Row],[html_modifier]]</f>
        <v/>
      </c>
      <c r="AL1412" s="22" t="str">
        <f>IFERROR(_xlfn.XLOOKUP(Table1[[#This Row],[word]],Table57[English style name],Table57[Style type]),"")</f>
        <v/>
      </c>
      <c r="AM1412" s="20"/>
      <c r="AN1412" s="11"/>
      <c r="AQ1412" s="6" t="s">
        <v>2557</v>
      </c>
      <c r="AR1412" t="s">
        <v>2550</v>
      </c>
    </row>
    <row r="1413" spans="6:44">
      <c r="F14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3" s="13" t="s">
        <v>461</v>
      </c>
      <c r="H1413" s="13" t="s">
        <v>2991</v>
      </c>
      <c r="I1413" s="12" t="str">
        <f>Table1[[#This Row],[type]]</f>
        <v>grid</v>
      </c>
      <c r="J1413" s="62" t="str">
        <f>Table1[[#This Row],[Column42]]&amp;IF(Table1[[#This Row],[Column13]]="","",Table1[[#This Row],[Column13]])&amp;IF(Table1[[#This Row],[mod]]="","",Table1[[#This Row],[mod]])</f>
        <v>grid</v>
      </c>
      <c r="K14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3" t="s">
        <v>3133</v>
      </c>
      <c r="P1413" s="6" t="s">
        <v>2606</v>
      </c>
      <c r="Q14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13" s="29"/>
      <c r="AC1413" s="25"/>
      <c r="AD1413" s="41"/>
      <c r="AE1413" s="41"/>
      <c r="AF1413" s="11"/>
      <c r="AH1413" s="1" t="str">
        <f>Table1[[#This Row],[html_tag]]&amp;Table1[[#This Row],[html_type]]&amp;Table1[[#This Row],[html_modifier]]</f>
        <v/>
      </c>
      <c r="AL1413" s="22" t="str">
        <f>IFERROR(_xlfn.XLOOKUP(Table1[[#This Row],[word]],Table57[English style name],Table57[Style type]),"")</f>
        <v/>
      </c>
      <c r="AM1413" s="20"/>
      <c r="AN1413" s="11"/>
      <c r="AQ1413" s="6" t="s">
        <v>2606</v>
      </c>
      <c r="AR1413" t="s">
        <v>2607</v>
      </c>
    </row>
    <row r="1414" spans="6:44">
      <c r="F14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4" s="13" t="s">
        <v>461</v>
      </c>
      <c r="H1414" s="13" t="s">
        <v>2991</v>
      </c>
      <c r="I1414" s="12" t="str">
        <f>Table1[[#This Row],[type]]</f>
        <v>grid</v>
      </c>
      <c r="J1414" s="62" t="str">
        <f>Table1[[#This Row],[Column42]]&amp;IF(Table1[[#This Row],[Column13]]="","",Table1[[#This Row],[Column13]])&amp;IF(Table1[[#This Row],[mod]]="","",Table1[[#This Row],[mod]])</f>
        <v>grid</v>
      </c>
      <c r="K14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4" t="s">
        <v>3133</v>
      </c>
      <c r="P1414" s="6" t="s">
        <v>2611</v>
      </c>
      <c r="Q14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14" s="29"/>
      <c r="AC1414" s="25"/>
      <c r="AD1414" s="41"/>
      <c r="AE1414" s="41"/>
      <c r="AF1414" s="11"/>
      <c r="AH1414" s="1" t="str">
        <f>Table1[[#This Row],[html_tag]]&amp;Table1[[#This Row],[html_type]]&amp;Table1[[#This Row],[html_modifier]]</f>
        <v/>
      </c>
      <c r="AL1414" s="22" t="str">
        <f>IFERROR(_xlfn.XLOOKUP(Table1[[#This Row],[word]],Table57[English style name],Table57[Style type]),"")</f>
        <v/>
      </c>
      <c r="AM1414" s="20"/>
      <c r="AN1414" s="11"/>
      <c r="AQ1414" s="6" t="s">
        <v>2611</v>
      </c>
      <c r="AR1414" t="s">
        <v>2607</v>
      </c>
    </row>
    <row r="1415" spans="6:44">
      <c r="F14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5" s="13" t="s">
        <v>461</v>
      </c>
      <c r="H1415" s="13" t="s">
        <v>2991</v>
      </c>
      <c r="I1415" s="12" t="str">
        <f>Table1[[#This Row],[type]]</f>
        <v>grid</v>
      </c>
      <c r="J1415" s="62" t="str">
        <f>Table1[[#This Row],[Column42]]&amp;IF(Table1[[#This Row],[Column13]]="","",Table1[[#This Row],[Column13]])&amp;IF(Table1[[#This Row],[mod]]="","",Table1[[#This Row],[mod]])</f>
        <v>grid--base</v>
      </c>
      <c r="K14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5" t="s">
        <v>3133</v>
      </c>
      <c r="P1415" s="6" t="s">
        <v>1234</v>
      </c>
      <c r="Q14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415" t="s">
        <v>338</v>
      </c>
      <c r="AB1415" s="29"/>
      <c r="AC1415" s="25"/>
      <c r="AD1415" s="41"/>
      <c r="AE1415" s="41"/>
      <c r="AF1415" s="11"/>
      <c r="AH1415" s="1" t="str">
        <f>Table1[[#This Row],[html_tag]]&amp;Table1[[#This Row],[html_type]]&amp;Table1[[#This Row],[html_modifier]]</f>
        <v/>
      </c>
      <c r="AL1415" s="22" t="str">
        <f>IFERROR(_xlfn.XLOOKUP(Table1[[#This Row],[word]],Table57[English style name],Table57[Style type]),"")</f>
        <v/>
      </c>
      <c r="AM1415" s="20"/>
      <c r="AN1415" s="11"/>
      <c r="AQ1415" s="6" t="s">
        <v>1234</v>
      </c>
      <c r="AR1415" t="s">
        <v>1235</v>
      </c>
    </row>
    <row r="1416" spans="6:44">
      <c r="F14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6" s="13" t="s">
        <v>461</v>
      </c>
      <c r="H1416" s="13" t="s">
        <v>2991</v>
      </c>
      <c r="I1416" s="12" t="str">
        <f>Table1[[#This Row],[type]]</f>
        <v>grid</v>
      </c>
      <c r="J1416" s="62" t="str">
        <f>Table1[[#This Row],[Column42]]&amp;IF(Table1[[#This Row],[Column13]]="","",Table1[[#This Row],[Column13]])&amp;IF(Table1[[#This Row],[mod]]="","",Table1[[#This Row],[mod]])</f>
        <v>grid--base</v>
      </c>
      <c r="K14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6" t="s">
        <v>3133</v>
      </c>
      <c r="P1416" s="6" t="s">
        <v>1236</v>
      </c>
      <c r="Q14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416" t="s">
        <v>338</v>
      </c>
      <c r="AB1416" s="29"/>
      <c r="AC1416" s="25"/>
      <c r="AD1416" s="41"/>
      <c r="AE1416" s="41"/>
      <c r="AF1416" s="11"/>
      <c r="AH1416" s="1" t="str">
        <f>Table1[[#This Row],[html_tag]]&amp;Table1[[#This Row],[html_type]]&amp;Table1[[#This Row],[html_modifier]]</f>
        <v/>
      </c>
      <c r="AL1416" s="22" t="str">
        <f>IFERROR(_xlfn.XLOOKUP(Table1[[#This Row],[word]],Table57[English style name],Table57[Style type]),"")</f>
        <v/>
      </c>
      <c r="AM1416" s="20"/>
      <c r="AN1416" s="11"/>
      <c r="AQ1416" s="6" t="s">
        <v>1236</v>
      </c>
      <c r="AR1416" t="s">
        <v>1235</v>
      </c>
    </row>
    <row r="1417" spans="6:44">
      <c r="F14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7" s="13" t="s">
        <v>461</v>
      </c>
      <c r="H1417" s="13" t="s">
        <v>2991</v>
      </c>
      <c r="I1417" s="12" t="str">
        <f>Table1[[#This Row],[type]]</f>
        <v>grid</v>
      </c>
      <c r="J1417" s="62" t="str">
        <f>Table1[[#This Row],[Column42]]&amp;IF(Table1[[#This Row],[Column13]]="","",Table1[[#This Row],[Column13]])&amp;IF(Table1[[#This Row],[mod]]="","",Table1[[#This Row],[mod]])</f>
        <v>grid--lg</v>
      </c>
      <c r="K14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7" t="s">
        <v>3133</v>
      </c>
      <c r="P1417" s="6" t="s">
        <v>2608</v>
      </c>
      <c r="Q14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17" t="s">
        <v>3114</v>
      </c>
      <c r="AB1417" s="29"/>
      <c r="AC1417" s="25"/>
      <c r="AD1417" s="41"/>
      <c r="AE1417" s="41"/>
      <c r="AF1417" s="11"/>
      <c r="AH1417" s="1" t="str">
        <f>Table1[[#This Row],[html_tag]]&amp;Table1[[#This Row],[html_type]]&amp;Table1[[#This Row],[html_modifier]]</f>
        <v/>
      </c>
      <c r="AL1417" s="22" t="str">
        <f>IFERROR(_xlfn.XLOOKUP(Table1[[#This Row],[word]],Table57[English style name],Table57[Style type]),"")</f>
        <v/>
      </c>
      <c r="AM1417" s="20"/>
      <c r="AN1417" s="11"/>
      <c r="AQ1417" s="6" t="s">
        <v>2608</v>
      </c>
      <c r="AR1417" t="s">
        <v>2607</v>
      </c>
    </row>
    <row r="1418" spans="6:44">
      <c r="F14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8" s="13" t="s">
        <v>461</v>
      </c>
      <c r="H1418" s="13" t="s">
        <v>2991</v>
      </c>
      <c r="I1418" s="12" t="str">
        <f>Table1[[#This Row],[type]]</f>
        <v>grid</v>
      </c>
      <c r="J1418" s="62" t="str">
        <f>Table1[[#This Row],[Column42]]&amp;IF(Table1[[#This Row],[Column13]]="","",Table1[[#This Row],[Column13]])&amp;IF(Table1[[#This Row],[mod]]="","",Table1[[#This Row],[mod]])</f>
        <v>grid--lg</v>
      </c>
      <c r="K14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8" t="s">
        <v>3133</v>
      </c>
      <c r="P1418" s="6" t="s">
        <v>2612</v>
      </c>
      <c r="Q14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18" t="s">
        <v>3114</v>
      </c>
      <c r="AB1418" s="29"/>
      <c r="AC1418" s="25"/>
      <c r="AD1418" s="41"/>
      <c r="AE1418" s="41"/>
      <c r="AF1418" s="11"/>
      <c r="AH1418" s="1" t="str">
        <f>Table1[[#This Row],[html_tag]]&amp;Table1[[#This Row],[html_type]]&amp;Table1[[#This Row],[html_modifier]]</f>
        <v/>
      </c>
      <c r="AL1418" s="22" t="str">
        <f>IFERROR(_xlfn.XLOOKUP(Table1[[#This Row],[word]],Table57[English style name],Table57[Style type]),"")</f>
        <v/>
      </c>
      <c r="AM1418" s="20"/>
      <c r="AN1418" s="11"/>
      <c r="AQ1418" s="6" t="s">
        <v>2612</v>
      </c>
      <c r="AR1418" t="s">
        <v>2607</v>
      </c>
    </row>
    <row r="1419" spans="6:44">
      <c r="F14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9" s="13" t="s">
        <v>461</v>
      </c>
      <c r="H1419" s="13" t="s">
        <v>2991</v>
      </c>
      <c r="I1419" s="12" t="str">
        <f>Table1[[#This Row],[type]]</f>
        <v>grid</v>
      </c>
      <c r="J1419" s="62" t="str">
        <f>Table1[[#This Row],[Column42]]&amp;IF(Table1[[#This Row],[Column13]]="","",Table1[[#This Row],[Column13]])&amp;IF(Table1[[#This Row],[mod]]="","",Table1[[#This Row],[mod]])</f>
        <v>grid--md</v>
      </c>
      <c r="K14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9" t="s">
        <v>3133</v>
      </c>
      <c r="P1419" s="6" t="s">
        <v>2609</v>
      </c>
      <c r="Q14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419" t="s">
        <v>3115</v>
      </c>
      <c r="AB1419" s="29"/>
      <c r="AC1419" s="25"/>
      <c r="AD1419" s="41"/>
      <c r="AE1419" s="41"/>
      <c r="AF1419" s="11"/>
      <c r="AH1419" s="1" t="str">
        <f>Table1[[#This Row],[html_tag]]&amp;Table1[[#This Row],[html_type]]&amp;Table1[[#This Row],[html_modifier]]</f>
        <v/>
      </c>
      <c r="AL1419" s="22" t="str">
        <f>IFERROR(_xlfn.XLOOKUP(Table1[[#This Row],[word]],Table57[English style name],Table57[Style type]),"")</f>
        <v/>
      </c>
      <c r="AM1419" s="20"/>
      <c r="AN1419" s="11"/>
      <c r="AQ1419" s="6" t="s">
        <v>2609</v>
      </c>
      <c r="AR1419" t="s">
        <v>2607</v>
      </c>
    </row>
    <row r="1420" spans="6:44">
      <c r="F14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20" s="13" t="s">
        <v>461</v>
      </c>
      <c r="H1420" s="13" t="s">
        <v>2991</v>
      </c>
      <c r="I1420" s="12" t="str">
        <f>Table1[[#This Row],[type]]</f>
        <v>grid</v>
      </c>
      <c r="J1420" s="62" t="str">
        <f>Table1[[#This Row],[Column42]]&amp;IF(Table1[[#This Row],[Column13]]="","",Table1[[#This Row],[Column13]])&amp;IF(Table1[[#This Row],[mod]]="","",Table1[[#This Row],[mod]])</f>
        <v>grid--md</v>
      </c>
      <c r="K14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20" t="s">
        <v>3133</v>
      </c>
      <c r="P1420" s="6" t="s">
        <v>2613</v>
      </c>
      <c r="Q14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420" t="s">
        <v>3115</v>
      </c>
      <c r="AB1420" s="29"/>
      <c r="AC1420" s="25"/>
      <c r="AD1420" s="41"/>
      <c r="AE1420" s="41"/>
      <c r="AF1420" s="11"/>
      <c r="AH1420" s="1" t="str">
        <f>Table1[[#This Row],[html_tag]]&amp;Table1[[#This Row],[html_type]]&amp;Table1[[#This Row],[html_modifier]]</f>
        <v/>
      </c>
      <c r="AL1420" s="22" t="str">
        <f>IFERROR(_xlfn.XLOOKUP(Table1[[#This Row],[word]],Table57[English style name],Table57[Style type]),"")</f>
        <v/>
      </c>
      <c r="AM1420" s="20"/>
      <c r="AN1420" s="11"/>
      <c r="AQ1420" s="6" t="s">
        <v>2613</v>
      </c>
      <c r="AR1420" t="s">
        <v>2607</v>
      </c>
    </row>
    <row r="1421" spans="6:44">
      <c r="F14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21" s="13" t="s">
        <v>461</v>
      </c>
      <c r="H1421" s="13" t="s">
        <v>2991</v>
      </c>
      <c r="I1421" s="12" t="str">
        <f>Table1[[#This Row],[type]]</f>
        <v>grid</v>
      </c>
      <c r="J1421" s="62" t="str">
        <f>Table1[[#This Row],[Column42]]&amp;IF(Table1[[#This Row],[Column13]]="","",Table1[[#This Row],[Column13]])&amp;IF(Table1[[#This Row],[mod]]="","",Table1[[#This Row],[mod]])</f>
        <v>grid--sm</v>
      </c>
      <c r="K14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21" t="s">
        <v>3133</v>
      </c>
      <c r="P1421" s="6" t="s">
        <v>2610</v>
      </c>
      <c r="Q14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21" s="3" t="s">
        <v>3116</v>
      </c>
      <c r="AB1421" s="29"/>
      <c r="AC1421" s="25"/>
      <c r="AD1421" s="41"/>
      <c r="AE1421" s="41"/>
      <c r="AF1421" s="11"/>
      <c r="AH1421" s="1" t="str">
        <f>Table1[[#This Row],[html_tag]]&amp;Table1[[#This Row],[html_type]]&amp;Table1[[#This Row],[html_modifier]]</f>
        <v/>
      </c>
      <c r="AL1421" s="22" t="str">
        <f>IFERROR(_xlfn.XLOOKUP(Table1[[#This Row],[word]],Table57[English style name],Table57[Style type]),"")</f>
        <v/>
      </c>
      <c r="AM1421" s="20"/>
      <c r="AN1421" s="11"/>
      <c r="AQ1421" s="6" t="s">
        <v>2610</v>
      </c>
      <c r="AR1421" t="s">
        <v>2607</v>
      </c>
    </row>
    <row r="1422" spans="6:44">
      <c r="F14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22" s="13" t="s">
        <v>461</v>
      </c>
      <c r="H1422" s="13" t="s">
        <v>2991</v>
      </c>
      <c r="I1422" s="12" t="str">
        <f>Table1[[#This Row],[type]]</f>
        <v>grid</v>
      </c>
      <c r="J1422" s="62" t="str">
        <f>Table1[[#This Row],[Column42]]&amp;IF(Table1[[#This Row],[Column13]]="","",Table1[[#This Row],[Column13]])&amp;IF(Table1[[#This Row],[mod]]="","",Table1[[#This Row],[mod]])</f>
        <v>grid--sm</v>
      </c>
      <c r="K14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22" t="s">
        <v>3133</v>
      </c>
      <c r="P1422" s="6" t="s">
        <v>2614</v>
      </c>
      <c r="Q14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22" s="3" t="s">
        <v>3116</v>
      </c>
      <c r="AB1422" s="29"/>
      <c r="AC1422" s="25"/>
      <c r="AD1422" s="41"/>
      <c r="AE1422" s="41"/>
      <c r="AF1422" s="11"/>
      <c r="AH1422" s="1" t="str">
        <f>Table1[[#This Row],[html_tag]]&amp;Table1[[#This Row],[html_type]]&amp;Table1[[#This Row],[html_modifier]]</f>
        <v/>
      </c>
      <c r="AL1422" s="22" t="str">
        <f>IFERROR(_xlfn.XLOOKUP(Table1[[#This Row],[word]],Table57[English style name],Table57[Style type]),"")</f>
        <v/>
      </c>
      <c r="AM1422" s="20"/>
      <c r="AN1422" s="11"/>
      <c r="AQ1422" s="6" t="s">
        <v>2614</v>
      </c>
      <c r="AR1422" t="s">
        <v>2607</v>
      </c>
    </row>
    <row r="1423" spans="6:44">
      <c r="F14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3" s="13" t="s">
        <v>337</v>
      </c>
      <c r="H1423" s="13" t="s">
        <v>2988</v>
      </c>
      <c r="I1423" s="12" t="str">
        <f>Table1[[#This Row],[type]]</f>
        <v>headline</v>
      </c>
      <c r="J1423" s="62" t="str">
        <f>Table1[[#This Row],[Column42]]&amp;IF(Table1[[#This Row],[Column13]]="","",Table1[[#This Row],[Column13]])&amp;IF(Table1[[#This Row],[mod]]="","",Table1[[#This Row],[mod]])</f>
        <v>headline</v>
      </c>
      <c r="K14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3" t="s">
        <v>3134</v>
      </c>
      <c r="P1423" s="6" t="s">
        <v>1862</v>
      </c>
      <c r="Q14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3" s="29"/>
      <c r="AC1423" s="25"/>
      <c r="AD1423" s="41"/>
      <c r="AE1423" s="41"/>
      <c r="AF1423" s="11"/>
      <c r="AH1423" s="1" t="str">
        <f>Table1[[#This Row],[html_tag]]&amp;Table1[[#This Row],[html_type]]&amp;Table1[[#This Row],[html_modifier]]</f>
        <v/>
      </c>
      <c r="AL1423" s="22" t="str">
        <f>IFERROR(_xlfn.XLOOKUP(Table1[[#This Row],[word]],Table57[English style name],Table57[Style type]),"")</f>
        <v/>
      </c>
      <c r="AM1423" s="20"/>
      <c r="AN1423" s="11"/>
      <c r="AQ1423" s="6" t="s">
        <v>1862</v>
      </c>
      <c r="AR1423" t="s">
        <v>1863</v>
      </c>
    </row>
    <row r="1424" spans="6:44">
      <c r="F14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4" s="13" t="s">
        <v>337</v>
      </c>
      <c r="H1424" s="13" t="s">
        <v>2988</v>
      </c>
      <c r="I1424" s="12" t="str">
        <f>Table1[[#This Row],[type]]</f>
        <v>headline</v>
      </c>
      <c r="J1424" s="62" t="str">
        <f>Table1[[#This Row],[Column42]]&amp;IF(Table1[[#This Row],[Column13]]="","",Table1[[#This Row],[Column13]])&amp;IF(Table1[[#This Row],[mod]]="","",Table1[[#This Row],[mod]])</f>
        <v>headline</v>
      </c>
      <c r="K14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4" t="s">
        <v>3134</v>
      </c>
      <c r="P1424" s="6" t="s">
        <v>1867</v>
      </c>
      <c r="Q14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4" s="29"/>
      <c r="AC1424" s="25"/>
      <c r="AD1424" s="41"/>
      <c r="AE1424" s="41"/>
      <c r="AF1424" s="11"/>
      <c r="AH1424" s="1" t="str">
        <f>Table1[[#This Row],[html_tag]]&amp;Table1[[#This Row],[html_type]]&amp;Table1[[#This Row],[html_modifier]]</f>
        <v/>
      </c>
      <c r="AL1424" s="22" t="str">
        <f>IFERROR(_xlfn.XLOOKUP(Table1[[#This Row],[word]],Table57[English style name],Table57[Style type]),"")</f>
        <v/>
      </c>
      <c r="AM1424" s="20"/>
      <c r="AN1424" s="11"/>
      <c r="AQ1424" s="6" t="s">
        <v>1867</v>
      </c>
      <c r="AR1424" t="s">
        <v>1863</v>
      </c>
    </row>
    <row r="1425" spans="6:44">
      <c r="F14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5" s="13" t="s">
        <v>337</v>
      </c>
      <c r="H1425" s="13" t="s">
        <v>2988</v>
      </c>
      <c r="I1425" s="12" t="str">
        <f>Table1[[#This Row],[type]]</f>
        <v>headline</v>
      </c>
      <c r="J1425" s="62" t="str">
        <f>Table1[[#This Row],[Column42]]&amp;IF(Table1[[#This Row],[Column13]]="","",Table1[[#This Row],[Column13]])&amp;IF(Table1[[#This Row],[mod]]="","",Table1[[#This Row],[mod]])</f>
        <v>headline</v>
      </c>
      <c r="K14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5" t="s">
        <v>3134</v>
      </c>
      <c r="P1425" s="6" t="s">
        <v>1869</v>
      </c>
      <c r="Q14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5" s="29"/>
      <c r="AC1425" s="25"/>
      <c r="AD1425" s="41"/>
      <c r="AE1425" s="41"/>
      <c r="AF1425" s="11"/>
      <c r="AH1425" s="1" t="str">
        <f>Table1[[#This Row],[html_tag]]&amp;Table1[[#This Row],[html_type]]&amp;Table1[[#This Row],[html_modifier]]</f>
        <v/>
      </c>
      <c r="AL1425" s="22" t="str">
        <f>IFERROR(_xlfn.XLOOKUP(Table1[[#This Row],[word]],Table57[English style name],Table57[Style type]),"")</f>
        <v/>
      </c>
      <c r="AM1425" s="20"/>
      <c r="AN1425" s="11"/>
      <c r="AQ1425" s="6" t="s">
        <v>1869</v>
      </c>
      <c r="AR1425" t="s">
        <v>1863</v>
      </c>
    </row>
    <row r="1426" spans="6:44">
      <c r="F14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6" s="13" t="s">
        <v>337</v>
      </c>
      <c r="H1426" s="13" t="s">
        <v>2988</v>
      </c>
      <c r="I1426" s="12" t="str">
        <f>Table1[[#This Row],[type]]</f>
        <v>headline</v>
      </c>
      <c r="J1426" s="62" t="str">
        <f>Table1[[#This Row],[Column42]]&amp;IF(Table1[[#This Row],[Column13]]="","",Table1[[#This Row],[Column13]])&amp;IF(Table1[[#This Row],[mod]]="","",Table1[[#This Row],[mod]])</f>
        <v>headline</v>
      </c>
      <c r="K14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6" t="s">
        <v>3134</v>
      </c>
      <c r="P1426" s="6" t="s">
        <v>1870</v>
      </c>
      <c r="Q14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6" s="29"/>
      <c r="AC1426" s="25"/>
      <c r="AD1426" s="41"/>
      <c r="AE1426" s="41"/>
      <c r="AF1426" s="11"/>
      <c r="AH1426" s="1" t="str">
        <f>Table1[[#This Row],[html_tag]]&amp;Table1[[#This Row],[html_type]]&amp;Table1[[#This Row],[html_modifier]]</f>
        <v/>
      </c>
      <c r="AL1426" s="22" t="str">
        <f>IFERROR(_xlfn.XLOOKUP(Table1[[#This Row],[word]],Table57[English style name],Table57[Style type]),"")</f>
        <v/>
      </c>
      <c r="AM1426" s="20"/>
      <c r="AN1426" s="11"/>
      <c r="AQ1426" s="6" t="s">
        <v>1870</v>
      </c>
      <c r="AR1426" t="s">
        <v>1863</v>
      </c>
    </row>
    <row r="1427" spans="6:44">
      <c r="F14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7" s="13" t="s">
        <v>337</v>
      </c>
      <c r="H1427" s="13" t="s">
        <v>2988</v>
      </c>
      <c r="I1427" s="12" t="str">
        <f>Table1[[#This Row],[type]]</f>
        <v>headline</v>
      </c>
      <c r="J1427" s="62" t="str">
        <f>Table1[[#This Row],[Column42]]&amp;IF(Table1[[#This Row],[Column13]]="","",Table1[[#This Row],[Column13]])&amp;IF(Table1[[#This Row],[mod]]="","",Table1[[#This Row],[mod]])</f>
        <v>headline</v>
      </c>
      <c r="K14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7" t="s">
        <v>3134</v>
      </c>
      <c r="P1427" s="6" t="s">
        <v>1872</v>
      </c>
      <c r="Q14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7" s="29"/>
      <c r="AC1427" s="25"/>
      <c r="AD1427" s="41"/>
      <c r="AE1427" s="41"/>
      <c r="AF1427" s="11"/>
      <c r="AH1427" s="1" t="str">
        <f>Table1[[#This Row],[html_tag]]&amp;Table1[[#This Row],[html_type]]&amp;Table1[[#This Row],[html_modifier]]</f>
        <v/>
      </c>
      <c r="AL1427" s="22" t="str">
        <f>IFERROR(_xlfn.XLOOKUP(Table1[[#This Row],[word]],Table57[English style name],Table57[Style type]),"")</f>
        <v/>
      </c>
      <c r="AM1427" s="20"/>
      <c r="AN1427" s="11"/>
      <c r="AQ1427" s="6" t="s">
        <v>1872</v>
      </c>
      <c r="AR1427" t="s">
        <v>1863</v>
      </c>
    </row>
    <row r="1428" spans="6:44">
      <c r="F14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8" s="13" t="s">
        <v>337</v>
      </c>
      <c r="H1428" s="13" t="s">
        <v>2988</v>
      </c>
      <c r="I1428" s="12" t="str">
        <f>Table1[[#This Row],[type]]</f>
        <v>headline</v>
      </c>
      <c r="J1428" s="62" t="str">
        <f>Table1[[#This Row],[Column42]]&amp;IF(Table1[[#This Row],[Column13]]="","",Table1[[#This Row],[Column13]])&amp;IF(Table1[[#This Row],[mod]]="","",Table1[[#This Row],[mod]])</f>
        <v>headline</v>
      </c>
      <c r="K14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8" t="s">
        <v>3134</v>
      </c>
      <c r="P1428" s="6" t="s">
        <v>1874</v>
      </c>
      <c r="Q14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8" s="29"/>
      <c r="AC1428" s="25"/>
      <c r="AD1428" s="41"/>
      <c r="AE1428" s="41"/>
      <c r="AF1428" s="11"/>
      <c r="AH1428" s="1" t="str">
        <f>Table1[[#This Row],[html_tag]]&amp;Table1[[#This Row],[html_type]]&amp;Table1[[#This Row],[html_modifier]]</f>
        <v/>
      </c>
      <c r="AL1428" s="22" t="str">
        <f>IFERROR(_xlfn.XLOOKUP(Table1[[#This Row],[word]],Table57[English style name],Table57[Style type]),"")</f>
        <v/>
      </c>
      <c r="AM1428" s="20"/>
      <c r="AN1428" s="11"/>
      <c r="AQ1428" s="6" t="s">
        <v>1874</v>
      </c>
      <c r="AR1428" t="s">
        <v>1863</v>
      </c>
    </row>
    <row r="1429" spans="6:44">
      <c r="F14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9" s="13" t="s">
        <v>337</v>
      </c>
      <c r="H1429" s="13" t="s">
        <v>2988</v>
      </c>
      <c r="I1429" s="12" t="str">
        <f>Table1[[#This Row],[type]]</f>
        <v>headline</v>
      </c>
      <c r="J1429" s="62" t="str">
        <f>Table1[[#This Row],[Column42]]&amp;IF(Table1[[#This Row],[Column13]]="","",Table1[[#This Row],[Column13]])&amp;IF(Table1[[#This Row],[mod]]="","",Table1[[#This Row],[mod]])</f>
        <v>headline__text</v>
      </c>
      <c r="K14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29" t="s">
        <v>3134</v>
      </c>
      <c r="O1429" t="s">
        <v>403</v>
      </c>
      <c r="P1429" s="6" t="s">
        <v>1865</v>
      </c>
      <c r="Q14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9" s="29"/>
      <c r="AC1429" s="25"/>
      <c r="AD1429" s="41"/>
      <c r="AE1429" s="41"/>
      <c r="AF1429" s="11"/>
      <c r="AH1429" s="1" t="str">
        <f>Table1[[#This Row],[html_tag]]&amp;Table1[[#This Row],[html_type]]&amp;Table1[[#This Row],[html_modifier]]</f>
        <v/>
      </c>
      <c r="AL1429" s="22" t="str">
        <f>IFERROR(_xlfn.XLOOKUP(Table1[[#This Row],[word]],Table57[English style name],Table57[Style type]),"")</f>
        <v/>
      </c>
      <c r="AM1429" s="20"/>
      <c r="AN1429" s="11"/>
      <c r="AQ1429" s="6" t="s">
        <v>1865</v>
      </c>
      <c r="AR1429" t="s">
        <v>1863</v>
      </c>
    </row>
    <row r="1430" spans="6:44">
      <c r="F14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0" s="13" t="s">
        <v>337</v>
      </c>
      <c r="H1430" s="13" t="s">
        <v>2988</v>
      </c>
      <c r="I1430" s="12" t="str">
        <f>Table1[[#This Row],[type]]</f>
        <v>headline</v>
      </c>
      <c r="J1430" s="62" t="str">
        <f>Table1[[#This Row],[Column42]]&amp;IF(Table1[[#This Row],[Column13]]="","",Table1[[#This Row],[Column13]])&amp;IF(Table1[[#This Row],[mod]]="","",Table1[[#This Row],[mod]])</f>
        <v>headline__text</v>
      </c>
      <c r="K14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30" t="s">
        <v>3134</v>
      </c>
      <c r="O1430" t="s">
        <v>403</v>
      </c>
      <c r="P1430" s="6" t="s">
        <v>1866</v>
      </c>
      <c r="Q14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0" s="29"/>
      <c r="AC1430" s="25"/>
      <c r="AD1430" s="41"/>
      <c r="AE1430" s="41"/>
      <c r="AF1430" s="11"/>
      <c r="AH1430" s="1" t="str">
        <f>Table1[[#This Row],[html_tag]]&amp;Table1[[#This Row],[html_type]]&amp;Table1[[#This Row],[html_modifier]]</f>
        <v/>
      </c>
      <c r="AL1430" s="22" t="str">
        <f>IFERROR(_xlfn.XLOOKUP(Table1[[#This Row],[word]],Table57[English style name],Table57[Style type]),"")</f>
        <v/>
      </c>
      <c r="AM1430" s="20"/>
      <c r="AN1430" s="11"/>
      <c r="AQ1430" s="6" t="s">
        <v>1866</v>
      </c>
      <c r="AR1430" t="s">
        <v>1863</v>
      </c>
    </row>
    <row r="1431" spans="6:44">
      <c r="F14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1" s="13" t="s">
        <v>337</v>
      </c>
      <c r="H1431" s="13" t="s">
        <v>2988</v>
      </c>
      <c r="I1431" s="12" t="str">
        <f>Table1[[#This Row],[type]]</f>
        <v>headline</v>
      </c>
      <c r="J1431" s="62" t="str">
        <f>Table1[[#This Row],[Column42]]&amp;IF(Table1[[#This Row],[Column13]]="","",Table1[[#This Row],[Column13]])&amp;IF(Table1[[#This Row],[mod]]="","",Table1[[#This Row],[mod]])</f>
        <v>headline__text</v>
      </c>
      <c r="K14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31" t="s">
        <v>3134</v>
      </c>
      <c r="O1431" t="s">
        <v>403</v>
      </c>
      <c r="P1431" s="6" t="s">
        <v>1868</v>
      </c>
      <c r="Q14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1" s="29"/>
      <c r="AC1431" s="25"/>
      <c r="AD1431" s="41"/>
      <c r="AE1431" s="41"/>
      <c r="AF1431" s="11"/>
      <c r="AH1431" s="1" t="str">
        <f>Table1[[#This Row],[html_tag]]&amp;Table1[[#This Row],[html_type]]&amp;Table1[[#This Row],[html_modifier]]</f>
        <v/>
      </c>
      <c r="AL1431" s="22" t="str">
        <f>IFERROR(_xlfn.XLOOKUP(Table1[[#This Row],[word]],Table57[English style name],Table57[Style type]),"")</f>
        <v/>
      </c>
      <c r="AM1431" s="20"/>
      <c r="AN1431" s="11"/>
      <c r="AQ1431" s="6" t="s">
        <v>1868</v>
      </c>
      <c r="AR1431" t="s">
        <v>1863</v>
      </c>
    </row>
    <row r="1432" spans="6:44">
      <c r="F14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2" s="13" t="s">
        <v>337</v>
      </c>
      <c r="H1432" s="13" t="s">
        <v>2988</v>
      </c>
      <c r="I1432" s="12" t="str">
        <f>Table1[[#This Row],[type]]</f>
        <v>headline</v>
      </c>
      <c r="J1432" s="62" t="str">
        <f>Table1[[#This Row],[Column42]]&amp;IF(Table1[[#This Row],[Column13]]="","",Table1[[#This Row],[Column13]])&amp;IF(Table1[[#This Row],[mod]]="","",Table1[[#This Row],[mod]])</f>
        <v>headline__text</v>
      </c>
      <c r="K14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32" t="s">
        <v>3134</v>
      </c>
      <c r="O1432" t="s">
        <v>403</v>
      </c>
      <c r="P1432" s="6" t="s">
        <v>1873</v>
      </c>
      <c r="Q14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2" s="29"/>
      <c r="AC1432" s="25"/>
      <c r="AD1432" s="41"/>
      <c r="AE1432" s="41"/>
      <c r="AF1432" s="11"/>
      <c r="AH1432" s="1" t="str">
        <f>Table1[[#This Row],[html_tag]]&amp;Table1[[#This Row],[html_type]]&amp;Table1[[#This Row],[html_modifier]]</f>
        <v/>
      </c>
      <c r="AL1432" s="22" t="str">
        <f>IFERROR(_xlfn.XLOOKUP(Table1[[#This Row],[word]],Table57[English style name],Table57[Style type]),"")</f>
        <v/>
      </c>
      <c r="AM1432" s="20"/>
      <c r="AN1432" s="11"/>
      <c r="AQ1432" s="6" t="s">
        <v>1873</v>
      </c>
      <c r="AR1432" t="s">
        <v>1863</v>
      </c>
    </row>
    <row r="1433" spans="6:44">
      <c r="F14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3" s="13" t="s">
        <v>337</v>
      </c>
      <c r="H1433" s="13" t="s">
        <v>2988</v>
      </c>
      <c r="I1433" s="12" t="str">
        <f>Table1[[#This Row],[type]]</f>
        <v>headline</v>
      </c>
      <c r="J1433" s="62" t="str">
        <f>Table1[[#This Row],[Column42]]&amp;IF(Table1[[#This Row],[Column13]]="","",Table1[[#This Row],[Column13]])&amp;IF(Table1[[#This Row],[mod]]="","",Table1[[#This Row],[mod]])</f>
        <v>headline__text</v>
      </c>
      <c r="K14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33" t="s">
        <v>3134</v>
      </c>
      <c r="O1433" t="s">
        <v>403</v>
      </c>
      <c r="P1433" s="6" t="s">
        <v>1875</v>
      </c>
      <c r="Q14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3" s="29"/>
      <c r="AC1433" s="25"/>
      <c r="AD1433" s="41"/>
      <c r="AE1433" s="41"/>
      <c r="AF1433" s="11"/>
      <c r="AH1433" s="1" t="str">
        <f>Table1[[#This Row],[html_tag]]&amp;Table1[[#This Row],[html_type]]&amp;Table1[[#This Row],[html_modifier]]</f>
        <v/>
      </c>
      <c r="AL1433" s="22" t="str">
        <f>IFERROR(_xlfn.XLOOKUP(Table1[[#This Row],[word]],Table57[English style name],Table57[Style type]),"")</f>
        <v/>
      </c>
      <c r="AM1433" s="20"/>
      <c r="AN1433" s="11"/>
      <c r="AQ1433" s="6" t="s">
        <v>1875</v>
      </c>
      <c r="AR1433" t="s">
        <v>1863</v>
      </c>
    </row>
    <row r="1434" spans="6:44">
      <c r="F14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4" s="13" t="s">
        <v>337</v>
      </c>
      <c r="H1434" s="13" t="s">
        <v>2988</v>
      </c>
      <c r="I1434" s="12" t="str">
        <f>Table1[[#This Row],[type]]</f>
        <v>headline</v>
      </c>
      <c r="J1434" s="62" t="str">
        <f>Table1[[#This Row],[Column42]]&amp;IF(Table1[[#This Row],[Column13]]="","",Table1[[#This Row],[Column13]])&amp;IF(Table1[[#This Row],[mod]]="","",Table1[[#This Row],[mod]])</f>
        <v>headline__text</v>
      </c>
      <c r="K14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34" t="s">
        <v>3134</v>
      </c>
      <c r="O1434" t="s">
        <v>403</v>
      </c>
      <c r="P1434" s="6" t="s">
        <v>1864</v>
      </c>
      <c r="Q14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4" s="29"/>
      <c r="AC1434" s="25"/>
      <c r="AD1434" s="41"/>
      <c r="AE1434" s="41"/>
      <c r="AF1434" s="11"/>
      <c r="AH1434" s="1" t="str">
        <f>Table1[[#This Row],[html_tag]]&amp;Table1[[#This Row],[html_type]]&amp;Table1[[#This Row],[html_modifier]]</f>
        <v/>
      </c>
      <c r="AL1434" s="22" t="str">
        <f>IFERROR(_xlfn.XLOOKUP(Table1[[#This Row],[word]],Table57[English style name],Table57[Style type]),"")</f>
        <v/>
      </c>
      <c r="AM1434" s="20"/>
      <c r="AN1434" s="11"/>
      <c r="AQ1434" s="6" t="s">
        <v>1864</v>
      </c>
      <c r="AR1434" t="s">
        <v>1863</v>
      </c>
    </row>
    <row r="1435" spans="6:44">
      <c r="F14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5" s="13" t="s">
        <v>337</v>
      </c>
      <c r="H1435" s="13" t="s">
        <v>2988</v>
      </c>
      <c r="I1435" s="12" t="str">
        <f>Table1[[#This Row],[type]]</f>
        <v>headline</v>
      </c>
      <c r="J1435" s="62" t="str">
        <f>Table1[[#This Row],[Column42]]&amp;IF(Table1[[#This Row],[Column13]]="","",Table1[[#This Row],[Column13]])&amp;IF(Table1[[#This Row],[mod]]="","",Table1[[#This Row],[mod]])</f>
        <v>headline--container</v>
      </c>
      <c r="K14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35" t="s">
        <v>3134</v>
      </c>
      <c r="P1435" s="6" t="s">
        <v>1871</v>
      </c>
      <c r="Q14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435" t="s">
        <v>3445</v>
      </c>
      <c r="AB1435" s="29"/>
      <c r="AC1435" s="25"/>
      <c r="AD1435" s="41"/>
      <c r="AE1435" s="41"/>
      <c r="AF1435" s="11"/>
      <c r="AH1435" s="1" t="str">
        <f>Table1[[#This Row],[html_tag]]&amp;Table1[[#This Row],[html_type]]&amp;Table1[[#This Row],[html_modifier]]</f>
        <v/>
      </c>
      <c r="AL1435" s="22" t="str">
        <f>IFERROR(_xlfn.XLOOKUP(Table1[[#This Row],[word]],Table57[English style name],Table57[Style type]),"")</f>
        <v/>
      </c>
      <c r="AM1435" s="20"/>
      <c r="AN1435" s="11"/>
      <c r="AQ1435" s="6" t="s">
        <v>1871</v>
      </c>
      <c r="AR1435" t="s">
        <v>1863</v>
      </c>
    </row>
    <row r="1436" spans="6:44">
      <c r="F14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helper.scss</v>
      </c>
      <c r="G1436" s="13"/>
      <c r="H1436" s="13"/>
      <c r="I1436" s="12" t="str">
        <f>Table1[[#This Row],[type]]</f>
        <v>helper</v>
      </c>
      <c r="J1436" s="62" t="str">
        <f>Table1[[#This Row],[Column42]]&amp;IF(Table1[[#This Row],[Column13]]="","",Table1[[#This Row],[Column13]])&amp;IF(Table1[[#This Row],[mod]]="","",Table1[[#This Row],[mod]])</f>
        <v>helper__color--inverted</v>
      </c>
      <c r="K14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helper__color</v>
      </c>
      <c r="L1436" t="s">
        <v>7391</v>
      </c>
      <c r="M1436" t="s">
        <v>3083</v>
      </c>
      <c r="Q14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--inverted</v>
      </c>
      <c r="W1436" t="s">
        <v>10178</v>
      </c>
      <c r="AB1436" s="29" t="s">
        <v>3992</v>
      </c>
      <c r="AC1436" s="25"/>
      <c r="AD1436" s="41"/>
      <c r="AE1436" s="41"/>
      <c r="AF1436" s="11" t="s">
        <v>166</v>
      </c>
      <c r="AH1436" s="7" t="str">
        <f>Table1[[#This Row],[html_tag]]&amp;Table1[[#This Row],[html_type]]&amp;Table1[[#This Row],[html_modifier]]</f>
        <v/>
      </c>
      <c r="AL1436" s="23" t="str">
        <f>IFERROR(_xlfn.XLOOKUP(Table1[[#This Row],[word]],Table57[English style name],Table57[Style type]),"")</f>
        <v/>
      </c>
      <c r="AM1436" s="21"/>
      <c r="AN1436" s="11"/>
    </row>
    <row r="1437" spans="6:44">
      <c r="F14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37" s="13"/>
      <c r="H1437" s="13"/>
      <c r="I1437" s="12" t="str">
        <f>Table1[[#This Row],[type]]</f>
        <v>hero</v>
      </c>
      <c r="J1437" s="62" t="str">
        <f>Table1[[#This Row],[Column42]]&amp;IF(Table1[[#This Row],[Column13]]="","",Table1[[#This Row],[Column13]])&amp;IF(Table1[[#This Row],[mod]]="","",Table1[[#This Row],[mod]])</f>
        <v>hero</v>
      </c>
      <c r="K14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37" t="s">
        <v>3135</v>
      </c>
      <c r="Q14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7" s="29"/>
      <c r="AC1437" s="25"/>
      <c r="AD1437" s="41" t="s">
        <v>6905</v>
      </c>
      <c r="AE1437" s="41"/>
      <c r="AF1437" s="11"/>
      <c r="AH1437" s="7" t="str">
        <f>Table1[[#This Row],[html_tag]]&amp;Table1[[#This Row],[html_type]]&amp;Table1[[#This Row],[html_modifier]]</f>
        <v/>
      </c>
      <c r="AL1437" s="23" t="str">
        <f>IFERROR(_xlfn.XLOOKUP(Table1[[#This Row],[word]],Table57[English style name],Table57[Style type]),"")</f>
        <v/>
      </c>
      <c r="AM1437" s="21"/>
      <c r="AN1437" s="11"/>
    </row>
    <row r="1438" spans="6:44">
      <c r="F14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38" s="13"/>
      <c r="H1438" s="13"/>
      <c r="I1438" s="12" t="str">
        <f>Table1[[#This Row],[type]]</f>
        <v>hero</v>
      </c>
      <c r="J1438" s="62" t="str">
        <f>Table1[[#This Row],[Column42]]&amp;IF(Table1[[#This Row],[Column13]]="","",Table1[[#This Row],[Column13]])&amp;IF(Table1[[#This Row],[mod]]="","",Table1[[#This Row],[mod]])</f>
        <v>hero</v>
      </c>
      <c r="K14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38" t="s">
        <v>3135</v>
      </c>
      <c r="Q14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8" s="29"/>
      <c r="AC1438" s="25"/>
      <c r="AD1438" s="41" t="s">
        <v>6904</v>
      </c>
      <c r="AE1438" s="41"/>
      <c r="AF1438" s="11" t="s">
        <v>166</v>
      </c>
      <c r="AH1438" s="7" t="str">
        <f>Table1[[#This Row],[html_tag]]&amp;Table1[[#This Row],[html_type]]&amp;Table1[[#This Row],[html_modifier]]</f>
        <v/>
      </c>
      <c r="AL1438" s="23" t="str">
        <f>IFERROR(_xlfn.XLOOKUP(Table1[[#This Row],[word]],Table57[English style name],Table57[Style type]),"")</f>
        <v/>
      </c>
      <c r="AM1438" s="21"/>
      <c r="AN1438" s="11"/>
    </row>
    <row r="1439" spans="6:44">
      <c r="F14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39" s="13"/>
      <c r="H1439" s="13"/>
      <c r="I1439" s="12" t="str">
        <f>Table1[[#This Row],[type]]</f>
        <v>hero</v>
      </c>
      <c r="J1439" s="62" t="str">
        <f>Table1[[#This Row],[Column42]]&amp;IF(Table1[[#This Row],[Column13]]="","",Table1[[#This Row],[Column13]])&amp;IF(Table1[[#This Row],[mod]]="","",Table1[[#This Row],[mod]])</f>
        <v>hero</v>
      </c>
      <c r="K14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39" t="s">
        <v>3135</v>
      </c>
      <c r="Q14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9" s="29" t="s">
        <v>4309</v>
      </c>
      <c r="AC1439" s="25"/>
      <c r="AD1439" s="41" t="s">
        <v>4309</v>
      </c>
      <c r="AE1439" s="41"/>
      <c r="AF1439" s="11" t="s">
        <v>190</v>
      </c>
      <c r="AH1439" s="7" t="str">
        <f>Table1[[#This Row],[html_tag]]&amp;Table1[[#This Row],[html_type]]&amp;Table1[[#This Row],[html_modifier]]</f>
        <v/>
      </c>
      <c r="AL1439" s="23" t="str">
        <f>IFERROR(_xlfn.XLOOKUP(Table1[[#This Row],[word]],Table57[English style name],Table57[Style type]),"")</f>
        <v/>
      </c>
      <c r="AM1439" s="21"/>
      <c r="AN1439" s="11"/>
    </row>
    <row r="1440" spans="6:44">
      <c r="F14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0" s="13" t="s">
        <v>337</v>
      </c>
      <c r="H1440" s="13" t="s">
        <v>2987</v>
      </c>
      <c r="I1440" s="12" t="str">
        <f>Table1[[#This Row],[type]]</f>
        <v>hero</v>
      </c>
      <c r="J1440" s="62" t="str">
        <f>Table1[[#This Row],[Column42]]&amp;IF(Table1[[#This Row],[Column13]]="","",Table1[[#This Row],[Column13]])&amp;IF(Table1[[#This Row],[mod]]="","",Table1[[#This Row],[mod]])</f>
        <v>hero__actions</v>
      </c>
      <c r="K14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hero__actions</v>
      </c>
      <c r="L1440" t="s">
        <v>3135</v>
      </c>
      <c r="M1440" t="s">
        <v>10214</v>
      </c>
      <c r="Q14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0" s="29"/>
      <c r="AC1440" s="25"/>
      <c r="AD1440" s="41"/>
      <c r="AE1440" s="41"/>
      <c r="AF1440" s="11"/>
      <c r="AH1440" s="1" t="str">
        <f>Table1[[#This Row],[html_tag]]&amp;Table1[[#This Row],[html_type]]&amp;Table1[[#This Row],[html_modifier]]</f>
        <v/>
      </c>
      <c r="AL1440" s="22" t="str">
        <f>IFERROR(_xlfn.XLOOKUP(Table1[[#This Row],[word]],Table57[English style name],Table57[Style type]),"")</f>
        <v/>
      </c>
      <c r="AM1440" s="20"/>
      <c r="AN1440" s="11"/>
      <c r="AQ1440" s="6" t="s">
        <v>1876</v>
      </c>
      <c r="AR1440" t="s">
        <v>1877</v>
      </c>
    </row>
    <row r="1441" spans="6:44">
      <c r="F14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41" s="13"/>
      <c r="H1441" s="13"/>
      <c r="I1441" s="12" t="str">
        <f>Table1[[#This Row],[type]]</f>
        <v>hero</v>
      </c>
      <c r="J1441" s="62" t="str">
        <f>Table1[[#This Row],[Column42]]&amp;IF(Table1[[#This Row],[Column13]]="","",Table1[[#This Row],[Column13]])&amp;IF(Table1[[#This Row],[mod]]="","",Table1[[#This Row],[mod]])</f>
        <v>hero__body</v>
      </c>
      <c r="K14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hero__body</v>
      </c>
      <c r="L1441" t="s">
        <v>3135</v>
      </c>
      <c r="O1441" t="s">
        <v>337</v>
      </c>
      <c r="Q14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1" s="29" t="s">
        <v>4310</v>
      </c>
      <c r="AC1441" s="25"/>
      <c r="AD1441" s="41"/>
      <c r="AE1441" s="41"/>
      <c r="AF1441" s="11"/>
      <c r="AH1441" s="7" t="str">
        <f>Table1[[#This Row],[html_tag]]&amp;Table1[[#This Row],[html_type]]&amp;Table1[[#This Row],[html_modifier]]</f>
        <v/>
      </c>
      <c r="AL1441" s="23" t="str">
        <f>IFERROR(_xlfn.XLOOKUP(Table1[[#This Row],[word]],Table57[English style name],Table57[Style type]),"")</f>
        <v/>
      </c>
      <c r="AM1441" s="21"/>
      <c r="AN1441" s="11"/>
    </row>
    <row r="1442" spans="6:44">
      <c r="F14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42" s="13"/>
      <c r="H1442" s="13"/>
      <c r="I1442" s="12" t="str">
        <f>Table1[[#This Row],[type]]</f>
        <v>hero</v>
      </c>
      <c r="J1442" s="62" t="str">
        <f>Table1[[#This Row],[Column42]]&amp;IF(Table1[[#This Row],[Column13]]="","",Table1[[#This Row],[Column13]])&amp;IF(Table1[[#This Row],[mod]]="","",Table1[[#This Row],[mod]])</f>
        <v>hero__footer</v>
      </c>
      <c r="K14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hero__footer</v>
      </c>
      <c r="L1442" t="s">
        <v>3135</v>
      </c>
      <c r="O1442" t="s">
        <v>451</v>
      </c>
      <c r="Q14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2" s="29" t="s">
        <v>4311</v>
      </c>
      <c r="AC1442" s="25"/>
      <c r="AD1442" s="41"/>
      <c r="AE1442" s="41"/>
      <c r="AF1442" s="11"/>
      <c r="AH1442" s="7" t="str">
        <f>Table1[[#This Row],[html_tag]]&amp;Table1[[#This Row],[html_type]]&amp;Table1[[#This Row],[html_modifier]]</f>
        <v/>
      </c>
      <c r="AL1442" s="23" t="str">
        <f>IFERROR(_xlfn.XLOOKUP(Table1[[#This Row],[word]],Table57[English style name],Table57[Style type]),"")</f>
        <v/>
      </c>
      <c r="AM1442" s="21"/>
      <c r="AN1442" s="11"/>
    </row>
    <row r="1443" spans="6:44">
      <c r="F14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43" s="13"/>
      <c r="H1443" s="13"/>
      <c r="I1443" s="12" t="str">
        <f>Table1[[#This Row],[type]]</f>
        <v>hero</v>
      </c>
      <c r="J1443" s="62" t="str">
        <f>Table1[[#This Row],[Column42]]&amp;IF(Table1[[#This Row],[Column13]]="","",Table1[[#This Row],[Column13]])&amp;IF(Table1[[#This Row],[mod]]="","",Table1[[#This Row],[mod]])</f>
        <v>hero__header</v>
      </c>
      <c r="K14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hero__header</v>
      </c>
      <c r="L1443" t="s">
        <v>3135</v>
      </c>
      <c r="O1443" t="s">
        <v>465</v>
      </c>
      <c r="Q14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3" s="29" t="s">
        <v>4312</v>
      </c>
      <c r="AC1443" s="25"/>
      <c r="AD1443" s="41"/>
      <c r="AE1443" s="41"/>
      <c r="AF1443" s="11"/>
      <c r="AH1443" s="7" t="str">
        <f>Table1[[#This Row],[html_tag]]&amp;Table1[[#This Row],[html_type]]&amp;Table1[[#This Row],[html_modifier]]</f>
        <v/>
      </c>
      <c r="AL1443" s="23" t="str">
        <f>IFERROR(_xlfn.XLOOKUP(Table1[[#This Row],[word]],Table57[English style name],Table57[Style type]),"")</f>
        <v/>
      </c>
      <c r="AM1443" s="21"/>
      <c r="AN1443" s="11"/>
    </row>
    <row r="1444" spans="6:44">
      <c r="F14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4" s="13" t="s">
        <v>337</v>
      </c>
      <c r="H1444" s="13" t="s">
        <v>2987</v>
      </c>
      <c r="I1444" s="12" t="str">
        <f>Table1[[#This Row],[type]]</f>
        <v>hero</v>
      </c>
      <c r="J1444" s="62" t="str">
        <f>Table1[[#This Row],[Column42]]&amp;IF(Table1[[#This Row],[Column13]]="","",Table1[[#This Row],[Column13]])&amp;IF(Table1[[#This Row],[mod]]="","",Table1[[#This Row],[mod]])</f>
        <v>hero__media</v>
      </c>
      <c r="K14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hero__media</v>
      </c>
      <c r="L1444" t="s">
        <v>3135</v>
      </c>
      <c r="M1444" t="s">
        <v>388</v>
      </c>
      <c r="Q14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4" s="29" t="s">
        <v>4313</v>
      </c>
      <c r="AC1444" s="25"/>
      <c r="AD1444" s="41"/>
      <c r="AE1444" s="41"/>
      <c r="AF1444" s="11"/>
      <c r="AH1444" s="1" t="str">
        <f>Table1[[#This Row],[html_tag]]&amp;Table1[[#This Row],[html_type]]&amp;Table1[[#This Row],[html_modifier]]</f>
        <v/>
      </c>
      <c r="AL1444" s="22" t="str">
        <f>IFERROR(_xlfn.XLOOKUP(Table1[[#This Row],[word]],Table57[English style name],Table57[Style type]),"")</f>
        <v/>
      </c>
      <c r="AM1444" s="20"/>
      <c r="AN1444" s="11"/>
      <c r="AQ1444" s="6" t="s">
        <v>1881</v>
      </c>
      <c r="AR1444" t="s">
        <v>1877</v>
      </c>
    </row>
    <row r="1445" spans="6:44">
      <c r="F14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5" s="13" t="s">
        <v>337</v>
      </c>
      <c r="H1445" s="13" t="s">
        <v>2987</v>
      </c>
      <c r="I1445" s="12" t="str">
        <f>Table1[[#This Row],[type]]</f>
        <v>hero</v>
      </c>
      <c r="J1445" s="62" t="str">
        <f>Table1[[#This Row],[Column42]]&amp;IF(Table1[[#This Row],[Column13]]="","",Table1[[#This Row],[Column13]])&amp;IF(Table1[[#This Row],[mod]]="","",Table1[[#This Row],[mod]])</f>
        <v>hero__media</v>
      </c>
      <c r="K14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hero__media</v>
      </c>
      <c r="L1445" t="s">
        <v>3135</v>
      </c>
      <c r="M1445" t="s">
        <v>388</v>
      </c>
      <c r="Q14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5" s="29"/>
      <c r="AC1445" s="25"/>
      <c r="AD1445" s="41"/>
      <c r="AE1445" s="41"/>
      <c r="AF1445" s="11"/>
      <c r="AH1445" s="1" t="str">
        <f>Table1[[#This Row],[html_tag]]&amp;Table1[[#This Row],[html_type]]&amp;Table1[[#This Row],[html_modifier]]</f>
        <v/>
      </c>
      <c r="AL1445" s="22" t="str">
        <f>IFERROR(_xlfn.XLOOKUP(Table1[[#This Row],[word]],Table57[English style name],Table57[Style type]),"")</f>
        <v/>
      </c>
      <c r="AM1445" s="20"/>
      <c r="AN1445" s="11"/>
      <c r="AQ1445" s="6" t="s">
        <v>1882</v>
      </c>
      <c r="AR1445" t="s">
        <v>1877</v>
      </c>
    </row>
    <row r="1446" spans="6:44">
      <c r="F14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6" s="13" t="s">
        <v>337</v>
      </c>
      <c r="H1446" s="13" t="s">
        <v>2987</v>
      </c>
      <c r="I1446" s="12" t="str">
        <f>Table1[[#This Row],[type]]</f>
        <v>hero</v>
      </c>
      <c r="J1446" s="62" t="str">
        <f>Table1[[#This Row],[Column42]]&amp;IF(Table1[[#This Row],[Column13]]="","",Table1[[#This Row],[Column13]])&amp;IF(Table1[[#This Row],[mod]]="","",Table1[[#This Row],[mod]])</f>
        <v>hero__text</v>
      </c>
      <c r="K14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hero__text</v>
      </c>
      <c r="L1446" t="s">
        <v>3135</v>
      </c>
      <c r="O1446" t="s">
        <v>403</v>
      </c>
      <c r="Q14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6" s="29"/>
      <c r="AC1446" s="25"/>
      <c r="AD1446" s="41"/>
      <c r="AE1446" s="41"/>
      <c r="AF1446" s="11"/>
      <c r="AH1446" s="1" t="str">
        <f>Table1[[#This Row],[html_tag]]&amp;Table1[[#This Row],[html_type]]&amp;Table1[[#This Row],[html_modifier]]</f>
        <v/>
      </c>
      <c r="AL1446" s="22" t="str">
        <f>IFERROR(_xlfn.XLOOKUP(Table1[[#This Row],[word]],Table57[English style name],Table57[Style type]),"")</f>
        <v/>
      </c>
      <c r="AM1446" s="20"/>
      <c r="AN1446" s="11"/>
      <c r="AQ1446" s="6" t="s">
        <v>1883</v>
      </c>
      <c r="AR1446" t="s">
        <v>1877</v>
      </c>
    </row>
    <row r="1447" spans="6:44">
      <c r="F14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7" s="13" t="s">
        <v>337</v>
      </c>
      <c r="H1447" s="13" t="s">
        <v>2987</v>
      </c>
      <c r="I1447" s="12" t="str">
        <f>Table1[[#This Row],[type]]</f>
        <v>hero</v>
      </c>
      <c r="J1447" s="62" t="str">
        <f>Table1[[#This Row],[Column42]]&amp;IF(Table1[[#This Row],[Column13]]="","",Table1[[#This Row],[Column13]])&amp;IF(Table1[[#This Row],[mod]]="","",Table1[[#This Row],[mod]])</f>
        <v>hero--color</v>
      </c>
      <c r="K14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47" t="s">
        <v>3135</v>
      </c>
      <c r="Q14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--color</v>
      </c>
      <c r="S1447" t="s">
        <v>3083</v>
      </c>
      <c r="U14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7" s="29"/>
      <c r="AC1447" s="25"/>
      <c r="AD1447" s="41"/>
      <c r="AE1447" s="41"/>
      <c r="AF1447" s="11"/>
      <c r="AH1447" s="1" t="str">
        <f>Table1[[#This Row],[html_tag]]&amp;Table1[[#This Row],[html_type]]&amp;Table1[[#This Row],[html_modifier]]</f>
        <v/>
      </c>
      <c r="AL1447" s="22" t="str">
        <f>IFERROR(_xlfn.XLOOKUP(Table1[[#This Row],[word]],Table57[English style name],Table57[Style type]),"")</f>
        <v/>
      </c>
      <c r="AM1447" s="20"/>
      <c r="AN1447" s="11"/>
      <c r="AQ1447" s="6" t="s">
        <v>1878</v>
      </c>
      <c r="AR1447" t="s">
        <v>1877</v>
      </c>
    </row>
    <row r="1448" spans="6:44">
      <c r="F14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8" s="13" t="s">
        <v>337</v>
      </c>
      <c r="H1448" s="13" t="s">
        <v>2987</v>
      </c>
      <c r="I1448" s="12" t="str">
        <f>Table1[[#This Row],[type]]</f>
        <v>hero</v>
      </c>
      <c r="J1448" s="62" t="str">
        <f>Table1[[#This Row],[Column42]]&amp;IF(Table1[[#This Row],[Column13]]="","",Table1[[#This Row],[Column13]])&amp;IF(Table1[[#This Row],[mod]]="","",Table1[[#This Row],[mod]])</f>
        <v>hero--height</v>
      </c>
      <c r="K14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48" t="s">
        <v>3135</v>
      </c>
      <c r="Q14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S1448" t="s">
        <v>10213</v>
      </c>
      <c r="U14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8" s="29"/>
      <c r="AC1448" s="25"/>
      <c r="AD1448" s="41"/>
      <c r="AE1448" s="41"/>
      <c r="AF1448" s="11"/>
      <c r="AH1448" s="1" t="str">
        <f>Table1[[#This Row],[html_tag]]&amp;Table1[[#This Row],[html_type]]&amp;Table1[[#This Row],[html_modifier]]</f>
        <v/>
      </c>
      <c r="AL1448" s="22" t="str">
        <f>IFERROR(_xlfn.XLOOKUP(Table1[[#This Row],[word]],Table57[English style name],Table57[Style type]),"")</f>
        <v/>
      </c>
      <c r="AM1448" s="20"/>
      <c r="AN1448" s="11"/>
      <c r="AQ1448" s="6" t="s">
        <v>1879</v>
      </c>
      <c r="AR1448" t="s">
        <v>1877</v>
      </c>
    </row>
    <row r="1449" spans="6:44">
      <c r="F14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49" s="13"/>
      <c r="H1449" s="13"/>
      <c r="I1449" s="12" t="str">
        <f>Table1[[#This Row],[type]]</f>
        <v>hero</v>
      </c>
      <c r="J1449" s="62" t="str">
        <f>Table1[[#This Row],[Column42]]&amp;IF(Table1[[#This Row],[Column13]]="","",Table1[[#This Row],[Column13]])&amp;IF(Table1[[#This Row],[mod]]="","",Table1[[#This Row],[mod]])</f>
        <v>hero--height--full</v>
      </c>
      <c r="K14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49" t="s">
        <v>3135</v>
      </c>
      <c r="Q14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S1449" t="s">
        <v>10213</v>
      </c>
      <c r="U14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--full</v>
      </c>
      <c r="AA1449" t="s">
        <v>3444</v>
      </c>
      <c r="AB1449" s="48" t="s">
        <v>4314</v>
      </c>
      <c r="AC1449" s="25"/>
      <c r="AD1449" s="41"/>
      <c r="AE1449" s="41"/>
      <c r="AF1449" s="11"/>
      <c r="AH1449" s="7" t="str">
        <f>Table1[[#This Row],[html_tag]]&amp;Table1[[#This Row],[html_type]]&amp;Table1[[#This Row],[html_modifier]]</f>
        <v/>
      </c>
      <c r="AL1449" s="23" t="str">
        <f>IFERROR(_xlfn.XLOOKUP(Table1[[#This Row],[word]],Table57[English style name],Table57[Style type]),"")</f>
        <v/>
      </c>
      <c r="AM1449" s="21"/>
      <c r="AN1449" s="11"/>
    </row>
    <row r="1450" spans="6:44">
      <c r="F14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50" s="13"/>
      <c r="H1450" s="13"/>
      <c r="I1450" s="12" t="str">
        <f>Table1[[#This Row],[type]]</f>
        <v>hero</v>
      </c>
      <c r="J1450" s="62" t="str">
        <f>Table1[[#This Row],[Column42]]&amp;IF(Table1[[#This Row],[Column13]]="","",Table1[[#This Row],[Column13]])&amp;IF(Table1[[#This Row],[mod]]="","",Table1[[#This Row],[mod]])</f>
        <v>hero--height--half</v>
      </c>
      <c r="K14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50" t="s">
        <v>3135</v>
      </c>
      <c r="Q14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S1450" t="s">
        <v>10213</v>
      </c>
      <c r="U14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--half</v>
      </c>
      <c r="AA1450" t="s">
        <v>4565</v>
      </c>
      <c r="AB1450" s="29" t="s">
        <v>4316</v>
      </c>
      <c r="AC1450" s="25"/>
      <c r="AD1450" s="41"/>
      <c r="AE1450" s="41"/>
      <c r="AF1450" s="11"/>
      <c r="AH1450" s="7" t="str">
        <f>Table1[[#This Row],[html_tag]]&amp;Table1[[#This Row],[html_type]]&amp;Table1[[#This Row],[html_modifier]]</f>
        <v/>
      </c>
      <c r="AL1450" s="23" t="str">
        <f>IFERROR(_xlfn.XLOOKUP(Table1[[#This Row],[word]],Table57[English style name],Table57[Style type]),"")</f>
        <v/>
      </c>
      <c r="AM1450" s="21"/>
      <c r="AN1450" s="11"/>
    </row>
    <row r="1451" spans="6:44">
      <c r="F14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51" s="13"/>
      <c r="H1451" s="13"/>
      <c r="I1451" s="12" t="str">
        <f>Table1[[#This Row],[type]]</f>
        <v>hero</v>
      </c>
      <c r="J1451" s="62" t="str">
        <f>Table1[[#This Row],[Column42]]&amp;IF(Table1[[#This Row],[Column13]]="","",Table1[[#This Row],[Column13]])&amp;IF(Table1[[#This Row],[mod]]="","",Table1[[#This Row],[mod]])</f>
        <v>hero--height--nav--full</v>
      </c>
      <c r="K14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51" t="s">
        <v>3135</v>
      </c>
      <c r="Q14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--height--nav</v>
      </c>
      <c r="S1451" t="s">
        <v>10213</v>
      </c>
      <c r="T1451" t="s">
        <v>485</v>
      </c>
      <c r="U14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--full</v>
      </c>
      <c r="AA1451" t="s">
        <v>3444</v>
      </c>
      <c r="AB1451" s="29" t="s">
        <v>4315</v>
      </c>
      <c r="AC1451" s="25"/>
      <c r="AD1451" s="41"/>
      <c r="AE1451" s="41"/>
      <c r="AF1451" s="11"/>
      <c r="AH1451" s="7" t="str">
        <f>Table1[[#This Row],[html_tag]]&amp;Table1[[#This Row],[html_type]]&amp;Table1[[#This Row],[html_modifier]]</f>
        <v/>
      </c>
      <c r="AL1451" s="23" t="str">
        <f>IFERROR(_xlfn.XLOOKUP(Table1[[#This Row],[word]],Table57[English style name],Table57[Style type]),"")</f>
        <v/>
      </c>
      <c r="AM1451" s="21"/>
      <c r="AN1451" s="11"/>
    </row>
    <row r="1452" spans="6:44">
      <c r="F14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52" s="13" t="s">
        <v>337</v>
      </c>
      <c r="H1452" s="13" t="s">
        <v>2987</v>
      </c>
      <c r="I1452" s="12" t="str">
        <f>Table1[[#This Row],[type]]</f>
        <v>hero</v>
      </c>
      <c r="J1452" s="62" t="str">
        <f>Table1[[#This Row],[Column42]]&amp;IF(Table1[[#This Row],[Column13]]="","",Table1[[#This Row],[Column13]])&amp;IF(Table1[[#This Row],[mod]]="","",Table1[[#This Row],[mod]])</f>
        <v>hero--size</v>
      </c>
      <c r="K14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52" t="s">
        <v>3135</v>
      </c>
      <c r="Q14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S1452" t="s">
        <v>3008</v>
      </c>
      <c r="U14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2" s="29"/>
      <c r="AC1452" s="25"/>
      <c r="AD1452" s="41"/>
      <c r="AE1452" s="41"/>
      <c r="AF1452" s="11"/>
      <c r="AH1452" s="1" t="str">
        <f>Table1[[#This Row],[html_tag]]&amp;Table1[[#This Row],[html_type]]&amp;Table1[[#This Row],[html_modifier]]</f>
        <v/>
      </c>
      <c r="AL1452" s="22" t="str">
        <f>IFERROR(_xlfn.XLOOKUP(Table1[[#This Row],[word]],Table57[English style name],Table57[Style type]),"")</f>
        <v/>
      </c>
      <c r="AM1452" s="20"/>
      <c r="AN1452" s="11"/>
      <c r="AQ1452" s="6" t="s">
        <v>1880</v>
      </c>
      <c r="AR1452" t="s">
        <v>1877</v>
      </c>
    </row>
    <row r="1453" spans="6:44">
      <c r="F14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53" s="13"/>
      <c r="H1453" s="13"/>
      <c r="I1453" s="12" t="str">
        <f>Table1[[#This Row],[type]]</f>
        <v>hero</v>
      </c>
      <c r="J1453" s="62" t="str">
        <f>Table1[[#This Row],[Column42]]&amp;IF(Table1[[#This Row],[Column13]]="","",Table1[[#This Row],[Column13]])&amp;IF(Table1[[#This Row],[mod]]="","",Table1[[#This Row],[mod]])</f>
        <v>hero--sm</v>
      </c>
      <c r="K14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53" t="s">
        <v>3135</v>
      </c>
      <c r="Q14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53" t="s">
        <v>3116</v>
      </c>
      <c r="AB1453" s="29" t="s">
        <v>4317</v>
      </c>
      <c r="AC1453" s="25"/>
      <c r="AD1453" s="41"/>
      <c r="AE1453" s="41"/>
      <c r="AF1453" s="11"/>
      <c r="AH1453" s="7" t="str">
        <f>Table1[[#This Row],[html_tag]]&amp;Table1[[#This Row],[html_type]]&amp;Table1[[#This Row],[html_modifier]]</f>
        <v/>
      </c>
      <c r="AL1453" s="23" t="str">
        <f>IFERROR(_xlfn.XLOOKUP(Table1[[#This Row],[word]],Table57[English style name],Table57[Style type]),"")</f>
        <v/>
      </c>
      <c r="AM1453" s="21"/>
      <c r="AN1453" s="11"/>
    </row>
    <row r="1454" spans="6:44">
      <c r="F14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454" s="13" t="s">
        <v>461</v>
      </c>
      <c r="H1454" s="13" t="s">
        <v>2991</v>
      </c>
      <c r="I1454" s="12" t="str">
        <f>Table1[[#This Row],[type]]</f>
        <v>hide</v>
      </c>
      <c r="J1454" s="62" t="str">
        <f>Table1[[#This Row],[Column42]]&amp;IF(Table1[[#This Row],[Column13]]="","",Table1[[#This Row],[Column13]])&amp;IF(Table1[[#This Row],[mod]]="","",Table1[[#This Row],[mod]])</f>
        <v>hide</v>
      </c>
      <c r="K14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hide</v>
      </c>
      <c r="L1454" t="s">
        <v>3136</v>
      </c>
      <c r="P1454" s="6" t="s">
        <v>2362</v>
      </c>
      <c r="Q14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4" s="29"/>
      <c r="AC1454" s="25"/>
      <c r="AD1454" s="41"/>
      <c r="AE1454" s="41"/>
      <c r="AF1454" s="11"/>
      <c r="AH1454" s="1" t="str">
        <f>Table1[[#This Row],[html_tag]]&amp;Table1[[#This Row],[html_type]]&amp;Table1[[#This Row],[html_modifier]]</f>
        <v/>
      </c>
      <c r="AL1454" s="22" t="str">
        <f>IFERROR(_xlfn.XLOOKUP(Table1[[#This Row],[word]],Table57[English style name],Table57[Style type]),"")</f>
        <v/>
      </c>
      <c r="AM1454" s="20"/>
      <c r="AN1454" s="11"/>
      <c r="AQ1454" s="6" t="s">
        <v>2362</v>
      </c>
      <c r="AR1454" t="s">
        <v>2363</v>
      </c>
    </row>
    <row r="1455" spans="6:44">
      <c r="F14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455" s="13" t="s">
        <v>461</v>
      </c>
      <c r="H1455" s="13" t="s">
        <v>2991</v>
      </c>
      <c r="I1455" s="12" t="str">
        <f>Table1[[#This Row],[type]]</f>
        <v>hide</v>
      </c>
      <c r="J1455" s="62" t="str">
        <f>Table1[[#This Row],[Column42]]&amp;IF(Table1[[#This Row],[Column13]]="","",Table1[[#This Row],[Column13]])&amp;IF(Table1[[#This Row],[mod]]="","",Table1[[#This Row],[mod]])</f>
        <v>hide</v>
      </c>
      <c r="K14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hide</v>
      </c>
      <c r="L1455" t="s">
        <v>3136</v>
      </c>
      <c r="P1455" s="6" t="s">
        <v>2364</v>
      </c>
      <c r="Q14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5" s="29"/>
      <c r="AC1455" s="25"/>
      <c r="AD1455" s="41"/>
      <c r="AE1455" s="41"/>
      <c r="AF1455" s="11"/>
      <c r="AH1455" s="1" t="str">
        <f>Table1[[#This Row],[html_tag]]&amp;Table1[[#This Row],[html_type]]&amp;Table1[[#This Row],[html_modifier]]</f>
        <v/>
      </c>
      <c r="AL1455" s="22" t="str">
        <f>IFERROR(_xlfn.XLOOKUP(Table1[[#This Row],[word]],Table57[English style name],Table57[Style type]),"")</f>
        <v/>
      </c>
      <c r="AM1455" s="20"/>
      <c r="AN1455" s="11"/>
      <c r="AQ1455" s="6" t="s">
        <v>2364</v>
      </c>
      <c r="AR1455" t="s">
        <v>2363</v>
      </c>
    </row>
    <row r="1456" spans="6:44">
      <c r="F14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utilities/icon.scss</v>
      </c>
      <c r="G1456" s="13" t="s">
        <v>2994</v>
      </c>
      <c r="H1456" s="13"/>
      <c r="I1456" s="12" t="str">
        <f>Table1[[#This Row],[type]]</f>
        <v>icon</v>
      </c>
      <c r="J1456" s="62" t="str">
        <f>Table1[[#This Row],[Column42]]&amp;IF(Table1[[#This Row],[Column13]]="","",Table1[[#This Row],[Column13]])&amp;IF(Table1[[#This Row],[mod]]="","",Table1[[#This Row],[mod]])</f>
        <v>icon</v>
      </c>
      <c r="K14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</v>
      </c>
      <c r="L1456" t="s">
        <v>3101</v>
      </c>
      <c r="P1456" s="6" t="s">
        <v>1890</v>
      </c>
      <c r="Q14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6" s="29"/>
      <c r="AC1456" s="25"/>
      <c r="AD1456" s="41"/>
      <c r="AE1456" s="41"/>
      <c r="AF1456" s="11"/>
      <c r="AH1456" s="1" t="str">
        <f>Table1[[#This Row],[html_tag]]&amp;Table1[[#This Row],[html_type]]&amp;Table1[[#This Row],[html_modifier]]</f>
        <v/>
      </c>
      <c r="AL1456" s="22" t="str">
        <f>IFERROR(_xlfn.XLOOKUP(Table1[[#This Row],[word]],Table57[English style name],Table57[Style type]),"")</f>
        <v/>
      </c>
      <c r="AM1456" s="20"/>
      <c r="AN1456" s="11"/>
      <c r="AQ1456" s="6" t="s">
        <v>1890</v>
      </c>
      <c r="AR1456" t="s">
        <v>1891</v>
      </c>
    </row>
    <row r="1457" spans="6:44">
      <c r="F14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457" s="13" t="s">
        <v>337</v>
      </c>
      <c r="H1457" s="13" t="s">
        <v>2987</v>
      </c>
      <c r="I1457" s="12" t="str">
        <f>Table1[[#This Row],[type]]</f>
        <v>icon_bar</v>
      </c>
      <c r="J1457" s="62" t="str">
        <f>Table1[[#This Row],[Column42]]&amp;IF(Table1[[#This Row],[Column13]]="","",Table1[[#This Row],[Column13]])&amp;IF(Table1[[#This Row],[mod]]="","",Table1[[#This Row],[mod]])</f>
        <v>icon_bar</v>
      </c>
      <c r="K14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</v>
      </c>
      <c r="L1457" t="s">
        <v>1884</v>
      </c>
      <c r="P1457" s="6" t="s">
        <v>1884</v>
      </c>
      <c r="Q14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7" s="29"/>
      <c r="AC1457" s="25"/>
      <c r="AD1457" s="41"/>
      <c r="AE1457" s="41"/>
      <c r="AF1457" s="11"/>
      <c r="AH1457" s="1" t="str">
        <f>Table1[[#This Row],[html_tag]]&amp;Table1[[#This Row],[html_type]]&amp;Table1[[#This Row],[html_modifier]]</f>
        <v/>
      </c>
      <c r="AL1457" s="22" t="str">
        <f>IFERROR(_xlfn.XLOOKUP(Table1[[#This Row],[word]],Table57[English style name],Table57[Style type]),"")</f>
        <v/>
      </c>
      <c r="AM1457" s="20"/>
      <c r="AN1457" s="11"/>
      <c r="AQ1457" s="6" t="s">
        <v>1884</v>
      </c>
      <c r="AR1457" t="s">
        <v>1885</v>
      </c>
    </row>
    <row r="1458" spans="6:44">
      <c r="F14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458" s="13" t="s">
        <v>337</v>
      </c>
      <c r="H1458" s="13" t="s">
        <v>2987</v>
      </c>
      <c r="I1458" s="12" t="str">
        <f>Table1[[#This Row],[type]]</f>
        <v>icon_bar</v>
      </c>
      <c r="J1458" s="62" t="str">
        <f>Table1[[#This Row],[Column42]]&amp;IF(Table1[[#This Row],[Column13]]="","",Table1[[#This Row],[Column13]])&amp;IF(Table1[[#This Row],[mod]]="","",Table1[[#This Row],[mod]])</f>
        <v>icon_bar__item</v>
      </c>
      <c r="K14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icon_bar__item</v>
      </c>
      <c r="L1458" t="s">
        <v>1884</v>
      </c>
      <c r="M1458" t="s">
        <v>3168</v>
      </c>
      <c r="P1458" s="6" t="s">
        <v>1887</v>
      </c>
      <c r="Q14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8" s="29"/>
      <c r="AC1458" s="25"/>
      <c r="AD1458" s="41"/>
      <c r="AE1458" s="41"/>
      <c r="AF1458" s="11"/>
      <c r="AH1458" s="1" t="str">
        <f>Table1[[#This Row],[html_tag]]&amp;Table1[[#This Row],[html_type]]&amp;Table1[[#This Row],[html_modifier]]</f>
        <v/>
      </c>
      <c r="AL1458" s="22" t="str">
        <f>IFERROR(_xlfn.XLOOKUP(Table1[[#This Row],[word]],Table57[English style name],Table57[Style type]),"")</f>
        <v/>
      </c>
      <c r="AM1458" s="20"/>
      <c r="AN1458" s="11"/>
      <c r="AQ1458" s="6" t="s">
        <v>1887</v>
      </c>
      <c r="AR1458" t="s">
        <v>1885</v>
      </c>
    </row>
    <row r="1459" spans="6:44">
      <c r="F14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459" s="13" t="s">
        <v>337</v>
      </c>
      <c r="H1459" s="13" t="s">
        <v>2987</v>
      </c>
      <c r="I1459" s="12" t="str">
        <f>Table1[[#This Row],[type]]</f>
        <v>icon_bar</v>
      </c>
      <c r="J1459" s="62" t="str">
        <f>Table1[[#This Row],[Column42]]&amp;IF(Table1[[#This Row],[Column13]]="","",Table1[[#This Row],[Column13]])&amp;IF(Table1[[#This Row],[mod]]="","",Table1[[#This Row],[mod]])</f>
        <v>icon_bar__item--active</v>
      </c>
      <c r="K14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icon_bar__item</v>
      </c>
      <c r="L1459" t="s">
        <v>1884</v>
      </c>
      <c r="M1459" t="s">
        <v>3168</v>
      </c>
      <c r="P1459" s="6" t="s">
        <v>1888</v>
      </c>
      <c r="Q14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459" t="s">
        <v>350</v>
      </c>
      <c r="AB1459" s="29"/>
      <c r="AC1459" s="25"/>
      <c r="AD1459" s="41"/>
      <c r="AE1459" s="41"/>
      <c r="AF1459" s="11"/>
      <c r="AH1459" s="1" t="str">
        <f>Table1[[#This Row],[html_tag]]&amp;Table1[[#This Row],[html_type]]&amp;Table1[[#This Row],[html_modifier]]</f>
        <v>:active</v>
      </c>
      <c r="AK1459" t="s">
        <v>3015</v>
      </c>
      <c r="AL1459" s="22" t="str">
        <f>IFERROR(_xlfn.XLOOKUP(Table1[[#This Row],[word]],Table57[English style name],Table57[Style type]),"")</f>
        <v/>
      </c>
      <c r="AM1459" s="20"/>
      <c r="AN1459" s="11"/>
      <c r="AQ1459" s="6" t="s">
        <v>1888</v>
      </c>
      <c r="AR1459" t="s">
        <v>1885</v>
      </c>
    </row>
    <row r="1460" spans="6:44">
      <c r="F14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460" s="13" t="s">
        <v>337</v>
      </c>
      <c r="H1460" s="13" t="s">
        <v>2987</v>
      </c>
      <c r="I1460" s="12" t="str">
        <f>Table1[[#This Row],[type]]</f>
        <v>icon_bar</v>
      </c>
      <c r="J1460" s="62" t="str">
        <f>Table1[[#This Row],[Column42]]&amp;IF(Table1[[#This Row],[Column13]]="","",Table1[[#This Row],[Column13]])&amp;IF(Table1[[#This Row],[mod]]="","",Table1[[#This Row],[mod]])</f>
        <v>icon_bar--bar--vertical</v>
      </c>
      <c r="K14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</v>
      </c>
      <c r="L1460" t="s">
        <v>1884</v>
      </c>
      <c r="P1460" s="6" t="s">
        <v>1889</v>
      </c>
      <c r="Q14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--bar</v>
      </c>
      <c r="R1460" t="s">
        <v>3102</v>
      </c>
      <c r="U14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460" t="s">
        <v>2943</v>
      </c>
      <c r="AB1460" s="29"/>
      <c r="AC1460" s="25"/>
      <c r="AD1460" s="41"/>
      <c r="AE1460" s="41"/>
      <c r="AF1460" s="11"/>
      <c r="AH1460" s="1" t="str">
        <f>Table1[[#This Row],[html_tag]]&amp;Table1[[#This Row],[html_type]]&amp;Table1[[#This Row],[html_modifier]]</f>
        <v/>
      </c>
      <c r="AL1460" s="22" t="str">
        <f>IFERROR(_xlfn.XLOOKUP(Table1[[#This Row],[word]],Table57[English style name],Table57[Style type]),"")</f>
        <v/>
      </c>
      <c r="AM1460" s="20"/>
      <c r="AN1460" s="11"/>
      <c r="AQ1460" s="6" t="s">
        <v>1889</v>
      </c>
      <c r="AR1460" t="s">
        <v>1885</v>
      </c>
    </row>
    <row r="1461" spans="6:44">
      <c r="F14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461" s="13" t="s">
        <v>337</v>
      </c>
      <c r="H1461" s="13" t="s">
        <v>2987</v>
      </c>
      <c r="I1461" s="12" t="str">
        <f>Table1[[#This Row],[type]]</f>
        <v>icon_bar</v>
      </c>
      <c r="J1461" s="62" t="str">
        <f>Table1[[#This Row],[Column42]]&amp;IF(Table1[[#This Row],[Column13]]="","",Table1[[#This Row],[Column13]])&amp;IF(Table1[[#This Row],[mod]]="","",Table1[[#This Row],[mod]])</f>
        <v>icon_bar--horizontal</v>
      </c>
      <c r="K14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</v>
      </c>
      <c r="L1461" t="s">
        <v>1884</v>
      </c>
      <c r="P1461" s="6" t="s">
        <v>1886</v>
      </c>
      <c r="Q14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461" t="s">
        <v>3205</v>
      </c>
      <c r="AB1461" s="29"/>
      <c r="AC1461" s="25"/>
      <c r="AD1461" s="41"/>
      <c r="AE1461" s="41"/>
      <c r="AF1461" s="11"/>
      <c r="AH1461" s="1" t="str">
        <f>Table1[[#This Row],[html_tag]]&amp;Table1[[#This Row],[html_type]]&amp;Table1[[#This Row],[html_modifier]]</f>
        <v/>
      </c>
      <c r="AL1461" s="22" t="str">
        <f>IFERROR(_xlfn.XLOOKUP(Table1[[#This Row],[word]],Table57[English style name],Table57[Style type]),"")</f>
        <v/>
      </c>
      <c r="AM1461" s="20"/>
      <c r="AN1461" s="11"/>
      <c r="AQ1461" s="6" t="s">
        <v>1886</v>
      </c>
      <c r="AR1461" t="s">
        <v>1885</v>
      </c>
    </row>
    <row r="1462" spans="6:44">
      <c r="F14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2" s="13"/>
      <c r="H1462" s="13"/>
      <c r="I1462" s="12" t="str">
        <f>Table1[[#This Row],[type]]</f>
        <v>indicator</v>
      </c>
      <c r="J1462" s="62" t="str">
        <f>Table1[[#This Row],[Column42]]&amp;IF(Table1[[#This Row],[Column13]]="","",Table1[[#This Row],[Column13]])&amp;IF(Table1[[#This Row],[mod]]="","",Table1[[#This Row],[mod]])</f>
        <v>indicator</v>
      </c>
      <c r="K14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</v>
      </c>
      <c r="L1462" t="s">
        <v>6709</v>
      </c>
      <c r="Q14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2" s="29"/>
      <c r="AC1462" s="25"/>
      <c r="AD1462" s="41" t="s">
        <v>6723</v>
      </c>
      <c r="AE1462" s="41"/>
      <c r="AF1462" s="11" t="s">
        <v>270</v>
      </c>
      <c r="AH1462" s="7" t="str">
        <f>Table1[[#This Row],[html_tag]]&amp;Table1[[#This Row],[html_type]]&amp;Table1[[#This Row],[html_modifier]]</f>
        <v/>
      </c>
      <c r="AL1462" s="23" t="str">
        <f>IFERROR(_xlfn.XLOOKUP(Table1[[#This Row],[word]],Table57[English style name],Table57[Style type]),"")</f>
        <v/>
      </c>
      <c r="AM1462" s="21"/>
      <c r="AN1462" s="11"/>
    </row>
    <row r="1463" spans="6:44">
      <c r="F14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3" s="13"/>
      <c r="H1463" s="13"/>
      <c r="I1463" s="12" t="str">
        <f>Table1[[#This Row],[type]]</f>
        <v>indicator</v>
      </c>
      <c r="J1463" s="62" t="str">
        <f>Table1[[#This Row],[Column42]]&amp;IF(Table1[[#This Row],[Column13]]="","",Table1[[#This Row],[Column13]])&amp;IF(Table1[[#This Row],[mod]]="","",Table1[[#This Row],[mod]])</f>
        <v>indicator__bottom</v>
      </c>
      <c r="K14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indicator__bottom</v>
      </c>
      <c r="L1463" t="s">
        <v>6709</v>
      </c>
      <c r="N1463" t="s">
        <v>3186</v>
      </c>
      <c r="Q14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3" s="29"/>
      <c r="AC1463" s="25"/>
      <c r="AD1463" s="41" t="s">
        <v>6730</v>
      </c>
      <c r="AE1463" s="41"/>
      <c r="AF1463" s="11" t="s">
        <v>270</v>
      </c>
      <c r="AH1463" s="7" t="str">
        <f>Table1[[#This Row],[html_tag]]&amp;Table1[[#This Row],[html_type]]&amp;Table1[[#This Row],[html_modifier]]</f>
        <v/>
      </c>
      <c r="AL1463" s="23" t="str">
        <f>IFERROR(_xlfn.XLOOKUP(Table1[[#This Row],[word]],Table57[English style name],Table57[Style type]),"")</f>
        <v/>
      </c>
      <c r="AM1463" s="21"/>
      <c r="AN1463" s="11"/>
    </row>
    <row r="1464" spans="6:44">
      <c r="F14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4" s="13"/>
      <c r="H1464" s="13"/>
      <c r="I1464" s="12" t="str">
        <f>Table1[[#This Row],[type]]</f>
        <v>indicator</v>
      </c>
      <c r="J1464" s="62" t="str">
        <f>Table1[[#This Row],[Column42]]&amp;IF(Table1[[#This Row],[Column13]]="","",Table1[[#This Row],[Column13]])&amp;IF(Table1[[#This Row],[mod]]="","",Table1[[#This Row],[mod]])</f>
        <v>indicator__center</v>
      </c>
      <c r="K14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indicator__center</v>
      </c>
      <c r="L1464" t="s">
        <v>6709</v>
      </c>
      <c r="N1464" t="s">
        <v>425</v>
      </c>
      <c r="Q14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4" s="29"/>
      <c r="AC1464" s="25"/>
      <c r="AD1464" s="41" t="s">
        <v>6726</v>
      </c>
      <c r="AE1464" s="41"/>
      <c r="AF1464" s="11" t="s">
        <v>270</v>
      </c>
      <c r="AH1464" s="7" t="str">
        <f>Table1[[#This Row],[html_tag]]&amp;Table1[[#This Row],[html_type]]&amp;Table1[[#This Row],[html_modifier]]</f>
        <v/>
      </c>
      <c r="AL1464" s="23" t="str">
        <f>IFERROR(_xlfn.XLOOKUP(Table1[[#This Row],[word]],Table57[English style name],Table57[Style type]),"")</f>
        <v/>
      </c>
      <c r="AM1464" s="21"/>
      <c r="AN1464" s="11"/>
    </row>
    <row r="1465" spans="6:44">
      <c r="F14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5" s="13"/>
      <c r="H1465" s="13"/>
      <c r="I1465" s="12" t="str">
        <f>Table1[[#This Row],[type]]</f>
        <v>indicator</v>
      </c>
      <c r="J1465" s="62" t="str">
        <f>Table1[[#This Row],[Column42]]&amp;IF(Table1[[#This Row],[Column13]]="","",Table1[[#This Row],[Column13]])&amp;IF(Table1[[#This Row],[mod]]="","",Table1[[#This Row],[mod]])</f>
        <v>indicator__end</v>
      </c>
      <c r="K14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indicator__end</v>
      </c>
      <c r="L1465" t="s">
        <v>6709</v>
      </c>
      <c r="N1465" t="s">
        <v>3194</v>
      </c>
      <c r="Q14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5" s="29"/>
      <c r="AC1465" s="25"/>
      <c r="AD1465" s="41" t="s">
        <v>6727</v>
      </c>
      <c r="AE1465" s="41"/>
      <c r="AF1465" s="11" t="s">
        <v>270</v>
      </c>
      <c r="AH1465" s="7" t="str">
        <f>Table1[[#This Row],[html_tag]]&amp;Table1[[#This Row],[html_type]]&amp;Table1[[#This Row],[html_modifier]]</f>
        <v/>
      </c>
      <c r="AL1465" s="23" t="str">
        <f>IFERROR(_xlfn.XLOOKUP(Table1[[#This Row],[word]],Table57[English style name],Table57[Style type]),"")</f>
        <v/>
      </c>
      <c r="AM1465" s="21"/>
      <c r="AN1465" s="11"/>
    </row>
    <row r="1466" spans="6:44">
      <c r="F14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6" s="13"/>
      <c r="H1466" s="13"/>
      <c r="I1466" s="12" t="str">
        <f>Table1[[#This Row],[type]]</f>
        <v>indicator</v>
      </c>
      <c r="J1466" s="62" t="str">
        <f>Table1[[#This Row],[Column42]]&amp;IF(Table1[[#This Row],[Column13]]="","",Table1[[#This Row],[Column13]])&amp;IF(Table1[[#This Row],[mod]]="","",Table1[[#This Row],[mod]])</f>
        <v>indicator__item</v>
      </c>
      <c r="K14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indicator__item</v>
      </c>
      <c r="L1466" t="s">
        <v>6709</v>
      </c>
      <c r="M1466" t="s">
        <v>3168</v>
      </c>
      <c r="Q14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6" s="29"/>
      <c r="AC1466" s="25"/>
      <c r="AD1466" s="41" t="s">
        <v>6724</v>
      </c>
      <c r="AE1466" s="41"/>
      <c r="AF1466" s="11" t="s">
        <v>270</v>
      </c>
      <c r="AH1466" s="7" t="str">
        <f>Table1[[#This Row],[html_tag]]&amp;Table1[[#This Row],[html_type]]&amp;Table1[[#This Row],[html_modifier]]</f>
        <v/>
      </c>
      <c r="AL1466" s="23" t="str">
        <f>IFERROR(_xlfn.XLOOKUP(Table1[[#This Row],[word]],Table57[English style name],Table57[Style type]),"")</f>
        <v/>
      </c>
      <c r="AM1466" s="21"/>
      <c r="AN1466" s="11"/>
    </row>
    <row r="1467" spans="6:44">
      <c r="F14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7" s="13"/>
      <c r="H1467" s="13"/>
      <c r="I1467" s="12" t="str">
        <f>Table1[[#This Row],[type]]</f>
        <v>indicator</v>
      </c>
      <c r="J1467" s="62" t="str">
        <f>Table1[[#This Row],[Column42]]&amp;IF(Table1[[#This Row],[Column13]]="","",Table1[[#This Row],[Column13]])&amp;IF(Table1[[#This Row],[mod]]="","",Table1[[#This Row],[mod]])</f>
        <v>indicator__middle_right</v>
      </c>
      <c r="K14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indicator__middle_right</v>
      </c>
      <c r="L1467" t="s">
        <v>6709</v>
      </c>
      <c r="N1467" t="s">
        <v>3192</v>
      </c>
      <c r="Q14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7" s="29"/>
      <c r="AC1467" s="25"/>
      <c r="AD1467" s="41" t="s">
        <v>6729</v>
      </c>
      <c r="AE1467" s="41"/>
      <c r="AF1467" s="11" t="s">
        <v>270</v>
      </c>
      <c r="AH1467" s="7" t="str">
        <f>Table1[[#This Row],[html_tag]]&amp;Table1[[#This Row],[html_type]]&amp;Table1[[#This Row],[html_modifier]]</f>
        <v/>
      </c>
      <c r="AL1467" s="23" t="str">
        <f>IFERROR(_xlfn.XLOOKUP(Table1[[#This Row],[word]],Table57[English style name],Table57[Style type]),"")</f>
        <v/>
      </c>
      <c r="AM1467" s="21"/>
      <c r="AN1467" s="11"/>
    </row>
    <row r="1468" spans="6:44">
      <c r="F14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8" s="13"/>
      <c r="H1468" s="13"/>
      <c r="I1468" s="12" t="str">
        <f>Table1[[#This Row],[type]]</f>
        <v>indicator</v>
      </c>
      <c r="J1468" s="62" t="str">
        <f>Table1[[#This Row],[Column42]]&amp;IF(Table1[[#This Row],[Column13]]="","",Table1[[#This Row],[Column13]])&amp;IF(Table1[[#This Row],[mod]]="","",Table1[[#This Row],[mod]])</f>
        <v>indicator__start</v>
      </c>
      <c r="K14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indicator__start</v>
      </c>
      <c r="L1468" t="s">
        <v>6709</v>
      </c>
      <c r="N1468" t="s">
        <v>3193</v>
      </c>
      <c r="Q14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8" s="29"/>
      <c r="AC1468" s="25"/>
      <c r="AD1468" s="41" t="s">
        <v>6725</v>
      </c>
      <c r="AE1468" s="41"/>
      <c r="AF1468" s="11" t="s">
        <v>270</v>
      </c>
      <c r="AH1468" s="7" t="str">
        <f>Table1[[#This Row],[html_tag]]&amp;Table1[[#This Row],[html_type]]&amp;Table1[[#This Row],[html_modifier]]</f>
        <v/>
      </c>
      <c r="AL1468" s="23" t="str">
        <f>IFERROR(_xlfn.XLOOKUP(Table1[[#This Row],[word]],Table57[English style name],Table57[Style type]),"")</f>
        <v/>
      </c>
      <c r="AM1468" s="21"/>
      <c r="AN1468" s="11"/>
    </row>
    <row r="1469" spans="6:44">
      <c r="F14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9" s="13"/>
      <c r="H1469" s="13"/>
      <c r="I1469" s="12" t="str">
        <f>Table1[[#This Row],[type]]</f>
        <v>indicator</v>
      </c>
      <c r="J1469" s="62" t="str">
        <f>Table1[[#This Row],[Column42]]&amp;IF(Table1[[#This Row],[Column13]]="","",Table1[[#This Row],[Column13]])&amp;IF(Table1[[#This Row],[mod]]="","",Table1[[#This Row],[mod]])</f>
        <v>indicator__top</v>
      </c>
      <c r="K14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indicator__top</v>
      </c>
      <c r="L1469" t="s">
        <v>6709</v>
      </c>
      <c r="N1469" t="s">
        <v>3182</v>
      </c>
      <c r="Q14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9" s="29"/>
      <c r="AC1469" s="25"/>
      <c r="AD1469" s="41" t="s">
        <v>6728</v>
      </c>
      <c r="AE1469" s="41"/>
      <c r="AF1469" s="11" t="s">
        <v>270</v>
      </c>
      <c r="AH1469" s="7" t="str">
        <f>Table1[[#This Row],[html_tag]]&amp;Table1[[#This Row],[html_type]]&amp;Table1[[#This Row],[html_modifier]]</f>
        <v/>
      </c>
      <c r="AL1469" s="23" t="str">
        <f>IFERROR(_xlfn.XLOOKUP(Table1[[#This Row],[word]],Table57[English style name],Table57[Style type]),"")</f>
        <v/>
      </c>
      <c r="AM1469" s="21"/>
      <c r="AN1469" s="11"/>
    </row>
    <row r="1470" spans="6:44">
      <c r="F14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body/organisms/interface.scss</v>
      </c>
      <c r="G1470" s="13" t="s">
        <v>337</v>
      </c>
      <c r="H1470" s="13" t="s">
        <v>2988</v>
      </c>
      <c r="I1470" s="12" t="str">
        <f>Table1[[#This Row],[type]]</f>
        <v>interface</v>
      </c>
      <c r="J1470" s="62" t="str">
        <f>Table1[[#This Row],[Column42]]&amp;IF(Table1[[#This Row],[Column13]]="","",Table1[[#This Row],[Column13]])&amp;IF(Table1[[#This Row],[mod]]="","",Table1[[#This Row],[mod]])</f>
        <v>interface__header</v>
      </c>
      <c r="K14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interface__header</v>
      </c>
      <c r="L1470" t="s">
        <v>2003</v>
      </c>
      <c r="O1470" t="s">
        <v>465</v>
      </c>
      <c r="Q14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0" s="29"/>
      <c r="AC1470" s="25"/>
      <c r="AD1470" s="41"/>
      <c r="AE1470" s="41"/>
      <c r="AF1470" s="11"/>
      <c r="AH1470" s="1" t="str">
        <f>Table1[[#This Row],[html_tag]]&amp;Table1[[#This Row],[html_type]]&amp;Table1[[#This Row],[html_modifier]]</f>
        <v/>
      </c>
      <c r="AL1470" s="22" t="str">
        <f>IFERROR(_xlfn.XLOOKUP(Table1[[#This Row],[word]],Table57[English style name],Table57[Style type]),"")</f>
        <v/>
      </c>
      <c r="AM1470" s="20"/>
      <c r="AN1470" s="11"/>
      <c r="AQ1470" s="6" t="s">
        <v>2004</v>
      </c>
      <c r="AR1470" t="s">
        <v>2002</v>
      </c>
    </row>
    <row r="1471" spans="6:44">
      <c r="F14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1471" s="13" t="s">
        <v>461</v>
      </c>
      <c r="H1471" s="13" t="s">
        <v>2991</v>
      </c>
      <c r="I1471" s="13" t="s">
        <v>3009</v>
      </c>
      <c r="J1471" s="62" t="str">
        <f>Table1[[#This Row],[Column42]]&amp;IF(Table1[[#This Row],[Column13]]="","",Table1[[#This Row],[Column13]])&amp;IF(Table1[[#This Row],[mod]]="","",Table1[[#This Row],[mod]])</f>
        <v>invisible</v>
      </c>
      <c r="K14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invisible</v>
      </c>
      <c r="L1471" t="s">
        <v>2965</v>
      </c>
      <c r="Q14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1" s="29"/>
      <c r="AC1471" s="25" t="s">
        <v>5163</v>
      </c>
      <c r="AD1471" s="41"/>
      <c r="AE1471" s="41"/>
      <c r="AF1471" s="11"/>
      <c r="AH1471" s="1" t="str">
        <f>Table1[[#This Row],[html_tag]]&amp;Table1[[#This Row],[html_type]]&amp;Table1[[#This Row],[html_modifier]]</f>
        <v/>
      </c>
      <c r="AL1471" s="22" t="str">
        <f>IFERROR(_xlfn.XLOOKUP(Table1[[#This Row],[word]],Table57[English style name],Table57[Style type]),"")</f>
        <v/>
      </c>
      <c r="AM1471" s="20"/>
      <c r="AN1471" s="11"/>
      <c r="AQ1471" s="6" t="s">
        <v>2965</v>
      </c>
      <c r="AR1471" t="s">
        <v>2966</v>
      </c>
    </row>
    <row r="1472" spans="6:44">
      <c r="F14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472" s="13"/>
      <c r="H1472" s="13"/>
      <c r="I1472" s="12" t="str">
        <f>Table1[[#This Row],[type]]</f>
        <v>jumbotron</v>
      </c>
      <c r="J1472" s="62" t="str">
        <f>Table1[[#This Row],[Column42]]&amp;IF(Table1[[#This Row],[Column13]]="","",Table1[[#This Row],[Column13]])&amp;IF(Table1[[#This Row],[mod]]="","",Table1[[#This Row],[mod]])</f>
        <v>jumbotron</v>
      </c>
      <c r="K14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jumbotron</v>
      </c>
      <c r="L1472" t="s">
        <v>3620</v>
      </c>
      <c r="Q14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2" s="29"/>
      <c r="AC1472" s="25" t="s">
        <v>3618</v>
      </c>
      <c r="AD1472" s="41"/>
      <c r="AE1472" s="41"/>
      <c r="AF1472" s="11"/>
      <c r="AH1472" s="7" t="str">
        <f>Table1[[#This Row],[html_tag]]&amp;Table1[[#This Row],[html_type]]&amp;Table1[[#This Row],[html_modifier]]</f>
        <v/>
      </c>
      <c r="AL1472" s="23" t="str">
        <f>IFERROR(_xlfn.XLOOKUP(Table1[[#This Row],[word]],Table57[English style name],Table57[Style type]),"")</f>
        <v/>
      </c>
      <c r="AM1472" s="21"/>
      <c r="AN1472" s="11"/>
    </row>
    <row r="1473" spans="6:44">
      <c r="F14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473" s="13"/>
      <c r="H1473" s="13"/>
      <c r="I1473" s="12" t="str">
        <f>Table1[[#This Row],[type]]</f>
        <v>jumbotron</v>
      </c>
      <c r="J1473" s="62" t="str">
        <f>Table1[[#This Row],[Column42]]&amp;IF(Table1[[#This Row],[Column13]]="","",Table1[[#This Row],[Column13]])&amp;IF(Table1[[#This Row],[mod]]="","",Table1[[#This Row],[mod]])</f>
        <v>jumbotron--fluid</v>
      </c>
      <c r="K14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jumbotron</v>
      </c>
      <c r="L1473" t="s">
        <v>3620</v>
      </c>
      <c r="Q14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--fluid</v>
      </c>
      <c r="R1473" t="s">
        <v>3621</v>
      </c>
      <c r="U14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3" s="29"/>
      <c r="AC1473" s="25" t="s">
        <v>3619</v>
      </c>
      <c r="AD1473" s="41"/>
      <c r="AE1473" s="41"/>
      <c r="AF1473" s="11"/>
      <c r="AH1473" s="7" t="str">
        <f>Table1[[#This Row],[html_tag]]&amp;Table1[[#This Row],[html_type]]&amp;Table1[[#This Row],[html_modifier]]</f>
        <v/>
      </c>
      <c r="AL1473" s="23" t="str">
        <f>IFERROR(_xlfn.XLOOKUP(Table1[[#This Row],[word]],Table57[English style name],Table57[Style type]),"")</f>
        <v/>
      </c>
      <c r="AM1473" s="21"/>
      <c r="AN1473" s="11"/>
    </row>
    <row r="1474" spans="6:44">
      <c r="F14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4" s="13" t="s">
        <v>461</v>
      </c>
      <c r="H1474" s="13" t="s">
        <v>2991</v>
      </c>
      <c r="I1474" s="12" t="str">
        <f>Table1[[#This Row],[type]]</f>
        <v>justify</v>
      </c>
      <c r="J1474" s="62" t="str">
        <f>Table1[[#This Row],[Column42]]&amp;IF(Table1[[#This Row],[Column13]]="","",Table1[[#This Row],[Column13]])&amp;IF(Table1[[#This Row],[mod]]="","",Table1[[#This Row],[mod]])</f>
        <v>justify</v>
      </c>
      <c r="K14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</v>
      </c>
      <c r="L1474" t="s">
        <v>2005</v>
      </c>
      <c r="P1474" s="6" t="s">
        <v>2005</v>
      </c>
      <c r="Q14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4" s="29"/>
      <c r="AC1474" s="25"/>
      <c r="AD1474" s="41"/>
      <c r="AE1474" s="41"/>
      <c r="AF1474" s="11"/>
      <c r="AH1474" s="1" t="str">
        <f>Table1[[#This Row],[html_tag]]&amp;Table1[[#This Row],[html_type]]&amp;Table1[[#This Row],[html_modifier]]</f>
        <v/>
      </c>
      <c r="AL1474" s="22" t="str">
        <f>IFERROR(_xlfn.XLOOKUP(Table1[[#This Row],[word]],Table57[English style name],Table57[Style type]),"")</f>
        <v/>
      </c>
      <c r="AM1474" s="20"/>
      <c r="AN1474" s="11"/>
      <c r="AQ1474" s="6" t="s">
        <v>2005</v>
      </c>
      <c r="AR1474" t="s">
        <v>2006</v>
      </c>
    </row>
    <row r="1475" spans="6:44">
      <c r="F14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5" s="13" t="s">
        <v>461</v>
      </c>
      <c r="H1475" s="13" t="s">
        <v>2991</v>
      </c>
      <c r="I1475" s="12" t="str">
        <f>Table1[[#This Row],[type]]</f>
        <v>justify</v>
      </c>
      <c r="J1475" s="62" t="str">
        <f>Table1[[#This Row],[Column42]]&amp;IF(Table1[[#This Row],[Column13]]="","",Table1[[#This Row],[Column13]])&amp;IF(Table1[[#This Row],[mod]]="","",Table1[[#This Row],[mod]])</f>
        <v>justify__around</v>
      </c>
      <c r="K14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justify__around</v>
      </c>
      <c r="L1475" t="s">
        <v>2005</v>
      </c>
      <c r="N1475" t="s">
        <v>3196</v>
      </c>
      <c r="P1475" s="6" t="s">
        <v>2007</v>
      </c>
      <c r="Q14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5" s="29"/>
      <c r="AC1475" s="25" t="s">
        <v>5166</v>
      </c>
      <c r="AD1475" s="41"/>
      <c r="AE1475" s="41"/>
      <c r="AF1475" s="11"/>
      <c r="AH1475" s="1" t="str">
        <f>Table1[[#This Row],[html_tag]]&amp;Table1[[#This Row],[html_type]]&amp;Table1[[#This Row],[html_modifier]]</f>
        <v/>
      </c>
      <c r="AL1475" s="22" t="str">
        <f>IFERROR(_xlfn.XLOOKUP(Table1[[#This Row],[word]],Table57[English style name],Table57[Style type]),"")</f>
        <v/>
      </c>
      <c r="AM1475" s="20"/>
      <c r="AN1475" s="11"/>
      <c r="AQ1475" s="6" t="s">
        <v>2007</v>
      </c>
      <c r="AR1475" t="s">
        <v>2006</v>
      </c>
    </row>
    <row r="1476" spans="6:44">
      <c r="F14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6" s="13" t="s">
        <v>461</v>
      </c>
      <c r="H1476" s="13" t="s">
        <v>2991</v>
      </c>
      <c r="I1476" s="12" t="str">
        <f>Table1[[#This Row],[type]]</f>
        <v>justify</v>
      </c>
      <c r="J1476" s="62" t="str">
        <f>Table1[[#This Row],[Column42]]&amp;IF(Table1[[#This Row],[Column13]]="","",Table1[[#This Row],[Column13]])&amp;IF(Table1[[#This Row],[mod]]="","",Table1[[#This Row],[mod]])</f>
        <v>justify__between</v>
      </c>
      <c r="K14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justify__between</v>
      </c>
      <c r="L1476" t="s">
        <v>2005</v>
      </c>
      <c r="N1476" t="s">
        <v>3197</v>
      </c>
      <c r="P1476" s="6" t="s">
        <v>2008</v>
      </c>
      <c r="Q14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6" s="29"/>
      <c r="AC1476" s="25" t="s">
        <v>5167</v>
      </c>
      <c r="AD1476" s="41"/>
      <c r="AE1476" s="41"/>
      <c r="AF1476" s="11"/>
      <c r="AH1476" s="1" t="str">
        <f>Table1[[#This Row],[html_tag]]&amp;Table1[[#This Row],[html_type]]&amp;Table1[[#This Row],[html_modifier]]</f>
        <v/>
      </c>
      <c r="AL1476" s="22" t="str">
        <f>IFERROR(_xlfn.XLOOKUP(Table1[[#This Row],[word]],Table57[English style name],Table57[Style type]),"")</f>
        <v/>
      </c>
      <c r="AM1476" s="20"/>
      <c r="AN1476" s="11"/>
      <c r="AQ1476" s="6" t="s">
        <v>2008</v>
      </c>
      <c r="AR1476" t="s">
        <v>2006</v>
      </c>
    </row>
    <row r="1477" spans="6:44">
      <c r="F14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7" s="13" t="s">
        <v>461</v>
      </c>
      <c r="H1477" s="13" t="s">
        <v>2991</v>
      </c>
      <c r="I1477" s="12" t="str">
        <f>Table1[[#This Row],[type]]</f>
        <v>justify</v>
      </c>
      <c r="J1477" s="62" t="str">
        <f>Table1[[#This Row],[Column42]]&amp;IF(Table1[[#This Row],[Column13]]="","",Table1[[#This Row],[Column13]])&amp;IF(Table1[[#This Row],[mod]]="","",Table1[[#This Row],[mod]])</f>
        <v>justify__center</v>
      </c>
      <c r="K14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justify__center</v>
      </c>
      <c r="L1477" t="s">
        <v>2005</v>
      </c>
      <c r="N1477" t="s">
        <v>425</v>
      </c>
      <c r="P1477" s="6" t="s">
        <v>2009</v>
      </c>
      <c r="Q14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7" s="29"/>
      <c r="AC1477" s="25" t="s">
        <v>5168</v>
      </c>
      <c r="AD1477" s="41"/>
      <c r="AE1477" s="41"/>
      <c r="AF1477" s="11"/>
      <c r="AH1477" s="1" t="str">
        <f>Table1[[#This Row],[html_tag]]&amp;Table1[[#This Row],[html_type]]&amp;Table1[[#This Row],[html_modifier]]</f>
        <v/>
      </c>
      <c r="AL1477" s="22" t="str">
        <f>IFERROR(_xlfn.XLOOKUP(Table1[[#This Row],[word]],Table57[English style name],Table57[Style type]),"")</f>
        <v/>
      </c>
      <c r="AM1477" s="20"/>
      <c r="AN1477" s="11"/>
      <c r="AQ1477" s="6" t="s">
        <v>2009</v>
      </c>
      <c r="AR1477" t="s">
        <v>2006</v>
      </c>
    </row>
    <row r="1478" spans="6:44">
      <c r="F14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8" s="13" t="s">
        <v>461</v>
      </c>
      <c r="H1478" s="13" t="s">
        <v>2991</v>
      </c>
      <c r="I1478" s="12" t="str">
        <f>Table1[[#This Row],[type]]</f>
        <v>justify</v>
      </c>
      <c r="J1478" s="62" t="str">
        <f>Table1[[#This Row],[Column42]]&amp;IF(Table1[[#This Row],[Column13]]="","",Table1[[#This Row],[Column13]])&amp;IF(Table1[[#This Row],[mod]]="","",Table1[[#This Row],[mod]])</f>
        <v>justify__end</v>
      </c>
      <c r="K14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justify__end</v>
      </c>
      <c r="L1478" t="s">
        <v>2005</v>
      </c>
      <c r="N1478" t="s">
        <v>3194</v>
      </c>
      <c r="P1478" s="6" t="s">
        <v>2010</v>
      </c>
      <c r="Q14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8" s="29"/>
      <c r="AC1478" s="25" t="s">
        <v>5169</v>
      </c>
      <c r="AD1478" s="41"/>
      <c r="AE1478" s="41"/>
      <c r="AF1478" s="11"/>
      <c r="AH1478" s="1" t="str">
        <f>Table1[[#This Row],[html_tag]]&amp;Table1[[#This Row],[html_type]]&amp;Table1[[#This Row],[html_modifier]]</f>
        <v/>
      </c>
      <c r="AL1478" s="22" t="str">
        <f>IFERROR(_xlfn.XLOOKUP(Table1[[#This Row],[word]],Table57[English style name],Table57[Style type]),"")</f>
        <v/>
      </c>
      <c r="AM1478" s="20"/>
      <c r="AN1478" s="11"/>
      <c r="AQ1478" s="6" t="s">
        <v>2010</v>
      </c>
      <c r="AR1478" t="s">
        <v>2006</v>
      </c>
    </row>
    <row r="1479" spans="6:44">
      <c r="F14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9" s="13" t="s">
        <v>461</v>
      </c>
      <c r="H1479" s="13" t="s">
        <v>2991</v>
      </c>
      <c r="I1479" s="12" t="str">
        <f>Table1[[#This Row],[type]]</f>
        <v>justify</v>
      </c>
      <c r="J1479" s="62" t="str">
        <f>Table1[[#This Row],[Column42]]&amp;IF(Table1[[#This Row],[Column13]]="","",Table1[[#This Row],[Column13]])&amp;IF(Table1[[#This Row],[mod]]="","",Table1[[#This Row],[mod]])</f>
        <v>justify__evenly</v>
      </c>
      <c r="K14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justify__evenly</v>
      </c>
      <c r="L1479" t="s">
        <v>2005</v>
      </c>
      <c r="N1479" t="s">
        <v>3198</v>
      </c>
      <c r="P1479" s="6" t="s">
        <v>2011</v>
      </c>
      <c r="Q14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9" s="29"/>
      <c r="AC1479" s="25" t="s">
        <v>5170</v>
      </c>
      <c r="AD1479" s="41"/>
      <c r="AE1479" s="41"/>
      <c r="AF1479" s="11"/>
      <c r="AH1479" s="1" t="str">
        <f>Table1[[#This Row],[html_tag]]&amp;Table1[[#This Row],[html_type]]&amp;Table1[[#This Row],[html_modifier]]</f>
        <v/>
      </c>
      <c r="AL1479" s="22" t="str">
        <f>IFERROR(_xlfn.XLOOKUP(Table1[[#This Row],[word]],Table57[English style name],Table57[Style type]),"")</f>
        <v/>
      </c>
      <c r="AM1479" s="20"/>
      <c r="AN1479" s="11"/>
      <c r="AQ1479" s="6" t="s">
        <v>2011</v>
      </c>
      <c r="AR1479" t="s">
        <v>2006</v>
      </c>
    </row>
    <row r="1480" spans="6:44">
      <c r="F14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80" s="13" t="s">
        <v>461</v>
      </c>
      <c r="H1480" s="13" t="s">
        <v>2991</v>
      </c>
      <c r="I1480" s="12" t="str">
        <f>Table1[[#This Row],[type]]</f>
        <v>justify</v>
      </c>
      <c r="J1480" s="62" t="str">
        <f>Table1[[#This Row],[Column42]]&amp;IF(Table1[[#This Row],[Column13]]="","",Table1[[#This Row],[Column13]])&amp;IF(Table1[[#This Row],[mod]]="","",Table1[[#This Row],[mod]])</f>
        <v>justify__start</v>
      </c>
      <c r="K14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justify__start</v>
      </c>
      <c r="L1480" t="s">
        <v>2005</v>
      </c>
      <c r="N1480" t="s">
        <v>3193</v>
      </c>
      <c r="P1480" s="6" t="s">
        <v>2012</v>
      </c>
      <c r="Q14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80" s="29"/>
      <c r="AC1480" s="64" t="s">
        <v>5189</v>
      </c>
      <c r="AD1480" s="41"/>
      <c r="AE1480" s="41"/>
      <c r="AF1480" s="11"/>
      <c r="AH1480" s="1" t="str">
        <f>Table1[[#This Row],[html_tag]]&amp;Table1[[#This Row],[html_type]]&amp;Table1[[#This Row],[html_modifier]]</f>
        <v/>
      </c>
      <c r="AL1480" s="22" t="str">
        <f>IFERROR(_xlfn.XLOOKUP(Table1[[#This Row],[word]],Table57[English style name],Table57[Style type]),"")</f>
        <v/>
      </c>
      <c r="AM1480" s="20"/>
      <c r="AN1480" s="11"/>
      <c r="AQ1480" s="6" t="s">
        <v>2012</v>
      </c>
      <c r="AR1480" t="s">
        <v>2006</v>
      </c>
    </row>
    <row r="1481" spans="6:44">
      <c r="F14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81" s="13" t="s">
        <v>461</v>
      </c>
      <c r="H1481" s="13" t="s">
        <v>2991</v>
      </c>
      <c r="I1481" s="12" t="str">
        <f>Table1[[#This Row],[type]]</f>
        <v>justify</v>
      </c>
      <c r="J1481" s="62" t="str">
        <f>Table1[[#This Row],[Column42]]&amp;IF(Table1[[#This Row],[Column13]]="","",Table1[[#This Row],[Column13]])&amp;IF(Table1[[#This Row],[mod]]="","",Table1[[#This Row],[mod]])</f>
        <v>justify__stretch</v>
      </c>
      <c r="K14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justify__stretch</v>
      </c>
      <c r="L1481" t="s">
        <v>2005</v>
      </c>
      <c r="N1481" t="s">
        <v>3199</v>
      </c>
      <c r="P1481" s="6" t="s">
        <v>2013</v>
      </c>
      <c r="Q14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81" s="29"/>
      <c r="AC1481" s="25"/>
      <c r="AD1481" s="41"/>
      <c r="AE1481" s="41"/>
      <c r="AF1481" s="11"/>
      <c r="AH1481" s="1" t="str">
        <f>Table1[[#This Row],[html_tag]]&amp;Table1[[#This Row],[html_type]]&amp;Table1[[#This Row],[html_modifier]]</f>
        <v/>
      </c>
      <c r="AL1481" s="22" t="str">
        <f>IFERROR(_xlfn.XLOOKUP(Table1[[#This Row],[word]],Table57[English style name],Table57[Style type]),"")</f>
        <v/>
      </c>
      <c r="AM1481" s="20"/>
      <c r="AN1481" s="11"/>
      <c r="AQ1481" s="6" t="s">
        <v>2013</v>
      </c>
      <c r="AR1481" t="s">
        <v>2006</v>
      </c>
    </row>
    <row r="1482" spans="6:44">
      <c r="F14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2" s="13"/>
      <c r="H1482" s="13"/>
      <c r="I1482" s="12" t="str">
        <f>Table1[[#This Row],[type]]</f>
        <v>kbd</v>
      </c>
      <c r="J1482" s="62" t="str">
        <f>Table1[[#This Row],[Column42]]&amp;IF(Table1[[#This Row],[Column13]]="","",Table1[[#This Row],[Column13]])&amp;IF(Table1[[#This Row],[mod]]="","",Table1[[#This Row],[mod]])</f>
        <v>kbd</v>
      </c>
      <c r="K14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2" t="s">
        <v>553</v>
      </c>
      <c r="Q14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82" s="29"/>
      <c r="AC1482" s="25"/>
      <c r="AD1482" s="41" t="s">
        <v>6768</v>
      </c>
      <c r="AE1482" s="41"/>
      <c r="AF1482" s="11"/>
      <c r="AH1482" s="7" t="str">
        <f>Table1[[#This Row],[html_tag]]&amp;Table1[[#This Row],[html_type]]&amp;Table1[[#This Row],[html_modifier]]</f>
        <v/>
      </c>
      <c r="AL1482" s="23" t="str">
        <f>IFERROR(_xlfn.XLOOKUP(Table1[[#This Row],[word]],Table57[English style name],Table57[Style type]),"")</f>
        <v/>
      </c>
      <c r="AM1482" s="21"/>
      <c r="AN1482" s="11"/>
    </row>
    <row r="1483" spans="6:44">
      <c r="F14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3" s="13"/>
      <c r="H1483" s="13"/>
      <c r="I1483" s="12" t="str">
        <f>Table1[[#This Row],[type]]</f>
        <v>kbd</v>
      </c>
      <c r="J1483" s="62" t="str">
        <f>Table1[[#This Row],[Column42]]&amp;IF(Table1[[#This Row],[Column13]]="","",Table1[[#This Row],[Column13]])&amp;IF(Table1[[#This Row],[mod]]="","",Table1[[#This Row],[mod]])</f>
        <v>kbd--lg</v>
      </c>
      <c r="K14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3" t="s">
        <v>553</v>
      </c>
      <c r="Q14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83" t="s">
        <v>3114</v>
      </c>
      <c r="AB1483" s="29"/>
      <c r="AC1483" s="25"/>
      <c r="AD1483" s="41" t="s">
        <v>6772</v>
      </c>
      <c r="AE1483" s="41"/>
      <c r="AF1483" s="11"/>
      <c r="AH1483" s="7" t="str">
        <f>Table1[[#This Row],[html_tag]]&amp;Table1[[#This Row],[html_type]]&amp;Table1[[#This Row],[html_modifier]]</f>
        <v/>
      </c>
      <c r="AL1483" s="23" t="str">
        <f>IFERROR(_xlfn.XLOOKUP(Table1[[#This Row],[word]],Table57[English style name],Table57[Style type]),"")</f>
        <v/>
      </c>
      <c r="AM1483" s="21"/>
      <c r="AN1483" s="11"/>
    </row>
    <row r="1484" spans="6:44">
      <c r="F14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4" s="13"/>
      <c r="H1484" s="13"/>
      <c r="I1484" s="12" t="str">
        <f>Table1[[#This Row],[type]]</f>
        <v>kbd</v>
      </c>
      <c r="J1484" s="62" t="str">
        <f>Table1[[#This Row],[Column42]]&amp;IF(Table1[[#This Row],[Column13]]="","",Table1[[#This Row],[Column13]])&amp;IF(Table1[[#This Row],[mod]]="","",Table1[[#This Row],[mod]])</f>
        <v>kbd--md</v>
      </c>
      <c r="K14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4" t="s">
        <v>553</v>
      </c>
      <c r="Q14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484" t="s">
        <v>3115</v>
      </c>
      <c r="AB1484" s="29"/>
      <c r="AC1484" s="25"/>
      <c r="AD1484" s="41" t="s">
        <v>6771</v>
      </c>
      <c r="AE1484" s="41"/>
      <c r="AF1484" s="11"/>
      <c r="AH1484" s="7" t="str">
        <f>Table1[[#This Row],[html_tag]]&amp;Table1[[#This Row],[html_type]]&amp;Table1[[#This Row],[html_modifier]]</f>
        <v/>
      </c>
      <c r="AL1484" s="23" t="str">
        <f>IFERROR(_xlfn.XLOOKUP(Table1[[#This Row],[word]],Table57[English style name],Table57[Style type]),"")</f>
        <v/>
      </c>
      <c r="AM1484" s="21"/>
      <c r="AN1484" s="11"/>
    </row>
    <row r="1485" spans="6:44">
      <c r="F14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5" s="13"/>
      <c r="H1485" s="13"/>
      <c r="I1485" s="12" t="str">
        <f>Table1[[#This Row],[type]]</f>
        <v>kbd</v>
      </c>
      <c r="J1485" s="62" t="str">
        <f>Table1[[#This Row],[Column42]]&amp;IF(Table1[[#This Row],[Column13]]="","",Table1[[#This Row],[Column13]])&amp;IF(Table1[[#This Row],[mod]]="","",Table1[[#This Row],[mod]])</f>
        <v>kbd--sm</v>
      </c>
      <c r="K14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5" t="s">
        <v>553</v>
      </c>
      <c r="Q14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85" t="s">
        <v>3116</v>
      </c>
      <c r="AB1485" s="29"/>
      <c r="AC1485" s="25"/>
      <c r="AD1485" s="41" t="s">
        <v>6770</v>
      </c>
      <c r="AE1485" s="41"/>
      <c r="AF1485" s="11"/>
      <c r="AH1485" s="7" t="str">
        <f>Table1[[#This Row],[html_tag]]&amp;Table1[[#This Row],[html_type]]&amp;Table1[[#This Row],[html_modifier]]</f>
        <v/>
      </c>
      <c r="AL1485" s="23" t="str">
        <f>IFERROR(_xlfn.XLOOKUP(Table1[[#This Row],[word]],Table57[English style name],Table57[Style type]),"")</f>
        <v/>
      </c>
      <c r="AM1485" s="21"/>
      <c r="AN1485" s="11"/>
    </row>
    <row r="1486" spans="6:44">
      <c r="F14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6" s="13"/>
      <c r="H1486" s="13"/>
      <c r="I1486" s="12" t="str">
        <f>Table1[[#This Row],[type]]</f>
        <v>kbd</v>
      </c>
      <c r="J1486" s="62" t="str">
        <f>Table1[[#This Row],[Column42]]&amp;IF(Table1[[#This Row],[Column13]]="","",Table1[[#This Row],[Column13]])&amp;IF(Table1[[#This Row],[mod]]="","",Table1[[#This Row],[mod]])</f>
        <v>kbd--xl</v>
      </c>
      <c r="K14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6" t="s">
        <v>553</v>
      </c>
      <c r="Q14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486" t="s">
        <v>3126</v>
      </c>
      <c r="AB1486" s="29"/>
      <c r="AC1486" s="25"/>
      <c r="AD1486" s="41" t="s">
        <v>6773</v>
      </c>
      <c r="AE1486" s="41"/>
      <c r="AF1486" s="11"/>
      <c r="AH1486" s="7" t="str">
        <f>Table1[[#This Row],[html_tag]]&amp;Table1[[#This Row],[html_type]]&amp;Table1[[#This Row],[html_modifier]]</f>
        <v/>
      </c>
      <c r="AL1486" s="23" t="str">
        <f>IFERROR(_xlfn.XLOOKUP(Table1[[#This Row],[word]],Table57[English style name],Table57[Style type]),"")</f>
        <v/>
      </c>
      <c r="AM1486" s="21"/>
      <c r="AN1486" s="11"/>
    </row>
    <row r="1487" spans="6:44">
      <c r="F14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7" s="13"/>
      <c r="H1487" s="13"/>
      <c r="I1487" s="12" t="str">
        <f>Table1[[#This Row],[type]]</f>
        <v>kbd</v>
      </c>
      <c r="J1487" s="62" t="str">
        <f>Table1[[#This Row],[Column42]]&amp;IF(Table1[[#This Row],[Column13]]="","",Table1[[#This Row],[Column13]])&amp;IF(Table1[[#This Row],[mod]]="","",Table1[[#This Row],[mod]])</f>
        <v>kbd--xs</v>
      </c>
      <c r="K14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7" t="s">
        <v>553</v>
      </c>
      <c r="Q14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487" t="s">
        <v>3127</v>
      </c>
      <c r="AB1487" s="29"/>
      <c r="AC1487" s="25"/>
      <c r="AD1487" s="41" t="s">
        <v>6769</v>
      </c>
      <c r="AE1487" s="41"/>
      <c r="AF1487" s="11"/>
      <c r="AH1487" s="7" t="str">
        <f>Table1[[#This Row],[html_tag]]&amp;Table1[[#This Row],[html_type]]&amp;Table1[[#This Row],[html_modifier]]</f>
        <v/>
      </c>
      <c r="AL1487" s="23" t="str">
        <f>IFERROR(_xlfn.XLOOKUP(Table1[[#This Row],[word]],Table57[English style name],Table57[Style type]),"")</f>
        <v/>
      </c>
      <c r="AM1487" s="21"/>
      <c r="AN1487" s="11"/>
    </row>
    <row r="1488" spans="6:44">
      <c r="F14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88" s="13"/>
      <c r="H1488" s="13"/>
      <c r="I1488" s="12" t="str">
        <f>Table1[[#This Row],[type]]</f>
        <v>label</v>
      </c>
      <c r="J1488" s="62" t="str">
        <f>Table1[[#This Row],[Column42]]&amp;IF(Table1[[#This Row],[Column13]]="","",Table1[[#This Row],[Column13]])&amp;IF(Table1[[#This Row],[mod]]="","",Table1[[#This Row],[mod]])</f>
        <v>label__checkbox</v>
      </c>
      <c r="K14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label__checkbox</v>
      </c>
      <c r="L1488" t="s">
        <v>554</v>
      </c>
      <c r="M1488" t="s">
        <v>1936</v>
      </c>
      <c r="O1488" s="25"/>
      <c r="Q14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88" s="29"/>
      <c r="AC1488" s="25" t="s">
        <v>4993</v>
      </c>
      <c r="AD1488" s="41"/>
      <c r="AE1488" s="41"/>
      <c r="AF1488" s="11"/>
      <c r="AH1488" s="7" t="str">
        <f>Table1[[#This Row],[html_tag]]&amp;Table1[[#This Row],[html_type]]&amp;Table1[[#This Row],[html_modifier]]</f>
        <v/>
      </c>
      <c r="AL1488" s="23" t="str">
        <f>IFERROR(_xlfn.XLOOKUP(Table1[[#This Row],[word]],Table57[English style name],Table57[Style type]),"")</f>
        <v/>
      </c>
      <c r="AM1488" s="21"/>
      <c r="AN1488" s="11"/>
    </row>
    <row r="1489" spans="3:46">
      <c r="F14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89" s="13"/>
      <c r="H1489" s="13"/>
      <c r="I1489" s="12" t="str">
        <f>Table1[[#This Row],[type]]</f>
        <v>label</v>
      </c>
      <c r="J1489" s="62" t="str">
        <f>Table1[[#This Row],[Column42]]&amp;IF(Table1[[#This Row],[Column13]]="","",Table1[[#This Row],[Column13]])&amp;IF(Table1[[#This Row],[mod]]="","",Table1[[#This Row],[mod]])</f>
        <v>label__column</v>
      </c>
      <c r="K14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label__column</v>
      </c>
      <c r="L1489" t="s">
        <v>554</v>
      </c>
      <c r="M1489" t="s">
        <v>615</v>
      </c>
      <c r="O1489" s="25"/>
      <c r="Q14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89" s="29"/>
      <c r="AC1489" s="25" t="s">
        <v>4738</v>
      </c>
      <c r="AD1489" s="41"/>
      <c r="AE1489" s="41"/>
      <c r="AF1489" s="11"/>
      <c r="AH1489" s="7" t="str">
        <f>Table1[[#This Row],[html_tag]]&amp;Table1[[#This Row],[html_type]]&amp;Table1[[#This Row],[html_modifier]]</f>
        <v/>
      </c>
      <c r="AL1489" s="23" t="str">
        <f>IFERROR(_xlfn.XLOOKUP(Table1[[#This Row],[word]],Table57[English style name],Table57[Style type]),"")</f>
        <v/>
      </c>
      <c r="AM1489" s="21"/>
      <c r="AN1489" s="11"/>
    </row>
    <row r="1490" spans="3:46">
      <c r="F14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90" s="13"/>
      <c r="H1490" s="13"/>
      <c r="I1490" s="12" t="str">
        <f>Table1[[#This Row],[type]]</f>
        <v>label</v>
      </c>
      <c r="J1490" s="62" t="str">
        <f>Table1[[#This Row],[Column42]]&amp;IF(Table1[[#This Row],[Column13]]="","",Table1[[#This Row],[Column13]])&amp;IF(Table1[[#This Row],[mod]]="","",Table1[[#This Row],[mod]])</f>
        <v>label__column--lg</v>
      </c>
      <c r="K14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label__column</v>
      </c>
      <c r="L1490" t="s">
        <v>554</v>
      </c>
      <c r="M1490" t="s">
        <v>615</v>
      </c>
      <c r="O1490" s="25"/>
      <c r="Q14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90" t="s">
        <v>3114</v>
      </c>
      <c r="AB1490" s="29"/>
      <c r="AC1490" s="25" t="s">
        <v>4739</v>
      </c>
      <c r="AD1490" s="41"/>
      <c r="AE1490" s="41"/>
      <c r="AF1490" s="11"/>
      <c r="AH1490" s="7" t="str">
        <f>Table1[[#This Row],[html_tag]]&amp;Table1[[#This Row],[html_type]]&amp;Table1[[#This Row],[html_modifier]]</f>
        <v/>
      </c>
      <c r="AL1490" s="23" t="str">
        <f>IFERROR(_xlfn.XLOOKUP(Table1[[#This Row],[word]],Table57[English style name],Table57[Style type]),"")</f>
        <v/>
      </c>
      <c r="AM1490" s="21"/>
      <c r="AN1490" s="11"/>
    </row>
    <row r="1491" spans="3:46">
      <c r="F14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91" s="13"/>
      <c r="H1491" s="13"/>
      <c r="I1491" s="12" t="str">
        <f>Table1[[#This Row],[type]]</f>
        <v>label</v>
      </c>
      <c r="J1491" s="62" t="str">
        <f>Table1[[#This Row],[Column42]]&amp;IF(Table1[[#This Row],[Column13]]="","",Table1[[#This Row],[Column13]])&amp;IF(Table1[[#This Row],[mod]]="","",Table1[[#This Row],[mod]])</f>
        <v>label__column--sm</v>
      </c>
      <c r="K14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label__column</v>
      </c>
      <c r="L1491" t="s">
        <v>554</v>
      </c>
      <c r="M1491" t="s">
        <v>615</v>
      </c>
      <c r="O1491" s="25"/>
      <c r="Q14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91" t="s">
        <v>3116</v>
      </c>
      <c r="AB1491" s="29"/>
      <c r="AC1491" s="25" t="s">
        <v>4740</v>
      </c>
      <c r="AD1491" s="41"/>
      <c r="AE1491" s="41"/>
      <c r="AF1491" s="11"/>
      <c r="AH1491" s="7" t="str">
        <f>Table1[[#This Row],[html_tag]]&amp;Table1[[#This Row],[html_type]]&amp;Table1[[#This Row],[html_modifier]]</f>
        <v/>
      </c>
      <c r="AL1491" s="23" t="str">
        <f>IFERROR(_xlfn.XLOOKUP(Table1[[#This Row],[word]],Table57[English style name],Table57[Style type]),"")</f>
        <v/>
      </c>
      <c r="AM1491" s="21"/>
      <c r="AN1491" s="11"/>
    </row>
    <row r="1492" spans="3:46">
      <c r="F14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92" s="13"/>
      <c r="H1492" s="13"/>
      <c r="I1492" s="12" t="str">
        <f>Table1[[#This Row],[type]]</f>
        <v>label</v>
      </c>
      <c r="J1492" s="62" t="str">
        <f>Table1[[#This Row],[Column42]]&amp;IF(Table1[[#This Row],[Column13]]="","",Table1[[#This Row],[Column13]])&amp;IF(Table1[[#This Row],[mod]]="","",Table1[[#This Row],[mod]])</f>
        <v>label--base</v>
      </c>
      <c r="K14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2" t="s">
        <v>554</v>
      </c>
      <c r="Q14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492" t="s">
        <v>338</v>
      </c>
      <c r="AB1492" s="29" t="s">
        <v>4348</v>
      </c>
      <c r="AC1492" s="25" t="s">
        <v>5000</v>
      </c>
      <c r="AD1492" s="41" t="s">
        <v>4348</v>
      </c>
      <c r="AE1492" s="41"/>
      <c r="AF1492" s="11" t="s">
        <v>209</v>
      </c>
      <c r="AH1492" s="1" t="str">
        <f>Table1[[#This Row],[html_tag]]&amp;Table1[[#This Row],[html_type]]&amp;Table1[[#This Row],[html_modifier]]</f>
        <v>&lt;label&gt;</v>
      </c>
      <c r="AI1492" t="s">
        <v>209</v>
      </c>
      <c r="AL1492" s="23" t="str">
        <f>IFERROR(_xlfn.XLOOKUP(Table1[[#This Row],[word]],Table57[English style name],Table57[Style type]),"")</f>
        <v/>
      </c>
      <c r="AM1492" s="21"/>
      <c r="AN1492" s="11"/>
      <c r="AQ1492" s="6" t="s">
        <v>1953</v>
      </c>
      <c r="AR1492" t="s">
        <v>1954</v>
      </c>
      <c r="AS1492" s="6" t="s">
        <v>1706</v>
      </c>
      <c r="AT1492" t="s">
        <v>1690</v>
      </c>
    </row>
    <row r="1493" spans="3:46">
      <c r="F14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93" s="13"/>
      <c r="H1493" s="13"/>
      <c r="I1493" s="12" t="str">
        <f>Table1[[#This Row],[type]]</f>
        <v>label</v>
      </c>
      <c r="J1493" s="62" t="str">
        <f>Table1[[#This Row],[Column42]]&amp;IF(Table1[[#This Row],[Column13]]="","",Table1[[#This Row],[Column13]])&amp;IF(Table1[[#This Row],[mod]]="","",Table1[[#This Row],[mod]])</f>
        <v>label--floating</v>
      </c>
      <c r="K14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3" t="s">
        <v>554</v>
      </c>
      <c r="Q14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--floating</v>
      </c>
      <c r="R1493" t="s">
        <v>7397</v>
      </c>
      <c r="U14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93" s="29"/>
      <c r="AC1493" s="25"/>
      <c r="AD1493" s="41" t="s">
        <v>6777</v>
      </c>
      <c r="AE1493" s="41"/>
      <c r="AF1493" s="11" t="s">
        <v>209</v>
      </c>
      <c r="AH1493" s="7" t="str">
        <f>Table1[[#This Row],[html_tag]]&amp;Table1[[#This Row],[html_type]]&amp;Table1[[#This Row],[html_modifier]]</f>
        <v/>
      </c>
      <c r="AL1493" s="23" t="str">
        <f>IFERROR(_xlfn.XLOOKUP(Table1[[#This Row],[word]],Table57[English style name],Table57[Style type]),"")</f>
        <v/>
      </c>
      <c r="AM1493" s="21"/>
      <c r="AN1493" s="11"/>
    </row>
    <row r="1494" spans="3:46">
      <c r="F14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94" s="13" t="s">
        <v>337</v>
      </c>
      <c r="H1494" s="13" t="s">
        <v>2986</v>
      </c>
      <c r="I1494" s="12" t="str">
        <f>Table1[[#This Row],[type]]</f>
        <v>label</v>
      </c>
      <c r="J1494" s="62" t="str">
        <f>Table1[[#This Row],[Column42]]&amp;IF(Table1[[#This Row],[Column13]]="","",Table1[[#This Row],[Column13]])&amp;IF(Table1[[#This Row],[mod]]="","",Table1[[#This Row],[mod]])</f>
        <v>label--hidden</v>
      </c>
      <c r="K14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4" t="s">
        <v>554</v>
      </c>
      <c r="Q14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494" t="s">
        <v>3087</v>
      </c>
      <c r="AB1494" s="29"/>
      <c r="AC1494" s="25"/>
      <c r="AD1494" s="41"/>
      <c r="AE1494" s="41"/>
      <c r="AF1494" s="11" t="s">
        <v>209</v>
      </c>
      <c r="AH1494" s="1" t="str">
        <f>Table1[[#This Row],[html_tag]]&amp;Table1[[#This Row],[html_type]]&amp;Table1[[#This Row],[html_modifier]]</f>
        <v/>
      </c>
      <c r="AL1494" s="22" t="str">
        <f>IFERROR(_xlfn.XLOOKUP(Table1[[#This Row],[word]],Table57[English style name],Table57[Style type]),"")</f>
        <v/>
      </c>
      <c r="AM1494" s="20"/>
      <c r="AN1494" s="11"/>
      <c r="AQ1494" s="14" t="s">
        <v>1955</v>
      </c>
      <c r="AR1494" t="s">
        <v>1954</v>
      </c>
    </row>
    <row r="1495" spans="3:46">
      <c r="F14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95" s="13" t="s">
        <v>337</v>
      </c>
      <c r="H1495" s="13" t="s">
        <v>2986</v>
      </c>
      <c r="I1495" s="12" t="str">
        <f>Table1[[#This Row],[type]]</f>
        <v>label</v>
      </c>
      <c r="J1495" s="62" t="str">
        <f>Table1[[#This Row],[Column42]]&amp;IF(Table1[[#This Row],[Column13]]="","",Table1[[#This Row],[Column13]])&amp;IF(Table1[[#This Row],[mod]]="","",Table1[[#This Row],[mod]])</f>
        <v>label--lg</v>
      </c>
      <c r="K14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5" t="s">
        <v>554</v>
      </c>
      <c r="Q14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95" t="s">
        <v>3114</v>
      </c>
      <c r="AB1495" s="29" t="s">
        <v>4349</v>
      </c>
      <c r="AC1495" s="25"/>
      <c r="AD1495" s="41"/>
      <c r="AE1495" s="41"/>
      <c r="AF1495" s="11" t="s">
        <v>209</v>
      </c>
      <c r="AH1495" s="1" t="str">
        <f>Table1[[#This Row],[html_tag]]&amp;Table1[[#This Row],[html_type]]&amp;Table1[[#This Row],[html_modifier]]</f>
        <v/>
      </c>
      <c r="AL1495" s="22" t="str">
        <f>IFERROR(_xlfn.XLOOKUP(Table1[[#This Row],[word]],Table57[English style name],Table57[Style type]),"")</f>
        <v/>
      </c>
      <c r="AM1495" s="20"/>
      <c r="AN1495" s="11"/>
      <c r="AQ1495" s="6" t="s">
        <v>1956</v>
      </c>
      <c r="AR1495" t="s">
        <v>1954</v>
      </c>
      <c r="AS1495" s="6" t="s">
        <v>1707</v>
      </c>
      <c r="AT1495" t="s">
        <v>1690</v>
      </c>
    </row>
    <row r="1496" spans="3:46">
      <c r="F14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96" s="13" t="s">
        <v>337</v>
      </c>
      <c r="H1496" s="13" t="s">
        <v>2986</v>
      </c>
      <c r="I1496" s="12" t="str">
        <f>Table1[[#This Row],[type]]</f>
        <v>label</v>
      </c>
      <c r="J1496" s="62" t="str">
        <f>Table1[[#This Row],[Column42]]&amp;IF(Table1[[#This Row],[Column13]]="","",Table1[[#This Row],[Column13]])&amp;IF(Table1[[#This Row],[mod]]="","",Table1[[#This Row],[mod]])</f>
        <v>label--md</v>
      </c>
      <c r="K14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6" t="s">
        <v>554</v>
      </c>
      <c r="Q14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496" t="s">
        <v>3115</v>
      </c>
      <c r="AB1496" s="29" t="s">
        <v>4350</v>
      </c>
      <c r="AC1496" s="25"/>
      <c r="AD1496" s="41"/>
      <c r="AE1496" s="41"/>
      <c r="AF1496" s="11" t="s">
        <v>209</v>
      </c>
      <c r="AH1496" s="1" t="str">
        <f>Table1[[#This Row],[html_tag]]&amp;Table1[[#This Row],[html_type]]&amp;Table1[[#This Row],[html_modifier]]</f>
        <v/>
      </c>
      <c r="AL1496" s="22" t="str">
        <f>IFERROR(_xlfn.XLOOKUP(Table1[[#This Row],[word]],Table57[English style name],Table57[Style type]),"")</f>
        <v/>
      </c>
      <c r="AM1496" s="20"/>
      <c r="AN1496" s="11"/>
      <c r="AQ1496" s="6" t="s">
        <v>1957</v>
      </c>
      <c r="AR1496" t="s">
        <v>1954</v>
      </c>
    </row>
    <row r="1497" spans="3:46">
      <c r="F14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497" s="13" t="s">
        <v>337</v>
      </c>
      <c r="H1497" s="13" t="s">
        <v>2987</v>
      </c>
      <c r="I1497" s="12" t="str">
        <f>Table1[[#This Row],[type]]</f>
        <v>label</v>
      </c>
      <c r="J1497" s="62" t="str">
        <f>Table1[[#This Row],[Column42]]&amp;IF(Table1[[#This Row],[Column13]]="","",Table1[[#This Row],[Column13]])&amp;IF(Table1[[#This Row],[mod]]="","",Table1[[#This Row],[mod]])</f>
        <v>label--optional</v>
      </c>
      <c r="K14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7" t="s">
        <v>554</v>
      </c>
      <c r="Q14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--optional</v>
      </c>
      <c r="R1497" t="s">
        <v>3036</v>
      </c>
      <c r="U14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97" s="29"/>
      <c r="AC1497" s="25"/>
      <c r="AD1497" s="41"/>
      <c r="AE1497" s="41"/>
      <c r="AF1497" s="11" t="s">
        <v>209</v>
      </c>
      <c r="AH1497" s="1" t="str">
        <f>Table1[[#This Row],[html_tag]]&amp;Table1[[#This Row],[html_type]]&amp;Table1[[#This Row],[html_modifier]]</f>
        <v/>
      </c>
      <c r="AL1497" s="22" t="str">
        <f>IFERROR(_xlfn.XLOOKUP(Table1[[#This Row],[word]],Table57[English style name],Table57[Style type]),"")</f>
        <v/>
      </c>
      <c r="AM1497" s="20"/>
      <c r="AN1497" s="11"/>
      <c r="AQ1497" s="6" t="s">
        <v>2908</v>
      </c>
      <c r="AR1497" t="s">
        <v>2904</v>
      </c>
    </row>
    <row r="1498" spans="3:46">
      <c r="F14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498" s="13" t="s">
        <v>337</v>
      </c>
      <c r="H1498" s="13" t="s">
        <v>2987</v>
      </c>
      <c r="I1498" s="12" t="str">
        <f>Table1[[#This Row],[type]]</f>
        <v>label</v>
      </c>
      <c r="J1498" s="62" t="str">
        <f>Table1[[#This Row],[Column42]]&amp;IF(Table1[[#This Row],[Column13]]="","",Table1[[#This Row],[Column13]])&amp;IF(Table1[[#This Row],[mod]]="","",Table1[[#This Row],[mod]])</f>
        <v>label--ordered</v>
      </c>
      <c r="K14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8" t="s">
        <v>554</v>
      </c>
      <c r="Q14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1498" t="s">
        <v>3007</v>
      </c>
      <c r="U14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98" s="29"/>
      <c r="AC1498" s="25"/>
      <c r="AD1498" s="41"/>
      <c r="AE1498" s="41"/>
      <c r="AF1498" s="11" t="s">
        <v>203</v>
      </c>
      <c r="AH1498" s="1" t="str">
        <f>Table1[[#This Row],[html_tag]]&amp;Table1[[#This Row],[html_type]]&amp;Table1[[#This Row],[html_modifier]]</f>
        <v/>
      </c>
      <c r="AL1498" s="22" t="str">
        <f>IFERROR(_xlfn.XLOOKUP(Table1[[#This Row],[word]],Table57[English style name],Table57[Style type]),"")</f>
        <v/>
      </c>
      <c r="AM1498" s="20"/>
      <c r="AN1498" s="11"/>
      <c r="AQ1498" s="6" t="s">
        <v>1741</v>
      </c>
      <c r="AR1498" t="s">
        <v>1718</v>
      </c>
    </row>
    <row r="1499" spans="3:46">
      <c r="F14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499" s="13" t="s">
        <v>337</v>
      </c>
      <c r="H1499" s="13" t="s">
        <v>2987</v>
      </c>
      <c r="I1499" s="12" t="str">
        <f>Table1[[#This Row],[type]]</f>
        <v>label</v>
      </c>
      <c r="J1499" s="62" t="str">
        <f>Table1[[#This Row],[Column42]]&amp;IF(Table1[[#This Row],[Column13]]="","",Table1[[#This Row],[Column13]])&amp;IF(Table1[[#This Row],[mod]]="","",Table1[[#This Row],[mod]])</f>
        <v>label--required</v>
      </c>
      <c r="K14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9" t="s">
        <v>554</v>
      </c>
      <c r="Q14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--required</v>
      </c>
      <c r="R1499" t="s">
        <v>3035</v>
      </c>
      <c r="U14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99" s="29"/>
      <c r="AC1499" s="25"/>
      <c r="AD1499" s="41"/>
      <c r="AE1499" s="41"/>
      <c r="AF1499" s="11" t="s">
        <v>209</v>
      </c>
      <c r="AH1499" s="1" t="str">
        <f>Table1[[#This Row],[html_tag]]&amp;Table1[[#This Row],[html_type]]&amp;Table1[[#This Row],[html_modifier]]</f>
        <v/>
      </c>
      <c r="AL1499" s="22" t="str">
        <f>IFERROR(_xlfn.XLOOKUP(Table1[[#This Row],[word]],Table57[English style name],Table57[Style type]),"")</f>
        <v/>
      </c>
      <c r="AM1499" s="20"/>
      <c r="AN1499" s="11"/>
      <c r="AQ1499" s="6" t="s">
        <v>2909</v>
      </c>
      <c r="AR1499" t="s">
        <v>2904</v>
      </c>
    </row>
    <row r="1500" spans="3:46">
      <c r="F15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00" s="13" t="s">
        <v>337</v>
      </c>
      <c r="H1500" s="13" t="s">
        <v>2986</v>
      </c>
      <c r="I1500" s="12" t="str">
        <f>Table1[[#This Row],[type]]</f>
        <v>label</v>
      </c>
      <c r="J1500" s="62" t="str">
        <f>Table1[[#This Row],[Column42]]&amp;IF(Table1[[#This Row],[Column13]]="","",Table1[[#This Row],[Column13]])&amp;IF(Table1[[#This Row],[mod]]="","",Table1[[#This Row],[mod]])</f>
        <v>label--sm</v>
      </c>
      <c r="K15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500" t="s">
        <v>554</v>
      </c>
      <c r="Q15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500" s="3" t="s">
        <v>3116</v>
      </c>
      <c r="AB1500" s="29" t="s">
        <v>4351</v>
      </c>
      <c r="AC1500" s="25"/>
      <c r="AD1500" s="41"/>
      <c r="AE1500" s="41"/>
      <c r="AF1500" s="11" t="s">
        <v>209</v>
      </c>
      <c r="AH1500" s="1" t="str">
        <f>Table1[[#This Row],[html_tag]]&amp;Table1[[#This Row],[html_type]]&amp;Table1[[#This Row],[html_modifier]]</f>
        <v/>
      </c>
      <c r="AL1500" s="22" t="str">
        <f>IFERROR(_xlfn.XLOOKUP(Table1[[#This Row],[word]],Table57[English style name],Table57[Style type]),"")</f>
        <v/>
      </c>
      <c r="AM1500" s="20"/>
      <c r="AN1500" s="11"/>
      <c r="AQ1500" s="6" t="s">
        <v>1958</v>
      </c>
      <c r="AR1500" t="s">
        <v>1954</v>
      </c>
      <c r="AS1500" t="s">
        <v>1708</v>
      </c>
      <c r="AT1500" t="s">
        <v>1690</v>
      </c>
    </row>
    <row r="1501" spans="3:46">
      <c r="F15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01" s="13" t="s">
        <v>337</v>
      </c>
      <c r="H1501" s="13" t="s">
        <v>2986</v>
      </c>
      <c r="I1501" s="12" t="str">
        <f>Table1[[#This Row],[type]]</f>
        <v>label</v>
      </c>
      <c r="J1501" s="62" t="str">
        <f>Table1[[#This Row],[Column42]]&amp;IF(Table1[[#This Row],[Column13]]="","",Table1[[#This Row],[Column13]])&amp;IF(Table1[[#This Row],[mod]]="","",Table1[[#This Row],[mod]])</f>
        <v>label--xl</v>
      </c>
      <c r="K15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501" t="s">
        <v>554</v>
      </c>
      <c r="Q15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501" t="s">
        <v>3126</v>
      </c>
      <c r="AB1501" s="29"/>
      <c r="AC1501" s="25"/>
      <c r="AD1501" s="41"/>
      <c r="AE1501" s="41"/>
      <c r="AF1501" s="11"/>
      <c r="AH1501" s="7" t="str">
        <f>Table1[[#This Row],[html_tag]]&amp;Table1[[#This Row],[html_type]]&amp;Table1[[#This Row],[html_modifier]]</f>
        <v/>
      </c>
      <c r="AL1501" s="23" t="str">
        <f>IFERROR(_xlfn.XLOOKUP(Table1[[#This Row],[word]],Table57[English style name],Table57[Style type]),"")</f>
        <v/>
      </c>
      <c r="AM1501" s="21"/>
      <c r="AN1501" s="11"/>
    </row>
    <row r="1502" spans="3:46">
      <c r="F15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02" s="13" t="s">
        <v>337</v>
      </c>
      <c r="H1502" s="13" t="s">
        <v>2986</v>
      </c>
      <c r="I1502" s="12" t="str">
        <f>Table1[[#This Row],[type]]</f>
        <v>label</v>
      </c>
      <c r="J1502" s="62" t="str">
        <f>Table1[[#This Row],[Column42]]&amp;IF(Table1[[#This Row],[Column13]]="","",Table1[[#This Row],[Column13]])&amp;IF(Table1[[#This Row],[mod]]="","",Table1[[#This Row],[mod]])</f>
        <v>label--xs</v>
      </c>
      <c r="K15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502" t="s">
        <v>554</v>
      </c>
      <c r="Q15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502" t="s">
        <v>3127</v>
      </c>
      <c r="AB1502" s="29"/>
      <c r="AC1502" s="25"/>
      <c r="AD1502" s="41"/>
      <c r="AE1502" s="41"/>
      <c r="AF1502" s="11"/>
      <c r="AH1502" s="7" t="str">
        <f>Table1[[#This Row],[html_tag]]&amp;Table1[[#This Row],[html_type]]&amp;Table1[[#This Row],[html_modifier]]</f>
        <v/>
      </c>
      <c r="AL1502" s="23" t="str">
        <f>IFERROR(_xlfn.XLOOKUP(Table1[[#This Row],[word]],Table57[English style name],Table57[Style type]),"")</f>
        <v/>
      </c>
      <c r="AM1502" s="21"/>
      <c r="AN1502" s="11"/>
    </row>
    <row r="1503" spans="3:46">
      <c r="C1503">
        <v>1</v>
      </c>
      <c r="D1503" t="s">
        <v>3288</v>
      </c>
      <c r="F15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503" s="13"/>
      <c r="H1503" s="13"/>
      <c r="I1503" s="12" t="str">
        <f>Table1[[#This Row],[type]]</f>
        <v>layer</v>
      </c>
      <c r="J1503" s="62" t="str">
        <f>Table1[[#This Row],[Column42]]&amp;IF(Table1[[#This Row],[Column13]]="","",Table1[[#This Row],[Column13]])&amp;IF(Table1[[#This Row],[mod]]="","",Table1[[#This Row],[mod]])</f>
        <v>layer__bottom</v>
      </c>
      <c r="K15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layer__bottom</v>
      </c>
      <c r="L1503" t="s">
        <v>3138</v>
      </c>
      <c r="M1503" t="s">
        <v>3186</v>
      </c>
      <c r="Q15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3" s="29"/>
      <c r="AC1503" s="25"/>
      <c r="AD1503" s="41"/>
      <c r="AE1503" s="41"/>
      <c r="AF1503" s="11" t="s">
        <v>166</v>
      </c>
      <c r="AG1503" t="s">
        <v>3289</v>
      </c>
      <c r="AH1503" s="1" t="str">
        <f>Table1[[#This Row],[html_tag]]&amp;Table1[[#This Row],[html_type]]&amp;Table1[[#This Row],[html_modifier]]</f>
        <v/>
      </c>
      <c r="AL1503" s="22" t="str">
        <f>IFERROR(_xlfn.XLOOKUP(Table1[[#This Row],[word]],Table57[English style name],Table57[Style type]),"")</f>
        <v>Paragraph</v>
      </c>
      <c r="AM1503" s="20" t="s">
        <v>847</v>
      </c>
      <c r="AN1503" s="11"/>
    </row>
    <row r="1504" spans="3:46">
      <c r="C1504">
        <v>1</v>
      </c>
      <c r="D1504" t="s">
        <v>3288</v>
      </c>
      <c r="F15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504" s="13"/>
      <c r="H1504" s="13"/>
      <c r="I1504" s="12" t="str">
        <f>Table1[[#This Row],[type]]</f>
        <v>layer</v>
      </c>
      <c r="J1504" s="62" t="str">
        <f>Table1[[#This Row],[Column42]]&amp;IF(Table1[[#This Row],[Column13]]="","",Table1[[#This Row],[Column13]])&amp;IF(Table1[[#This Row],[mod]]="","",Table1[[#This Row],[mod]])</f>
        <v>layer__top</v>
      </c>
      <c r="K15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layer__top</v>
      </c>
      <c r="L1504" t="s">
        <v>3138</v>
      </c>
      <c r="M1504" t="s">
        <v>3182</v>
      </c>
      <c r="Q15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4" s="29"/>
      <c r="AC1504" s="25"/>
      <c r="AD1504" s="41"/>
      <c r="AE1504" s="41"/>
      <c r="AF1504" s="11" t="s">
        <v>166</v>
      </c>
      <c r="AG1504" t="s">
        <v>3290</v>
      </c>
      <c r="AH1504" s="1" t="str">
        <f>Table1[[#This Row],[html_tag]]&amp;Table1[[#This Row],[html_type]]&amp;Table1[[#This Row],[html_modifier]]</f>
        <v/>
      </c>
      <c r="AL1504" s="22" t="str">
        <f>IFERROR(_xlfn.XLOOKUP(Table1[[#This Row],[word]],Table57[English style name],Table57[Style type]),"")</f>
        <v>Paragraph</v>
      </c>
      <c r="AM1504" s="20" t="s">
        <v>846</v>
      </c>
      <c r="AN1504" s="11"/>
    </row>
    <row r="1505" spans="1:47">
      <c r="F15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body/molecules/layer.scss</v>
      </c>
      <c r="G1505" s="13" t="s">
        <v>337</v>
      </c>
      <c r="H1505" s="13" t="s">
        <v>2987</v>
      </c>
      <c r="I1505" s="12" t="str">
        <f>Table1[[#This Row],[type]]</f>
        <v>layer</v>
      </c>
      <c r="J1505" s="62" t="str">
        <f>Table1[[#This Row],[Column42]]&amp;IF(Table1[[#This Row],[Column13]]="","",Table1[[#This Row],[Column13]])&amp;IF(Table1[[#This Row],[mod]]="","",Table1[[#This Row],[mod]])</f>
        <v>layer--base</v>
      </c>
      <c r="K15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layer</v>
      </c>
      <c r="L1505" t="s">
        <v>3138</v>
      </c>
      <c r="P1505" s="6" t="s">
        <v>2088</v>
      </c>
      <c r="Q15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05" t="s">
        <v>338</v>
      </c>
      <c r="AB1505" s="29"/>
      <c r="AC1505" s="25"/>
      <c r="AD1505" s="41"/>
      <c r="AE1505" s="41"/>
      <c r="AF1505" s="11"/>
      <c r="AH1505" s="1" t="str">
        <f>Table1[[#This Row],[html_tag]]&amp;Table1[[#This Row],[html_type]]&amp;Table1[[#This Row],[html_modifier]]</f>
        <v/>
      </c>
      <c r="AL1505" s="22" t="str">
        <f>IFERROR(_xlfn.XLOOKUP(Table1[[#This Row],[word]],Table57[English style name],Table57[Style type]),"")</f>
        <v/>
      </c>
      <c r="AM1505" s="20"/>
      <c r="AN1505" s="11"/>
      <c r="AQ1505" s="6" t="s">
        <v>2088</v>
      </c>
      <c r="AR1505" t="s">
        <v>2089</v>
      </c>
    </row>
    <row r="1506" spans="1:47">
      <c r="F15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06" s="13" t="s">
        <v>337</v>
      </c>
      <c r="H1506" s="13" t="s">
        <v>2989</v>
      </c>
      <c r="I1506" s="12" t="str">
        <f>Table1[[#This Row],[type]]</f>
        <v>layout</v>
      </c>
      <c r="J1506" s="62" t="str">
        <f>Table1[[#This Row],[Column42]]&amp;IF(Table1[[#This Row],[Column13]]="","",Table1[[#This Row],[Column13]])&amp;IF(Table1[[#This Row],[mod]]="","",Table1[[#This Row],[mod]])</f>
        <v>layout</v>
      </c>
      <c r="K15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06" t="s">
        <v>2991</v>
      </c>
      <c r="P1506" s="6" t="s">
        <v>2019</v>
      </c>
      <c r="Q15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6" s="29"/>
      <c r="AC1506" s="25"/>
      <c r="AD1506" s="41"/>
      <c r="AE1506" s="41"/>
      <c r="AF1506" s="11"/>
      <c r="AH1506" s="1" t="str">
        <f>Table1[[#This Row],[html_tag]]&amp;Table1[[#This Row],[html_type]]&amp;Table1[[#This Row],[html_modifier]]</f>
        <v/>
      </c>
      <c r="AL1506" s="22" t="str">
        <f>IFERROR(_xlfn.XLOOKUP(Table1[[#This Row],[word]],Table57[English style name],Table57[Style type]),"")</f>
        <v/>
      </c>
      <c r="AM1506" s="20"/>
      <c r="AN1506" s="11"/>
      <c r="AQ1506" s="6" t="s">
        <v>2019</v>
      </c>
      <c r="AR1506" t="s">
        <v>2020</v>
      </c>
    </row>
    <row r="1507" spans="1:47">
      <c r="F15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07" s="13" t="s">
        <v>337</v>
      </c>
      <c r="H1507" s="13" t="s">
        <v>2989</v>
      </c>
      <c r="I1507" s="12" t="str">
        <f>Table1[[#This Row],[type]]</f>
        <v>layout</v>
      </c>
      <c r="J1507" s="62" t="str">
        <f>Table1[[#This Row],[Column42]]&amp;IF(Table1[[#This Row],[Column13]]="","",Table1[[#This Row],[Column13]])&amp;IF(Table1[[#This Row],[mod]]="","",Table1[[#This Row],[mod]])</f>
        <v>layout</v>
      </c>
      <c r="K15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07" t="s">
        <v>2991</v>
      </c>
      <c r="P1507" s="6" t="s">
        <v>2021</v>
      </c>
      <c r="Q15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7" s="29"/>
      <c r="AC1507" s="25"/>
      <c r="AD1507" s="41"/>
      <c r="AE1507" s="41"/>
      <c r="AF1507" s="11"/>
      <c r="AH1507" s="1" t="str">
        <f>Table1[[#This Row],[html_tag]]&amp;Table1[[#This Row],[html_type]]&amp;Table1[[#This Row],[html_modifier]]</f>
        <v/>
      </c>
      <c r="AL1507" s="22" t="str">
        <f>IFERROR(_xlfn.XLOOKUP(Table1[[#This Row],[word]],Table57[English style name],Table57[Style type]),"")</f>
        <v/>
      </c>
      <c r="AM1507" s="20"/>
      <c r="AN1507" s="11"/>
      <c r="AQ1507" s="6" t="s">
        <v>2021</v>
      </c>
      <c r="AR1507" t="s">
        <v>2020</v>
      </c>
    </row>
    <row r="1508" spans="1:47">
      <c r="F15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08" s="13" t="s">
        <v>337</v>
      </c>
      <c r="H1508" s="13" t="s">
        <v>2989</v>
      </c>
      <c r="I1508" s="12" t="str">
        <f>Table1[[#This Row],[type]]</f>
        <v>layout</v>
      </c>
      <c r="J1508" s="62" t="str">
        <f>Table1[[#This Row],[Column42]]&amp;IF(Table1[[#This Row],[Column13]]="","",Table1[[#This Row],[Column13]])&amp;IF(Table1[[#This Row],[mod]]="","",Table1[[#This Row],[mod]])</f>
        <v>layout</v>
      </c>
      <c r="K15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08" t="s">
        <v>2991</v>
      </c>
      <c r="P1508" s="6" t="s">
        <v>2022</v>
      </c>
      <c r="Q15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8" s="29"/>
      <c r="AC1508" s="25"/>
      <c r="AD1508" s="41"/>
      <c r="AE1508" s="41"/>
      <c r="AF1508" s="11"/>
      <c r="AH1508" s="1" t="str">
        <f>Table1[[#This Row],[html_tag]]&amp;Table1[[#This Row],[html_type]]&amp;Table1[[#This Row],[html_modifier]]</f>
        <v/>
      </c>
      <c r="AL1508" s="22" t="str">
        <f>IFERROR(_xlfn.XLOOKUP(Table1[[#This Row],[word]],Table57[English style name],Table57[Style type]),"")</f>
        <v/>
      </c>
      <c r="AM1508" s="20"/>
      <c r="AN1508" s="11"/>
      <c r="AQ1508" s="6" t="s">
        <v>2022</v>
      </c>
      <c r="AR1508" t="s">
        <v>2020</v>
      </c>
    </row>
    <row r="1509" spans="1:47">
      <c r="F15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09" s="13" t="s">
        <v>337</v>
      </c>
      <c r="H1509" s="13" t="s">
        <v>2989</v>
      </c>
      <c r="I1509" s="12" t="str">
        <f>Table1[[#This Row],[type]]</f>
        <v>layout</v>
      </c>
      <c r="J1509" s="62" t="str">
        <f>Table1[[#This Row],[Column42]]&amp;IF(Table1[[#This Row],[Column13]]="","",Table1[[#This Row],[Column13]])&amp;IF(Table1[[#This Row],[mod]]="","",Table1[[#This Row],[mod]])</f>
        <v>layout</v>
      </c>
      <c r="K15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09" t="s">
        <v>2991</v>
      </c>
      <c r="P1509" s="6" t="s">
        <v>2023</v>
      </c>
      <c r="Q15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9" s="29"/>
      <c r="AC1509" s="25"/>
      <c r="AD1509" s="41"/>
      <c r="AE1509" s="41"/>
      <c r="AF1509" s="11"/>
      <c r="AH1509" s="1" t="str">
        <f>Table1[[#This Row],[html_tag]]&amp;Table1[[#This Row],[html_type]]&amp;Table1[[#This Row],[html_modifier]]</f>
        <v/>
      </c>
      <c r="AL1509" s="22" t="str">
        <f>IFERROR(_xlfn.XLOOKUP(Table1[[#This Row],[word]],Table57[English style name],Table57[Style type]),"")</f>
        <v/>
      </c>
      <c r="AM1509" s="20"/>
      <c r="AN1509" s="11"/>
      <c r="AQ1509" s="6" t="s">
        <v>2023</v>
      </c>
      <c r="AR1509" t="s">
        <v>2020</v>
      </c>
    </row>
    <row r="1510" spans="1:47">
      <c r="F15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10" s="13" t="s">
        <v>337</v>
      </c>
      <c r="H1510" s="13" t="s">
        <v>2989</v>
      </c>
      <c r="I1510" s="12" t="str">
        <f>Table1[[#This Row],[type]]</f>
        <v>layout</v>
      </c>
      <c r="J1510" s="62" t="str">
        <f>Table1[[#This Row],[Column42]]&amp;IF(Table1[[#This Row],[Column13]]="","",Table1[[#This Row],[Column13]])&amp;IF(Table1[[#This Row],[mod]]="","",Table1[[#This Row],[mod]])</f>
        <v>layout</v>
      </c>
      <c r="K15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10" t="s">
        <v>2991</v>
      </c>
      <c r="P1510" s="6" t="s">
        <v>2024</v>
      </c>
      <c r="Q15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0" s="29"/>
      <c r="AC1510" s="25"/>
      <c r="AD1510" s="41"/>
      <c r="AE1510" s="41"/>
      <c r="AF1510" s="11"/>
      <c r="AH1510" s="1" t="str">
        <f>Table1[[#This Row],[html_tag]]&amp;Table1[[#This Row],[html_type]]&amp;Table1[[#This Row],[html_modifier]]</f>
        <v/>
      </c>
      <c r="AL1510" s="22" t="str">
        <f>IFERROR(_xlfn.XLOOKUP(Table1[[#This Row],[word]],Table57[English style name],Table57[Style type]),"")</f>
        <v/>
      </c>
      <c r="AM1510" s="20"/>
      <c r="AN1510" s="11"/>
      <c r="AQ1510" s="6" t="s">
        <v>2024</v>
      </c>
      <c r="AR1510" t="s">
        <v>2020</v>
      </c>
    </row>
    <row r="1511" spans="1:47">
      <c r="F15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11" s="13" t="s">
        <v>337</v>
      </c>
      <c r="H1511" s="13" t="s">
        <v>2989</v>
      </c>
      <c r="I1511" s="12" t="str">
        <f>Table1[[#This Row],[type]]</f>
        <v>layout</v>
      </c>
      <c r="J1511" s="62" t="str">
        <f>Table1[[#This Row],[Column42]]&amp;IF(Table1[[#This Row],[Column13]]="","",Table1[[#This Row],[Column13]])&amp;IF(Table1[[#This Row],[mod]]="","",Table1[[#This Row],[mod]])</f>
        <v>layout</v>
      </c>
      <c r="K15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11" t="s">
        <v>2991</v>
      </c>
      <c r="P1511" s="6" t="s">
        <v>2025</v>
      </c>
      <c r="Q15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1" s="29"/>
      <c r="AC1511" s="25"/>
      <c r="AD1511" s="41"/>
      <c r="AE1511" s="41"/>
      <c r="AF1511" s="11"/>
      <c r="AH1511" s="1" t="str">
        <f>Table1[[#This Row],[html_tag]]&amp;Table1[[#This Row],[html_type]]&amp;Table1[[#This Row],[html_modifier]]</f>
        <v/>
      </c>
      <c r="AL1511" s="22" t="str">
        <f>IFERROR(_xlfn.XLOOKUP(Table1[[#This Row],[word]],Table57[English style name],Table57[Style type]),"")</f>
        <v/>
      </c>
      <c r="AM1511" s="20"/>
      <c r="AN1511" s="11"/>
      <c r="AQ1511" s="6" t="s">
        <v>2025</v>
      </c>
      <c r="AR1511" t="s">
        <v>2020</v>
      </c>
    </row>
    <row r="1512" spans="1:47">
      <c r="F15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2" s="13" t="s">
        <v>337</v>
      </c>
      <c r="H1512" s="13" t="s">
        <v>2987</v>
      </c>
      <c r="I1512" s="12" t="str">
        <f>Table1[[#This Row],[type]]</f>
        <v>level</v>
      </c>
      <c r="J1512" s="62" t="str">
        <f>Table1[[#This Row],[Column42]]&amp;IF(Table1[[#This Row],[Column13]]="","",Table1[[#This Row],[Column13]])&amp;IF(Table1[[#This Row],[mod]]="","",Table1[[#This Row],[mod]])</f>
        <v>level</v>
      </c>
      <c r="K15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12" t="s">
        <v>3355</v>
      </c>
      <c r="Q15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2" s="29" t="s">
        <v>4353</v>
      </c>
      <c r="AC1512" s="25"/>
      <c r="AD1512" s="41"/>
      <c r="AE1512" s="41"/>
      <c r="AF1512" s="11" t="s">
        <v>226</v>
      </c>
      <c r="AH1512" s="7" t="str">
        <f>Table1[[#This Row],[html_tag]]&amp;Table1[[#This Row],[html_type]]&amp;Table1[[#This Row],[html_modifier]]</f>
        <v/>
      </c>
      <c r="AL1512" s="23" t="str">
        <f>IFERROR(_xlfn.XLOOKUP(Table1[[#This Row],[word]],Table57[English style name],Table57[Style type]),"")</f>
        <v/>
      </c>
      <c r="AM1512" s="21"/>
      <c r="AN1512" s="11"/>
    </row>
    <row r="1513" spans="1:47">
      <c r="E1513" s="76"/>
      <c r="F15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3" s="13" t="s">
        <v>337</v>
      </c>
      <c r="H1513" s="13" t="s">
        <v>2987</v>
      </c>
      <c r="I1513" s="77" t="str">
        <f>Table1[[#This Row],[type]]</f>
        <v>level</v>
      </c>
      <c r="J1513" s="62" t="str">
        <f>Table1[[#This Row],[Column42]]&amp;IF(Table1[[#This Row],[Column13]]="","",Table1[[#This Row],[Column13]])&amp;IF(Table1[[#This Row],[mod]]="","",Table1[[#This Row],[mod]])</f>
        <v>level__left</v>
      </c>
      <c r="K15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level__left</v>
      </c>
      <c r="L1513" t="s">
        <v>3355</v>
      </c>
      <c r="N1513" t="s">
        <v>616</v>
      </c>
      <c r="Q15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3" s="29" t="s">
        <v>4355</v>
      </c>
      <c r="AC1513" s="25"/>
      <c r="AD1513" s="41"/>
      <c r="AE1513" s="41"/>
      <c r="AF1513" s="11" t="s">
        <v>226</v>
      </c>
      <c r="AH1513" s="7" t="str">
        <f>Table1[[#This Row],[html_tag]]&amp;Table1[[#This Row],[html_type]]&amp;Table1[[#This Row],[html_modifier]]</f>
        <v/>
      </c>
      <c r="AL1513" s="23" t="str">
        <f>IFERROR(_xlfn.XLOOKUP(Table1[[#This Row],[word]],Table57[English style name],Table57[Style type]),"")</f>
        <v/>
      </c>
      <c r="AM1513" s="21"/>
      <c r="AN1513" s="11"/>
    </row>
    <row r="1514" spans="1:47">
      <c r="F15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4" s="13" t="s">
        <v>337</v>
      </c>
      <c r="H1514" s="13" t="s">
        <v>2987</v>
      </c>
      <c r="I1514" s="12" t="str">
        <f>Table1[[#This Row],[type]]</f>
        <v>level</v>
      </c>
      <c r="J1514" s="62" t="str">
        <f>Table1[[#This Row],[Column42]]&amp;IF(Table1[[#This Row],[Column13]]="","",Table1[[#This Row],[Column13]])&amp;IF(Table1[[#This Row],[mod]]="","",Table1[[#This Row],[mod]])</f>
        <v>level__list</v>
      </c>
      <c r="K15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level__list</v>
      </c>
      <c r="L1514" t="s">
        <v>3355</v>
      </c>
      <c r="M1514" t="s">
        <v>325</v>
      </c>
      <c r="Q15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4" s="29" t="s">
        <v>4354</v>
      </c>
      <c r="AC1514" s="25"/>
      <c r="AD1514" s="41"/>
      <c r="AE1514" s="41"/>
      <c r="AF1514" s="11" t="s">
        <v>211</v>
      </c>
      <c r="AH1514" s="7" t="str">
        <f>Table1[[#This Row],[html_tag]]&amp;Table1[[#This Row],[html_type]]&amp;Table1[[#This Row],[html_modifier]]</f>
        <v/>
      </c>
      <c r="AL1514" s="23" t="str">
        <f>IFERROR(_xlfn.XLOOKUP(Table1[[#This Row],[word]],Table57[English style name],Table57[Style type]),"")</f>
        <v/>
      </c>
      <c r="AM1514" s="21"/>
      <c r="AN1514" s="11"/>
    </row>
    <row r="1515" spans="1:47">
      <c r="A1515" s="68"/>
      <c r="B1515" s="68"/>
      <c r="C1515" s="68"/>
      <c r="D1515" s="69"/>
      <c r="E1515" s="84"/>
      <c r="F1515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5" s="13" t="s">
        <v>337</v>
      </c>
      <c r="H1515" s="13" t="s">
        <v>2987</v>
      </c>
      <c r="I1515" s="85" t="str">
        <f>Table1[[#This Row],[type]]</f>
        <v>level</v>
      </c>
      <c r="J1515" s="72" t="str">
        <f>Table1[[#This Row],[Column42]]&amp;IF(Table1[[#This Row],[Column13]]="","",Table1[[#This Row],[Column13]])&amp;IF(Table1[[#This Row],[mod]]="","",Table1[[#This Row],[mod]])</f>
        <v>level__list</v>
      </c>
      <c r="K1515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level__list</v>
      </c>
      <c r="L1515" t="s">
        <v>3355</v>
      </c>
      <c r="M1515" t="s">
        <v>325</v>
      </c>
      <c r="Q1515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5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5" s="29"/>
      <c r="AC1515" s="25"/>
      <c r="AD1515" s="41"/>
      <c r="AE1515" s="41"/>
      <c r="AF1515" s="11" t="s">
        <v>309</v>
      </c>
      <c r="AH1515" s="75" t="str">
        <f>Table1[[#This Row],[html_tag]]&amp;Table1[[#This Row],[html_type]]&amp;Table1[[#This Row],[html_modifier]]</f>
        <v/>
      </c>
      <c r="AL1515" s="23" t="str">
        <f>IFERROR(_xlfn.XLOOKUP(Table1[[#This Row],[word]],Table57[English style name],Table57[Style type]),"")</f>
        <v/>
      </c>
      <c r="AM1515" s="21"/>
      <c r="AN1515" s="70"/>
      <c r="AO1515" s="67"/>
      <c r="AP1515" s="67"/>
      <c r="AQ1515" s="67"/>
      <c r="AR1515" s="67"/>
      <c r="AS1515" s="67"/>
      <c r="AT1515" s="67"/>
      <c r="AU1515" s="67"/>
    </row>
    <row r="1516" spans="1:47">
      <c r="E1516" s="76"/>
      <c r="F15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6" s="13" t="s">
        <v>337</v>
      </c>
      <c r="H1516" s="13" t="s">
        <v>2987</v>
      </c>
      <c r="I1516" s="77" t="str">
        <f>Table1[[#This Row],[type]]</f>
        <v>level</v>
      </c>
      <c r="J1516" s="62" t="str">
        <f>Table1[[#This Row],[Column42]]&amp;IF(Table1[[#This Row],[Column13]]="","",Table1[[#This Row],[Column13]])&amp;IF(Table1[[#This Row],[mod]]="","",Table1[[#This Row],[mod]])</f>
        <v>level__right</v>
      </c>
      <c r="K15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level__right</v>
      </c>
      <c r="L1516" t="s">
        <v>3355</v>
      </c>
      <c r="N1516" t="s">
        <v>617</v>
      </c>
      <c r="Q15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6" s="29" t="s">
        <v>4356</v>
      </c>
      <c r="AC1516" s="25"/>
      <c r="AD1516" s="41"/>
      <c r="AE1516" s="41"/>
      <c r="AF1516" s="11" t="s">
        <v>226</v>
      </c>
      <c r="AH1516" s="7" t="str">
        <f>Table1[[#This Row],[html_tag]]&amp;Table1[[#This Row],[html_type]]&amp;Table1[[#This Row],[html_modifier]]</f>
        <v/>
      </c>
      <c r="AL1516" s="23" t="str">
        <f>IFERROR(_xlfn.XLOOKUP(Table1[[#This Row],[word]],Table57[English style name],Table57[Style type]),"")</f>
        <v/>
      </c>
      <c r="AM1516" s="21"/>
      <c r="AN1516" s="11"/>
    </row>
    <row r="1517" spans="1:47">
      <c r="A1517" s="68"/>
      <c r="B1517" s="68"/>
      <c r="C1517" s="68"/>
      <c r="D1517" s="69"/>
      <c r="E1517" s="84"/>
      <c r="F1517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7" s="13" t="s">
        <v>337</v>
      </c>
      <c r="H1517" s="13" t="s">
        <v>2987</v>
      </c>
      <c r="I1517" s="85" t="str">
        <f>Table1[[#This Row],[type]]</f>
        <v>level</v>
      </c>
      <c r="J1517" s="72" t="str">
        <f>Table1[[#This Row],[Column42]]&amp;IF(Table1[[#This Row],[Column13]]="","",Table1[[#This Row],[Column13]])&amp;IF(Table1[[#This Row],[mod]]="","",Table1[[#This Row],[mod]])</f>
        <v>level--horizontal</v>
      </c>
      <c r="K1517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17" t="s">
        <v>3355</v>
      </c>
      <c r="Q1517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7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517" t="s">
        <v>3205</v>
      </c>
      <c r="AB1517" s="29"/>
      <c r="AC1517" s="25"/>
      <c r="AD1517" s="41"/>
      <c r="AE1517" s="41"/>
      <c r="AF1517" s="11" t="s">
        <v>226</v>
      </c>
      <c r="AH1517" s="75" t="str">
        <f>Table1[[#This Row],[html_tag]]&amp;Table1[[#This Row],[html_type]]&amp;Table1[[#This Row],[html_modifier]]</f>
        <v/>
      </c>
      <c r="AL1517" s="23" t="str">
        <f>IFERROR(_xlfn.XLOOKUP(Table1[[#This Row],[word]],Table57[English style name],Table57[Style type]),"")</f>
        <v/>
      </c>
      <c r="AM1517" s="21"/>
      <c r="AN1517" s="70"/>
      <c r="AO1517" s="67"/>
      <c r="AP1517" s="67"/>
      <c r="AQ1517" s="67"/>
      <c r="AR1517" s="67"/>
      <c r="AS1517" s="67"/>
      <c r="AT1517" s="67"/>
      <c r="AU1517" s="67"/>
    </row>
    <row r="1518" spans="1:47">
      <c r="A1518" s="68"/>
      <c r="B1518" s="68"/>
      <c r="C1518" s="68"/>
      <c r="D1518" s="69"/>
      <c r="E1518" s="84"/>
      <c r="F1518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8" s="13" t="s">
        <v>337</v>
      </c>
      <c r="H1518" s="13" t="s">
        <v>2987</v>
      </c>
      <c r="I1518" s="85" t="str">
        <f>Table1[[#This Row],[type]]</f>
        <v>level</v>
      </c>
      <c r="J1518" s="72" t="str">
        <f>Table1[[#This Row],[Column42]]&amp;IF(Table1[[#This Row],[Column13]]="","",Table1[[#This Row],[Column13]])&amp;IF(Table1[[#This Row],[mod]]="","",Table1[[#This Row],[mod]])</f>
        <v>level--inline</v>
      </c>
      <c r="K1518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18" t="s">
        <v>3355</v>
      </c>
      <c r="Q1518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8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--inline</v>
      </c>
      <c r="X1518" t="s">
        <v>323</v>
      </c>
      <c r="AB1518" s="29"/>
      <c r="AC1518" s="25"/>
      <c r="AD1518" s="41"/>
      <c r="AE1518" s="41"/>
      <c r="AF1518" s="11"/>
      <c r="AH1518" s="75" t="str">
        <f>Table1[[#This Row],[html_tag]]&amp;Table1[[#This Row],[html_type]]&amp;Table1[[#This Row],[html_modifier]]</f>
        <v/>
      </c>
      <c r="AL1518" s="23" t="str">
        <f>IFERROR(_xlfn.XLOOKUP(Table1[[#This Row],[word]],Table57[English style name],Table57[Style type]),"")</f>
        <v/>
      </c>
      <c r="AM1518" s="21"/>
      <c r="AN1518" s="70"/>
      <c r="AO1518" s="67"/>
      <c r="AP1518" s="67"/>
      <c r="AQ1518" s="67"/>
      <c r="AR1518" s="67"/>
      <c r="AS1518" s="67"/>
      <c r="AT1518" s="67"/>
      <c r="AU1518" s="67"/>
    </row>
    <row r="1519" spans="1:47">
      <c r="A1519" s="68"/>
      <c r="B1519" s="68"/>
      <c r="C1519" s="68"/>
      <c r="D1519" s="69"/>
      <c r="E1519" s="84"/>
      <c r="F1519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9" s="13" t="s">
        <v>337</v>
      </c>
      <c r="H1519" s="13" t="s">
        <v>2987</v>
      </c>
      <c r="I1519" s="85" t="str">
        <f>Table1[[#This Row],[type]]</f>
        <v>level</v>
      </c>
      <c r="J1519" s="72" t="str">
        <f>Table1[[#This Row],[Column42]]&amp;IF(Table1[[#This Row],[Column13]]="","",Table1[[#This Row],[Column13]])&amp;IF(Table1[[#This Row],[mod]]="","",Table1[[#This Row],[mod]])</f>
        <v>level--lg</v>
      </c>
      <c r="K1519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19" t="s">
        <v>3355</v>
      </c>
      <c r="Q1519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9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519" t="s">
        <v>3114</v>
      </c>
      <c r="AB1519" s="29"/>
      <c r="AC1519" s="25"/>
      <c r="AD1519" s="41"/>
      <c r="AE1519" s="41"/>
      <c r="AF1519" s="11" t="s">
        <v>226</v>
      </c>
      <c r="AH1519" s="75" t="str">
        <f>Table1[[#This Row],[html_tag]]&amp;Table1[[#This Row],[html_type]]&amp;Table1[[#This Row],[html_modifier]]</f>
        <v/>
      </c>
      <c r="AL1519" s="23" t="str">
        <f>IFERROR(_xlfn.XLOOKUP(Table1[[#This Row],[word]],Table57[English style name],Table57[Style type]),"")</f>
        <v/>
      </c>
      <c r="AM1519" s="21"/>
      <c r="AN1519" s="70"/>
      <c r="AO1519" s="67"/>
      <c r="AP1519" s="67"/>
      <c r="AQ1519" s="67"/>
      <c r="AR1519" s="67"/>
      <c r="AS1519" s="67"/>
      <c r="AT1519" s="67"/>
      <c r="AU1519" s="67"/>
    </row>
    <row r="1520" spans="1:47">
      <c r="A1520" s="68"/>
      <c r="B1520" s="68"/>
      <c r="C1520" s="68"/>
      <c r="D1520" s="69"/>
      <c r="E1520" s="84"/>
      <c r="F1520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20" s="13" t="s">
        <v>337</v>
      </c>
      <c r="H1520" s="13" t="s">
        <v>2987</v>
      </c>
      <c r="I1520" s="85" t="str">
        <f>Table1[[#This Row],[type]]</f>
        <v>level</v>
      </c>
      <c r="J1520" s="72" t="str">
        <f>Table1[[#This Row],[Column42]]&amp;IF(Table1[[#This Row],[Column13]]="","",Table1[[#This Row],[Column13]])&amp;IF(Table1[[#This Row],[mod]]="","",Table1[[#This Row],[mod]])</f>
        <v>level--md</v>
      </c>
      <c r="K1520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20" t="s">
        <v>3355</v>
      </c>
      <c r="Q1520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0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520" t="s">
        <v>3115</v>
      </c>
      <c r="AB1520" s="29"/>
      <c r="AC1520" s="25"/>
      <c r="AD1520" s="41"/>
      <c r="AE1520" s="41"/>
      <c r="AF1520" s="11" t="s">
        <v>226</v>
      </c>
      <c r="AH1520" s="75" t="str">
        <f>Table1[[#This Row],[html_tag]]&amp;Table1[[#This Row],[html_type]]&amp;Table1[[#This Row],[html_modifier]]</f>
        <v/>
      </c>
      <c r="AL1520" s="23" t="str">
        <f>IFERROR(_xlfn.XLOOKUP(Table1[[#This Row],[word]],Table57[English style name],Table57[Style type]),"")</f>
        <v/>
      </c>
      <c r="AM1520" s="21"/>
      <c r="AN1520" s="70"/>
      <c r="AO1520" s="67"/>
      <c r="AP1520" s="67"/>
      <c r="AQ1520" s="67"/>
      <c r="AR1520" s="67"/>
      <c r="AS1520" s="67"/>
      <c r="AT1520" s="67"/>
      <c r="AU1520" s="67"/>
    </row>
    <row r="1521" spans="1:47">
      <c r="E1521" s="76"/>
      <c r="F15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21" s="13" t="s">
        <v>337</v>
      </c>
      <c r="H1521" s="13" t="s">
        <v>2987</v>
      </c>
      <c r="I1521" s="77" t="str">
        <f>Table1[[#This Row],[type]]</f>
        <v>level</v>
      </c>
      <c r="J1521" s="62" t="str">
        <f>Table1[[#This Row],[Column42]]&amp;IF(Table1[[#This Row],[Column13]]="","",Table1[[#This Row],[Column13]])&amp;IF(Table1[[#This Row],[mod]]="","",Table1[[#This Row],[mod]])</f>
        <v>level--mobile</v>
      </c>
      <c r="K15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21" t="s">
        <v>3355</v>
      </c>
      <c r="Q15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--mobile</v>
      </c>
      <c r="S1521" t="s">
        <v>10222</v>
      </c>
      <c r="U15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1" s="29" t="s">
        <v>4357</v>
      </c>
      <c r="AC1521" s="25"/>
      <c r="AD1521" s="41"/>
      <c r="AE1521" s="41"/>
      <c r="AF1521" s="11" t="s">
        <v>226</v>
      </c>
      <c r="AH1521" s="7" t="str">
        <f>Table1[[#This Row],[html_tag]]&amp;Table1[[#This Row],[html_type]]&amp;Table1[[#This Row],[html_modifier]]</f>
        <v/>
      </c>
      <c r="AL1521" s="23" t="str">
        <f>IFERROR(_xlfn.XLOOKUP(Table1[[#This Row],[word]],Table57[English style name],Table57[Style type]),"")</f>
        <v/>
      </c>
      <c r="AM1521" s="21"/>
      <c r="AN1521" s="11"/>
    </row>
    <row r="1522" spans="1:47">
      <c r="A1522" s="68"/>
      <c r="B1522" s="68"/>
      <c r="C1522" s="68"/>
      <c r="D1522" s="69"/>
      <c r="E1522" s="84"/>
      <c r="F1522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22" s="13" t="s">
        <v>337</v>
      </c>
      <c r="H1522" s="13" t="s">
        <v>2987</v>
      </c>
      <c r="I1522" s="85" t="str">
        <f>Table1[[#This Row],[type]]</f>
        <v>level</v>
      </c>
      <c r="J1522" s="72" t="str">
        <f>Table1[[#This Row],[Column42]]&amp;IF(Table1[[#This Row],[Column13]]="","",Table1[[#This Row],[Column13]])&amp;IF(Table1[[#This Row],[mod]]="","",Table1[[#This Row],[mod]])</f>
        <v>level--sm</v>
      </c>
      <c r="K1522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22" t="s">
        <v>3355</v>
      </c>
      <c r="Q1522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2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522" t="s">
        <v>3116</v>
      </c>
      <c r="AB1522" s="29"/>
      <c r="AC1522" s="25"/>
      <c r="AD1522" s="41"/>
      <c r="AE1522" s="41"/>
      <c r="AF1522" s="11" t="s">
        <v>226</v>
      </c>
      <c r="AH1522" s="75" t="str">
        <f>Table1[[#This Row],[html_tag]]&amp;Table1[[#This Row],[html_type]]&amp;Table1[[#This Row],[html_modifier]]</f>
        <v/>
      </c>
      <c r="AL1522" s="23" t="str">
        <f>IFERROR(_xlfn.XLOOKUP(Table1[[#This Row],[word]],Table57[English style name],Table57[Style type]),"")</f>
        <v/>
      </c>
      <c r="AM1522" s="21"/>
      <c r="AN1522" s="70"/>
      <c r="AO1522" s="67"/>
      <c r="AP1522" s="67"/>
      <c r="AQ1522" s="67"/>
      <c r="AR1522" s="67"/>
      <c r="AS1522" s="67"/>
      <c r="AT1522" s="67"/>
      <c r="AU1522" s="67"/>
    </row>
    <row r="1523" spans="1:47">
      <c r="A1523" s="68"/>
      <c r="B1523" s="68"/>
      <c r="C1523" s="68"/>
      <c r="D1523" s="69"/>
      <c r="E1523" s="84"/>
      <c r="F1523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23" s="13" t="s">
        <v>337</v>
      </c>
      <c r="H1523" s="13" t="s">
        <v>2987</v>
      </c>
      <c r="I1523" s="85" t="str">
        <f>Table1[[#This Row],[type]]</f>
        <v>level</v>
      </c>
      <c r="J1523" s="72" t="str">
        <f>Table1[[#This Row],[Column42]]&amp;IF(Table1[[#This Row],[Column13]]="","",Table1[[#This Row],[Column13]])&amp;IF(Table1[[#This Row],[mod]]="","",Table1[[#This Row],[mod]])</f>
        <v>level--vertical</v>
      </c>
      <c r="K1523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23" t="s">
        <v>3355</v>
      </c>
      <c r="Q1523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3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523" t="s">
        <v>2943</v>
      </c>
      <c r="AB1523" s="29"/>
      <c r="AC1523" s="25"/>
      <c r="AD1523" s="41"/>
      <c r="AE1523" s="41"/>
      <c r="AF1523" s="11" t="s">
        <v>226</v>
      </c>
      <c r="AH1523" s="75" t="str">
        <f>Table1[[#This Row],[html_tag]]&amp;Table1[[#This Row],[html_type]]&amp;Table1[[#This Row],[html_modifier]]</f>
        <v/>
      </c>
      <c r="AL1523" s="23" t="str">
        <f>IFERROR(_xlfn.XLOOKUP(Table1[[#This Row],[word]],Table57[English style name],Table57[Style type]),"")</f>
        <v/>
      </c>
      <c r="AM1523" s="21"/>
      <c r="AN1523" s="70"/>
      <c r="AO1523" s="67"/>
      <c r="AP1523" s="67"/>
      <c r="AQ1523" s="67"/>
      <c r="AR1523" s="67"/>
      <c r="AS1523" s="67"/>
      <c r="AT1523" s="67"/>
      <c r="AU1523" s="67"/>
    </row>
    <row r="1524" spans="1:47">
      <c r="F15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524" s="13" t="s">
        <v>2992</v>
      </c>
      <c r="H1524" s="13" t="s">
        <v>2993</v>
      </c>
      <c r="I1524" s="12" t="str">
        <f>Table1[[#This Row],[type]]</f>
        <v>line</v>
      </c>
      <c r="J1524" s="62" t="str">
        <f>Table1[[#This Row],[Column42]]&amp;IF(Table1[[#This Row],[Column13]]="","",Table1[[#This Row],[Column13]])&amp;IF(Table1[[#This Row],[mod]]="","",Table1[[#This Row],[mod]])</f>
        <v>line</v>
      </c>
      <c r="K15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line</v>
      </c>
      <c r="L1524" t="s">
        <v>2993</v>
      </c>
      <c r="P1524" s="6" t="s">
        <v>2441</v>
      </c>
      <c r="Q15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4" s="29"/>
      <c r="AC1524" s="25"/>
      <c r="AD1524" s="41"/>
      <c r="AE1524" s="41"/>
      <c r="AF1524" s="11"/>
      <c r="AH1524" s="1" t="str">
        <f>Table1[[#This Row],[html_tag]]&amp;Table1[[#This Row],[html_type]]&amp;Table1[[#This Row],[html_modifier]]</f>
        <v/>
      </c>
      <c r="AL1524" s="22" t="str">
        <f>IFERROR(_xlfn.XLOOKUP(Table1[[#This Row],[word]],Table57[English style name],Table57[Style type]),"")</f>
        <v/>
      </c>
      <c r="AM1524" s="20"/>
      <c r="AN1524" s="11"/>
      <c r="AQ1524" s="6" t="s">
        <v>2441</v>
      </c>
      <c r="AR1524" t="s">
        <v>2424</v>
      </c>
    </row>
    <row r="1525" spans="1:47">
      <c r="F15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525" s="13" t="s">
        <v>2992</v>
      </c>
      <c r="H1525" s="13" t="s">
        <v>2993</v>
      </c>
      <c r="I1525" s="12" t="str">
        <f>Table1[[#This Row],[type]]</f>
        <v>line</v>
      </c>
      <c r="J1525" s="62" t="str">
        <f>Table1[[#This Row],[Column42]]&amp;IF(Table1[[#This Row],[Column13]]="","",Table1[[#This Row],[Column13]])&amp;IF(Table1[[#This Row],[mod]]="","",Table1[[#This Row],[mod]])</f>
        <v>line</v>
      </c>
      <c r="K15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line</v>
      </c>
      <c r="L1525" t="s">
        <v>2993</v>
      </c>
      <c r="P1525" s="6" t="s">
        <v>2442</v>
      </c>
      <c r="Q15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5" s="29"/>
      <c r="AC1525" s="25"/>
      <c r="AD1525" s="41"/>
      <c r="AE1525" s="41"/>
      <c r="AF1525" s="11"/>
      <c r="AH1525" s="1" t="str">
        <f>Table1[[#This Row],[html_tag]]&amp;Table1[[#This Row],[html_type]]&amp;Table1[[#This Row],[html_modifier]]</f>
        <v/>
      </c>
      <c r="AL1525" s="22" t="str">
        <f>IFERROR(_xlfn.XLOOKUP(Table1[[#This Row],[word]],Table57[English style name],Table57[Style type]),"")</f>
        <v/>
      </c>
      <c r="AM1525" s="20"/>
      <c r="AN1525" s="11"/>
      <c r="AQ1525" s="6" t="s">
        <v>2442</v>
      </c>
      <c r="AR1525" t="s">
        <v>2424</v>
      </c>
    </row>
    <row r="1526" spans="1:47">
      <c r="F15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head/content/main.scss</v>
      </c>
      <c r="G1526" s="13" t="s">
        <v>461</v>
      </c>
      <c r="H1526" s="13" t="s">
        <v>2990</v>
      </c>
      <c r="I1526" s="12" t="str">
        <f>Table1[[#This Row],[type]]</f>
        <v>main</v>
      </c>
      <c r="J1526" s="62" t="str">
        <f>Table1[[#This Row],[Column42]]&amp;IF(Table1[[#This Row],[Column13]]="","",Table1[[#This Row],[Column13]])&amp;IF(Table1[[#This Row],[mod]]="","",Table1[[#This Row],[mod]])</f>
        <v>main__header</v>
      </c>
      <c r="K15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main__header</v>
      </c>
      <c r="L1526" t="s">
        <v>559</v>
      </c>
      <c r="O1526" t="s">
        <v>465</v>
      </c>
      <c r="Q15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6" s="29"/>
      <c r="AC1526" s="25"/>
      <c r="AD1526" s="41"/>
      <c r="AE1526" s="41"/>
      <c r="AF1526" s="11"/>
      <c r="AH1526" s="1" t="str">
        <f>Table1[[#This Row],[html_tag]]&amp;Table1[[#This Row],[html_type]]&amp;Table1[[#This Row],[html_modifier]]</f>
        <v/>
      </c>
      <c r="AL1526" s="22" t="str">
        <f>IFERROR(_xlfn.XLOOKUP(Table1[[#This Row],[word]],Table57[English style name],Table57[Style type]),"")</f>
        <v/>
      </c>
      <c r="AM1526" s="20"/>
      <c r="AN1526" s="11"/>
      <c r="AQ1526" s="6" t="s">
        <v>2087</v>
      </c>
      <c r="AR1526" t="s">
        <v>2082</v>
      </c>
    </row>
    <row r="1527" spans="1:47">
      <c r="F15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body/molecules/map.scss</v>
      </c>
      <c r="G1527" s="13" t="s">
        <v>337</v>
      </c>
      <c r="H1527" s="13" t="s">
        <v>2987</v>
      </c>
      <c r="I1527" s="12" t="str">
        <f>Table1[[#This Row],[type]]</f>
        <v>map</v>
      </c>
      <c r="J1527" s="62" t="str">
        <f>Table1[[#This Row],[Column42]]&amp;IF(Table1[[#This Row],[Column13]]="","",Table1[[#This Row],[Column13]])&amp;IF(Table1[[#This Row],[mod]]="","",Table1[[#This Row],[mod]])</f>
        <v>map--base</v>
      </c>
      <c r="K15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map</v>
      </c>
      <c r="L1527" t="s">
        <v>560</v>
      </c>
      <c r="P1527" s="6" t="s">
        <v>2090</v>
      </c>
      <c r="Q15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27" t="s">
        <v>338</v>
      </c>
      <c r="AB1527" s="29"/>
      <c r="AC1527" s="25"/>
      <c r="AD1527" s="41"/>
      <c r="AE1527" s="41"/>
      <c r="AF1527" s="11" t="s">
        <v>166</v>
      </c>
      <c r="AH1527" s="1" t="str">
        <f>Table1[[#This Row],[html_tag]]&amp;Table1[[#This Row],[html_type]]&amp;Table1[[#This Row],[html_modifier]]</f>
        <v/>
      </c>
      <c r="AL1527" s="22" t="str">
        <f>IFERROR(_xlfn.XLOOKUP(Table1[[#This Row],[word]],Table57[English style name],Table57[Style type]),"")</f>
        <v/>
      </c>
      <c r="AM1527" s="20"/>
      <c r="AN1527" s="11"/>
      <c r="AQ1527" s="6" t="s">
        <v>2090</v>
      </c>
      <c r="AR1527" t="s">
        <v>2089</v>
      </c>
    </row>
    <row r="1528" spans="1:47">
      <c r="F15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28" s="13" t="s">
        <v>461</v>
      </c>
      <c r="H1528" s="13" t="s">
        <v>2991</v>
      </c>
      <c r="I1528" s="12" t="str">
        <f>Table1[[#This Row],[type]]</f>
        <v>margin</v>
      </c>
      <c r="J1528" s="62" t="str">
        <f>Table1[[#This Row],[Column42]]&amp;IF(Table1[[#This Row],[Column13]]="","",Table1[[#This Row],[Column13]])&amp;IF(Table1[[#This Row],[mod]]="","",Table1[[#This Row],[mod]])</f>
        <v>margin</v>
      </c>
      <c r="K15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28" t="s">
        <v>2091</v>
      </c>
      <c r="P1528" s="6" t="s">
        <v>2091</v>
      </c>
      <c r="Q15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8" s="29"/>
      <c r="AC1528" s="25"/>
      <c r="AD1528" s="41"/>
      <c r="AE1528" s="41"/>
      <c r="AF1528" s="11"/>
      <c r="AH1528" s="1" t="str">
        <f>Table1[[#This Row],[html_tag]]&amp;Table1[[#This Row],[html_type]]&amp;Table1[[#This Row],[html_modifier]]</f>
        <v/>
      </c>
      <c r="AL1528" s="22" t="str">
        <f>IFERROR(_xlfn.XLOOKUP(Table1[[#This Row],[word]],Table57[English style name],Table57[Style type]),"")</f>
        <v/>
      </c>
      <c r="AM1528" s="20"/>
      <c r="AN1528" s="11"/>
      <c r="AQ1528" s="6" t="s">
        <v>2091</v>
      </c>
      <c r="AR1528" t="s">
        <v>2092</v>
      </c>
    </row>
    <row r="1529" spans="1:47">
      <c r="F15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29" s="13" t="s">
        <v>461</v>
      </c>
      <c r="H1529" s="13" t="s">
        <v>2991</v>
      </c>
      <c r="I1529" s="12" t="str">
        <f>Table1[[#This Row],[type]]</f>
        <v>margin</v>
      </c>
      <c r="J1529" s="62" t="str">
        <f>Table1[[#This Row],[Column42]]&amp;IF(Table1[[#This Row],[Column13]]="","",Table1[[#This Row],[Column13]])&amp;IF(Table1[[#This Row],[mod]]="","",Table1[[#This Row],[mod]])</f>
        <v>margin</v>
      </c>
      <c r="K15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29" t="s">
        <v>2091</v>
      </c>
      <c r="P1529" s="6" t="s">
        <v>2093</v>
      </c>
      <c r="Q15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9" s="29"/>
      <c r="AC1529" s="25"/>
      <c r="AD1529" s="41"/>
      <c r="AE1529" s="41"/>
      <c r="AF1529" s="11"/>
      <c r="AH1529" s="1" t="str">
        <f>Table1[[#This Row],[html_tag]]&amp;Table1[[#This Row],[html_type]]&amp;Table1[[#This Row],[html_modifier]]</f>
        <v/>
      </c>
      <c r="AL1529" s="22" t="str">
        <f>IFERROR(_xlfn.XLOOKUP(Table1[[#This Row],[word]],Table57[English style name],Table57[Style type]),"")</f>
        <v/>
      </c>
      <c r="AM1529" s="20"/>
      <c r="AN1529" s="11"/>
      <c r="AQ1529" s="6" t="s">
        <v>2093</v>
      </c>
      <c r="AR1529" t="s">
        <v>2092</v>
      </c>
    </row>
    <row r="1530" spans="1:47">
      <c r="F15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0" s="13" t="s">
        <v>461</v>
      </c>
      <c r="H1530" s="13" t="s">
        <v>2991</v>
      </c>
      <c r="I1530" s="12" t="str">
        <f>Table1[[#This Row],[type]]</f>
        <v>margin</v>
      </c>
      <c r="J1530" s="62" t="str">
        <f>Table1[[#This Row],[Column42]]&amp;IF(Table1[[#This Row],[Column13]]="","",Table1[[#This Row],[Column13]])&amp;IF(Table1[[#This Row],[mod]]="","",Table1[[#This Row],[mod]])</f>
        <v>margin</v>
      </c>
      <c r="K15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30" t="s">
        <v>2091</v>
      </c>
      <c r="P1530" s="6" t="s">
        <v>2102</v>
      </c>
      <c r="Q15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0" s="29"/>
      <c r="AC1530" s="25"/>
      <c r="AD1530" s="41"/>
      <c r="AE1530" s="41"/>
      <c r="AF1530" s="11"/>
      <c r="AH1530" s="1" t="str">
        <f>Table1[[#This Row],[html_tag]]&amp;Table1[[#This Row],[html_type]]&amp;Table1[[#This Row],[html_modifier]]</f>
        <v/>
      </c>
      <c r="AL1530" s="22" t="str">
        <f>IFERROR(_xlfn.XLOOKUP(Table1[[#This Row],[word]],Table57[English style name],Table57[Style type]),"")</f>
        <v/>
      </c>
      <c r="AM1530" s="20"/>
      <c r="AN1530" s="11"/>
      <c r="AQ1530" s="6" t="s">
        <v>2102</v>
      </c>
      <c r="AR1530" t="s">
        <v>2092</v>
      </c>
    </row>
    <row r="1531" spans="1:47">
      <c r="F15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1" s="13" t="s">
        <v>461</v>
      </c>
      <c r="H1531" s="13" t="s">
        <v>2991</v>
      </c>
      <c r="I1531" s="12" t="str">
        <f>Table1[[#This Row],[type]]</f>
        <v>margin</v>
      </c>
      <c r="J1531" s="62" t="str">
        <f>Table1[[#This Row],[Column42]]&amp;IF(Table1[[#This Row],[Column13]]="","",Table1[[#This Row],[Column13]])&amp;IF(Table1[[#This Row],[mod]]="","",Table1[[#This Row],[mod]])</f>
        <v>margin</v>
      </c>
      <c r="K15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31" t="s">
        <v>2091</v>
      </c>
      <c r="P1531" s="6" t="s">
        <v>2103</v>
      </c>
      <c r="Q15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1" s="29"/>
      <c r="AC1531" s="25"/>
      <c r="AD1531" s="41"/>
      <c r="AE1531" s="41"/>
      <c r="AF1531" s="11"/>
      <c r="AH1531" s="1" t="str">
        <f>Table1[[#This Row],[html_tag]]&amp;Table1[[#This Row],[html_type]]&amp;Table1[[#This Row],[html_modifier]]</f>
        <v/>
      </c>
      <c r="AL1531" s="22" t="str">
        <f>IFERROR(_xlfn.XLOOKUP(Table1[[#This Row],[word]],Table57[English style name],Table57[Style type]),"")</f>
        <v/>
      </c>
      <c r="AM1531" s="20"/>
      <c r="AN1531" s="11"/>
      <c r="AQ1531" s="6" t="s">
        <v>2103</v>
      </c>
      <c r="AR1531" t="s">
        <v>2092</v>
      </c>
    </row>
    <row r="1532" spans="1:47">
      <c r="F15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2" s="13" t="s">
        <v>461</v>
      </c>
      <c r="H1532" s="13" t="s">
        <v>2991</v>
      </c>
      <c r="I1532" s="12" t="str">
        <f>Table1[[#This Row],[type]]</f>
        <v>margin</v>
      </c>
      <c r="J1532" s="62" t="str">
        <f>Table1[[#This Row],[Column42]]&amp;IF(Table1[[#This Row],[Column13]]="","",Table1[[#This Row],[Column13]])&amp;IF(Table1[[#This Row],[mod]]="","",Table1[[#This Row],[mod]])</f>
        <v>margin__bottom</v>
      </c>
      <c r="K15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margin__bottom</v>
      </c>
      <c r="L1532" t="s">
        <v>2091</v>
      </c>
      <c r="N1532" t="s">
        <v>3186</v>
      </c>
      <c r="P1532" s="6" t="s">
        <v>2094</v>
      </c>
      <c r="Q15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2" s="29"/>
      <c r="AC1532" s="25"/>
      <c r="AD1532" s="41"/>
      <c r="AE1532" s="41"/>
      <c r="AF1532" s="11"/>
      <c r="AH1532" s="1" t="str">
        <f>Table1[[#This Row],[html_tag]]&amp;Table1[[#This Row],[html_type]]&amp;Table1[[#This Row],[html_modifier]]</f>
        <v/>
      </c>
      <c r="AL1532" s="22" t="str">
        <f>IFERROR(_xlfn.XLOOKUP(Table1[[#This Row],[word]],Table57[English style name],Table57[Style type]),"")</f>
        <v/>
      </c>
      <c r="AM1532" s="20"/>
      <c r="AN1532" s="11"/>
      <c r="AQ1532" s="6" t="s">
        <v>2094</v>
      </c>
      <c r="AR1532" t="s">
        <v>2092</v>
      </c>
    </row>
    <row r="1533" spans="1:47">
      <c r="F15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3" s="13" t="s">
        <v>461</v>
      </c>
      <c r="H1533" s="13" t="s">
        <v>2991</v>
      </c>
      <c r="I1533" s="12" t="str">
        <f>Table1[[#This Row],[type]]</f>
        <v>margin</v>
      </c>
      <c r="J1533" s="62" t="str">
        <f>Table1[[#This Row],[Column42]]&amp;IF(Table1[[#This Row],[Column13]]="","",Table1[[#This Row],[Column13]])&amp;IF(Table1[[#This Row],[mod]]="","",Table1[[#This Row],[mod]])</f>
        <v>margin__left</v>
      </c>
      <c r="K15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margin__left</v>
      </c>
      <c r="L1533" t="s">
        <v>2091</v>
      </c>
      <c r="N1533" s="3" t="s">
        <v>616</v>
      </c>
      <c r="P1533" s="6" t="s">
        <v>2096</v>
      </c>
      <c r="Q15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3" s="29"/>
      <c r="AC1533" s="25"/>
      <c r="AD1533" s="41"/>
      <c r="AE1533" s="41"/>
      <c r="AF1533" s="11"/>
      <c r="AH1533" s="1" t="str">
        <f>Table1[[#This Row],[html_tag]]&amp;Table1[[#This Row],[html_type]]&amp;Table1[[#This Row],[html_modifier]]</f>
        <v/>
      </c>
      <c r="AL1533" s="22" t="str">
        <f>IFERROR(_xlfn.XLOOKUP(Table1[[#This Row],[word]],Table57[English style name],Table57[Style type]),"")</f>
        <v/>
      </c>
      <c r="AM1533" s="20"/>
      <c r="AN1533" s="11"/>
      <c r="AQ1533" s="6" t="s">
        <v>2096</v>
      </c>
      <c r="AR1533" t="s">
        <v>2092</v>
      </c>
    </row>
    <row r="1534" spans="1:47">
      <c r="F15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4" s="13" t="s">
        <v>461</v>
      </c>
      <c r="H1534" s="13" t="s">
        <v>2991</v>
      </c>
      <c r="I1534" s="12" t="str">
        <f>Table1[[#This Row],[type]]</f>
        <v>margin</v>
      </c>
      <c r="J1534" s="62" t="str">
        <f>Table1[[#This Row],[Column42]]&amp;IF(Table1[[#This Row],[Column13]]="","",Table1[[#This Row],[Column13]])&amp;IF(Table1[[#This Row],[mod]]="","",Table1[[#This Row],[mod]])</f>
        <v>margin__left</v>
      </c>
      <c r="K15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margin__left</v>
      </c>
      <c r="L1534" t="s">
        <v>2091</v>
      </c>
      <c r="N1534" s="3" t="s">
        <v>616</v>
      </c>
      <c r="P1534" s="6" t="s">
        <v>2097</v>
      </c>
      <c r="Q15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4" s="29"/>
      <c r="AC1534" s="25"/>
      <c r="AD1534" s="41"/>
      <c r="AE1534" s="41"/>
      <c r="AF1534" s="11"/>
      <c r="AH1534" s="1" t="str">
        <f>Table1[[#This Row],[html_tag]]&amp;Table1[[#This Row],[html_type]]&amp;Table1[[#This Row],[html_modifier]]</f>
        <v/>
      </c>
      <c r="AL1534" s="22" t="str">
        <f>IFERROR(_xlfn.XLOOKUP(Table1[[#This Row],[word]],Table57[English style name],Table57[Style type]),"")</f>
        <v/>
      </c>
      <c r="AM1534" s="20"/>
      <c r="AN1534" s="11"/>
      <c r="AQ1534" s="6" t="s">
        <v>2097</v>
      </c>
      <c r="AR1534" t="s">
        <v>2092</v>
      </c>
    </row>
    <row r="1535" spans="1:47">
      <c r="F15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5" s="13" t="s">
        <v>461</v>
      </c>
      <c r="H1535" s="13" t="s">
        <v>2991</v>
      </c>
      <c r="I1535" s="12" t="str">
        <f>Table1[[#This Row],[type]]</f>
        <v>margin</v>
      </c>
      <c r="J1535" s="62" t="str">
        <f>Table1[[#This Row],[Column42]]&amp;IF(Table1[[#This Row],[Column13]]="","",Table1[[#This Row],[Column13]])&amp;IF(Table1[[#This Row],[mod]]="","",Table1[[#This Row],[mod]])</f>
        <v>margin__right</v>
      </c>
      <c r="K15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margin__right</v>
      </c>
      <c r="L1535" t="s">
        <v>2091</v>
      </c>
      <c r="N1535" t="s">
        <v>617</v>
      </c>
      <c r="P1535" s="6" t="s">
        <v>2098</v>
      </c>
      <c r="Q15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5" s="29"/>
      <c r="AC1535" s="25"/>
      <c r="AD1535" s="41"/>
      <c r="AE1535" s="41"/>
      <c r="AF1535" s="11"/>
      <c r="AH1535" s="1" t="str">
        <f>Table1[[#This Row],[html_tag]]&amp;Table1[[#This Row],[html_type]]&amp;Table1[[#This Row],[html_modifier]]</f>
        <v/>
      </c>
      <c r="AL1535" s="22" t="str">
        <f>IFERROR(_xlfn.XLOOKUP(Table1[[#This Row],[word]],Table57[English style name],Table57[Style type]),"")</f>
        <v/>
      </c>
      <c r="AM1535" s="20"/>
      <c r="AN1535" s="11"/>
      <c r="AQ1535" s="6" t="s">
        <v>2098</v>
      </c>
      <c r="AR1535" t="s">
        <v>2092</v>
      </c>
    </row>
    <row r="1536" spans="1:47">
      <c r="F15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6" s="13" t="s">
        <v>461</v>
      </c>
      <c r="H1536" s="13" t="s">
        <v>2991</v>
      </c>
      <c r="I1536" s="12" t="str">
        <f>Table1[[#This Row],[type]]</f>
        <v>margin</v>
      </c>
      <c r="J1536" s="62" t="str">
        <f>Table1[[#This Row],[Column42]]&amp;IF(Table1[[#This Row],[Column13]]="","",Table1[[#This Row],[Column13]])&amp;IF(Table1[[#This Row],[mod]]="","",Table1[[#This Row],[mod]])</f>
        <v>margin__right</v>
      </c>
      <c r="K15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margin__right</v>
      </c>
      <c r="L1536" t="s">
        <v>2091</v>
      </c>
      <c r="N1536" t="s">
        <v>617</v>
      </c>
      <c r="P1536" s="6" t="s">
        <v>2099</v>
      </c>
      <c r="Q15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6" s="29"/>
      <c r="AC1536" s="25"/>
      <c r="AD1536" s="41"/>
      <c r="AE1536" s="41"/>
      <c r="AF1536" s="11"/>
      <c r="AH1536" s="1" t="str">
        <f>Table1[[#This Row],[html_tag]]&amp;Table1[[#This Row],[html_type]]&amp;Table1[[#This Row],[html_modifier]]</f>
        <v/>
      </c>
      <c r="AL1536" s="22" t="str">
        <f>IFERROR(_xlfn.XLOOKUP(Table1[[#This Row],[word]],Table57[English style name],Table57[Style type]),"")</f>
        <v/>
      </c>
      <c r="AM1536" s="20"/>
      <c r="AN1536" s="11"/>
      <c r="AQ1536" s="6" t="s">
        <v>2099</v>
      </c>
      <c r="AR1536" t="s">
        <v>2092</v>
      </c>
    </row>
    <row r="1537" spans="6:44">
      <c r="F15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7" s="13" t="s">
        <v>461</v>
      </c>
      <c r="H1537" s="13" t="s">
        <v>2991</v>
      </c>
      <c r="I1537" s="12" t="str">
        <f>Table1[[#This Row],[type]]</f>
        <v>margin</v>
      </c>
      <c r="J1537" s="62" t="str">
        <f>Table1[[#This Row],[Column42]]&amp;IF(Table1[[#This Row],[Column13]]="","",Table1[[#This Row],[Column13]])&amp;IF(Table1[[#This Row],[mod]]="","",Table1[[#This Row],[mod]])</f>
        <v>margin__top</v>
      </c>
      <c r="K15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margin__top</v>
      </c>
      <c r="L1537" t="s">
        <v>2091</v>
      </c>
      <c r="N1537" t="s">
        <v>3182</v>
      </c>
      <c r="P1537" s="6" t="s">
        <v>2100</v>
      </c>
      <c r="Q15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7" s="29"/>
      <c r="AC1537" s="25"/>
      <c r="AD1537" s="41"/>
      <c r="AE1537" s="41"/>
      <c r="AF1537" s="11"/>
      <c r="AH1537" s="1" t="str">
        <f>Table1[[#This Row],[html_tag]]&amp;Table1[[#This Row],[html_type]]&amp;Table1[[#This Row],[html_modifier]]</f>
        <v/>
      </c>
      <c r="AL1537" s="22" t="str">
        <f>IFERROR(_xlfn.XLOOKUP(Table1[[#This Row],[word]],Table57[English style name],Table57[Style type]),"")</f>
        <v/>
      </c>
      <c r="AM1537" s="20"/>
      <c r="AN1537" s="11"/>
      <c r="AQ1537" s="6" t="s">
        <v>2100</v>
      </c>
      <c r="AR1537" t="s">
        <v>2092</v>
      </c>
    </row>
    <row r="1538" spans="6:44">
      <c r="F15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8" s="13" t="s">
        <v>461</v>
      </c>
      <c r="H1538" s="13" t="s">
        <v>2991</v>
      </c>
      <c r="I1538" s="12" t="str">
        <f>Table1[[#This Row],[type]]</f>
        <v>margin</v>
      </c>
      <c r="J1538" s="62" t="str">
        <f>Table1[[#This Row],[Column42]]&amp;IF(Table1[[#This Row],[Column13]]="","",Table1[[#This Row],[Column13]])&amp;IF(Table1[[#This Row],[mod]]="","",Table1[[#This Row],[mod]])</f>
        <v>margin--horizontal</v>
      </c>
      <c r="K15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38" t="s">
        <v>2091</v>
      </c>
      <c r="P1538" s="6" t="s">
        <v>2095</v>
      </c>
      <c r="Q15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538" t="s">
        <v>3205</v>
      </c>
      <c r="AB1538" s="29"/>
      <c r="AC1538" s="25"/>
      <c r="AD1538" s="41"/>
      <c r="AE1538" s="41"/>
      <c r="AF1538" s="11"/>
      <c r="AH1538" s="1" t="str">
        <f>Table1[[#This Row],[html_tag]]&amp;Table1[[#This Row],[html_type]]&amp;Table1[[#This Row],[html_modifier]]</f>
        <v/>
      </c>
      <c r="AL1538" s="22" t="str">
        <f>IFERROR(_xlfn.XLOOKUP(Table1[[#This Row],[word]],Table57[English style name],Table57[Style type]),"")</f>
        <v/>
      </c>
      <c r="AM1538" s="20"/>
      <c r="AN1538" s="11"/>
      <c r="AQ1538" s="6" t="s">
        <v>2095</v>
      </c>
      <c r="AR1538" t="s">
        <v>2092</v>
      </c>
    </row>
    <row r="1539" spans="6:44">
      <c r="F15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9" s="13" t="s">
        <v>461</v>
      </c>
      <c r="H1539" s="13" t="s">
        <v>2991</v>
      </c>
      <c r="I1539" s="12" t="str">
        <f>Table1[[#This Row],[type]]</f>
        <v>margin</v>
      </c>
      <c r="J1539" s="62" t="str">
        <f>Table1[[#This Row],[Column42]]&amp;IF(Table1[[#This Row],[Column13]]="","",Table1[[#This Row],[Column13]])&amp;IF(Table1[[#This Row],[mod]]="","",Table1[[#This Row],[mod]])</f>
        <v>margin--vertical</v>
      </c>
      <c r="K15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39" t="s">
        <v>2091</v>
      </c>
      <c r="P1539" s="6" t="s">
        <v>2101</v>
      </c>
      <c r="Q15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539" t="s">
        <v>2943</v>
      </c>
      <c r="AB1539" s="29"/>
      <c r="AC1539" s="25"/>
      <c r="AD1539" s="41"/>
      <c r="AE1539" s="41"/>
      <c r="AF1539" s="11"/>
      <c r="AH1539" s="1" t="str">
        <f>Table1[[#This Row],[html_tag]]&amp;Table1[[#This Row],[html_type]]&amp;Table1[[#This Row],[html_modifier]]</f>
        <v/>
      </c>
      <c r="AL1539" s="22" t="str">
        <f>IFERROR(_xlfn.XLOOKUP(Table1[[#This Row],[word]],Table57[English style name],Table57[Style type]),"")</f>
        <v/>
      </c>
      <c r="AM1539" s="20"/>
      <c r="AN1539" s="11"/>
      <c r="AQ1539" s="6" t="s">
        <v>2101</v>
      </c>
      <c r="AR1539" t="s">
        <v>2092</v>
      </c>
    </row>
    <row r="1540" spans="6:44">
      <c r="F15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0" s="13"/>
      <c r="H1540" s="13"/>
      <c r="I1540" s="12" t="str">
        <f>Table1[[#This Row],[type]]</f>
        <v>mask</v>
      </c>
      <c r="J1540" s="62" t="str">
        <f>Table1[[#This Row],[Column42]]&amp;IF(Table1[[#This Row],[Column13]]="","",Table1[[#This Row],[Column13]])&amp;IF(Table1[[#This Row],[mod]]="","",Table1[[#This Row],[mod]])</f>
        <v>mask</v>
      </c>
      <c r="K15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0" t="s">
        <v>6937</v>
      </c>
      <c r="Q15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0" s="29"/>
      <c r="AC1540" s="25"/>
      <c r="AD1540" s="41" t="s">
        <v>6966</v>
      </c>
      <c r="AE1540" s="41"/>
      <c r="AF1540" s="11"/>
      <c r="AH1540" s="7" t="str">
        <f>Table1[[#This Row],[html_tag]]&amp;Table1[[#This Row],[html_type]]&amp;Table1[[#This Row],[html_modifier]]</f>
        <v/>
      </c>
      <c r="AL1540" s="23" t="str">
        <f>IFERROR(_xlfn.XLOOKUP(Table1[[#This Row],[word]],Table57[English style name],Table57[Style type]),"")</f>
        <v/>
      </c>
      <c r="AM1540" s="21"/>
      <c r="AN1540" s="11"/>
    </row>
    <row r="1541" spans="6:44">
      <c r="F15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1" s="13"/>
      <c r="H1541" s="13"/>
      <c r="I1541" s="12" t="str">
        <f>Table1[[#This Row],[type]]</f>
        <v>mask</v>
      </c>
      <c r="J1541" s="62" t="str">
        <f>Table1[[#This Row],[Column42]]&amp;IF(Table1[[#This Row],[Column13]]="","",Table1[[#This Row],[Column13]])&amp;IF(Table1[[#This Row],[mod]]="","",Table1[[#This Row],[mod]])</f>
        <v>mask</v>
      </c>
      <c r="K15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1" t="s">
        <v>6937</v>
      </c>
      <c r="Q15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1" s="29"/>
      <c r="AC1541" s="25"/>
      <c r="AD1541" s="41" t="s">
        <v>6964</v>
      </c>
      <c r="AE1541" s="41"/>
      <c r="AF1541" s="11"/>
      <c r="AH1541" s="7" t="str">
        <f>Table1[[#This Row],[html_tag]]&amp;Table1[[#This Row],[html_type]]&amp;Table1[[#This Row],[html_modifier]]</f>
        <v/>
      </c>
      <c r="AL1541" s="23" t="str">
        <f>IFERROR(_xlfn.XLOOKUP(Table1[[#This Row],[word]],Table57[English style name],Table57[Style type]),"")</f>
        <v/>
      </c>
      <c r="AM1541" s="21"/>
      <c r="AN1541" s="11"/>
    </row>
    <row r="1542" spans="6:44">
      <c r="F15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2" s="13"/>
      <c r="H1542" s="13"/>
      <c r="I1542" s="12" t="str">
        <f>Table1[[#This Row],[type]]</f>
        <v>mask</v>
      </c>
      <c r="J1542" s="62" t="str">
        <f>Table1[[#This Row],[Column42]]&amp;IF(Table1[[#This Row],[Column13]]="","",Table1[[#This Row],[Column13]])&amp;IF(Table1[[#This Row],[mod]]="","",Table1[[#This Row],[mod]])</f>
        <v>mask</v>
      </c>
      <c r="K15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2" t="s">
        <v>6937</v>
      </c>
      <c r="Q15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2" s="29"/>
      <c r="AC1542" s="25"/>
      <c r="AD1542" s="41" t="s">
        <v>6962</v>
      </c>
      <c r="AE1542" s="41"/>
      <c r="AF1542" s="11"/>
      <c r="AH1542" s="7" t="str">
        <f>Table1[[#This Row],[html_tag]]&amp;Table1[[#This Row],[html_type]]&amp;Table1[[#This Row],[html_modifier]]</f>
        <v/>
      </c>
      <c r="AL1542" s="23" t="str">
        <f>IFERROR(_xlfn.XLOOKUP(Table1[[#This Row],[word]],Table57[English style name],Table57[Style type]),"")</f>
        <v/>
      </c>
      <c r="AM1542" s="21"/>
      <c r="AN1542" s="11"/>
    </row>
    <row r="1543" spans="6:44">
      <c r="F15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3" s="13"/>
      <c r="H1543" s="13"/>
      <c r="I1543" s="12" t="str">
        <f>Table1[[#This Row],[type]]</f>
        <v>mask</v>
      </c>
      <c r="J1543" s="62" t="str">
        <f>Table1[[#This Row],[Column42]]&amp;IF(Table1[[#This Row],[Column13]]="","",Table1[[#This Row],[Column13]])&amp;IF(Table1[[#This Row],[mod]]="","",Table1[[#This Row],[mod]])</f>
        <v>mask</v>
      </c>
      <c r="K15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3" t="s">
        <v>6937</v>
      </c>
      <c r="Q15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3" s="29"/>
      <c r="AC1543" s="25"/>
      <c r="AD1543" s="41" t="s">
        <v>6960</v>
      </c>
      <c r="AE1543" s="41"/>
      <c r="AF1543" s="11"/>
      <c r="AH1543" s="7" t="str">
        <f>Table1[[#This Row],[html_tag]]&amp;Table1[[#This Row],[html_type]]&amp;Table1[[#This Row],[html_modifier]]</f>
        <v/>
      </c>
      <c r="AL1543" s="23" t="str">
        <f>IFERROR(_xlfn.XLOOKUP(Table1[[#This Row],[word]],Table57[English style name],Table57[Style type]),"")</f>
        <v/>
      </c>
      <c r="AM1543" s="21"/>
      <c r="AN1543" s="11"/>
    </row>
    <row r="1544" spans="6:44">
      <c r="F15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4" s="13"/>
      <c r="H1544" s="13"/>
      <c r="I1544" s="12" t="str">
        <f>Table1[[#This Row],[type]]</f>
        <v>mask</v>
      </c>
      <c r="J1544" s="62" t="str">
        <f>Table1[[#This Row],[Column42]]&amp;IF(Table1[[#This Row],[Column13]]="","",Table1[[#This Row],[Column13]])&amp;IF(Table1[[#This Row],[mod]]="","",Table1[[#This Row],[mod]])</f>
        <v>mask</v>
      </c>
      <c r="K15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4" t="s">
        <v>6937</v>
      </c>
      <c r="Q15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4" s="29"/>
      <c r="AC1544" s="25"/>
      <c r="AD1544" s="41" t="s">
        <v>6958</v>
      </c>
      <c r="AE1544" s="41"/>
      <c r="AF1544" s="11"/>
      <c r="AH1544" s="7" t="str">
        <f>Table1[[#This Row],[html_tag]]&amp;Table1[[#This Row],[html_type]]&amp;Table1[[#This Row],[html_modifier]]</f>
        <v/>
      </c>
      <c r="AL1544" s="23" t="str">
        <f>IFERROR(_xlfn.XLOOKUP(Table1[[#This Row],[word]],Table57[English style name],Table57[Style type]),"")</f>
        <v/>
      </c>
      <c r="AM1544" s="21"/>
      <c r="AN1544" s="11"/>
    </row>
    <row r="1545" spans="6:44">
      <c r="F15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5" s="13"/>
      <c r="H1545" s="13"/>
      <c r="I1545" s="12" t="str">
        <f>Table1[[#This Row],[type]]</f>
        <v>mask</v>
      </c>
      <c r="J1545" s="62" t="str">
        <f>Table1[[#This Row],[Column42]]&amp;IF(Table1[[#This Row],[Column13]]="","",Table1[[#This Row],[Column13]])&amp;IF(Table1[[#This Row],[mod]]="","",Table1[[#This Row],[mod]])</f>
        <v>mask</v>
      </c>
      <c r="K15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5" t="s">
        <v>6937</v>
      </c>
      <c r="Q15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5" s="29"/>
      <c r="AC1545" s="25"/>
      <c r="AD1545" s="41" t="s">
        <v>6956</v>
      </c>
      <c r="AE1545" s="41"/>
      <c r="AF1545" s="11"/>
      <c r="AH1545" s="7" t="str">
        <f>Table1[[#This Row],[html_tag]]&amp;Table1[[#This Row],[html_type]]&amp;Table1[[#This Row],[html_modifier]]</f>
        <v/>
      </c>
      <c r="AL1545" s="23" t="str">
        <f>IFERROR(_xlfn.XLOOKUP(Table1[[#This Row],[word]],Table57[English style name],Table57[Style type]),"")</f>
        <v/>
      </c>
      <c r="AM1545" s="21"/>
      <c r="AN1545" s="11"/>
    </row>
    <row r="1546" spans="6:44">
      <c r="F15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6" s="13"/>
      <c r="H1546" s="13"/>
      <c r="I1546" s="12" t="str">
        <f>Table1[[#This Row],[type]]</f>
        <v>mask</v>
      </c>
      <c r="J1546" s="62" t="str">
        <f>Table1[[#This Row],[Column42]]&amp;IF(Table1[[#This Row],[Column13]]="","",Table1[[#This Row],[Column13]])&amp;IF(Table1[[#This Row],[mod]]="","",Table1[[#This Row],[mod]])</f>
        <v>mask</v>
      </c>
      <c r="K15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6" t="s">
        <v>6937</v>
      </c>
      <c r="Q15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6" s="29"/>
      <c r="AC1546" s="25"/>
      <c r="AD1546" s="41" t="s">
        <v>6939</v>
      </c>
      <c r="AE1546" s="41"/>
      <c r="AF1546" s="11"/>
      <c r="AH1546" s="7" t="str">
        <f>Table1[[#This Row],[html_tag]]&amp;Table1[[#This Row],[html_type]]&amp;Table1[[#This Row],[html_modifier]]</f>
        <v/>
      </c>
      <c r="AL1546" s="23" t="str">
        <f>IFERROR(_xlfn.XLOOKUP(Table1[[#This Row],[word]],Table57[English style name],Table57[Style type]),"")</f>
        <v/>
      </c>
      <c r="AM1546" s="21"/>
      <c r="AN1546" s="11"/>
    </row>
    <row r="1547" spans="6:44">
      <c r="F15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7" s="13"/>
      <c r="H1547" s="13"/>
      <c r="I1547" s="12" t="str">
        <f>Table1[[#This Row],[type]]</f>
        <v>mask</v>
      </c>
      <c r="J1547" s="62" t="str">
        <f>Table1[[#This Row],[Column42]]&amp;IF(Table1[[#This Row],[Column13]]="","",Table1[[#This Row],[Column13]])&amp;IF(Table1[[#This Row],[mod]]="","",Table1[[#This Row],[mod]])</f>
        <v>mask</v>
      </c>
      <c r="K15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7" t="s">
        <v>6937</v>
      </c>
      <c r="Q15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7" s="29"/>
      <c r="AC1547" s="25"/>
      <c r="AD1547" s="41" t="s">
        <v>6953</v>
      </c>
      <c r="AE1547" s="41"/>
      <c r="AF1547" s="11"/>
      <c r="AH1547" s="7" t="str">
        <f>Table1[[#This Row],[html_tag]]&amp;Table1[[#This Row],[html_type]]&amp;Table1[[#This Row],[html_modifier]]</f>
        <v/>
      </c>
      <c r="AL1547" s="23" t="str">
        <f>IFERROR(_xlfn.XLOOKUP(Table1[[#This Row],[word]],Table57[English style name],Table57[Style type]),"")</f>
        <v/>
      </c>
      <c r="AM1547" s="21"/>
      <c r="AN1547" s="11"/>
    </row>
    <row r="1548" spans="6:44">
      <c r="F15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8" s="13"/>
      <c r="H1548" s="13"/>
      <c r="I1548" s="12" t="str">
        <f>Table1[[#This Row],[type]]</f>
        <v>mask</v>
      </c>
      <c r="J1548" s="62" t="str">
        <f>Table1[[#This Row],[Column42]]&amp;IF(Table1[[#This Row],[Column13]]="","",Table1[[#This Row],[Column13]])&amp;IF(Table1[[#This Row],[mod]]="","",Table1[[#This Row],[mod]])</f>
        <v>mask</v>
      </c>
      <c r="K15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8" t="s">
        <v>6937</v>
      </c>
      <c r="Q15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8" s="29"/>
      <c r="AC1548" s="25"/>
      <c r="AD1548" s="41" t="s">
        <v>6949</v>
      </c>
      <c r="AE1548" s="41"/>
      <c r="AF1548" s="11"/>
      <c r="AH1548" s="7" t="str">
        <f>Table1[[#This Row],[html_tag]]&amp;Table1[[#This Row],[html_type]]&amp;Table1[[#This Row],[html_modifier]]</f>
        <v/>
      </c>
      <c r="AL1548" s="23" t="str">
        <f>IFERROR(_xlfn.XLOOKUP(Table1[[#This Row],[word]],Table57[English style name],Table57[Style type]),"")</f>
        <v/>
      </c>
      <c r="AM1548" s="21"/>
      <c r="AN1548" s="11"/>
    </row>
    <row r="1549" spans="6:44">
      <c r="F15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9" s="13"/>
      <c r="H1549" s="13"/>
      <c r="I1549" s="12" t="str">
        <f>Table1[[#This Row],[type]]</f>
        <v>mask</v>
      </c>
      <c r="J1549" s="62" t="str">
        <f>Table1[[#This Row],[Column42]]&amp;IF(Table1[[#This Row],[Column13]]="","",Table1[[#This Row],[Column13]])&amp;IF(Table1[[#This Row],[mod]]="","",Table1[[#This Row],[mod]])</f>
        <v>mask</v>
      </c>
      <c r="K15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9" t="s">
        <v>6937</v>
      </c>
      <c r="Q15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9" s="29"/>
      <c r="AC1549" s="25"/>
      <c r="AD1549" s="41" t="s">
        <v>6945</v>
      </c>
      <c r="AE1549" s="41"/>
      <c r="AF1549" s="11"/>
      <c r="AH1549" s="7" t="str">
        <f>Table1[[#This Row],[html_tag]]&amp;Table1[[#This Row],[html_type]]&amp;Table1[[#This Row],[html_modifier]]</f>
        <v/>
      </c>
      <c r="AL1549" s="23" t="str">
        <f>IFERROR(_xlfn.XLOOKUP(Table1[[#This Row],[word]],Table57[English style name],Table57[Style type]),"")</f>
        <v/>
      </c>
      <c r="AM1549" s="21"/>
      <c r="AN1549" s="11"/>
    </row>
    <row r="1550" spans="6:44">
      <c r="F15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0" s="13"/>
      <c r="H1550" s="13"/>
      <c r="I1550" s="12" t="str">
        <f>Table1[[#This Row],[type]]</f>
        <v>mask</v>
      </c>
      <c r="J1550" s="62" t="str">
        <f>Table1[[#This Row],[Column42]]&amp;IF(Table1[[#This Row],[Column13]]="","",Table1[[#This Row],[Column13]])&amp;IF(Table1[[#This Row],[mod]]="","",Table1[[#This Row],[mod]])</f>
        <v>mask</v>
      </c>
      <c r="K15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0" t="s">
        <v>6937</v>
      </c>
      <c r="Q15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0" s="29"/>
      <c r="AC1550" s="25"/>
      <c r="AD1550" s="41" t="s">
        <v>6943</v>
      </c>
      <c r="AE1550" s="41"/>
      <c r="AF1550" s="11"/>
      <c r="AH1550" s="7" t="str">
        <f>Table1[[#This Row],[html_tag]]&amp;Table1[[#This Row],[html_type]]&amp;Table1[[#This Row],[html_modifier]]</f>
        <v/>
      </c>
      <c r="AL1550" s="23" t="str">
        <f>IFERROR(_xlfn.XLOOKUP(Table1[[#This Row],[word]],Table57[English style name],Table57[Style type]),"")</f>
        <v/>
      </c>
      <c r="AM1550" s="21"/>
      <c r="AN1550" s="11"/>
    </row>
    <row r="1551" spans="6:44">
      <c r="F15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1" s="13"/>
      <c r="H1551" s="13"/>
      <c r="I1551" s="12" t="str">
        <f>Table1[[#This Row],[type]]</f>
        <v>mask</v>
      </c>
      <c r="J1551" s="62" t="str">
        <f>Table1[[#This Row],[Column42]]&amp;IF(Table1[[#This Row],[Column13]]="","",Table1[[#This Row],[Column13]])&amp;IF(Table1[[#This Row],[mod]]="","",Table1[[#This Row],[mod]])</f>
        <v>mask</v>
      </c>
      <c r="K15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1" t="s">
        <v>6937</v>
      </c>
      <c r="Q15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1" s="29"/>
      <c r="AC1551" s="25"/>
      <c r="AD1551" s="41" t="s">
        <v>6941</v>
      </c>
      <c r="AE1551" s="41"/>
      <c r="AF1551" s="11"/>
      <c r="AH1551" s="7" t="str">
        <f>Table1[[#This Row],[html_tag]]&amp;Table1[[#This Row],[html_type]]&amp;Table1[[#This Row],[html_modifier]]</f>
        <v/>
      </c>
      <c r="AL1551" s="23" t="str">
        <f>IFERROR(_xlfn.XLOOKUP(Table1[[#This Row],[word]],Table57[English style name],Table57[Style type]),"")</f>
        <v/>
      </c>
      <c r="AM1551" s="21"/>
      <c r="AN1551" s="11"/>
    </row>
    <row r="1552" spans="6:44">
      <c r="F15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2" s="13"/>
      <c r="H1552" s="13"/>
      <c r="I1552" s="12" t="str">
        <f>Table1[[#This Row],[type]]</f>
        <v>mask</v>
      </c>
      <c r="J1552" s="62" t="str">
        <f>Table1[[#This Row],[Column42]]&amp;IF(Table1[[#This Row],[Column13]]="","",Table1[[#This Row],[Column13]])&amp;IF(Table1[[#This Row],[mod]]="","",Table1[[#This Row],[mod]])</f>
        <v>mask</v>
      </c>
      <c r="K15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2" t="s">
        <v>6937</v>
      </c>
      <c r="Q15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2" s="29"/>
      <c r="AC1552" s="25"/>
      <c r="AD1552" s="41" t="s">
        <v>6970</v>
      </c>
      <c r="AE1552" s="41"/>
      <c r="AF1552" s="11"/>
      <c r="AH1552" s="7" t="str">
        <f>Table1[[#This Row],[html_tag]]&amp;Table1[[#This Row],[html_type]]&amp;Table1[[#This Row],[html_modifier]]</f>
        <v/>
      </c>
      <c r="AL1552" s="23" t="str">
        <f>IFERROR(_xlfn.XLOOKUP(Table1[[#This Row],[word]],Table57[English style name],Table57[Style type]),"")</f>
        <v/>
      </c>
      <c r="AM1552" s="21"/>
      <c r="AN1552" s="11"/>
    </row>
    <row r="1553" spans="4:44">
      <c r="F15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3" s="13"/>
      <c r="H1553" s="13"/>
      <c r="I1553" s="12" t="str">
        <f>Table1[[#This Row],[type]]</f>
        <v>mask</v>
      </c>
      <c r="J1553" s="62" t="str">
        <f>Table1[[#This Row],[Column42]]&amp;IF(Table1[[#This Row],[Column13]]="","",Table1[[#This Row],[Column13]])&amp;IF(Table1[[#This Row],[mod]]="","",Table1[[#This Row],[mod]])</f>
        <v>mask</v>
      </c>
      <c r="K15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3" t="s">
        <v>6937</v>
      </c>
      <c r="Q15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3" s="29"/>
      <c r="AC1553" s="25"/>
      <c r="AD1553" s="41" t="s">
        <v>6968</v>
      </c>
      <c r="AE1553" s="41"/>
      <c r="AF1553" s="11"/>
      <c r="AH1553" s="7" t="str">
        <f>Table1[[#This Row],[html_tag]]&amp;Table1[[#This Row],[html_type]]&amp;Table1[[#This Row],[html_modifier]]</f>
        <v/>
      </c>
      <c r="AL1553" s="23" t="str">
        <f>IFERROR(_xlfn.XLOOKUP(Table1[[#This Row],[word]],Table57[English style name],Table57[Style type]),"")</f>
        <v/>
      </c>
      <c r="AM1553" s="21"/>
      <c r="AN1553" s="11"/>
    </row>
    <row r="1554" spans="4:44">
      <c r="F15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4" s="13"/>
      <c r="H1554" s="13"/>
      <c r="I1554" s="12" t="str">
        <f>Table1[[#This Row],[type]]</f>
        <v>mask</v>
      </c>
      <c r="J1554" s="62" t="str">
        <f>Table1[[#This Row],[Column42]]&amp;IF(Table1[[#This Row],[Column13]]="","",Table1[[#This Row],[Column13]])&amp;IF(Table1[[#This Row],[mod]]="","",Table1[[#This Row],[mod]])</f>
        <v>mask</v>
      </c>
      <c r="K15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4" t="s">
        <v>6937</v>
      </c>
      <c r="Q15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4" s="29"/>
      <c r="AC1554" s="25"/>
      <c r="AD1554" s="41" t="s">
        <v>6951</v>
      </c>
      <c r="AE1554" s="41"/>
      <c r="AF1554" s="11"/>
      <c r="AH1554" s="7" t="str">
        <f>Table1[[#This Row],[html_tag]]&amp;Table1[[#This Row],[html_type]]&amp;Table1[[#This Row],[html_modifier]]</f>
        <v/>
      </c>
      <c r="AL1554" s="23" t="str">
        <f>IFERROR(_xlfn.XLOOKUP(Table1[[#This Row],[word]],Table57[English style name],Table57[Style type]),"")</f>
        <v/>
      </c>
      <c r="AM1554" s="21"/>
      <c r="AN1554" s="11"/>
    </row>
    <row r="1555" spans="4:44">
      <c r="F15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5" s="13"/>
      <c r="H1555" s="13"/>
      <c r="I1555" s="12" t="str">
        <f>Table1[[#This Row],[type]]</f>
        <v>mask</v>
      </c>
      <c r="J1555" s="62" t="str">
        <f>Table1[[#This Row],[Column42]]&amp;IF(Table1[[#This Row],[Column13]]="","",Table1[[#This Row],[Column13]])&amp;IF(Table1[[#This Row],[mod]]="","",Table1[[#This Row],[mod]])</f>
        <v>mask</v>
      </c>
      <c r="K15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5" t="s">
        <v>6937</v>
      </c>
      <c r="Q15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5" s="29"/>
      <c r="AC1555" s="25"/>
      <c r="AD1555" s="41" t="s">
        <v>6947</v>
      </c>
      <c r="AE1555" s="41"/>
      <c r="AF1555" s="11"/>
      <c r="AH1555" s="7" t="str">
        <f>Table1[[#This Row],[html_tag]]&amp;Table1[[#This Row],[html_type]]&amp;Table1[[#This Row],[html_modifier]]</f>
        <v/>
      </c>
      <c r="AL1555" s="23" t="str">
        <f>IFERROR(_xlfn.XLOOKUP(Table1[[#This Row],[word]],Table57[English style name],Table57[Style type]),"")</f>
        <v/>
      </c>
      <c r="AM1555" s="21"/>
      <c r="AN1555" s="11"/>
    </row>
    <row r="1556" spans="4:44">
      <c r="F15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6" s="13"/>
      <c r="H1556" s="13"/>
      <c r="I1556" s="12" t="str">
        <f>Table1[[#This Row],[type]]</f>
        <v>mask</v>
      </c>
      <c r="J1556" s="62" t="str">
        <f>Table1[[#This Row],[Column42]]&amp;IF(Table1[[#This Row],[Column13]]="","",Table1[[#This Row],[Column13]])&amp;IF(Table1[[#This Row],[mod]]="","",Table1[[#This Row],[mod]])</f>
        <v>mask</v>
      </c>
      <c r="K15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6" t="s">
        <v>6937</v>
      </c>
      <c r="Q15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6" s="29"/>
      <c r="AC1556" s="25"/>
      <c r="AD1556" s="41" t="s">
        <v>6954</v>
      </c>
      <c r="AE1556" s="41"/>
      <c r="AF1556" s="11"/>
      <c r="AH1556" s="7" t="str">
        <f>Table1[[#This Row],[html_tag]]&amp;Table1[[#This Row],[html_type]]&amp;Table1[[#This Row],[html_modifier]]</f>
        <v/>
      </c>
      <c r="AL1556" s="23" t="str">
        <f>IFERROR(_xlfn.XLOOKUP(Table1[[#This Row],[word]],Table57[English style name],Table57[Style type]),"")</f>
        <v/>
      </c>
      <c r="AM1556" s="21"/>
      <c r="AN1556" s="11"/>
    </row>
    <row r="1557" spans="4:44">
      <c r="F15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7" s="13"/>
      <c r="H1557" s="13"/>
      <c r="I1557" s="12" t="str">
        <f>Table1[[#This Row],[type]]</f>
        <v>mask</v>
      </c>
      <c r="J1557" s="62" t="str">
        <f>Table1[[#This Row],[Column42]]&amp;IF(Table1[[#This Row],[Column13]]="","",Table1[[#This Row],[Column13]])&amp;IF(Table1[[#This Row],[mod]]="","",Table1[[#This Row],[mod]])</f>
        <v>mask</v>
      </c>
      <c r="K15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7" t="s">
        <v>6937</v>
      </c>
      <c r="Q15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7" s="29"/>
      <c r="AC1557" s="25"/>
      <c r="AD1557" s="41" t="s">
        <v>6937</v>
      </c>
      <c r="AE1557" s="41"/>
      <c r="AF1557" s="11"/>
      <c r="AH1557" s="7" t="str">
        <f>Table1[[#This Row],[html_tag]]&amp;Table1[[#This Row],[html_type]]&amp;Table1[[#This Row],[html_modifier]]</f>
        <v/>
      </c>
      <c r="AL1557" s="23" t="str">
        <f>IFERROR(_xlfn.XLOOKUP(Table1[[#This Row],[word]],Table57[English style name],Table57[Style type]),"")</f>
        <v/>
      </c>
      <c r="AM1557" s="21"/>
      <c r="AN1557" s="11"/>
    </row>
    <row r="1558" spans="4:44">
      <c r="F15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58" s="13" t="s">
        <v>337</v>
      </c>
      <c r="H1558" s="13" t="s">
        <v>2986</v>
      </c>
      <c r="I1558" s="12" t="str">
        <f>Table1[[#This Row],[type]]</f>
        <v>media</v>
      </c>
      <c r="J1558" s="62" t="str">
        <f>Table1[[#This Row],[Column42]]&amp;IF(Table1[[#This Row],[Column13]]="","",Table1[[#This Row],[Column13]])&amp;IF(Table1[[#This Row],[mod]]="","",Table1[[#This Row],[mod]])</f>
        <v>media</v>
      </c>
      <c r="K15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</v>
      </c>
      <c r="L1558" t="s">
        <v>388</v>
      </c>
      <c r="P1558" s="6"/>
      <c r="Q15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8" s="29"/>
      <c r="AC1558" s="25"/>
      <c r="AD1558" s="41"/>
      <c r="AE1558" s="41"/>
      <c r="AF1558" s="11"/>
      <c r="AH1558" s="1" t="str">
        <f>Table1[[#This Row],[html_tag]]&amp;Table1[[#This Row],[html_type]]&amp;Table1[[#This Row],[html_modifier]]</f>
        <v/>
      </c>
      <c r="AL1558" s="22" t="str">
        <f>IFERROR(_xlfn.XLOOKUP(Table1[[#This Row],[word]],Table57[English style name],Table57[Style type]),"")</f>
        <v/>
      </c>
      <c r="AM1558" s="20"/>
      <c r="AN1558" s="11"/>
      <c r="AQ1558" s="6" t="s">
        <v>1252</v>
      </c>
      <c r="AR1558" t="s">
        <v>1896</v>
      </c>
    </row>
    <row r="1559" spans="4:44">
      <c r="F15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soul/line/media.scss</v>
      </c>
      <c r="G1559" s="13" t="s">
        <v>2992</v>
      </c>
      <c r="H1559" s="13" t="s">
        <v>2993</v>
      </c>
      <c r="I1559" s="12" t="str">
        <f>Table1[[#This Row],[type]]</f>
        <v>media</v>
      </c>
      <c r="J1559" s="62" t="str">
        <f>Table1[[#This Row],[Column42]]&amp;IF(Table1[[#This Row],[Column13]]="","",Table1[[#This Row],[Column13]])&amp;IF(Table1[[#This Row],[mod]]="","",Table1[[#This Row],[mod]])</f>
        <v>media</v>
      </c>
      <c r="K15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</v>
      </c>
      <c r="L1559" t="s">
        <v>388</v>
      </c>
      <c r="P1559" s="6"/>
      <c r="Q15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9" s="29"/>
      <c r="AC1559" s="25"/>
      <c r="AD1559" s="41"/>
      <c r="AE1559" s="41"/>
      <c r="AF1559" s="11"/>
      <c r="AH1559" s="1" t="str">
        <f>Table1[[#This Row],[html_tag]]&amp;Table1[[#This Row],[html_type]]&amp;Table1[[#This Row],[html_modifier]]</f>
        <v/>
      </c>
      <c r="AL1559" s="22" t="str">
        <f>IFERROR(_xlfn.XLOOKUP(Table1[[#This Row],[word]],Table57[English style name],Table57[Style type]),"")</f>
        <v/>
      </c>
      <c r="AM1559" s="20"/>
      <c r="AN1559" s="11"/>
      <c r="AQ1559" s="6" t="s">
        <v>1252</v>
      </c>
      <c r="AR1559" t="s">
        <v>1249</v>
      </c>
    </row>
    <row r="1560" spans="4:44">
      <c r="F15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60" s="13" t="s">
        <v>337</v>
      </c>
      <c r="H1560" s="13" t="s">
        <v>2986</v>
      </c>
      <c r="I1560" s="12" t="str">
        <f>Table1[[#This Row],[type]]</f>
        <v>media</v>
      </c>
      <c r="J1560" s="62" t="str">
        <f>Table1[[#This Row],[Column42]]&amp;IF(Table1[[#This Row],[Column13]]="","",Table1[[#This Row],[Column13]])&amp;IF(Table1[[#This Row],[mod]]="","",Table1[[#This Row],[mod]])</f>
        <v>media</v>
      </c>
      <c r="K15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</v>
      </c>
      <c r="L1560" t="s">
        <v>388</v>
      </c>
      <c r="P1560" s="6" t="s">
        <v>2730</v>
      </c>
      <c r="Q15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0" s="29"/>
      <c r="AC1560" s="25"/>
      <c r="AD1560" s="41"/>
      <c r="AE1560" s="41"/>
      <c r="AF1560" s="11"/>
      <c r="AH1560" s="1" t="str">
        <f>Table1[[#This Row],[html_tag]]&amp;Table1[[#This Row],[html_type]]&amp;Table1[[#This Row],[html_modifier]]</f>
        <v/>
      </c>
      <c r="AL1560" s="22" t="str">
        <f>IFERROR(_xlfn.XLOOKUP(Table1[[#This Row],[word]],Table57[English style name],Table57[Style type]),"")</f>
        <v/>
      </c>
      <c r="AM1560" s="20"/>
      <c r="AN1560" s="11"/>
      <c r="AQ1560" s="6" t="s">
        <v>2730</v>
      </c>
      <c r="AR1560" t="s">
        <v>2729</v>
      </c>
    </row>
    <row r="1561" spans="4:44">
      <c r="F15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1561" s="13" t="s">
        <v>2992</v>
      </c>
      <c r="H1561" s="13" t="s">
        <v>1</v>
      </c>
      <c r="I1561" s="12" t="str">
        <f>Table1[[#This Row],[type]]</f>
        <v>media</v>
      </c>
      <c r="J1561" s="62" t="str">
        <f>Table1[[#This Row],[Column42]]&amp;IF(Table1[[#This Row],[Column13]]="","",Table1[[#This Row],[Column13]])&amp;IF(Table1[[#This Row],[mod]]="","",Table1[[#This Row],[mod]])</f>
        <v>media__figure</v>
      </c>
      <c r="K15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1" t="s">
        <v>388</v>
      </c>
      <c r="M1561" t="s">
        <v>343</v>
      </c>
      <c r="Q15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1" s="29"/>
      <c r="AC1561" s="25" t="s">
        <v>3752</v>
      </c>
      <c r="AD1561" s="41"/>
      <c r="AE1561" s="41"/>
      <c r="AF1561" s="11"/>
      <c r="AH1561" s="1" t="str">
        <f>Table1[[#This Row],[html_tag]]&amp;Table1[[#This Row],[html_type]]&amp;Table1[[#This Row],[html_modifier]]</f>
        <v/>
      </c>
      <c r="AL1561" s="22" t="str">
        <f>IFERROR(_xlfn.XLOOKUP(Table1[[#This Row],[word]],Table57[English style name],Table57[Style type]),"")</f>
        <v/>
      </c>
      <c r="AM1561" s="20"/>
      <c r="AN1561" s="11"/>
      <c r="AO1561" t="s">
        <v>86</v>
      </c>
      <c r="AP1561" t="s">
        <v>87</v>
      </c>
      <c r="AQ1561" t="s">
        <v>85</v>
      </c>
    </row>
    <row r="1562" spans="4:44">
      <c r="D1562" t="s">
        <v>3320</v>
      </c>
      <c r="F15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62" s="13"/>
      <c r="H1562" s="13"/>
      <c r="I1562" s="12" t="str">
        <f>Table1[[#This Row],[type]]</f>
        <v>media</v>
      </c>
      <c r="J1562" s="62" t="str">
        <f>Table1[[#This Row],[Column42]]&amp;IF(Table1[[#This Row],[Column13]]="","",Table1[[#This Row],[Column13]])&amp;IF(Table1[[#This Row],[mod]]="","",Table1[[#This Row],[mod]])</f>
        <v>media__figure</v>
      </c>
      <c r="K15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2" t="s">
        <v>388</v>
      </c>
      <c r="M1562" t="s">
        <v>343</v>
      </c>
      <c r="Q15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2" s="29"/>
      <c r="AC1562" s="25"/>
      <c r="AD1562" s="41"/>
      <c r="AE1562" s="41"/>
      <c r="AF1562" s="11" t="s">
        <v>177</v>
      </c>
      <c r="AH1562" s="7" t="str">
        <f>Table1[[#This Row],[html_tag]]&amp;Table1[[#This Row],[html_type]]&amp;Table1[[#This Row],[html_modifier]]</f>
        <v/>
      </c>
      <c r="AL1562" s="23" t="str">
        <f>IFERROR(_xlfn.XLOOKUP(Table1[[#This Row],[word]],Table57[English style name],Table57[Style type]),"")</f>
        <v/>
      </c>
      <c r="AM1562" s="21"/>
      <c r="AN1562" s="11"/>
    </row>
    <row r="1563" spans="4:44">
      <c r="D1563" t="s">
        <v>3320</v>
      </c>
      <c r="F15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63" s="13"/>
      <c r="H1563" s="13"/>
      <c r="I1563" s="12" t="str">
        <f>Table1[[#This Row],[type]]</f>
        <v>media</v>
      </c>
      <c r="J1563" s="62" t="str">
        <f>Table1[[#This Row],[Column42]]&amp;IF(Table1[[#This Row],[Column13]]="","",Table1[[#This Row],[Column13]])&amp;IF(Table1[[#This Row],[mod]]="","",Table1[[#This Row],[mod]])</f>
        <v>media__figure</v>
      </c>
      <c r="K15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3" t="s">
        <v>388</v>
      </c>
      <c r="M1563" t="s">
        <v>343</v>
      </c>
      <c r="Q15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3" s="29"/>
      <c r="AC1563" s="25"/>
      <c r="AD1563" s="41"/>
      <c r="AE1563" s="41"/>
      <c r="AF1563" s="11" t="s">
        <v>177</v>
      </c>
      <c r="AH1563" s="7" t="str">
        <f>Table1[[#This Row],[html_tag]]&amp;Table1[[#This Row],[html_type]]&amp;Table1[[#This Row],[html_modifier]]</f>
        <v/>
      </c>
      <c r="AL1563" s="23" t="str">
        <f>IFERROR(_xlfn.XLOOKUP(Table1[[#This Row],[word]],Table57[English style name],Table57[Style type]),"")</f>
        <v/>
      </c>
      <c r="AM1563" s="21"/>
      <c r="AN1563" s="11"/>
    </row>
    <row r="1564" spans="4:44">
      <c r="F15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4" s="13" t="s">
        <v>337</v>
      </c>
      <c r="H1564" s="13" t="s">
        <v>2987</v>
      </c>
      <c r="I1564" s="12" t="str">
        <f>Table1[[#This Row],[type]]</f>
        <v>media</v>
      </c>
      <c r="J1564" s="62" t="str">
        <f>Table1[[#This Row],[Column42]]&amp;IF(Table1[[#This Row],[Column13]]="","",Table1[[#This Row],[Column13]])&amp;IF(Table1[[#This Row],[mod]]="","",Table1[[#This Row],[mod]])</f>
        <v>media__figure</v>
      </c>
      <c r="K15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4" t="s">
        <v>388</v>
      </c>
      <c r="M1564" t="s">
        <v>343</v>
      </c>
      <c r="P1564" s="6" t="s">
        <v>1586</v>
      </c>
      <c r="Q15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4" s="29"/>
      <c r="AC1564" s="25"/>
      <c r="AD1564" s="41"/>
      <c r="AE1564" s="41"/>
      <c r="AF1564" s="11" t="s">
        <v>178</v>
      </c>
      <c r="AH1564" s="1" t="str">
        <f>Table1[[#This Row],[html_tag]]&amp;Table1[[#This Row],[html_type]]&amp;Table1[[#This Row],[html_modifier]]</f>
        <v/>
      </c>
      <c r="AL1564" s="22" t="str">
        <f>IFERROR(_xlfn.XLOOKUP(Table1[[#This Row],[word]],Table57[English style name],Table57[Style type]),"")</f>
        <v/>
      </c>
      <c r="AM1564" s="20"/>
      <c r="AN1564" s="11"/>
      <c r="AQ1564" s="6" t="s">
        <v>1586</v>
      </c>
      <c r="AR1564" t="s">
        <v>1587</v>
      </c>
    </row>
    <row r="1565" spans="4:44">
      <c r="F15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5" s="13" t="s">
        <v>337</v>
      </c>
      <c r="H1565" s="13" t="s">
        <v>2987</v>
      </c>
      <c r="I1565" s="12" t="str">
        <f>Table1[[#This Row],[type]]</f>
        <v>media</v>
      </c>
      <c r="J1565" s="62" t="str">
        <f>Table1[[#This Row],[Column42]]&amp;IF(Table1[[#This Row],[Column13]]="","",Table1[[#This Row],[Column13]])&amp;IF(Table1[[#This Row],[mod]]="","",Table1[[#This Row],[mod]])</f>
        <v>media__figure</v>
      </c>
      <c r="K15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5" t="s">
        <v>388</v>
      </c>
      <c r="M1565" t="s">
        <v>343</v>
      </c>
      <c r="P1565" s="6" t="s">
        <v>1588</v>
      </c>
      <c r="Q15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5" s="29"/>
      <c r="AC1565" s="25"/>
      <c r="AD1565" s="41"/>
      <c r="AE1565" s="41"/>
      <c r="AF1565" s="11" t="s">
        <v>178</v>
      </c>
      <c r="AH1565" s="1" t="str">
        <f>Table1[[#This Row],[html_tag]]&amp;Table1[[#This Row],[html_type]]&amp;Table1[[#This Row],[html_modifier]]</f>
        <v/>
      </c>
      <c r="AL1565" s="22" t="str">
        <f>IFERROR(_xlfn.XLOOKUP(Table1[[#This Row],[word]],Table57[English style name],Table57[Style type]),"")</f>
        <v/>
      </c>
      <c r="AM1565" s="20"/>
      <c r="AN1565" s="11"/>
      <c r="AQ1565" s="6" t="s">
        <v>1588</v>
      </c>
      <c r="AR1565" t="s">
        <v>1587</v>
      </c>
    </row>
    <row r="1566" spans="4:44">
      <c r="F15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6" s="13" t="s">
        <v>337</v>
      </c>
      <c r="H1566" s="13" t="s">
        <v>2987</v>
      </c>
      <c r="I1566" s="12" t="str">
        <f>Table1[[#This Row],[type]]</f>
        <v>media</v>
      </c>
      <c r="J1566" s="62" t="str">
        <f>Table1[[#This Row],[Column42]]&amp;IF(Table1[[#This Row],[Column13]]="","",Table1[[#This Row],[Column13]])&amp;IF(Table1[[#This Row],[mod]]="","",Table1[[#This Row],[mod]])</f>
        <v>media__figure</v>
      </c>
      <c r="K15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6" t="s">
        <v>388</v>
      </c>
      <c r="M1566" t="s">
        <v>343</v>
      </c>
      <c r="P1566" s="6" t="s">
        <v>1589</v>
      </c>
      <c r="Q15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6" s="29"/>
      <c r="AC1566" s="25"/>
      <c r="AD1566" s="41"/>
      <c r="AE1566" s="41"/>
      <c r="AF1566" s="11" t="s">
        <v>178</v>
      </c>
      <c r="AH1566" s="1" t="str">
        <f>Table1[[#This Row],[html_tag]]&amp;Table1[[#This Row],[html_type]]&amp;Table1[[#This Row],[html_modifier]]</f>
        <v/>
      </c>
      <c r="AL1566" s="22" t="str">
        <f>IFERROR(_xlfn.XLOOKUP(Table1[[#This Row],[word]],Table57[English style name],Table57[Style type]),"")</f>
        <v/>
      </c>
      <c r="AM1566" s="20"/>
      <c r="AN1566" s="11"/>
      <c r="AQ1566" s="6" t="s">
        <v>1589</v>
      </c>
      <c r="AR1566" t="s">
        <v>1587</v>
      </c>
    </row>
    <row r="1567" spans="4:44">
      <c r="F15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7" s="13" t="s">
        <v>337</v>
      </c>
      <c r="H1567" s="13" t="s">
        <v>2987</v>
      </c>
      <c r="I1567" s="12" t="str">
        <f>Table1[[#This Row],[type]]</f>
        <v>media</v>
      </c>
      <c r="J1567" s="62" t="str">
        <f>Table1[[#This Row],[Column42]]&amp;IF(Table1[[#This Row],[Column13]]="","",Table1[[#This Row],[Column13]])&amp;IF(Table1[[#This Row],[mod]]="","",Table1[[#This Row],[mod]])</f>
        <v>media__figure</v>
      </c>
      <c r="K15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7" t="s">
        <v>388</v>
      </c>
      <c r="M1567" t="s">
        <v>343</v>
      </c>
      <c r="P1567" s="6" t="s">
        <v>1590</v>
      </c>
      <c r="Q15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7" s="29"/>
      <c r="AC1567" s="25"/>
      <c r="AD1567" s="41"/>
      <c r="AE1567" s="41"/>
      <c r="AF1567" s="11" t="s">
        <v>178</v>
      </c>
      <c r="AH1567" s="1" t="str">
        <f>Table1[[#This Row],[html_tag]]&amp;Table1[[#This Row],[html_type]]&amp;Table1[[#This Row],[html_modifier]]</f>
        <v/>
      </c>
      <c r="AL1567" s="22" t="str">
        <f>IFERROR(_xlfn.XLOOKUP(Table1[[#This Row],[word]],Table57[English style name],Table57[Style type]),"")</f>
        <v/>
      </c>
      <c r="AM1567" s="20"/>
      <c r="AN1567" s="11"/>
      <c r="AQ1567" s="6" t="s">
        <v>1590</v>
      </c>
      <c r="AR1567" t="s">
        <v>1587</v>
      </c>
    </row>
    <row r="1568" spans="4:44">
      <c r="F15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8" s="13" t="s">
        <v>337</v>
      </c>
      <c r="H1568" s="13" t="s">
        <v>2987</v>
      </c>
      <c r="I1568" s="12" t="str">
        <f>Table1[[#This Row],[type]]</f>
        <v>media</v>
      </c>
      <c r="J1568" s="62" t="str">
        <f>Table1[[#This Row],[Column42]]&amp;IF(Table1[[#This Row],[Column13]]="","",Table1[[#This Row],[Column13]])&amp;IF(Table1[[#This Row],[mod]]="","",Table1[[#This Row],[mod]])</f>
        <v>media__figure</v>
      </c>
      <c r="K15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8" t="s">
        <v>388</v>
      </c>
      <c r="M1568" t="s">
        <v>343</v>
      </c>
      <c r="P1568" s="6" t="s">
        <v>1591</v>
      </c>
      <c r="Q15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8" s="29"/>
      <c r="AC1568" s="25"/>
      <c r="AD1568" s="41"/>
      <c r="AE1568" s="41"/>
      <c r="AF1568" s="11" t="s">
        <v>178</v>
      </c>
      <c r="AH1568" s="1" t="str">
        <f>Table1[[#This Row],[html_tag]]&amp;Table1[[#This Row],[html_type]]&amp;Table1[[#This Row],[html_modifier]]</f>
        <v/>
      </c>
      <c r="AL1568" s="22" t="str">
        <f>IFERROR(_xlfn.XLOOKUP(Table1[[#This Row],[word]],Table57[English style name],Table57[Style type]),"")</f>
        <v/>
      </c>
      <c r="AM1568" s="20"/>
      <c r="AN1568" s="11"/>
      <c r="AQ1568" s="6" t="s">
        <v>1591</v>
      </c>
      <c r="AR1568" t="s">
        <v>1587</v>
      </c>
    </row>
    <row r="1569" spans="4:44">
      <c r="F15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9" s="13" t="s">
        <v>337</v>
      </c>
      <c r="H1569" s="13" t="s">
        <v>2987</v>
      </c>
      <c r="I1569" s="12" t="str">
        <f>Table1[[#This Row],[type]]</f>
        <v>media</v>
      </c>
      <c r="J1569" s="62" t="str">
        <f>Table1[[#This Row],[Column42]]&amp;IF(Table1[[#This Row],[Column13]]="","",Table1[[#This Row],[Column13]])&amp;IF(Table1[[#This Row],[mod]]="","",Table1[[#This Row],[mod]])</f>
        <v>media__figure</v>
      </c>
      <c r="K15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9" t="s">
        <v>388</v>
      </c>
      <c r="M1569" t="s">
        <v>343</v>
      </c>
      <c r="P1569" s="6" t="s">
        <v>1592</v>
      </c>
      <c r="Q15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9" s="29"/>
      <c r="AC1569" s="25"/>
      <c r="AD1569" s="41"/>
      <c r="AE1569" s="41"/>
      <c r="AF1569" s="11" t="s">
        <v>178</v>
      </c>
      <c r="AH1569" s="1" t="str">
        <f>Table1[[#This Row],[html_tag]]&amp;Table1[[#This Row],[html_type]]&amp;Table1[[#This Row],[html_modifier]]</f>
        <v/>
      </c>
      <c r="AL1569" s="22" t="str">
        <f>IFERROR(_xlfn.XLOOKUP(Table1[[#This Row],[word]],Table57[English style name],Table57[Style type]),"")</f>
        <v/>
      </c>
      <c r="AM1569" s="20"/>
      <c r="AN1569" s="11"/>
      <c r="AQ1569" s="6" t="s">
        <v>1592</v>
      </c>
      <c r="AR1569" t="s">
        <v>1587</v>
      </c>
    </row>
    <row r="1570" spans="4:44">
      <c r="D1570" t="s">
        <v>3320</v>
      </c>
      <c r="F15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0" s="13"/>
      <c r="H1570" s="13"/>
      <c r="I1570" s="12" t="str">
        <f>Table1[[#This Row],[type]]</f>
        <v>media</v>
      </c>
      <c r="J1570" s="62" t="str">
        <f>Table1[[#This Row],[Column42]]&amp;IF(Table1[[#This Row],[Column13]]="","",Table1[[#This Row],[Column13]])&amp;IF(Table1[[#This Row],[mod]]="","",Table1[[#This Row],[mod]])</f>
        <v>media__figure__caption</v>
      </c>
      <c r="K15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570" t="s">
        <v>388</v>
      </c>
      <c r="M1570" t="s">
        <v>343</v>
      </c>
      <c r="O1570" t="s">
        <v>329</v>
      </c>
      <c r="Q15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0" s="29"/>
      <c r="AC1570" s="25"/>
      <c r="AD1570" s="41"/>
      <c r="AE1570" s="41"/>
      <c r="AF1570" s="11" t="s">
        <v>177</v>
      </c>
      <c r="AH1570" s="7" t="str">
        <f>Table1[[#This Row],[html_tag]]&amp;Table1[[#This Row],[html_type]]&amp;Table1[[#This Row],[html_modifier]]</f>
        <v/>
      </c>
      <c r="AL1570" s="23" t="str">
        <f>IFERROR(_xlfn.XLOOKUP(Table1[[#This Row],[word]],Table57[English style name],Table57[Style type]),"")</f>
        <v/>
      </c>
      <c r="AM1570" s="21"/>
      <c r="AN1570" s="11"/>
    </row>
    <row r="1571" spans="4:44">
      <c r="D1571" t="s">
        <v>3320</v>
      </c>
      <c r="F15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1" s="13"/>
      <c r="H1571" s="13"/>
      <c r="I1571" s="12" t="str">
        <f>Table1[[#This Row],[type]]</f>
        <v>media</v>
      </c>
      <c r="J1571" s="62" t="str">
        <f>Table1[[#This Row],[Column42]]&amp;IF(Table1[[#This Row],[Column13]]="","",Table1[[#This Row],[Column13]])&amp;IF(Table1[[#This Row],[mod]]="","",Table1[[#This Row],[mod]])</f>
        <v>media__figure__caption</v>
      </c>
      <c r="K15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571" t="s">
        <v>388</v>
      </c>
      <c r="M1571" t="s">
        <v>343</v>
      </c>
      <c r="O1571" t="s">
        <v>329</v>
      </c>
      <c r="Q15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1" s="29"/>
      <c r="AC1571" s="25"/>
      <c r="AD1571" s="41"/>
      <c r="AE1571" s="41"/>
      <c r="AF1571" s="11" t="s">
        <v>177</v>
      </c>
      <c r="AH1571" s="7" t="str">
        <f>Table1[[#This Row],[html_tag]]&amp;Table1[[#This Row],[html_type]]&amp;Table1[[#This Row],[html_modifier]]</f>
        <v/>
      </c>
      <c r="AL1571" s="23" t="str">
        <f>IFERROR(_xlfn.XLOOKUP(Table1[[#This Row],[word]],Table57[English style name],Table57[Style type]),"")</f>
        <v/>
      </c>
      <c r="AM1571" s="21"/>
      <c r="AN1571" s="11"/>
    </row>
    <row r="1572" spans="4:44">
      <c r="D1572" t="s">
        <v>3320</v>
      </c>
      <c r="F15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2" s="13"/>
      <c r="H1572" s="13"/>
      <c r="I1572" s="12" t="str">
        <f>Table1[[#This Row],[type]]</f>
        <v>media</v>
      </c>
      <c r="J1572" s="62" t="str">
        <f>Table1[[#This Row],[Column42]]&amp;IF(Table1[[#This Row],[Column13]]="","",Table1[[#This Row],[Column13]])&amp;IF(Table1[[#This Row],[mod]]="","",Table1[[#This Row],[mod]])</f>
        <v>media__figure__caption</v>
      </c>
      <c r="K15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572" t="s">
        <v>388</v>
      </c>
      <c r="M1572" t="s">
        <v>343</v>
      </c>
      <c r="O1572" t="s">
        <v>329</v>
      </c>
      <c r="Q15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2" s="29"/>
      <c r="AC1572" s="25"/>
      <c r="AD1572" s="41"/>
      <c r="AE1572" s="41"/>
      <c r="AF1572" s="11" t="s">
        <v>177</v>
      </c>
      <c r="AH1572" s="7" t="str">
        <f>Table1[[#This Row],[html_tag]]&amp;Table1[[#This Row],[html_type]]&amp;Table1[[#This Row],[html_modifier]]</f>
        <v/>
      </c>
      <c r="AL1572" s="23" t="str">
        <f>IFERROR(_xlfn.XLOOKUP(Table1[[#This Row],[word]],Table57[English style name],Table57[Style type]),"")</f>
        <v/>
      </c>
      <c r="AM1572" s="21"/>
      <c r="AN1572" s="11"/>
    </row>
    <row r="1573" spans="4:44">
      <c r="D1573" t="s">
        <v>3320</v>
      </c>
      <c r="F15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3" s="13"/>
      <c r="H1573" s="13"/>
      <c r="I1573" s="12" t="str">
        <f>Table1[[#This Row],[type]]</f>
        <v>media</v>
      </c>
      <c r="J1573" s="62" t="str">
        <f>Table1[[#This Row],[Column42]]&amp;IF(Table1[[#This Row],[Column13]]="","",Table1[[#This Row],[Column13]])&amp;IF(Table1[[#This Row],[mod]]="","",Table1[[#This Row],[mod]])</f>
        <v>media__figure__caption</v>
      </c>
      <c r="K15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573" t="s">
        <v>388</v>
      </c>
      <c r="M1573" t="s">
        <v>343</v>
      </c>
      <c r="O1573" t="s">
        <v>329</v>
      </c>
      <c r="Q15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3" s="29"/>
      <c r="AC1573" s="25"/>
      <c r="AD1573" s="41"/>
      <c r="AE1573" s="41"/>
      <c r="AF1573" s="11" t="s">
        <v>177</v>
      </c>
      <c r="AH1573" s="7" t="str">
        <f>Table1[[#This Row],[html_tag]]&amp;Table1[[#This Row],[html_type]]&amp;Table1[[#This Row],[html_modifier]]</f>
        <v/>
      </c>
      <c r="AL1573" s="23" t="str">
        <f>IFERROR(_xlfn.XLOOKUP(Table1[[#This Row],[word]],Table57[English style name],Table57[Style type]),"")</f>
        <v/>
      </c>
      <c r="AM1573" s="21"/>
      <c r="AN1573" s="11"/>
    </row>
    <row r="1574" spans="4:44">
      <c r="D1574" t="s">
        <v>3320</v>
      </c>
      <c r="F15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4" s="13"/>
      <c r="H1574" s="13"/>
      <c r="I1574" s="12" t="str">
        <f>Table1[[#This Row],[type]]</f>
        <v>media</v>
      </c>
      <c r="J1574" s="62" t="str">
        <f>Table1[[#This Row],[Column42]]&amp;IF(Table1[[#This Row],[Column13]]="","",Table1[[#This Row],[Column13]])&amp;IF(Table1[[#This Row],[mod]]="","",Table1[[#This Row],[mod]])</f>
        <v>media__figure__continued</v>
      </c>
      <c r="K15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media__figure__continued</v>
      </c>
      <c r="L1574" t="s">
        <v>388</v>
      </c>
      <c r="M1574" t="s">
        <v>343</v>
      </c>
      <c r="O1574" t="s">
        <v>3372</v>
      </c>
      <c r="Q15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4" s="29"/>
      <c r="AC1574" s="25"/>
      <c r="AD1574" s="41"/>
      <c r="AE1574" s="41"/>
      <c r="AF1574" s="11" t="s">
        <v>177</v>
      </c>
      <c r="AH1574" s="7" t="str">
        <f>Table1[[#This Row],[html_tag]]&amp;Table1[[#This Row],[html_type]]&amp;Table1[[#This Row],[html_modifier]]</f>
        <v/>
      </c>
      <c r="AL1574" s="23" t="str">
        <f>IFERROR(_xlfn.XLOOKUP(Table1[[#This Row],[word]],Table57[English style name],Table57[Style type]),"")</f>
        <v/>
      </c>
      <c r="AM1574" s="21"/>
      <c r="AN1574" s="11"/>
    </row>
    <row r="1575" spans="4:44">
      <c r="F15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1575" s="13" t="s">
        <v>2992</v>
      </c>
      <c r="H1575" s="13" t="s">
        <v>1</v>
      </c>
      <c r="I1575" s="12" t="str">
        <f>Table1[[#This Row],[type]]</f>
        <v>media</v>
      </c>
      <c r="J1575" s="62" t="str">
        <f>Table1[[#This Row],[Column42]]&amp;IF(Table1[[#This Row],[Column13]]="","",Table1[[#This Row],[Column13]])&amp;IF(Table1[[#This Row],[mod]]="","",Table1[[#This Row],[mod]])</f>
        <v>media__figure__full</v>
      </c>
      <c r="K15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media__figure__full</v>
      </c>
      <c r="L1575" t="s">
        <v>388</v>
      </c>
      <c r="M1575" t="s">
        <v>343</v>
      </c>
      <c r="O1575" t="s">
        <v>3444</v>
      </c>
      <c r="Q15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5" s="29"/>
      <c r="AC1575" s="25"/>
      <c r="AD1575" s="41"/>
      <c r="AE1575" s="41"/>
      <c r="AF1575" s="11"/>
      <c r="AH1575" s="1" t="str">
        <f>Table1[[#This Row],[html_tag]]&amp;Table1[[#This Row],[html_type]]&amp;Table1[[#This Row],[html_modifier]]</f>
        <v/>
      </c>
      <c r="AL1575" s="22" t="str">
        <f>IFERROR(_xlfn.XLOOKUP(Table1[[#This Row],[word]],Table57[English style name],Table57[Style type]),"")</f>
        <v/>
      </c>
      <c r="AM1575" s="20"/>
      <c r="AN1575" s="11"/>
      <c r="AO1575" t="s">
        <v>89</v>
      </c>
      <c r="AP1575" t="s">
        <v>90</v>
      </c>
      <c r="AQ1575" t="s">
        <v>88</v>
      </c>
    </row>
    <row r="1576" spans="4:44">
      <c r="D1576" t="s">
        <v>3320</v>
      </c>
      <c r="F15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6" s="13"/>
      <c r="H1576" s="13"/>
      <c r="I1576" s="12" t="str">
        <f>Table1[[#This Row],[type]]</f>
        <v>media</v>
      </c>
      <c r="J1576" s="62" t="str">
        <f>Table1[[#This Row],[Column42]]&amp;IF(Table1[[#This Row],[Column13]]="","",Table1[[#This Row],[Column13]])&amp;IF(Table1[[#This Row],[mod]]="","",Table1[[#This Row],[mod]])</f>
        <v>media__figure__illustration</v>
      </c>
      <c r="K15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media__figure__illustration</v>
      </c>
      <c r="L1576" t="s">
        <v>388</v>
      </c>
      <c r="M1576" t="s">
        <v>343</v>
      </c>
      <c r="O1576" t="s">
        <v>7431</v>
      </c>
      <c r="Q15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6" s="29"/>
      <c r="AC1576" s="25"/>
      <c r="AD1576" s="41"/>
      <c r="AE1576" s="41"/>
      <c r="AF1576" s="11" t="s">
        <v>177</v>
      </c>
      <c r="AH1576" s="7" t="str">
        <f>Table1[[#This Row],[html_tag]]&amp;Table1[[#This Row],[html_type]]&amp;Table1[[#This Row],[html_modifier]]</f>
        <v/>
      </c>
      <c r="AL1576" s="23" t="str">
        <f>IFERROR(_xlfn.XLOOKUP(Table1[[#This Row],[word]],Table57[English style name],Table57[Style type]),"")</f>
        <v/>
      </c>
      <c r="AM1576" s="21"/>
      <c r="AN1576" s="11"/>
    </row>
    <row r="1577" spans="4:44">
      <c r="F15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77" s="13" t="s">
        <v>337</v>
      </c>
      <c r="H1577" s="13" t="s">
        <v>2987</v>
      </c>
      <c r="I1577" s="12" t="str">
        <f>Table1[[#This Row],[type]]</f>
        <v>media</v>
      </c>
      <c r="J1577" s="62" t="str">
        <f>Table1[[#This Row],[Column42]]&amp;IF(Table1[[#This Row],[Column13]]="","",Table1[[#This Row],[Column13]])&amp;IF(Table1[[#This Row],[mod]]="","",Table1[[#This Row],[mod]])</f>
        <v>media__figure__image</v>
      </c>
      <c r="K15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media__figure__image</v>
      </c>
      <c r="L1577" t="s">
        <v>388</v>
      </c>
      <c r="M1577" t="s">
        <v>343</v>
      </c>
      <c r="O1577" t="s">
        <v>3088</v>
      </c>
      <c r="P1577" s="6" t="s">
        <v>1594</v>
      </c>
      <c r="Q15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7" s="29"/>
      <c r="AC1577" s="25"/>
      <c r="AD1577" s="41"/>
      <c r="AE1577" s="41"/>
      <c r="AF1577" s="11" t="s">
        <v>178</v>
      </c>
      <c r="AH1577" s="1" t="str">
        <f>Table1[[#This Row],[html_tag]]&amp;Table1[[#This Row],[html_type]]&amp;Table1[[#This Row],[html_modifier]]</f>
        <v/>
      </c>
      <c r="AL1577" s="22" t="str">
        <f>IFERROR(_xlfn.XLOOKUP(Table1[[#This Row],[word]],Table57[English style name],Table57[Style type]),"")</f>
        <v/>
      </c>
      <c r="AM1577" s="20"/>
      <c r="AN1577" s="11"/>
      <c r="AQ1577" s="6" t="s">
        <v>1594</v>
      </c>
      <c r="AR1577" t="s">
        <v>1587</v>
      </c>
    </row>
    <row r="1578" spans="4:44">
      <c r="D1578" t="s">
        <v>3320</v>
      </c>
      <c r="F15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8" s="13"/>
      <c r="H1578" s="13"/>
      <c r="I1578" s="12" t="str">
        <f>Table1[[#This Row],[type]]</f>
        <v>media</v>
      </c>
      <c r="J1578" s="62" t="str">
        <f>Table1[[#This Row],[Column42]]&amp;IF(Table1[[#This Row],[Column13]]="","",Table1[[#This Row],[Column13]])&amp;IF(Table1[[#This Row],[mod]]="","",Table1[[#This Row],[mod]])</f>
        <v>media__figure__label</v>
      </c>
      <c r="K15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media__figure__label</v>
      </c>
      <c r="L1578" t="s">
        <v>388</v>
      </c>
      <c r="M1578" t="s">
        <v>343</v>
      </c>
      <c r="O1578" t="s">
        <v>554</v>
      </c>
      <c r="Q15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8" s="29"/>
      <c r="AC1578" s="25"/>
      <c r="AD1578" s="41"/>
      <c r="AE1578" s="41"/>
      <c r="AF1578" s="11" t="s">
        <v>177</v>
      </c>
      <c r="AH1578" s="7" t="str">
        <f>Table1[[#This Row],[html_tag]]&amp;Table1[[#This Row],[html_type]]&amp;Table1[[#This Row],[html_modifier]]</f>
        <v/>
      </c>
      <c r="AL1578" s="23" t="str">
        <f>IFERROR(_xlfn.XLOOKUP(Table1[[#This Row],[word]],Table57[English style name],Table57[Style type]),"")</f>
        <v/>
      </c>
      <c r="AM1578" s="21"/>
      <c r="AN1578" s="11"/>
    </row>
    <row r="1579" spans="4:44">
      <c r="D1579" t="s">
        <v>3320</v>
      </c>
      <c r="F15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9" s="13"/>
      <c r="H1579" s="13"/>
      <c r="I1579" s="12" t="str">
        <f>Table1[[#This Row],[type]]</f>
        <v>media</v>
      </c>
      <c r="J1579" s="62" t="str">
        <f>Table1[[#This Row],[Column42]]&amp;IF(Table1[[#This Row],[Column13]]="","",Table1[[#This Row],[Column13]])&amp;IF(Table1[[#This Row],[mod]]="","",Table1[[#This Row],[mod]])</f>
        <v>media__figure__text</v>
      </c>
      <c r="K15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media__figure__text</v>
      </c>
      <c r="L1579" t="s">
        <v>388</v>
      </c>
      <c r="M1579" t="s">
        <v>343</v>
      </c>
      <c r="O1579" t="s">
        <v>403</v>
      </c>
      <c r="Q15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9" s="29"/>
      <c r="AC1579" s="25"/>
      <c r="AD1579" s="41"/>
      <c r="AE1579" s="41"/>
      <c r="AF1579" s="11" t="s">
        <v>177</v>
      </c>
      <c r="AH1579" s="7" t="str">
        <f>Table1[[#This Row],[html_tag]]&amp;Table1[[#This Row],[html_type]]&amp;Table1[[#This Row],[html_modifier]]</f>
        <v/>
      </c>
      <c r="AL1579" s="23" t="str">
        <f>IFERROR(_xlfn.XLOOKUP(Table1[[#This Row],[word]],Table57[English style name],Table57[Style type]),"")</f>
        <v/>
      </c>
      <c r="AM1579" s="21"/>
      <c r="AN1579" s="11"/>
    </row>
    <row r="1580" spans="4:44">
      <c r="F15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0" s="13" t="s">
        <v>337</v>
      </c>
      <c r="H1580" s="13" t="s">
        <v>2987</v>
      </c>
      <c r="I1580" s="12" t="str">
        <f>Table1[[#This Row],[type]]</f>
        <v>media</v>
      </c>
      <c r="J1580" s="62" t="str">
        <f>Table1[[#This Row],[Column42]]&amp;IF(Table1[[#This Row],[Column13]]="","",Table1[[#This Row],[Column13]])&amp;IF(Table1[[#This Row],[mod]]="","",Table1[[#This Row],[mod]])</f>
        <v>media__figure--base</v>
      </c>
      <c r="K15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80" t="s">
        <v>388</v>
      </c>
      <c r="M1580" t="s">
        <v>343</v>
      </c>
      <c r="P1580" s="6" t="s">
        <v>1593</v>
      </c>
      <c r="Q15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80" t="s">
        <v>338</v>
      </c>
      <c r="AB1580" s="29"/>
      <c r="AC1580" s="25"/>
      <c r="AD1580" s="41"/>
      <c r="AE1580" s="41"/>
      <c r="AF1580" s="11" t="s">
        <v>178</v>
      </c>
      <c r="AH1580" s="1" t="str">
        <f>Table1[[#This Row],[html_tag]]&amp;Table1[[#This Row],[html_type]]&amp;Table1[[#This Row],[html_modifier]]</f>
        <v/>
      </c>
      <c r="AL1580" s="22" t="str">
        <f>IFERROR(_xlfn.XLOOKUP(Table1[[#This Row],[word]],Table57[English style name],Table57[Style type]),"")</f>
        <v/>
      </c>
      <c r="AM1580" s="20"/>
      <c r="AN1580" s="11"/>
      <c r="AQ1580" s="6" t="s">
        <v>1593</v>
      </c>
      <c r="AR1580" t="s">
        <v>1587</v>
      </c>
    </row>
    <row r="1581" spans="4:44">
      <c r="F15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1" s="13" t="s">
        <v>337</v>
      </c>
      <c r="H1581" s="13" t="s">
        <v>2987</v>
      </c>
      <c r="I1581" s="12" t="str">
        <f>Table1[[#This Row],[type]]</f>
        <v>media</v>
      </c>
      <c r="J1581" s="62" t="str">
        <f>Table1[[#This Row],[Column42]]&amp;IF(Table1[[#This Row],[Column13]]="","",Table1[[#This Row],[Column13]])&amp;IF(Table1[[#This Row],[mod]]="","",Table1[[#This Row],[mod]])</f>
        <v>media__figure--base</v>
      </c>
      <c r="K15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81" t="s">
        <v>388</v>
      </c>
      <c r="M1581" t="s">
        <v>343</v>
      </c>
      <c r="P1581" s="6" t="s">
        <v>1595</v>
      </c>
      <c r="Q15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81" t="s">
        <v>338</v>
      </c>
      <c r="AB1581" s="29"/>
      <c r="AC1581" s="25" t="s">
        <v>3750</v>
      </c>
      <c r="AD1581" s="41"/>
      <c r="AE1581" s="41"/>
      <c r="AF1581" s="11" t="s">
        <v>178</v>
      </c>
      <c r="AH1581" s="1" t="str">
        <f>Table1[[#This Row],[html_tag]]&amp;Table1[[#This Row],[html_type]]&amp;Table1[[#This Row],[html_modifier]]</f>
        <v>&lt;figure&gt;</v>
      </c>
      <c r="AI1581" t="s">
        <v>178</v>
      </c>
      <c r="AL1581" s="22" t="str">
        <f>IFERROR(_xlfn.XLOOKUP(Table1[[#This Row],[word]],Table57[English style name],Table57[Style type]),"")</f>
        <v/>
      </c>
      <c r="AM1581" s="20"/>
      <c r="AN1581" s="11"/>
      <c r="AQ1581" s="6" t="s">
        <v>1595</v>
      </c>
      <c r="AR1581" t="s">
        <v>1587</v>
      </c>
    </row>
    <row r="1582" spans="4:44">
      <c r="F15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2" s="13" t="s">
        <v>337</v>
      </c>
      <c r="H1582" s="13" t="s">
        <v>2987</v>
      </c>
      <c r="I1582" s="12" t="str">
        <f>Table1[[#This Row],[type]]</f>
        <v>media</v>
      </c>
      <c r="J1582" s="62" t="str">
        <f>Table1[[#This Row],[Column42]]&amp;IF(Table1[[#This Row],[Column13]]="","",Table1[[#This Row],[Column13]])&amp;IF(Table1[[#This Row],[mod]]="","",Table1[[#This Row],[mod]])</f>
        <v>media__figure--round</v>
      </c>
      <c r="K15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82" t="s">
        <v>388</v>
      </c>
      <c r="M1582" t="s">
        <v>343</v>
      </c>
      <c r="Q15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582" t="s">
        <v>3204</v>
      </c>
      <c r="AB1582" s="29"/>
      <c r="AC1582" s="25"/>
      <c r="AD1582" s="41"/>
      <c r="AE1582" s="41"/>
      <c r="AF1582" s="11" t="s">
        <v>178</v>
      </c>
      <c r="AH1582" s="1" t="str">
        <f>Table1[[#This Row],[html_tag]]&amp;Table1[[#This Row],[html_type]]&amp;Table1[[#This Row],[html_modifier]]</f>
        <v/>
      </c>
      <c r="AL1582" s="22" t="str">
        <f>IFERROR(_xlfn.XLOOKUP(Table1[[#This Row],[word]],Table57[English style name],Table57[Style type]),"")</f>
        <v/>
      </c>
      <c r="AM1582" s="20"/>
      <c r="AN1582" s="11"/>
      <c r="AQ1582" s="6" t="s">
        <v>1596</v>
      </c>
      <c r="AR1582" t="s">
        <v>1587</v>
      </c>
    </row>
    <row r="1583" spans="4:44">
      <c r="F15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3" s="13" t="s">
        <v>337</v>
      </c>
      <c r="H1583" s="13" t="s">
        <v>2987</v>
      </c>
      <c r="I1583" s="12" t="str">
        <f>Table1[[#This Row],[type]]</f>
        <v>media</v>
      </c>
      <c r="J1583" s="62" t="str">
        <f>Table1[[#This Row],[Column42]]&amp;IF(Table1[[#This Row],[Column13]]="","",Table1[[#This Row],[Column13]])&amp;IF(Table1[[#This Row],[mod]]="","",Table1[[#This Row],[mod]])</f>
        <v>media__graphic</v>
      </c>
      <c r="K15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83" t="s">
        <v>388</v>
      </c>
      <c r="M1583" t="s">
        <v>3132</v>
      </c>
      <c r="P1583" s="6" t="s">
        <v>1844</v>
      </c>
      <c r="Q15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3" s="29"/>
      <c r="AC1583" s="25"/>
      <c r="AD1583" s="41"/>
      <c r="AE1583" s="41"/>
      <c r="AF1583" s="11"/>
      <c r="AH1583" s="1" t="str">
        <f>Table1[[#This Row],[html_tag]]&amp;Table1[[#This Row],[html_type]]&amp;Table1[[#This Row],[html_modifier]]</f>
        <v/>
      </c>
      <c r="AL1583" s="22" t="str">
        <f>IFERROR(_xlfn.XLOOKUP(Table1[[#This Row],[word]],Table57[English style name],Table57[Style type]),"")</f>
        <v/>
      </c>
      <c r="AM1583" s="20"/>
      <c r="AN1583" s="11"/>
      <c r="AQ1583" s="6" t="s">
        <v>1844</v>
      </c>
      <c r="AR1583" t="s">
        <v>1843</v>
      </c>
    </row>
    <row r="1584" spans="4:44">
      <c r="F15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4" s="13" t="s">
        <v>337</v>
      </c>
      <c r="H1584" s="13" t="s">
        <v>2987</v>
      </c>
      <c r="I1584" s="12" t="str">
        <f>Table1[[#This Row],[type]]</f>
        <v>media</v>
      </c>
      <c r="J1584" s="62" t="str">
        <f>Table1[[#This Row],[Column42]]&amp;IF(Table1[[#This Row],[Column13]]="","",Table1[[#This Row],[Column13]])&amp;IF(Table1[[#This Row],[mod]]="","",Table1[[#This Row],[mod]])</f>
        <v>media__graphic</v>
      </c>
      <c r="K15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84" t="s">
        <v>388</v>
      </c>
      <c r="M1584" t="s">
        <v>3132</v>
      </c>
      <c r="P1584" s="6" t="s">
        <v>1845</v>
      </c>
      <c r="Q15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4" s="29"/>
      <c r="AC1584" s="25"/>
      <c r="AD1584" s="41"/>
      <c r="AE1584" s="41"/>
      <c r="AF1584" s="11"/>
      <c r="AH1584" s="1" t="str">
        <f>Table1[[#This Row],[html_tag]]&amp;Table1[[#This Row],[html_type]]&amp;Table1[[#This Row],[html_modifier]]</f>
        <v/>
      </c>
      <c r="AL1584" s="22" t="str">
        <f>IFERROR(_xlfn.XLOOKUP(Table1[[#This Row],[word]],Table57[English style name],Table57[Style type]),"")</f>
        <v/>
      </c>
      <c r="AM1584" s="20"/>
      <c r="AN1584" s="11"/>
      <c r="AQ1584" s="6" t="s">
        <v>1845</v>
      </c>
      <c r="AR1584" t="s">
        <v>1843</v>
      </c>
    </row>
    <row r="1585" spans="6:44">
      <c r="F15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5" s="13" t="s">
        <v>337</v>
      </c>
      <c r="H1585" s="13" t="s">
        <v>2987</v>
      </c>
      <c r="I1585" s="12" t="str">
        <f>Table1[[#This Row],[type]]</f>
        <v>media</v>
      </c>
      <c r="J1585" s="62" t="str">
        <f>Table1[[#This Row],[Column42]]&amp;IF(Table1[[#This Row],[Column13]]="","",Table1[[#This Row],[Column13]])&amp;IF(Table1[[#This Row],[mod]]="","",Table1[[#This Row],[mod]])</f>
        <v>media__graphic</v>
      </c>
      <c r="K15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85" t="s">
        <v>388</v>
      </c>
      <c r="M1585" t="s">
        <v>3132</v>
      </c>
      <c r="P1585" s="6" t="s">
        <v>1846</v>
      </c>
      <c r="Q15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5" s="29"/>
      <c r="AC1585" s="25"/>
      <c r="AD1585" s="41"/>
      <c r="AE1585" s="41"/>
      <c r="AF1585" s="11"/>
      <c r="AH1585" s="1" t="str">
        <f>Table1[[#This Row],[html_tag]]&amp;Table1[[#This Row],[html_type]]&amp;Table1[[#This Row],[html_modifier]]</f>
        <v/>
      </c>
      <c r="AL1585" s="22" t="str">
        <f>IFERROR(_xlfn.XLOOKUP(Table1[[#This Row],[word]],Table57[English style name],Table57[Style type]),"")</f>
        <v/>
      </c>
      <c r="AM1585" s="20"/>
      <c r="AN1585" s="11"/>
      <c r="AQ1585" s="6" t="s">
        <v>1846</v>
      </c>
      <c r="AR1585" t="s">
        <v>1843</v>
      </c>
    </row>
    <row r="1586" spans="6:44">
      <c r="F15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6" s="13" t="s">
        <v>337</v>
      </c>
      <c r="H1586" s="13" t="s">
        <v>2987</v>
      </c>
      <c r="I1586" s="12" t="str">
        <f>Table1[[#This Row],[type]]</f>
        <v>media</v>
      </c>
      <c r="J1586" s="62" t="str">
        <f>Table1[[#This Row],[Column42]]&amp;IF(Table1[[#This Row],[Column13]]="","",Table1[[#This Row],[Column13]])&amp;IF(Table1[[#This Row],[mod]]="","",Table1[[#This Row],[mod]])</f>
        <v>media__graphic--base</v>
      </c>
      <c r="K15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86" t="s">
        <v>388</v>
      </c>
      <c r="M1586" t="s">
        <v>3132</v>
      </c>
      <c r="P1586" s="6" t="s">
        <v>1842</v>
      </c>
      <c r="Q15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86" t="s">
        <v>338</v>
      </c>
      <c r="AB1586" s="29"/>
      <c r="AC1586" s="25"/>
      <c r="AD1586" s="41"/>
      <c r="AE1586" s="41"/>
      <c r="AF1586" s="11"/>
      <c r="AH1586" s="1" t="str">
        <f>Table1[[#This Row],[html_tag]]&amp;Table1[[#This Row],[html_type]]&amp;Table1[[#This Row],[html_modifier]]</f>
        <v/>
      </c>
      <c r="AL1586" s="22" t="str">
        <f>IFERROR(_xlfn.XLOOKUP(Table1[[#This Row],[word]],Table57[English style name],Table57[Style type]),"")</f>
        <v/>
      </c>
      <c r="AM1586" s="20"/>
      <c r="AN1586" s="11"/>
      <c r="AQ1586" s="6" t="s">
        <v>1842</v>
      </c>
      <c r="AR1586" t="s">
        <v>1843</v>
      </c>
    </row>
    <row r="1587" spans="6:44">
      <c r="F15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7" s="13" t="s">
        <v>337</v>
      </c>
      <c r="H1587" s="13" t="s">
        <v>2987</v>
      </c>
      <c r="I1587" s="12" t="str">
        <f>Table1[[#This Row],[type]]</f>
        <v>media</v>
      </c>
      <c r="J1587" s="62" t="str">
        <f>Table1[[#This Row],[Column42]]&amp;IF(Table1[[#This Row],[Column13]]="","",Table1[[#This Row],[Column13]])&amp;IF(Table1[[#This Row],[mod]]="","",Table1[[#This Row],[mod]])</f>
        <v>media__graphic--base</v>
      </c>
      <c r="K15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87" t="s">
        <v>388</v>
      </c>
      <c r="M1587" t="s">
        <v>3132</v>
      </c>
      <c r="P1587" s="6"/>
      <c r="Q15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87" t="s">
        <v>338</v>
      </c>
      <c r="AB1587" s="29"/>
      <c r="AC1587" s="25"/>
      <c r="AD1587" s="41"/>
      <c r="AE1587" s="41"/>
      <c r="AF1587" s="11"/>
      <c r="AH1587" s="1" t="str">
        <f>Table1[[#This Row],[html_tag]]&amp;Table1[[#This Row],[html_type]]&amp;Table1[[#This Row],[html_modifier]]</f>
        <v/>
      </c>
      <c r="AL1587" s="22" t="str">
        <f>IFERROR(_xlfn.XLOOKUP(Table1[[#This Row],[word]],Table57[English style name],Table57[Style type]),"")</f>
        <v/>
      </c>
      <c r="AM1587" s="20"/>
      <c r="AN1587" s="11"/>
      <c r="AQ1587" s="6" t="s">
        <v>1847</v>
      </c>
      <c r="AR1587" t="s">
        <v>1843</v>
      </c>
    </row>
    <row r="1588" spans="6:44">
      <c r="F15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8" s="13" t="s">
        <v>337</v>
      </c>
      <c r="H1588" s="13" t="s">
        <v>2987</v>
      </c>
      <c r="I1588" s="12" t="str">
        <f>Table1[[#This Row],[type]]</f>
        <v>media</v>
      </c>
      <c r="J1588" s="62" t="str">
        <f>Table1[[#This Row],[Column42]]&amp;IF(Table1[[#This Row],[Column13]]="","",Table1[[#This Row],[Column13]])&amp;IF(Table1[[#This Row],[mod]]="","",Table1[[#This Row],[mod]])</f>
        <v>media__image</v>
      </c>
      <c r="K15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88" t="s">
        <v>388</v>
      </c>
      <c r="M1588" t="s">
        <v>3088</v>
      </c>
      <c r="P1588" s="6"/>
      <c r="Q15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8" s="29"/>
      <c r="AC1588" s="25"/>
      <c r="AD1588" s="41"/>
      <c r="AE1588" s="41"/>
      <c r="AF1588" s="11"/>
      <c r="AH1588" s="1" t="str">
        <f>Table1[[#This Row],[html_tag]]&amp;Table1[[#This Row],[html_type]]&amp;Table1[[#This Row],[html_modifier]]</f>
        <v/>
      </c>
      <c r="AL1588" s="22" t="str">
        <f>IFERROR(_xlfn.XLOOKUP(Table1[[#This Row],[word]],Table57[English style name],Table57[Style type]),"")</f>
        <v/>
      </c>
      <c r="AM1588" s="20"/>
      <c r="AN1588" s="11"/>
      <c r="AQ1588" s="6" t="s">
        <v>1902</v>
      </c>
      <c r="AR1588" t="s">
        <v>1893</v>
      </c>
    </row>
    <row r="1589" spans="6:44">
      <c r="F15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89" s="13"/>
      <c r="H1589" s="13"/>
      <c r="I1589" s="12" t="str">
        <f>Table1[[#This Row],[type]]</f>
        <v>media</v>
      </c>
      <c r="J1589" s="62" t="str">
        <f>Table1[[#This Row],[Column42]]&amp;IF(Table1[[#This Row],[Column13]]="","",Table1[[#This Row],[Column13]])&amp;IF(Table1[[#This Row],[mod]]="","",Table1[[#This Row],[mod]])</f>
        <v>media__image</v>
      </c>
      <c r="K15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89" t="s">
        <v>388</v>
      </c>
      <c r="M1589" t="s">
        <v>3088</v>
      </c>
      <c r="Q15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9" s="29"/>
      <c r="AC1589" s="25"/>
      <c r="AD1589" s="41"/>
      <c r="AE1589" s="41"/>
      <c r="AF1589" s="11" t="s">
        <v>217</v>
      </c>
      <c r="AH1589" s="1" t="str">
        <f>Table1[[#This Row],[html_tag]]&amp;Table1[[#This Row],[html_type]]&amp;Table1[[#This Row],[html_modifier]]</f>
        <v>&lt;map&gt;</v>
      </c>
      <c r="AI1589" t="s">
        <v>217</v>
      </c>
      <c r="AL1589" s="22" t="str">
        <f>IFERROR(_xlfn.XLOOKUP(Table1[[#This Row],[word]],Table57[English style name],Table57[Style type]),"")</f>
        <v/>
      </c>
      <c r="AM1589" s="20"/>
      <c r="AN1589" s="11"/>
    </row>
    <row r="1590" spans="6:44">
      <c r="F15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90" s="13" t="s">
        <v>337</v>
      </c>
      <c r="H1590" s="13" t="s">
        <v>2987</v>
      </c>
      <c r="I1590" s="12" t="str">
        <f>Table1[[#This Row],[type]]</f>
        <v>media</v>
      </c>
      <c r="J1590" s="62" t="str">
        <f>Table1[[#This Row],[Column42]]&amp;IF(Table1[[#This Row],[Column13]]="","",Table1[[#This Row],[Column13]])&amp;IF(Table1[[#This Row],[mod]]="","",Table1[[#This Row],[mod]])</f>
        <v>media__image</v>
      </c>
      <c r="K15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0" t="s">
        <v>388</v>
      </c>
      <c r="M1590" t="s">
        <v>3088</v>
      </c>
      <c r="P1590" s="6"/>
      <c r="Q15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0" s="29"/>
      <c r="AC1590" s="25"/>
      <c r="AD1590" s="41"/>
      <c r="AE1590" s="41"/>
      <c r="AF1590" s="11"/>
      <c r="AH1590" s="1" t="str">
        <f>Table1[[#This Row],[html_tag]]&amp;Table1[[#This Row],[html_type]]&amp;Table1[[#This Row],[html_modifier]]</f>
        <v/>
      </c>
      <c r="AL1590" s="22" t="str">
        <f>IFERROR(_xlfn.XLOOKUP(Table1[[#This Row],[word]],Table57[English style name],Table57[Style type]),"")</f>
        <v/>
      </c>
      <c r="AM1590" s="20"/>
      <c r="AN1590" s="11"/>
      <c r="AQ1590" s="6" t="s">
        <v>1900</v>
      </c>
      <c r="AR1590" t="s">
        <v>1893</v>
      </c>
    </row>
    <row r="1591" spans="6:44">
      <c r="F15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91" s="13" t="s">
        <v>337</v>
      </c>
      <c r="H1591" s="13" t="s">
        <v>2987</v>
      </c>
      <c r="I1591" s="12" t="str">
        <f>Table1[[#This Row],[type]]</f>
        <v>media</v>
      </c>
      <c r="J1591" s="62" t="str">
        <f>Table1[[#This Row],[Column42]]&amp;IF(Table1[[#This Row],[Column13]]="","",Table1[[#This Row],[Column13]])&amp;IF(Table1[[#This Row],[mod]]="","",Table1[[#This Row],[mod]])</f>
        <v>media__image</v>
      </c>
      <c r="K15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1" t="s">
        <v>388</v>
      </c>
      <c r="M1591" t="s">
        <v>3088</v>
      </c>
      <c r="P1591" s="6"/>
      <c r="Q15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1" s="29"/>
      <c r="AC1591" s="25"/>
      <c r="AD1591" s="41"/>
      <c r="AE1591" s="41"/>
      <c r="AF1591" s="11"/>
      <c r="AH1591" s="1" t="str">
        <f>Table1[[#This Row],[html_tag]]&amp;Table1[[#This Row],[html_type]]&amp;Table1[[#This Row],[html_modifier]]</f>
        <v/>
      </c>
      <c r="AL1591" s="22" t="str">
        <f>IFERROR(_xlfn.XLOOKUP(Table1[[#This Row],[word]],Table57[English style name],Table57[Style type]),"")</f>
        <v/>
      </c>
      <c r="AM1591" s="20"/>
      <c r="AN1591" s="11"/>
      <c r="AQ1591" s="6" t="s">
        <v>1899</v>
      </c>
      <c r="AR1591" t="s">
        <v>1893</v>
      </c>
    </row>
    <row r="1592" spans="6:44">
      <c r="F15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92" s="13" t="s">
        <v>337</v>
      </c>
      <c r="H1592" s="13" t="s">
        <v>2987</v>
      </c>
      <c r="I1592" s="12" t="str">
        <f>Table1[[#This Row],[type]]</f>
        <v>media</v>
      </c>
      <c r="J1592" s="62" t="str">
        <f>Table1[[#This Row],[Column42]]&amp;IF(Table1[[#This Row],[Column13]]="","",Table1[[#This Row],[Column13]])&amp;IF(Table1[[#This Row],[mod]]="","",Table1[[#This Row],[mod]])</f>
        <v>media__image</v>
      </c>
      <c r="K15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2" t="s">
        <v>388</v>
      </c>
      <c r="M1592" t="s">
        <v>3088</v>
      </c>
      <c r="P1592" s="6"/>
      <c r="Q15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2" s="29"/>
      <c r="AC1592" s="25"/>
      <c r="AD1592" s="41"/>
      <c r="AE1592" s="41"/>
      <c r="AF1592" s="11"/>
      <c r="AH1592" s="1" t="str">
        <f>Table1[[#This Row],[html_tag]]&amp;Table1[[#This Row],[html_type]]&amp;Table1[[#This Row],[html_modifier]]</f>
        <v/>
      </c>
      <c r="AL1592" s="22" t="str">
        <f>IFERROR(_xlfn.XLOOKUP(Table1[[#This Row],[word]],Table57[English style name],Table57[Style type]),"")</f>
        <v/>
      </c>
      <c r="AM1592" s="20"/>
      <c r="AN1592" s="11"/>
      <c r="AQ1592" s="6" t="s">
        <v>1898</v>
      </c>
      <c r="AR1592" t="s">
        <v>1893</v>
      </c>
    </row>
    <row r="1593" spans="6:44">
      <c r="F15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93" s="13" t="s">
        <v>337</v>
      </c>
      <c r="H1593" s="13" t="s">
        <v>2987</v>
      </c>
      <c r="I1593" s="12" t="str">
        <f>Table1[[#This Row],[type]]</f>
        <v>media</v>
      </c>
      <c r="J1593" s="62" t="str">
        <f>Table1[[#This Row],[Column42]]&amp;IF(Table1[[#This Row],[Column13]]="","",Table1[[#This Row],[Column13]])&amp;IF(Table1[[#This Row],[mod]]="","",Table1[[#This Row],[mod]])</f>
        <v>media__image</v>
      </c>
      <c r="K15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3" t="s">
        <v>388</v>
      </c>
      <c r="M1593" t="s">
        <v>3088</v>
      </c>
      <c r="P1593" s="6" t="s">
        <v>1901</v>
      </c>
      <c r="Q15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3" s="29"/>
      <c r="AC1593" s="25"/>
      <c r="AD1593" s="41"/>
      <c r="AE1593" s="41"/>
      <c r="AF1593" s="11"/>
      <c r="AH1593" s="1" t="str">
        <f>Table1[[#This Row],[html_tag]]&amp;Table1[[#This Row],[html_type]]&amp;Table1[[#This Row],[html_modifier]]</f>
        <v/>
      </c>
      <c r="AL1593" s="22" t="str">
        <f>IFERROR(_xlfn.XLOOKUP(Table1[[#This Row],[word]],Table57[English style name],Table57[Style type]),"")</f>
        <v/>
      </c>
      <c r="AM1593" s="20"/>
      <c r="AN1593" s="11"/>
      <c r="AQ1593" s="6" t="s">
        <v>1901</v>
      </c>
      <c r="AR1593" t="s">
        <v>1893</v>
      </c>
    </row>
    <row r="1594" spans="6:44">
      <c r="F15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94" s="13" t="s">
        <v>337</v>
      </c>
      <c r="H1594" s="13" t="s">
        <v>2987</v>
      </c>
      <c r="I1594" s="12" t="str">
        <f>Table1[[#This Row],[type]]</f>
        <v>media</v>
      </c>
      <c r="J1594" s="62" t="str">
        <f>Table1[[#This Row],[Column42]]&amp;IF(Table1[[#This Row],[Column13]]="","",Table1[[#This Row],[Column13]])&amp;IF(Table1[[#This Row],[mod]]="","",Table1[[#This Row],[mod]])</f>
        <v>media__image</v>
      </c>
      <c r="K15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4" t="s">
        <v>388</v>
      </c>
      <c r="M1594" t="s">
        <v>3088</v>
      </c>
      <c r="P1594" s="6" t="s">
        <v>1903</v>
      </c>
      <c r="Q15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4" s="29"/>
      <c r="AC1594" s="25"/>
      <c r="AD1594" s="41"/>
      <c r="AE1594" s="41"/>
      <c r="AF1594" s="11"/>
      <c r="AH1594" s="1" t="str">
        <f>Table1[[#This Row],[html_tag]]&amp;Table1[[#This Row],[html_type]]&amp;Table1[[#This Row],[html_modifier]]</f>
        <v/>
      </c>
      <c r="AL1594" s="22" t="str">
        <f>IFERROR(_xlfn.XLOOKUP(Table1[[#This Row],[word]],Table57[English style name],Table57[Style type]),"")</f>
        <v/>
      </c>
      <c r="AM1594" s="20"/>
      <c r="AN1594" s="11"/>
      <c r="AQ1594" s="6" t="s">
        <v>1903</v>
      </c>
      <c r="AR1594" t="s">
        <v>1893</v>
      </c>
    </row>
    <row r="1595" spans="6:44">
      <c r="F15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95" s="13" t="s">
        <v>337</v>
      </c>
      <c r="H1595" s="13" t="s">
        <v>2986</v>
      </c>
      <c r="I1595" s="12" t="str">
        <f>Table1[[#This Row],[type]]</f>
        <v>media</v>
      </c>
      <c r="J1595" s="62" t="str">
        <f>Table1[[#This Row],[Column42]]&amp;IF(Table1[[#This Row],[Column13]]="","",Table1[[#This Row],[Column13]])&amp;IF(Table1[[#This Row],[mod]]="","",Table1[[#This Row],[mod]])</f>
        <v>media__image</v>
      </c>
      <c r="K15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5" t="s">
        <v>388</v>
      </c>
      <c r="M1595" t="s">
        <v>3088</v>
      </c>
      <c r="P1595" s="6" t="s">
        <v>1904</v>
      </c>
      <c r="Q15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5" s="29"/>
      <c r="AC1595" s="25"/>
      <c r="AD1595" s="41"/>
      <c r="AE1595" s="41"/>
      <c r="AF1595" s="11"/>
      <c r="AH1595" s="1" t="str">
        <f>Table1[[#This Row],[html_tag]]&amp;Table1[[#This Row],[html_type]]&amp;Table1[[#This Row],[html_modifier]]</f>
        <v/>
      </c>
      <c r="AL1595" s="22" t="str">
        <f>IFERROR(_xlfn.XLOOKUP(Table1[[#This Row],[word]],Table57[English style name],Table57[Style type]),"")</f>
        <v/>
      </c>
      <c r="AM1595" s="20"/>
      <c r="AN1595" s="11"/>
      <c r="AQ1595" s="6" t="s">
        <v>1904</v>
      </c>
      <c r="AR1595" t="s">
        <v>1896</v>
      </c>
    </row>
    <row r="1596" spans="6:44">
      <c r="F15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96" s="13" t="s">
        <v>337</v>
      </c>
      <c r="H1596" s="13" t="s">
        <v>2986</v>
      </c>
      <c r="I1596" s="12" t="str">
        <f>Table1[[#This Row],[type]]</f>
        <v>media</v>
      </c>
      <c r="J1596" s="62" t="str">
        <f>Table1[[#This Row],[Column42]]&amp;IF(Table1[[#This Row],[Column13]]="","",Table1[[#This Row],[Column13]])&amp;IF(Table1[[#This Row],[mod]]="","",Table1[[#This Row],[mod]])</f>
        <v>media__image</v>
      </c>
      <c r="K15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6" t="s">
        <v>388</v>
      </c>
      <c r="M1596" t="s">
        <v>3088</v>
      </c>
      <c r="P1596" s="6" t="s">
        <v>1897</v>
      </c>
      <c r="Q15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6" s="29"/>
      <c r="AC1596" s="25"/>
      <c r="AD1596" s="41"/>
      <c r="AE1596" s="41"/>
      <c r="AF1596" s="11"/>
      <c r="AH1596" s="1" t="str">
        <f>Table1[[#This Row],[html_tag]]&amp;Table1[[#This Row],[html_type]]&amp;Table1[[#This Row],[html_modifier]]</f>
        <v/>
      </c>
      <c r="AL1596" s="22" t="str">
        <f>IFERROR(_xlfn.XLOOKUP(Table1[[#This Row],[word]],Table57[English style name],Table57[Style type]),"")</f>
        <v/>
      </c>
      <c r="AM1596" s="20"/>
      <c r="AN1596" s="11"/>
      <c r="AQ1596" s="6" t="s">
        <v>1897</v>
      </c>
      <c r="AR1596" t="s">
        <v>1896</v>
      </c>
    </row>
    <row r="1597" spans="6:44">
      <c r="F15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97" s="13" t="s">
        <v>337</v>
      </c>
      <c r="H1597" s="13" t="s">
        <v>2986</v>
      </c>
      <c r="I1597" s="12" t="str">
        <f>Table1[[#This Row],[type]]</f>
        <v>media</v>
      </c>
      <c r="J1597" s="62" t="str">
        <f>Table1[[#This Row],[Column42]]&amp;IF(Table1[[#This Row],[Column13]]="","",Table1[[#This Row],[Column13]])&amp;IF(Table1[[#This Row],[mod]]="","",Table1[[#This Row],[mod]])</f>
        <v>media__image</v>
      </c>
      <c r="K15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7" t="s">
        <v>388</v>
      </c>
      <c r="M1597" t="s">
        <v>3088</v>
      </c>
      <c r="Q15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7" s="29"/>
      <c r="AC1597" s="25" t="s">
        <v>3715</v>
      </c>
      <c r="AD1597" s="41"/>
      <c r="AE1597" s="41"/>
      <c r="AF1597" s="11"/>
      <c r="AH1597" s="7" t="str">
        <f>Table1[[#This Row],[html_tag]]&amp;Table1[[#This Row],[html_type]]&amp;Table1[[#This Row],[html_modifier]]</f>
        <v/>
      </c>
      <c r="AL1597" s="23" t="str">
        <f>IFERROR(_xlfn.XLOOKUP(Table1[[#This Row],[word]],Table57[English style name],Table57[Style type]),"")</f>
        <v/>
      </c>
      <c r="AM1597" s="21"/>
      <c r="AN1597" s="11"/>
    </row>
    <row r="1598" spans="6:44">
      <c r="F15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98" s="13" t="s">
        <v>337</v>
      </c>
      <c r="H1598" s="13" t="s">
        <v>2986</v>
      </c>
      <c r="I1598" s="12" t="str">
        <f>Table1[[#This Row],[type]]</f>
        <v>media</v>
      </c>
      <c r="J1598" s="62" t="str">
        <f>Table1[[#This Row],[Column42]]&amp;IF(Table1[[#This Row],[Column13]]="","",Table1[[#This Row],[Column13]])&amp;IF(Table1[[#This Row],[mod]]="","",Table1[[#This Row],[mod]])</f>
        <v>media__image</v>
      </c>
      <c r="K15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8" t="s">
        <v>388</v>
      </c>
      <c r="M1598" t="s">
        <v>3088</v>
      </c>
      <c r="Q15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8" s="29"/>
      <c r="AC1598" s="25" t="s">
        <v>3716</v>
      </c>
      <c r="AD1598" s="41"/>
      <c r="AE1598" s="41"/>
      <c r="AF1598" s="11"/>
      <c r="AH1598" s="7" t="str">
        <f>Table1[[#This Row],[html_tag]]&amp;Table1[[#This Row],[html_type]]&amp;Table1[[#This Row],[html_modifier]]</f>
        <v/>
      </c>
      <c r="AL1598" s="23" t="str">
        <f>IFERROR(_xlfn.XLOOKUP(Table1[[#This Row],[word]],Table57[English style name],Table57[Style type]),"")</f>
        <v/>
      </c>
      <c r="AM1598" s="21"/>
      <c r="AN1598" s="11"/>
    </row>
    <row r="1599" spans="6:44">
      <c r="F15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99" s="13" t="s">
        <v>337</v>
      </c>
      <c r="H1599" s="13" t="s">
        <v>2986</v>
      </c>
      <c r="I1599" s="12" t="str">
        <f>Table1[[#This Row],[type]]</f>
        <v>media</v>
      </c>
      <c r="J1599" s="62" t="str">
        <f>Table1[[#This Row],[Column42]]&amp;IF(Table1[[#This Row],[Column13]]="","",Table1[[#This Row],[Column13]])&amp;IF(Table1[[#This Row],[mod]]="","",Table1[[#This Row],[mod]])</f>
        <v>media__image</v>
      </c>
      <c r="K15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9" t="s">
        <v>388</v>
      </c>
      <c r="M1599" t="s">
        <v>3088</v>
      </c>
      <c r="P1599" s="6"/>
      <c r="Q15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9" s="29"/>
      <c r="AC1599" s="25"/>
      <c r="AD1599" s="41"/>
      <c r="AE1599" s="41"/>
      <c r="AF1599" s="11"/>
      <c r="AH1599" s="1" t="str">
        <f>Table1[[#This Row],[html_tag]]&amp;Table1[[#This Row],[html_type]]&amp;Table1[[#This Row],[html_modifier]]</f>
        <v/>
      </c>
      <c r="AL1599" s="22" t="str">
        <f>IFERROR(_xlfn.XLOOKUP(Table1[[#This Row],[word]],Table57[English style name],Table57[Style type]),"")</f>
        <v/>
      </c>
      <c r="AM1599" s="20"/>
      <c r="AN1599" s="11"/>
      <c r="AQ1599" s="6" t="s">
        <v>1895</v>
      </c>
      <c r="AR1599" t="s">
        <v>1896</v>
      </c>
    </row>
    <row r="1600" spans="6:44">
      <c r="F16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600" s="13"/>
      <c r="H1600" s="13"/>
      <c r="I1600" s="12" t="str">
        <f>Table1[[#This Row],[type]]</f>
        <v>media</v>
      </c>
      <c r="J1600" s="62" t="str">
        <f>Table1[[#This Row],[Column42]]&amp;IF(Table1[[#This Row],[Column13]]="","",Table1[[#This Row],[Column13]])&amp;IF(Table1[[#This Row],[mod]]="","",Table1[[#This Row],[mod]])</f>
        <v>media__image__&lt;img&gt;</v>
      </c>
      <c r="K16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media__image__&lt;img&gt;</v>
      </c>
      <c r="L1600" t="s">
        <v>388</v>
      </c>
      <c r="M1600" t="s">
        <v>3088</v>
      </c>
      <c r="O1600" t="s">
        <v>201</v>
      </c>
      <c r="Q16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0" s="29"/>
      <c r="AC1600" s="25"/>
      <c r="AD1600" s="41"/>
      <c r="AE1600" s="41"/>
      <c r="AF1600" s="11" t="s">
        <v>201</v>
      </c>
      <c r="AH1600" s="1" t="str">
        <f>Table1[[#This Row],[html_tag]]&amp;Table1[[#This Row],[html_type]]&amp;Table1[[#This Row],[html_modifier]]</f>
        <v>&lt;img&gt;</v>
      </c>
      <c r="AI1600" t="s">
        <v>201</v>
      </c>
      <c r="AL1600" s="22" t="str">
        <f>IFERROR(_xlfn.XLOOKUP(Table1[[#This Row],[word]],Table57[English style name],Table57[Style type]),"")</f>
        <v/>
      </c>
      <c r="AM1600" s="20"/>
      <c r="AN1600" s="11"/>
    </row>
    <row r="1601" spans="4:44">
      <c r="F16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601" s="13"/>
      <c r="H1601" s="13"/>
      <c r="I1601" s="12" t="str">
        <f>Table1[[#This Row],[type]]</f>
        <v>media</v>
      </c>
      <c r="J1601" s="62" t="str">
        <f>Table1[[#This Row],[Column42]]&amp;IF(Table1[[#This Row],[Column13]]="","",Table1[[#This Row],[Column13]])&amp;IF(Table1[[#This Row],[mod]]="","",Table1[[#This Row],[mod]])</f>
        <v>media__image__area</v>
      </c>
      <c r="K16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media__image__area</v>
      </c>
      <c r="L1601" t="s">
        <v>388</v>
      </c>
      <c r="M1601" t="s">
        <v>3088</v>
      </c>
      <c r="O1601" t="s">
        <v>523</v>
      </c>
      <c r="Q16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1" s="29"/>
      <c r="AC1601" s="25"/>
      <c r="AD1601" s="41"/>
      <c r="AE1601" s="41"/>
      <c r="AF1601" s="11" t="s">
        <v>112</v>
      </c>
      <c r="AH1601" s="1" t="str">
        <f>Table1[[#This Row],[html_tag]]&amp;Table1[[#This Row],[html_type]]&amp;Table1[[#This Row],[html_modifier]]</f>
        <v>&lt;area&gt;</v>
      </c>
      <c r="AI1601" t="s">
        <v>112</v>
      </c>
      <c r="AL1601" s="22" t="str">
        <f>IFERROR(_xlfn.XLOOKUP(Table1[[#This Row],[word]],Table57[English style name],Table57[Style type]),"")</f>
        <v/>
      </c>
      <c r="AM1601" s="20"/>
      <c r="AN1601" s="11"/>
    </row>
    <row r="1602" spans="4:44">
      <c r="F16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02" s="13" t="s">
        <v>337</v>
      </c>
      <c r="H1602" s="13" t="s">
        <v>2987</v>
      </c>
      <c r="I1602" s="12" t="str">
        <f>Table1[[#This Row],[type]]</f>
        <v>media</v>
      </c>
      <c r="J1602" s="62" t="str">
        <f>Table1[[#This Row],[Column42]]&amp;IF(Table1[[#This Row],[Column13]]="","",Table1[[#This Row],[Column13]])&amp;IF(Table1[[#This Row],[mod]]="","",Table1[[#This Row],[mod]])</f>
        <v>media__image__bottom</v>
      </c>
      <c r="K16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media__image__bottom</v>
      </c>
      <c r="L1602" t="s">
        <v>388</v>
      </c>
      <c r="M1602" t="s">
        <v>3088</v>
      </c>
      <c r="N1602" t="s">
        <v>3186</v>
      </c>
      <c r="P1602" s="6" t="s">
        <v>1894</v>
      </c>
      <c r="Q16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2" s="29"/>
      <c r="AC1602" s="25"/>
      <c r="AD1602" s="41"/>
      <c r="AE1602" s="41"/>
      <c r="AF1602" s="11"/>
      <c r="AH1602" s="1" t="str">
        <f>Table1[[#This Row],[html_tag]]&amp;Table1[[#This Row],[html_type]]&amp;Table1[[#This Row],[html_modifier]]</f>
        <v/>
      </c>
      <c r="AL1602" s="22" t="str">
        <f>IFERROR(_xlfn.XLOOKUP(Table1[[#This Row],[word]],Table57[English style name],Table57[Style type]),"")</f>
        <v/>
      </c>
      <c r="AM1602" s="20"/>
      <c r="AN1602" s="11"/>
      <c r="AQ1602" s="6" t="s">
        <v>1894</v>
      </c>
      <c r="AR1602" t="s">
        <v>1893</v>
      </c>
    </row>
    <row r="1603" spans="4:44">
      <c r="F16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03" s="13" t="s">
        <v>337</v>
      </c>
      <c r="H1603" s="13" t="s">
        <v>2987</v>
      </c>
      <c r="I1603" s="12" t="str">
        <f>Table1[[#This Row],[type]]</f>
        <v>media</v>
      </c>
      <c r="J1603" s="62" t="str">
        <f>Table1[[#This Row],[Column42]]&amp;IF(Table1[[#This Row],[Column13]]="","",Table1[[#This Row],[Column13]])&amp;IF(Table1[[#This Row],[mod]]="","",Table1[[#This Row],[mod]])</f>
        <v>media__image--base</v>
      </c>
      <c r="K16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603" t="s">
        <v>388</v>
      </c>
      <c r="M1603" t="s">
        <v>3088</v>
      </c>
      <c r="P1603" s="6"/>
      <c r="Q16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603" t="s">
        <v>338</v>
      </c>
      <c r="AB1603" s="29"/>
      <c r="AC1603" s="25"/>
      <c r="AD1603" s="41"/>
      <c r="AE1603" s="41"/>
      <c r="AF1603" s="11"/>
      <c r="AH1603" s="1" t="str">
        <f>Table1[[#This Row],[html_tag]]&amp;Table1[[#This Row],[html_type]]&amp;Table1[[#This Row],[html_modifier]]</f>
        <v/>
      </c>
      <c r="AL1603" s="22" t="str">
        <f>IFERROR(_xlfn.XLOOKUP(Table1[[#This Row],[word]],Table57[English style name],Table57[Style type]),"")</f>
        <v/>
      </c>
      <c r="AM1603" s="20"/>
      <c r="AN1603" s="11"/>
      <c r="AQ1603" s="6" t="s">
        <v>1892</v>
      </c>
      <c r="AR1603" t="s">
        <v>1893</v>
      </c>
    </row>
    <row r="1604" spans="4:44">
      <c r="F16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04" s="13" t="s">
        <v>337</v>
      </c>
      <c r="H1604" s="13" t="s">
        <v>2987</v>
      </c>
      <c r="I1604" s="12" t="str">
        <f>Table1[[#This Row],[type]]</f>
        <v>media</v>
      </c>
      <c r="J1604" s="62" t="str">
        <f>Table1[[#This Row],[Column42]]&amp;IF(Table1[[#This Row],[Column13]]="","",Table1[[#This Row],[Column13]])&amp;IF(Table1[[#This Row],[mod]]="","",Table1[[#This Row],[mod]])</f>
        <v>media__image--base</v>
      </c>
      <c r="K16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604" t="s">
        <v>388</v>
      </c>
      <c r="M1604" t="s">
        <v>3088</v>
      </c>
      <c r="P1604" s="6"/>
      <c r="Q16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604" t="s">
        <v>338</v>
      </c>
      <c r="AB1604" s="29"/>
      <c r="AC1604" s="25"/>
      <c r="AD1604" s="41"/>
      <c r="AE1604" s="41"/>
      <c r="AF1604" s="11"/>
      <c r="AH1604" s="1" t="str">
        <f>Table1[[#This Row],[html_tag]]&amp;Table1[[#This Row],[html_type]]&amp;Table1[[#This Row],[html_modifier]]</f>
        <v/>
      </c>
      <c r="AL1604" s="22" t="str">
        <f>IFERROR(_xlfn.XLOOKUP(Table1[[#This Row],[word]],Table57[English style name],Table57[Style type]),"")</f>
        <v/>
      </c>
      <c r="AM1604" s="20"/>
      <c r="AN1604" s="11"/>
      <c r="AQ1604" s="6" t="s">
        <v>1906</v>
      </c>
      <c r="AR1604" t="s">
        <v>1907</v>
      </c>
    </row>
    <row r="1605" spans="4:44">
      <c r="D1605" t="s">
        <v>3320</v>
      </c>
      <c r="F16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605" s="13"/>
      <c r="H1605" s="13"/>
      <c r="I1605" s="12" t="str">
        <f>Table1[[#This Row],[type]]</f>
        <v>media</v>
      </c>
      <c r="J1605" s="62" t="str">
        <f>Table1[[#This Row],[Column42]]&amp;IF(Table1[[#This Row],[Column13]]="","",Table1[[#This Row],[Column13]])&amp;IF(Table1[[#This Row],[mod]]="","",Table1[[#This Row],[mod]])</f>
        <v>media__Photo credit</v>
      </c>
      <c r="K16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media__Photo credit</v>
      </c>
      <c r="L1605" t="s">
        <v>388</v>
      </c>
      <c r="O1605" t="s">
        <v>3319</v>
      </c>
      <c r="P1605" t="s">
        <v>3319</v>
      </c>
      <c r="Q16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5" s="29"/>
      <c r="AC1605" s="25"/>
      <c r="AD1605" s="41"/>
      <c r="AE1605" s="41"/>
      <c r="AF1605" s="11" t="s">
        <v>177</v>
      </c>
      <c r="AH1605" s="7" t="str">
        <f>Table1[[#This Row],[html_tag]]&amp;Table1[[#This Row],[html_type]]&amp;Table1[[#This Row],[html_modifier]]</f>
        <v/>
      </c>
      <c r="AL1605" s="23" t="str">
        <f>IFERROR(_xlfn.XLOOKUP(Table1[[#This Row],[word]],Table57[English style name],Table57[Style type]),"")</f>
        <v/>
      </c>
      <c r="AM1605" s="21"/>
      <c r="AN1605" s="11"/>
    </row>
    <row r="1606" spans="4:44">
      <c r="F16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06" s="13" t="s">
        <v>337</v>
      </c>
      <c r="H1606" s="13" t="s">
        <v>2986</v>
      </c>
      <c r="I1606" s="12" t="str">
        <f>Table1[[#This Row],[type]]</f>
        <v>media</v>
      </c>
      <c r="J1606" s="62" t="str">
        <f>Table1[[#This Row],[Column42]]&amp;IF(Table1[[#This Row],[Column13]]="","",Table1[[#This Row],[Column13]])&amp;IF(Table1[[#This Row],[mod]]="","",Table1[[#This Row],[mod]])</f>
        <v>media__video</v>
      </c>
      <c r="K16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06" t="s">
        <v>388</v>
      </c>
      <c r="M1606" t="s">
        <v>510</v>
      </c>
      <c r="Q16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6" s="29"/>
      <c r="AC1606" s="25"/>
      <c r="AD1606" s="41"/>
      <c r="AE1606" s="41"/>
      <c r="AF1606" s="11"/>
      <c r="AH1606" s="1" t="str">
        <f>Table1[[#This Row],[html_tag]]&amp;Table1[[#This Row],[html_type]]&amp;Table1[[#This Row],[html_modifier]]</f>
        <v/>
      </c>
      <c r="AL1606" s="22" t="str">
        <f>IFERROR(_xlfn.XLOOKUP(Table1[[#This Row],[word]],Table57[English style name],Table57[Style type]),"")</f>
        <v/>
      </c>
      <c r="AM1606" s="20"/>
      <c r="AN1606" s="11"/>
      <c r="AQ1606" s="6" t="s">
        <v>2960</v>
      </c>
      <c r="AR1606" t="s">
        <v>2954</v>
      </c>
    </row>
    <row r="1607" spans="4:44">
      <c r="F16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body/organisms/media.scss</v>
      </c>
      <c r="G1607" s="13" t="s">
        <v>337</v>
      </c>
      <c r="H1607" s="13" t="s">
        <v>2988</v>
      </c>
      <c r="I1607" s="12" t="str">
        <f>Table1[[#This Row],[type]]</f>
        <v>media</v>
      </c>
      <c r="J1607" s="62" t="str">
        <f>Table1[[#This Row],[Column42]]&amp;IF(Table1[[#This Row],[Column13]]="","",Table1[[#This Row],[Column13]])&amp;IF(Table1[[#This Row],[mod]]="","",Table1[[#This Row],[mod]])</f>
        <v>media__video</v>
      </c>
      <c r="K16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07" t="s">
        <v>388</v>
      </c>
      <c r="M1607" t="s">
        <v>510</v>
      </c>
      <c r="Q16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7" s="29"/>
      <c r="AC1607" s="25"/>
      <c r="AD1607" s="41"/>
      <c r="AE1607" s="41"/>
      <c r="AF1607" s="11"/>
      <c r="AH1607" s="1" t="str">
        <f>Table1[[#This Row],[html_tag]]&amp;Table1[[#This Row],[html_type]]&amp;Table1[[#This Row],[html_modifier]]</f>
        <v/>
      </c>
      <c r="AL1607" s="22" t="str">
        <f>IFERROR(_xlfn.XLOOKUP(Table1[[#This Row],[word]],Table57[English style name],Table57[Style type]),"")</f>
        <v/>
      </c>
      <c r="AM1607" s="20"/>
      <c r="AN1607" s="11"/>
      <c r="AQ1607" s="6" t="s">
        <v>2963</v>
      </c>
      <c r="AR1607" t="s">
        <v>2964</v>
      </c>
    </row>
    <row r="1608" spans="4:44">
      <c r="F16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08" s="13" t="s">
        <v>337</v>
      </c>
      <c r="H1608" s="13" t="s">
        <v>2986</v>
      </c>
      <c r="I1608" s="12" t="str">
        <f>Table1[[#This Row],[type]]</f>
        <v>media</v>
      </c>
      <c r="J1608" s="62" t="str">
        <f>Table1[[#This Row],[Column42]]&amp;IF(Table1[[#This Row],[Column13]]="","",Table1[[#This Row],[Column13]])&amp;IF(Table1[[#This Row],[mod]]="","",Table1[[#This Row],[mod]])</f>
        <v>media__video</v>
      </c>
      <c r="K16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08" t="s">
        <v>388</v>
      </c>
      <c r="M1608" t="s">
        <v>510</v>
      </c>
      <c r="Q16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8" s="29"/>
      <c r="AC1608" s="25"/>
      <c r="AD1608" s="41"/>
      <c r="AE1608" s="41"/>
      <c r="AF1608" s="11"/>
      <c r="AH1608" s="1" t="str">
        <f>Table1[[#This Row],[html_tag]]&amp;Table1[[#This Row],[html_type]]&amp;Table1[[#This Row],[html_modifier]]</f>
        <v/>
      </c>
      <c r="AL1608" s="22" t="str">
        <f>IFERROR(_xlfn.XLOOKUP(Table1[[#This Row],[word]],Table57[English style name],Table57[Style type]),"")</f>
        <v/>
      </c>
      <c r="AM1608" s="20"/>
      <c r="AN1608" s="11"/>
      <c r="AQ1608" s="6" t="s">
        <v>2958</v>
      </c>
      <c r="AR1608" t="s">
        <v>2954</v>
      </c>
    </row>
    <row r="1609" spans="4:44">
      <c r="F16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09" s="13" t="s">
        <v>337</v>
      </c>
      <c r="H1609" s="13" t="s">
        <v>2986</v>
      </c>
      <c r="I1609" s="12" t="str">
        <f>Table1[[#This Row],[type]]</f>
        <v>media</v>
      </c>
      <c r="J1609" s="62" t="str">
        <f>Table1[[#This Row],[Column42]]&amp;IF(Table1[[#This Row],[Column13]]="","",Table1[[#This Row],[Column13]])&amp;IF(Table1[[#This Row],[mod]]="","",Table1[[#This Row],[mod]])</f>
        <v>media__video</v>
      </c>
      <c r="K16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09" t="s">
        <v>388</v>
      </c>
      <c r="M1609" t="s">
        <v>510</v>
      </c>
      <c r="Q16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9" s="29"/>
      <c r="AC1609" s="25"/>
      <c r="AD1609" s="41"/>
      <c r="AE1609" s="41"/>
      <c r="AF1609" s="11" t="s">
        <v>312</v>
      </c>
      <c r="AH1609" s="1" t="str">
        <f>Table1[[#This Row],[html_tag]]&amp;Table1[[#This Row],[html_type]]&amp;Table1[[#This Row],[html_modifier]]</f>
        <v>&lt;video&gt;</v>
      </c>
      <c r="AI1609" t="s">
        <v>312</v>
      </c>
      <c r="AL1609" s="22" t="str">
        <f>IFERROR(_xlfn.XLOOKUP(Table1[[#This Row],[word]],Table57[English style name],Table57[Style type]),"")</f>
        <v/>
      </c>
      <c r="AM1609" s="20"/>
      <c r="AN1609" s="11"/>
    </row>
    <row r="1610" spans="4:44">
      <c r="F16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0" s="13" t="s">
        <v>337</v>
      </c>
      <c r="H1610" s="13" t="s">
        <v>2986</v>
      </c>
      <c r="I1610" s="12" t="str">
        <f>Table1[[#This Row],[type]]</f>
        <v>media</v>
      </c>
      <c r="J1610" s="62" t="str">
        <f>Table1[[#This Row],[Column42]]&amp;IF(Table1[[#This Row],[Column13]]="","",Table1[[#This Row],[Column13]])&amp;IF(Table1[[#This Row],[mod]]="","",Table1[[#This Row],[mod]])</f>
        <v>media__video--aspect-ratio</v>
      </c>
      <c r="K16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0" t="s">
        <v>388</v>
      </c>
      <c r="M1610" t="s">
        <v>510</v>
      </c>
      <c r="Q16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--aspect-ratio</v>
      </c>
      <c r="S1610" t="s">
        <v>7418</v>
      </c>
      <c r="U16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0" s="29"/>
      <c r="AC1610" s="25"/>
      <c r="AD1610" s="41"/>
      <c r="AE1610" s="41"/>
      <c r="AF1610" s="11"/>
      <c r="AH1610" s="1" t="str">
        <f>Table1[[#This Row],[html_tag]]&amp;Table1[[#This Row],[html_type]]&amp;Table1[[#This Row],[html_modifier]]</f>
        <v/>
      </c>
      <c r="AL1610" s="22" t="str">
        <f>IFERROR(_xlfn.XLOOKUP(Table1[[#This Row],[word]],Table57[English style name],Table57[Style type]),"")</f>
        <v/>
      </c>
      <c r="AM1610" s="20"/>
      <c r="AN1610" s="11"/>
      <c r="AQ1610" s="6" t="s">
        <v>2957</v>
      </c>
      <c r="AR1610" t="s">
        <v>2954</v>
      </c>
    </row>
    <row r="1611" spans="4:44">
      <c r="F16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1" s="13" t="s">
        <v>337</v>
      </c>
      <c r="H1611" s="13" t="s">
        <v>2986</v>
      </c>
      <c r="I1611" s="12" t="str">
        <f>Table1[[#This Row],[type]]</f>
        <v>media</v>
      </c>
      <c r="J1611" s="62" t="str">
        <f>Table1[[#This Row],[Column42]]&amp;IF(Table1[[#This Row],[Column13]]="","",Table1[[#This Row],[Column13]])&amp;IF(Table1[[#This Row],[mod]]="","",Table1[[#This Row],[mod]])</f>
        <v>media__video--container</v>
      </c>
      <c r="K16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1" t="s">
        <v>388</v>
      </c>
      <c r="M1611" t="s">
        <v>510</v>
      </c>
      <c r="Q16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611" t="s">
        <v>3445</v>
      </c>
      <c r="AB1611" s="29"/>
      <c r="AC1611" s="25"/>
      <c r="AD1611" s="41"/>
      <c r="AE1611" s="41"/>
      <c r="AF1611" s="11"/>
      <c r="AH1611" s="1" t="str">
        <f>Table1[[#This Row],[html_tag]]&amp;Table1[[#This Row],[html_type]]&amp;Table1[[#This Row],[html_modifier]]</f>
        <v/>
      </c>
      <c r="AL1611" s="22" t="str">
        <f>IFERROR(_xlfn.XLOOKUP(Table1[[#This Row],[word]],Table57[English style name],Table57[Style type]),"")</f>
        <v/>
      </c>
      <c r="AM1611" s="20"/>
      <c r="AN1611" s="11"/>
      <c r="AQ1611" s="6" t="s">
        <v>2959</v>
      </c>
      <c r="AR1611" t="s">
        <v>2954</v>
      </c>
    </row>
    <row r="1612" spans="4:44">
      <c r="F16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2" s="13" t="s">
        <v>337</v>
      </c>
      <c r="H1612" s="13" t="s">
        <v>2986</v>
      </c>
      <c r="I1612" s="12" t="str">
        <f>Table1[[#This Row],[type]]</f>
        <v>media</v>
      </c>
      <c r="J1612" s="62" t="str">
        <f>Table1[[#This Row],[Column42]]&amp;IF(Table1[[#This Row],[Column13]]="","",Table1[[#This Row],[Column13]])&amp;IF(Table1[[#This Row],[mod]]="","",Table1[[#This Row],[mod]])</f>
        <v>media__video--custom-controls</v>
      </c>
      <c r="K16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2" t="s">
        <v>388</v>
      </c>
      <c r="M1612" t="s">
        <v>510</v>
      </c>
      <c r="Q16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--custom-controls</v>
      </c>
      <c r="S1612" t="s">
        <v>2953</v>
      </c>
      <c r="U16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2" s="29"/>
      <c r="AC1612" s="25"/>
      <c r="AD1612" s="41"/>
      <c r="AE1612" s="41"/>
      <c r="AF1612" s="11"/>
      <c r="AH1612" s="1" t="str">
        <f>Table1[[#This Row],[html_tag]]&amp;Table1[[#This Row],[html_type]]&amp;Table1[[#This Row],[html_modifier]]</f>
        <v/>
      </c>
      <c r="AL1612" s="22" t="str">
        <f>IFERROR(_xlfn.XLOOKUP(Table1[[#This Row],[word]],Table57[English style name],Table57[Style type]),"")</f>
        <v/>
      </c>
      <c r="AM1612" s="20"/>
      <c r="AN1612" s="11"/>
      <c r="AQ1612" s="6" t="s">
        <v>2953</v>
      </c>
      <c r="AR1612" t="s">
        <v>2954</v>
      </c>
    </row>
    <row r="1613" spans="4:44">
      <c r="F16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3" s="13" t="s">
        <v>337</v>
      </c>
      <c r="H1613" s="13" t="s">
        <v>2986</v>
      </c>
      <c r="I1613" s="12" t="str">
        <f>Table1[[#This Row],[type]]</f>
        <v>media</v>
      </c>
      <c r="J1613" s="62" t="str">
        <f>Table1[[#This Row],[Column42]]&amp;IF(Table1[[#This Row],[Column13]]="","",Table1[[#This Row],[Column13]])&amp;IF(Table1[[#This Row],[mod]]="","",Table1[[#This Row],[mod]])</f>
        <v>media__video--embed-responsive</v>
      </c>
      <c r="K16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3" t="s">
        <v>388</v>
      </c>
      <c r="M1613" t="s">
        <v>510</v>
      </c>
      <c r="Q16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--embed-responsive</v>
      </c>
      <c r="S1613" t="s">
        <v>2955</v>
      </c>
      <c r="U16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3" s="29"/>
      <c r="AC1613" s="25"/>
      <c r="AD1613" s="41"/>
      <c r="AE1613" s="41"/>
      <c r="AF1613" s="11"/>
      <c r="AH1613" s="1" t="str">
        <f>Table1[[#This Row],[html_tag]]&amp;Table1[[#This Row],[html_type]]&amp;Table1[[#This Row],[html_modifier]]</f>
        <v/>
      </c>
      <c r="AL1613" s="22" t="str">
        <f>IFERROR(_xlfn.XLOOKUP(Table1[[#This Row],[word]],Table57[English style name],Table57[Style type]),"")</f>
        <v/>
      </c>
      <c r="AM1613" s="20"/>
      <c r="AN1613" s="11"/>
      <c r="AQ1613" s="6" t="s">
        <v>2955</v>
      </c>
      <c r="AR1613" t="s">
        <v>2954</v>
      </c>
    </row>
    <row r="1614" spans="4:44">
      <c r="F16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4" s="13" t="s">
        <v>337</v>
      </c>
      <c r="H1614" s="13" t="s">
        <v>2986</v>
      </c>
      <c r="I1614" s="12" t="str">
        <f>Table1[[#This Row],[type]]</f>
        <v>media</v>
      </c>
      <c r="J1614" s="62" t="str">
        <f>Table1[[#This Row],[Column42]]&amp;IF(Table1[[#This Row],[Column13]]="","",Table1[[#This Row],[Column13]])&amp;IF(Table1[[#This Row],[mod]]="","",Table1[[#This Row],[mod]])</f>
        <v>media__video--htms</v>
      </c>
      <c r="K16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4" t="s">
        <v>388</v>
      </c>
      <c r="M1614" t="s">
        <v>510</v>
      </c>
      <c r="Q16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--htms</v>
      </c>
      <c r="S1614" t="s">
        <v>7417</v>
      </c>
      <c r="U16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4" s="29"/>
      <c r="AC1614" s="25"/>
      <c r="AD1614" s="41"/>
      <c r="AE1614" s="41"/>
      <c r="AF1614" s="11"/>
      <c r="AH1614" s="1" t="str">
        <f>Table1[[#This Row],[html_tag]]&amp;Table1[[#This Row],[html_type]]&amp;Table1[[#This Row],[html_modifier]]</f>
        <v/>
      </c>
      <c r="AL1614" s="22" t="str">
        <f>IFERROR(_xlfn.XLOOKUP(Table1[[#This Row],[word]],Table57[English style name],Table57[Style type]),"")</f>
        <v/>
      </c>
      <c r="AM1614" s="20"/>
      <c r="AN1614" s="11"/>
      <c r="AQ1614" s="6" t="s">
        <v>2956</v>
      </c>
      <c r="AR1614" t="s">
        <v>2954</v>
      </c>
    </row>
    <row r="1615" spans="4:44">
      <c r="F16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5" s="13" t="s">
        <v>337</v>
      </c>
      <c r="H1615" s="13" t="s">
        <v>2986</v>
      </c>
      <c r="I1615" s="12" t="str">
        <f>Table1[[#This Row],[type]]</f>
        <v>media</v>
      </c>
      <c r="J1615" s="62" t="str">
        <f>Table1[[#This Row],[Column42]]&amp;IF(Table1[[#This Row],[Column13]]="","",Table1[[#This Row],[Column13]])&amp;IF(Table1[[#This Row],[mod]]="","",Table1[[#This Row],[mod]])</f>
        <v>media__video--iframe--wrapper</v>
      </c>
      <c r="K16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5" t="s">
        <v>388</v>
      </c>
      <c r="M1615" t="s">
        <v>510</v>
      </c>
      <c r="Q16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--iframe</v>
      </c>
      <c r="S1615" t="s">
        <v>550</v>
      </c>
      <c r="U16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--wrapper</v>
      </c>
      <c r="V1615" t="s">
        <v>3123</v>
      </c>
      <c r="AB1615" s="29"/>
      <c r="AC1615" s="25"/>
      <c r="AD1615" s="41"/>
      <c r="AE1615" s="41"/>
      <c r="AF1615" s="11"/>
      <c r="AH1615" s="1" t="str">
        <f>Table1[[#This Row],[html_tag]]&amp;Table1[[#This Row],[html_type]]&amp;Table1[[#This Row],[html_modifier]]</f>
        <v/>
      </c>
      <c r="AL1615" s="22" t="str">
        <f>IFERROR(_xlfn.XLOOKUP(Table1[[#This Row],[word]],Table57[English style name],Table57[Style type]),"")</f>
        <v/>
      </c>
      <c r="AM1615" s="20"/>
      <c r="AN1615" s="11"/>
      <c r="AQ1615" s="6" t="s">
        <v>2961</v>
      </c>
      <c r="AR1615" t="s">
        <v>2954</v>
      </c>
    </row>
    <row r="1616" spans="4:44">
      <c r="F16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6" s="13" t="s">
        <v>337</v>
      </c>
      <c r="H1616" s="13" t="s">
        <v>2986</v>
      </c>
      <c r="I1616" s="12" t="str">
        <f>Table1[[#This Row],[type]]</f>
        <v>media</v>
      </c>
      <c r="J1616" s="62" t="str">
        <f>Table1[[#This Row],[Column42]]&amp;IF(Table1[[#This Row],[Column13]]="","",Table1[[#This Row],[Column13]])&amp;IF(Table1[[#This Row],[mod]]="","",Table1[[#This Row],[mod]])</f>
        <v>media__video--wrapper</v>
      </c>
      <c r="K16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6" t="s">
        <v>388</v>
      </c>
      <c r="M1616" t="s">
        <v>510</v>
      </c>
      <c r="Q16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--wrapper</v>
      </c>
      <c r="V1616" t="s">
        <v>3123</v>
      </c>
      <c r="AB1616" s="29"/>
      <c r="AC1616" s="25"/>
      <c r="AD1616" s="41"/>
      <c r="AE1616" s="41"/>
      <c r="AF1616" s="11"/>
      <c r="AH1616" s="1" t="str">
        <f>Table1[[#This Row],[html_tag]]&amp;Table1[[#This Row],[html_type]]&amp;Table1[[#This Row],[html_modifier]]</f>
        <v/>
      </c>
      <c r="AL1616" s="22" t="str">
        <f>IFERROR(_xlfn.XLOOKUP(Table1[[#This Row],[word]],Table57[English style name],Table57[Style type]),"")</f>
        <v/>
      </c>
      <c r="AM1616" s="20"/>
      <c r="AN1616" s="11"/>
      <c r="AQ1616" s="6" t="s">
        <v>2962</v>
      </c>
      <c r="AR1616" t="s">
        <v>2954</v>
      </c>
    </row>
    <row r="1617" spans="6:44">
      <c r="F16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7" s="13" t="s">
        <v>337</v>
      </c>
      <c r="H1617" s="13" t="s">
        <v>2986</v>
      </c>
      <c r="I1617" s="12" t="str">
        <f>Table1[[#This Row],[type]]</f>
        <v>media</v>
      </c>
      <c r="J1617" s="62" t="str">
        <f>Table1[[#This Row],[Column42]]&amp;IF(Table1[[#This Row],[Column13]]="","",Table1[[#This Row],[Column13]])&amp;IF(Table1[[#This Row],[mod]]="","",Table1[[#This Row],[mod]])</f>
        <v>media--container</v>
      </c>
      <c r="K16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</v>
      </c>
      <c r="L1617" t="s">
        <v>388</v>
      </c>
      <c r="P1617" s="6" t="s">
        <v>2728</v>
      </c>
      <c r="Q16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617" t="s">
        <v>3445</v>
      </c>
      <c r="AB1617" s="29"/>
      <c r="AC1617" s="25"/>
      <c r="AD1617" s="41"/>
      <c r="AE1617" s="41"/>
      <c r="AF1617" s="11"/>
      <c r="AH1617" s="1" t="str">
        <f>Table1[[#This Row],[html_tag]]&amp;Table1[[#This Row],[html_type]]&amp;Table1[[#This Row],[html_modifier]]</f>
        <v/>
      </c>
      <c r="AL1617" s="22" t="str">
        <f>IFERROR(_xlfn.XLOOKUP(Table1[[#This Row],[word]],Table57[English style name],Table57[Style type]),"")</f>
        <v/>
      </c>
      <c r="AM1617" s="20"/>
      <c r="AN1617" s="11"/>
      <c r="AQ1617" s="6" t="s">
        <v>2728</v>
      </c>
      <c r="AR1617" t="s">
        <v>2729</v>
      </c>
    </row>
    <row r="1618" spans="6:44">
      <c r="F16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18" s="13"/>
      <c r="H1618" s="13"/>
      <c r="I1618" s="12" t="str">
        <f>Table1[[#This Row],[type]]</f>
        <v>menu</v>
      </c>
      <c r="J1618" s="62" t="str">
        <f>Table1[[#This Row],[Column42]]&amp;IF(Table1[[#This Row],[Column13]]="","",Table1[[#This Row],[Column13]])&amp;IF(Table1[[#This Row],[mod]]="","",Table1[[#This Row],[mod]])</f>
        <v>menu</v>
      </c>
      <c r="K16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18" t="s">
        <v>562</v>
      </c>
      <c r="Q16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8" s="29" t="s">
        <v>4374</v>
      </c>
      <c r="AC1618" s="25"/>
      <c r="AD1618" s="41" t="s">
        <v>4374</v>
      </c>
      <c r="AE1618" s="41"/>
      <c r="AF1618" s="11" t="s">
        <v>221</v>
      </c>
      <c r="AH1618" s="1" t="str">
        <f>Table1[[#This Row],[html_tag]]&amp;Table1[[#This Row],[html_type]]&amp;Table1[[#This Row],[html_modifier]]</f>
        <v>&lt;menu&gt;</v>
      </c>
      <c r="AI1618" t="s">
        <v>221</v>
      </c>
      <c r="AL1618" s="23" t="str">
        <f>IFERROR(_xlfn.XLOOKUP(Table1[[#This Row],[word]],Table57[English style name],Table57[Style type]),"")</f>
        <v/>
      </c>
      <c r="AM1618" s="21"/>
      <c r="AN1618" s="11"/>
    </row>
    <row r="1619" spans="6:44">
      <c r="F16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19" s="13"/>
      <c r="H1619" s="13"/>
      <c r="I1619" s="12" t="str">
        <f>Table1[[#This Row],[type]]</f>
        <v>menu</v>
      </c>
      <c r="J1619" s="62" t="str">
        <f>Table1[[#This Row],[Column42]]&amp;IF(Table1[[#This Row],[Column13]]="","",Table1[[#This Row],[Column13]])&amp;IF(Table1[[#This Row],[mod]]="","",Table1[[#This Row],[mod]])</f>
        <v>menu__dropdown</v>
      </c>
      <c r="K16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menu__dropdown</v>
      </c>
      <c r="L1619" t="s">
        <v>562</v>
      </c>
      <c r="M1619" t="s">
        <v>3109</v>
      </c>
      <c r="Q16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9" s="29"/>
      <c r="AC1619" s="25"/>
      <c r="AD1619" s="41" t="s">
        <v>6999</v>
      </c>
      <c r="AE1619" s="41"/>
      <c r="AF1619" s="11"/>
      <c r="AH1619" s="7" t="str">
        <f>Table1[[#This Row],[html_tag]]&amp;Table1[[#This Row],[html_type]]&amp;Table1[[#This Row],[html_modifier]]</f>
        <v/>
      </c>
      <c r="AL1619" s="23" t="str">
        <f>IFERROR(_xlfn.XLOOKUP(Table1[[#This Row],[word]],Table57[English style name],Table57[Style type]),"")</f>
        <v/>
      </c>
      <c r="AM1619" s="21"/>
      <c r="AN1619" s="11"/>
    </row>
    <row r="1620" spans="6:44">
      <c r="F16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0" s="13"/>
      <c r="H1620" s="13"/>
      <c r="I1620" s="12" t="str">
        <f>Table1[[#This Row],[type]]</f>
        <v>menu</v>
      </c>
      <c r="J1620" s="62" t="str">
        <f>Table1[[#This Row],[Column42]]&amp;IF(Table1[[#This Row],[Column13]]="","",Table1[[#This Row],[Column13]])&amp;IF(Table1[[#This Row],[mod]]="","",Table1[[#This Row],[mod]])</f>
        <v>menu__dropdown</v>
      </c>
      <c r="K16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menu__dropdown</v>
      </c>
      <c r="L1620" t="s">
        <v>562</v>
      </c>
      <c r="M1620" t="s">
        <v>3109</v>
      </c>
      <c r="Q16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0" s="29"/>
      <c r="AC1620" s="25"/>
      <c r="AD1620" s="41" t="s">
        <v>7003</v>
      </c>
      <c r="AE1620" s="41"/>
      <c r="AF1620" s="11"/>
      <c r="AH1620" s="7" t="str">
        <f>Table1[[#This Row],[html_tag]]&amp;Table1[[#This Row],[html_type]]&amp;Table1[[#This Row],[html_modifier]]</f>
        <v/>
      </c>
      <c r="AL1620" s="23" t="str">
        <f>IFERROR(_xlfn.XLOOKUP(Table1[[#This Row],[word]],Table57[English style name],Table57[Style type]),"")</f>
        <v/>
      </c>
      <c r="AM1620" s="21"/>
      <c r="AN1620" s="11"/>
    </row>
    <row r="1621" spans="6:44">
      <c r="F16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1" s="13"/>
      <c r="H1621" s="13"/>
      <c r="I1621" s="12" t="str">
        <f>Table1[[#This Row],[type]]</f>
        <v>menu</v>
      </c>
      <c r="J1621" s="62" t="str">
        <f>Table1[[#This Row],[Column42]]&amp;IF(Table1[[#This Row],[Column13]]="","",Table1[[#This Row],[Column13]])&amp;IF(Table1[[#This Row],[mod]]="","",Table1[[#This Row],[mod]])</f>
        <v>menu__dropdown</v>
      </c>
      <c r="K16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menu__dropdown</v>
      </c>
      <c r="L1621" t="s">
        <v>562</v>
      </c>
      <c r="M1621" t="s">
        <v>3109</v>
      </c>
      <c r="Q16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1" s="29"/>
      <c r="AC1621" s="25"/>
      <c r="AD1621" s="41" t="s">
        <v>6998</v>
      </c>
      <c r="AE1621" s="41"/>
      <c r="AF1621" s="11"/>
      <c r="AH1621" s="7" t="str">
        <f>Table1[[#This Row],[html_tag]]&amp;Table1[[#This Row],[html_type]]&amp;Table1[[#This Row],[html_modifier]]</f>
        <v/>
      </c>
      <c r="AL1621" s="23" t="str">
        <f>IFERROR(_xlfn.XLOOKUP(Table1[[#This Row],[word]],Table57[English style name],Table57[Style type]),"")</f>
        <v/>
      </c>
      <c r="AM1621" s="21"/>
      <c r="AN1621" s="11"/>
    </row>
    <row r="1622" spans="6:44">
      <c r="F16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2" s="13"/>
      <c r="H1622" s="13"/>
      <c r="I1622" s="12" t="str">
        <f>Table1[[#This Row],[type]]</f>
        <v>menu</v>
      </c>
      <c r="J1622" s="62" t="str">
        <f>Table1[[#This Row],[Column42]]&amp;IF(Table1[[#This Row],[Column13]]="","",Table1[[#This Row],[Column13]])&amp;IF(Table1[[#This Row],[mod]]="","",Table1[[#This Row],[mod]])</f>
        <v>menu__label</v>
      </c>
      <c r="K16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menu__label</v>
      </c>
      <c r="L1622" t="s">
        <v>562</v>
      </c>
      <c r="M1622" t="s">
        <v>554</v>
      </c>
      <c r="Q16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2" s="29" t="s">
        <v>4375</v>
      </c>
      <c r="AC1622" s="25"/>
      <c r="AD1622" s="41"/>
      <c r="AE1622" s="41"/>
      <c r="AF1622" s="11"/>
      <c r="AH1622" s="7"/>
      <c r="AL1622" s="22" t="str">
        <f>IFERROR(_xlfn.XLOOKUP(Table1[[#This Row],[word]],Table57[English style name],Table57[Style type]),"")</f>
        <v/>
      </c>
      <c r="AM1622" s="20"/>
      <c r="AN1622" s="11"/>
    </row>
    <row r="1623" spans="6:44">
      <c r="F16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3" s="13"/>
      <c r="H1623" s="13"/>
      <c r="I1623" s="12" t="str">
        <f>Table1[[#This Row],[type]]</f>
        <v>menu</v>
      </c>
      <c r="J1623" s="62" t="str">
        <f>Table1[[#This Row],[Column42]]&amp;IF(Table1[[#This Row],[Column13]]="","",Table1[[#This Row],[Column13]])&amp;IF(Table1[[#This Row],[mod]]="","",Table1[[#This Row],[mod]])</f>
        <v>menu__list</v>
      </c>
      <c r="K16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menu__list</v>
      </c>
      <c r="L1623" t="s">
        <v>562</v>
      </c>
      <c r="M1623" t="s">
        <v>325</v>
      </c>
      <c r="Q16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3" s="29" t="s">
        <v>4376</v>
      </c>
      <c r="AC1623" s="25"/>
      <c r="AD1623" s="41"/>
      <c r="AE1623" s="41"/>
      <c r="AF1623" s="11"/>
      <c r="AH1623" s="7" t="str">
        <f>Table1[[#This Row],[html_tag]]&amp;Table1[[#This Row],[html_type]]&amp;Table1[[#This Row],[html_modifier]]</f>
        <v/>
      </c>
      <c r="AL1623" s="23" t="str">
        <f>IFERROR(_xlfn.XLOOKUP(Table1[[#This Row],[word]],Table57[English style name],Table57[Style type]),"")</f>
        <v/>
      </c>
      <c r="AM1623" s="21"/>
      <c r="AN1623" s="11"/>
    </row>
    <row r="1624" spans="6:44">
      <c r="F16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4" s="13"/>
      <c r="H1624" s="13"/>
      <c r="I1624" s="12" t="str">
        <f>Table1[[#This Row],[type]]</f>
        <v>menu</v>
      </c>
      <c r="J1624" s="62" t="str">
        <f>Table1[[#This Row],[Column42]]&amp;IF(Table1[[#This Row],[Column13]]="","",Table1[[#This Row],[Column13]])&amp;IF(Table1[[#This Row],[mod]]="","",Table1[[#This Row],[mod]])</f>
        <v>menu__title</v>
      </c>
      <c r="K16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menu__title</v>
      </c>
      <c r="L1624" t="s">
        <v>562</v>
      </c>
      <c r="O1624" t="s">
        <v>333</v>
      </c>
      <c r="Q16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4" s="29"/>
      <c r="AC1624" s="25"/>
      <c r="AD1624" s="41" t="s">
        <v>6997</v>
      </c>
      <c r="AE1624" s="41"/>
      <c r="AF1624" s="11"/>
      <c r="AH1624" s="7" t="str">
        <f>Table1[[#This Row],[html_tag]]&amp;Table1[[#This Row],[html_type]]&amp;Table1[[#This Row],[html_modifier]]</f>
        <v/>
      </c>
      <c r="AL1624" s="23" t="str">
        <f>IFERROR(_xlfn.XLOOKUP(Table1[[#This Row],[word]],Table57[English style name],Table57[Style type]),"")</f>
        <v/>
      </c>
      <c r="AM1624" s="21"/>
      <c r="AN1624" s="11"/>
    </row>
    <row r="1625" spans="6:44">
      <c r="F16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5" s="13"/>
      <c r="H1625" s="13"/>
      <c r="I1625" s="12" t="str">
        <f>Table1[[#This Row],[type]]</f>
        <v>menu</v>
      </c>
      <c r="J1625" s="62" t="str">
        <f>Table1[[#This Row],[Column42]]&amp;IF(Table1[[#This Row],[Column13]]="","",Table1[[#This Row],[Column13]])&amp;IF(Table1[[#This Row],[mod]]="","",Table1[[#This Row],[mod]])</f>
        <v>menu--active</v>
      </c>
      <c r="K16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25" t="s">
        <v>562</v>
      </c>
      <c r="Q16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625" t="s">
        <v>350</v>
      </c>
      <c r="AB1625" s="29"/>
      <c r="AC1625" s="25"/>
      <c r="AD1625" s="41" t="s">
        <v>7001</v>
      </c>
      <c r="AE1625" s="41"/>
      <c r="AF1625" s="11"/>
      <c r="AH1625" s="7" t="str">
        <f>Table1[[#This Row],[html_tag]]&amp;Table1[[#This Row],[html_type]]&amp;Table1[[#This Row],[html_modifier]]</f>
        <v/>
      </c>
      <c r="AL1625" s="23" t="str">
        <f>IFERROR(_xlfn.XLOOKUP(Table1[[#This Row],[word]],Table57[English style name],Table57[Style type]),"")</f>
        <v/>
      </c>
      <c r="AM1625" s="21"/>
      <c r="AN1625" s="11"/>
    </row>
    <row r="1626" spans="6:44">
      <c r="F16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6" s="13"/>
      <c r="H1626" s="13"/>
      <c r="I1626" s="12" t="str">
        <f>Table1[[#This Row],[type]]</f>
        <v>menu</v>
      </c>
      <c r="J1626" s="62" t="str">
        <f>Table1[[#This Row],[Column42]]&amp;IF(Table1[[#This Row],[Column13]]="","",Table1[[#This Row],[Column13]])&amp;IF(Table1[[#This Row],[mod]]="","",Table1[[#This Row],[mod]])</f>
        <v>menu--disabled</v>
      </c>
      <c r="K16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26" t="s">
        <v>562</v>
      </c>
      <c r="Q16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1626" t="s">
        <v>3032</v>
      </c>
      <c r="AB1626" s="29"/>
      <c r="AC1626" s="25"/>
      <c r="AD1626" s="41" t="s">
        <v>7000</v>
      </c>
      <c r="AE1626" s="41"/>
      <c r="AF1626" s="11" t="s">
        <v>221</v>
      </c>
      <c r="AH1626" s="1" t="str">
        <f>Table1[[#This Row],[html_tag]]&amp;Table1[[#This Row],[html_type]]&amp;Table1[[#This Row],[html_modifier]]</f>
        <v>:disabled</v>
      </c>
      <c r="AK1626" t="s">
        <v>3024</v>
      </c>
      <c r="AL1626" s="23" t="str">
        <f>IFERROR(_xlfn.XLOOKUP(Table1[[#This Row],[word]],Table57[English style name],Table57[Style type]),"")</f>
        <v/>
      </c>
      <c r="AM1626" s="21"/>
      <c r="AN1626" s="11"/>
    </row>
    <row r="1627" spans="6:44">
      <c r="F16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7" s="13"/>
      <c r="H1627" s="13"/>
      <c r="I1627" s="12" t="str">
        <f>Table1[[#This Row],[type]]</f>
        <v>menu</v>
      </c>
      <c r="J1627" s="62" t="str">
        <f>Table1[[#This Row],[Column42]]&amp;IF(Table1[[#This Row],[Column13]]="","",Table1[[#This Row],[Column13]])&amp;IF(Table1[[#This Row],[mod]]="","",Table1[[#This Row],[mod]])</f>
        <v>menu--focus</v>
      </c>
      <c r="K16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27" t="s">
        <v>562</v>
      </c>
      <c r="Q16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1627" t="s">
        <v>3020</v>
      </c>
      <c r="AB1627" s="29"/>
      <c r="AC1627" s="25"/>
      <c r="AD1627" s="41" t="s">
        <v>7002</v>
      </c>
      <c r="AE1627" s="41"/>
      <c r="AF1627" s="11"/>
      <c r="AH1627" s="7" t="str">
        <f>Table1[[#This Row],[html_tag]]&amp;Table1[[#This Row],[html_type]]&amp;Table1[[#This Row],[html_modifier]]</f>
        <v/>
      </c>
      <c r="AL1627" s="23" t="str">
        <f>IFERROR(_xlfn.XLOOKUP(Table1[[#This Row],[word]],Table57[English style name],Table57[Style type]),"")</f>
        <v/>
      </c>
      <c r="AM1627" s="21"/>
      <c r="AN1627" s="11"/>
    </row>
    <row r="1628" spans="6:44">
      <c r="F16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8" s="13"/>
      <c r="H1628" s="13"/>
      <c r="I1628" s="12" t="str">
        <f>Table1[[#This Row],[type]]</f>
        <v>menu</v>
      </c>
      <c r="J1628" s="62" t="str">
        <f>Table1[[#This Row],[Column42]]&amp;IF(Table1[[#This Row],[Column13]]="","",Table1[[#This Row],[Column13]])&amp;IF(Table1[[#This Row],[mod]]="","",Table1[[#This Row],[mod]])</f>
        <v>menu--horizontal</v>
      </c>
      <c r="K16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28" t="s">
        <v>562</v>
      </c>
      <c r="Q16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628" t="s">
        <v>3205</v>
      </c>
      <c r="AB1628" s="29"/>
      <c r="AC1628" s="25"/>
      <c r="AD1628" s="41" t="s">
        <v>7010</v>
      </c>
      <c r="AE1628" s="41"/>
      <c r="AF1628" s="11"/>
      <c r="AH1628" s="7" t="str">
        <f>Table1[[#This Row],[html_tag]]&amp;Table1[[#This Row],[html_type]]&amp;Table1[[#This Row],[html_modifier]]</f>
        <v/>
      </c>
      <c r="AL1628" s="23" t="str">
        <f>IFERROR(_xlfn.XLOOKUP(Table1[[#This Row],[word]],Table57[English style name],Table57[Style type]),"")</f>
        <v/>
      </c>
      <c r="AM1628" s="21"/>
      <c r="AN1628" s="11"/>
    </row>
    <row r="1629" spans="6:44">
      <c r="F16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9" s="13"/>
      <c r="H1629" s="13"/>
      <c r="I1629" s="12" t="str">
        <f>Table1[[#This Row],[type]]</f>
        <v>menu</v>
      </c>
      <c r="J1629" s="62" t="str">
        <f>Table1[[#This Row],[Column42]]&amp;IF(Table1[[#This Row],[Column13]]="","",Table1[[#This Row],[Column13]])&amp;IF(Table1[[#This Row],[mod]]="","",Table1[[#This Row],[mod]])</f>
        <v>menu--lg</v>
      </c>
      <c r="K16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29" t="s">
        <v>562</v>
      </c>
      <c r="Q16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629" t="s">
        <v>3114</v>
      </c>
      <c r="AB1629" s="29" t="s">
        <v>4377</v>
      </c>
      <c r="AC1629" s="25"/>
      <c r="AD1629" s="41" t="s">
        <v>7007</v>
      </c>
      <c r="AE1629" s="41"/>
      <c r="AF1629" s="11"/>
      <c r="AH1629" s="7" t="str">
        <f>Table1[[#This Row],[html_tag]]&amp;Table1[[#This Row],[html_type]]&amp;Table1[[#This Row],[html_modifier]]</f>
        <v/>
      </c>
      <c r="AL1629" s="23" t="str">
        <f>IFERROR(_xlfn.XLOOKUP(Table1[[#This Row],[word]],Table57[English style name],Table57[Style type]),"")</f>
        <v/>
      </c>
      <c r="AM1629" s="21"/>
      <c r="AN1629" s="11"/>
    </row>
    <row r="1630" spans="6:44">
      <c r="F16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30" s="13"/>
      <c r="H1630" s="13"/>
      <c r="I1630" s="12" t="str">
        <f>Table1[[#This Row],[type]]</f>
        <v>menu</v>
      </c>
      <c r="J1630" s="62" t="str">
        <f>Table1[[#This Row],[Column42]]&amp;IF(Table1[[#This Row],[Column13]]="","",Table1[[#This Row],[Column13]])&amp;IF(Table1[[#This Row],[mod]]="","",Table1[[#This Row],[mod]])</f>
        <v>menu--md</v>
      </c>
      <c r="K16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30" t="s">
        <v>562</v>
      </c>
      <c r="Q16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630" t="s">
        <v>3115</v>
      </c>
      <c r="AB1630" s="29" t="s">
        <v>4378</v>
      </c>
      <c r="AC1630" s="25"/>
      <c r="AD1630" s="41" t="s">
        <v>7006</v>
      </c>
      <c r="AE1630" s="41"/>
      <c r="AF1630" s="11"/>
      <c r="AH1630" s="7" t="str">
        <f>Table1[[#This Row],[html_tag]]&amp;Table1[[#This Row],[html_type]]&amp;Table1[[#This Row],[html_modifier]]</f>
        <v/>
      </c>
      <c r="AL1630" s="23" t="str">
        <f>IFERROR(_xlfn.XLOOKUP(Table1[[#This Row],[word]],Table57[English style name],Table57[Style type]),"")</f>
        <v/>
      </c>
      <c r="AM1630" s="21"/>
      <c r="AN1630" s="11"/>
    </row>
    <row r="1631" spans="6:44">
      <c r="F16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31" s="13"/>
      <c r="H1631" s="13"/>
      <c r="I1631" s="12" t="str">
        <f>Table1[[#This Row],[type]]</f>
        <v>menu</v>
      </c>
      <c r="J1631" s="62" t="str">
        <f>Table1[[#This Row],[Column42]]&amp;IF(Table1[[#This Row],[Column13]]="","",Table1[[#This Row],[Column13]])&amp;IF(Table1[[#This Row],[mod]]="","",Table1[[#This Row],[mod]])</f>
        <v>menu--sm</v>
      </c>
      <c r="K16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31" t="s">
        <v>562</v>
      </c>
      <c r="Q16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631" t="s">
        <v>3116</v>
      </c>
      <c r="AB1631" s="29" t="s">
        <v>4379</v>
      </c>
      <c r="AC1631" s="25"/>
      <c r="AD1631" s="41" t="s">
        <v>7005</v>
      </c>
      <c r="AE1631" s="41"/>
      <c r="AF1631" s="11"/>
      <c r="AH1631" s="7" t="str">
        <f>Table1[[#This Row],[html_tag]]&amp;Table1[[#This Row],[html_type]]&amp;Table1[[#This Row],[html_modifier]]</f>
        <v/>
      </c>
      <c r="AL1631" s="23" t="str">
        <f>IFERROR(_xlfn.XLOOKUP(Table1[[#This Row],[word]],Table57[English style name],Table57[Style type]),"")</f>
        <v/>
      </c>
      <c r="AM1631" s="21"/>
      <c r="AN1631" s="11"/>
    </row>
    <row r="1632" spans="6:44">
      <c r="F16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32" s="13"/>
      <c r="H1632" s="13"/>
      <c r="I1632" s="12" t="str">
        <f>Table1[[#This Row],[type]]</f>
        <v>menu</v>
      </c>
      <c r="J1632" s="62" t="str">
        <f>Table1[[#This Row],[Column42]]&amp;IF(Table1[[#This Row],[Column13]]="","",Table1[[#This Row],[Column13]])&amp;IF(Table1[[#This Row],[mod]]="","",Table1[[#This Row],[mod]])</f>
        <v>menu--vertical</v>
      </c>
      <c r="K16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32" t="s">
        <v>562</v>
      </c>
      <c r="Q16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632" t="s">
        <v>2943</v>
      </c>
      <c r="AB1632" s="29"/>
      <c r="AC1632" s="25"/>
      <c r="AD1632" s="41" t="s">
        <v>7009</v>
      </c>
      <c r="AE1632" s="41"/>
      <c r="AF1632" s="11"/>
      <c r="AH1632" s="7" t="str">
        <f>Table1[[#This Row],[html_tag]]&amp;Table1[[#This Row],[html_type]]&amp;Table1[[#This Row],[html_modifier]]</f>
        <v/>
      </c>
      <c r="AL1632" s="23" t="str">
        <f>IFERROR(_xlfn.XLOOKUP(Table1[[#This Row],[word]],Table57[English style name],Table57[Style type]),"")</f>
        <v/>
      </c>
      <c r="AM1632" s="21"/>
      <c r="AN1632" s="11"/>
    </row>
    <row r="1633" spans="6:44">
      <c r="F16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33" s="13"/>
      <c r="H1633" s="13"/>
      <c r="I1633" s="12" t="str">
        <f>Table1[[#This Row],[type]]</f>
        <v>menu</v>
      </c>
      <c r="J1633" s="62" t="str">
        <f>Table1[[#This Row],[Column42]]&amp;IF(Table1[[#This Row],[Column13]]="","",Table1[[#This Row],[Column13]])&amp;IF(Table1[[#This Row],[mod]]="","",Table1[[#This Row],[mod]])</f>
        <v>menu--xl</v>
      </c>
      <c r="K16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33" t="s">
        <v>562</v>
      </c>
      <c r="Q16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633" t="s">
        <v>3126</v>
      </c>
      <c r="AB1633" s="29"/>
      <c r="AC1633" s="25"/>
      <c r="AD1633" s="41" t="s">
        <v>7008</v>
      </c>
      <c r="AE1633" s="41"/>
      <c r="AF1633" s="11"/>
      <c r="AH1633" s="7" t="str">
        <f>Table1[[#This Row],[html_tag]]&amp;Table1[[#This Row],[html_type]]&amp;Table1[[#This Row],[html_modifier]]</f>
        <v/>
      </c>
      <c r="AL1633" s="23" t="str">
        <f>IFERROR(_xlfn.XLOOKUP(Table1[[#This Row],[word]],Table57[English style name],Table57[Style type]),"")</f>
        <v/>
      </c>
      <c r="AM1633" s="21"/>
      <c r="AN1633" s="11"/>
    </row>
    <row r="1634" spans="6:44">
      <c r="F16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34" s="13"/>
      <c r="H1634" s="13"/>
      <c r="I1634" s="12" t="str">
        <f>Table1[[#This Row],[type]]</f>
        <v>menu</v>
      </c>
      <c r="J1634" s="62" t="str">
        <f>Table1[[#This Row],[Column42]]&amp;IF(Table1[[#This Row],[Column13]]="","",Table1[[#This Row],[Column13]])&amp;IF(Table1[[#This Row],[mod]]="","",Table1[[#This Row],[mod]])</f>
        <v>menu--xs</v>
      </c>
      <c r="K16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34" t="s">
        <v>562</v>
      </c>
      <c r="Q16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634" t="s">
        <v>3127</v>
      </c>
      <c r="AB1634" s="29"/>
      <c r="AC1634" s="25"/>
      <c r="AD1634" s="41" t="s">
        <v>7004</v>
      </c>
      <c r="AE1634" s="41"/>
      <c r="AF1634" s="11"/>
      <c r="AH1634" s="7" t="str">
        <f>Table1[[#This Row],[html_tag]]&amp;Table1[[#This Row],[html_type]]&amp;Table1[[#This Row],[html_modifier]]</f>
        <v/>
      </c>
      <c r="AL1634" s="23" t="str">
        <f>IFERROR(_xlfn.XLOOKUP(Table1[[#This Row],[word]],Table57[English style name],Table57[Style type]),"")</f>
        <v/>
      </c>
      <c r="AM1634" s="21"/>
      <c r="AN1634" s="11"/>
    </row>
    <row r="1635" spans="6:44">
      <c r="F16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meter.scss</v>
      </c>
      <c r="G1635" s="13"/>
      <c r="H1635" s="13"/>
      <c r="I1635" s="12" t="str">
        <f>Table1[[#This Row],[type]]</f>
        <v>meter</v>
      </c>
      <c r="J1635" s="62" t="str">
        <f>Table1[[#This Row],[Column42]]&amp;IF(Table1[[#This Row],[Column13]]="","",Table1[[#This Row],[Column13]])&amp;IF(Table1[[#This Row],[mod]]="","",Table1[[#This Row],[mod]])</f>
        <v>meter</v>
      </c>
      <c r="K16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meter</v>
      </c>
      <c r="L1635" t="s">
        <v>563</v>
      </c>
      <c r="Q16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5" s="29"/>
      <c r="AC1635" s="25"/>
      <c r="AD1635" s="41"/>
      <c r="AE1635" s="41"/>
      <c r="AF1635" s="11" t="s">
        <v>224</v>
      </c>
      <c r="AH1635" s="1" t="str">
        <f>Table1[[#This Row],[html_tag]]&amp;Table1[[#This Row],[html_type]]&amp;Table1[[#This Row],[html_modifier]]</f>
        <v>&lt;meter&gt;</v>
      </c>
      <c r="AI1635" t="s">
        <v>224</v>
      </c>
      <c r="AL1635" s="22" t="str">
        <f>IFERROR(_xlfn.XLOOKUP(Table1[[#This Row],[word]],Table57[English style name],Table57[Style type]),"")</f>
        <v/>
      </c>
      <c r="AM1635" s="20"/>
      <c r="AN1635" s="11"/>
    </row>
    <row r="1636" spans="6:44">
      <c r="F16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36" s="13"/>
      <c r="H1636" s="13"/>
      <c r="I1636" s="12" t="str">
        <f>Table1[[#This Row],[type]]</f>
        <v>mockup</v>
      </c>
      <c r="J1636" s="62" t="str">
        <f>Table1[[#This Row],[Column42]]&amp;IF(Table1[[#This Row],[Column13]]="","",Table1[[#This Row],[Column13]])&amp;IF(Table1[[#This Row],[mod]]="","",Table1[[#This Row],[mod]])</f>
        <v>mockup</v>
      </c>
      <c r="K16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36" t="s">
        <v>7033</v>
      </c>
      <c r="Q16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6" s="29"/>
      <c r="AC1636" s="25"/>
      <c r="AD1636" s="41" t="s">
        <v>7032</v>
      </c>
      <c r="AE1636" s="41"/>
      <c r="AF1636" s="11"/>
      <c r="AH1636" s="7" t="str">
        <f>Table1[[#This Row],[html_tag]]&amp;Table1[[#This Row],[html_type]]&amp;Table1[[#This Row],[html_modifier]]</f>
        <v/>
      </c>
      <c r="AL1636" s="23" t="str">
        <f>IFERROR(_xlfn.XLOOKUP(Table1[[#This Row],[word]],Table57[English style name],Table57[Style type]),"")</f>
        <v/>
      </c>
      <c r="AM1636" s="21"/>
      <c r="AN1636" s="11"/>
    </row>
    <row r="1637" spans="6:44">
      <c r="F16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37" s="13"/>
      <c r="H1637" s="13"/>
      <c r="I1637" s="12" t="str">
        <f>Table1[[#This Row],[type]]</f>
        <v>mockup</v>
      </c>
      <c r="J1637" s="62" t="str">
        <f>Table1[[#This Row],[Column42]]&amp;IF(Table1[[#This Row],[Column13]]="","",Table1[[#This Row],[Column13]])&amp;IF(Table1[[#This Row],[mod]]="","",Table1[[#This Row],[mod]])</f>
        <v>mockup</v>
      </c>
      <c r="K16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37" t="s">
        <v>7033</v>
      </c>
      <c r="Q16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7" s="29"/>
      <c r="AC1637" s="25"/>
      <c r="AD1637" s="41" t="s">
        <v>7031</v>
      </c>
      <c r="AE1637" s="41"/>
      <c r="AF1637" s="11"/>
      <c r="AH1637" s="7" t="str">
        <f>Table1[[#This Row],[html_tag]]&amp;Table1[[#This Row],[html_type]]&amp;Table1[[#This Row],[html_modifier]]</f>
        <v/>
      </c>
      <c r="AL1637" s="23" t="str">
        <f>IFERROR(_xlfn.XLOOKUP(Table1[[#This Row],[word]],Table57[English style name],Table57[Style type]),"")</f>
        <v/>
      </c>
      <c r="AM1637" s="21"/>
      <c r="AN1637" s="11"/>
    </row>
    <row r="1638" spans="6:44">
      <c r="F16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38" s="13"/>
      <c r="H1638" s="13"/>
      <c r="I1638" s="12" t="str">
        <f>Table1[[#This Row],[type]]</f>
        <v>mockup</v>
      </c>
      <c r="J1638" s="62" t="str">
        <f>Table1[[#This Row],[Column42]]&amp;IF(Table1[[#This Row],[Column13]]="","",Table1[[#This Row],[Column13]])&amp;IF(Table1[[#This Row],[mod]]="","",Table1[[#This Row],[mod]])</f>
        <v>mockup</v>
      </c>
      <c r="K16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38" t="s">
        <v>7033</v>
      </c>
      <c r="Q16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8" s="29"/>
      <c r="AC1638" s="25"/>
      <c r="AD1638" s="41" t="s">
        <v>7030</v>
      </c>
      <c r="AE1638" s="41"/>
      <c r="AF1638" s="11"/>
      <c r="AH1638" s="7" t="str">
        <f>Table1[[#This Row],[html_tag]]&amp;Table1[[#This Row],[html_type]]&amp;Table1[[#This Row],[html_modifier]]</f>
        <v/>
      </c>
      <c r="AL1638" s="23" t="str">
        <f>IFERROR(_xlfn.XLOOKUP(Table1[[#This Row],[word]],Table57[English style name],Table57[Style type]),"")</f>
        <v/>
      </c>
      <c r="AM1638" s="21"/>
      <c r="AN1638" s="11"/>
    </row>
    <row r="1639" spans="6:44">
      <c r="F16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39" s="13"/>
      <c r="H1639" s="13"/>
      <c r="I1639" s="12" t="str">
        <f>Table1[[#This Row],[type]]</f>
        <v>mockup</v>
      </c>
      <c r="J1639" s="62" t="str">
        <f>Table1[[#This Row],[Column42]]&amp;IF(Table1[[#This Row],[Column13]]="","",Table1[[#This Row],[Column13]])&amp;IF(Table1[[#This Row],[mod]]="","",Table1[[#This Row],[mod]])</f>
        <v>mockup</v>
      </c>
      <c r="K16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39" t="s">
        <v>7033</v>
      </c>
      <c r="Q16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9" s="29"/>
      <c r="AC1639" s="25"/>
      <c r="AD1639" s="41" t="s">
        <v>7029</v>
      </c>
      <c r="AE1639" s="41"/>
      <c r="AF1639" s="11"/>
      <c r="AH1639" s="7" t="str">
        <f>Table1[[#This Row],[html_tag]]&amp;Table1[[#This Row],[html_type]]&amp;Table1[[#This Row],[html_modifier]]</f>
        <v/>
      </c>
      <c r="AL1639" s="23" t="str">
        <f>IFERROR(_xlfn.XLOOKUP(Table1[[#This Row],[word]],Table57[English style name],Table57[Style type]),"")</f>
        <v/>
      </c>
      <c r="AM1639" s="21"/>
      <c r="AN1639" s="11"/>
    </row>
    <row r="1640" spans="6:44">
      <c r="F16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40" s="13"/>
      <c r="H1640" s="13"/>
      <c r="I1640" s="12" t="str">
        <f>Table1[[#This Row],[type]]</f>
        <v>mockup</v>
      </c>
      <c r="J1640" s="62" t="str">
        <f>Table1[[#This Row],[Column42]]&amp;IF(Table1[[#This Row],[Column13]]="","",Table1[[#This Row],[Column13]])&amp;IF(Table1[[#This Row],[mod]]="","",Table1[[#This Row],[mod]])</f>
        <v>mockup</v>
      </c>
      <c r="K16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40" t="s">
        <v>7033</v>
      </c>
      <c r="Q16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0" s="29"/>
      <c r="AC1640" s="25"/>
      <c r="AD1640" s="41" t="s">
        <v>7028</v>
      </c>
      <c r="AE1640" s="41"/>
      <c r="AF1640" s="11"/>
      <c r="AH1640" s="7" t="str">
        <f>Table1[[#This Row],[html_tag]]&amp;Table1[[#This Row],[html_type]]&amp;Table1[[#This Row],[html_modifier]]</f>
        <v/>
      </c>
      <c r="AL1640" s="23" t="str">
        <f>IFERROR(_xlfn.XLOOKUP(Table1[[#This Row],[word]],Table57[English style name],Table57[Style type]),"")</f>
        <v/>
      </c>
      <c r="AM1640" s="21"/>
      <c r="AN1640" s="11"/>
    </row>
    <row r="1641" spans="6:44">
      <c r="F16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41" s="13"/>
      <c r="H1641" s="13"/>
      <c r="I1641" s="12" t="str">
        <f>Table1[[#This Row],[type]]</f>
        <v>mockup</v>
      </c>
      <c r="J1641" s="62" t="str">
        <f>Table1[[#This Row],[Column42]]&amp;IF(Table1[[#This Row],[Column13]]="","",Table1[[#This Row],[Column13]])&amp;IF(Table1[[#This Row],[mod]]="","",Table1[[#This Row],[mod]])</f>
        <v>mockup</v>
      </c>
      <c r="K16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41" t="s">
        <v>7033</v>
      </c>
      <c r="Q16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1" s="29"/>
      <c r="AC1641" s="25"/>
      <c r="AD1641" s="41" t="s">
        <v>7027</v>
      </c>
      <c r="AE1641" s="41"/>
      <c r="AF1641" s="11"/>
      <c r="AH1641" s="7" t="str">
        <f>Table1[[#This Row],[html_tag]]&amp;Table1[[#This Row],[html_type]]&amp;Table1[[#This Row],[html_modifier]]</f>
        <v/>
      </c>
      <c r="AL1641" s="23" t="str">
        <f>IFERROR(_xlfn.XLOOKUP(Table1[[#This Row],[word]],Table57[English style name],Table57[Style type]),"")</f>
        <v/>
      </c>
      <c r="AM1641" s="21"/>
      <c r="AN1641" s="11"/>
    </row>
    <row r="1642" spans="6:44">
      <c r="F16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42" s="13"/>
      <c r="H1642" s="13"/>
      <c r="I1642" s="12" t="str">
        <f>Table1[[#This Row],[type]]</f>
        <v>mockup</v>
      </c>
      <c r="J1642" s="62" t="str">
        <f>Table1[[#This Row],[Column42]]&amp;IF(Table1[[#This Row],[Column13]]="","",Table1[[#This Row],[Column13]])&amp;IF(Table1[[#This Row],[mod]]="","",Table1[[#This Row],[mod]])</f>
        <v>mockup</v>
      </c>
      <c r="K16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42" t="s">
        <v>7033</v>
      </c>
      <c r="Q16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2" s="29"/>
      <c r="AC1642" s="25"/>
      <c r="AD1642" s="41" t="s">
        <v>7026</v>
      </c>
      <c r="AE1642" s="41"/>
      <c r="AF1642" s="11"/>
      <c r="AH1642" s="7" t="str">
        <f>Table1[[#This Row],[html_tag]]&amp;Table1[[#This Row],[html_type]]&amp;Table1[[#This Row],[html_modifier]]</f>
        <v/>
      </c>
      <c r="AL1642" s="23" t="str">
        <f>IFERROR(_xlfn.XLOOKUP(Table1[[#This Row],[word]],Table57[English style name],Table57[Style type]),"")</f>
        <v/>
      </c>
      <c r="AM1642" s="21"/>
      <c r="AN1642" s="11"/>
    </row>
    <row r="1643" spans="6:44">
      <c r="F16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43" s="13"/>
      <c r="H1643" s="13"/>
      <c r="I1643" s="12" t="str">
        <f>Table1[[#This Row],[type]]</f>
        <v>modal</v>
      </c>
      <c r="J1643" s="62" t="str">
        <f>Table1[[#This Row],[Column42]]&amp;IF(Table1[[#This Row],[Column13]]="","",Table1[[#This Row],[Column13]])&amp;IF(Table1[[#This Row],[mod]]="","",Table1[[#This Row],[mod]])</f>
        <v>modal</v>
      </c>
      <c r="K16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3" t="s">
        <v>2104</v>
      </c>
      <c r="Q16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3" s="29"/>
      <c r="AC1643" s="25"/>
      <c r="AD1643" s="41" t="s">
        <v>7055</v>
      </c>
      <c r="AE1643" s="41"/>
      <c r="AF1643" s="11"/>
      <c r="AH1643" s="7" t="str">
        <f>Table1[[#This Row],[html_tag]]&amp;Table1[[#This Row],[html_type]]&amp;Table1[[#This Row],[html_modifier]]</f>
        <v/>
      </c>
      <c r="AL1643" s="23" t="str">
        <f>IFERROR(_xlfn.XLOOKUP(Table1[[#This Row],[word]],Table57[English style name],Table57[Style type]),"")</f>
        <v/>
      </c>
      <c r="AM1643" s="21"/>
      <c r="AN1643" s="11"/>
    </row>
    <row r="1644" spans="6:44">
      <c r="F16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44" s="13"/>
      <c r="H1644" s="13"/>
      <c r="I1644" s="12" t="str">
        <f>Table1[[#This Row],[type]]</f>
        <v>modal</v>
      </c>
      <c r="J1644" s="62" t="str">
        <f>Table1[[#This Row],[Column42]]&amp;IF(Table1[[#This Row],[Column13]]="","",Table1[[#This Row],[Column13]])&amp;IF(Table1[[#This Row],[mod]]="","",Table1[[#This Row],[mod]])</f>
        <v>modal</v>
      </c>
      <c r="K16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4" t="s">
        <v>2104</v>
      </c>
      <c r="Q16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4" s="29"/>
      <c r="AC1644" s="25"/>
      <c r="AD1644" s="41" t="s">
        <v>7058</v>
      </c>
      <c r="AE1644" s="41"/>
      <c r="AF1644" s="11"/>
      <c r="AH1644" s="7" t="str">
        <f>Table1[[#This Row],[html_tag]]&amp;Table1[[#This Row],[html_type]]&amp;Table1[[#This Row],[html_modifier]]</f>
        <v/>
      </c>
      <c r="AL1644" s="23" t="str">
        <f>IFERROR(_xlfn.XLOOKUP(Table1[[#This Row],[word]],Table57[English style name],Table57[Style type]),"")</f>
        <v/>
      </c>
      <c r="AM1644" s="21"/>
      <c r="AN1644" s="11"/>
    </row>
    <row r="1645" spans="6:44">
      <c r="F16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45" s="13"/>
      <c r="H1645" s="13"/>
      <c r="I1645" s="12" t="str">
        <f>Table1[[#This Row],[type]]</f>
        <v>modal</v>
      </c>
      <c r="J1645" s="62" t="str">
        <f>Table1[[#This Row],[Column42]]&amp;IF(Table1[[#This Row],[Column13]]="","",Table1[[#This Row],[Column13]])&amp;IF(Table1[[#This Row],[mod]]="","",Table1[[#This Row],[mod]])</f>
        <v>modal</v>
      </c>
      <c r="K16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5" t="s">
        <v>2104</v>
      </c>
      <c r="Q16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5" s="29"/>
      <c r="AC1645" s="25"/>
      <c r="AD1645" s="41" t="s">
        <v>7053</v>
      </c>
      <c r="AE1645" s="41"/>
      <c r="AF1645" s="11"/>
      <c r="AH1645" s="7" t="str">
        <f>Table1[[#This Row],[html_tag]]&amp;Table1[[#This Row],[html_type]]&amp;Table1[[#This Row],[html_modifier]]</f>
        <v/>
      </c>
      <c r="AL1645" s="23" t="str">
        <f>IFERROR(_xlfn.XLOOKUP(Table1[[#This Row],[word]],Table57[English style name],Table57[Style type]),"")</f>
        <v/>
      </c>
      <c r="AM1645" s="21"/>
      <c r="AN1645" s="11"/>
    </row>
    <row r="1646" spans="6:44">
      <c r="F16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46" s="13"/>
      <c r="H1646" s="13"/>
      <c r="I1646" s="12" t="str">
        <f>Table1[[#This Row],[type]]</f>
        <v>modal</v>
      </c>
      <c r="J1646" s="62" t="str">
        <f>Table1[[#This Row],[Column42]]&amp;IF(Table1[[#This Row],[Column13]]="","",Table1[[#This Row],[Column13]])&amp;IF(Table1[[#This Row],[mod]]="","",Table1[[#This Row],[mod]])</f>
        <v>modal</v>
      </c>
      <c r="K16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6" t="s">
        <v>2104</v>
      </c>
      <c r="Q16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6" s="29"/>
      <c r="AC1646" s="25"/>
      <c r="AD1646" s="41" t="s">
        <v>5352</v>
      </c>
      <c r="AE1646" s="41"/>
      <c r="AF1646" s="11"/>
      <c r="AH1646" s="7" t="str">
        <f>Table1[[#This Row],[html_tag]]&amp;Table1[[#This Row],[html_type]]&amp;Table1[[#This Row],[html_modifier]]</f>
        <v/>
      </c>
      <c r="AL1646" s="23" t="str">
        <f>IFERROR(_xlfn.XLOOKUP(Table1[[#This Row],[word]],Table57[English style name],Table57[Style type]),"")</f>
        <v/>
      </c>
      <c r="AM1646" s="21"/>
      <c r="AN1646" s="11"/>
    </row>
    <row r="1647" spans="6:44">
      <c r="F16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47" s="13"/>
      <c r="H1647" s="13"/>
      <c r="I1647" s="12" t="str">
        <f>Table1[[#This Row],[type]]</f>
        <v>modal</v>
      </c>
      <c r="J1647" s="62" t="str">
        <f>Table1[[#This Row],[Column42]]&amp;IF(Table1[[#This Row],[Column13]]="","",Table1[[#This Row],[Column13]])&amp;IF(Table1[[#This Row],[mod]]="","",Table1[[#This Row],[mod]])</f>
        <v>modal</v>
      </c>
      <c r="K16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7" t="s">
        <v>2104</v>
      </c>
      <c r="Q16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7" s="29"/>
      <c r="AC1647" s="25"/>
      <c r="AD1647" s="41" t="s">
        <v>7054</v>
      </c>
      <c r="AE1647" s="41"/>
      <c r="AF1647" s="11"/>
      <c r="AH1647" s="7" t="str">
        <f>Table1[[#This Row],[html_tag]]&amp;Table1[[#This Row],[html_type]]&amp;Table1[[#This Row],[html_modifier]]</f>
        <v/>
      </c>
      <c r="AL1647" s="23" t="str">
        <f>IFERROR(_xlfn.XLOOKUP(Table1[[#This Row],[word]],Table57[English style name],Table57[Style type]),"")</f>
        <v/>
      </c>
      <c r="AM1647" s="21"/>
      <c r="AN1647" s="11"/>
    </row>
    <row r="1648" spans="6:44">
      <c r="F16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48" s="13" t="s">
        <v>337</v>
      </c>
      <c r="H1648" s="13" t="s">
        <v>2988</v>
      </c>
      <c r="I1648" s="12" t="str">
        <f>Table1[[#This Row],[type]]</f>
        <v>modal</v>
      </c>
      <c r="J1648" s="62" t="str">
        <f>Table1[[#This Row],[Column42]]&amp;IF(Table1[[#This Row],[Column13]]="","",Table1[[#This Row],[Column13]])&amp;IF(Table1[[#This Row],[mod]]="","",Table1[[#This Row],[mod]])</f>
        <v>modal</v>
      </c>
      <c r="K16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8" t="s">
        <v>2104</v>
      </c>
      <c r="P1648" s="6" t="s">
        <v>2104</v>
      </c>
      <c r="Q16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8" s="29" t="s">
        <v>3640</v>
      </c>
      <c r="AC1648" s="25" t="s">
        <v>3640</v>
      </c>
      <c r="AD1648" s="41" t="s">
        <v>3640</v>
      </c>
      <c r="AE1648" s="41"/>
      <c r="AF1648" s="11"/>
      <c r="AH1648" s="1" t="str">
        <f>Table1[[#This Row],[html_tag]]&amp;Table1[[#This Row],[html_type]]&amp;Table1[[#This Row],[html_modifier]]</f>
        <v/>
      </c>
      <c r="AL1648" s="22" t="str">
        <f>IFERROR(_xlfn.XLOOKUP(Table1[[#This Row],[word]],Table57[English style name],Table57[Style type]),"")</f>
        <v/>
      </c>
      <c r="AM1648" s="20"/>
      <c r="AN1648" s="11"/>
      <c r="AQ1648" s="6" t="s">
        <v>2104</v>
      </c>
      <c r="AR1648" t="s">
        <v>2105</v>
      </c>
    </row>
    <row r="1649" spans="5:44">
      <c r="F16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49" s="13" t="s">
        <v>337</v>
      </c>
      <c r="H1649" s="13" t="s">
        <v>2988</v>
      </c>
      <c r="I1649" s="12" t="str">
        <f>Table1[[#This Row],[type]]</f>
        <v>modal</v>
      </c>
      <c r="J1649" s="62" t="str">
        <f>Table1[[#This Row],[Column42]]&amp;IF(Table1[[#This Row],[Column13]]="","",Table1[[#This Row],[Column13]])&amp;IF(Table1[[#This Row],[mod]]="","",Table1[[#This Row],[mod]])</f>
        <v>modal</v>
      </c>
      <c r="K16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9" t="s">
        <v>2104</v>
      </c>
      <c r="P1649" s="6" t="s">
        <v>2118</v>
      </c>
      <c r="Q16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9" s="29"/>
      <c r="AC1649" s="25"/>
      <c r="AD1649" s="41"/>
      <c r="AE1649" s="41"/>
      <c r="AF1649" s="11"/>
      <c r="AH1649" s="1" t="str">
        <f>Table1[[#This Row],[html_tag]]&amp;Table1[[#This Row],[html_type]]&amp;Table1[[#This Row],[html_modifier]]</f>
        <v/>
      </c>
      <c r="AL1649" s="22" t="str">
        <f>IFERROR(_xlfn.XLOOKUP(Table1[[#This Row],[word]],Table57[English style name],Table57[Style type]),"")</f>
        <v/>
      </c>
      <c r="AM1649" s="20"/>
      <c r="AN1649" s="11"/>
      <c r="AQ1649" s="6" t="s">
        <v>2118</v>
      </c>
      <c r="AR1649" t="s">
        <v>2105</v>
      </c>
    </row>
    <row r="1650" spans="5:44">
      <c r="F16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0" s="13" t="s">
        <v>337</v>
      </c>
      <c r="H1650" s="13" t="s">
        <v>2988</v>
      </c>
      <c r="I1650" s="12" t="str">
        <f>Table1[[#This Row],[type]]</f>
        <v>modal</v>
      </c>
      <c r="J1650" s="62" t="str">
        <f>Table1[[#This Row],[Column42]]&amp;IF(Table1[[#This Row],[Column13]]="","",Table1[[#This Row],[Column13]])&amp;IF(Table1[[#This Row],[mod]]="","",Table1[[#This Row],[mod]])</f>
        <v>modal</v>
      </c>
      <c r="K16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0" t="s">
        <v>2104</v>
      </c>
      <c r="P1650" s="6" t="s">
        <v>2119</v>
      </c>
      <c r="Q16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0" s="29" t="s">
        <v>3670</v>
      </c>
      <c r="AC1650" s="25" t="s">
        <v>3670</v>
      </c>
      <c r="AD1650" s="41"/>
      <c r="AE1650" s="41"/>
      <c r="AF1650" s="11"/>
      <c r="AH1650" s="1" t="str">
        <f>Table1[[#This Row],[html_tag]]&amp;Table1[[#This Row],[html_type]]&amp;Table1[[#This Row],[html_modifier]]</f>
        <v/>
      </c>
      <c r="AL1650" s="22" t="str">
        <f>IFERROR(_xlfn.XLOOKUP(Table1[[#This Row],[word]],Table57[English style name],Table57[Style type]),"")</f>
        <v/>
      </c>
      <c r="AM1650" s="20"/>
      <c r="AN1650" s="11"/>
      <c r="AQ1650" s="6" t="s">
        <v>2119</v>
      </c>
      <c r="AR1650" t="s">
        <v>2105</v>
      </c>
    </row>
    <row r="1651" spans="5:44">
      <c r="F16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1" s="13" t="s">
        <v>337</v>
      </c>
      <c r="H1651" s="13" t="s">
        <v>2988</v>
      </c>
      <c r="I1651" s="12" t="str">
        <f>Table1[[#This Row],[type]]</f>
        <v>modal</v>
      </c>
      <c r="J1651" s="62" t="str">
        <f>Table1[[#This Row],[Column42]]&amp;IF(Table1[[#This Row],[Column13]]="","",Table1[[#This Row],[Column13]])&amp;IF(Table1[[#This Row],[mod]]="","",Table1[[#This Row],[mod]])</f>
        <v>modal</v>
      </c>
      <c r="K16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1" t="s">
        <v>2104</v>
      </c>
      <c r="P1651" s="6" t="s">
        <v>2121</v>
      </c>
      <c r="Q16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1" s="29"/>
      <c r="AC1651" s="25"/>
      <c r="AD1651" s="41"/>
      <c r="AE1651" s="41"/>
      <c r="AF1651" s="11"/>
      <c r="AH1651" s="1" t="str">
        <f>Table1[[#This Row],[html_tag]]&amp;Table1[[#This Row],[html_type]]&amp;Table1[[#This Row],[html_modifier]]</f>
        <v/>
      </c>
      <c r="AL1651" s="22" t="str">
        <f>IFERROR(_xlfn.XLOOKUP(Table1[[#This Row],[word]],Table57[English style name],Table57[Style type]),"")</f>
        <v/>
      </c>
      <c r="AM1651" s="20"/>
      <c r="AN1651" s="11"/>
      <c r="AQ1651" s="6" t="s">
        <v>2121</v>
      </c>
      <c r="AR1651" t="s">
        <v>2105</v>
      </c>
    </row>
    <row r="1652" spans="5:44">
      <c r="F16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2" s="13" t="s">
        <v>337</v>
      </c>
      <c r="H1652" s="13" t="s">
        <v>2988</v>
      </c>
      <c r="I1652" s="12" t="str">
        <f>Table1[[#This Row],[type]]</f>
        <v>modal</v>
      </c>
      <c r="J1652" s="62" t="str">
        <f>Table1[[#This Row],[Column42]]&amp;IF(Table1[[#This Row],[Column13]]="","",Table1[[#This Row],[Column13]])&amp;IF(Table1[[#This Row],[mod]]="","",Table1[[#This Row],[mod]])</f>
        <v>modal</v>
      </c>
      <c r="K16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2" t="s">
        <v>2104</v>
      </c>
      <c r="P1652" s="6" t="s">
        <v>2123</v>
      </c>
      <c r="Q16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2" s="29"/>
      <c r="AC1652" s="25"/>
      <c r="AD1652" s="41"/>
      <c r="AE1652" s="41"/>
      <c r="AF1652" s="11"/>
      <c r="AH1652" s="1" t="str">
        <f>Table1[[#This Row],[html_tag]]&amp;Table1[[#This Row],[html_type]]&amp;Table1[[#This Row],[html_modifier]]</f>
        <v/>
      </c>
      <c r="AL1652" s="22" t="str">
        <f>IFERROR(_xlfn.XLOOKUP(Table1[[#This Row],[word]],Table57[English style name],Table57[Style type]),"")</f>
        <v/>
      </c>
      <c r="AM1652" s="20"/>
      <c r="AN1652" s="11"/>
      <c r="AQ1652" s="6" t="s">
        <v>2123</v>
      </c>
      <c r="AR1652" t="s">
        <v>2105</v>
      </c>
    </row>
    <row r="1653" spans="5:44">
      <c r="F16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3" s="13" t="s">
        <v>337</v>
      </c>
      <c r="H1653" s="13" t="s">
        <v>2988</v>
      </c>
      <c r="I1653" s="12" t="str">
        <f>Table1[[#This Row],[type]]</f>
        <v>modal</v>
      </c>
      <c r="J1653" s="62" t="str">
        <f>Table1[[#This Row],[Column42]]&amp;IF(Table1[[#This Row],[Column13]]="","",Table1[[#This Row],[Column13]])&amp;IF(Table1[[#This Row],[mod]]="","",Table1[[#This Row],[mod]])</f>
        <v>modal</v>
      </c>
      <c r="K16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3" t="s">
        <v>2104</v>
      </c>
      <c r="P1653" s="6" t="s">
        <v>2107</v>
      </c>
      <c r="Q16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3" s="29"/>
      <c r="AC1653" s="25" t="s">
        <v>3641</v>
      </c>
      <c r="AD1653" s="41"/>
      <c r="AE1653" s="41"/>
      <c r="AF1653" s="11"/>
      <c r="AH1653" s="1" t="str">
        <f>Table1[[#This Row],[html_tag]]&amp;Table1[[#This Row],[html_type]]&amp;Table1[[#This Row],[html_modifier]]</f>
        <v/>
      </c>
      <c r="AL1653" s="22" t="str">
        <f>IFERROR(_xlfn.XLOOKUP(Table1[[#This Row],[word]],Table57[English style name],Table57[Style type]),"")</f>
        <v/>
      </c>
      <c r="AM1653" s="20"/>
      <c r="AN1653" s="11"/>
      <c r="AQ1653" s="6" t="s">
        <v>2107</v>
      </c>
      <c r="AR1653" t="s">
        <v>2105</v>
      </c>
    </row>
    <row r="1654" spans="5:44">
      <c r="F16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4" s="13" t="s">
        <v>337</v>
      </c>
      <c r="H1654" s="13" t="s">
        <v>2988</v>
      </c>
      <c r="I1654" s="12" t="str">
        <f>Table1[[#This Row],[type]]</f>
        <v>modal</v>
      </c>
      <c r="J1654" s="62" t="str">
        <f>Table1[[#This Row],[Column42]]&amp;IF(Table1[[#This Row],[Column13]]="","",Table1[[#This Row],[Column13]])&amp;IF(Table1[[#This Row],[mod]]="","",Table1[[#This Row],[mod]])</f>
        <v>modal</v>
      </c>
      <c r="K16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4" t="s">
        <v>2104</v>
      </c>
      <c r="P1654" s="6" t="s">
        <v>2108</v>
      </c>
      <c r="Q16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4" s="29"/>
      <c r="AC1654" s="25" t="s">
        <v>3674</v>
      </c>
      <c r="AD1654" s="41"/>
      <c r="AE1654" s="41"/>
      <c r="AF1654" s="11"/>
      <c r="AH1654" s="1" t="str">
        <f>Table1[[#This Row],[html_tag]]&amp;Table1[[#This Row],[html_type]]&amp;Table1[[#This Row],[html_modifier]]</f>
        <v/>
      </c>
      <c r="AL1654" s="22" t="str">
        <f>IFERROR(_xlfn.XLOOKUP(Table1[[#This Row],[word]],Table57[English style name],Table57[Style type]),"")</f>
        <v/>
      </c>
      <c r="AM1654" s="20"/>
      <c r="AN1654" s="11"/>
      <c r="AQ1654" s="6" t="s">
        <v>2108</v>
      </c>
      <c r="AR1654" t="s">
        <v>2105</v>
      </c>
    </row>
    <row r="1655" spans="5:44">
      <c r="F16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5" s="13" t="s">
        <v>337</v>
      </c>
      <c r="H1655" s="13" t="s">
        <v>2988</v>
      </c>
      <c r="I1655" s="12" t="str">
        <f>Table1[[#This Row],[type]]</f>
        <v>modal</v>
      </c>
      <c r="J1655" s="62" t="str">
        <f>Table1[[#This Row],[Column42]]&amp;IF(Table1[[#This Row],[Column13]]="","",Table1[[#This Row],[Column13]])&amp;IF(Table1[[#This Row],[mod]]="","",Table1[[#This Row],[mod]])</f>
        <v>modal</v>
      </c>
      <c r="K16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5" t="s">
        <v>2104</v>
      </c>
      <c r="P1655" s="6" t="s">
        <v>2111</v>
      </c>
      <c r="Q16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5" s="29"/>
      <c r="AC1655" s="25"/>
      <c r="AD1655" s="41"/>
      <c r="AE1655" s="41"/>
      <c r="AF1655" s="11"/>
      <c r="AH1655" s="1" t="str">
        <f>Table1[[#This Row],[html_tag]]&amp;Table1[[#This Row],[html_type]]&amp;Table1[[#This Row],[html_modifier]]</f>
        <v/>
      </c>
      <c r="AL1655" s="22" t="str">
        <f>IFERROR(_xlfn.XLOOKUP(Table1[[#This Row],[word]],Table57[English style name],Table57[Style type]),"")</f>
        <v/>
      </c>
      <c r="AM1655" s="20"/>
      <c r="AN1655" s="11"/>
      <c r="AQ1655" s="6" t="s">
        <v>2111</v>
      </c>
      <c r="AR1655" t="s">
        <v>2105</v>
      </c>
    </row>
    <row r="1656" spans="5:44">
      <c r="F16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6" s="13" t="s">
        <v>337</v>
      </c>
      <c r="H1656" s="13" t="s">
        <v>2988</v>
      </c>
      <c r="I1656" s="12" t="str">
        <f>Table1[[#This Row],[type]]</f>
        <v>modal</v>
      </c>
      <c r="J1656" s="62" t="str">
        <f>Table1[[#This Row],[Column42]]&amp;IF(Table1[[#This Row],[Column13]]="","",Table1[[#This Row],[Column13]])&amp;IF(Table1[[#This Row],[mod]]="","",Table1[[#This Row],[mod]])</f>
        <v>modal</v>
      </c>
      <c r="K16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6" t="s">
        <v>2104</v>
      </c>
      <c r="P1656" s="6" t="s">
        <v>2112</v>
      </c>
      <c r="Q16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6" s="29"/>
      <c r="AC1656" s="25"/>
      <c r="AD1656" s="41"/>
      <c r="AE1656" s="41"/>
      <c r="AF1656" s="11"/>
      <c r="AH1656" s="1" t="str">
        <f>Table1[[#This Row],[html_tag]]&amp;Table1[[#This Row],[html_type]]&amp;Table1[[#This Row],[html_modifier]]</f>
        <v/>
      </c>
      <c r="AL1656" s="22" t="str">
        <f>IFERROR(_xlfn.XLOOKUP(Table1[[#This Row],[word]],Table57[English style name],Table57[Style type]),"")</f>
        <v/>
      </c>
      <c r="AM1656" s="20"/>
      <c r="AN1656" s="11"/>
      <c r="AQ1656" s="6" t="s">
        <v>2112</v>
      </c>
      <c r="AR1656" t="s">
        <v>2105</v>
      </c>
    </row>
    <row r="1657" spans="5:44">
      <c r="F16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7" s="13" t="s">
        <v>337</v>
      </c>
      <c r="H1657" s="13" t="s">
        <v>2988</v>
      </c>
      <c r="I1657" s="12" t="str">
        <f>Table1[[#This Row],[type]]</f>
        <v>modal</v>
      </c>
      <c r="J1657" s="62" t="str">
        <f>Table1[[#This Row],[Column42]]&amp;IF(Table1[[#This Row],[Column13]]="","",Table1[[#This Row],[Column13]])&amp;IF(Table1[[#This Row],[mod]]="","",Table1[[#This Row],[mod]])</f>
        <v>modal</v>
      </c>
      <c r="K16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7" t="s">
        <v>2104</v>
      </c>
      <c r="P1657" s="6" t="s">
        <v>2116</v>
      </c>
      <c r="Q16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7" s="29"/>
      <c r="AC1657" s="25" t="s">
        <v>3682</v>
      </c>
      <c r="AD1657" s="41"/>
      <c r="AE1657" s="41"/>
      <c r="AF1657" s="11"/>
      <c r="AH1657" s="1" t="str">
        <f>Table1[[#This Row],[html_tag]]&amp;Table1[[#This Row],[html_type]]&amp;Table1[[#This Row],[html_modifier]]</f>
        <v/>
      </c>
      <c r="AL1657" s="22" t="str">
        <f>IFERROR(_xlfn.XLOOKUP(Table1[[#This Row],[word]],Table57[English style name],Table57[Style type]),"")</f>
        <v/>
      </c>
      <c r="AM1657" s="20"/>
      <c r="AN1657" s="11"/>
      <c r="AQ1657" s="6" t="s">
        <v>2116</v>
      </c>
      <c r="AR1657" t="s">
        <v>2105</v>
      </c>
    </row>
    <row r="1658" spans="5:44">
      <c r="F16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8" s="13" t="s">
        <v>337</v>
      </c>
      <c r="H1658" s="13" t="s">
        <v>2988</v>
      </c>
      <c r="I1658" s="12" t="str">
        <f>Table1[[#This Row],[type]]</f>
        <v>modal</v>
      </c>
      <c r="J1658" s="62" t="str">
        <f>Table1[[#This Row],[Column42]]&amp;IF(Table1[[#This Row],[Column13]]="","",Table1[[#This Row],[Column13]])&amp;IF(Table1[[#This Row],[mod]]="","",Table1[[#This Row],[mod]])</f>
        <v>modal</v>
      </c>
      <c r="K16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8" t="s">
        <v>2104</v>
      </c>
      <c r="Q16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8" s="29"/>
      <c r="AC1658" s="25"/>
      <c r="AD1658" s="41"/>
      <c r="AE1658" s="41"/>
      <c r="AF1658" s="11"/>
      <c r="AH1658" s="7" t="str">
        <f>Table1[[#This Row],[html_tag]]&amp;Table1[[#This Row],[html_type]]&amp;Table1[[#This Row],[html_modifier]]</f>
        <v/>
      </c>
      <c r="AL1658" s="23" t="str">
        <f>IFERROR(_xlfn.XLOOKUP(Table1[[#This Row],[word]],Table57[English style name],Table57[Style type]),"")</f>
        <v/>
      </c>
      <c r="AM1658" s="21"/>
      <c r="AN1658" s="11"/>
    </row>
    <row r="1659" spans="5:44">
      <c r="F16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59" s="13"/>
      <c r="H1659" s="13"/>
      <c r="I1659" s="12" t="str">
        <f>Table1[[#This Row],[type]]</f>
        <v>modal</v>
      </c>
      <c r="J1659" s="62" t="str">
        <f>Table1[[#This Row],[Column42]]&amp;IF(Table1[[#This Row],[Column13]]="","",Table1[[#This Row],[Column13]])&amp;IF(Table1[[#This Row],[mod]]="","",Table1[[#This Row],[mod]])</f>
        <v>modal</v>
      </c>
      <c r="K16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9" t="s">
        <v>2104</v>
      </c>
      <c r="Q16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9" s="29" t="s">
        <v>4384</v>
      </c>
      <c r="AC1659" s="25"/>
      <c r="AD1659" s="41"/>
      <c r="AE1659" s="41"/>
      <c r="AF1659" s="11"/>
      <c r="AH1659" s="7" t="str">
        <f>Table1[[#This Row],[html_tag]]&amp;Table1[[#This Row],[html_type]]&amp;Table1[[#This Row],[html_modifier]]</f>
        <v/>
      </c>
      <c r="AL1659" s="23" t="str">
        <f>IFERROR(_xlfn.XLOOKUP(Table1[[#This Row],[word]],Table57[English style name],Table57[Style type]),"")</f>
        <v/>
      </c>
      <c r="AM1659" s="21"/>
      <c r="AN1659" s="11"/>
    </row>
    <row r="1660" spans="5:44">
      <c r="F16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0" s="13"/>
      <c r="H1660" s="13"/>
      <c r="I1660" s="12" t="str">
        <f>Table1[[#This Row],[type]]</f>
        <v>modal</v>
      </c>
      <c r="J1660" s="62" t="str">
        <f>Table1[[#This Row],[Column42]]&amp;IF(Table1[[#This Row],[Column13]]="","",Table1[[#This Row],[Column13]])&amp;IF(Table1[[#This Row],[mod]]="","",Table1[[#This Row],[mod]])</f>
        <v>modal</v>
      </c>
      <c r="K16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60" t="s">
        <v>2104</v>
      </c>
      <c r="Q16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0" s="29" t="s">
        <v>4390</v>
      </c>
      <c r="AC1660" s="25"/>
      <c r="AD1660" s="41"/>
      <c r="AE1660" s="41"/>
      <c r="AF1660" s="11"/>
      <c r="AH1660" s="7" t="str">
        <f>Table1[[#This Row],[html_tag]]&amp;Table1[[#This Row],[html_type]]&amp;Table1[[#This Row],[html_modifier]]</f>
        <v/>
      </c>
      <c r="AL1660" s="23" t="str">
        <f>IFERROR(_xlfn.XLOOKUP(Table1[[#This Row],[word]],Table57[English style name],Table57[Style type]),"")</f>
        <v/>
      </c>
      <c r="AM1660" s="21"/>
      <c r="AN1660" s="11"/>
    </row>
    <row r="1661" spans="5:44">
      <c r="F16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61" s="13" t="s">
        <v>337</v>
      </c>
      <c r="H1661" s="13" t="s">
        <v>2988</v>
      </c>
      <c r="I1661" s="12" t="str">
        <f>Table1[[#This Row],[type]]</f>
        <v>modal</v>
      </c>
      <c r="J1661" s="62" t="str">
        <f>Table1[[#This Row],[Column42]]&amp;IF(Table1[[#This Row],[Column13]]="","",Table1[[#This Row],[Column13]])&amp;IF(Table1[[#This Row],[mod]]="","",Table1[[#This Row],[mod]])</f>
        <v>modal__body</v>
      </c>
      <c r="K16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modal__body</v>
      </c>
      <c r="L1661" t="s">
        <v>2104</v>
      </c>
      <c r="O1661" t="s">
        <v>337</v>
      </c>
      <c r="Q16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1" s="29"/>
      <c r="AC1661" s="25" t="s">
        <v>3669</v>
      </c>
      <c r="AD1661" s="41"/>
      <c r="AE1661" s="41"/>
      <c r="AF1661" s="11"/>
      <c r="AH1661" s="7" t="str">
        <f>Table1[[#This Row],[html_tag]]&amp;Table1[[#This Row],[html_type]]&amp;Table1[[#This Row],[html_modifier]]</f>
        <v/>
      </c>
      <c r="AL1661" s="23" t="str">
        <f>IFERROR(_xlfn.XLOOKUP(Table1[[#This Row],[word]],Table57[English style name],Table57[Style type]),"")</f>
        <v/>
      </c>
      <c r="AM1661" s="21"/>
      <c r="AN1661" s="11"/>
    </row>
    <row r="1662" spans="5:44">
      <c r="F16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2" s="13"/>
      <c r="H1662" s="13"/>
      <c r="I1662" s="12" t="str">
        <f>Table1[[#This Row],[type]]</f>
        <v>modal</v>
      </c>
      <c r="J1662" s="62" t="str">
        <f>Table1[[#This Row],[Column42]]&amp;IF(Table1[[#This Row],[Column13]]="","",Table1[[#This Row],[Column13]])&amp;IF(Table1[[#This Row],[mod]]="","",Table1[[#This Row],[mod]])</f>
        <v>modal__bottom</v>
      </c>
      <c r="K16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modal__bottom</v>
      </c>
      <c r="L1662" t="s">
        <v>2104</v>
      </c>
      <c r="N1662" t="s">
        <v>3186</v>
      </c>
      <c r="Q16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2" s="29"/>
      <c r="AC1662" s="25"/>
      <c r="AD1662" s="41" t="s">
        <v>7059</v>
      </c>
      <c r="AE1662" s="41"/>
      <c r="AF1662" s="11"/>
      <c r="AH1662" s="7" t="str">
        <f>Table1[[#This Row],[html_tag]]&amp;Table1[[#This Row],[html_type]]&amp;Table1[[#This Row],[html_modifier]]</f>
        <v/>
      </c>
      <c r="AL1662" s="23" t="str">
        <f>IFERROR(_xlfn.XLOOKUP(Table1[[#This Row],[word]],Table57[English style name],Table57[Style type]),"")</f>
        <v/>
      </c>
      <c r="AM1662" s="21"/>
      <c r="AN1662" s="11"/>
    </row>
    <row r="1663" spans="5:44">
      <c r="F16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63" s="13" t="s">
        <v>337</v>
      </c>
      <c r="H1663" s="13" t="s">
        <v>2988</v>
      </c>
      <c r="I1663" s="12" t="str">
        <f>Table1[[#This Row],[type]]</f>
        <v>modal</v>
      </c>
      <c r="J1663" s="62" t="str">
        <f>Table1[[#This Row],[Column42]]&amp;IF(Table1[[#This Row],[Column13]]="","",Table1[[#This Row],[Column13]])&amp;IF(Table1[[#This Row],[mod]]="","",Table1[[#This Row],[mod]])</f>
        <v>modal__bottom</v>
      </c>
      <c r="K16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modal__bottom</v>
      </c>
      <c r="L1663" t="s">
        <v>2104</v>
      </c>
      <c r="N1663" t="s">
        <v>3186</v>
      </c>
      <c r="P1663" s="6" t="s">
        <v>2113</v>
      </c>
      <c r="Q16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3" s="29"/>
      <c r="AC1663" s="25"/>
      <c r="AD1663" s="41"/>
      <c r="AE1663" s="41"/>
      <c r="AF1663" s="11"/>
      <c r="AH1663" s="1" t="str">
        <f>Table1[[#This Row],[html_tag]]&amp;Table1[[#This Row],[html_type]]&amp;Table1[[#This Row],[html_modifier]]</f>
        <v/>
      </c>
      <c r="AL1663" s="22" t="str">
        <f>IFERROR(_xlfn.XLOOKUP(Table1[[#This Row],[word]],Table57[English style name],Table57[Style type]),"")</f>
        <v/>
      </c>
      <c r="AM1663" s="20"/>
      <c r="AN1663" s="11"/>
      <c r="AQ1663" s="6" t="s">
        <v>2113</v>
      </c>
      <c r="AR1663" t="s">
        <v>2105</v>
      </c>
    </row>
    <row r="1664" spans="5:44">
      <c r="E1664" s="76"/>
      <c r="F16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4" s="13"/>
      <c r="H1664" s="13"/>
      <c r="I1664" s="12" t="str">
        <f>Table1[[#This Row],[type]]</f>
        <v>modal</v>
      </c>
      <c r="J1664" s="62" t="str">
        <f>Table1[[#This Row],[Column42]]&amp;IF(Table1[[#This Row],[Column13]]="","",Table1[[#This Row],[Column13]])&amp;IF(Table1[[#This Row],[mod]]="","",Table1[[#This Row],[mod]])</f>
        <v>modal__card</v>
      </c>
      <c r="K16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</v>
      </c>
      <c r="L1664" t="s">
        <v>2104</v>
      </c>
      <c r="M1664" t="s">
        <v>3082</v>
      </c>
      <c r="Q16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4" s="29" t="s">
        <v>4385</v>
      </c>
      <c r="AC1664" s="25"/>
      <c r="AD1664" s="41"/>
      <c r="AE1664" s="41"/>
      <c r="AF1664" s="11"/>
      <c r="AH1664" s="7" t="str">
        <f>Table1[[#This Row],[html_tag]]&amp;Table1[[#This Row],[html_type]]&amp;Table1[[#This Row],[html_modifier]]</f>
        <v/>
      </c>
      <c r="AL1664" s="23" t="str">
        <f>IFERROR(_xlfn.XLOOKUP(Table1[[#This Row],[word]],Table57[English style name],Table57[Style type]),"")</f>
        <v/>
      </c>
      <c r="AM1664" s="21"/>
      <c r="AN1664" s="11"/>
    </row>
    <row r="1665" spans="5:44">
      <c r="E1665" s="76"/>
      <c r="F16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5" s="13"/>
      <c r="H1665" s="13"/>
      <c r="I1665" s="12" t="str">
        <f>Table1[[#This Row],[type]]</f>
        <v>modal</v>
      </c>
      <c r="J1665" s="62" t="str">
        <f>Table1[[#This Row],[Column42]]&amp;IF(Table1[[#This Row],[Column13]]="","",Table1[[#This Row],[Column13]])&amp;IF(Table1[[#This Row],[mod]]="","",Table1[[#This Row],[mod]])</f>
        <v>modal__card__body</v>
      </c>
      <c r="K16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modal__card__body</v>
      </c>
      <c r="L1665" t="s">
        <v>2104</v>
      </c>
      <c r="M1665" t="s">
        <v>3082</v>
      </c>
      <c r="O1665" t="s">
        <v>337</v>
      </c>
      <c r="Q16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5" s="29" t="s">
        <v>4386</v>
      </c>
      <c r="AC1665" s="25"/>
      <c r="AD1665" s="41"/>
      <c r="AE1665" s="41"/>
      <c r="AF1665" s="11"/>
      <c r="AH1665" s="7" t="str">
        <f>Table1[[#This Row],[html_tag]]&amp;Table1[[#This Row],[html_type]]&amp;Table1[[#This Row],[html_modifier]]</f>
        <v/>
      </c>
      <c r="AL1665" s="23" t="str">
        <f>IFERROR(_xlfn.XLOOKUP(Table1[[#This Row],[word]],Table57[English style name],Table57[Style type]),"")</f>
        <v/>
      </c>
      <c r="AM1665" s="21"/>
      <c r="AN1665" s="11"/>
    </row>
    <row r="1666" spans="5:44">
      <c r="E1666" s="76"/>
      <c r="F16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6" s="13"/>
      <c r="H1666" s="13"/>
      <c r="I1666" s="12" t="str">
        <f>Table1[[#This Row],[type]]</f>
        <v>modal</v>
      </c>
      <c r="J1666" s="62" t="str">
        <f>Table1[[#This Row],[Column42]]&amp;IF(Table1[[#This Row],[Column13]]="","",Table1[[#This Row],[Column13]])&amp;IF(Table1[[#This Row],[mod]]="","",Table1[[#This Row],[mod]])</f>
        <v>modal__card__footer</v>
      </c>
      <c r="K16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modal__card__footer</v>
      </c>
      <c r="L1666" t="s">
        <v>2104</v>
      </c>
      <c r="M1666" t="s">
        <v>3082</v>
      </c>
      <c r="O1666" t="s">
        <v>451</v>
      </c>
      <c r="Q16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6" s="29" t="s">
        <v>4387</v>
      </c>
      <c r="AC1666" s="25"/>
      <c r="AD1666" s="41"/>
      <c r="AE1666" s="41"/>
      <c r="AF1666" s="11"/>
      <c r="AH1666" s="7" t="str">
        <f>Table1[[#This Row],[html_tag]]&amp;Table1[[#This Row],[html_type]]&amp;Table1[[#This Row],[html_modifier]]</f>
        <v/>
      </c>
      <c r="AL1666" s="23" t="str">
        <f>IFERROR(_xlfn.XLOOKUP(Table1[[#This Row],[word]],Table57[English style name],Table57[Style type]),"")</f>
        <v/>
      </c>
      <c r="AM1666" s="21"/>
      <c r="AN1666" s="11"/>
    </row>
    <row r="1667" spans="5:44">
      <c r="E1667" s="76"/>
      <c r="F16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7" s="13"/>
      <c r="H1667" s="13"/>
      <c r="I1667" s="12" t="str">
        <f>Table1[[#This Row],[type]]</f>
        <v>modal</v>
      </c>
      <c r="J1667" s="62" t="str">
        <f>Table1[[#This Row],[Column42]]&amp;IF(Table1[[#This Row],[Column13]]="","",Table1[[#This Row],[Column13]])&amp;IF(Table1[[#This Row],[mod]]="","",Table1[[#This Row],[mod]])</f>
        <v>modal__card__header</v>
      </c>
      <c r="K16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modal__card__header</v>
      </c>
      <c r="L1667" t="s">
        <v>2104</v>
      </c>
      <c r="M1667" t="s">
        <v>3082</v>
      </c>
      <c r="O1667" t="s">
        <v>465</v>
      </c>
      <c r="Q16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7" s="29" t="s">
        <v>4388</v>
      </c>
      <c r="AC1667" s="25"/>
      <c r="AD1667" s="41"/>
      <c r="AE1667" s="41"/>
      <c r="AF1667" s="11"/>
      <c r="AH1667" s="7" t="str">
        <f>Table1[[#This Row],[html_tag]]&amp;Table1[[#This Row],[html_type]]&amp;Table1[[#This Row],[html_modifier]]</f>
        <v/>
      </c>
      <c r="AL1667" s="23" t="str">
        <f>IFERROR(_xlfn.XLOOKUP(Table1[[#This Row],[word]],Table57[English style name],Table57[Style type]),"")</f>
        <v/>
      </c>
      <c r="AM1667" s="21"/>
      <c r="AN1667" s="11"/>
    </row>
    <row r="1668" spans="5:44">
      <c r="E1668" s="76"/>
      <c r="F16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8" s="13"/>
      <c r="H1668" s="13"/>
      <c r="I1668" s="12" t="str">
        <f>Table1[[#This Row],[type]]</f>
        <v>modal</v>
      </c>
      <c r="J1668" s="62" t="str">
        <f>Table1[[#This Row],[Column42]]&amp;IF(Table1[[#This Row],[Column13]]="","",Table1[[#This Row],[Column13]])&amp;IF(Table1[[#This Row],[mod]]="","",Table1[[#This Row],[mod]])</f>
        <v>modal__card__title</v>
      </c>
      <c r="K16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modal__card__title</v>
      </c>
      <c r="L1668" t="s">
        <v>2104</v>
      </c>
      <c r="M1668" t="s">
        <v>3082</v>
      </c>
      <c r="O1668" t="s">
        <v>333</v>
      </c>
      <c r="Q16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8" s="29" t="s">
        <v>4389</v>
      </c>
      <c r="AC1668" s="25"/>
      <c r="AD1668" s="41"/>
      <c r="AE1668" s="41"/>
      <c r="AF1668" s="11"/>
      <c r="AH1668" s="7" t="str">
        <f>Table1[[#This Row],[html_tag]]&amp;Table1[[#This Row],[html_type]]&amp;Table1[[#This Row],[html_modifier]]</f>
        <v/>
      </c>
      <c r="AL1668" s="23" t="str">
        <f>IFERROR(_xlfn.XLOOKUP(Table1[[#This Row],[word]],Table57[English style name],Table57[Style type]),"")</f>
        <v/>
      </c>
      <c r="AM1668" s="21"/>
      <c r="AN1668" s="11"/>
    </row>
    <row r="1669" spans="5:44">
      <c r="F16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69" s="13" t="s">
        <v>337</v>
      </c>
      <c r="H1669" s="13" t="s">
        <v>2988</v>
      </c>
      <c r="I1669" s="12" t="str">
        <f>Table1[[#This Row],[type]]</f>
        <v>modal</v>
      </c>
      <c r="J1669" s="62" t="str">
        <f>Table1[[#This Row],[Column42]]&amp;IF(Table1[[#This Row],[Column13]]="","",Table1[[#This Row],[Column13]])&amp;IF(Table1[[#This Row],[mod]]="","",Table1[[#This Row],[mod]])</f>
        <v>modal__center</v>
      </c>
      <c r="K16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modal__center</v>
      </c>
      <c r="L1669" t="s">
        <v>2104</v>
      </c>
      <c r="N1669" t="s">
        <v>425</v>
      </c>
      <c r="P1669" s="6" t="s">
        <v>2106</v>
      </c>
      <c r="Q16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9" s="29"/>
      <c r="AC1669" s="25" t="s">
        <v>3642</v>
      </c>
      <c r="AD1669" s="41"/>
      <c r="AE1669" s="41"/>
      <c r="AF1669" s="11"/>
      <c r="AH1669" s="1" t="str">
        <f>Table1[[#This Row],[html_tag]]&amp;Table1[[#This Row],[html_type]]&amp;Table1[[#This Row],[html_modifier]]</f>
        <v/>
      </c>
      <c r="AL1669" s="22" t="str">
        <f>IFERROR(_xlfn.XLOOKUP(Table1[[#This Row],[word]],Table57[English style name],Table57[Style type]),"")</f>
        <v/>
      </c>
      <c r="AM1669" s="20"/>
      <c r="AN1669" s="11"/>
      <c r="AQ1669" s="6" t="s">
        <v>2106</v>
      </c>
      <c r="AR1669" t="s">
        <v>2105</v>
      </c>
    </row>
    <row r="1670" spans="5:44">
      <c r="F16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0" s="13" t="s">
        <v>337</v>
      </c>
      <c r="H1670" s="13" t="s">
        <v>2988</v>
      </c>
      <c r="I1670" s="12" t="str">
        <f>Table1[[#This Row],[type]]</f>
        <v>modal</v>
      </c>
      <c r="J1670" s="62" t="str">
        <f>Table1[[#This Row],[Column42]]&amp;IF(Table1[[#This Row],[Column13]]="","",Table1[[#This Row],[Column13]])&amp;IF(Table1[[#This Row],[mod]]="","",Table1[[#This Row],[mod]])</f>
        <v>modal__dialog</v>
      </c>
      <c r="K16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modal__dialog</v>
      </c>
      <c r="L1670" t="s">
        <v>2104</v>
      </c>
      <c r="M1670" t="s">
        <v>536</v>
      </c>
      <c r="P1670" s="6" t="s">
        <v>2120</v>
      </c>
      <c r="Q16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0" s="29"/>
      <c r="AC1670" s="25" t="s">
        <v>3671</v>
      </c>
      <c r="AD1670" s="41"/>
      <c r="AE1670" s="41"/>
      <c r="AF1670" s="11"/>
      <c r="AH1670" s="1" t="str">
        <f>Table1[[#This Row],[html_tag]]&amp;Table1[[#This Row],[html_type]]&amp;Table1[[#This Row],[html_modifier]]</f>
        <v/>
      </c>
      <c r="AL1670" s="22" t="str">
        <f>IFERROR(_xlfn.XLOOKUP(Table1[[#This Row],[word]],Table57[English style name],Table57[Style type]),"")</f>
        <v/>
      </c>
      <c r="AM1670" s="20"/>
      <c r="AN1670" s="11"/>
      <c r="AQ1670" s="6" t="s">
        <v>2120</v>
      </c>
      <c r="AR1670" t="s">
        <v>2105</v>
      </c>
    </row>
    <row r="1671" spans="5:44">
      <c r="F16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1" s="13" t="s">
        <v>337</v>
      </c>
      <c r="H1671" s="13" t="s">
        <v>2988</v>
      </c>
      <c r="I1671" s="12" t="str">
        <f>Table1[[#This Row],[type]]</f>
        <v>modal</v>
      </c>
      <c r="J1671" s="62" t="str">
        <f>Table1[[#This Row],[Column42]]&amp;IF(Table1[[#This Row],[Column13]]="","",Table1[[#This Row],[Column13]])&amp;IF(Table1[[#This Row],[mod]]="","",Table1[[#This Row],[mod]])</f>
        <v>modal__dialog</v>
      </c>
      <c r="K16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modal__dialog</v>
      </c>
      <c r="L1671" t="s">
        <v>2104</v>
      </c>
      <c r="M1671" t="s">
        <v>536</v>
      </c>
      <c r="Q16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1" s="29"/>
      <c r="AC1671" s="25" t="s">
        <v>3672</v>
      </c>
      <c r="AD1671" s="41"/>
      <c r="AE1671" s="41"/>
      <c r="AF1671" s="11"/>
      <c r="AH1671" s="7" t="str">
        <f>Table1[[#This Row],[html_tag]]&amp;Table1[[#This Row],[html_type]]&amp;Table1[[#This Row],[html_modifier]]</f>
        <v/>
      </c>
      <c r="AL1671" s="23" t="str">
        <f>IFERROR(_xlfn.XLOOKUP(Table1[[#This Row],[word]],Table57[English style name],Table57[Style type]),"")</f>
        <v/>
      </c>
      <c r="AM1671" s="21"/>
      <c r="AN1671" s="11"/>
    </row>
    <row r="1672" spans="5:44">
      <c r="F16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72" s="13"/>
      <c r="H1672" s="13"/>
      <c r="I1672" s="12" t="str">
        <f>Table1[[#This Row],[type]]</f>
        <v>modal</v>
      </c>
      <c r="J1672" s="62" t="str">
        <f>Table1[[#This Row],[Column42]]&amp;IF(Table1[[#This Row],[Column13]]="","",Table1[[#This Row],[Column13]])&amp;IF(Table1[[#This Row],[mod]]="","",Table1[[#This Row],[mod]])</f>
        <v>modal__end</v>
      </c>
      <c r="K16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modal__end</v>
      </c>
      <c r="L1672" t="s">
        <v>2104</v>
      </c>
      <c r="N1672" t="s">
        <v>3194</v>
      </c>
      <c r="Q16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2" s="29"/>
      <c r="AC1672" s="25"/>
      <c r="AD1672" s="41" t="s">
        <v>7061</v>
      </c>
      <c r="AE1672" s="41"/>
      <c r="AF1672" s="11"/>
      <c r="AH1672" s="7" t="str">
        <f>Table1[[#This Row],[html_tag]]&amp;Table1[[#This Row],[html_type]]&amp;Table1[[#This Row],[html_modifier]]</f>
        <v/>
      </c>
      <c r="AL1672" s="23" t="str">
        <f>IFERROR(_xlfn.XLOOKUP(Table1[[#This Row],[word]],Table57[English style name],Table57[Style type]),"")</f>
        <v/>
      </c>
      <c r="AM1672" s="21"/>
      <c r="AN1672" s="11"/>
    </row>
    <row r="1673" spans="5:44">
      <c r="F16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3" s="13" t="s">
        <v>337</v>
      </c>
      <c r="H1673" s="13" t="s">
        <v>2988</v>
      </c>
      <c r="I1673" s="12" t="str">
        <f>Table1[[#This Row],[type]]</f>
        <v>modal</v>
      </c>
      <c r="J1673" s="62" t="str">
        <f>Table1[[#This Row],[Column42]]&amp;IF(Table1[[#This Row],[Column13]]="","",Table1[[#This Row],[Column13]])&amp;IF(Table1[[#This Row],[mod]]="","",Table1[[#This Row],[mod]])</f>
        <v>modal__footer</v>
      </c>
      <c r="K16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modal__footer</v>
      </c>
      <c r="L1673" t="s">
        <v>2104</v>
      </c>
      <c r="O1673" t="s">
        <v>451</v>
      </c>
      <c r="P1673" s="6" t="s">
        <v>2122</v>
      </c>
      <c r="Q16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3" s="29"/>
      <c r="AC1673" s="25" t="s">
        <v>3673</v>
      </c>
      <c r="AD1673" s="41"/>
      <c r="AE1673" s="41"/>
      <c r="AF1673" s="11"/>
      <c r="AH1673" s="1" t="str">
        <f>Table1[[#This Row],[html_tag]]&amp;Table1[[#This Row],[html_type]]&amp;Table1[[#This Row],[html_modifier]]</f>
        <v/>
      </c>
      <c r="AL1673" s="22" t="str">
        <f>IFERROR(_xlfn.XLOOKUP(Table1[[#This Row],[word]],Table57[English style name],Table57[Style type]),"")</f>
        <v/>
      </c>
      <c r="AM1673" s="20"/>
      <c r="AN1673" s="11"/>
      <c r="AQ1673" s="6" t="s">
        <v>2122</v>
      </c>
      <c r="AR1673" t="s">
        <v>2105</v>
      </c>
    </row>
    <row r="1674" spans="5:44">
      <c r="F16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4" s="13" t="s">
        <v>337</v>
      </c>
      <c r="H1674" s="13" t="s">
        <v>2988</v>
      </c>
      <c r="I1674" s="12" t="str">
        <f>Table1[[#This Row],[type]]</f>
        <v>modal</v>
      </c>
      <c r="J1674" s="62" t="str">
        <f>Table1[[#This Row],[Column42]]&amp;IF(Table1[[#This Row],[Column13]]="","",Table1[[#This Row],[Column13]])&amp;IF(Table1[[#This Row],[mod]]="","",Table1[[#This Row],[mod]])</f>
        <v>modal__fullscreen--lg</v>
      </c>
      <c r="K16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74" t="s">
        <v>2104</v>
      </c>
      <c r="M1674" t="s">
        <v>3074</v>
      </c>
      <c r="Q16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674" t="s">
        <v>3114</v>
      </c>
      <c r="AB1674" s="29"/>
      <c r="AC1674" s="25" t="s">
        <v>3675</v>
      </c>
      <c r="AD1674" s="41"/>
      <c r="AE1674" s="41"/>
      <c r="AF1674" s="11"/>
      <c r="AH1674" s="7" t="str">
        <f>Table1[[#This Row],[html_tag]]&amp;Table1[[#This Row],[html_type]]&amp;Table1[[#This Row],[html_modifier]]</f>
        <v/>
      </c>
      <c r="AL1674" s="23" t="str">
        <f>IFERROR(_xlfn.XLOOKUP(Table1[[#This Row],[word]],Table57[English style name],Table57[Style type]),"")</f>
        <v/>
      </c>
      <c r="AM1674" s="21"/>
      <c r="AN1674" s="11"/>
    </row>
    <row r="1675" spans="5:44">
      <c r="F16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5" s="13" t="s">
        <v>337</v>
      </c>
      <c r="H1675" s="13" t="s">
        <v>2988</v>
      </c>
      <c r="I1675" s="12" t="str">
        <f>Table1[[#This Row],[type]]</f>
        <v>modal</v>
      </c>
      <c r="J1675" s="62" t="str">
        <f>Table1[[#This Row],[Column42]]&amp;IF(Table1[[#This Row],[Column13]]="","",Table1[[#This Row],[Column13]])&amp;IF(Table1[[#This Row],[mod]]="","",Table1[[#This Row],[mod]])</f>
        <v>modal__fullscreen--md</v>
      </c>
      <c r="K16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75" t="s">
        <v>2104</v>
      </c>
      <c r="M1675" t="s">
        <v>3074</v>
      </c>
      <c r="Q16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675" t="s">
        <v>3115</v>
      </c>
      <c r="AB1675" s="29"/>
      <c r="AC1675" s="25" t="s">
        <v>3676</v>
      </c>
      <c r="AD1675" s="41"/>
      <c r="AE1675" s="41"/>
      <c r="AF1675" s="11"/>
      <c r="AH1675" s="7" t="str">
        <f>Table1[[#This Row],[html_tag]]&amp;Table1[[#This Row],[html_type]]&amp;Table1[[#This Row],[html_modifier]]</f>
        <v/>
      </c>
      <c r="AL1675" s="23" t="str">
        <f>IFERROR(_xlfn.XLOOKUP(Table1[[#This Row],[word]],Table57[English style name],Table57[Style type]),"")</f>
        <v/>
      </c>
      <c r="AM1675" s="21"/>
      <c r="AN1675" s="11"/>
    </row>
    <row r="1676" spans="5:44">
      <c r="F16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6" s="13" t="s">
        <v>337</v>
      </c>
      <c r="H1676" s="13" t="s">
        <v>2988</v>
      </c>
      <c r="I1676" s="12" t="str">
        <f>Table1[[#This Row],[type]]</f>
        <v>modal</v>
      </c>
      <c r="J1676" s="62" t="str">
        <f>Table1[[#This Row],[Column42]]&amp;IF(Table1[[#This Row],[Column13]]="","",Table1[[#This Row],[Column13]])&amp;IF(Table1[[#This Row],[mod]]="","",Table1[[#This Row],[mod]])</f>
        <v>modal__fullscreen--sm</v>
      </c>
      <c r="K16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76" t="s">
        <v>2104</v>
      </c>
      <c r="M1676" t="s">
        <v>3074</v>
      </c>
      <c r="Q16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676" t="s">
        <v>3116</v>
      </c>
      <c r="AB1676" s="29"/>
      <c r="AC1676" s="25" t="s">
        <v>3677</v>
      </c>
      <c r="AD1676" s="41"/>
      <c r="AE1676" s="41"/>
      <c r="AF1676" s="11"/>
      <c r="AH1676" s="7" t="str">
        <f>Table1[[#This Row],[html_tag]]&amp;Table1[[#This Row],[html_type]]&amp;Table1[[#This Row],[html_modifier]]</f>
        <v/>
      </c>
      <c r="AL1676" s="23" t="str">
        <f>IFERROR(_xlfn.XLOOKUP(Table1[[#This Row],[word]],Table57[English style name],Table57[Style type]),"")</f>
        <v/>
      </c>
      <c r="AM1676" s="21"/>
      <c r="AN1676" s="11"/>
    </row>
    <row r="1677" spans="5:44">
      <c r="F16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7" s="13" t="s">
        <v>337</v>
      </c>
      <c r="H1677" s="13" t="s">
        <v>2988</v>
      </c>
      <c r="I1677" s="12" t="str">
        <f>Table1[[#This Row],[type]]</f>
        <v>modal</v>
      </c>
      <c r="J1677" s="62" t="str">
        <f>Table1[[#This Row],[Column42]]&amp;IF(Table1[[#This Row],[Column13]]="","",Table1[[#This Row],[Column13]])&amp;IF(Table1[[#This Row],[mod]]="","",Table1[[#This Row],[mod]])</f>
        <v>modal__fullscreen--xl</v>
      </c>
      <c r="K16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77" t="s">
        <v>2104</v>
      </c>
      <c r="M1677" t="s">
        <v>3074</v>
      </c>
      <c r="Q16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677" s="3" t="s">
        <v>3126</v>
      </c>
      <c r="AB1677" s="29"/>
      <c r="AC1677" s="25" t="s">
        <v>3678</v>
      </c>
      <c r="AD1677" s="41"/>
      <c r="AE1677" s="41"/>
      <c r="AF1677" s="11"/>
      <c r="AH1677" s="7" t="str">
        <f>Table1[[#This Row],[html_tag]]&amp;Table1[[#This Row],[html_type]]&amp;Table1[[#This Row],[html_modifier]]</f>
        <v/>
      </c>
      <c r="AL1677" s="23" t="str">
        <f>IFERROR(_xlfn.XLOOKUP(Table1[[#This Row],[word]],Table57[English style name],Table57[Style type]),"")</f>
        <v/>
      </c>
      <c r="AM1677" s="21"/>
      <c r="AN1677" s="11"/>
    </row>
    <row r="1678" spans="5:44">
      <c r="F16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8" s="13" t="s">
        <v>337</v>
      </c>
      <c r="H1678" s="13" t="s">
        <v>2988</v>
      </c>
      <c r="I1678" s="12" t="str">
        <f>Table1[[#This Row],[type]]</f>
        <v>modal</v>
      </c>
      <c r="J1678" s="62" t="str">
        <f>Table1[[#This Row],[Column42]]&amp;IF(Table1[[#This Row],[Column13]]="","",Table1[[#This Row],[Column13]])&amp;IF(Table1[[#This Row],[mod]]="","",Table1[[#This Row],[mod]])</f>
        <v>modal__fullscreen--xxl</v>
      </c>
      <c r="K16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78" t="s">
        <v>2104</v>
      </c>
      <c r="M1678" t="s">
        <v>3074</v>
      </c>
      <c r="Q16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1678" t="s">
        <v>3869</v>
      </c>
      <c r="AB1678" s="29"/>
      <c r="AC1678" s="25" t="s">
        <v>3679</v>
      </c>
      <c r="AD1678" s="41"/>
      <c r="AE1678" s="41"/>
      <c r="AF1678" s="11"/>
      <c r="AH1678" s="7" t="str">
        <f>Table1[[#This Row],[html_tag]]&amp;Table1[[#This Row],[html_type]]&amp;Table1[[#This Row],[html_modifier]]</f>
        <v/>
      </c>
      <c r="AL1678" s="23" t="str">
        <f>IFERROR(_xlfn.XLOOKUP(Table1[[#This Row],[word]],Table57[English style name],Table57[Style type]),"")</f>
        <v/>
      </c>
      <c r="AM1678" s="21"/>
      <c r="AN1678" s="11"/>
    </row>
    <row r="1679" spans="5:44">
      <c r="F16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9" s="13" t="s">
        <v>337</v>
      </c>
      <c r="H1679" s="13" t="s">
        <v>2988</v>
      </c>
      <c r="I1679" s="12" t="str">
        <f>Table1[[#This Row],[type]]</f>
        <v>modal</v>
      </c>
      <c r="J1679" s="62" t="str">
        <f>Table1[[#This Row],[Column42]]&amp;IF(Table1[[#This Row],[Column13]]="","",Table1[[#This Row],[Column13]])&amp;IF(Table1[[#This Row],[mod]]="","",Table1[[#This Row],[mod]])</f>
        <v>modal__header</v>
      </c>
      <c r="K16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modal__header</v>
      </c>
      <c r="L1679" t="s">
        <v>2104</v>
      </c>
      <c r="O1679" t="s">
        <v>465</v>
      </c>
      <c r="Q16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9" s="29"/>
      <c r="AC1679" s="25" t="s">
        <v>3681</v>
      </c>
      <c r="AD1679" s="41"/>
      <c r="AE1679" s="41"/>
      <c r="AF1679" s="11"/>
      <c r="AH1679" s="1" t="str">
        <f>Table1[[#This Row],[html_tag]]&amp;Table1[[#This Row],[html_type]]&amp;Table1[[#This Row],[html_modifier]]</f>
        <v/>
      </c>
      <c r="AL1679" s="22" t="str">
        <f>IFERROR(_xlfn.XLOOKUP(Table1[[#This Row],[word]],Table57[English style name],Table57[Style type]),"")</f>
        <v/>
      </c>
      <c r="AM1679" s="20"/>
      <c r="AN1679" s="11"/>
      <c r="AQ1679" s="6" t="s">
        <v>2124</v>
      </c>
      <c r="AR1679" t="s">
        <v>2105</v>
      </c>
    </row>
    <row r="1680" spans="5:44">
      <c r="F16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80" s="13"/>
      <c r="H1680" s="13"/>
      <c r="I1680" s="12" t="str">
        <f>Table1[[#This Row],[type]]</f>
        <v>modal</v>
      </c>
      <c r="J1680" s="62" t="str">
        <f>Table1[[#This Row],[Column42]]&amp;IF(Table1[[#This Row],[Column13]]="","",Table1[[#This Row],[Column13]])&amp;IF(Table1[[#This Row],[mod]]="","",Table1[[#This Row],[mod]])</f>
        <v>modal__start</v>
      </c>
      <c r="K16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modal__start</v>
      </c>
      <c r="L1680" t="s">
        <v>2104</v>
      </c>
      <c r="N1680" t="s">
        <v>3193</v>
      </c>
      <c r="Q16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80" s="29"/>
      <c r="AC1680" s="25"/>
      <c r="AD1680" s="41" t="s">
        <v>7060</v>
      </c>
      <c r="AE1680" s="41"/>
      <c r="AF1680" s="11"/>
      <c r="AH1680" s="7" t="str">
        <f>Table1[[#This Row],[html_tag]]&amp;Table1[[#This Row],[html_type]]&amp;Table1[[#This Row],[html_modifier]]</f>
        <v/>
      </c>
      <c r="AL1680" s="23" t="str">
        <f>IFERROR(_xlfn.XLOOKUP(Table1[[#This Row],[word]],Table57[English style name],Table57[Style type]),"")</f>
        <v/>
      </c>
      <c r="AM1680" s="21"/>
      <c r="AN1680" s="11"/>
    </row>
    <row r="1681" spans="4:44">
      <c r="F16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1" s="13" t="s">
        <v>337</v>
      </c>
      <c r="H1681" s="13" t="s">
        <v>2988</v>
      </c>
      <c r="I1681" s="12" t="str">
        <f>Table1[[#This Row],[type]]</f>
        <v>modal</v>
      </c>
      <c r="J1681" s="62" t="str">
        <f>Table1[[#This Row],[Column42]]&amp;IF(Table1[[#This Row],[Column13]]="","",Table1[[#This Row],[Column13]])&amp;IF(Table1[[#This Row],[mod]]="","",Table1[[#This Row],[mod]])</f>
        <v>modal__title</v>
      </c>
      <c r="K16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modal__title</v>
      </c>
      <c r="L1681" t="s">
        <v>2104</v>
      </c>
      <c r="O1681" t="s">
        <v>333</v>
      </c>
      <c r="Q16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81" s="29"/>
      <c r="AC1681" s="25" t="s">
        <v>3680</v>
      </c>
      <c r="AD1681" s="41"/>
      <c r="AE1681" s="41"/>
      <c r="AF1681" s="11"/>
      <c r="AH1681" s="7" t="str">
        <f>Table1[[#This Row],[html_tag]]&amp;Table1[[#This Row],[html_type]]&amp;Table1[[#This Row],[html_modifier]]</f>
        <v/>
      </c>
      <c r="AL1681" s="23" t="str">
        <f>IFERROR(_xlfn.XLOOKUP(Table1[[#This Row],[word]],Table57[English style name],Table57[Style type]),"")</f>
        <v/>
      </c>
      <c r="AM1681" s="21"/>
      <c r="AN1681" s="11"/>
    </row>
    <row r="1682" spans="4:44">
      <c r="F16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82" s="13"/>
      <c r="H1682" s="13"/>
      <c r="I1682" s="12" t="str">
        <f>Table1[[#This Row],[type]]</f>
        <v>modal</v>
      </c>
      <c r="J1682" s="62" t="str">
        <f>Table1[[#This Row],[Column42]]&amp;IF(Table1[[#This Row],[Column13]]="","",Table1[[#This Row],[Column13]])&amp;IF(Table1[[#This Row],[mod]]="","",Table1[[#This Row],[mod]])</f>
        <v>modal__top</v>
      </c>
      <c r="K16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modal__top</v>
      </c>
      <c r="L1682" t="s">
        <v>2104</v>
      </c>
      <c r="N1682" t="s">
        <v>3182</v>
      </c>
      <c r="Q16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82" s="29"/>
      <c r="AC1682" s="25"/>
      <c r="AD1682" s="41" t="s">
        <v>7057</v>
      </c>
      <c r="AE1682" s="41"/>
      <c r="AF1682" s="11"/>
      <c r="AH1682" s="7" t="str">
        <f>Table1[[#This Row],[html_tag]]&amp;Table1[[#This Row],[html_type]]&amp;Table1[[#This Row],[html_modifier]]</f>
        <v/>
      </c>
      <c r="AL1682" s="23" t="str">
        <f>IFERROR(_xlfn.XLOOKUP(Table1[[#This Row],[word]],Table57[English style name],Table57[Style type]),"")</f>
        <v/>
      </c>
      <c r="AM1682" s="21"/>
      <c r="AN1682" s="11"/>
    </row>
    <row r="1683" spans="4:44">
      <c r="F16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3" s="13" t="s">
        <v>337</v>
      </c>
      <c r="H1683" s="13" t="s">
        <v>2988</v>
      </c>
      <c r="I1683" s="12" t="str">
        <f>Table1[[#This Row],[type]]</f>
        <v>modal</v>
      </c>
      <c r="J1683" s="62" t="str">
        <f>Table1[[#This Row],[Column42]]&amp;IF(Table1[[#This Row],[Column13]]="","",Table1[[#This Row],[Column13]])&amp;IF(Table1[[#This Row],[mod]]="","",Table1[[#This Row],[mod]])</f>
        <v>modal__top</v>
      </c>
      <c r="K16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modal__top</v>
      </c>
      <c r="L1683" t="s">
        <v>2104</v>
      </c>
      <c r="N1683" t="s">
        <v>3182</v>
      </c>
      <c r="P1683" s="6" t="s">
        <v>2114</v>
      </c>
      <c r="Q16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83" s="29"/>
      <c r="AC1683" s="25"/>
      <c r="AD1683" s="41"/>
      <c r="AE1683" s="41"/>
      <c r="AF1683" s="11"/>
      <c r="AH1683" s="1" t="str">
        <f>Table1[[#This Row],[html_tag]]&amp;Table1[[#This Row],[html_type]]&amp;Table1[[#This Row],[html_modifier]]</f>
        <v/>
      </c>
      <c r="AL1683" s="22" t="str">
        <f>IFERROR(_xlfn.XLOOKUP(Table1[[#This Row],[word]],Table57[English style name],Table57[Style type]),"")</f>
        <v/>
      </c>
      <c r="AM1683" s="20"/>
      <c r="AN1683" s="11"/>
      <c r="AQ1683" s="6" t="s">
        <v>2114</v>
      </c>
      <c r="AR1683" t="s">
        <v>2105</v>
      </c>
    </row>
    <row r="1684" spans="4:44">
      <c r="F16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84" s="13"/>
      <c r="H1684" s="13"/>
      <c r="I1684" s="12" t="str">
        <f>Table1[[#This Row],[type]]</f>
        <v>modal</v>
      </c>
      <c r="J1684" s="62" t="str">
        <f>Table1[[#This Row],[Column42]]&amp;IF(Table1[[#This Row],[Column13]]="","",Table1[[#This Row],[Column13]])&amp;IF(Table1[[#This Row],[mod]]="","",Table1[[#This Row],[mod]])</f>
        <v>modal--active</v>
      </c>
      <c r="K16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4" t="s">
        <v>2104</v>
      </c>
      <c r="Q16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684" t="s">
        <v>350</v>
      </c>
      <c r="AB1684" s="29"/>
      <c r="AC1684" s="25"/>
      <c r="AD1684" s="41" t="s">
        <v>7056</v>
      </c>
      <c r="AE1684" s="41"/>
      <c r="AF1684" s="11"/>
      <c r="AH1684" s="7" t="str">
        <f>Table1[[#This Row],[html_tag]]&amp;Table1[[#This Row],[html_type]]&amp;Table1[[#This Row],[html_modifier]]</f>
        <v/>
      </c>
      <c r="AL1684" s="23" t="str">
        <f>IFERROR(_xlfn.XLOOKUP(Table1[[#This Row],[word]],Table57[English style name],Table57[Style type]),"")</f>
        <v/>
      </c>
      <c r="AM1684" s="21"/>
      <c r="AN1684" s="11"/>
    </row>
    <row r="1685" spans="4:44">
      <c r="F16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85" s="13"/>
      <c r="H1685" s="13"/>
      <c r="I1685" s="12" t="str">
        <f>Table1[[#This Row],[type]]</f>
        <v>modal</v>
      </c>
      <c r="J1685" s="62" t="str">
        <f>Table1[[#This Row],[Column42]]&amp;IF(Table1[[#This Row],[Column13]]="","",Table1[[#This Row],[Column13]])&amp;IF(Table1[[#This Row],[mod]]="","",Table1[[#This Row],[mod]])</f>
        <v>modal--active</v>
      </c>
      <c r="K16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5" t="s">
        <v>2104</v>
      </c>
      <c r="Q16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685" t="s">
        <v>350</v>
      </c>
      <c r="AB1685" s="29" t="s">
        <v>4391</v>
      </c>
      <c r="AC1685" s="25"/>
      <c r="AD1685" s="41"/>
      <c r="AE1685" s="41"/>
      <c r="AF1685" s="11"/>
      <c r="AH1685" s="7" t="str">
        <f>Table1[[#This Row],[html_tag]]&amp;Table1[[#This Row],[html_type]]&amp;Table1[[#This Row],[html_modifier]]</f>
        <v/>
      </c>
      <c r="AL1685" s="23" t="str">
        <f>IFERROR(_xlfn.XLOOKUP(Table1[[#This Row],[word]],Table57[English style name],Table57[Style type]),"")</f>
        <v/>
      </c>
      <c r="AM1685" s="21"/>
      <c r="AN1685" s="11"/>
    </row>
    <row r="1686" spans="4:44">
      <c r="F16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6" s="13" t="s">
        <v>337</v>
      </c>
      <c r="H1686" s="13" t="s">
        <v>2988</v>
      </c>
      <c r="I1686" s="12" t="str">
        <f>Table1[[#This Row],[type]]</f>
        <v>modal</v>
      </c>
      <c r="J1686" s="62" t="str">
        <f>Table1[[#This Row],[Column42]]&amp;IF(Table1[[#This Row],[Column13]]="","",Table1[[#This Row],[Column13]])&amp;IF(Table1[[#This Row],[mod]]="","",Table1[[#This Row],[mod]])</f>
        <v>modal--lg</v>
      </c>
      <c r="K16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6" t="s">
        <v>2104</v>
      </c>
      <c r="P1686" s="6" t="s">
        <v>2109</v>
      </c>
      <c r="Q16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686" t="s">
        <v>3114</v>
      </c>
      <c r="AB1686" s="29"/>
      <c r="AC1686" s="25" t="s">
        <v>3643</v>
      </c>
      <c r="AD1686" s="41"/>
      <c r="AE1686" s="41"/>
      <c r="AF1686" s="11"/>
      <c r="AH1686" s="1" t="str">
        <f>Table1[[#This Row],[html_tag]]&amp;Table1[[#This Row],[html_type]]&amp;Table1[[#This Row],[html_modifier]]</f>
        <v/>
      </c>
      <c r="AL1686" s="22" t="str">
        <f>IFERROR(_xlfn.XLOOKUP(Table1[[#This Row],[word]],Table57[English style name],Table57[Style type]),"")</f>
        <v/>
      </c>
      <c r="AM1686" s="20"/>
      <c r="AN1686" s="11"/>
      <c r="AQ1686" s="6" t="s">
        <v>2109</v>
      </c>
      <c r="AR1686" t="s">
        <v>2105</v>
      </c>
    </row>
    <row r="1687" spans="4:44">
      <c r="F16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7" s="13" t="s">
        <v>337</v>
      </c>
      <c r="H1687" s="13" t="s">
        <v>2988</v>
      </c>
      <c r="I1687" s="12" t="str">
        <f>Table1[[#This Row],[type]]</f>
        <v>modal</v>
      </c>
      <c r="J1687" s="62" t="str">
        <f>Table1[[#This Row],[Column42]]&amp;IF(Table1[[#This Row],[Column13]]="","",Table1[[#This Row],[Column13]])&amp;IF(Table1[[#This Row],[mod]]="","",Table1[[#This Row],[mod]])</f>
        <v>modal--md</v>
      </c>
      <c r="K16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7" t="s">
        <v>2104</v>
      </c>
      <c r="P1687" s="6" t="s">
        <v>2110</v>
      </c>
      <c r="Q16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687" t="s">
        <v>3115</v>
      </c>
      <c r="AB1687" s="29"/>
      <c r="AC1687" s="25"/>
      <c r="AD1687" s="41"/>
      <c r="AE1687" s="41"/>
      <c r="AF1687" s="11"/>
      <c r="AH1687" s="1" t="str">
        <f>Table1[[#This Row],[html_tag]]&amp;Table1[[#This Row],[html_type]]&amp;Table1[[#This Row],[html_modifier]]</f>
        <v/>
      </c>
      <c r="AL1687" s="22" t="str">
        <f>IFERROR(_xlfn.XLOOKUP(Table1[[#This Row],[word]],Table57[English style name],Table57[Style type]),"")</f>
        <v/>
      </c>
      <c r="AM1687" s="20"/>
      <c r="AN1687" s="11"/>
      <c r="AQ1687" s="6" t="s">
        <v>2110</v>
      </c>
      <c r="AR1687" t="s">
        <v>2105</v>
      </c>
    </row>
    <row r="1688" spans="4:44">
      <c r="F16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8" s="13" t="s">
        <v>337</v>
      </c>
      <c r="H1688" s="13" t="s">
        <v>2988</v>
      </c>
      <c r="I1688" s="12" t="str">
        <f>Table1[[#This Row],[type]]</f>
        <v>modal</v>
      </c>
      <c r="J1688" s="62" t="str">
        <f>Table1[[#This Row],[Column42]]&amp;IF(Table1[[#This Row],[Column13]]="","",Table1[[#This Row],[Column13]])&amp;IF(Table1[[#This Row],[mod]]="","",Table1[[#This Row],[mod]])</f>
        <v>modal--sm</v>
      </c>
      <c r="K16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8" t="s">
        <v>2104</v>
      </c>
      <c r="P1688" s="6" t="s">
        <v>2115</v>
      </c>
      <c r="Q16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688" s="3" t="s">
        <v>3116</v>
      </c>
      <c r="AB1688" s="29"/>
      <c r="AC1688" s="25" t="s">
        <v>3644</v>
      </c>
      <c r="AD1688" s="41"/>
      <c r="AE1688" s="41"/>
      <c r="AF1688" s="11"/>
      <c r="AH1688" s="1" t="str">
        <f>Table1[[#This Row],[html_tag]]&amp;Table1[[#This Row],[html_type]]&amp;Table1[[#This Row],[html_modifier]]</f>
        <v/>
      </c>
      <c r="AL1688" s="22" t="str">
        <f>IFERROR(_xlfn.XLOOKUP(Table1[[#This Row],[word]],Table57[English style name],Table57[Style type]),"")</f>
        <v/>
      </c>
      <c r="AM1688" s="20"/>
      <c r="AN1688" s="11"/>
      <c r="AQ1688" s="6" t="s">
        <v>2115</v>
      </c>
      <c r="AR1688" t="s">
        <v>2105</v>
      </c>
    </row>
    <row r="1689" spans="4:44">
      <c r="F16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9" s="13" t="s">
        <v>337</v>
      </c>
      <c r="H1689" s="13" t="s">
        <v>2988</v>
      </c>
      <c r="I1689" s="12" t="str">
        <f>Table1[[#This Row],[type]]</f>
        <v>modal</v>
      </c>
      <c r="J1689" s="62" t="str">
        <f>Table1[[#This Row],[Column42]]&amp;IF(Table1[[#This Row],[Column13]]="","",Table1[[#This Row],[Column13]])&amp;IF(Table1[[#This Row],[mod]]="","",Table1[[#This Row],[mod]])</f>
        <v>modal--xl</v>
      </c>
      <c r="K16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9" t="s">
        <v>2104</v>
      </c>
      <c r="P1689" s="6" t="s">
        <v>2117</v>
      </c>
      <c r="Q16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689" s="3" t="s">
        <v>3126</v>
      </c>
      <c r="AB1689" s="29"/>
      <c r="AC1689" s="25" t="s">
        <v>3645</v>
      </c>
      <c r="AD1689" s="41"/>
      <c r="AE1689" s="41"/>
      <c r="AF1689" s="11"/>
      <c r="AH1689" s="1" t="str">
        <f>Table1[[#This Row],[html_tag]]&amp;Table1[[#This Row],[html_type]]&amp;Table1[[#This Row],[html_modifier]]</f>
        <v/>
      </c>
      <c r="AL1689" s="22" t="str">
        <f>IFERROR(_xlfn.XLOOKUP(Table1[[#This Row],[word]],Table57[English style name],Table57[Style type]),"")</f>
        <v/>
      </c>
      <c r="AM1689" s="20"/>
      <c r="AN1689" s="11"/>
      <c r="AQ1689" s="6" t="s">
        <v>2117</v>
      </c>
      <c r="AR1689" t="s">
        <v>2105</v>
      </c>
    </row>
    <row r="1690" spans="4:44">
      <c r="F16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nav.scss</v>
      </c>
      <c r="G1690" s="13"/>
      <c r="H1690" s="13"/>
      <c r="I1690" s="12" t="str">
        <f>Table1[[#This Row],[type]]</f>
        <v>nav</v>
      </c>
      <c r="J1690" s="62" t="str">
        <f>Table1[[#This Row],[Column42]]&amp;IF(Table1[[#This Row],[Column13]]="","",Table1[[#This Row],[Column13]])&amp;IF(Table1[[#This Row],[mod]]="","",Table1[[#This Row],[mod]])</f>
        <v>nav__&lt;nav&gt;</v>
      </c>
      <c r="K16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nav__&lt;nav&gt;</v>
      </c>
      <c r="L1690" t="s">
        <v>485</v>
      </c>
      <c r="O1690" t="s">
        <v>226</v>
      </c>
      <c r="Q16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0" s="29"/>
      <c r="AC1690" s="25"/>
      <c r="AD1690" s="41"/>
      <c r="AE1690" s="41"/>
      <c r="AF1690" s="11" t="s">
        <v>226</v>
      </c>
      <c r="AH1690" s="1" t="str">
        <f>Table1[[#This Row],[html_tag]]&amp;Table1[[#This Row],[html_type]]&amp;Table1[[#This Row],[html_modifier]]</f>
        <v>&lt;nav&gt;</v>
      </c>
      <c r="AI1690" t="s">
        <v>226</v>
      </c>
      <c r="AL1690" s="22" t="str">
        <f>IFERROR(_xlfn.XLOOKUP(Table1[[#This Row],[word]],Table57[English style name],Table57[Style type]),"")</f>
        <v/>
      </c>
      <c r="AM1690" s="20"/>
      <c r="AN1690" s="11"/>
    </row>
    <row r="1691" spans="4:44">
      <c r="D1691" t="s">
        <v>3339</v>
      </c>
      <c r="F16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note.scss</v>
      </c>
      <c r="G1691" s="13"/>
      <c r="H1691" s="13"/>
      <c r="I1691" s="12" t="str">
        <f>Table1[[#This Row],[type]]</f>
        <v>note</v>
      </c>
      <c r="J1691" s="62" t="str">
        <f>Table1[[#This Row],[Column42]]&amp;IF(Table1[[#This Row],[Column13]]="","",Table1[[#This Row],[Column13]])&amp;IF(Table1[[#This Row],[mod]]="","",Table1[[#This Row],[mod]])</f>
        <v>note__research</v>
      </c>
      <c r="K16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note__research</v>
      </c>
      <c r="L1691" t="s">
        <v>3391</v>
      </c>
      <c r="M1691" t="s">
        <v>7413</v>
      </c>
      <c r="P1691" t="s">
        <v>3338</v>
      </c>
      <c r="Q16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1" s="29"/>
      <c r="AC1691" s="25"/>
      <c r="AD1691" s="41"/>
      <c r="AE1691" s="41"/>
      <c r="AF1691" s="11"/>
      <c r="AH1691" s="7" t="str">
        <f>Table1[[#This Row],[html_tag]]&amp;Table1[[#This Row],[html_type]]&amp;Table1[[#This Row],[html_modifier]]</f>
        <v/>
      </c>
      <c r="AL1691" s="23" t="str">
        <f>IFERROR(_xlfn.XLOOKUP(Table1[[#This Row],[word]],Table57[English style name],Table57[Style type]),"")</f>
        <v/>
      </c>
      <c r="AM1691" s="21"/>
      <c r="AN1691" s="11"/>
    </row>
    <row r="1692" spans="4:44">
      <c r="F16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2" s="13" t="s">
        <v>2992</v>
      </c>
      <c r="H1692" s="13" t="s">
        <v>84</v>
      </c>
      <c r="I1692" s="12" t="str">
        <f>Table1[[#This Row],[type]]</f>
        <v>object</v>
      </c>
      <c r="J1692" s="62" t="str">
        <f>Table1[[#This Row],[Column42]]&amp;IF(Table1[[#This Row],[Column13]]="","",Table1[[#This Row],[Column13]])&amp;IF(Table1[[#This Row],[mod]]="","",Table1[[#This Row],[mod]])</f>
        <v>object__color</v>
      </c>
      <c r="K16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692" t="s">
        <v>84</v>
      </c>
      <c r="M1692" t="s">
        <v>3083</v>
      </c>
      <c r="P1692" s="6" t="s">
        <v>2664</v>
      </c>
      <c r="Q16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2" s="29"/>
      <c r="AC1692" s="25"/>
      <c r="AD1692" s="41"/>
      <c r="AE1692" s="41"/>
      <c r="AF1692" s="11"/>
      <c r="AH1692" s="1" t="str">
        <f>Table1[[#This Row],[html_tag]]&amp;Table1[[#This Row],[html_type]]&amp;Table1[[#This Row],[html_modifier]]</f>
        <v/>
      </c>
      <c r="AL1692" s="22" t="str">
        <f>IFERROR(_xlfn.XLOOKUP(Table1[[#This Row],[word]],Table57[English style name],Table57[Style type]),"")</f>
        <v/>
      </c>
      <c r="AM1692" s="20"/>
      <c r="AN1692" s="11"/>
      <c r="AQ1692" s="6" t="s">
        <v>2664</v>
      </c>
      <c r="AR1692" t="s">
        <v>2665</v>
      </c>
    </row>
    <row r="1693" spans="4:44">
      <c r="F16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3" s="13" t="s">
        <v>2992</v>
      </c>
      <c r="H1693" s="13" t="s">
        <v>84</v>
      </c>
      <c r="I1693" s="12" t="str">
        <f>Table1[[#This Row],[type]]</f>
        <v>object</v>
      </c>
      <c r="J1693" s="62" t="str">
        <f>Table1[[#This Row],[Column42]]&amp;IF(Table1[[#This Row],[Column13]]="","",Table1[[#This Row],[Column13]])&amp;IF(Table1[[#This Row],[mod]]="","",Table1[[#This Row],[mod]])</f>
        <v>object__corner</v>
      </c>
      <c r="K16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93" t="s">
        <v>84</v>
      </c>
      <c r="M1693" t="s">
        <v>10240</v>
      </c>
      <c r="P1693" s="6" t="s">
        <v>2508</v>
      </c>
      <c r="Q16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3" s="29"/>
      <c r="AC1693" s="25"/>
      <c r="AD1693" s="41"/>
      <c r="AE1693" s="41"/>
      <c r="AF1693" s="11"/>
      <c r="AH1693" s="1" t="str">
        <f>Table1[[#This Row],[html_tag]]&amp;Table1[[#This Row],[html_type]]&amp;Table1[[#This Row],[html_modifier]]</f>
        <v/>
      </c>
      <c r="AL1693" s="22" t="str">
        <f>IFERROR(_xlfn.XLOOKUP(Table1[[#This Row],[word]],Table57[English style name],Table57[Style type]),"")</f>
        <v/>
      </c>
      <c r="AM1693" s="20"/>
      <c r="AN1693" s="11"/>
      <c r="AQ1693" s="6" t="s">
        <v>2508</v>
      </c>
      <c r="AR1693" t="s">
        <v>2509</v>
      </c>
    </row>
    <row r="1694" spans="4:44">
      <c r="F16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4" s="13" t="s">
        <v>2992</v>
      </c>
      <c r="H1694" s="13" t="s">
        <v>84</v>
      </c>
      <c r="I1694" s="12" t="str">
        <f>Table1[[#This Row],[type]]</f>
        <v>object</v>
      </c>
      <c r="J1694" s="62" t="str">
        <f>Table1[[#This Row],[Column42]]&amp;IF(Table1[[#This Row],[Column13]]="","",Table1[[#This Row],[Column13]])&amp;IF(Table1[[#This Row],[mod]]="","",Table1[[#This Row],[mod]])</f>
        <v>object</v>
      </c>
      <c r="K16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694" t="s">
        <v>84</v>
      </c>
      <c r="P1694" s="6" t="s">
        <v>2510</v>
      </c>
      <c r="Q16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4" s="29"/>
      <c r="AC1694" s="25"/>
      <c r="AD1694" s="41"/>
      <c r="AE1694" s="41"/>
      <c r="AF1694" s="11"/>
      <c r="AH1694" s="1" t="str">
        <f>Table1[[#This Row],[html_tag]]&amp;Table1[[#This Row],[html_type]]&amp;Table1[[#This Row],[html_modifier]]</f>
        <v/>
      </c>
      <c r="AL1694" s="22" t="str">
        <f>IFERROR(_xlfn.XLOOKUP(Table1[[#This Row],[word]],Table57[English style name],Table57[Style type]),"")</f>
        <v/>
      </c>
      <c r="AM1694" s="20"/>
      <c r="AN1694" s="11"/>
      <c r="AQ1694" s="6" t="s">
        <v>2510</v>
      </c>
      <c r="AR1694" t="s">
        <v>2509</v>
      </c>
    </row>
    <row r="1695" spans="4:44">
      <c r="F16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5" s="13" t="s">
        <v>2992</v>
      </c>
      <c r="H1695" s="13" t="s">
        <v>84</v>
      </c>
      <c r="I1695" s="12" t="str">
        <f>Table1[[#This Row],[type]]</f>
        <v>object</v>
      </c>
      <c r="J1695" s="62" t="str">
        <f>Table1[[#This Row],[Column42]]&amp;IF(Table1[[#This Row],[Column13]]="","",Table1[[#This Row],[Column13]])&amp;IF(Table1[[#This Row],[mod]]="","",Table1[[#This Row],[mod]])</f>
        <v>object</v>
      </c>
      <c r="K16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695" t="s">
        <v>84</v>
      </c>
      <c r="P1695" s="6" t="s">
        <v>2511</v>
      </c>
      <c r="Q16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5" s="29"/>
      <c r="AC1695" s="25"/>
      <c r="AD1695" s="41"/>
      <c r="AE1695" s="41"/>
      <c r="AF1695" s="11"/>
      <c r="AH1695" s="1" t="str">
        <f>Table1[[#This Row],[html_tag]]&amp;Table1[[#This Row],[html_type]]&amp;Table1[[#This Row],[html_modifier]]</f>
        <v/>
      </c>
      <c r="AL1695" s="22" t="str">
        <f>IFERROR(_xlfn.XLOOKUP(Table1[[#This Row],[word]],Table57[English style name],Table57[Style type]),"")</f>
        <v/>
      </c>
      <c r="AM1695" s="20"/>
      <c r="AN1695" s="11"/>
      <c r="AQ1695" s="6" t="s">
        <v>2511</v>
      </c>
      <c r="AR1695" t="s">
        <v>2509</v>
      </c>
    </row>
    <row r="1696" spans="4:44">
      <c r="F16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6" s="13" t="s">
        <v>2992</v>
      </c>
      <c r="H1696" s="13" t="s">
        <v>84</v>
      </c>
      <c r="I1696" s="12" t="str">
        <f>Table1[[#This Row],[type]]</f>
        <v>object</v>
      </c>
      <c r="J1696" s="62" t="str">
        <f>Table1[[#This Row],[Column42]]&amp;IF(Table1[[#This Row],[Column13]]="","",Table1[[#This Row],[Column13]])&amp;IF(Table1[[#This Row],[mod]]="","",Table1[[#This Row],[mod]])</f>
        <v>object</v>
      </c>
      <c r="K16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696" t="s">
        <v>84</v>
      </c>
      <c r="P1696" s="6" t="s">
        <v>2512</v>
      </c>
      <c r="Q16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6" s="29"/>
      <c r="AC1696" s="25"/>
      <c r="AD1696" s="41"/>
      <c r="AE1696" s="41"/>
      <c r="AF1696" s="11"/>
      <c r="AH1696" s="1" t="str">
        <f>Table1[[#This Row],[html_tag]]&amp;Table1[[#This Row],[html_type]]&amp;Table1[[#This Row],[html_modifier]]</f>
        <v/>
      </c>
      <c r="AL1696" s="22" t="str">
        <f>IFERROR(_xlfn.XLOOKUP(Table1[[#This Row],[word]],Table57[English style name],Table57[Style type]),"")</f>
        <v/>
      </c>
      <c r="AM1696" s="20"/>
      <c r="AN1696" s="11"/>
      <c r="AQ1696" s="6" t="s">
        <v>2512</v>
      </c>
      <c r="AR1696" t="s">
        <v>2509</v>
      </c>
    </row>
    <row r="1697" spans="6:44">
      <c r="F16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7" s="13" t="s">
        <v>2992</v>
      </c>
      <c r="H1697" s="13" t="s">
        <v>84</v>
      </c>
      <c r="I1697" s="12" t="str">
        <f>Table1[[#This Row],[type]]</f>
        <v>object</v>
      </c>
      <c r="J1697" s="62" t="str">
        <f>Table1[[#This Row],[Column42]]&amp;IF(Table1[[#This Row],[Column13]]="","",Table1[[#This Row],[Column13]])&amp;IF(Table1[[#This Row],[mod]]="","",Table1[[#This Row],[mod]])</f>
        <v>object</v>
      </c>
      <c r="K16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697" t="s">
        <v>84</v>
      </c>
      <c r="P1697" s="6" t="s">
        <v>2516</v>
      </c>
      <c r="Q16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7" s="29"/>
      <c r="AC1697" s="25"/>
      <c r="AD1697" s="41"/>
      <c r="AE1697" s="41"/>
      <c r="AF1697" s="11"/>
      <c r="AH1697" s="1" t="str">
        <f>Table1[[#This Row],[html_tag]]&amp;Table1[[#This Row],[html_type]]&amp;Table1[[#This Row],[html_modifier]]</f>
        <v/>
      </c>
      <c r="AL1697" s="22" t="str">
        <f>IFERROR(_xlfn.XLOOKUP(Table1[[#This Row],[word]],Table57[English style name],Table57[Style type]),"")</f>
        <v/>
      </c>
      <c r="AM1697" s="20"/>
      <c r="AN1697" s="11"/>
      <c r="AQ1697" s="6" t="s">
        <v>2516</v>
      </c>
      <c r="AR1697" t="s">
        <v>2509</v>
      </c>
    </row>
    <row r="1698" spans="6:44">
      <c r="F16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8" s="13" t="s">
        <v>2992</v>
      </c>
      <c r="H1698" s="13" t="s">
        <v>84</v>
      </c>
      <c r="I1698" s="12" t="str">
        <f>Table1[[#This Row],[type]]</f>
        <v>object</v>
      </c>
      <c r="J1698" s="62" t="str">
        <f>Table1[[#This Row],[Column42]]&amp;IF(Table1[[#This Row],[Column13]]="","",Table1[[#This Row],[Column13]])&amp;IF(Table1[[#This Row],[mod]]="","",Table1[[#This Row],[mod]])</f>
        <v>object</v>
      </c>
      <c r="K16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698" t="s">
        <v>84</v>
      </c>
      <c r="P1698" s="6" t="s">
        <v>2518</v>
      </c>
      <c r="Q16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8" s="29"/>
      <c r="AC1698" s="25"/>
      <c r="AD1698" s="41"/>
      <c r="AE1698" s="41"/>
      <c r="AF1698" s="11"/>
      <c r="AH1698" s="1" t="str">
        <f>Table1[[#This Row],[html_tag]]&amp;Table1[[#This Row],[html_type]]&amp;Table1[[#This Row],[html_modifier]]</f>
        <v/>
      </c>
      <c r="AL1698" s="22" t="str">
        <f>IFERROR(_xlfn.XLOOKUP(Table1[[#This Row],[word]],Table57[English style name],Table57[Style type]),"")</f>
        <v/>
      </c>
      <c r="AM1698" s="20"/>
      <c r="AN1698" s="11"/>
      <c r="AQ1698" s="6" t="s">
        <v>2518</v>
      </c>
      <c r="AR1698" t="s">
        <v>2509</v>
      </c>
    </row>
    <row r="1699" spans="6:44">
      <c r="F16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9" s="13" t="s">
        <v>2992</v>
      </c>
      <c r="H1699" s="13" t="s">
        <v>84</v>
      </c>
      <c r="I1699" s="12" t="str">
        <f>Table1[[#This Row],[type]]</f>
        <v>object</v>
      </c>
      <c r="J1699" s="62" t="str">
        <f>Table1[[#This Row],[Column42]]&amp;IF(Table1[[#This Row],[Column13]]="","",Table1[[#This Row],[Column13]])&amp;IF(Table1[[#This Row],[mod]]="","",Table1[[#This Row],[mod]])</f>
        <v>object</v>
      </c>
      <c r="K16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699" t="s">
        <v>84</v>
      </c>
      <c r="P1699" s="6" t="s">
        <v>2519</v>
      </c>
      <c r="Q16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9" s="29"/>
      <c r="AC1699" s="25"/>
      <c r="AD1699" s="41"/>
      <c r="AE1699" s="41"/>
      <c r="AF1699" s="11"/>
      <c r="AH1699" s="1" t="str">
        <f>Table1[[#This Row],[html_tag]]&amp;Table1[[#This Row],[html_type]]&amp;Table1[[#This Row],[html_modifier]]</f>
        <v/>
      </c>
      <c r="AL1699" s="22" t="str">
        <f>IFERROR(_xlfn.XLOOKUP(Table1[[#This Row],[word]],Table57[English style name],Table57[Style type]),"")</f>
        <v/>
      </c>
      <c r="AM1699" s="20"/>
      <c r="AN1699" s="11"/>
      <c r="AQ1699" s="6" t="s">
        <v>2519</v>
      </c>
      <c r="AR1699" t="s">
        <v>2509</v>
      </c>
    </row>
    <row r="1700" spans="6:44">
      <c r="F17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0" s="13" t="s">
        <v>2992</v>
      </c>
      <c r="H1700" s="13" t="s">
        <v>84</v>
      </c>
      <c r="I1700" s="12" t="str">
        <f>Table1[[#This Row],[type]]</f>
        <v>object</v>
      </c>
      <c r="J1700" s="62" t="str">
        <f>Table1[[#This Row],[Column42]]&amp;IF(Table1[[#This Row],[Column13]]="","",Table1[[#This Row],[Column13]])&amp;IF(Table1[[#This Row],[mod]]="","",Table1[[#This Row],[mod]])</f>
        <v>object</v>
      </c>
      <c r="K17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00" t="s">
        <v>84</v>
      </c>
      <c r="P1700" s="6" t="s">
        <v>2521</v>
      </c>
      <c r="Q17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0" s="29"/>
      <c r="AC1700" s="25"/>
      <c r="AD1700" s="41"/>
      <c r="AE1700" s="41"/>
      <c r="AF1700" s="11"/>
      <c r="AH1700" s="1" t="str">
        <f>Table1[[#This Row],[html_tag]]&amp;Table1[[#This Row],[html_type]]&amp;Table1[[#This Row],[html_modifier]]</f>
        <v/>
      </c>
      <c r="AL1700" s="22" t="str">
        <f>IFERROR(_xlfn.XLOOKUP(Table1[[#This Row],[word]],Table57[English style name],Table57[Style type]),"")</f>
        <v/>
      </c>
      <c r="AM1700" s="20"/>
      <c r="AN1700" s="11"/>
      <c r="AQ1700" s="6" t="s">
        <v>2521</v>
      </c>
      <c r="AR1700" t="s">
        <v>2509</v>
      </c>
    </row>
    <row r="1701" spans="6:44">
      <c r="F17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1" s="13" t="s">
        <v>2992</v>
      </c>
      <c r="H1701" s="13" t="s">
        <v>84</v>
      </c>
      <c r="I1701" s="12" t="str">
        <f>Table1[[#This Row],[type]]</f>
        <v>object</v>
      </c>
      <c r="J1701" s="62" t="str">
        <f>Table1[[#This Row],[Column42]]&amp;IF(Table1[[#This Row],[Column13]]="","",Table1[[#This Row],[Column13]])&amp;IF(Table1[[#This Row],[mod]]="","",Table1[[#This Row],[mod]])</f>
        <v>object</v>
      </c>
      <c r="K17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01" t="s">
        <v>84</v>
      </c>
      <c r="P1701" s="6" t="s">
        <v>2666</v>
      </c>
      <c r="Q17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1" s="29"/>
      <c r="AC1701" s="25"/>
      <c r="AD1701" s="41"/>
      <c r="AE1701" s="41"/>
      <c r="AF1701" s="11"/>
      <c r="AH1701" s="1" t="str">
        <f>Table1[[#This Row],[html_tag]]&amp;Table1[[#This Row],[html_type]]&amp;Table1[[#This Row],[html_modifier]]</f>
        <v/>
      </c>
      <c r="AL1701" s="22" t="str">
        <f>IFERROR(_xlfn.XLOOKUP(Table1[[#This Row],[word]],Table57[English style name],Table57[Style type]),"")</f>
        <v/>
      </c>
      <c r="AM1701" s="20"/>
      <c r="AN1701" s="11"/>
      <c r="AQ1701" s="6" t="s">
        <v>2666</v>
      </c>
      <c r="AR1701" t="s">
        <v>2667</v>
      </c>
    </row>
    <row r="1702" spans="6:44">
      <c r="F17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2" s="13" t="s">
        <v>2992</v>
      </c>
      <c r="H1702" s="13" t="s">
        <v>84</v>
      </c>
      <c r="I1702" s="12" t="str">
        <f>Table1[[#This Row],[type]]</f>
        <v>object</v>
      </c>
      <c r="J1702" s="62" t="str">
        <f>Table1[[#This Row],[Column42]]&amp;IF(Table1[[#This Row],[Column13]]="","",Table1[[#This Row],[Column13]])&amp;IF(Table1[[#This Row],[mod]]="","",Table1[[#This Row],[mod]])</f>
        <v>object</v>
      </c>
      <c r="K17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02" t="s">
        <v>84</v>
      </c>
      <c r="P1702" s="6" t="s">
        <v>2562</v>
      </c>
      <c r="Q17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2" s="29"/>
      <c r="AC1702" s="25"/>
      <c r="AD1702" s="41"/>
      <c r="AE1702" s="41"/>
      <c r="AF1702" s="11"/>
      <c r="AH1702" s="1" t="str">
        <f>Table1[[#This Row],[html_tag]]&amp;Table1[[#This Row],[html_type]]&amp;Table1[[#This Row],[html_modifier]]</f>
        <v/>
      </c>
      <c r="AL1702" s="22" t="str">
        <f>IFERROR(_xlfn.XLOOKUP(Table1[[#This Row],[word]],Table57[English style name],Table57[Style type]),"")</f>
        <v/>
      </c>
      <c r="AM1702" s="20"/>
      <c r="AN1702" s="11"/>
      <c r="AQ1702" s="6" t="s">
        <v>2562</v>
      </c>
      <c r="AR1702" t="s">
        <v>2563</v>
      </c>
    </row>
    <row r="1703" spans="6:44">
      <c r="F17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3" s="13" t="s">
        <v>2992</v>
      </c>
      <c r="H1703" s="13" t="s">
        <v>84</v>
      </c>
      <c r="I1703" s="12" t="str">
        <f>Table1[[#This Row],[type]]</f>
        <v>object</v>
      </c>
      <c r="J1703" s="62" t="str">
        <f>Table1[[#This Row],[Column42]]&amp;IF(Table1[[#This Row],[Column13]]="","",Table1[[#This Row],[Column13]])&amp;IF(Table1[[#This Row],[mod]]="","",Table1[[#This Row],[mod]])</f>
        <v>object</v>
      </c>
      <c r="K17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03" t="s">
        <v>84</v>
      </c>
      <c r="P1703" s="6" t="s">
        <v>2564</v>
      </c>
      <c r="Q17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3" s="29"/>
      <c r="AC1703" s="25"/>
      <c r="AD1703" s="41"/>
      <c r="AE1703" s="41"/>
      <c r="AF1703" s="11"/>
      <c r="AH1703" s="1" t="str">
        <f>Table1[[#This Row],[html_tag]]&amp;Table1[[#This Row],[html_type]]&amp;Table1[[#This Row],[html_modifier]]</f>
        <v/>
      </c>
      <c r="AL1703" s="22" t="str">
        <f>IFERROR(_xlfn.XLOOKUP(Table1[[#This Row],[word]],Table57[English style name],Table57[Style type]),"")</f>
        <v/>
      </c>
      <c r="AM1703" s="20"/>
      <c r="AN1703" s="11"/>
      <c r="AQ1703" s="6" t="s">
        <v>2564</v>
      </c>
      <c r="AR1703" t="s">
        <v>2563</v>
      </c>
    </row>
    <row r="1704" spans="6:44">
      <c r="F17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4" s="13" t="s">
        <v>2992</v>
      </c>
      <c r="H1704" s="13" t="s">
        <v>84</v>
      </c>
      <c r="I1704" s="12" t="str">
        <f>Table1[[#This Row],[type]]</f>
        <v>object</v>
      </c>
      <c r="J1704" s="62" t="str">
        <f>Table1[[#This Row],[Column42]]&amp;IF(Table1[[#This Row],[Column13]]="","",Table1[[#This Row],[Column13]])&amp;IF(Table1[[#This Row],[mod]]="","",Table1[[#This Row],[mod]])</f>
        <v>object</v>
      </c>
      <c r="K17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04" t="s">
        <v>84</v>
      </c>
      <c r="P1704" s="6" t="s">
        <v>2565</v>
      </c>
      <c r="Q17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4" s="29"/>
      <c r="AC1704" s="25"/>
      <c r="AD1704" s="41"/>
      <c r="AE1704" s="41"/>
      <c r="AF1704" s="11"/>
      <c r="AH1704" s="1" t="str">
        <f>Table1[[#This Row],[html_tag]]&amp;Table1[[#This Row],[html_type]]&amp;Table1[[#This Row],[html_modifier]]</f>
        <v/>
      </c>
      <c r="AL1704" s="22" t="str">
        <f>IFERROR(_xlfn.XLOOKUP(Table1[[#This Row],[word]],Table57[English style name],Table57[Style type]),"")</f>
        <v/>
      </c>
      <c r="AM1704" s="20"/>
      <c r="AN1704" s="11"/>
      <c r="AQ1704" s="6" t="s">
        <v>2565</v>
      </c>
      <c r="AR1704" t="s">
        <v>2563</v>
      </c>
    </row>
    <row r="1705" spans="6:44">
      <c r="F17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5" s="13" t="s">
        <v>2992</v>
      </c>
      <c r="H1705" s="13" t="s">
        <v>84</v>
      </c>
      <c r="I1705" s="12" t="str">
        <f>Table1[[#This Row],[type]]</f>
        <v>object</v>
      </c>
      <c r="J1705" s="62" t="str">
        <f>Table1[[#This Row],[Column42]]&amp;IF(Table1[[#This Row],[Column13]]="","",Table1[[#This Row],[Column13]])&amp;IF(Table1[[#This Row],[mod]]="","",Table1[[#This Row],[mod]])</f>
        <v>object</v>
      </c>
      <c r="K17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05" t="s">
        <v>84</v>
      </c>
      <c r="P1705" s="6" t="s">
        <v>2566</v>
      </c>
      <c r="Q17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5" s="29"/>
      <c r="AC1705" s="25"/>
      <c r="AD1705" s="41"/>
      <c r="AE1705" s="41"/>
      <c r="AF1705" s="11"/>
      <c r="AH1705" s="1" t="str">
        <f>Table1[[#This Row],[html_tag]]&amp;Table1[[#This Row],[html_type]]&amp;Table1[[#This Row],[html_modifier]]</f>
        <v/>
      </c>
      <c r="AL1705" s="22" t="str">
        <f>IFERROR(_xlfn.XLOOKUP(Table1[[#This Row],[word]],Table57[English style name],Table57[Style type]),"")</f>
        <v/>
      </c>
      <c r="AM1705" s="20"/>
      <c r="AN1705" s="11"/>
      <c r="AQ1705" s="6" t="s">
        <v>2566</v>
      </c>
      <c r="AR1705" t="s">
        <v>2563</v>
      </c>
    </row>
    <row r="1706" spans="6:44">
      <c r="F17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6" s="13" t="s">
        <v>2992</v>
      </c>
      <c r="H1706" s="13" t="s">
        <v>84</v>
      </c>
      <c r="I1706" s="12" t="str">
        <f>Table1[[#This Row],[type]]</f>
        <v>object</v>
      </c>
      <c r="J1706" s="62" t="str">
        <f>Table1[[#This Row],[Column42]]&amp;IF(Table1[[#This Row],[Column13]]="","",Table1[[#This Row],[Column13]])&amp;IF(Table1[[#This Row],[mod]]="","",Table1[[#This Row],[mod]])</f>
        <v>object</v>
      </c>
      <c r="K17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06" t="s">
        <v>84</v>
      </c>
      <c r="P1706" s="6" t="s">
        <v>2567</v>
      </c>
      <c r="Q17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6" s="29"/>
      <c r="AC1706" s="25"/>
      <c r="AD1706" s="41"/>
      <c r="AE1706" s="41"/>
      <c r="AF1706" s="11"/>
      <c r="AH1706" s="1" t="str">
        <f>Table1[[#This Row],[html_tag]]&amp;Table1[[#This Row],[html_type]]&amp;Table1[[#This Row],[html_modifier]]</f>
        <v/>
      </c>
      <c r="AL1706" s="22" t="str">
        <f>IFERROR(_xlfn.XLOOKUP(Table1[[#This Row],[word]],Table57[English style name],Table57[Style type]),"")</f>
        <v/>
      </c>
      <c r="AM1706" s="20"/>
      <c r="AN1706" s="11"/>
      <c r="AQ1706" s="6" t="s">
        <v>2567</v>
      </c>
      <c r="AR1706" t="s">
        <v>2563</v>
      </c>
    </row>
    <row r="1707" spans="6:44">
      <c r="F17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7" s="13" t="s">
        <v>2992</v>
      </c>
      <c r="H1707" s="13" t="s">
        <v>84</v>
      </c>
      <c r="I1707" s="12" t="str">
        <f>Table1[[#This Row],[type]]</f>
        <v>object</v>
      </c>
      <c r="J1707" s="62" t="str">
        <f>Table1[[#This Row],[Column42]]&amp;IF(Table1[[#This Row],[Column13]]="","",Table1[[#This Row],[Column13]])&amp;IF(Table1[[#This Row],[mod]]="","",Table1[[#This Row],[mod]])</f>
        <v>object</v>
      </c>
      <c r="K17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07" t="s">
        <v>84</v>
      </c>
      <c r="P1707" s="6" t="s">
        <v>2568</v>
      </c>
      <c r="Q17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7" s="29"/>
      <c r="AC1707" s="25"/>
      <c r="AD1707" s="41"/>
      <c r="AE1707" s="41"/>
      <c r="AF1707" s="11"/>
      <c r="AH1707" s="1" t="str">
        <f>Table1[[#This Row],[html_tag]]&amp;Table1[[#This Row],[html_type]]&amp;Table1[[#This Row],[html_modifier]]</f>
        <v/>
      </c>
      <c r="AL1707" s="22" t="str">
        <f>IFERROR(_xlfn.XLOOKUP(Table1[[#This Row],[word]],Table57[English style name],Table57[Style type]),"")</f>
        <v/>
      </c>
      <c r="AM1707" s="20"/>
      <c r="AN1707" s="11"/>
      <c r="AQ1707" s="6" t="s">
        <v>2568</v>
      </c>
      <c r="AR1707" t="s">
        <v>2563</v>
      </c>
    </row>
    <row r="1708" spans="6:44">
      <c r="F17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8" s="13" t="s">
        <v>2992</v>
      </c>
      <c r="H1708" s="13" t="s">
        <v>84</v>
      </c>
      <c r="I1708" s="12" t="str">
        <f>Table1[[#This Row],[type]]</f>
        <v>object</v>
      </c>
      <c r="J1708" s="62" t="str">
        <f>Table1[[#This Row],[Column42]]&amp;IF(Table1[[#This Row],[Column13]]="","",Table1[[#This Row],[Column13]])&amp;IF(Table1[[#This Row],[mod]]="","",Table1[[#This Row],[mod]])</f>
        <v>object</v>
      </c>
      <c r="K17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08" t="s">
        <v>84</v>
      </c>
      <c r="P1708" s="6" t="s">
        <v>2569</v>
      </c>
      <c r="Q17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8" s="29"/>
      <c r="AC1708" s="25"/>
      <c r="AD1708" s="41"/>
      <c r="AE1708" s="41"/>
      <c r="AF1708" s="11"/>
      <c r="AH1708" s="1" t="str">
        <f>Table1[[#This Row],[html_tag]]&amp;Table1[[#This Row],[html_type]]&amp;Table1[[#This Row],[html_modifier]]</f>
        <v/>
      </c>
      <c r="AL1708" s="22" t="str">
        <f>IFERROR(_xlfn.XLOOKUP(Table1[[#This Row],[word]],Table57[English style name],Table57[Style type]),"")</f>
        <v/>
      </c>
      <c r="AM1708" s="20"/>
      <c r="AN1708" s="11"/>
      <c r="AQ1708" s="6" t="s">
        <v>2569</v>
      </c>
      <c r="AR1708" t="s">
        <v>2563</v>
      </c>
    </row>
    <row r="1709" spans="6:44">
      <c r="F17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9" s="13" t="s">
        <v>2992</v>
      </c>
      <c r="H1709" s="13" t="s">
        <v>84</v>
      </c>
      <c r="I1709" s="12" t="str">
        <f>Table1[[#This Row],[type]]</f>
        <v>object</v>
      </c>
      <c r="J1709" s="62" t="str">
        <f>Table1[[#This Row],[Column42]]&amp;IF(Table1[[#This Row],[Column13]]="","",Table1[[#This Row],[Column13]])&amp;IF(Table1[[#This Row],[mod]]="","",Table1[[#This Row],[mod]])</f>
        <v>object</v>
      </c>
      <c r="K17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09" t="s">
        <v>84</v>
      </c>
      <c r="P1709" s="6" t="s">
        <v>2570</v>
      </c>
      <c r="Q17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9" s="29"/>
      <c r="AC1709" s="25"/>
      <c r="AD1709" s="41"/>
      <c r="AE1709" s="41"/>
      <c r="AF1709" s="11"/>
      <c r="AH1709" s="1" t="str">
        <f>Table1[[#This Row],[html_tag]]&amp;Table1[[#This Row],[html_type]]&amp;Table1[[#This Row],[html_modifier]]</f>
        <v/>
      </c>
      <c r="AL1709" s="22" t="str">
        <f>IFERROR(_xlfn.XLOOKUP(Table1[[#This Row],[word]],Table57[English style name],Table57[Style type]),"")</f>
        <v/>
      </c>
      <c r="AM1709" s="20"/>
      <c r="AN1709" s="11"/>
      <c r="AQ1709" s="6" t="s">
        <v>2570</v>
      </c>
      <c r="AR1709" t="s">
        <v>2563</v>
      </c>
    </row>
    <row r="1710" spans="6:44">
      <c r="F17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0" s="13" t="s">
        <v>2992</v>
      </c>
      <c r="H1710" s="13" t="s">
        <v>84</v>
      </c>
      <c r="I1710" s="12" t="str">
        <f>Table1[[#This Row],[type]]</f>
        <v>object</v>
      </c>
      <c r="J1710" s="62" t="str">
        <f>Table1[[#This Row],[Column42]]&amp;IF(Table1[[#This Row],[Column13]]="","",Table1[[#This Row],[Column13]])&amp;IF(Table1[[#This Row],[mod]]="","",Table1[[#This Row],[mod]])</f>
        <v>object</v>
      </c>
      <c r="K17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10" t="s">
        <v>84</v>
      </c>
      <c r="P1710" s="6" t="s">
        <v>2571</v>
      </c>
      <c r="Q17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0" s="29"/>
      <c r="AC1710" s="25"/>
      <c r="AD1710" s="41"/>
      <c r="AE1710" s="41"/>
      <c r="AF1710" s="11"/>
      <c r="AH1710" s="1" t="str">
        <f>Table1[[#This Row],[html_tag]]&amp;Table1[[#This Row],[html_type]]&amp;Table1[[#This Row],[html_modifier]]</f>
        <v/>
      </c>
      <c r="AL1710" s="22" t="str">
        <f>IFERROR(_xlfn.XLOOKUP(Table1[[#This Row],[word]],Table57[English style name],Table57[Style type]),"")</f>
        <v/>
      </c>
      <c r="AM1710" s="20"/>
      <c r="AN1710" s="11"/>
      <c r="AQ1710" s="6" t="s">
        <v>2571</v>
      </c>
      <c r="AR1710" t="s">
        <v>2563</v>
      </c>
    </row>
    <row r="1711" spans="6:44">
      <c r="F17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1" s="13" t="s">
        <v>2992</v>
      </c>
      <c r="H1711" s="13" t="s">
        <v>84</v>
      </c>
      <c r="I1711" s="12" t="str">
        <f>Table1[[#This Row],[type]]</f>
        <v>object</v>
      </c>
      <c r="J1711" s="62" t="str">
        <f>Table1[[#This Row],[Column42]]&amp;IF(Table1[[#This Row],[Column13]]="","",Table1[[#This Row],[Column13]])&amp;IF(Table1[[#This Row],[mod]]="","",Table1[[#This Row],[mod]])</f>
        <v>object</v>
      </c>
      <c r="K17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11" t="s">
        <v>84</v>
      </c>
      <c r="P1711" s="6" t="s">
        <v>2572</v>
      </c>
      <c r="Q17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1" s="29"/>
      <c r="AC1711" s="25"/>
      <c r="AD1711" s="41"/>
      <c r="AE1711" s="41"/>
      <c r="AF1711" s="11"/>
      <c r="AH1711" s="1" t="str">
        <f>Table1[[#This Row],[html_tag]]&amp;Table1[[#This Row],[html_type]]&amp;Table1[[#This Row],[html_modifier]]</f>
        <v/>
      </c>
      <c r="AL1711" s="22" t="str">
        <f>IFERROR(_xlfn.XLOOKUP(Table1[[#This Row],[word]],Table57[English style name],Table57[Style type]),"")</f>
        <v/>
      </c>
      <c r="AM1711" s="20"/>
      <c r="AN1711" s="11"/>
      <c r="AQ1711" s="6" t="s">
        <v>2572</v>
      </c>
      <c r="AR1711" t="s">
        <v>2563</v>
      </c>
    </row>
    <row r="1712" spans="6:44">
      <c r="F17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2" s="13" t="s">
        <v>2992</v>
      </c>
      <c r="H1712" s="13" t="s">
        <v>84</v>
      </c>
      <c r="I1712" s="12" t="str">
        <f>Table1[[#This Row],[type]]</f>
        <v>object</v>
      </c>
      <c r="J1712" s="62" t="str">
        <f>Table1[[#This Row],[Column42]]&amp;IF(Table1[[#This Row],[Column13]]="","",Table1[[#This Row],[Column13]])&amp;IF(Table1[[#This Row],[mod]]="","",Table1[[#This Row],[mod]])</f>
        <v>object</v>
      </c>
      <c r="K17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12" t="s">
        <v>84</v>
      </c>
      <c r="P1712" s="6" t="s">
        <v>2573</v>
      </c>
      <c r="Q17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2" s="29"/>
      <c r="AC1712" s="25"/>
      <c r="AD1712" s="41"/>
      <c r="AE1712" s="41"/>
      <c r="AF1712" s="11"/>
      <c r="AH1712" s="1" t="str">
        <f>Table1[[#This Row],[html_tag]]&amp;Table1[[#This Row],[html_type]]&amp;Table1[[#This Row],[html_modifier]]</f>
        <v/>
      </c>
      <c r="AL1712" s="22" t="str">
        <f>IFERROR(_xlfn.XLOOKUP(Table1[[#This Row],[word]],Table57[English style name],Table57[Style type]),"")</f>
        <v/>
      </c>
      <c r="AM1712" s="20"/>
      <c r="AN1712" s="11"/>
      <c r="AQ1712" s="6" t="s">
        <v>2573</v>
      </c>
      <c r="AR1712" t="s">
        <v>2574</v>
      </c>
    </row>
    <row r="1713" spans="6:44">
      <c r="F17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3" s="13" t="s">
        <v>2992</v>
      </c>
      <c r="H1713" s="13" t="s">
        <v>84</v>
      </c>
      <c r="I1713" s="12" t="str">
        <f>Table1[[#This Row],[type]]</f>
        <v>object</v>
      </c>
      <c r="J1713" s="62" t="str">
        <f>Table1[[#This Row],[Column42]]&amp;IF(Table1[[#This Row],[Column13]]="","",Table1[[#This Row],[Column13]])&amp;IF(Table1[[#This Row],[mod]]="","",Table1[[#This Row],[mod]])</f>
        <v>object</v>
      </c>
      <c r="K17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13" t="s">
        <v>84</v>
      </c>
      <c r="P1713" s="6" t="s">
        <v>2575</v>
      </c>
      <c r="Q17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3" s="29"/>
      <c r="AC1713" s="25"/>
      <c r="AD1713" s="41"/>
      <c r="AE1713" s="41"/>
      <c r="AF1713" s="11"/>
      <c r="AH1713" s="1" t="str">
        <f>Table1[[#This Row],[html_tag]]&amp;Table1[[#This Row],[html_type]]&amp;Table1[[#This Row],[html_modifier]]</f>
        <v/>
      </c>
      <c r="AL1713" s="22" t="str">
        <f>IFERROR(_xlfn.XLOOKUP(Table1[[#This Row],[word]],Table57[English style name],Table57[Style type]),"")</f>
        <v/>
      </c>
      <c r="AM1713" s="20"/>
      <c r="AN1713" s="11"/>
      <c r="AQ1713" s="6" t="s">
        <v>2575</v>
      </c>
      <c r="AR1713" t="s">
        <v>2574</v>
      </c>
    </row>
    <row r="1714" spans="6:44">
      <c r="F17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4" s="13" t="s">
        <v>2992</v>
      </c>
      <c r="H1714" s="13" t="s">
        <v>84</v>
      </c>
      <c r="I1714" s="12" t="str">
        <f>Table1[[#This Row],[type]]</f>
        <v>object</v>
      </c>
      <c r="J1714" s="62" t="str">
        <f>Table1[[#This Row],[Column42]]&amp;IF(Table1[[#This Row],[Column13]]="","",Table1[[#This Row],[Column13]])&amp;IF(Table1[[#This Row],[mod]]="","",Table1[[#This Row],[mod]])</f>
        <v>object</v>
      </c>
      <c r="K17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14" t="s">
        <v>84</v>
      </c>
      <c r="P1714" s="6" t="s">
        <v>2576</v>
      </c>
      <c r="Q17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4" s="29"/>
      <c r="AC1714" s="25"/>
      <c r="AD1714" s="41"/>
      <c r="AE1714" s="41"/>
      <c r="AF1714" s="11"/>
      <c r="AH1714" s="1" t="str">
        <f>Table1[[#This Row],[html_tag]]&amp;Table1[[#This Row],[html_type]]&amp;Table1[[#This Row],[html_modifier]]</f>
        <v/>
      </c>
      <c r="AL1714" s="22" t="str">
        <f>IFERROR(_xlfn.XLOOKUP(Table1[[#This Row],[word]],Table57[English style name],Table57[Style type]),"")</f>
        <v/>
      </c>
      <c r="AM1714" s="20"/>
      <c r="AN1714" s="11"/>
      <c r="AQ1714" s="6" t="s">
        <v>2576</v>
      </c>
      <c r="AR1714" t="s">
        <v>2574</v>
      </c>
    </row>
    <row r="1715" spans="6:44">
      <c r="F17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5" s="13" t="s">
        <v>2992</v>
      </c>
      <c r="H1715" s="13" t="s">
        <v>84</v>
      </c>
      <c r="I1715" s="12" t="str">
        <f>Table1[[#This Row],[type]]</f>
        <v>object</v>
      </c>
      <c r="J1715" s="62" t="str">
        <f>Table1[[#This Row],[Column42]]&amp;IF(Table1[[#This Row],[Column13]]="","",Table1[[#This Row],[Column13]])&amp;IF(Table1[[#This Row],[mod]]="","",Table1[[#This Row],[mod]])</f>
        <v>object</v>
      </c>
      <c r="K17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15" t="s">
        <v>84</v>
      </c>
      <c r="P1715" s="6" t="s">
        <v>2577</v>
      </c>
      <c r="Q17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5" s="29"/>
      <c r="AC1715" s="25"/>
      <c r="AD1715" s="41"/>
      <c r="AE1715" s="41"/>
      <c r="AF1715" s="11"/>
      <c r="AH1715" s="1" t="str">
        <f>Table1[[#This Row],[html_tag]]&amp;Table1[[#This Row],[html_type]]&amp;Table1[[#This Row],[html_modifier]]</f>
        <v/>
      </c>
      <c r="AL1715" s="22" t="str">
        <f>IFERROR(_xlfn.XLOOKUP(Table1[[#This Row],[word]],Table57[English style name],Table57[Style type]),"")</f>
        <v/>
      </c>
      <c r="AM1715" s="20"/>
      <c r="AN1715" s="11"/>
      <c r="AQ1715" s="6" t="s">
        <v>2577</v>
      </c>
      <c r="AR1715" t="s">
        <v>2574</v>
      </c>
    </row>
    <row r="1716" spans="6:44">
      <c r="F17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6" s="13" t="s">
        <v>2992</v>
      </c>
      <c r="H1716" s="13" t="s">
        <v>84</v>
      </c>
      <c r="I1716" s="12" t="str">
        <f>Table1[[#This Row],[type]]</f>
        <v>object</v>
      </c>
      <c r="J1716" s="62" t="str">
        <f>Table1[[#This Row],[Column42]]&amp;IF(Table1[[#This Row],[Column13]]="","",Table1[[#This Row],[Column13]])&amp;IF(Table1[[#This Row],[mod]]="","",Table1[[#This Row],[mod]])</f>
        <v>object</v>
      </c>
      <c r="K17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16" t="s">
        <v>84</v>
      </c>
      <c r="P1716" s="6" t="s">
        <v>2578</v>
      </c>
      <c r="Q17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6" s="29"/>
      <c r="AC1716" s="25"/>
      <c r="AD1716" s="41"/>
      <c r="AE1716" s="41"/>
      <c r="AF1716" s="11"/>
      <c r="AH1716" s="1" t="str">
        <f>Table1[[#This Row],[html_tag]]&amp;Table1[[#This Row],[html_type]]&amp;Table1[[#This Row],[html_modifier]]</f>
        <v/>
      </c>
      <c r="AL1716" s="22" t="str">
        <f>IFERROR(_xlfn.XLOOKUP(Table1[[#This Row],[word]],Table57[English style name],Table57[Style type]),"")</f>
        <v/>
      </c>
      <c r="AM1716" s="20"/>
      <c r="AN1716" s="11"/>
      <c r="AQ1716" s="6" t="s">
        <v>2578</v>
      </c>
      <c r="AR1716" t="s">
        <v>2574</v>
      </c>
    </row>
    <row r="1717" spans="6:44">
      <c r="F17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7" s="13" t="s">
        <v>2992</v>
      </c>
      <c r="H1717" s="13" t="s">
        <v>84</v>
      </c>
      <c r="I1717" s="12" t="str">
        <f>Table1[[#This Row],[type]]</f>
        <v>object</v>
      </c>
      <c r="J1717" s="62" t="str">
        <f>Table1[[#This Row],[Column42]]&amp;IF(Table1[[#This Row],[Column13]]="","",Table1[[#This Row],[Column13]])&amp;IF(Table1[[#This Row],[mod]]="","",Table1[[#This Row],[mod]])</f>
        <v>object</v>
      </c>
      <c r="K17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17" t="s">
        <v>84</v>
      </c>
      <c r="P1717" s="6" t="s">
        <v>2579</v>
      </c>
      <c r="Q17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7" s="29"/>
      <c r="AC1717" s="25"/>
      <c r="AD1717" s="41"/>
      <c r="AE1717" s="41"/>
      <c r="AF1717" s="11"/>
      <c r="AH1717" s="1" t="str">
        <f>Table1[[#This Row],[html_tag]]&amp;Table1[[#This Row],[html_type]]&amp;Table1[[#This Row],[html_modifier]]</f>
        <v/>
      </c>
      <c r="AL1717" s="22" t="str">
        <f>IFERROR(_xlfn.XLOOKUP(Table1[[#This Row],[word]],Table57[English style name],Table57[Style type]),"")</f>
        <v/>
      </c>
      <c r="AM1717" s="20"/>
      <c r="AN1717" s="11"/>
      <c r="AQ1717" s="6" t="s">
        <v>2579</v>
      </c>
      <c r="AR1717" t="s">
        <v>2574</v>
      </c>
    </row>
    <row r="1718" spans="6:44">
      <c r="F17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8" s="13" t="s">
        <v>2992</v>
      </c>
      <c r="H1718" s="13" t="s">
        <v>84</v>
      </c>
      <c r="I1718" s="12" t="str">
        <f>Table1[[#This Row],[type]]</f>
        <v>object</v>
      </c>
      <c r="J1718" s="62" t="str">
        <f>Table1[[#This Row],[Column42]]&amp;IF(Table1[[#This Row],[Column13]]="","",Table1[[#This Row],[Column13]])&amp;IF(Table1[[#This Row],[mod]]="","",Table1[[#This Row],[mod]])</f>
        <v>object</v>
      </c>
      <c r="K17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18" t="s">
        <v>84</v>
      </c>
      <c r="P1718" s="6" t="s">
        <v>2580</v>
      </c>
      <c r="Q17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8" s="29"/>
      <c r="AC1718" s="25"/>
      <c r="AD1718" s="41"/>
      <c r="AE1718" s="41"/>
      <c r="AF1718" s="11"/>
      <c r="AH1718" s="1" t="str">
        <f>Table1[[#This Row],[html_tag]]&amp;Table1[[#This Row],[html_type]]&amp;Table1[[#This Row],[html_modifier]]</f>
        <v/>
      </c>
      <c r="AL1718" s="22" t="str">
        <f>IFERROR(_xlfn.XLOOKUP(Table1[[#This Row],[word]],Table57[English style name],Table57[Style type]),"")</f>
        <v/>
      </c>
      <c r="AM1718" s="20"/>
      <c r="AN1718" s="11"/>
      <c r="AQ1718" s="6" t="s">
        <v>2580</v>
      </c>
      <c r="AR1718" t="s">
        <v>2574</v>
      </c>
    </row>
    <row r="1719" spans="6:44">
      <c r="F17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9" s="13" t="s">
        <v>2992</v>
      </c>
      <c r="H1719" s="13" t="s">
        <v>84</v>
      </c>
      <c r="I1719" s="12" t="str">
        <f>Table1[[#This Row],[type]]</f>
        <v>object</v>
      </c>
      <c r="J1719" s="62" t="str">
        <f>Table1[[#This Row],[Column42]]&amp;IF(Table1[[#This Row],[Column13]]="","",Table1[[#This Row],[Column13]])&amp;IF(Table1[[#This Row],[mod]]="","",Table1[[#This Row],[mod]])</f>
        <v>object</v>
      </c>
      <c r="K17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19" t="s">
        <v>84</v>
      </c>
      <c r="P1719" s="6" t="s">
        <v>2581</v>
      </c>
      <c r="Q17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9" s="29"/>
      <c r="AC1719" s="25"/>
      <c r="AD1719" s="41"/>
      <c r="AE1719" s="41"/>
      <c r="AF1719" s="11"/>
      <c r="AH1719" s="1" t="str">
        <f>Table1[[#This Row],[html_tag]]&amp;Table1[[#This Row],[html_type]]&amp;Table1[[#This Row],[html_modifier]]</f>
        <v/>
      </c>
      <c r="AL1719" s="22" t="str">
        <f>IFERROR(_xlfn.XLOOKUP(Table1[[#This Row],[word]],Table57[English style name],Table57[Style type]),"")</f>
        <v/>
      </c>
      <c r="AM1719" s="20"/>
      <c r="AN1719" s="11"/>
      <c r="AQ1719" s="6" t="s">
        <v>2581</v>
      </c>
      <c r="AR1719" t="s">
        <v>2574</v>
      </c>
    </row>
    <row r="1720" spans="6:44">
      <c r="F17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20" s="13" t="s">
        <v>2992</v>
      </c>
      <c r="H1720" s="13" t="s">
        <v>84</v>
      </c>
      <c r="I1720" s="12" t="str">
        <f>Table1[[#This Row],[type]]</f>
        <v>object</v>
      </c>
      <c r="J1720" s="62" t="str">
        <f>Table1[[#This Row],[Column42]]&amp;IF(Table1[[#This Row],[Column13]]="","",Table1[[#This Row],[Column13]])&amp;IF(Table1[[#This Row],[mod]]="","",Table1[[#This Row],[mod]])</f>
        <v>object</v>
      </c>
      <c r="K17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20" t="s">
        <v>84</v>
      </c>
      <c r="P1720" s="6" t="s">
        <v>2582</v>
      </c>
      <c r="Q17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0" s="29"/>
      <c r="AC1720" s="25"/>
      <c r="AD1720" s="41"/>
      <c r="AE1720" s="41"/>
      <c r="AF1720" s="11"/>
      <c r="AH1720" s="1" t="str">
        <f>Table1[[#This Row],[html_tag]]&amp;Table1[[#This Row],[html_type]]&amp;Table1[[#This Row],[html_modifier]]</f>
        <v/>
      </c>
      <c r="AL1720" s="22" t="str">
        <f>IFERROR(_xlfn.XLOOKUP(Table1[[#This Row],[word]],Table57[English style name],Table57[Style type]),"")</f>
        <v/>
      </c>
      <c r="AM1720" s="20"/>
      <c r="AN1720" s="11"/>
      <c r="AQ1720" s="6" t="s">
        <v>2582</v>
      </c>
      <c r="AR1720" t="s">
        <v>2574</v>
      </c>
    </row>
    <row r="1721" spans="6:44">
      <c r="F17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21" s="13" t="s">
        <v>2992</v>
      </c>
      <c r="H1721" s="13" t="s">
        <v>84</v>
      </c>
      <c r="I1721" s="12" t="str">
        <f>Table1[[#This Row],[type]]</f>
        <v>object</v>
      </c>
      <c r="J1721" s="62" t="str">
        <f>Table1[[#This Row],[Column42]]&amp;IF(Table1[[#This Row],[Column13]]="","",Table1[[#This Row],[Column13]])&amp;IF(Table1[[#This Row],[mod]]="","",Table1[[#This Row],[mod]])</f>
        <v>object</v>
      </c>
      <c r="K17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21" t="s">
        <v>84</v>
      </c>
      <c r="P1721" s="6" t="s">
        <v>2583</v>
      </c>
      <c r="Q17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1" s="29"/>
      <c r="AC1721" s="25"/>
      <c r="AD1721" s="41"/>
      <c r="AE1721" s="41"/>
      <c r="AF1721" s="11"/>
      <c r="AH1721" s="1" t="str">
        <f>Table1[[#This Row],[html_tag]]&amp;Table1[[#This Row],[html_type]]&amp;Table1[[#This Row],[html_modifier]]</f>
        <v/>
      </c>
      <c r="AL1721" s="22" t="str">
        <f>IFERROR(_xlfn.XLOOKUP(Table1[[#This Row],[word]],Table57[English style name],Table57[Style type]),"")</f>
        <v/>
      </c>
      <c r="AM1721" s="20"/>
      <c r="AN1721" s="11"/>
      <c r="AQ1721" s="6" t="s">
        <v>2583</v>
      </c>
      <c r="AR1721" t="s">
        <v>2574</v>
      </c>
    </row>
    <row r="1722" spans="6:44">
      <c r="F17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22" s="13" t="s">
        <v>461</v>
      </c>
      <c r="H1722" s="13" t="s">
        <v>2991</v>
      </c>
      <c r="I1722" s="12" t="str">
        <f>Table1[[#This Row],[type]]</f>
        <v>object</v>
      </c>
      <c r="J1722" s="62" t="str">
        <f>Table1[[#This Row],[Column42]]&amp;IF(Table1[[#This Row],[Column13]]="","",Table1[[#This Row],[Column13]])&amp;IF(Table1[[#This Row],[mod]]="","",Table1[[#This Row],[mod]])</f>
        <v>object</v>
      </c>
      <c r="K17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22" t="s">
        <v>84</v>
      </c>
      <c r="P1722" s="6" t="s">
        <v>2146</v>
      </c>
      <c r="Q17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2" s="29"/>
      <c r="AC1722" s="25"/>
      <c r="AD1722" s="41"/>
      <c r="AE1722" s="41"/>
      <c r="AF1722" s="11"/>
      <c r="AH1722" s="1" t="str">
        <f>Table1[[#This Row],[html_tag]]&amp;Table1[[#This Row],[html_type]]&amp;Table1[[#This Row],[html_modifier]]</f>
        <v/>
      </c>
      <c r="AL1722" s="22" t="str">
        <f>IFERROR(_xlfn.XLOOKUP(Table1[[#This Row],[word]],Table57[English style name],Table57[Style type]),"")</f>
        <v/>
      </c>
      <c r="AM1722" s="20"/>
      <c r="AN1722" s="11"/>
      <c r="AQ1722" s="6" t="s">
        <v>2146</v>
      </c>
      <c r="AR1722" t="s">
        <v>2147</v>
      </c>
    </row>
    <row r="1723" spans="6:44">
      <c r="F17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23" s="13" t="s">
        <v>461</v>
      </c>
      <c r="H1723" s="13" t="s">
        <v>2991</v>
      </c>
      <c r="I1723" s="12" t="str">
        <f>Table1[[#This Row],[type]]</f>
        <v>object</v>
      </c>
      <c r="J1723" s="62" t="str">
        <f>Table1[[#This Row],[Column42]]&amp;IF(Table1[[#This Row],[Column13]]="","",Table1[[#This Row],[Column13]])&amp;IF(Table1[[#This Row],[mod]]="","",Table1[[#This Row],[mod]])</f>
        <v>object</v>
      </c>
      <c r="K17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23" t="s">
        <v>84</v>
      </c>
      <c r="P1723" s="6" t="s">
        <v>2148</v>
      </c>
      <c r="Q17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3" s="29"/>
      <c r="AC1723" s="25"/>
      <c r="AD1723" s="41"/>
      <c r="AE1723" s="41"/>
      <c r="AF1723" s="11"/>
      <c r="AH1723" s="1" t="str">
        <f>Table1[[#This Row],[html_tag]]&amp;Table1[[#This Row],[html_type]]&amp;Table1[[#This Row],[html_modifier]]</f>
        <v/>
      </c>
      <c r="AL1723" s="22" t="str">
        <f>IFERROR(_xlfn.XLOOKUP(Table1[[#This Row],[word]],Table57[English style name],Table57[Style type]),"")</f>
        <v/>
      </c>
      <c r="AM1723" s="20"/>
      <c r="AN1723" s="11"/>
      <c r="AQ1723" s="6" t="s">
        <v>2148</v>
      </c>
      <c r="AR1723" t="s">
        <v>2147</v>
      </c>
    </row>
    <row r="1724" spans="6:44">
      <c r="F17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24" s="13" t="s">
        <v>461</v>
      </c>
      <c r="H1724" s="13" t="s">
        <v>2991</v>
      </c>
      <c r="I1724" s="12" t="str">
        <f>Table1[[#This Row],[type]]</f>
        <v>object</v>
      </c>
      <c r="J1724" s="62" t="str">
        <f>Table1[[#This Row],[Column42]]&amp;IF(Table1[[#This Row],[Column13]]="","",Table1[[#This Row],[Column13]])&amp;IF(Table1[[#This Row],[mod]]="","",Table1[[#This Row],[mod]])</f>
        <v>object</v>
      </c>
      <c r="K17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24" t="s">
        <v>84</v>
      </c>
      <c r="P1724" s="6" t="s">
        <v>2149</v>
      </c>
      <c r="Q17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4" s="29"/>
      <c r="AC1724" s="25"/>
      <c r="AD1724" s="41"/>
      <c r="AE1724" s="41"/>
      <c r="AF1724" s="11"/>
      <c r="AH1724" s="1" t="str">
        <f>Table1[[#This Row],[html_tag]]&amp;Table1[[#This Row],[html_type]]&amp;Table1[[#This Row],[html_modifier]]</f>
        <v/>
      </c>
      <c r="AL1724" s="22" t="str">
        <f>IFERROR(_xlfn.XLOOKUP(Table1[[#This Row],[word]],Table57[English style name],Table57[Style type]),"")</f>
        <v/>
      </c>
      <c r="AM1724" s="20"/>
      <c r="AN1724" s="11"/>
      <c r="AQ1724" s="6" t="s">
        <v>2149</v>
      </c>
      <c r="AR1724" t="s">
        <v>2147</v>
      </c>
    </row>
    <row r="1725" spans="6:44">
      <c r="F17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25" s="13" t="s">
        <v>461</v>
      </c>
      <c r="H1725" s="13" t="s">
        <v>2991</v>
      </c>
      <c r="I1725" s="12" t="str">
        <f>Table1[[#This Row],[type]]</f>
        <v>object</v>
      </c>
      <c r="J1725" s="62" t="str">
        <f>Table1[[#This Row],[Column42]]&amp;IF(Table1[[#This Row],[Column13]]="","",Table1[[#This Row],[Column13]])&amp;IF(Table1[[#This Row],[mod]]="","",Table1[[#This Row],[mod]])</f>
        <v>object</v>
      </c>
      <c r="K17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25" t="s">
        <v>84</v>
      </c>
      <c r="P1725" s="6" t="s">
        <v>2150</v>
      </c>
      <c r="Q17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5" s="29"/>
      <c r="AC1725" s="25"/>
      <c r="AD1725" s="41"/>
      <c r="AE1725" s="41"/>
      <c r="AF1725" s="11"/>
      <c r="AH1725" s="1" t="str">
        <f>Table1[[#This Row],[html_tag]]&amp;Table1[[#This Row],[html_type]]&amp;Table1[[#This Row],[html_modifier]]</f>
        <v/>
      </c>
      <c r="AL1725" s="22" t="str">
        <f>IFERROR(_xlfn.XLOOKUP(Table1[[#This Row],[word]],Table57[English style name],Table57[Style type]),"")</f>
        <v/>
      </c>
      <c r="AM1725" s="20"/>
      <c r="AN1725" s="11"/>
      <c r="AQ1725" s="6" t="s">
        <v>2150</v>
      </c>
      <c r="AR1725" t="s">
        <v>2147</v>
      </c>
    </row>
    <row r="1726" spans="6:44">
      <c r="F17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26" s="13" t="s">
        <v>461</v>
      </c>
      <c r="H1726" s="13" t="s">
        <v>2991</v>
      </c>
      <c r="I1726" s="12" t="str">
        <f>Table1[[#This Row],[type]]</f>
        <v>object</v>
      </c>
      <c r="J1726" s="62" t="str">
        <f>Table1[[#This Row],[Column42]]&amp;IF(Table1[[#This Row],[Column13]]="","",Table1[[#This Row],[Column13]])&amp;IF(Table1[[#This Row],[mod]]="","",Table1[[#This Row],[mod]])</f>
        <v>object</v>
      </c>
      <c r="K17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26" t="s">
        <v>84</v>
      </c>
      <c r="P1726" s="6" t="s">
        <v>2151</v>
      </c>
      <c r="Q17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6" s="29"/>
      <c r="AC1726" s="25"/>
      <c r="AD1726" s="41"/>
      <c r="AE1726" s="41"/>
      <c r="AF1726" s="11"/>
      <c r="AH1726" s="1" t="str">
        <f>Table1[[#This Row],[html_tag]]&amp;Table1[[#This Row],[html_type]]&amp;Table1[[#This Row],[html_modifier]]</f>
        <v/>
      </c>
      <c r="AL1726" s="22" t="str">
        <f>IFERROR(_xlfn.XLOOKUP(Table1[[#This Row],[word]],Table57[English style name],Table57[Style type]),"")</f>
        <v/>
      </c>
      <c r="AM1726" s="20"/>
      <c r="AN1726" s="11"/>
      <c r="AQ1726" s="6" t="s">
        <v>2151</v>
      </c>
      <c r="AR1726" t="s">
        <v>2147</v>
      </c>
    </row>
    <row r="1727" spans="6:44">
      <c r="F17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27" s="13" t="s">
        <v>2992</v>
      </c>
      <c r="H1727" s="13" t="s">
        <v>84</v>
      </c>
      <c r="I1727" s="12" t="str">
        <f>Table1[[#This Row],[type]]</f>
        <v>object</v>
      </c>
      <c r="J1727" s="62" t="str">
        <f>Table1[[#This Row],[Column42]]&amp;IF(Table1[[#This Row],[Column13]]="","",Table1[[#This Row],[Column13]])&amp;IF(Table1[[#This Row],[mod]]="","",Table1[[#This Row],[mod]])</f>
        <v>object__bottom</v>
      </c>
      <c r="K17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object__bottom</v>
      </c>
      <c r="L1727" t="s">
        <v>84</v>
      </c>
      <c r="N1727" t="s">
        <v>3186</v>
      </c>
      <c r="P1727" s="6" t="s">
        <v>2513</v>
      </c>
      <c r="Q17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7" s="29"/>
      <c r="AC1727" s="25"/>
      <c r="AD1727" s="41"/>
      <c r="AE1727" s="41"/>
      <c r="AF1727" s="11"/>
      <c r="AH1727" s="1" t="str">
        <f>Table1[[#This Row],[html_tag]]&amp;Table1[[#This Row],[html_type]]&amp;Table1[[#This Row],[html_modifier]]</f>
        <v/>
      </c>
      <c r="AL1727" s="22" t="str">
        <f>IFERROR(_xlfn.XLOOKUP(Table1[[#This Row],[word]],Table57[English style name],Table57[Style type]),"")</f>
        <v/>
      </c>
      <c r="AM1727" s="20"/>
      <c r="AN1727" s="11"/>
      <c r="AQ1727" s="6" t="s">
        <v>2513</v>
      </c>
      <c r="AR1727" t="s">
        <v>2509</v>
      </c>
    </row>
    <row r="1728" spans="6:44">
      <c r="F17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28" s="13" t="s">
        <v>461</v>
      </c>
      <c r="H1728" s="13" t="s">
        <v>2991</v>
      </c>
      <c r="I1728" s="12" t="str">
        <f>Table1[[#This Row],[type]]</f>
        <v>object</v>
      </c>
      <c r="J1728" s="62" t="str">
        <f>Table1[[#This Row],[Column42]]&amp;IF(Table1[[#This Row],[Column13]]="","",Table1[[#This Row],[Column13]])&amp;IF(Table1[[#This Row],[mod]]="","",Table1[[#This Row],[mod]])</f>
        <v>object__bottom</v>
      </c>
      <c r="K17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object__bottom</v>
      </c>
      <c r="L1728" t="s">
        <v>84</v>
      </c>
      <c r="N1728" t="s">
        <v>3186</v>
      </c>
      <c r="P1728" s="6" t="s">
        <v>2152</v>
      </c>
      <c r="Q17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8" s="29"/>
      <c r="AC1728" s="25"/>
      <c r="AD1728" s="41"/>
      <c r="AE1728" s="41"/>
      <c r="AF1728" s="11"/>
      <c r="AH1728" s="1" t="str">
        <f>Table1[[#This Row],[html_tag]]&amp;Table1[[#This Row],[html_type]]&amp;Table1[[#This Row],[html_modifier]]</f>
        <v/>
      </c>
      <c r="AL1728" s="22" t="str">
        <f>IFERROR(_xlfn.XLOOKUP(Table1[[#This Row],[word]],Table57[English style name],Table57[Style type]),"")</f>
        <v/>
      </c>
      <c r="AM1728" s="20"/>
      <c r="AN1728" s="11"/>
      <c r="AQ1728" s="6" t="s">
        <v>2152</v>
      </c>
      <c r="AR1728" t="s">
        <v>2147</v>
      </c>
    </row>
    <row r="1729" spans="6:44">
      <c r="F17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29" s="13" t="s">
        <v>2992</v>
      </c>
      <c r="H1729" s="13" t="s">
        <v>84</v>
      </c>
      <c r="I1729" s="12" t="str">
        <f>Table1[[#This Row],[type]]</f>
        <v>object</v>
      </c>
      <c r="J1729" s="62" t="str">
        <f>Table1[[#This Row],[Column42]]&amp;IF(Table1[[#This Row],[Column13]]="","",Table1[[#This Row],[Column13]])&amp;IF(Table1[[#This Row],[mod]]="","",Table1[[#This Row],[mod]])</f>
        <v>object__bottom_left</v>
      </c>
      <c r="K17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object__bottom_left</v>
      </c>
      <c r="L1729" t="s">
        <v>84</v>
      </c>
      <c r="N1729" s="3" t="s">
        <v>3188</v>
      </c>
      <c r="P1729" s="6" t="s">
        <v>2515</v>
      </c>
      <c r="Q17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9" s="29"/>
      <c r="AC1729" s="25"/>
      <c r="AD1729" s="41"/>
      <c r="AE1729" s="41"/>
      <c r="AF1729" s="11"/>
      <c r="AH1729" s="1" t="str">
        <f>Table1[[#This Row],[html_tag]]&amp;Table1[[#This Row],[html_type]]&amp;Table1[[#This Row],[html_modifier]]</f>
        <v/>
      </c>
      <c r="AL1729" s="22" t="str">
        <f>IFERROR(_xlfn.XLOOKUP(Table1[[#This Row],[word]],Table57[English style name],Table57[Style type]),"")</f>
        <v/>
      </c>
      <c r="AM1729" s="20"/>
      <c r="AN1729" s="11"/>
      <c r="AQ1729" s="6" t="s">
        <v>2515</v>
      </c>
      <c r="AR1729" t="s">
        <v>2509</v>
      </c>
    </row>
    <row r="1730" spans="6:44">
      <c r="F17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30" s="13" t="s">
        <v>2992</v>
      </c>
      <c r="H1730" s="13" t="s">
        <v>84</v>
      </c>
      <c r="I1730" s="12" t="str">
        <f>Table1[[#This Row],[type]]</f>
        <v>object</v>
      </c>
      <c r="J1730" s="62" t="str">
        <f>Table1[[#This Row],[Column42]]&amp;IF(Table1[[#This Row],[Column13]]="","",Table1[[#This Row],[Column13]])&amp;IF(Table1[[#This Row],[mod]]="","",Table1[[#This Row],[mod]])</f>
        <v>object__bottom_right</v>
      </c>
      <c r="K17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object__bottom_right</v>
      </c>
      <c r="L1730" t="s">
        <v>84</v>
      </c>
      <c r="N1730" t="s">
        <v>3189</v>
      </c>
      <c r="P1730" s="6" t="s">
        <v>2514</v>
      </c>
      <c r="Q17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30" s="29"/>
      <c r="AC1730" s="25"/>
      <c r="AD1730" s="41"/>
      <c r="AE1730" s="41"/>
      <c r="AF1730" s="11"/>
      <c r="AH1730" s="1" t="str">
        <f>Table1[[#This Row],[html_tag]]&amp;Table1[[#This Row],[html_type]]&amp;Table1[[#This Row],[html_modifier]]</f>
        <v/>
      </c>
      <c r="AL1730" s="22" t="str">
        <f>IFERROR(_xlfn.XLOOKUP(Table1[[#This Row],[word]],Table57[English style name],Table57[Style type]),"")</f>
        <v/>
      </c>
      <c r="AM1730" s="20"/>
      <c r="AN1730" s="11"/>
      <c r="AQ1730" s="6" t="s">
        <v>2514</v>
      </c>
      <c r="AR1730" t="s">
        <v>2509</v>
      </c>
    </row>
    <row r="1731" spans="6:44">
      <c r="F17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31" s="13" t="s">
        <v>461</v>
      </c>
      <c r="H1731" s="13" t="s">
        <v>2991</v>
      </c>
      <c r="I1731" s="12" t="str">
        <f>Table1[[#This Row],[type]]</f>
        <v>object</v>
      </c>
      <c r="J1731" s="62" t="str">
        <f>Table1[[#This Row],[Column42]]&amp;IF(Table1[[#This Row],[Column13]]="","",Table1[[#This Row],[Column13]])&amp;IF(Table1[[#This Row],[mod]]="","",Table1[[#This Row],[mod]])</f>
        <v>object__center</v>
      </c>
      <c r="K17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object__center</v>
      </c>
      <c r="L1731" t="s">
        <v>84</v>
      </c>
      <c r="N1731" t="s">
        <v>425</v>
      </c>
      <c r="P1731" s="6" t="s">
        <v>2153</v>
      </c>
      <c r="Q17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31" s="29"/>
      <c r="AC1731" s="25"/>
      <c r="AD1731" s="41"/>
      <c r="AE1731" s="41"/>
      <c r="AF1731" s="11"/>
      <c r="AH1731" s="1" t="str">
        <f>Table1[[#This Row],[html_tag]]&amp;Table1[[#This Row],[html_type]]&amp;Table1[[#This Row],[html_modifier]]</f>
        <v/>
      </c>
      <c r="AL1731" s="22" t="str">
        <f>IFERROR(_xlfn.XLOOKUP(Table1[[#This Row],[word]],Table57[English style name],Table57[Style type]),"")</f>
        <v/>
      </c>
      <c r="AM1731" s="20"/>
      <c r="AN1731" s="11"/>
      <c r="AQ1731" s="6" t="s">
        <v>2153</v>
      </c>
      <c r="AR1731" t="s">
        <v>2147</v>
      </c>
    </row>
    <row r="1732" spans="6:44">
      <c r="F17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2" s="13"/>
      <c r="H1732" s="13"/>
      <c r="I1732" s="12" t="str">
        <f>Table1[[#This Row],[type]]</f>
        <v>object</v>
      </c>
      <c r="J1732" s="62" t="str">
        <f>Table1[[#This Row],[Column42]]&amp;IF(Table1[[#This Row],[Column13]]="","",Table1[[#This Row],[Column13]])&amp;IF(Table1[[#This Row],[mod]]="","",Table1[[#This Row],[mod]])</f>
        <v>object__color</v>
      </c>
      <c r="K17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32" t="s">
        <v>84</v>
      </c>
      <c r="M1732" t="s">
        <v>3083</v>
      </c>
      <c r="Q17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32" s="29"/>
      <c r="AC1732" s="25" t="s">
        <v>3837</v>
      </c>
      <c r="AD1732" s="41"/>
      <c r="AE1732" s="41"/>
      <c r="AF1732" s="11" t="s">
        <v>166</v>
      </c>
      <c r="AH1732" s="7" t="str">
        <f>Table1[[#This Row],[html_tag]]&amp;Table1[[#This Row],[html_type]]&amp;Table1[[#This Row],[html_modifier]]</f>
        <v/>
      </c>
      <c r="AL1732" s="23" t="str">
        <f>IFERROR(_xlfn.XLOOKUP(Table1[[#This Row],[word]],Table57[English style name],Table57[Style type]),"")</f>
        <v/>
      </c>
      <c r="AM1732" s="21"/>
      <c r="AN1732" s="11"/>
    </row>
    <row r="1733" spans="6:44">
      <c r="F17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3" s="13"/>
      <c r="H1733" s="13"/>
      <c r="I1733" s="12" t="str">
        <f>Table1[[#This Row],[type]]</f>
        <v>object</v>
      </c>
      <c r="J1733" s="62" t="str">
        <f>Table1[[#This Row],[Column42]]&amp;IF(Table1[[#This Row],[Column13]]="","",Table1[[#This Row],[Column13]])&amp;IF(Table1[[#This Row],[mod]]="","",Table1[[#This Row],[mod]])</f>
        <v>object__color--danger</v>
      </c>
      <c r="K17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33" t="s">
        <v>84</v>
      </c>
      <c r="M1733" t="s">
        <v>3083</v>
      </c>
      <c r="Q17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733" t="s">
        <v>3163</v>
      </c>
      <c r="AB1733" s="29"/>
      <c r="AC1733" s="25" t="s">
        <v>3838</v>
      </c>
      <c r="AD1733" s="41"/>
      <c r="AE1733" s="41"/>
      <c r="AF1733" s="11" t="s">
        <v>166</v>
      </c>
      <c r="AH1733" s="7" t="str">
        <f>Table1[[#This Row],[html_tag]]&amp;Table1[[#This Row],[html_type]]&amp;Table1[[#This Row],[html_modifier]]</f>
        <v/>
      </c>
      <c r="AL1733" s="23" t="str">
        <f>IFERROR(_xlfn.XLOOKUP(Table1[[#This Row],[word]],Table57[English style name],Table57[Style type]),"")</f>
        <v/>
      </c>
      <c r="AM1733" s="21"/>
      <c r="AN1733" s="11"/>
    </row>
    <row r="1734" spans="6:44">
      <c r="F17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4" s="13"/>
      <c r="H1734" s="13"/>
      <c r="I1734" s="12" t="str">
        <f>Table1[[#This Row],[type]]</f>
        <v>object</v>
      </c>
      <c r="J1734" s="62" t="str">
        <f>Table1[[#This Row],[Column42]]&amp;IF(Table1[[#This Row],[Column13]]="","",Table1[[#This Row],[Column13]])&amp;IF(Table1[[#This Row],[mod]]="","",Table1[[#This Row],[mod]])</f>
        <v>object__color--dark</v>
      </c>
      <c r="K17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34" t="s">
        <v>84</v>
      </c>
      <c r="M1734" t="s">
        <v>3083</v>
      </c>
      <c r="Q17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734" t="s">
        <v>3501</v>
      </c>
      <c r="AB1734" s="29"/>
      <c r="AC1734" s="25" t="s">
        <v>3839</v>
      </c>
      <c r="AD1734" s="41"/>
      <c r="AE1734" s="41"/>
      <c r="AF1734" s="11" t="s">
        <v>166</v>
      </c>
      <c r="AH1734" s="7" t="str">
        <f>Table1[[#This Row],[html_tag]]&amp;Table1[[#This Row],[html_type]]&amp;Table1[[#This Row],[html_modifier]]</f>
        <v/>
      </c>
      <c r="AL1734" s="23" t="str">
        <f>IFERROR(_xlfn.XLOOKUP(Table1[[#This Row],[word]],Table57[English style name],Table57[Style type]),"")</f>
        <v/>
      </c>
      <c r="AM1734" s="21"/>
      <c r="AN1734" s="11"/>
    </row>
    <row r="1735" spans="6:44">
      <c r="F17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5" s="13"/>
      <c r="H1735" s="13"/>
      <c r="I1735" s="12" t="str">
        <f>Table1[[#This Row],[type]]</f>
        <v>object</v>
      </c>
      <c r="J1735" s="62" t="str">
        <f>Table1[[#This Row],[Column42]]&amp;IF(Table1[[#This Row],[Column13]]="","",Table1[[#This Row],[Column13]])&amp;IF(Table1[[#This Row],[mod]]="","",Table1[[#This Row],[mod]])</f>
        <v>object__color--gradient</v>
      </c>
      <c r="K17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35" t="s">
        <v>84</v>
      </c>
      <c r="M1735" t="s">
        <v>3083</v>
      </c>
      <c r="Q17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--gradient</v>
      </c>
      <c r="W1735" t="s">
        <v>3131</v>
      </c>
      <c r="AB1735" s="29"/>
      <c r="AC1735" s="25" t="s">
        <v>3840</v>
      </c>
      <c r="AD1735" s="41"/>
      <c r="AE1735" s="41"/>
      <c r="AF1735" s="11" t="s">
        <v>166</v>
      </c>
      <c r="AH1735" s="7" t="str">
        <f>Table1[[#This Row],[html_tag]]&amp;Table1[[#This Row],[html_type]]&amp;Table1[[#This Row],[html_modifier]]</f>
        <v/>
      </c>
      <c r="AL1735" s="23" t="str">
        <f>IFERROR(_xlfn.XLOOKUP(Table1[[#This Row],[word]],Table57[English style name],Table57[Style type]),"")</f>
        <v/>
      </c>
      <c r="AM1735" s="21"/>
      <c r="AN1735" s="11"/>
    </row>
    <row r="1736" spans="6:44">
      <c r="F17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6" s="13"/>
      <c r="H1736" s="13"/>
      <c r="I1736" s="12" t="str">
        <f>Table1[[#This Row],[type]]</f>
        <v>object</v>
      </c>
      <c r="J1736" s="62" t="str">
        <f>Table1[[#This Row],[Column42]]&amp;IF(Table1[[#This Row],[Column13]]="","",Table1[[#This Row],[Column13]])&amp;IF(Table1[[#This Row],[mod]]="","",Table1[[#This Row],[mod]])</f>
        <v>object__color--info</v>
      </c>
      <c r="K17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36" t="s">
        <v>84</v>
      </c>
      <c r="M1736" t="s">
        <v>3083</v>
      </c>
      <c r="Q17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736" t="s">
        <v>3119</v>
      </c>
      <c r="AB1736" s="29" t="s">
        <v>3991</v>
      </c>
      <c r="AC1736" s="25" t="s">
        <v>3841</v>
      </c>
      <c r="AD1736" s="41"/>
      <c r="AE1736" s="41"/>
      <c r="AF1736" s="11" t="s">
        <v>166</v>
      </c>
      <c r="AH1736" s="7" t="str">
        <f>Table1[[#This Row],[html_tag]]&amp;Table1[[#This Row],[html_type]]&amp;Table1[[#This Row],[html_modifier]]</f>
        <v/>
      </c>
      <c r="AL1736" s="23" t="str">
        <f>IFERROR(_xlfn.XLOOKUP(Table1[[#This Row],[word]],Table57[English style name],Table57[Style type]),"")</f>
        <v/>
      </c>
      <c r="AM1736" s="21"/>
      <c r="AN1736" s="11"/>
    </row>
    <row r="1737" spans="6:44">
      <c r="F17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7" s="13"/>
      <c r="H1737" s="13"/>
      <c r="I1737" s="12" t="str">
        <f>Table1[[#This Row],[type]]</f>
        <v>object</v>
      </c>
      <c r="J1737" s="62" t="str">
        <f>Table1[[#This Row],[Column42]]&amp;IF(Table1[[#This Row],[Column13]]="","",Table1[[#This Row],[Column13]])&amp;IF(Table1[[#This Row],[mod]]="","",Table1[[#This Row],[mod]])</f>
        <v>object__color--light</v>
      </c>
      <c r="K17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37" t="s">
        <v>84</v>
      </c>
      <c r="M1737" t="s">
        <v>3083</v>
      </c>
      <c r="Q17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1737" t="s">
        <v>3503</v>
      </c>
      <c r="AB1737" s="29"/>
      <c r="AC1737" s="25" t="s">
        <v>3842</v>
      </c>
      <c r="AD1737" s="41"/>
      <c r="AE1737" s="41"/>
      <c r="AF1737" s="11" t="s">
        <v>166</v>
      </c>
      <c r="AH1737" s="7" t="str">
        <f>Table1[[#This Row],[html_tag]]&amp;Table1[[#This Row],[html_type]]&amp;Table1[[#This Row],[html_modifier]]</f>
        <v/>
      </c>
      <c r="AL1737" s="23" t="str">
        <f>IFERROR(_xlfn.XLOOKUP(Table1[[#This Row],[word]],Table57[English style name],Table57[Style type]),"")</f>
        <v/>
      </c>
      <c r="AM1737" s="21"/>
      <c r="AN1737" s="11"/>
    </row>
    <row r="1738" spans="6:44">
      <c r="F17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8" s="13"/>
      <c r="H1738" s="13"/>
      <c r="I1738" s="12" t="str">
        <f>Table1[[#This Row],[type]]</f>
        <v>object</v>
      </c>
      <c r="J1738" s="62" t="str">
        <f>Table1[[#This Row],[Column42]]&amp;IF(Table1[[#This Row],[Column13]]="","",Table1[[#This Row],[Column13]])&amp;IF(Table1[[#This Row],[mod]]="","",Table1[[#This Row],[mod]])</f>
        <v>object__color--primary</v>
      </c>
      <c r="K17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38" t="s">
        <v>84</v>
      </c>
      <c r="M1738" t="s">
        <v>3083</v>
      </c>
      <c r="Q17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738" t="s">
        <v>3164</v>
      </c>
      <c r="AB1738" s="29"/>
      <c r="AC1738" s="25" t="s">
        <v>3843</v>
      </c>
      <c r="AD1738" s="41"/>
      <c r="AE1738" s="41"/>
      <c r="AF1738" s="11" t="s">
        <v>166</v>
      </c>
      <c r="AH1738" s="7" t="str">
        <f>Table1[[#This Row],[html_tag]]&amp;Table1[[#This Row],[html_type]]&amp;Table1[[#This Row],[html_modifier]]</f>
        <v/>
      </c>
      <c r="AL1738" s="23" t="str">
        <f>IFERROR(_xlfn.XLOOKUP(Table1[[#This Row],[word]],Table57[English style name],Table57[Style type]),"")</f>
        <v/>
      </c>
      <c r="AM1738" s="21"/>
      <c r="AN1738" s="11"/>
    </row>
    <row r="1739" spans="6:44">
      <c r="F17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9" s="13"/>
      <c r="H1739" s="13"/>
      <c r="I1739" s="12" t="str">
        <f>Table1[[#This Row],[type]]</f>
        <v>object</v>
      </c>
      <c r="J1739" s="62" t="str">
        <f>Table1[[#This Row],[Column42]]&amp;IF(Table1[[#This Row],[Column13]]="","",Table1[[#This Row],[Column13]])&amp;IF(Table1[[#This Row],[mod]]="","",Table1[[#This Row],[mod]])</f>
        <v>object__color--secondary</v>
      </c>
      <c r="K17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39" t="s">
        <v>84</v>
      </c>
      <c r="M1739" t="s">
        <v>3083</v>
      </c>
      <c r="Q17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739" t="s">
        <v>3502</v>
      </c>
      <c r="AB1739" s="29"/>
      <c r="AC1739" s="64" t="s">
        <v>3844</v>
      </c>
      <c r="AD1739" s="41"/>
      <c r="AE1739" s="41"/>
      <c r="AF1739" s="11" t="s">
        <v>166</v>
      </c>
      <c r="AH1739" s="7" t="str">
        <f>Table1[[#This Row],[html_tag]]&amp;Table1[[#This Row],[html_type]]&amp;Table1[[#This Row],[html_modifier]]</f>
        <v/>
      </c>
      <c r="AL1739" s="23" t="str">
        <f>IFERROR(_xlfn.XLOOKUP(Table1[[#This Row],[word]],Table57[English style name],Table57[Style type]),"")</f>
        <v/>
      </c>
      <c r="AM1739" s="21"/>
      <c r="AN1739" s="11"/>
    </row>
    <row r="1740" spans="6:44">
      <c r="F17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0" s="13"/>
      <c r="H1740" s="13"/>
      <c r="I1740" s="12" t="str">
        <f>Table1[[#This Row],[type]]</f>
        <v>object</v>
      </c>
      <c r="J1740" s="62" t="str">
        <f>Table1[[#This Row],[Column42]]&amp;IF(Table1[[#This Row],[Column13]]="","",Table1[[#This Row],[Column13]])&amp;IF(Table1[[#This Row],[mod]]="","",Table1[[#This Row],[mod]])</f>
        <v>object__color--success</v>
      </c>
      <c r="K17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40" t="s">
        <v>84</v>
      </c>
      <c r="M1740" t="s">
        <v>3083</v>
      </c>
      <c r="Q17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740" t="s">
        <v>3120</v>
      </c>
      <c r="AB1740" s="29"/>
      <c r="AC1740" s="64" t="s">
        <v>3845</v>
      </c>
      <c r="AD1740" s="41"/>
      <c r="AE1740" s="41"/>
      <c r="AF1740" s="11" t="s">
        <v>166</v>
      </c>
      <c r="AH1740" s="7" t="str">
        <f>Table1[[#This Row],[html_tag]]&amp;Table1[[#This Row],[html_type]]&amp;Table1[[#This Row],[html_modifier]]</f>
        <v/>
      </c>
      <c r="AL1740" s="23" t="str">
        <f>IFERROR(_xlfn.XLOOKUP(Table1[[#This Row],[word]],Table57[English style name],Table57[Style type]),"")</f>
        <v/>
      </c>
      <c r="AM1740" s="21"/>
      <c r="AN1740" s="11"/>
    </row>
    <row r="1741" spans="6:44">
      <c r="F17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1" s="13"/>
      <c r="H1741" s="13"/>
      <c r="I1741" s="12" t="str">
        <f>Table1[[#This Row],[type]]</f>
        <v>object</v>
      </c>
      <c r="J1741" s="62" t="str">
        <f>Table1[[#This Row],[Column42]]&amp;IF(Table1[[#This Row],[Column13]]="","",Table1[[#This Row],[Column13]])&amp;IF(Table1[[#This Row],[mod]]="","",Table1[[#This Row],[mod]])</f>
        <v>object__color--transparent</v>
      </c>
      <c r="K17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41" t="s">
        <v>84</v>
      </c>
      <c r="M1741" t="s">
        <v>3083</v>
      </c>
      <c r="Q17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--transparent</v>
      </c>
      <c r="W1741" t="s">
        <v>10179</v>
      </c>
      <c r="AB1741" s="48" t="s">
        <v>3993</v>
      </c>
      <c r="AC1741" s="25" t="s">
        <v>3846</v>
      </c>
      <c r="AD1741" s="41"/>
      <c r="AE1741" s="41"/>
      <c r="AF1741" s="11" t="s">
        <v>166</v>
      </c>
      <c r="AH1741" s="7" t="str">
        <f>Table1[[#This Row],[html_tag]]&amp;Table1[[#This Row],[html_type]]&amp;Table1[[#This Row],[html_modifier]]</f>
        <v/>
      </c>
      <c r="AL1741" s="23" t="str">
        <f>IFERROR(_xlfn.XLOOKUP(Table1[[#This Row],[word]],Table57[English style name],Table57[Style type]),"")</f>
        <v/>
      </c>
      <c r="AM1741" s="21"/>
      <c r="AN1741" s="11"/>
    </row>
    <row r="1742" spans="6:44">
      <c r="F17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2" s="13"/>
      <c r="H1742" s="13"/>
      <c r="I1742" s="12" t="str">
        <f>Table1[[#This Row],[type]]</f>
        <v>object</v>
      </c>
      <c r="J1742" s="62" t="str">
        <f>Table1[[#This Row],[Column42]]&amp;IF(Table1[[#This Row],[Column13]]="","",Table1[[#This Row],[Column13]])&amp;IF(Table1[[#This Row],[mod]]="","",Table1[[#This Row],[mod]])</f>
        <v>object__color--warning</v>
      </c>
      <c r="K17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42" t="s">
        <v>84</v>
      </c>
      <c r="M1742" t="s">
        <v>3083</v>
      </c>
      <c r="Q17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742" t="s">
        <v>3121</v>
      </c>
      <c r="AB1742" s="29"/>
      <c r="AC1742" s="25" t="s">
        <v>3847</v>
      </c>
      <c r="AD1742" s="41"/>
      <c r="AE1742" s="41"/>
      <c r="AF1742" s="11" t="s">
        <v>166</v>
      </c>
      <c r="AH1742" s="7" t="str">
        <f>Table1[[#This Row],[html_tag]]&amp;Table1[[#This Row],[html_type]]&amp;Table1[[#This Row],[html_modifier]]</f>
        <v/>
      </c>
      <c r="AL1742" s="23" t="str">
        <f>IFERROR(_xlfn.XLOOKUP(Table1[[#This Row],[word]],Table57[English style name],Table57[Style type]),"")</f>
        <v/>
      </c>
      <c r="AM1742" s="21"/>
      <c r="AN1742" s="11"/>
    </row>
    <row r="1743" spans="6:44">
      <c r="F17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3" s="13"/>
      <c r="H1743" s="13"/>
      <c r="I1743" s="12" t="str">
        <f>Table1[[#This Row],[type]]</f>
        <v>object</v>
      </c>
      <c r="J1743" s="62" t="str">
        <f>Table1[[#This Row],[Column42]]&amp;IF(Table1[[#This Row],[Column13]]="","",Table1[[#This Row],[Column13]])&amp;IF(Table1[[#This Row],[mod]]="","",Table1[[#This Row],[mod]])</f>
        <v>object__color--white</v>
      </c>
      <c r="K17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743" t="s">
        <v>84</v>
      </c>
      <c r="M1743" t="s">
        <v>3083</v>
      </c>
      <c r="Q17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1743" t="s">
        <v>3591</v>
      </c>
      <c r="AB1743" s="29"/>
      <c r="AC1743" s="25" t="s">
        <v>3848</v>
      </c>
      <c r="AD1743" s="41"/>
      <c r="AE1743" s="41"/>
      <c r="AF1743" s="11" t="s">
        <v>166</v>
      </c>
      <c r="AH1743" s="7" t="str">
        <f>Table1[[#This Row],[html_tag]]&amp;Table1[[#This Row],[html_type]]&amp;Table1[[#This Row],[html_modifier]]</f>
        <v/>
      </c>
      <c r="AL1743" s="23" t="str">
        <f>IFERROR(_xlfn.XLOOKUP(Table1[[#This Row],[word]],Table57[English style name],Table57[Style type]),"")</f>
        <v/>
      </c>
      <c r="AM1743" s="21"/>
      <c r="AN1743" s="11"/>
    </row>
    <row r="1744" spans="6:44">
      <c r="F17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44" s="13" t="s">
        <v>461</v>
      </c>
      <c r="H1744" s="13" t="s">
        <v>2991</v>
      </c>
      <c r="I1744" s="12" t="str">
        <f>Table1[[#This Row],[type]]</f>
        <v>object</v>
      </c>
      <c r="J1744" s="62" t="str">
        <f>Table1[[#This Row],[Column42]]&amp;IF(Table1[[#This Row],[Column13]]="","",Table1[[#This Row],[Column13]])&amp;IF(Table1[[#This Row],[mod]]="","",Table1[[#This Row],[mod]])</f>
        <v>object__end</v>
      </c>
      <c r="K17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object__end</v>
      </c>
      <c r="L1744" t="s">
        <v>84</v>
      </c>
      <c r="N1744" t="s">
        <v>3194</v>
      </c>
      <c r="P1744" s="6" t="s">
        <v>2154</v>
      </c>
      <c r="Q17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44" s="29"/>
      <c r="AC1744" s="25"/>
      <c r="AD1744" s="41"/>
      <c r="AE1744" s="41"/>
      <c r="AF1744" s="11"/>
      <c r="AH1744" s="1" t="str">
        <f>Table1[[#This Row],[html_tag]]&amp;Table1[[#This Row],[html_type]]&amp;Table1[[#This Row],[html_modifier]]</f>
        <v/>
      </c>
      <c r="AL1744" s="22" t="str">
        <f>IFERROR(_xlfn.XLOOKUP(Table1[[#This Row],[word]],Table57[English style name],Table57[Style type]),"")</f>
        <v/>
      </c>
      <c r="AM1744" s="20"/>
      <c r="AN1744" s="11"/>
      <c r="AQ1744" s="6" t="s">
        <v>2154</v>
      </c>
      <c r="AR1744" t="s">
        <v>2147</v>
      </c>
    </row>
    <row r="1745" spans="6:40">
      <c r="F17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5" s="13"/>
      <c r="H1745" s="13"/>
      <c r="I1745" s="12" t="str">
        <f>Table1[[#This Row],[type]]</f>
        <v>object</v>
      </c>
      <c r="J1745" s="62" t="str">
        <f>Table1[[#This Row],[Column42]]&amp;IF(Table1[[#This Row],[Column13]]="","",Table1[[#This Row],[Column13]])&amp;IF(Table1[[#This Row],[mod]]="","",Table1[[#This Row],[mod]])</f>
        <v>object__fill</v>
      </c>
      <c r="K17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5" t="s">
        <v>84</v>
      </c>
      <c r="M1745" t="s">
        <v>7390</v>
      </c>
      <c r="Q17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45" s="29" t="s">
        <v>3929</v>
      </c>
      <c r="AC1745" s="25"/>
      <c r="AD1745" s="41"/>
      <c r="AE1745" s="41"/>
      <c r="AF1745" s="11"/>
      <c r="AH1745" s="7" t="str">
        <f>Table1[[#This Row],[html_tag]]&amp;Table1[[#This Row],[html_type]]&amp;Table1[[#This Row],[html_modifier]]</f>
        <v/>
      </c>
      <c r="AL1745" s="23" t="str">
        <f>IFERROR(_xlfn.XLOOKUP(Table1[[#This Row],[word]],Table57[English style name],Table57[Style type]),"")</f>
        <v/>
      </c>
      <c r="AM1745" s="21"/>
      <c r="AN1745" s="11"/>
    </row>
    <row r="1746" spans="6:40">
      <c r="F17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6" s="13"/>
      <c r="H1746" s="13"/>
      <c r="I1746" s="12" t="str">
        <f>Table1[[#This Row],[type]]</f>
        <v>object</v>
      </c>
      <c r="J1746" s="62" t="str">
        <f>Table1[[#This Row],[Column42]]&amp;IF(Table1[[#This Row],[Column13]]="","",Table1[[#This Row],[Column13]])&amp;IF(Table1[[#This Row],[mod]]="","",Table1[[#This Row],[mod]])</f>
        <v>object__fill</v>
      </c>
      <c r="K17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6" t="s">
        <v>84</v>
      </c>
      <c r="M1746" t="s">
        <v>7390</v>
      </c>
      <c r="Q17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46" s="29" t="s">
        <v>3930</v>
      </c>
      <c r="AC1746" s="25"/>
      <c r="AD1746" s="41"/>
      <c r="AE1746" s="41"/>
      <c r="AF1746" s="11"/>
      <c r="AH1746" s="7" t="str">
        <f>Table1[[#This Row],[html_tag]]&amp;Table1[[#This Row],[html_type]]&amp;Table1[[#This Row],[html_modifier]]</f>
        <v/>
      </c>
      <c r="AL1746" s="23" t="str">
        <f>IFERROR(_xlfn.XLOOKUP(Table1[[#This Row],[word]],Table57[English style name],Table57[Style type]),"")</f>
        <v/>
      </c>
      <c r="AM1746" s="21"/>
      <c r="AN1746" s="11"/>
    </row>
    <row r="1747" spans="6:40">
      <c r="F17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7" s="13"/>
      <c r="H1747" s="13"/>
      <c r="I1747" s="12" t="str">
        <f>Table1[[#This Row],[type]]</f>
        <v>object</v>
      </c>
      <c r="J1747" s="62" t="str">
        <f>Table1[[#This Row],[Column42]]&amp;IF(Table1[[#This Row],[Column13]]="","",Table1[[#This Row],[Column13]])&amp;IF(Table1[[#This Row],[mod]]="","",Table1[[#This Row],[mod]])</f>
        <v>object__fill</v>
      </c>
      <c r="K17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7" t="s">
        <v>84</v>
      </c>
      <c r="M1747" t="s">
        <v>7390</v>
      </c>
      <c r="Q17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47" s="29" t="s">
        <v>3931</v>
      </c>
      <c r="AC1747" s="25"/>
      <c r="AD1747" s="41"/>
      <c r="AE1747" s="41"/>
      <c r="AF1747" s="11"/>
      <c r="AH1747" s="7" t="str">
        <f>Table1[[#This Row],[html_tag]]&amp;Table1[[#This Row],[html_type]]&amp;Table1[[#This Row],[html_modifier]]</f>
        <v/>
      </c>
      <c r="AL1747" s="23" t="str">
        <f>IFERROR(_xlfn.XLOOKUP(Table1[[#This Row],[word]],Table57[English style name],Table57[Style type]),"")</f>
        <v/>
      </c>
      <c r="AM1747" s="21"/>
      <c r="AN1747" s="11"/>
    </row>
    <row r="1748" spans="6:40">
      <c r="F17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8" s="13"/>
      <c r="H1748" s="13"/>
      <c r="I1748" s="12" t="str">
        <f>Table1[[#This Row],[type]]</f>
        <v>object</v>
      </c>
      <c r="J1748" s="62" t="str">
        <f>Table1[[#This Row],[Column42]]&amp;IF(Table1[[#This Row],[Column13]]="","",Table1[[#This Row],[Column13]])&amp;IF(Table1[[#This Row],[mod]]="","",Table1[[#This Row],[mod]])</f>
        <v>object__fill</v>
      </c>
      <c r="K17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8" t="s">
        <v>84</v>
      </c>
      <c r="M1748" t="s">
        <v>7390</v>
      </c>
      <c r="Q17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48" s="29" t="s">
        <v>3932</v>
      </c>
      <c r="AC1748" s="25"/>
      <c r="AD1748" s="41"/>
      <c r="AE1748" s="41"/>
      <c r="AF1748" s="11"/>
      <c r="AH1748" s="7" t="str">
        <f>Table1[[#This Row],[html_tag]]&amp;Table1[[#This Row],[html_type]]&amp;Table1[[#This Row],[html_modifier]]</f>
        <v/>
      </c>
      <c r="AL1748" s="23" t="str">
        <f>IFERROR(_xlfn.XLOOKUP(Table1[[#This Row],[word]],Table57[English style name],Table57[Style type]),"")</f>
        <v/>
      </c>
      <c r="AM1748" s="21"/>
      <c r="AN1748" s="11"/>
    </row>
    <row r="1749" spans="6:40">
      <c r="F17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9" s="13"/>
      <c r="H1749" s="13"/>
      <c r="I1749" s="12" t="str">
        <f>Table1[[#This Row],[type]]</f>
        <v>object</v>
      </c>
      <c r="J1749" s="62" t="str">
        <f>Table1[[#This Row],[Column42]]&amp;IF(Table1[[#This Row],[Column13]]="","",Table1[[#This Row],[Column13]])&amp;IF(Table1[[#This Row],[mod]]="","",Table1[[#This Row],[mod]])</f>
        <v>object__fill</v>
      </c>
      <c r="K17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9" t="s">
        <v>84</v>
      </c>
      <c r="M1749" t="s">
        <v>7390</v>
      </c>
      <c r="Q17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49" s="29" t="s">
        <v>3933</v>
      </c>
      <c r="AC1749" s="25"/>
      <c r="AD1749" s="41"/>
      <c r="AE1749" s="41"/>
      <c r="AF1749" s="11"/>
      <c r="AH1749" s="7" t="str">
        <f>Table1[[#This Row],[html_tag]]&amp;Table1[[#This Row],[html_type]]&amp;Table1[[#This Row],[html_modifier]]</f>
        <v/>
      </c>
      <c r="AL1749" s="23" t="str">
        <f>IFERROR(_xlfn.XLOOKUP(Table1[[#This Row],[word]],Table57[English style name],Table57[Style type]),"")</f>
        <v/>
      </c>
      <c r="AM1749" s="21"/>
      <c r="AN1749" s="11"/>
    </row>
    <row r="1750" spans="6:40">
      <c r="F17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0" s="13"/>
      <c r="H1750" s="13"/>
      <c r="I1750" s="12" t="str">
        <f>Table1[[#This Row],[type]]</f>
        <v>object</v>
      </c>
      <c r="J1750" s="62" t="str">
        <f>Table1[[#This Row],[Column42]]&amp;IF(Table1[[#This Row],[Column13]]="","",Table1[[#This Row],[Column13]])&amp;IF(Table1[[#This Row],[mod]]="","",Table1[[#This Row],[mod]])</f>
        <v>object__fill</v>
      </c>
      <c r="K17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0" t="s">
        <v>84</v>
      </c>
      <c r="M1750" t="s">
        <v>7390</v>
      </c>
      <c r="Q17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0" s="29" t="s">
        <v>3934</v>
      </c>
      <c r="AC1750" s="25"/>
      <c r="AD1750" s="41"/>
      <c r="AE1750" s="41"/>
      <c r="AF1750" s="11"/>
      <c r="AH1750" s="7" t="str">
        <f>Table1[[#This Row],[html_tag]]&amp;Table1[[#This Row],[html_type]]&amp;Table1[[#This Row],[html_modifier]]</f>
        <v/>
      </c>
      <c r="AL1750" s="23" t="str">
        <f>IFERROR(_xlfn.XLOOKUP(Table1[[#This Row],[word]],Table57[English style name],Table57[Style type]),"")</f>
        <v/>
      </c>
      <c r="AM1750" s="21"/>
      <c r="AN1750" s="11"/>
    </row>
    <row r="1751" spans="6:40">
      <c r="F17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1" s="13"/>
      <c r="H1751" s="13"/>
      <c r="I1751" s="12" t="str">
        <f>Table1[[#This Row],[type]]</f>
        <v>object</v>
      </c>
      <c r="J1751" s="62" t="str">
        <f>Table1[[#This Row],[Column42]]&amp;IF(Table1[[#This Row],[Column13]]="","",Table1[[#This Row],[Column13]])&amp;IF(Table1[[#This Row],[mod]]="","",Table1[[#This Row],[mod]])</f>
        <v>object__fill</v>
      </c>
      <c r="K17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1" t="s">
        <v>84</v>
      </c>
      <c r="M1751" t="s">
        <v>7390</v>
      </c>
      <c r="Q17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1" s="29" t="s">
        <v>3935</v>
      </c>
      <c r="AC1751" s="25"/>
      <c r="AD1751" s="41"/>
      <c r="AE1751" s="41"/>
      <c r="AF1751" s="11"/>
      <c r="AH1751" s="7" t="str">
        <f>Table1[[#This Row],[html_tag]]&amp;Table1[[#This Row],[html_type]]&amp;Table1[[#This Row],[html_modifier]]</f>
        <v/>
      </c>
      <c r="AL1751" s="23" t="str">
        <f>IFERROR(_xlfn.XLOOKUP(Table1[[#This Row],[word]],Table57[English style name],Table57[Style type]),"")</f>
        <v/>
      </c>
      <c r="AM1751" s="21"/>
      <c r="AN1751" s="11"/>
    </row>
    <row r="1752" spans="6:40">
      <c r="F17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2" s="13"/>
      <c r="H1752" s="13"/>
      <c r="I1752" s="12" t="str">
        <f>Table1[[#This Row],[type]]</f>
        <v>object</v>
      </c>
      <c r="J1752" s="62" t="str">
        <f>Table1[[#This Row],[Column42]]&amp;IF(Table1[[#This Row],[Column13]]="","",Table1[[#This Row],[Column13]])&amp;IF(Table1[[#This Row],[mod]]="","",Table1[[#This Row],[mod]])</f>
        <v>object__fill</v>
      </c>
      <c r="K17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2" t="s">
        <v>84</v>
      </c>
      <c r="M1752" t="s">
        <v>7390</v>
      </c>
      <c r="Q17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2" s="29" t="s">
        <v>3935</v>
      </c>
      <c r="AC1752" s="25"/>
      <c r="AD1752" s="41"/>
      <c r="AE1752" s="41"/>
      <c r="AF1752" s="11"/>
      <c r="AH1752" s="7" t="str">
        <f>Table1[[#This Row],[html_tag]]&amp;Table1[[#This Row],[html_type]]&amp;Table1[[#This Row],[html_modifier]]</f>
        <v/>
      </c>
      <c r="AL1752" s="23" t="str">
        <f>IFERROR(_xlfn.XLOOKUP(Table1[[#This Row],[word]],Table57[English style name],Table57[Style type]),"")</f>
        <v/>
      </c>
      <c r="AM1752" s="21"/>
      <c r="AN1752" s="11"/>
    </row>
    <row r="1753" spans="6:40">
      <c r="F17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3" s="13"/>
      <c r="H1753" s="13"/>
      <c r="I1753" s="12" t="str">
        <f>Table1[[#This Row],[type]]</f>
        <v>object</v>
      </c>
      <c r="J1753" s="62" t="str">
        <f>Table1[[#This Row],[Column42]]&amp;IF(Table1[[#This Row],[Column13]]="","",Table1[[#This Row],[Column13]])&amp;IF(Table1[[#This Row],[mod]]="","",Table1[[#This Row],[mod]])</f>
        <v>object__fill</v>
      </c>
      <c r="K17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3" t="s">
        <v>84</v>
      </c>
      <c r="M1753" t="s">
        <v>7390</v>
      </c>
      <c r="Q17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3" s="29" t="s">
        <v>3936</v>
      </c>
      <c r="AC1753" s="25"/>
      <c r="AD1753" s="41"/>
      <c r="AE1753" s="41"/>
      <c r="AF1753" s="11"/>
      <c r="AH1753" s="7" t="str">
        <f>Table1[[#This Row],[html_tag]]&amp;Table1[[#This Row],[html_type]]&amp;Table1[[#This Row],[html_modifier]]</f>
        <v/>
      </c>
      <c r="AL1753" s="23" t="str">
        <f>IFERROR(_xlfn.XLOOKUP(Table1[[#This Row],[word]],Table57[English style name],Table57[Style type]),"")</f>
        <v/>
      </c>
      <c r="AM1753" s="21"/>
      <c r="AN1753" s="11"/>
    </row>
    <row r="1754" spans="6:40">
      <c r="F17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4" s="13"/>
      <c r="H1754" s="13"/>
      <c r="I1754" s="12" t="str">
        <f>Table1[[#This Row],[type]]</f>
        <v>object</v>
      </c>
      <c r="J1754" s="62" t="str">
        <f>Table1[[#This Row],[Column42]]&amp;IF(Table1[[#This Row],[Column13]]="","",Table1[[#This Row],[Column13]])&amp;IF(Table1[[#This Row],[mod]]="","",Table1[[#This Row],[mod]])</f>
        <v>object__fill</v>
      </c>
      <c r="K17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4" t="s">
        <v>84</v>
      </c>
      <c r="M1754" t="s">
        <v>7390</v>
      </c>
      <c r="Q17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4" s="29" t="s">
        <v>3937</v>
      </c>
      <c r="AC1754" s="25"/>
      <c r="AD1754" s="41"/>
      <c r="AE1754" s="41"/>
      <c r="AF1754" s="11"/>
      <c r="AH1754" s="7" t="str">
        <f>Table1[[#This Row],[html_tag]]&amp;Table1[[#This Row],[html_type]]&amp;Table1[[#This Row],[html_modifier]]</f>
        <v/>
      </c>
      <c r="AL1754" s="23" t="str">
        <f>IFERROR(_xlfn.XLOOKUP(Table1[[#This Row],[word]],Table57[English style name],Table57[Style type]),"")</f>
        <v/>
      </c>
      <c r="AM1754" s="21"/>
      <c r="AN1754" s="11"/>
    </row>
    <row r="1755" spans="6:40">
      <c r="F17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5" s="13"/>
      <c r="H1755" s="13"/>
      <c r="I1755" s="12" t="str">
        <f>Table1[[#This Row],[type]]</f>
        <v>object</v>
      </c>
      <c r="J1755" s="62" t="str">
        <f>Table1[[#This Row],[Column42]]&amp;IF(Table1[[#This Row],[Column13]]="","",Table1[[#This Row],[Column13]])&amp;IF(Table1[[#This Row],[mod]]="","",Table1[[#This Row],[mod]])</f>
        <v>object__fill</v>
      </c>
      <c r="K17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5" t="s">
        <v>84</v>
      </c>
      <c r="M1755" t="s">
        <v>7390</v>
      </c>
      <c r="Q17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5" s="29" t="s">
        <v>3938</v>
      </c>
      <c r="AC1755" s="25"/>
      <c r="AD1755" s="41"/>
      <c r="AE1755" s="41"/>
      <c r="AF1755" s="11"/>
      <c r="AH1755" s="7" t="str">
        <f>Table1[[#This Row],[html_tag]]&amp;Table1[[#This Row],[html_type]]&amp;Table1[[#This Row],[html_modifier]]</f>
        <v/>
      </c>
      <c r="AL1755" s="23" t="str">
        <f>IFERROR(_xlfn.XLOOKUP(Table1[[#This Row],[word]],Table57[English style name],Table57[Style type]),"")</f>
        <v/>
      </c>
      <c r="AM1755" s="21"/>
      <c r="AN1755" s="11"/>
    </row>
    <row r="1756" spans="6:40">
      <c r="F17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6" s="13"/>
      <c r="H1756" s="13"/>
      <c r="I1756" s="12" t="str">
        <f>Table1[[#This Row],[type]]</f>
        <v>object</v>
      </c>
      <c r="J1756" s="62" t="str">
        <f>Table1[[#This Row],[Column42]]&amp;IF(Table1[[#This Row],[Column13]]="","",Table1[[#This Row],[Column13]])&amp;IF(Table1[[#This Row],[mod]]="","",Table1[[#This Row],[mod]])</f>
        <v>object__fill</v>
      </c>
      <c r="K17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6" t="s">
        <v>84</v>
      </c>
      <c r="M1756" t="s">
        <v>7390</v>
      </c>
      <c r="Q17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6" s="29" t="s">
        <v>3939</v>
      </c>
      <c r="AC1756" s="25"/>
      <c r="AD1756" s="41"/>
      <c r="AE1756" s="41"/>
      <c r="AF1756" s="11"/>
      <c r="AH1756" s="7" t="str">
        <f>Table1[[#This Row],[html_tag]]&amp;Table1[[#This Row],[html_type]]&amp;Table1[[#This Row],[html_modifier]]</f>
        <v/>
      </c>
      <c r="AL1756" s="23" t="str">
        <f>IFERROR(_xlfn.XLOOKUP(Table1[[#This Row],[word]],Table57[English style name],Table57[Style type]),"")</f>
        <v/>
      </c>
      <c r="AM1756" s="21"/>
      <c r="AN1756" s="11"/>
    </row>
    <row r="1757" spans="6:40">
      <c r="F17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7" s="13"/>
      <c r="H1757" s="13"/>
      <c r="I1757" s="12" t="str">
        <f>Table1[[#This Row],[type]]</f>
        <v>object</v>
      </c>
      <c r="J1757" s="62" t="str">
        <f>Table1[[#This Row],[Column42]]&amp;IF(Table1[[#This Row],[Column13]]="","",Table1[[#This Row],[Column13]])&amp;IF(Table1[[#This Row],[mod]]="","",Table1[[#This Row],[mod]])</f>
        <v>object__fill</v>
      </c>
      <c r="K17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7" t="s">
        <v>84</v>
      </c>
      <c r="M1757" t="s">
        <v>7390</v>
      </c>
      <c r="Q17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7" s="29" t="s">
        <v>3940</v>
      </c>
      <c r="AC1757" s="25"/>
      <c r="AD1757" s="41"/>
      <c r="AE1757" s="41"/>
      <c r="AF1757" s="11"/>
      <c r="AH1757" s="7" t="str">
        <f>Table1[[#This Row],[html_tag]]&amp;Table1[[#This Row],[html_type]]&amp;Table1[[#This Row],[html_modifier]]</f>
        <v/>
      </c>
      <c r="AL1757" s="23" t="str">
        <f>IFERROR(_xlfn.XLOOKUP(Table1[[#This Row],[word]],Table57[English style name],Table57[Style type]),"")</f>
        <v/>
      </c>
      <c r="AM1757" s="21"/>
      <c r="AN1757" s="11"/>
    </row>
    <row r="1758" spans="6:40">
      <c r="F17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8" s="13"/>
      <c r="H1758" s="13"/>
      <c r="I1758" s="12" t="str">
        <f>Table1[[#This Row],[type]]</f>
        <v>object</v>
      </c>
      <c r="J1758" s="62" t="str">
        <f>Table1[[#This Row],[Column42]]&amp;IF(Table1[[#This Row],[Column13]]="","",Table1[[#This Row],[Column13]])&amp;IF(Table1[[#This Row],[mod]]="","",Table1[[#This Row],[mod]])</f>
        <v>object__fill</v>
      </c>
      <c r="K17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8" t="s">
        <v>84</v>
      </c>
      <c r="M1758" t="s">
        <v>7390</v>
      </c>
      <c r="Q17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8" s="29" t="s">
        <v>3941</v>
      </c>
      <c r="AC1758" s="25"/>
      <c r="AD1758" s="41"/>
      <c r="AE1758" s="41"/>
      <c r="AF1758" s="11"/>
      <c r="AH1758" s="7" t="str">
        <f>Table1[[#This Row],[html_tag]]&amp;Table1[[#This Row],[html_type]]&amp;Table1[[#This Row],[html_modifier]]</f>
        <v/>
      </c>
      <c r="AL1758" s="23" t="str">
        <f>IFERROR(_xlfn.XLOOKUP(Table1[[#This Row],[word]],Table57[English style name],Table57[Style type]),"")</f>
        <v/>
      </c>
      <c r="AM1758" s="21"/>
      <c r="AN1758" s="11"/>
    </row>
    <row r="1759" spans="6:40">
      <c r="F17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9" s="13"/>
      <c r="H1759" s="13"/>
      <c r="I1759" s="12" t="str">
        <f>Table1[[#This Row],[type]]</f>
        <v>object</v>
      </c>
      <c r="J1759" s="62" t="str">
        <f>Table1[[#This Row],[Column42]]&amp;IF(Table1[[#This Row],[Column13]]="","",Table1[[#This Row],[Column13]])&amp;IF(Table1[[#This Row],[mod]]="","",Table1[[#This Row],[mod]])</f>
        <v>object__fill</v>
      </c>
      <c r="K17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9" t="s">
        <v>84</v>
      </c>
      <c r="M1759" t="s">
        <v>7390</v>
      </c>
      <c r="Q17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9" s="29" t="s">
        <v>3942</v>
      </c>
      <c r="AC1759" s="25"/>
      <c r="AD1759" s="41"/>
      <c r="AE1759" s="41"/>
      <c r="AF1759" s="11"/>
      <c r="AH1759" s="7" t="str">
        <f>Table1[[#This Row],[html_tag]]&amp;Table1[[#This Row],[html_type]]&amp;Table1[[#This Row],[html_modifier]]</f>
        <v/>
      </c>
      <c r="AL1759" s="23" t="str">
        <f>IFERROR(_xlfn.XLOOKUP(Table1[[#This Row],[word]],Table57[English style name],Table57[Style type]),"")</f>
        <v/>
      </c>
      <c r="AM1759" s="21"/>
      <c r="AN1759" s="11"/>
    </row>
    <row r="1760" spans="6:40">
      <c r="F17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60" s="13"/>
      <c r="H1760" s="13"/>
      <c r="I1760" s="12" t="str">
        <f>Table1[[#This Row],[type]]</f>
        <v>object</v>
      </c>
      <c r="J1760" s="62" t="str">
        <f>Table1[[#This Row],[Column42]]&amp;IF(Table1[[#This Row],[Column13]]="","",Table1[[#This Row],[Column13]])&amp;IF(Table1[[#This Row],[mod]]="","",Table1[[#This Row],[mod]])</f>
        <v>object__fill</v>
      </c>
      <c r="K17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60" t="s">
        <v>84</v>
      </c>
      <c r="M1760" t="s">
        <v>7390</v>
      </c>
      <c r="Q17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0" s="29" t="s">
        <v>3943</v>
      </c>
      <c r="AC1760" s="25"/>
      <c r="AD1760" s="41"/>
      <c r="AE1760" s="41"/>
      <c r="AF1760" s="11"/>
      <c r="AH1760" s="7" t="str">
        <f>Table1[[#This Row],[html_tag]]&amp;Table1[[#This Row],[html_type]]&amp;Table1[[#This Row],[html_modifier]]</f>
        <v/>
      </c>
      <c r="AL1760" s="23" t="str">
        <f>IFERROR(_xlfn.XLOOKUP(Table1[[#This Row],[word]],Table57[English style name],Table57[Style type]),"")</f>
        <v/>
      </c>
      <c r="AM1760" s="21"/>
      <c r="AN1760" s="11"/>
    </row>
    <row r="1761" spans="6:40">
      <c r="F17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61" s="13"/>
      <c r="H1761" s="13"/>
      <c r="I1761" s="12" t="str">
        <f>Table1[[#This Row],[type]]</f>
        <v>object</v>
      </c>
      <c r="J1761" s="62" t="str">
        <f>Table1[[#This Row],[Column42]]&amp;IF(Table1[[#This Row],[Column13]]="","",Table1[[#This Row],[Column13]])&amp;IF(Table1[[#This Row],[mod]]="","",Table1[[#This Row],[mod]])</f>
        <v>object__fill</v>
      </c>
      <c r="K17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61" t="s">
        <v>84</v>
      </c>
      <c r="M1761" t="s">
        <v>7390</v>
      </c>
      <c r="Q17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1" s="29" t="s">
        <v>3944</v>
      </c>
      <c r="AC1761" s="25"/>
      <c r="AD1761" s="41"/>
      <c r="AE1761" s="41"/>
      <c r="AF1761" s="11"/>
      <c r="AH1761" s="7" t="str">
        <f>Table1[[#This Row],[html_tag]]&amp;Table1[[#This Row],[html_type]]&amp;Table1[[#This Row],[html_modifier]]</f>
        <v/>
      </c>
      <c r="AL1761" s="23" t="str">
        <f>IFERROR(_xlfn.XLOOKUP(Table1[[#This Row],[word]],Table57[English style name],Table57[Style type]),"")</f>
        <v/>
      </c>
      <c r="AM1761" s="21"/>
      <c r="AN1761" s="11"/>
    </row>
    <row r="1762" spans="6:40">
      <c r="F17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62" s="13"/>
      <c r="H1762" s="13"/>
      <c r="I1762" s="12" t="str">
        <f>Table1[[#This Row],[type]]</f>
        <v>object</v>
      </c>
      <c r="J1762" s="62" t="str">
        <f>Table1[[#This Row],[Column42]]&amp;IF(Table1[[#This Row],[Column13]]="","",Table1[[#This Row],[Column13]])&amp;IF(Table1[[#This Row],[mod]]="","",Table1[[#This Row],[mod]])</f>
        <v>object__fill</v>
      </c>
      <c r="K17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62" t="s">
        <v>84</v>
      </c>
      <c r="M1762" t="s">
        <v>7390</v>
      </c>
      <c r="Q17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2" s="29" t="s">
        <v>3945</v>
      </c>
      <c r="AC1762" s="25"/>
      <c r="AD1762" s="41"/>
      <c r="AE1762" s="41"/>
      <c r="AF1762" s="11"/>
      <c r="AH1762" s="7" t="str">
        <f>Table1[[#This Row],[html_tag]]&amp;Table1[[#This Row],[html_type]]&amp;Table1[[#This Row],[html_modifier]]</f>
        <v/>
      </c>
      <c r="AL1762" s="23" t="str">
        <f>IFERROR(_xlfn.XLOOKUP(Table1[[#This Row],[word]],Table57[English style name],Table57[Style type]),"")</f>
        <v/>
      </c>
      <c r="AM1762" s="21"/>
      <c r="AN1762" s="11"/>
    </row>
    <row r="1763" spans="6:40">
      <c r="F17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63" s="13"/>
      <c r="H1763" s="13"/>
      <c r="I1763" s="12" t="str">
        <f>Table1[[#This Row],[type]]</f>
        <v>object</v>
      </c>
      <c r="J1763" s="62" t="str">
        <f>Table1[[#This Row],[Column42]]&amp;IF(Table1[[#This Row],[Column13]]="","",Table1[[#This Row],[Column13]])&amp;IF(Table1[[#This Row],[mod]]="","",Table1[[#This Row],[mod]])</f>
        <v>object__fill</v>
      </c>
      <c r="K17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63" t="s">
        <v>84</v>
      </c>
      <c r="M1763" t="s">
        <v>7390</v>
      </c>
      <c r="Q17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3" s="29" t="s">
        <v>3946</v>
      </c>
      <c r="AC1763" s="25"/>
      <c r="AD1763" s="41"/>
      <c r="AE1763" s="41"/>
      <c r="AF1763" s="11"/>
      <c r="AH1763" s="7" t="str">
        <f>Table1[[#This Row],[html_tag]]&amp;Table1[[#This Row],[html_type]]&amp;Table1[[#This Row],[html_modifier]]</f>
        <v/>
      </c>
      <c r="AL1763" s="23" t="str">
        <f>IFERROR(_xlfn.XLOOKUP(Table1[[#This Row],[word]],Table57[English style name],Table57[Style type]),"")</f>
        <v/>
      </c>
      <c r="AM1763" s="21"/>
      <c r="AN1763" s="11"/>
    </row>
    <row r="1764" spans="6:40">
      <c r="F17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64" s="13"/>
      <c r="H1764" s="13"/>
      <c r="I1764" s="12" t="str">
        <f>Table1[[#This Row],[type]]</f>
        <v>object</v>
      </c>
      <c r="J1764" s="62" t="str">
        <f>Table1[[#This Row],[Column42]]&amp;IF(Table1[[#This Row],[Column13]]="","",Table1[[#This Row],[Column13]])&amp;IF(Table1[[#This Row],[mod]]="","",Table1[[#This Row],[mod]])</f>
        <v>object__fill</v>
      </c>
      <c r="K17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64" t="s">
        <v>84</v>
      </c>
      <c r="M1764" t="s">
        <v>7390</v>
      </c>
      <c r="Q17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4" s="29" t="s">
        <v>3947</v>
      </c>
      <c r="AC1764" s="25"/>
      <c r="AD1764" s="41"/>
      <c r="AE1764" s="41"/>
      <c r="AF1764" s="11"/>
      <c r="AH1764" s="7" t="str">
        <f>Table1[[#This Row],[html_tag]]&amp;Table1[[#This Row],[html_type]]&amp;Table1[[#This Row],[html_modifier]]</f>
        <v/>
      </c>
      <c r="AL1764" s="23" t="str">
        <f>IFERROR(_xlfn.XLOOKUP(Table1[[#This Row],[word]],Table57[English style name],Table57[Style type]),"")</f>
        <v/>
      </c>
      <c r="AM1764" s="21"/>
      <c r="AN1764" s="11"/>
    </row>
    <row r="1765" spans="6:40">
      <c r="F17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65" s="13"/>
      <c r="H1765" s="13"/>
      <c r="I1765" s="12" t="str">
        <f>Table1[[#This Row],[type]]</f>
        <v>object</v>
      </c>
      <c r="J1765" s="62" t="str">
        <f>Table1[[#This Row],[Column42]]&amp;IF(Table1[[#This Row],[Column13]]="","",Table1[[#This Row],[Column13]])&amp;IF(Table1[[#This Row],[mod]]="","",Table1[[#This Row],[mod]])</f>
        <v>object__fill</v>
      </c>
      <c r="K17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65" t="s">
        <v>84</v>
      </c>
      <c r="M1765" t="s">
        <v>7390</v>
      </c>
      <c r="Q17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5" s="29" t="s">
        <v>3948</v>
      </c>
      <c r="AC1765" s="25"/>
      <c r="AD1765" s="41"/>
      <c r="AE1765" s="41"/>
      <c r="AF1765" s="11"/>
      <c r="AH1765" s="7" t="str">
        <f>Table1[[#This Row],[html_tag]]&amp;Table1[[#This Row],[html_type]]&amp;Table1[[#This Row],[html_modifier]]</f>
        <v/>
      </c>
      <c r="AL1765" s="23" t="str">
        <f>IFERROR(_xlfn.XLOOKUP(Table1[[#This Row],[word]],Table57[English style name],Table57[Style type]),"")</f>
        <v/>
      </c>
      <c r="AM1765" s="21"/>
      <c r="AN1765" s="11"/>
    </row>
    <row r="1766" spans="6:40">
      <c r="F17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66" s="13"/>
      <c r="H1766" s="13"/>
      <c r="I1766" s="12" t="str">
        <f>Table1[[#This Row],[type]]</f>
        <v>object</v>
      </c>
      <c r="J1766" s="62" t="str">
        <f>Table1[[#This Row],[Column42]]&amp;IF(Table1[[#This Row],[Column13]]="","",Table1[[#This Row],[Column13]])&amp;IF(Table1[[#This Row],[mod]]="","",Table1[[#This Row],[mod]])</f>
        <v>object__fill</v>
      </c>
      <c r="K17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66" t="s">
        <v>84</v>
      </c>
      <c r="M1766" t="s">
        <v>7390</v>
      </c>
      <c r="Q17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6" s="29" t="s">
        <v>3949</v>
      </c>
      <c r="AC1766" s="25"/>
      <c r="AD1766" s="41"/>
      <c r="AE1766" s="41"/>
      <c r="AF1766" s="11"/>
      <c r="AH1766" s="7" t="str">
        <f>Table1[[#This Row],[html_tag]]&amp;Table1[[#This Row],[html_type]]&amp;Table1[[#This Row],[html_modifier]]</f>
        <v/>
      </c>
      <c r="AL1766" s="23" t="str">
        <f>IFERROR(_xlfn.XLOOKUP(Table1[[#This Row],[word]],Table57[English style name],Table57[Style type]),"")</f>
        <v/>
      </c>
      <c r="AM1766" s="21"/>
      <c r="AN1766" s="11"/>
    </row>
    <row r="1767" spans="6:40">
      <c r="F17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67" s="13"/>
      <c r="H1767" s="13"/>
      <c r="I1767" s="12" t="str">
        <f>Table1[[#This Row],[type]]</f>
        <v>object</v>
      </c>
      <c r="J1767" s="62" t="str">
        <f>Table1[[#This Row],[Column42]]&amp;IF(Table1[[#This Row],[Column13]]="","",Table1[[#This Row],[Column13]])&amp;IF(Table1[[#This Row],[mod]]="","",Table1[[#This Row],[mod]])</f>
        <v>object__fill</v>
      </c>
      <c r="K17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67" t="s">
        <v>84</v>
      </c>
      <c r="M1767" t="s">
        <v>7390</v>
      </c>
      <c r="Q17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7" s="29" t="s">
        <v>3950</v>
      </c>
      <c r="AC1767" s="25"/>
      <c r="AD1767" s="41"/>
      <c r="AE1767" s="41"/>
      <c r="AF1767" s="11"/>
      <c r="AH1767" s="7" t="str">
        <f>Table1[[#This Row],[html_tag]]&amp;Table1[[#This Row],[html_type]]&amp;Table1[[#This Row],[html_modifier]]</f>
        <v/>
      </c>
      <c r="AL1767" s="23" t="str">
        <f>IFERROR(_xlfn.XLOOKUP(Table1[[#This Row],[word]],Table57[English style name],Table57[Style type]),"")</f>
        <v/>
      </c>
      <c r="AM1767" s="21"/>
      <c r="AN1767" s="11"/>
    </row>
    <row r="1768" spans="6:40">
      <c r="F17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68" s="13"/>
      <c r="H1768" s="13"/>
      <c r="I1768" s="12" t="str">
        <f>Table1[[#This Row],[type]]</f>
        <v>object</v>
      </c>
      <c r="J1768" s="62" t="str">
        <f>Table1[[#This Row],[Column42]]&amp;IF(Table1[[#This Row],[Column13]]="","",Table1[[#This Row],[Column13]])&amp;IF(Table1[[#This Row],[mod]]="","",Table1[[#This Row],[mod]])</f>
        <v>object__fill</v>
      </c>
      <c r="K17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68" t="s">
        <v>84</v>
      </c>
      <c r="M1768" t="s">
        <v>7390</v>
      </c>
      <c r="Q17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8" s="29" t="s">
        <v>3951</v>
      </c>
      <c r="AC1768" s="25"/>
      <c r="AD1768" s="41"/>
      <c r="AE1768" s="41"/>
      <c r="AF1768" s="11"/>
      <c r="AH1768" s="7" t="str">
        <f>Table1[[#This Row],[html_tag]]&amp;Table1[[#This Row],[html_type]]&amp;Table1[[#This Row],[html_modifier]]</f>
        <v/>
      </c>
      <c r="AL1768" s="23" t="str">
        <f>IFERROR(_xlfn.XLOOKUP(Table1[[#This Row],[word]],Table57[English style name],Table57[Style type]),"")</f>
        <v/>
      </c>
      <c r="AM1768" s="21"/>
      <c r="AN1768" s="11"/>
    </row>
    <row r="1769" spans="6:40">
      <c r="F17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69" s="13"/>
      <c r="H1769" s="13"/>
      <c r="I1769" s="12" t="str">
        <f>Table1[[#This Row],[type]]</f>
        <v>object</v>
      </c>
      <c r="J1769" s="62" t="str">
        <f>Table1[[#This Row],[Column42]]&amp;IF(Table1[[#This Row],[Column13]]="","",Table1[[#This Row],[Column13]])&amp;IF(Table1[[#This Row],[mod]]="","",Table1[[#This Row],[mod]])</f>
        <v>object__fill</v>
      </c>
      <c r="K17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69" t="s">
        <v>84</v>
      </c>
      <c r="M1769" t="s">
        <v>7390</v>
      </c>
      <c r="Q17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9" s="29" t="s">
        <v>3952</v>
      </c>
      <c r="AC1769" s="25"/>
      <c r="AD1769" s="41"/>
      <c r="AE1769" s="41"/>
      <c r="AF1769" s="11"/>
      <c r="AH1769" s="7" t="str">
        <f>Table1[[#This Row],[html_tag]]&amp;Table1[[#This Row],[html_type]]&amp;Table1[[#This Row],[html_modifier]]</f>
        <v/>
      </c>
      <c r="AL1769" s="23" t="str">
        <f>IFERROR(_xlfn.XLOOKUP(Table1[[#This Row],[word]],Table57[English style name],Table57[Style type]),"")</f>
        <v/>
      </c>
      <c r="AM1769" s="21"/>
      <c r="AN1769" s="11"/>
    </row>
    <row r="1770" spans="6:40">
      <c r="F17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70" s="13"/>
      <c r="H1770" s="13"/>
      <c r="I1770" s="12" t="str">
        <f>Table1[[#This Row],[type]]</f>
        <v>object</v>
      </c>
      <c r="J1770" s="62" t="str">
        <f>Table1[[#This Row],[Column42]]&amp;IF(Table1[[#This Row],[Column13]]="","",Table1[[#This Row],[Column13]])&amp;IF(Table1[[#This Row],[mod]]="","",Table1[[#This Row],[mod]])</f>
        <v>object__fill</v>
      </c>
      <c r="K17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70" t="s">
        <v>84</v>
      </c>
      <c r="M1770" t="s">
        <v>7390</v>
      </c>
      <c r="Q17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0" s="29" t="s">
        <v>3953</v>
      </c>
      <c r="AC1770" s="25"/>
      <c r="AD1770" s="41"/>
      <c r="AE1770" s="41"/>
      <c r="AF1770" s="11"/>
      <c r="AH1770" s="7" t="str">
        <f>Table1[[#This Row],[html_tag]]&amp;Table1[[#This Row],[html_type]]&amp;Table1[[#This Row],[html_modifier]]</f>
        <v/>
      </c>
      <c r="AL1770" s="23" t="str">
        <f>IFERROR(_xlfn.XLOOKUP(Table1[[#This Row],[word]],Table57[English style name],Table57[Style type]),"")</f>
        <v/>
      </c>
      <c r="AM1770" s="21"/>
      <c r="AN1770" s="11"/>
    </row>
    <row r="1771" spans="6:40">
      <c r="F17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71" s="13"/>
      <c r="H1771" s="13"/>
      <c r="I1771" s="12" t="str">
        <f>Table1[[#This Row],[type]]</f>
        <v>object</v>
      </c>
      <c r="J1771" s="62" t="str">
        <f>Table1[[#This Row],[Column42]]&amp;IF(Table1[[#This Row],[Column13]]="","",Table1[[#This Row],[Column13]])&amp;IF(Table1[[#This Row],[mod]]="","",Table1[[#This Row],[mod]])</f>
        <v>object__fill</v>
      </c>
      <c r="K17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71" t="s">
        <v>84</v>
      </c>
      <c r="M1771" t="s">
        <v>7390</v>
      </c>
      <c r="Q17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1" s="29" t="s">
        <v>3954</v>
      </c>
      <c r="AC1771" s="25"/>
      <c r="AD1771" s="41"/>
      <c r="AE1771" s="41"/>
      <c r="AF1771" s="11"/>
      <c r="AH1771" s="7" t="str">
        <f>Table1[[#This Row],[html_tag]]&amp;Table1[[#This Row],[html_type]]&amp;Table1[[#This Row],[html_modifier]]</f>
        <v/>
      </c>
      <c r="AL1771" s="23" t="str">
        <f>IFERROR(_xlfn.XLOOKUP(Table1[[#This Row],[word]],Table57[English style name],Table57[Style type]),"")</f>
        <v/>
      </c>
      <c r="AM1771" s="21"/>
      <c r="AN1771" s="11"/>
    </row>
    <row r="1772" spans="6:40">
      <c r="F17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72" s="13"/>
      <c r="H1772" s="13"/>
      <c r="I1772" s="12" t="str">
        <f>Table1[[#This Row],[type]]</f>
        <v>object</v>
      </c>
      <c r="J1772" s="62" t="str">
        <f>Table1[[#This Row],[Column42]]&amp;IF(Table1[[#This Row],[Column13]]="","",Table1[[#This Row],[Column13]])&amp;IF(Table1[[#This Row],[mod]]="","",Table1[[#This Row],[mod]])</f>
        <v>object__fill</v>
      </c>
      <c r="K17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72" t="s">
        <v>84</v>
      </c>
      <c r="M1772" t="s">
        <v>7390</v>
      </c>
      <c r="Q17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2" s="29" t="s">
        <v>3955</v>
      </c>
      <c r="AC1772" s="25"/>
      <c r="AD1772" s="41"/>
      <c r="AE1772" s="41"/>
      <c r="AF1772" s="11"/>
      <c r="AH1772" s="7" t="str">
        <f>Table1[[#This Row],[html_tag]]&amp;Table1[[#This Row],[html_type]]&amp;Table1[[#This Row],[html_modifier]]</f>
        <v/>
      </c>
      <c r="AL1772" s="23" t="str">
        <f>IFERROR(_xlfn.XLOOKUP(Table1[[#This Row],[word]],Table57[English style name],Table57[Style type]),"")</f>
        <v/>
      </c>
      <c r="AM1772" s="21"/>
      <c r="AN1772" s="11"/>
    </row>
    <row r="1773" spans="6:40">
      <c r="F17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73" s="13"/>
      <c r="H1773" s="13"/>
      <c r="I1773" s="12" t="str">
        <f>Table1[[#This Row],[type]]</f>
        <v>object</v>
      </c>
      <c r="J1773" s="62" t="str">
        <f>Table1[[#This Row],[Column42]]&amp;IF(Table1[[#This Row],[Column13]]="","",Table1[[#This Row],[Column13]])&amp;IF(Table1[[#This Row],[mod]]="","",Table1[[#This Row],[mod]])</f>
        <v>object__fill</v>
      </c>
      <c r="K17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73" t="s">
        <v>84</v>
      </c>
      <c r="M1773" t="s">
        <v>7390</v>
      </c>
      <c r="Q17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3" s="29" t="s">
        <v>3956</v>
      </c>
      <c r="AC1773" s="25"/>
      <c r="AD1773" s="41"/>
      <c r="AE1773" s="41"/>
      <c r="AF1773" s="11"/>
      <c r="AH1773" s="7" t="str">
        <f>Table1[[#This Row],[html_tag]]&amp;Table1[[#This Row],[html_type]]&amp;Table1[[#This Row],[html_modifier]]</f>
        <v/>
      </c>
      <c r="AL1773" s="23" t="str">
        <f>IFERROR(_xlfn.XLOOKUP(Table1[[#This Row],[word]],Table57[English style name],Table57[Style type]),"")</f>
        <v/>
      </c>
      <c r="AM1773" s="21"/>
      <c r="AN1773" s="11"/>
    </row>
    <row r="1774" spans="6:40">
      <c r="F17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74" s="13"/>
      <c r="H1774" s="13"/>
      <c r="I1774" s="12" t="str">
        <f>Table1[[#This Row],[type]]</f>
        <v>object</v>
      </c>
      <c r="J1774" s="62" t="str">
        <f>Table1[[#This Row],[Column42]]&amp;IF(Table1[[#This Row],[Column13]]="","",Table1[[#This Row],[Column13]])&amp;IF(Table1[[#This Row],[mod]]="","",Table1[[#This Row],[mod]])</f>
        <v>object__fill</v>
      </c>
      <c r="K17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74" t="s">
        <v>84</v>
      </c>
      <c r="M1774" t="s">
        <v>7390</v>
      </c>
      <c r="Q17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4" s="29" t="s">
        <v>3957</v>
      </c>
      <c r="AC1774" s="25"/>
      <c r="AD1774" s="41"/>
      <c r="AE1774" s="41"/>
      <c r="AF1774" s="11"/>
      <c r="AH1774" s="7" t="str">
        <f>Table1[[#This Row],[html_tag]]&amp;Table1[[#This Row],[html_type]]&amp;Table1[[#This Row],[html_modifier]]</f>
        <v/>
      </c>
      <c r="AL1774" s="23" t="str">
        <f>IFERROR(_xlfn.XLOOKUP(Table1[[#This Row],[word]],Table57[English style name],Table57[Style type]),"")</f>
        <v/>
      </c>
      <c r="AM1774" s="21"/>
      <c r="AN1774" s="11"/>
    </row>
    <row r="1775" spans="6:40">
      <c r="F17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75" s="13"/>
      <c r="H1775" s="13"/>
      <c r="I1775" s="12" t="str">
        <f>Table1[[#This Row],[type]]</f>
        <v>object</v>
      </c>
      <c r="J1775" s="62" t="str">
        <f>Table1[[#This Row],[Column42]]&amp;IF(Table1[[#This Row],[Column13]]="","",Table1[[#This Row],[Column13]])&amp;IF(Table1[[#This Row],[mod]]="","",Table1[[#This Row],[mod]])</f>
        <v>object__fill</v>
      </c>
      <c r="K17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75" t="s">
        <v>84</v>
      </c>
      <c r="M1775" t="s">
        <v>7390</v>
      </c>
      <c r="Q17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5" s="29" t="s">
        <v>3958</v>
      </c>
      <c r="AC1775" s="25"/>
      <c r="AD1775" s="41"/>
      <c r="AE1775" s="41"/>
      <c r="AF1775" s="11"/>
      <c r="AH1775" s="7" t="str">
        <f>Table1[[#This Row],[html_tag]]&amp;Table1[[#This Row],[html_type]]&amp;Table1[[#This Row],[html_modifier]]</f>
        <v/>
      </c>
      <c r="AL1775" s="23" t="str">
        <f>IFERROR(_xlfn.XLOOKUP(Table1[[#This Row],[word]],Table57[English style name],Table57[Style type]),"")</f>
        <v/>
      </c>
      <c r="AM1775" s="21"/>
      <c r="AN1775" s="11"/>
    </row>
    <row r="1776" spans="6:40">
      <c r="F17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76" s="13"/>
      <c r="H1776" s="13"/>
      <c r="I1776" s="12" t="str">
        <f>Table1[[#This Row],[type]]</f>
        <v>object</v>
      </c>
      <c r="J1776" s="62" t="str">
        <f>Table1[[#This Row],[Column42]]&amp;IF(Table1[[#This Row],[Column13]]="","",Table1[[#This Row],[Column13]])&amp;IF(Table1[[#This Row],[mod]]="","",Table1[[#This Row],[mod]])</f>
        <v>object__fill</v>
      </c>
      <c r="K17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76" t="s">
        <v>84</v>
      </c>
      <c r="M1776" t="s">
        <v>7390</v>
      </c>
      <c r="Q17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6" s="29" t="s">
        <v>3959</v>
      </c>
      <c r="AC1776" s="25"/>
      <c r="AD1776" s="41"/>
      <c r="AE1776" s="41"/>
      <c r="AF1776" s="11"/>
      <c r="AH1776" s="7" t="str">
        <f>Table1[[#This Row],[html_tag]]&amp;Table1[[#This Row],[html_type]]&amp;Table1[[#This Row],[html_modifier]]</f>
        <v/>
      </c>
      <c r="AL1776" s="23" t="str">
        <f>IFERROR(_xlfn.XLOOKUP(Table1[[#This Row],[word]],Table57[English style name],Table57[Style type]),"")</f>
        <v/>
      </c>
      <c r="AM1776" s="21"/>
      <c r="AN1776" s="11"/>
    </row>
    <row r="1777" spans="6:44">
      <c r="F17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77" s="13" t="s">
        <v>2992</v>
      </c>
      <c r="H1777" s="13" t="s">
        <v>84</v>
      </c>
      <c r="I1777" s="12" t="str">
        <f>Table1[[#This Row],[type]]</f>
        <v>object</v>
      </c>
      <c r="J1777" s="62" t="str">
        <f>Table1[[#This Row],[Column42]]&amp;IF(Table1[[#This Row],[Column13]]="","",Table1[[#This Row],[Column13]])&amp;IF(Table1[[#This Row],[mod]]="","",Table1[[#This Row],[mod]])</f>
        <v>object__left</v>
      </c>
      <c r="K17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object__left</v>
      </c>
      <c r="L1777" t="s">
        <v>84</v>
      </c>
      <c r="N1777" t="s">
        <v>616</v>
      </c>
      <c r="P1777" s="6" t="s">
        <v>2522</v>
      </c>
      <c r="Q17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7" s="29"/>
      <c r="AC1777" s="25"/>
      <c r="AD1777" s="41"/>
      <c r="AE1777" s="41"/>
      <c r="AF1777" s="11"/>
      <c r="AH1777" s="1" t="str">
        <f>Table1[[#This Row],[html_tag]]&amp;Table1[[#This Row],[html_type]]&amp;Table1[[#This Row],[html_modifier]]</f>
        <v/>
      </c>
      <c r="AL1777" s="22" t="str">
        <f>IFERROR(_xlfn.XLOOKUP(Table1[[#This Row],[word]],Table57[English style name],Table57[Style type]),"")</f>
        <v/>
      </c>
      <c r="AM1777" s="20"/>
      <c r="AN1777" s="11"/>
      <c r="AQ1777" s="6" t="s">
        <v>2522</v>
      </c>
      <c r="AR1777" t="s">
        <v>2509</v>
      </c>
    </row>
    <row r="1778" spans="6:44">
      <c r="F17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78" s="13" t="s">
        <v>2992</v>
      </c>
      <c r="H1778" s="13" t="s">
        <v>84</v>
      </c>
      <c r="I1778" s="12" t="str">
        <f>Table1[[#This Row],[type]]</f>
        <v>object</v>
      </c>
      <c r="J1778" s="62" t="str">
        <f>Table1[[#This Row],[Column42]]&amp;IF(Table1[[#This Row],[Column13]]="","",Table1[[#This Row],[Column13]])&amp;IF(Table1[[#This Row],[mod]]="","",Table1[[#This Row],[mod]])</f>
        <v>object__right</v>
      </c>
      <c r="K17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object__right</v>
      </c>
      <c r="L1778" t="s">
        <v>84</v>
      </c>
      <c r="N1778" t="s">
        <v>617</v>
      </c>
      <c r="P1778" s="6" t="s">
        <v>2517</v>
      </c>
      <c r="Q17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8" s="29"/>
      <c r="AC1778" s="25"/>
      <c r="AD1778" s="41"/>
      <c r="AE1778" s="41"/>
      <c r="AF1778" s="11"/>
      <c r="AH1778" s="1" t="str">
        <f>Table1[[#This Row],[html_tag]]&amp;Table1[[#This Row],[html_type]]&amp;Table1[[#This Row],[html_modifier]]</f>
        <v/>
      </c>
      <c r="AL1778" s="22" t="str">
        <f>IFERROR(_xlfn.XLOOKUP(Table1[[#This Row],[word]],Table57[English style name],Table57[Style type]),"")</f>
        <v/>
      </c>
      <c r="AM1778" s="20"/>
      <c r="AN1778" s="11"/>
      <c r="AQ1778" s="6" t="s">
        <v>2517</v>
      </c>
      <c r="AR1778" t="s">
        <v>2509</v>
      </c>
    </row>
    <row r="1779" spans="6:44">
      <c r="F17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79" s="13" t="s">
        <v>461</v>
      </c>
      <c r="H1779" s="13" t="s">
        <v>2991</v>
      </c>
      <c r="I1779" s="12" t="str">
        <f>Table1[[#This Row],[type]]</f>
        <v>object</v>
      </c>
      <c r="J1779" s="62" t="str">
        <f>Table1[[#This Row],[Column42]]&amp;IF(Table1[[#This Row],[Column13]]="","",Table1[[#This Row],[Column13]])&amp;IF(Table1[[#This Row],[mod]]="","",Table1[[#This Row],[mod]])</f>
        <v>object__start</v>
      </c>
      <c r="K17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object__start</v>
      </c>
      <c r="L1779" t="s">
        <v>84</v>
      </c>
      <c r="N1779" t="s">
        <v>3193</v>
      </c>
      <c r="P1779" s="6" t="s">
        <v>2155</v>
      </c>
      <c r="Q17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9" s="29"/>
      <c r="AC1779" s="25"/>
      <c r="AD1779" s="41"/>
      <c r="AE1779" s="41"/>
      <c r="AF1779" s="11"/>
      <c r="AH1779" s="1" t="str">
        <f>Table1[[#This Row],[html_tag]]&amp;Table1[[#This Row],[html_type]]&amp;Table1[[#This Row],[html_modifier]]</f>
        <v/>
      </c>
      <c r="AL1779" s="22" t="str">
        <f>IFERROR(_xlfn.XLOOKUP(Table1[[#This Row],[word]],Table57[English style name],Table57[Style type]),"")</f>
        <v/>
      </c>
      <c r="AM1779" s="20"/>
      <c r="AN1779" s="11"/>
      <c r="AQ1779" s="6" t="s">
        <v>2155</v>
      </c>
      <c r="AR1779" t="s">
        <v>2147</v>
      </c>
    </row>
    <row r="1780" spans="6:44">
      <c r="F17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80" s="13" t="s">
        <v>2992</v>
      </c>
      <c r="H1780" s="13" t="s">
        <v>84</v>
      </c>
      <c r="I1780" s="12" t="str">
        <f>Table1[[#This Row],[type]]</f>
        <v>object</v>
      </c>
      <c r="J1780" s="62" t="str">
        <f>Table1[[#This Row],[Column42]]&amp;IF(Table1[[#This Row],[Column13]]="","",Table1[[#This Row],[Column13]])&amp;IF(Table1[[#This Row],[mod]]="","",Table1[[#This Row],[mod]])</f>
        <v>object__top</v>
      </c>
      <c r="K17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object__top</v>
      </c>
      <c r="L1780" t="s">
        <v>84</v>
      </c>
      <c r="N1780" t="s">
        <v>3182</v>
      </c>
      <c r="P1780" s="6" t="s">
        <v>2523</v>
      </c>
      <c r="Q17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0" s="29"/>
      <c r="AC1780" s="25"/>
      <c r="AD1780" s="41"/>
      <c r="AE1780" s="41"/>
      <c r="AF1780" s="11"/>
      <c r="AH1780" s="1" t="str">
        <f>Table1[[#This Row],[html_tag]]&amp;Table1[[#This Row],[html_type]]&amp;Table1[[#This Row],[html_modifier]]</f>
        <v/>
      </c>
      <c r="AL1780" s="22" t="str">
        <f>IFERROR(_xlfn.XLOOKUP(Table1[[#This Row],[word]],Table57[English style name],Table57[Style type]),"")</f>
        <v/>
      </c>
      <c r="AM1780" s="20"/>
      <c r="AN1780" s="11"/>
      <c r="AQ1780" s="6" t="s">
        <v>2523</v>
      </c>
      <c r="AR1780" t="s">
        <v>2509</v>
      </c>
    </row>
    <row r="1781" spans="6:44">
      <c r="F17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81" s="13" t="s">
        <v>461</v>
      </c>
      <c r="H1781" s="13" t="s">
        <v>2991</v>
      </c>
      <c r="I1781" s="12" t="str">
        <f>Table1[[#This Row],[type]]</f>
        <v>object</v>
      </c>
      <c r="J1781" s="62" t="str">
        <f>Table1[[#This Row],[Column42]]&amp;IF(Table1[[#This Row],[Column13]]="","",Table1[[#This Row],[Column13]])&amp;IF(Table1[[#This Row],[mod]]="","",Table1[[#This Row],[mod]])</f>
        <v>object__top</v>
      </c>
      <c r="K17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object__top</v>
      </c>
      <c r="L1781" t="s">
        <v>84</v>
      </c>
      <c r="N1781" t="s">
        <v>3182</v>
      </c>
      <c r="P1781" s="6" t="s">
        <v>2156</v>
      </c>
      <c r="Q17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1" s="29"/>
      <c r="AC1781" s="25"/>
      <c r="AD1781" s="41"/>
      <c r="AE1781" s="41"/>
      <c r="AF1781" s="11"/>
      <c r="AH1781" s="1" t="str">
        <f>Table1[[#This Row],[html_tag]]&amp;Table1[[#This Row],[html_type]]&amp;Table1[[#This Row],[html_modifier]]</f>
        <v/>
      </c>
      <c r="AL1781" s="22" t="str">
        <f>IFERROR(_xlfn.XLOOKUP(Table1[[#This Row],[word]],Table57[English style name],Table57[Style type]),"")</f>
        <v/>
      </c>
      <c r="AM1781" s="20"/>
      <c r="AN1781" s="11"/>
      <c r="AQ1781" s="6" t="s">
        <v>2156</v>
      </c>
      <c r="AR1781" t="s">
        <v>2147</v>
      </c>
    </row>
    <row r="1782" spans="6:44">
      <c r="F17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82" s="13" t="s">
        <v>2992</v>
      </c>
      <c r="H1782" s="13" t="s">
        <v>84</v>
      </c>
      <c r="I1782" s="12" t="str">
        <f>Table1[[#This Row],[type]]</f>
        <v>object</v>
      </c>
      <c r="J1782" s="62" t="str">
        <f>Table1[[#This Row],[Column42]]&amp;IF(Table1[[#This Row],[Column13]]="","",Table1[[#This Row],[Column13]])&amp;IF(Table1[[#This Row],[mod]]="","",Table1[[#This Row],[mod]])</f>
        <v>object__top_left</v>
      </c>
      <c r="K17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object__top_left</v>
      </c>
      <c r="L1782" t="s">
        <v>84</v>
      </c>
      <c r="N1782" t="s">
        <v>3184</v>
      </c>
      <c r="P1782" s="6" t="s">
        <v>2524</v>
      </c>
      <c r="Q17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2" s="29"/>
      <c r="AC1782" s="25"/>
      <c r="AD1782" s="41"/>
      <c r="AE1782" s="41"/>
      <c r="AF1782" s="11"/>
      <c r="AH1782" s="1" t="str">
        <f>Table1[[#This Row],[html_tag]]&amp;Table1[[#This Row],[html_type]]&amp;Table1[[#This Row],[html_modifier]]</f>
        <v/>
      </c>
      <c r="AL1782" s="22" t="str">
        <f>IFERROR(_xlfn.XLOOKUP(Table1[[#This Row],[word]],Table57[English style name],Table57[Style type]),"")</f>
        <v/>
      </c>
      <c r="AM1782" s="20"/>
      <c r="AN1782" s="11"/>
      <c r="AQ1782" s="6" t="s">
        <v>2524</v>
      </c>
      <c r="AR1782" t="s">
        <v>2509</v>
      </c>
    </row>
    <row r="1783" spans="6:44">
      <c r="F17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83" s="13" t="s">
        <v>2992</v>
      </c>
      <c r="H1783" s="13" t="s">
        <v>84</v>
      </c>
      <c r="I1783" s="12" t="str">
        <f>Table1[[#This Row],[type]]</f>
        <v>object</v>
      </c>
      <c r="J1783" s="62" t="str">
        <f>Table1[[#This Row],[Column42]]&amp;IF(Table1[[#This Row],[Column13]]="","",Table1[[#This Row],[Column13]])&amp;IF(Table1[[#This Row],[mod]]="","",Table1[[#This Row],[mod]])</f>
        <v>object__top_right</v>
      </c>
      <c r="K17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object__top_right</v>
      </c>
      <c r="L1783" t="s">
        <v>84</v>
      </c>
      <c r="N1783" t="s">
        <v>3185</v>
      </c>
      <c r="P1783" s="6" t="s">
        <v>2525</v>
      </c>
      <c r="Q17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3" s="29"/>
      <c r="AC1783" s="25"/>
      <c r="AD1783" s="41"/>
      <c r="AE1783" s="41"/>
      <c r="AF1783" s="11"/>
      <c r="AH1783" s="1" t="str">
        <f>Table1[[#This Row],[html_tag]]&amp;Table1[[#This Row],[html_type]]&amp;Table1[[#This Row],[html_modifier]]</f>
        <v/>
      </c>
      <c r="AL1783" s="22" t="str">
        <f>IFERROR(_xlfn.XLOOKUP(Table1[[#This Row],[word]],Table57[English style name],Table57[Style type]),"")</f>
        <v/>
      </c>
      <c r="AM1783" s="20"/>
      <c r="AN1783" s="11"/>
      <c r="AQ1783" s="6" t="s">
        <v>2525</v>
      </c>
      <c r="AR1783" t="s">
        <v>2509</v>
      </c>
    </row>
    <row r="1784" spans="6:44">
      <c r="F17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84" s="13" t="s">
        <v>2992</v>
      </c>
      <c r="H1784" s="13" t="s">
        <v>84</v>
      </c>
      <c r="I1784" s="12" t="str">
        <f>Table1[[#This Row],[type]]</f>
        <v>object</v>
      </c>
      <c r="J1784" s="62" t="str">
        <f>Table1[[#This Row],[Column42]]&amp;IF(Table1[[#This Row],[Column13]]="","",Table1[[#This Row],[Column13]])&amp;IF(Table1[[#This Row],[mod]]="","",Table1[[#This Row],[mod]])</f>
        <v>object--round</v>
      </c>
      <c r="K17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</v>
      </c>
      <c r="L1784" t="s">
        <v>84</v>
      </c>
      <c r="P1784" s="6" t="s">
        <v>2520</v>
      </c>
      <c r="Q17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784" s="3" t="s">
        <v>3204</v>
      </c>
      <c r="X1784" s="3"/>
      <c r="AB1784" s="29"/>
      <c r="AC1784" s="25"/>
      <c r="AD1784" s="41"/>
      <c r="AE1784" s="41"/>
      <c r="AF1784" s="11"/>
      <c r="AH1784" s="1" t="str">
        <f>Table1[[#This Row],[html_tag]]&amp;Table1[[#This Row],[html_type]]&amp;Table1[[#This Row],[html_modifier]]</f>
        <v/>
      </c>
      <c r="AL1784" s="22" t="str">
        <f>IFERROR(_xlfn.XLOOKUP(Table1[[#This Row],[word]],Table57[English style name],Table57[Style type]),"")</f>
        <v/>
      </c>
      <c r="AM1784" s="20"/>
      <c r="AN1784" s="11"/>
      <c r="AQ1784" s="6" t="s">
        <v>2520</v>
      </c>
      <c r="AR1784" t="s">
        <v>2509</v>
      </c>
    </row>
    <row r="1785" spans="6:44">
      <c r="F17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85" s="13" t="s">
        <v>337</v>
      </c>
      <c r="H1785" s="13" t="s">
        <v>2988</v>
      </c>
      <c r="I1785" s="12" t="str">
        <f>Table1[[#This Row],[type]]</f>
        <v>offcanvas</v>
      </c>
      <c r="J1785" s="62" t="str">
        <f>Table1[[#This Row],[Column42]]&amp;IF(Table1[[#This Row],[Column13]]="","",Table1[[#This Row],[Column13]])&amp;IF(Table1[[#This Row],[mod]]="","",Table1[[#This Row],[mod]])</f>
        <v>offcanvas__body</v>
      </c>
      <c r="K17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offcanvas__body</v>
      </c>
      <c r="L1785" t="s">
        <v>3157</v>
      </c>
      <c r="O1785" t="s">
        <v>337</v>
      </c>
      <c r="Q17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5" s="29"/>
      <c r="AC1785" s="25"/>
      <c r="AD1785" s="41"/>
      <c r="AE1785" s="41"/>
      <c r="AF1785" s="11"/>
      <c r="AH1785" s="1" t="str">
        <f>Table1[[#This Row],[html_tag]]&amp;Table1[[#This Row],[html_type]]&amp;Table1[[#This Row],[html_modifier]]</f>
        <v/>
      </c>
      <c r="AL1785" s="22" t="str">
        <f>IFERROR(_xlfn.XLOOKUP(Table1[[#This Row],[word]],Table57[English style name],Table57[Style type]),"")</f>
        <v/>
      </c>
      <c r="AM1785" s="20"/>
      <c r="AN1785" s="11"/>
      <c r="AQ1785" s="6" t="s">
        <v>2163</v>
      </c>
      <c r="AR1785" t="s">
        <v>2161</v>
      </c>
    </row>
    <row r="1786" spans="6:44">
      <c r="F17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86" s="13" t="s">
        <v>337</v>
      </c>
      <c r="H1786" s="13" t="s">
        <v>2988</v>
      </c>
      <c r="I1786" s="12" t="str">
        <f>Table1[[#This Row],[type]]</f>
        <v>offcanvas</v>
      </c>
      <c r="J1786" s="62" t="str">
        <f>Table1[[#This Row],[Column42]]&amp;IF(Table1[[#This Row],[Column13]]="","",Table1[[#This Row],[Column13]])&amp;IF(Table1[[#This Row],[mod]]="","",Table1[[#This Row],[mod]])</f>
        <v>offcanvas__bottom</v>
      </c>
      <c r="K17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offcanvas__bottom</v>
      </c>
      <c r="L1786" t="s">
        <v>3157</v>
      </c>
      <c r="N1786" t="s">
        <v>3186</v>
      </c>
      <c r="Q17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6" s="29"/>
      <c r="AC1786" s="25"/>
      <c r="AD1786" s="41"/>
      <c r="AE1786" s="41"/>
      <c r="AF1786" s="11"/>
      <c r="AH1786" s="1" t="str">
        <f>Table1[[#This Row],[html_tag]]&amp;Table1[[#This Row],[html_type]]&amp;Table1[[#This Row],[html_modifier]]</f>
        <v/>
      </c>
      <c r="AL1786" s="22" t="str">
        <f>IFERROR(_xlfn.XLOOKUP(Table1[[#This Row],[word]],Table57[English style name],Table57[Style type]),"")</f>
        <v/>
      </c>
      <c r="AM1786" s="20"/>
      <c r="AN1786" s="11"/>
      <c r="AQ1786" s="6" t="s">
        <v>2164</v>
      </c>
      <c r="AR1786" t="s">
        <v>2161</v>
      </c>
    </row>
    <row r="1787" spans="6:44">
      <c r="F17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87" s="13" t="s">
        <v>337</v>
      </c>
      <c r="H1787" s="13" t="s">
        <v>2988</v>
      </c>
      <c r="I1787" s="12" t="str">
        <f>Table1[[#This Row],[type]]</f>
        <v>offcanvas</v>
      </c>
      <c r="J1787" s="62" t="str">
        <f>Table1[[#This Row],[Column42]]&amp;IF(Table1[[#This Row],[Column13]]="","",Table1[[#This Row],[Column13]])&amp;IF(Table1[[#This Row],[mod]]="","",Table1[[#This Row],[mod]])</f>
        <v>offcanvas__end</v>
      </c>
      <c r="K17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offcanvas__end</v>
      </c>
      <c r="L1787" t="s">
        <v>3157</v>
      </c>
      <c r="N1787" t="s">
        <v>3194</v>
      </c>
      <c r="Q17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7" s="29"/>
      <c r="AC1787" s="25"/>
      <c r="AD1787" s="41"/>
      <c r="AE1787" s="41"/>
      <c r="AF1787" s="11"/>
      <c r="AH1787" s="1" t="str">
        <f>Table1[[#This Row],[html_tag]]&amp;Table1[[#This Row],[html_type]]&amp;Table1[[#This Row],[html_modifier]]</f>
        <v/>
      </c>
      <c r="AL1787" s="22" t="str">
        <f>IFERROR(_xlfn.XLOOKUP(Table1[[#This Row],[word]],Table57[English style name],Table57[Style type]),"")</f>
        <v/>
      </c>
      <c r="AM1787" s="20"/>
      <c r="AN1787" s="11"/>
      <c r="AQ1787" s="6" t="s">
        <v>2167</v>
      </c>
      <c r="AR1787" t="s">
        <v>2161</v>
      </c>
    </row>
    <row r="1788" spans="6:44">
      <c r="F17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88" s="13" t="s">
        <v>337</v>
      </c>
      <c r="H1788" s="13" t="s">
        <v>2988</v>
      </c>
      <c r="I1788" s="12" t="str">
        <f>Table1[[#This Row],[type]]</f>
        <v>offcanvas</v>
      </c>
      <c r="J1788" s="62" t="str">
        <f>Table1[[#This Row],[Column42]]&amp;IF(Table1[[#This Row],[Column13]]="","",Table1[[#This Row],[Column13]])&amp;IF(Table1[[#This Row],[mod]]="","",Table1[[#This Row],[mod]])</f>
        <v>offcanvas__header</v>
      </c>
      <c r="K17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offcanvas__header</v>
      </c>
      <c r="L1788" t="s">
        <v>3157</v>
      </c>
      <c r="O1788" t="s">
        <v>465</v>
      </c>
      <c r="Q17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8" s="29"/>
      <c r="AC1788" s="25"/>
      <c r="AD1788" s="41"/>
      <c r="AE1788" s="41"/>
      <c r="AF1788" s="11"/>
      <c r="AH1788" s="1" t="str">
        <f>Table1[[#This Row],[html_tag]]&amp;Table1[[#This Row],[html_type]]&amp;Table1[[#This Row],[html_modifier]]</f>
        <v/>
      </c>
      <c r="AL1788" s="22" t="str">
        <f>IFERROR(_xlfn.XLOOKUP(Table1[[#This Row],[word]],Table57[English style name],Table57[Style type]),"")</f>
        <v/>
      </c>
      <c r="AM1788" s="20"/>
      <c r="AN1788" s="11"/>
      <c r="AQ1788" s="6" t="s">
        <v>2168</v>
      </c>
      <c r="AR1788" t="s">
        <v>2161</v>
      </c>
    </row>
    <row r="1789" spans="6:44">
      <c r="F17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89" s="13" t="s">
        <v>337</v>
      </c>
      <c r="H1789" s="13" t="s">
        <v>2988</v>
      </c>
      <c r="I1789" s="12" t="str">
        <f>Table1[[#This Row],[type]]</f>
        <v>offcanvas</v>
      </c>
      <c r="J1789" s="62" t="str">
        <f>Table1[[#This Row],[Column42]]&amp;IF(Table1[[#This Row],[Column13]]="","",Table1[[#This Row],[Column13]])&amp;IF(Table1[[#This Row],[mod]]="","",Table1[[#This Row],[mod]])</f>
        <v>offcanvas__start</v>
      </c>
      <c r="K17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offcanvas__start</v>
      </c>
      <c r="L1789" t="s">
        <v>3157</v>
      </c>
      <c r="N1789" t="s">
        <v>3193</v>
      </c>
      <c r="Q17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9" s="29"/>
      <c r="AC1789" s="25"/>
      <c r="AD1789" s="41"/>
      <c r="AE1789" s="41"/>
      <c r="AF1789" s="11"/>
      <c r="AH1789" s="1" t="str">
        <f>Table1[[#This Row],[html_tag]]&amp;Table1[[#This Row],[html_type]]&amp;Table1[[#This Row],[html_modifier]]</f>
        <v/>
      </c>
      <c r="AL1789" s="22" t="str">
        <f>IFERROR(_xlfn.XLOOKUP(Table1[[#This Row],[word]],Table57[English style name],Table57[Style type]),"")</f>
        <v/>
      </c>
      <c r="AM1789" s="20"/>
      <c r="AN1789" s="11"/>
      <c r="AQ1789" s="6" t="s">
        <v>2172</v>
      </c>
      <c r="AR1789" t="s">
        <v>2161</v>
      </c>
    </row>
    <row r="1790" spans="6:44">
      <c r="F17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0" s="13" t="s">
        <v>337</v>
      </c>
      <c r="H1790" s="13" t="s">
        <v>2988</v>
      </c>
      <c r="I1790" s="12" t="str">
        <f>Table1[[#This Row],[type]]</f>
        <v>offcanvas</v>
      </c>
      <c r="J1790" s="62" t="str">
        <f>Table1[[#This Row],[Column42]]&amp;IF(Table1[[#This Row],[Column13]]="","",Table1[[#This Row],[Column13]])&amp;IF(Table1[[#This Row],[mod]]="","",Table1[[#This Row],[mod]])</f>
        <v>offcanvas__title</v>
      </c>
      <c r="K17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offcanvas__title</v>
      </c>
      <c r="L1790" t="s">
        <v>3157</v>
      </c>
      <c r="O1790" t="s">
        <v>333</v>
      </c>
      <c r="Q17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0" s="29"/>
      <c r="AC1790" s="25"/>
      <c r="AD1790" s="41"/>
      <c r="AE1790" s="41"/>
      <c r="AF1790" s="11"/>
      <c r="AH1790" s="1" t="str">
        <f>Table1[[#This Row],[html_tag]]&amp;Table1[[#This Row],[html_type]]&amp;Table1[[#This Row],[html_modifier]]</f>
        <v/>
      </c>
      <c r="AL1790" s="22" t="str">
        <f>IFERROR(_xlfn.XLOOKUP(Table1[[#This Row],[word]],Table57[English style name],Table57[Style type]),"")</f>
        <v/>
      </c>
      <c r="AM1790" s="20"/>
      <c r="AN1790" s="11"/>
      <c r="AQ1790" s="6" t="s">
        <v>2174</v>
      </c>
      <c r="AR1790" t="s">
        <v>2161</v>
      </c>
    </row>
    <row r="1791" spans="6:44">
      <c r="F17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1" s="13" t="s">
        <v>337</v>
      </c>
      <c r="H1791" s="13" t="s">
        <v>2988</v>
      </c>
      <c r="I1791" s="12" t="str">
        <f>Table1[[#This Row],[type]]</f>
        <v>offcanvas</v>
      </c>
      <c r="J1791" s="62" t="str">
        <f>Table1[[#This Row],[Column42]]&amp;IF(Table1[[#This Row],[Column13]]="","",Table1[[#This Row],[Column13]])&amp;IF(Table1[[#This Row],[mod]]="","",Table1[[#This Row],[mod]])</f>
        <v>offcanvas__top</v>
      </c>
      <c r="K17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offcanvas__top</v>
      </c>
      <c r="L1791" t="s">
        <v>3157</v>
      </c>
      <c r="N1791" t="s">
        <v>3182</v>
      </c>
      <c r="Q17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1" s="29"/>
      <c r="AC1791" s="25"/>
      <c r="AD1791" s="41"/>
      <c r="AE1791" s="41"/>
      <c r="AF1791" s="11"/>
      <c r="AH1791" s="1" t="str">
        <f>Table1[[#This Row],[html_tag]]&amp;Table1[[#This Row],[html_type]]&amp;Table1[[#This Row],[html_modifier]]</f>
        <v/>
      </c>
      <c r="AL1791" s="22" t="str">
        <f>IFERROR(_xlfn.XLOOKUP(Table1[[#This Row],[word]],Table57[English style name],Table57[Style type]),"")</f>
        <v/>
      </c>
      <c r="AM1791" s="20"/>
      <c r="AN1791" s="11"/>
      <c r="AQ1791" s="6" t="s">
        <v>2175</v>
      </c>
      <c r="AR1791" t="s">
        <v>2161</v>
      </c>
    </row>
    <row r="1792" spans="6:44">
      <c r="F17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2" s="13" t="s">
        <v>337</v>
      </c>
      <c r="H1792" s="13" t="s">
        <v>2988</v>
      </c>
      <c r="I1792" s="12" t="str">
        <f>Table1[[#This Row],[type]]</f>
        <v>offcanvas</v>
      </c>
      <c r="J1792" s="62" t="str">
        <f>Table1[[#This Row],[Column42]]&amp;IF(Table1[[#This Row],[Column13]]="","",Table1[[#This Row],[Column13]])&amp;IF(Table1[[#This Row],[mod]]="","",Table1[[#This Row],[mod]])</f>
        <v>offcanvas--backdrop</v>
      </c>
      <c r="K17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2" t="s">
        <v>3157</v>
      </c>
      <c r="Q17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--backdrop</v>
      </c>
      <c r="R1792" t="s">
        <v>7419</v>
      </c>
      <c r="U17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2" s="29"/>
      <c r="AC1792" s="25"/>
      <c r="AD1792" s="41"/>
      <c r="AE1792" s="41"/>
      <c r="AF1792" s="11"/>
      <c r="AH1792" s="1" t="str">
        <f>Table1[[#This Row],[html_tag]]&amp;Table1[[#This Row],[html_type]]&amp;Table1[[#This Row],[html_modifier]]</f>
        <v/>
      </c>
      <c r="AL1792" s="22" t="str">
        <f>IFERROR(_xlfn.XLOOKUP(Table1[[#This Row],[word]],Table57[English style name],Table57[Style type]),"")</f>
        <v/>
      </c>
      <c r="AM1792" s="20"/>
      <c r="AN1792" s="11"/>
      <c r="AQ1792" s="6" t="s">
        <v>2160</v>
      </c>
      <c r="AR1792" t="s">
        <v>2161</v>
      </c>
    </row>
    <row r="1793" spans="6:44">
      <c r="F17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3" s="13" t="s">
        <v>337</v>
      </c>
      <c r="H1793" s="13" t="s">
        <v>2988</v>
      </c>
      <c r="I1793" s="12" t="str">
        <f>Table1[[#This Row],[type]]</f>
        <v>offcanvas</v>
      </c>
      <c r="J1793" s="62" t="str">
        <f>Table1[[#This Row],[Column42]]&amp;IF(Table1[[#This Row],[Column13]]="","",Table1[[#This Row],[Column13]])&amp;IF(Table1[[#This Row],[mod]]="","",Table1[[#This Row],[mod]])</f>
        <v>offcanvas--base</v>
      </c>
      <c r="K17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3" t="s">
        <v>3157</v>
      </c>
      <c r="Q17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793" t="s">
        <v>338</v>
      </c>
      <c r="AB1793" s="29"/>
      <c r="AC1793" s="25"/>
      <c r="AD1793" s="41"/>
      <c r="AE1793" s="41"/>
      <c r="AF1793" s="11"/>
      <c r="AH1793" s="1" t="str">
        <f>Table1[[#This Row],[html_tag]]&amp;Table1[[#This Row],[html_type]]&amp;Table1[[#This Row],[html_modifier]]</f>
        <v/>
      </c>
      <c r="AL1793" s="22" t="str">
        <f>IFERROR(_xlfn.XLOOKUP(Table1[[#This Row],[word]],Table57[English style name],Table57[Style type]),"")</f>
        <v/>
      </c>
      <c r="AM1793" s="20"/>
      <c r="AN1793" s="11"/>
      <c r="AQ1793" s="6" t="s">
        <v>2162</v>
      </c>
      <c r="AR1793" t="s">
        <v>2161</v>
      </c>
    </row>
    <row r="1794" spans="6:44">
      <c r="F17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4" s="13" t="s">
        <v>337</v>
      </c>
      <c r="H1794" s="13" t="s">
        <v>2988</v>
      </c>
      <c r="I1794" s="12" t="str">
        <f>Table1[[#This Row],[type]]</f>
        <v>offcanvas</v>
      </c>
      <c r="J1794" s="62" t="str">
        <f>Table1[[#This Row],[Column42]]&amp;IF(Table1[[#This Row],[Column13]]="","",Table1[[#This Row],[Column13]])&amp;IF(Table1[[#This Row],[mod]]="","",Table1[[#This Row],[mod]])</f>
        <v>offcanvas--close</v>
      </c>
      <c r="K17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4" t="s">
        <v>3157</v>
      </c>
      <c r="Q17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R1794" t="s">
        <v>3590</v>
      </c>
      <c r="U17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4" s="29"/>
      <c r="AC1794" s="25"/>
      <c r="AD1794" s="41"/>
      <c r="AE1794" s="41"/>
      <c r="AF1794" s="11"/>
      <c r="AH1794" s="1" t="str">
        <f>Table1[[#This Row],[html_tag]]&amp;Table1[[#This Row],[html_type]]&amp;Table1[[#This Row],[html_modifier]]</f>
        <v/>
      </c>
      <c r="AL1794" s="22" t="str">
        <f>IFERROR(_xlfn.XLOOKUP(Table1[[#This Row],[word]],Table57[English style name],Table57[Style type]),"")</f>
        <v/>
      </c>
      <c r="AM1794" s="20"/>
      <c r="AN1794" s="11"/>
      <c r="AQ1794" s="6" t="s">
        <v>2165</v>
      </c>
      <c r="AR1794" t="s">
        <v>2161</v>
      </c>
    </row>
    <row r="1795" spans="6:44">
      <c r="F17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5" s="13" t="s">
        <v>337</v>
      </c>
      <c r="H1795" s="13" t="s">
        <v>2988</v>
      </c>
      <c r="I1795" s="12" t="str">
        <f>Table1[[#This Row],[type]]</f>
        <v>offcanvas</v>
      </c>
      <c r="J1795" s="62" t="str">
        <f>Table1[[#This Row],[Column42]]&amp;IF(Table1[[#This Row],[Column13]]="","",Table1[[#This Row],[Column13]])&amp;IF(Table1[[#This Row],[mod]]="","",Table1[[#This Row],[mod]])</f>
        <v>offcanvas--dark</v>
      </c>
      <c r="K17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5" t="s">
        <v>3157</v>
      </c>
      <c r="Q17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795" t="s">
        <v>3501</v>
      </c>
      <c r="AB1795" s="29"/>
      <c r="AC1795" s="25"/>
      <c r="AD1795" s="41"/>
      <c r="AE1795" s="41"/>
      <c r="AF1795" s="11"/>
      <c r="AH1795" s="1" t="str">
        <f>Table1[[#This Row],[html_tag]]&amp;Table1[[#This Row],[html_type]]&amp;Table1[[#This Row],[html_modifier]]</f>
        <v/>
      </c>
      <c r="AL1795" s="22" t="str">
        <f>IFERROR(_xlfn.XLOOKUP(Table1[[#This Row],[word]],Table57[English style name],Table57[Style type]),"")</f>
        <v/>
      </c>
      <c r="AM1795" s="20"/>
      <c r="AN1795" s="11"/>
      <c r="AQ1795" s="6" t="s">
        <v>2166</v>
      </c>
      <c r="AR1795" t="s">
        <v>2161</v>
      </c>
    </row>
    <row r="1796" spans="6:44">
      <c r="F17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6" s="13" t="s">
        <v>337</v>
      </c>
      <c r="H1796" s="13" t="s">
        <v>2988</v>
      </c>
      <c r="I1796" s="12" t="str">
        <f>Table1[[#This Row],[type]]</f>
        <v>offcanvas</v>
      </c>
      <c r="J1796" s="62" t="str">
        <f>Table1[[#This Row],[Column42]]&amp;IF(Table1[[#This Row],[Column13]]="","",Table1[[#This Row],[Column13]])&amp;IF(Table1[[#This Row],[mod]]="","",Table1[[#This Row],[mod]])</f>
        <v>offcanvas--lg</v>
      </c>
      <c r="K17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6" t="s">
        <v>3157</v>
      </c>
      <c r="Q17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796" t="s">
        <v>3114</v>
      </c>
      <c r="AB1796" s="29"/>
      <c r="AC1796" s="25"/>
      <c r="AD1796" s="41"/>
      <c r="AE1796" s="41"/>
      <c r="AF1796" s="11"/>
      <c r="AH1796" s="1" t="str">
        <f>Table1[[#This Row],[html_tag]]&amp;Table1[[#This Row],[html_type]]&amp;Table1[[#This Row],[html_modifier]]</f>
        <v/>
      </c>
      <c r="AL1796" s="22" t="str">
        <f>IFERROR(_xlfn.XLOOKUP(Table1[[#This Row],[word]],Table57[English style name],Table57[Style type]),"")</f>
        <v/>
      </c>
      <c r="AM1796" s="20"/>
      <c r="AN1796" s="11"/>
      <c r="AQ1796" s="6" t="s">
        <v>2169</v>
      </c>
      <c r="AR1796" t="s">
        <v>2161</v>
      </c>
    </row>
    <row r="1797" spans="6:44">
      <c r="F17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7" s="13" t="s">
        <v>337</v>
      </c>
      <c r="H1797" s="13" t="s">
        <v>2988</v>
      </c>
      <c r="I1797" s="12" t="str">
        <f>Table1[[#This Row],[type]]</f>
        <v>offcanvas</v>
      </c>
      <c r="J1797" s="62" t="str">
        <f>Table1[[#This Row],[Column42]]&amp;IF(Table1[[#This Row],[Column13]]="","",Table1[[#This Row],[Column13]])&amp;IF(Table1[[#This Row],[mod]]="","",Table1[[#This Row],[mod]])</f>
        <v>offcanvas--responsive</v>
      </c>
      <c r="K17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7" t="s">
        <v>3157</v>
      </c>
      <c r="Q17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--responsive</v>
      </c>
      <c r="R1797" t="s">
        <v>7420</v>
      </c>
      <c r="U17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7" s="29"/>
      <c r="AC1797" s="25"/>
      <c r="AD1797" s="41"/>
      <c r="AE1797" s="41"/>
      <c r="AF1797" s="11"/>
      <c r="AH1797" s="1" t="str">
        <f>Table1[[#This Row],[html_tag]]&amp;Table1[[#This Row],[html_type]]&amp;Table1[[#This Row],[html_modifier]]</f>
        <v/>
      </c>
      <c r="AL1797" s="22" t="str">
        <f>IFERROR(_xlfn.XLOOKUP(Table1[[#This Row],[word]],Table57[English style name],Table57[Style type]),"")</f>
        <v/>
      </c>
      <c r="AM1797" s="20"/>
      <c r="AN1797" s="11"/>
      <c r="AQ1797" s="6" t="s">
        <v>2170</v>
      </c>
      <c r="AR1797" t="s">
        <v>2161</v>
      </c>
    </row>
    <row r="1798" spans="6:44">
      <c r="F17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8" s="13" t="s">
        <v>337</v>
      </c>
      <c r="H1798" s="13" t="s">
        <v>2988</v>
      </c>
      <c r="I1798" s="12" t="str">
        <f>Table1[[#This Row],[type]]</f>
        <v>offcanvas</v>
      </c>
      <c r="J1798" s="62" t="str">
        <f>Table1[[#This Row],[Column42]]&amp;IF(Table1[[#This Row],[Column13]]="","",Table1[[#This Row],[Column13]])&amp;IF(Table1[[#This Row],[mod]]="","",Table1[[#This Row],[mod]])</f>
        <v>offcanvas--sm</v>
      </c>
      <c r="K17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8" t="s">
        <v>3157</v>
      </c>
      <c r="Q17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798" t="s">
        <v>3116</v>
      </c>
      <c r="AB1798" s="29"/>
      <c r="AC1798" s="25"/>
      <c r="AD1798" s="41"/>
      <c r="AE1798" s="41"/>
      <c r="AF1798" s="11"/>
      <c r="AH1798" s="1" t="str">
        <f>Table1[[#This Row],[html_tag]]&amp;Table1[[#This Row],[html_type]]&amp;Table1[[#This Row],[html_modifier]]</f>
        <v/>
      </c>
      <c r="AL1798" s="22" t="str">
        <f>IFERROR(_xlfn.XLOOKUP(Table1[[#This Row],[word]],Table57[English style name],Table57[Style type]),"")</f>
        <v/>
      </c>
      <c r="AM1798" s="20"/>
      <c r="AN1798" s="11"/>
      <c r="AQ1798" s="6" t="s">
        <v>2171</v>
      </c>
      <c r="AR1798" t="s">
        <v>2161</v>
      </c>
    </row>
    <row r="1799" spans="6:44">
      <c r="F17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9" s="13" t="s">
        <v>337</v>
      </c>
      <c r="H1799" s="13" t="s">
        <v>2988</v>
      </c>
      <c r="I1799" s="12" t="str">
        <f>Table1[[#This Row],[type]]</f>
        <v>offcanvas</v>
      </c>
      <c r="J1799" s="62" t="str">
        <f>Table1[[#This Row],[Column42]]&amp;IF(Table1[[#This Row],[Column13]]="","",Table1[[#This Row],[Column13]])&amp;IF(Table1[[#This Row],[mod]]="","",Table1[[#This Row],[mod]])</f>
        <v>offcanvas--static</v>
      </c>
      <c r="K17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9" t="s">
        <v>3157</v>
      </c>
      <c r="Q17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--static</v>
      </c>
      <c r="R1799" t="s">
        <v>3448</v>
      </c>
      <c r="U17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9" s="29"/>
      <c r="AC1799" s="25"/>
      <c r="AD1799" s="41"/>
      <c r="AE1799" s="41"/>
      <c r="AF1799" s="11"/>
      <c r="AH1799" s="1" t="str">
        <f>Table1[[#This Row],[html_tag]]&amp;Table1[[#This Row],[html_type]]&amp;Table1[[#This Row],[html_modifier]]</f>
        <v/>
      </c>
      <c r="AL1799" s="22" t="str">
        <f>IFERROR(_xlfn.XLOOKUP(Table1[[#This Row],[word]],Table57[English style name],Table57[Style type]),"")</f>
        <v/>
      </c>
      <c r="AM1799" s="20"/>
      <c r="AN1799" s="11"/>
      <c r="AQ1799" s="6" t="s">
        <v>2173</v>
      </c>
      <c r="AR1799" t="s">
        <v>2161</v>
      </c>
    </row>
    <row r="1800" spans="6:44">
      <c r="F18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800" s="13" t="s">
        <v>337</v>
      </c>
      <c r="H1800" s="13" t="s">
        <v>2988</v>
      </c>
      <c r="I1800" s="12" t="str">
        <f>Table1[[#This Row],[type]]</f>
        <v>offcanvas</v>
      </c>
      <c r="J1800" s="62" t="str">
        <f>Table1[[#This Row],[Column42]]&amp;IF(Table1[[#This Row],[Column13]]="","",Table1[[#This Row],[Column13]])&amp;IF(Table1[[#This Row],[mod]]="","",Table1[[#This Row],[mod]])</f>
        <v>offcanvas--xl</v>
      </c>
      <c r="K18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800" t="s">
        <v>3157</v>
      </c>
      <c r="Q18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800" t="s">
        <v>3126</v>
      </c>
      <c r="AB1800" s="29"/>
      <c r="AC1800" s="25"/>
      <c r="AD1800" s="41"/>
      <c r="AE1800" s="41"/>
      <c r="AF1800" s="11"/>
      <c r="AH1800" s="1" t="str">
        <f>Table1[[#This Row],[html_tag]]&amp;Table1[[#This Row],[html_type]]&amp;Table1[[#This Row],[html_modifier]]</f>
        <v/>
      </c>
      <c r="AL1800" s="22" t="str">
        <f>IFERROR(_xlfn.XLOOKUP(Table1[[#This Row],[word]],Table57[English style name],Table57[Style type]),"")</f>
        <v/>
      </c>
      <c r="AM1800" s="20"/>
      <c r="AN1800" s="11"/>
      <c r="AQ1800" s="6" t="s">
        <v>2176</v>
      </c>
      <c r="AR1800" t="s">
        <v>2161</v>
      </c>
    </row>
    <row r="1801" spans="6:44">
      <c r="F18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1" s="13" t="s">
        <v>461</v>
      </c>
      <c r="H1801" s="13" t="s">
        <v>2991</v>
      </c>
      <c r="I1801" s="12" t="str">
        <f>Table1[[#This Row],[type]]</f>
        <v>order</v>
      </c>
      <c r="J1801" s="62" t="str">
        <f>Table1[[#This Row],[Column42]]&amp;IF(Table1[[#This Row],[Column13]]="","",Table1[[#This Row],[Column13]])&amp;IF(Table1[[#This Row],[mod]]="","",Table1[[#This Row],[mod]])</f>
        <v>order--0</v>
      </c>
      <c r="K18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1" t="s">
        <v>3151</v>
      </c>
      <c r="P1801" s="6" t="s">
        <v>2177</v>
      </c>
      <c r="Q18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--0</v>
      </c>
      <c r="S1801">
        <v>0</v>
      </c>
      <c r="U18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1" s="29"/>
      <c r="AC1801" s="25" t="s">
        <v>5625</v>
      </c>
      <c r="AD1801" s="41"/>
      <c r="AE1801" s="41"/>
      <c r="AF1801" s="11"/>
      <c r="AH1801" s="1" t="str">
        <f>Table1[[#This Row],[html_tag]]&amp;Table1[[#This Row],[html_type]]&amp;Table1[[#This Row],[html_modifier]]</f>
        <v/>
      </c>
      <c r="AL1801" s="22" t="str">
        <f>IFERROR(_xlfn.XLOOKUP(Table1[[#This Row],[word]],Table57[English style name],Table57[Style type]),"")</f>
        <v/>
      </c>
      <c r="AM1801" s="20"/>
      <c r="AN1801" s="11"/>
      <c r="AQ1801" s="6" t="s">
        <v>2177</v>
      </c>
      <c r="AR1801" t="s">
        <v>2178</v>
      </c>
    </row>
    <row r="1802" spans="6:44">
      <c r="F18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2" s="13" t="s">
        <v>461</v>
      </c>
      <c r="H1802" s="13" t="s">
        <v>2991</v>
      </c>
      <c r="I1802" s="12" t="str">
        <f>Table1[[#This Row],[type]]</f>
        <v>order</v>
      </c>
      <c r="J1802" s="62" t="str">
        <f>Table1[[#This Row],[Column42]]&amp;IF(Table1[[#This Row],[Column13]]="","",Table1[[#This Row],[Column13]])&amp;IF(Table1[[#This Row],[mod]]="","",Table1[[#This Row],[mod]])</f>
        <v>order--1</v>
      </c>
      <c r="K18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2" t="s">
        <v>3151</v>
      </c>
      <c r="P1802" s="6" t="s">
        <v>2179</v>
      </c>
      <c r="Q18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1802">
        <v>1</v>
      </c>
      <c r="U18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2" s="29"/>
      <c r="AC1802" s="25" t="s">
        <v>5626</v>
      </c>
      <c r="AD1802" s="41"/>
      <c r="AE1802" s="41"/>
      <c r="AF1802" s="11"/>
      <c r="AH1802" s="1" t="str">
        <f>Table1[[#This Row],[html_tag]]&amp;Table1[[#This Row],[html_type]]&amp;Table1[[#This Row],[html_modifier]]</f>
        <v/>
      </c>
      <c r="AL1802" s="22" t="str">
        <f>IFERROR(_xlfn.XLOOKUP(Table1[[#This Row],[word]],Table57[English style name],Table57[Style type]),"")</f>
        <v/>
      </c>
      <c r="AM1802" s="20"/>
      <c r="AN1802" s="11"/>
      <c r="AQ1802" s="6" t="s">
        <v>2179</v>
      </c>
      <c r="AR1802" t="s">
        <v>2178</v>
      </c>
    </row>
    <row r="1803" spans="6:44">
      <c r="F18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3" s="13" t="s">
        <v>461</v>
      </c>
      <c r="H1803" s="13" t="s">
        <v>2991</v>
      </c>
      <c r="I1803" s="12" t="str">
        <f>Table1[[#This Row],[type]]</f>
        <v>order</v>
      </c>
      <c r="J1803" s="62" t="str">
        <f>Table1[[#This Row],[Column42]]&amp;IF(Table1[[#This Row],[Column13]]="","",Table1[[#This Row],[Column13]])&amp;IF(Table1[[#This Row],[mod]]="","",Table1[[#This Row],[mod]])</f>
        <v>order--2</v>
      </c>
      <c r="K18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3" t="s">
        <v>3151</v>
      </c>
      <c r="P1803" s="6" t="s">
        <v>2180</v>
      </c>
      <c r="Q18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1803">
        <v>2</v>
      </c>
      <c r="U18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3" s="29"/>
      <c r="AC1803" s="25" t="s">
        <v>10161</v>
      </c>
      <c r="AD1803" s="41"/>
      <c r="AE1803" s="41"/>
      <c r="AF1803" s="11"/>
      <c r="AH1803" s="1" t="str">
        <f>Table1[[#This Row],[html_tag]]&amp;Table1[[#This Row],[html_type]]&amp;Table1[[#This Row],[html_modifier]]</f>
        <v/>
      </c>
      <c r="AL1803" s="22" t="str">
        <f>IFERROR(_xlfn.XLOOKUP(Table1[[#This Row],[word]],Table57[English style name],Table57[Style type]),"")</f>
        <v/>
      </c>
      <c r="AM1803" s="20"/>
      <c r="AN1803" s="11"/>
      <c r="AQ1803" s="6" t="s">
        <v>2180</v>
      </c>
      <c r="AR1803" t="s">
        <v>2178</v>
      </c>
    </row>
    <row r="1804" spans="6:44">
      <c r="F18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4" s="13" t="s">
        <v>461</v>
      </c>
      <c r="H1804" s="13" t="s">
        <v>2991</v>
      </c>
      <c r="I1804" s="12" t="str">
        <f>Table1[[#This Row],[type]]</f>
        <v>order</v>
      </c>
      <c r="J1804" s="62" t="str">
        <f>Table1[[#This Row],[Column42]]&amp;IF(Table1[[#This Row],[Column13]]="","",Table1[[#This Row],[Column13]])&amp;IF(Table1[[#This Row],[mod]]="","",Table1[[#This Row],[mod]])</f>
        <v>order--3</v>
      </c>
      <c r="K18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4" t="s">
        <v>3151</v>
      </c>
      <c r="P1804" s="6" t="s">
        <v>2181</v>
      </c>
      <c r="Q18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1804">
        <v>3</v>
      </c>
      <c r="U18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4" s="29"/>
      <c r="AC1804" s="25" t="s">
        <v>10161</v>
      </c>
      <c r="AD1804" s="41"/>
      <c r="AE1804" s="41"/>
      <c r="AF1804" s="11"/>
      <c r="AH1804" s="1" t="str">
        <f>Table1[[#This Row],[html_tag]]&amp;Table1[[#This Row],[html_type]]&amp;Table1[[#This Row],[html_modifier]]</f>
        <v/>
      </c>
      <c r="AL1804" s="22" t="str">
        <f>IFERROR(_xlfn.XLOOKUP(Table1[[#This Row],[word]],Table57[English style name],Table57[Style type]),"")</f>
        <v/>
      </c>
      <c r="AM1804" s="20"/>
      <c r="AN1804" s="11"/>
      <c r="AQ1804" s="6" t="s">
        <v>2181</v>
      </c>
      <c r="AR1804" t="s">
        <v>2178</v>
      </c>
    </row>
    <row r="1805" spans="6:44">
      <c r="F18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5" s="13" t="s">
        <v>461</v>
      </c>
      <c r="H1805" s="13" t="s">
        <v>2991</v>
      </c>
      <c r="I1805" s="12" t="str">
        <f>Table1[[#This Row],[type]]</f>
        <v>order</v>
      </c>
      <c r="J1805" s="62" t="str">
        <f>Table1[[#This Row],[Column42]]&amp;IF(Table1[[#This Row],[Column13]]="","",Table1[[#This Row],[Column13]])&amp;IF(Table1[[#This Row],[mod]]="","",Table1[[#This Row],[mod]])</f>
        <v>order--4</v>
      </c>
      <c r="K18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5" t="s">
        <v>3151</v>
      </c>
      <c r="P1805" s="6" t="s">
        <v>2182</v>
      </c>
      <c r="Q18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1805">
        <v>4</v>
      </c>
      <c r="U18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5" s="29"/>
      <c r="AC1805" s="25" t="s">
        <v>10161</v>
      </c>
      <c r="AD1805" s="41"/>
      <c r="AE1805" s="41"/>
      <c r="AF1805" s="11"/>
      <c r="AH1805" s="1" t="str">
        <f>Table1[[#This Row],[html_tag]]&amp;Table1[[#This Row],[html_type]]&amp;Table1[[#This Row],[html_modifier]]</f>
        <v/>
      </c>
      <c r="AL1805" s="22" t="str">
        <f>IFERROR(_xlfn.XLOOKUP(Table1[[#This Row],[word]],Table57[English style name],Table57[Style type]),"")</f>
        <v/>
      </c>
      <c r="AM1805" s="20"/>
      <c r="AN1805" s="11"/>
      <c r="AQ1805" s="6" t="s">
        <v>2182</v>
      </c>
      <c r="AR1805" t="s">
        <v>2178</v>
      </c>
    </row>
    <row r="1806" spans="6:44">
      <c r="F18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6" s="13" t="s">
        <v>461</v>
      </c>
      <c r="H1806" s="13" t="s">
        <v>2991</v>
      </c>
      <c r="I1806" s="12" t="str">
        <f>Table1[[#This Row],[type]]</f>
        <v>order</v>
      </c>
      <c r="J1806" s="62" t="str">
        <f>Table1[[#This Row],[Column42]]&amp;IF(Table1[[#This Row],[Column13]]="","",Table1[[#This Row],[Column13]])&amp;IF(Table1[[#This Row],[mod]]="","",Table1[[#This Row],[mod]])</f>
        <v>order--5</v>
      </c>
      <c r="K18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6" t="s">
        <v>3151</v>
      </c>
      <c r="P1806" s="6" t="s">
        <v>2183</v>
      </c>
      <c r="Q18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1806">
        <v>5</v>
      </c>
      <c r="U18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6" s="29"/>
      <c r="AC1806" s="25" t="s">
        <v>10161</v>
      </c>
      <c r="AD1806" s="41"/>
      <c r="AE1806" s="41"/>
      <c r="AF1806" s="11"/>
      <c r="AH1806" s="1" t="str">
        <f>Table1[[#This Row],[html_tag]]&amp;Table1[[#This Row],[html_type]]&amp;Table1[[#This Row],[html_modifier]]</f>
        <v/>
      </c>
      <c r="AL1806" s="22" t="str">
        <f>IFERROR(_xlfn.XLOOKUP(Table1[[#This Row],[word]],Table57[English style name],Table57[Style type]),"")</f>
        <v/>
      </c>
      <c r="AM1806" s="20"/>
      <c r="AN1806" s="11"/>
      <c r="AQ1806" s="6" t="s">
        <v>2183</v>
      </c>
      <c r="AR1806" t="s">
        <v>2178</v>
      </c>
    </row>
    <row r="1807" spans="6:44">
      <c r="F18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7" s="13" t="s">
        <v>461</v>
      </c>
      <c r="H1807" s="13" t="s">
        <v>2991</v>
      </c>
      <c r="I1807" s="12" t="str">
        <f>Table1[[#This Row],[type]]</f>
        <v>order</v>
      </c>
      <c r="J1807" s="62" t="str">
        <f>Table1[[#This Row],[Column42]]&amp;IF(Table1[[#This Row],[Column13]]="","",Table1[[#This Row],[Column13]])&amp;IF(Table1[[#This Row],[mod]]="","",Table1[[#This Row],[mod]])</f>
        <v>order--first</v>
      </c>
      <c r="K18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7" t="s">
        <v>3151</v>
      </c>
      <c r="P1807" s="6" t="s">
        <v>2184</v>
      </c>
      <c r="Q18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S1807" t="s">
        <v>339</v>
      </c>
      <c r="U18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7" s="29"/>
      <c r="AC1807" s="25" t="s">
        <v>5631</v>
      </c>
      <c r="AD1807" s="41"/>
      <c r="AE1807" s="41"/>
      <c r="AF1807" s="11"/>
      <c r="AH1807" s="1" t="str">
        <f>Table1[[#This Row],[html_tag]]&amp;Table1[[#This Row],[html_type]]&amp;Table1[[#This Row],[html_modifier]]</f>
        <v/>
      </c>
      <c r="AL1807" s="22" t="str">
        <f>IFERROR(_xlfn.XLOOKUP(Table1[[#This Row],[word]],Table57[English style name],Table57[Style type]),"")</f>
        <v/>
      </c>
      <c r="AM1807" s="20"/>
      <c r="AN1807" s="11"/>
      <c r="AQ1807" s="6" t="s">
        <v>2184</v>
      </c>
      <c r="AR1807" t="s">
        <v>2178</v>
      </c>
    </row>
    <row r="1808" spans="6:44">
      <c r="F18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8" s="13" t="s">
        <v>461</v>
      </c>
      <c r="H1808" s="13" t="s">
        <v>2991</v>
      </c>
      <c r="I1808" s="12" t="str">
        <f>Table1[[#This Row],[type]]</f>
        <v>order</v>
      </c>
      <c r="J1808" s="62" t="str">
        <f>Table1[[#This Row],[Column42]]&amp;IF(Table1[[#This Row],[Column13]]="","",Table1[[#This Row],[Column13]])&amp;IF(Table1[[#This Row],[mod]]="","",Table1[[#This Row],[mod]])</f>
        <v>order--last</v>
      </c>
      <c r="K18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8" t="s">
        <v>3151</v>
      </c>
      <c r="P1808" s="6" t="s">
        <v>2185</v>
      </c>
      <c r="Q18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S1808" t="s">
        <v>10166</v>
      </c>
      <c r="U18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8" s="29"/>
      <c r="AC1808" s="25" t="s">
        <v>5632</v>
      </c>
      <c r="AD1808" s="41"/>
      <c r="AE1808" s="41"/>
      <c r="AF1808" s="11"/>
      <c r="AH1808" s="1" t="str">
        <f>Table1[[#This Row],[html_tag]]&amp;Table1[[#This Row],[html_type]]&amp;Table1[[#This Row],[html_modifier]]</f>
        <v/>
      </c>
      <c r="AL1808" s="22" t="str">
        <f>IFERROR(_xlfn.XLOOKUP(Table1[[#This Row],[word]],Table57[English style name],Table57[Style type]),"")</f>
        <v/>
      </c>
      <c r="AM1808" s="20"/>
      <c r="AN1808" s="11"/>
      <c r="AQ1808" s="6" t="s">
        <v>2185</v>
      </c>
      <c r="AR1808" t="s">
        <v>2178</v>
      </c>
    </row>
    <row r="1809" spans="6:46">
      <c r="F18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809" s="13" t="s">
        <v>2992</v>
      </c>
      <c r="H1809" s="13" t="s">
        <v>1</v>
      </c>
      <c r="I1809" s="12" t="str">
        <f>Table1[[#This Row],[type]]</f>
        <v>other</v>
      </c>
      <c r="J1809" s="62" t="str">
        <f>Table1[[#This Row],[Column42]]&amp;IF(Table1[[#This Row],[Column13]]="","",Table1[[#This Row],[Column13]])&amp;IF(Table1[[#This Row],[mod]]="","",Table1[[#This Row],[mod]])</f>
        <v>other</v>
      </c>
      <c r="K18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809" s="4" t="s">
        <v>328</v>
      </c>
      <c r="M1809" s="4"/>
      <c r="N1809" s="4"/>
      <c r="O1809" s="4"/>
      <c r="Q1809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809" s="4"/>
      <c r="U18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809" s="4"/>
      <c r="W1809" s="4"/>
      <c r="X1809" s="4"/>
      <c r="Z1809" s="4"/>
      <c r="AA1809" s="4"/>
      <c r="AB1809" s="47"/>
      <c r="AC1809" s="46"/>
      <c r="AD1809" s="44"/>
      <c r="AE1809" s="44"/>
      <c r="AF1809" s="11"/>
      <c r="AH1809" s="1" t="str">
        <f>Table1[[#This Row],[html_tag]]&amp;Table1[[#This Row],[html_type]]&amp;Table1[[#This Row],[html_modifier]]</f>
        <v/>
      </c>
      <c r="AL1809" s="22" t="str">
        <f>IFERROR(_xlfn.XLOOKUP(Table1[[#This Row],[word]],Table57[English style name],Table57[Style type]),"")</f>
        <v/>
      </c>
      <c r="AM1809" s="20"/>
      <c r="AN1809" s="11"/>
    </row>
    <row r="1810" spans="6:46">
      <c r="F18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810" s="13" t="s">
        <v>2992</v>
      </c>
      <c r="H1810" s="13" t="s">
        <v>1</v>
      </c>
      <c r="I1810" s="12" t="str">
        <f>Table1[[#This Row],[type]]</f>
        <v>other</v>
      </c>
      <c r="J1810" s="62" t="str">
        <f>Table1[[#This Row],[Column42]]&amp;IF(Table1[[#This Row],[Column13]]="","",Table1[[#This Row],[Column13]])&amp;IF(Table1[[#This Row],[mod]]="","",Table1[[#This Row],[mod]])</f>
        <v>other</v>
      </c>
      <c r="K18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810" s="4" t="s">
        <v>328</v>
      </c>
      <c r="M1810" s="4"/>
      <c r="N1810" s="4"/>
      <c r="O1810" s="4"/>
      <c r="Q1810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810" s="4"/>
      <c r="U18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810" s="4"/>
      <c r="W1810" s="4"/>
      <c r="X1810" s="4"/>
      <c r="Z1810" s="4"/>
      <c r="AA1810" s="4"/>
      <c r="AB1810" s="47"/>
      <c r="AC1810" s="46"/>
      <c r="AD1810" s="44"/>
      <c r="AE1810" s="44"/>
      <c r="AF1810" s="11"/>
      <c r="AH1810" s="1" t="str">
        <f>Table1[[#This Row],[html_tag]]&amp;Table1[[#This Row],[html_type]]&amp;Table1[[#This Row],[html_modifier]]</f>
        <v/>
      </c>
      <c r="AL1810" s="22" t="str">
        <f>IFERROR(_xlfn.XLOOKUP(Table1[[#This Row],[word]],Table57[English style name],Table57[Style type]),"")</f>
        <v/>
      </c>
      <c r="AM1810" s="20"/>
      <c r="AN1810" s="11"/>
    </row>
    <row r="1811" spans="6:46">
      <c r="F18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811" s="13" t="s">
        <v>2992</v>
      </c>
      <c r="H1811" s="13" t="s">
        <v>1</v>
      </c>
      <c r="I1811" s="12" t="str">
        <f>Table1[[#This Row],[type]]</f>
        <v>other</v>
      </c>
      <c r="J1811" s="62" t="str">
        <f>Table1[[#This Row],[Column42]]&amp;IF(Table1[[#This Row],[Column13]]="","",Table1[[#This Row],[Column13]])&amp;IF(Table1[[#This Row],[mod]]="","",Table1[[#This Row],[mod]])</f>
        <v>other</v>
      </c>
      <c r="K18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811" s="4" t="s">
        <v>328</v>
      </c>
      <c r="M1811" s="4"/>
      <c r="N1811" s="4"/>
      <c r="O1811" s="4"/>
      <c r="Q1811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811" s="4"/>
      <c r="U18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811" s="4"/>
      <c r="W1811" s="4"/>
      <c r="X1811" s="4"/>
      <c r="Z1811" s="4"/>
      <c r="AA1811" s="4"/>
      <c r="AB1811" s="47"/>
      <c r="AC1811" s="46"/>
      <c r="AD1811" s="44"/>
      <c r="AE1811" s="44"/>
      <c r="AF1811" s="11"/>
      <c r="AH1811" s="1" t="str">
        <f>Table1[[#This Row],[html_tag]]&amp;Table1[[#This Row],[html_type]]&amp;Table1[[#This Row],[html_modifier]]</f>
        <v/>
      </c>
      <c r="AL1811" s="22" t="str">
        <f>IFERROR(_xlfn.XLOOKUP(Table1[[#This Row],[word]],Table57[English style name],Table57[Style type]),"")</f>
        <v/>
      </c>
      <c r="AM1811" s="20"/>
      <c r="AN1811" s="11"/>
    </row>
    <row r="1812" spans="6:46">
      <c r="F18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812" s="13" t="s">
        <v>2992</v>
      </c>
      <c r="H1812" s="13" t="s">
        <v>1</v>
      </c>
      <c r="I1812" s="12" t="str">
        <f>Table1[[#This Row],[type]]</f>
        <v>other</v>
      </c>
      <c r="J1812" s="62" t="str">
        <f>Table1[[#This Row],[Column42]]&amp;IF(Table1[[#This Row],[Column13]]="","",Table1[[#This Row],[Column13]])&amp;IF(Table1[[#This Row],[mod]]="","",Table1[[#This Row],[mod]])</f>
        <v>other</v>
      </c>
      <c r="K18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812" s="4" t="s">
        <v>328</v>
      </c>
      <c r="M1812" s="4"/>
      <c r="N1812" s="4"/>
      <c r="O1812" s="4"/>
      <c r="Q1812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812" s="4"/>
      <c r="U18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812" s="4"/>
      <c r="W1812" s="4"/>
      <c r="X1812" s="4"/>
      <c r="Z1812" s="4"/>
      <c r="AA1812" s="4"/>
      <c r="AB1812" s="47"/>
      <c r="AC1812" s="46"/>
      <c r="AD1812" s="44"/>
      <c r="AE1812" s="44"/>
      <c r="AF1812" s="11"/>
      <c r="AH1812" s="1" t="str">
        <f>Table1[[#This Row],[html_tag]]&amp;Table1[[#This Row],[html_type]]&amp;Table1[[#This Row],[html_modifier]]</f>
        <v/>
      </c>
      <c r="AL1812" s="22" t="str">
        <f>IFERROR(_xlfn.XLOOKUP(Table1[[#This Row],[word]],Table57[English style name],Table57[Style type]),"")</f>
        <v/>
      </c>
      <c r="AM1812" s="20"/>
      <c r="AN1812" s="11"/>
    </row>
    <row r="1813" spans="6:46">
      <c r="F18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3" s="13" t="s">
        <v>461</v>
      </c>
      <c r="H1813" s="13" t="s">
        <v>2991</v>
      </c>
      <c r="I1813" s="12" t="str">
        <f>Table1[[#This Row],[type]]</f>
        <v>overflow</v>
      </c>
      <c r="J1813" s="62" t="str">
        <f>Table1[[#This Row],[Column42]]&amp;IF(Table1[[#This Row],[Column13]]="","",Table1[[#This Row],[Column13]])&amp;IF(Table1[[#This Row],[mod]]="","",Table1[[#This Row],[mod]])</f>
        <v>overflow</v>
      </c>
      <c r="K18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13" t="s">
        <v>2186</v>
      </c>
      <c r="Q18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13" s="29"/>
      <c r="AC1813" s="25"/>
      <c r="AD1813" s="41"/>
      <c r="AE1813" s="41"/>
      <c r="AF1813" s="11"/>
      <c r="AH1813" s="1" t="str">
        <f>Table1[[#This Row],[html_tag]]&amp;Table1[[#This Row],[html_type]]&amp;Table1[[#This Row],[html_modifier]]</f>
        <v/>
      </c>
      <c r="AL1813" s="22" t="str">
        <f>IFERROR(_xlfn.XLOOKUP(Table1[[#This Row],[word]],Table57[English style name],Table57[Style type]),"")</f>
        <v/>
      </c>
      <c r="AM1813" s="20"/>
      <c r="AN1813" s="11"/>
      <c r="AQ1813" s="6" t="s">
        <v>2186</v>
      </c>
      <c r="AR1813" t="s">
        <v>2187</v>
      </c>
    </row>
    <row r="1814" spans="6:46">
      <c r="F18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4" s="13" t="s">
        <v>461</v>
      </c>
      <c r="H1814" s="13" t="s">
        <v>2991</v>
      </c>
      <c r="I1814" s="12" t="str">
        <f>Table1[[#This Row],[type]]</f>
        <v>overflow</v>
      </c>
      <c r="J1814" s="62" t="str">
        <f>Table1[[#This Row],[Column42]]&amp;IF(Table1[[#This Row],[Column13]]="","",Table1[[#This Row],[Column13]])&amp;IF(Table1[[#This Row],[mod]]="","",Table1[[#This Row],[mod]])</f>
        <v>overflow__x--auto</v>
      </c>
      <c r="K18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814" t="s">
        <v>2186</v>
      </c>
      <c r="M1814" t="s">
        <v>3150</v>
      </c>
      <c r="Q18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1814" t="s">
        <v>3202</v>
      </c>
      <c r="U18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14" s="29"/>
      <c r="AC1814" s="25"/>
      <c r="AD1814" s="41"/>
      <c r="AE1814" s="41"/>
      <c r="AF1814" s="11"/>
      <c r="AH1814" s="1" t="str">
        <f>Table1[[#This Row],[html_tag]]&amp;Table1[[#This Row],[html_type]]&amp;Table1[[#This Row],[html_modifier]]</f>
        <v/>
      </c>
      <c r="AL1814" s="22" t="str">
        <f>IFERROR(_xlfn.XLOOKUP(Table1[[#This Row],[word]],Table57[English style name],Table57[Style type]),"")</f>
        <v/>
      </c>
      <c r="AM1814" s="20"/>
      <c r="AN1814" s="11"/>
      <c r="AQ1814" s="6" t="s">
        <v>2199</v>
      </c>
      <c r="AR1814" t="s">
        <v>2187</v>
      </c>
    </row>
    <row r="1815" spans="6:46">
      <c r="F18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5" s="13" t="s">
        <v>461</v>
      </c>
      <c r="H1815" s="13" t="s">
        <v>2991</v>
      </c>
      <c r="I1815" s="12" t="str">
        <f>Table1[[#This Row],[type]]</f>
        <v>overflow</v>
      </c>
      <c r="J1815" s="62" t="str">
        <f>Table1[[#This Row],[Column42]]&amp;IF(Table1[[#This Row],[Column13]]="","",Table1[[#This Row],[Column13]])&amp;IF(Table1[[#This Row],[mod]]="","",Table1[[#This Row],[mod]])</f>
        <v>overflow__x--hidden</v>
      </c>
      <c r="K18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815" t="s">
        <v>2186</v>
      </c>
      <c r="M1815" t="s">
        <v>3150</v>
      </c>
      <c r="Q18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815" t="s">
        <v>3087</v>
      </c>
      <c r="AB1815" s="29"/>
      <c r="AC1815" s="25"/>
      <c r="AD1815" s="41"/>
      <c r="AE1815" s="41"/>
      <c r="AF1815" s="11"/>
      <c r="AH1815" s="1" t="str">
        <f>Table1[[#This Row],[html_tag]]&amp;Table1[[#This Row],[html_type]]&amp;Table1[[#This Row],[html_modifier]]</f>
        <v/>
      </c>
      <c r="AL1815" s="22" t="str">
        <f>IFERROR(_xlfn.XLOOKUP(Table1[[#This Row],[word]],Table57[English style name],Table57[Style type]),"")</f>
        <v/>
      </c>
      <c r="AM1815" s="20"/>
      <c r="AN1815" s="11"/>
      <c r="AQ1815" s="6" t="s">
        <v>2200</v>
      </c>
      <c r="AR1815" t="s">
        <v>2187</v>
      </c>
    </row>
    <row r="1816" spans="6:46">
      <c r="F18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6" s="13" t="s">
        <v>461</v>
      </c>
      <c r="H1816" s="13" t="s">
        <v>2991</v>
      </c>
      <c r="I1816" s="12" t="str">
        <f>Table1[[#This Row],[type]]</f>
        <v>overflow</v>
      </c>
      <c r="J1816" s="62" t="str">
        <f>Table1[[#This Row],[Column42]]&amp;IF(Table1[[#This Row],[Column13]]="","",Table1[[#This Row],[Column13]])&amp;IF(Table1[[#This Row],[mod]]="","",Table1[[#This Row],[mod]])</f>
        <v>overflow__x--scroll</v>
      </c>
      <c r="K18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816" t="s">
        <v>2186</v>
      </c>
      <c r="M1816" t="s">
        <v>3150</v>
      </c>
      <c r="Q18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S1816" t="s">
        <v>3147</v>
      </c>
      <c r="U18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16" s="29"/>
      <c r="AC1816" s="25"/>
      <c r="AD1816" s="41"/>
      <c r="AE1816" s="41"/>
      <c r="AF1816" s="11"/>
      <c r="AH1816" s="1" t="str">
        <f>Table1[[#This Row],[html_tag]]&amp;Table1[[#This Row],[html_type]]&amp;Table1[[#This Row],[html_modifier]]</f>
        <v/>
      </c>
      <c r="AL1816" s="22" t="str">
        <f>IFERROR(_xlfn.XLOOKUP(Table1[[#This Row],[word]],Table57[English style name],Table57[Style type]),"")</f>
        <v/>
      </c>
      <c r="AM1816" s="20"/>
      <c r="AN1816" s="11"/>
      <c r="AQ1816" s="6" t="s">
        <v>2201</v>
      </c>
      <c r="AR1816" t="s">
        <v>2187</v>
      </c>
    </row>
    <row r="1817" spans="6:46">
      <c r="F18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7" s="13" t="s">
        <v>461</v>
      </c>
      <c r="H1817" s="13" t="s">
        <v>2991</v>
      </c>
      <c r="I1817" s="12" t="str">
        <f>Table1[[#This Row],[type]]</f>
        <v>overflow</v>
      </c>
      <c r="J1817" s="62" t="str">
        <f>Table1[[#This Row],[Column42]]&amp;IF(Table1[[#This Row],[Column13]]="","",Table1[[#This Row],[Column13]])&amp;IF(Table1[[#This Row],[mod]]="","",Table1[[#This Row],[mod]])</f>
        <v>overflow__x--visible</v>
      </c>
      <c r="K18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817" t="s">
        <v>2186</v>
      </c>
      <c r="M1817" t="s">
        <v>3150</v>
      </c>
      <c r="Q18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S1817" t="s">
        <v>2967</v>
      </c>
      <c r="U18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17" s="29"/>
      <c r="AC1817" s="25"/>
      <c r="AD1817" s="41"/>
      <c r="AE1817" s="41"/>
      <c r="AF1817" s="11"/>
      <c r="AH1817" s="1" t="str">
        <f>Table1[[#This Row],[html_tag]]&amp;Table1[[#This Row],[html_type]]&amp;Table1[[#This Row],[html_modifier]]</f>
        <v/>
      </c>
      <c r="AL1817" s="22" t="str">
        <f>IFERROR(_xlfn.XLOOKUP(Table1[[#This Row],[word]],Table57[English style name],Table57[Style type]),"")</f>
        <v/>
      </c>
      <c r="AM1817" s="20"/>
      <c r="AN1817" s="11"/>
      <c r="AQ1817" s="6" t="s">
        <v>2202</v>
      </c>
      <c r="AR1817" t="s">
        <v>2187</v>
      </c>
    </row>
    <row r="1818" spans="6:46">
      <c r="F18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8" s="13" t="s">
        <v>461</v>
      </c>
      <c r="H1818" s="13" t="s">
        <v>2991</v>
      </c>
      <c r="I1818" s="12" t="str">
        <f>Table1[[#This Row],[type]]</f>
        <v>overflow</v>
      </c>
      <c r="J1818" s="62" t="str">
        <f>Table1[[#This Row],[Column42]]&amp;IF(Table1[[#This Row],[Column13]]="","",Table1[[#This Row],[Column13]])&amp;IF(Table1[[#This Row],[mod]]="","",Table1[[#This Row],[mod]])</f>
        <v>overflow__y--auto</v>
      </c>
      <c r="K18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818" t="s">
        <v>2186</v>
      </c>
      <c r="M1818" t="s">
        <v>10174</v>
      </c>
      <c r="Q18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1818" t="s">
        <v>3202</v>
      </c>
      <c r="U18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18" s="29"/>
      <c r="AC1818" s="25"/>
      <c r="AD1818" s="41"/>
      <c r="AE1818" s="41"/>
      <c r="AF1818" s="11"/>
      <c r="AH1818" s="1" t="str">
        <f>Table1[[#This Row],[html_tag]]&amp;Table1[[#This Row],[html_type]]&amp;Table1[[#This Row],[html_modifier]]</f>
        <v/>
      </c>
      <c r="AL1818" s="22" t="str">
        <f>IFERROR(_xlfn.XLOOKUP(Table1[[#This Row],[word]],Table57[English style name],Table57[Style type]),"")</f>
        <v/>
      </c>
      <c r="AM1818" s="20"/>
      <c r="AN1818" s="11"/>
      <c r="AQ1818" s="6" t="s">
        <v>2203</v>
      </c>
      <c r="AR1818" t="s">
        <v>2187</v>
      </c>
    </row>
    <row r="1819" spans="6:46">
      <c r="F18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9" s="13" t="s">
        <v>461</v>
      </c>
      <c r="H1819" s="13" t="s">
        <v>2991</v>
      </c>
      <c r="I1819" s="12" t="str">
        <f>Table1[[#This Row],[type]]</f>
        <v>overflow</v>
      </c>
      <c r="J1819" s="62" t="str">
        <f>Table1[[#This Row],[Column42]]&amp;IF(Table1[[#This Row],[Column13]]="","",Table1[[#This Row],[Column13]])&amp;IF(Table1[[#This Row],[mod]]="","",Table1[[#This Row],[mod]])</f>
        <v>overflow__y--hidden</v>
      </c>
      <c r="K18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819" t="s">
        <v>2186</v>
      </c>
      <c r="M1819" t="s">
        <v>10174</v>
      </c>
      <c r="Q18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819" t="s">
        <v>3087</v>
      </c>
      <c r="AB1819" s="29"/>
      <c r="AC1819" s="25"/>
      <c r="AD1819" s="41"/>
      <c r="AE1819" s="41"/>
      <c r="AF1819" s="11"/>
      <c r="AH1819" s="1" t="str">
        <f>Table1[[#This Row],[html_tag]]&amp;Table1[[#This Row],[html_type]]&amp;Table1[[#This Row],[html_modifier]]</f>
        <v/>
      </c>
      <c r="AL1819" s="22" t="str">
        <f>IFERROR(_xlfn.XLOOKUP(Table1[[#This Row],[word]],Table57[English style name],Table57[Style type]),"")</f>
        <v/>
      </c>
      <c r="AM1819" s="20"/>
      <c r="AN1819" s="11"/>
      <c r="AQ1819" s="6" t="s">
        <v>2204</v>
      </c>
      <c r="AR1819" t="s">
        <v>2187</v>
      </c>
    </row>
    <row r="1820" spans="6:46">
      <c r="F18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0" s="13" t="s">
        <v>461</v>
      </c>
      <c r="H1820" s="13" t="s">
        <v>2991</v>
      </c>
      <c r="I1820" s="12" t="str">
        <f>Table1[[#This Row],[type]]</f>
        <v>overflow</v>
      </c>
      <c r="J1820" s="62" t="str">
        <f>Table1[[#This Row],[Column42]]&amp;IF(Table1[[#This Row],[Column13]]="","",Table1[[#This Row],[Column13]])&amp;IF(Table1[[#This Row],[mod]]="","",Table1[[#This Row],[mod]])</f>
        <v>overflow__y--scroll</v>
      </c>
      <c r="K18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820" t="s">
        <v>2186</v>
      </c>
      <c r="M1820" t="s">
        <v>10174</v>
      </c>
      <c r="Q18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S1820" t="s">
        <v>3147</v>
      </c>
      <c r="U18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0" s="29"/>
      <c r="AC1820" s="25"/>
      <c r="AD1820" s="41"/>
      <c r="AE1820" s="41"/>
      <c r="AF1820" s="11"/>
      <c r="AH1820" s="1" t="str">
        <f>Table1[[#This Row],[html_tag]]&amp;Table1[[#This Row],[html_type]]&amp;Table1[[#This Row],[html_modifier]]</f>
        <v/>
      </c>
      <c r="AL1820" s="22" t="str">
        <f>IFERROR(_xlfn.XLOOKUP(Table1[[#This Row],[word]],Table57[English style name],Table57[Style type]),"")</f>
        <v/>
      </c>
      <c r="AM1820" s="20"/>
      <c r="AN1820" s="11"/>
      <c r="AQ1820" s="6" t="s">
        <v>2205</v>
      </c>
      <c r="AR1820" t="s">
        <v>2187</v>
      </c>
    </row>
    <row r="1821" spans="6:46">
      <c r="F18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1" s="13" t="s">
        <v>461</v>
      </c>
      <c r="H1821" s="13" t="s">
        <v>2991</v>
      </c>
      <c r="I1821" s="12" t="str">
        <f>Table1[[#This Row],[type]]</f>
        <v>overflow</v>
      </c>
      <c r="J1821" s="62" t="str">
        <f>Table1[[#This Row],[Column42]]&amp;IF(Table1[[#This Row],[Column13]]="","",Table1[[#This Row],[Column13]])&amp;IF(Table1[[#This Row],[mod]]="","",Table1[[#This Row],[mod]])</f>
        <v>overflow__y--visible</v>
      </c>
      <c r="K18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821" t="s">
        <v>2186</v>
      </c>
      <c r="M1821" t="s">
        <v>10174</v>
      </c>
      <c r="Q18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S1821" t="s">
        <v>2967</v>
      </c>
      <c r="U18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1" s="29"/>
      <c r="AC1821" s="25"/>
      <c r="AD1821" s="41"/>
      <c r="AE1821" s="41"/>
      <c r="AF1821" s="11"/>
      <c r="AH1821" s="1" t="str">
        <f>Table1[[#This Row],[html_tag]]&amp;Table1[[#This Row],[html_type]]&amp;Table1[[#This Row],[html_modifier]]</f>
        <v/>
      </c>
      <c r="AL1821" s="22" t="str">
        <f>IFERROR(_xlfn.XLOOKUP(Table1[[#This Row],[word]],Table57[English style name],Table57[Style type]),"")</f>
        <v/>
      </c>
      <c r="AM1821" s="20"/>
      <c r="AN1821" s="11"/>
      <c r="AQ1821" s="6" t="s">
        <v>2206</v>
      </c>
      <c r="AR1821" t="s">
        <v>2187</v>
      </c>
    </row>
    <row r="1822" spans="6:46">
      <c r="F18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2" s="13" t="s">
        <v>461</v>
      </c>
      <c r="H1822" s="13" t="s">
        <v>2991</v>
      </c>
      <c r="I1822" s="12" t="str">
        <f>Table1[[#This Row],[type]]</f>
        <v>overflow</v>
      </c>
      <c r="J1822" s="62" t="str">
        <f>Table1[[#This Row],[Column42]]&amp;IF(Table1[[#This Row],[Column13]]="","",Table1[[#This Row],[Column13]])&amp;IF(Table1[[#This Row],[mod]]="","",Table1[[#This Row],[mod]])</f>
        <v>overflow--auto</v>
      </c>
      <c r="K18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2" t="s">
        <v>2186</v>
      </c>
      <c r="Q18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1822" t="s">
        <v>3202</v>
      </c>
      <c r="U18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2" s="29"/>
      <c r="AC1822" s="25" t="s">
        <v>5673</v>
      </c>
      <c r="AD1822" s="41"/>
      <c r="AE1822" s="41"/>
      <c r="AF1822" s="11"/>
      <c r="AH1822" s="1" t="str">
        <f>Table1[[#This Row],[html_tag]]&amp;Table1[[#This Row],[html_type]]&amp;Table1[[#This Row],[html_modifier]]</f>
        <v/>
      </c>
      <c r="AL1822" s="22" t="str">
        <f>IFERROR(_xlfn.XLOOKUP(Table1[[#This Row],[word]],Table57[English style name],Table57[Style type]),"")</f>
        <v/>
      </c>
      <c r="AM1822" s="20"/>
      <c r="AN1822" s="11"/>
      <c r="AQ1822" s="6" t="s">
        <v>2193</v>
      </c>
      <c r="AR1822" t="s">
        <v>2187</v>
      </c>
      <c r="AS1822" s="6" t="s">
        <v>2188</v>
      </c>
      <c r="AT1822" t="s">
        <v>2187</v>
      </c>
    </row>
    <row r="1823" spans="6:46">
      <c r="F18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3" s="13" t="s">
        <v>461</v>
      </c>
      <c r="H1823" s="13" t="s">
        <v>2991</v>
      </c>
      <c r="I1823" s="12" t="str">
        <f>Table1[[#This Row],[type]]</f>
        <v>overflow</v>
      </c>
      <c r="J1823" s="62" t="str">
        <f>Table1[[#This Row],[Column42]]&amp;IF(Table1[[#This Row],[Column13]]="","",Table1[[#This Row],[Column13]])&amp;IF(Table1[[#This Row],[mod]]="","",Table1[[#This Row],[mod]])</f>
        <v>overflow--clip</v>
      </c>
      <c r="K18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3" t="s">
        <v>2186</v>
      </c>
      <c r="Q18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--clip</v>
      </c>
      <c r="S1823" t="s">
        <v>10175</v>
      </c>
      <c r="U18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3" s="29"/>
      <c r="AC1823" s="25"/>
      <c r="AD1823" s="41"/>
      <c r="AE1823" s="41"/>
      <c r="AF1823" s="11"/>
      <c r="AH1823" s="1" t="str">
        <f>Table1[[#This Row],[html_tag]]&amp;Table1[[#This Row],[html_type]]&amp;Table1[[#This Row],[html_modifier]]</f>
        <v/>
      </c>
      <c r="AL1823" s="22" t="str">
        <f>IFERROR(_xlfn.XLOOKUP(Table1[[#This Row],[word]],Table57[English style name],Table57[Style type]),"")</f>
        <v/>
      </c>
      <c r="AM1823" s="20"/>
      <c r="AN1823" s="11"/>
      <c r="AQ1823" s="6" t="s">
        <v>2194</v>
      </c>
      <c r="AR1823" t="s">
        <v>2187</v>
      </c>
    </row>
    <row r="1824" spans="6:46">
      <c r="F18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4" s="13" t="s">
        <v>461</v>
      </c>
      <c r="H1824" s="13" t="s">
        <v>2991</v>
      </c>
      <c r="I1824" s="12" t="str">
        <f>Table1[[#This Row],[type]]</f>
        <v>overflow</v>
      </c>
      <c r="J1824" s="62" t="str">
        <f>Table1[[#This Row],[Column42]]&amp;IF(Table1[[#This Row],[Column13]]="","",Table1[[#This Row],[Column13]])&amp;IF(Table1[[#This Row],[mod]]="","",Table1[[#This Row],[mod]])</f>
        <v>overflow--hidden</v>
      </c>
      <c r="K18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4" t="s">
        <v>2186</v>
      </c>
      <c r="Q18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824" t="s">
        <v>3087</v>
      </c>
      <c r="AB1824" s="29"/>
      <c r="AC1824" s="25" t="s">
        <v>5674</v>
      </c>
      <c r="AD1824" s="41"/>
      <c r="AE1824" s="41"/>
      <c r="AF1824" s="11"/>
      <c r="AH1824" s="1" t="str">
        <f>Table1[[#This Row],[html_tag]]&amp;Table1[[#This Row],[html_type]]&amp;Table1[[#This Row],[html_modifier]]</f>
        <v/>
      </c>
      <c r="AL1824" s="22" t="str">
        <f>IFERROR(_xlfn.XLOOKUP(Table1[[#This Row],[word]],Table57[English style name],Table57[Style type]),"")</f>
        <v/>
      </c>
      <c r="AM1824" s="20"/>
      <c r="AN1824" s="11"/>
      <c r="AQ1824" s="6" t="s">
        <v>2195</v>
      </c>
      <c r="AR1824" t="s">
        <v>2187</v>
      </c>
      <c r="AS1824" s="6" t="s">
        <v>2189</v>
      </c>
      <c r="AT1824" t="s">
        <v>2187</v>
      </c>
    </row>
    <row r="1825" spans="6:46">
      <c r="F18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5" s="13" t="s">
        <v>461</v>
      </c>
      <c r="H1825" s="13" t="s">
        <v>2991</v>
      </c>
      <c r="I1825" s="12" t="str">
        <f>Table1[[#This Row],[type]]</f>
        <v>overflow</v>
      </c>
      <c r="J1825" s="62" t="str">
        <f>Table1[[#This Row],[Column42]]&amp;IF(Table1[[#This Row],[Column13]]="","",Table1[[#This Row],[Column13]])&amp;IF(Table1[[#This Row],[mod]]="","",Table1[[#This Row],[mod]])</f>
        <v>overflow--hidden_visible</v>
      </c>
      <c r="K18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5" t="s">
        <v>2186</v>
      </c>
      <c r="Q18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--hidden_visible</v>
      </c>
      <c r="Z1825" t="s">
        <v>10176</v>
      </c>
      <c r="AB1825" s="29"/>
      <c r="AC1825" s="25"/>
      <c r="AD1825" s="41"/>
      <c r="AE1825" s="41"/>
      <c r="AF1825" s="11"/>
      <c r="AH1825" s="1" t="str">
        <f>Table1[[#This Row],[html_tag]]&amp;Table1[[#This Row],[html_type]]&amp;Table1[[#This Row],[html_modifier]]</f>
        <v/>
      </c>
      <c r="AL1825" s="22" t="str">
        <f>IFERROR(_xlfn.XLOOKUP(Table1[[#This Row],[word]],Table57[English style name],Table57[Style type]),"")</f>
        <v/>
      </c>
      <c r="AM1825" s="20"/>
      <c r="AN1825" s="11"/>
      <c r="AQ1825" s="6" t="s">
        <v>2190</v>
      </c>
      <c r="AR1825" t="s">
        <v>2187</v>
      </c>
    </row>
    <row r="1826" spans="6:46">
      <c r="F18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6" s="13" t="s">
        <v>461</v>
      </c>
      <c r="H1826" s="13" t="s">
        <v>2991</v>
      </c>
      <c r="I1826" s="12" t="str">
        <f>Table1[[#This Row],[type]]</f>
        <v>overflow</v>
      </c>
      <c r="J1826" s="62" t="str">
        <f>Table1[[#This Row],[Column42]]&amp;IF(Table1[[#This Row],[Column13]]="","",Table1[[#This Row],[Column13]])&amp;IF(Table1[[#This Row],[mod]]="","",Table1[[#This Row],[mod]])</f>
        <v>overflow--important</v>
      </c>
      <c r="K18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6" t="s">
        <v>2186</v>
      </c>
      <c r="Q18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--important</v>
      </c>
      <c r="S1826" t="s">
        <v>10177</v>
      </c>
      <c r="U18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6" s="29"/>
      <c r="AC1826" s="25"/>
      <c r="AD1826" s="41"/>
      <c r="AE1826" s="41"/>
      <c r="AF1826" s="11"/>
      <c r="AH1826" s="1" t="str">
        <f>Table1[[#This Row],[html_tag]]&amp;Table1[[#This Row],[html_type]]&amp;Table1[[#This Row],[html_modifier]]</f>
        <v/>
      </c>
      <c r="AL1826" s="22" t="str">
        <f>IFERROR(_xlfn.XLOOKUP(Table1[[#This Row],[word]],Table57[English style name],Table57[Style type]),"")</f>
        <v/>
      </c>
      <c r="AM1826" s="20"/>
      <c r="AN1826" s="11"/>
      <c r="AQ1826" s="6" t="s">
        <v>2196</v>
      </c>
      <c r="AR1826" t="s">
        <v>2187</v>
      </c>
    </row>
    <row r="1827" spans="6:46">
      <c r="F18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7" s="13" t="s">
        <v>461</v>
      </c>
      <c r="H1827" s="13" t="s">
        <v>2991</v>
      </c>
      <c r="I1827" s="12" t="str">
        <f>Table1[[#This Row],[type]]</f>
        <v>overflow</v>
      </c>
      <c r="J1827" s="62" t="str">
        <f>Table1[[#This Row],[Column42]]&amp;IF(Table1[[#This Row],[Column13]]="","",Table1[[#This Row],[Column13]])&amp;IF(Table1[[#This Row],[mod]]="","",Table1[[#This Row],[mod]])</f>
        <v>overflow--scroll</v>
      </c>
      <c r="K18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7" t="s">
        <v>2186</v>
      </c>
      <c r="Q18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S1827" t="s">
        <v>3147</v>
      </c>
      <c r="U18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7" s="29"/>
      <c r="AC1827" s="25" t="s">
        <v>5675</v>
      </c>
      <c r="AD1827" s="41"/>
      <c r="AE1827" s="41"/>
      <c r="AF1827" s="11"/>
      <c r="AH1827" s="1" t="str">
        <f>Table1[[#This Row],[html_tag]]&amp;Table1[[#This Row],[html_type]]&amp;Table1[[#This Row],[html_modifier]]</f>
        <v/>
      </c>
      <c r="AL1827" s="22" t="str">
        <f>IFERROR(_xlfn.XLOOKUP(Table1[[#This Row],[word]],Table57[English style name],Table57[Style type]),"")</f>
        <v/>
      </c>
      <c r="AM1827" s="20"/>
      <c r="AN1827" s="11"/>
      <c r="AQ1827" s="6" t="s">
        <v>2197</v>
      </c>
      <c r="AR1827" t="s">
        <v>2187</v>
      </c>
      <c r="AS1827" s="6" t="s">
        <v>2191</v>
      </c>
      <c r="AT1827" t="s">
        <v>2187</v>
      </c>
    </row>
    <row r="1828" spans="6:46">
      <c r="F18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8" s="13" t="s">
        <v>461</v>
      </c>
      <c r="H1828" s="13" t="s">
        <v>2991</v>
      </c>
      <c r="I1828" s="12" t="str">
        <f>Table1[[#This Row],[type]]</f>
        <v>overflow</v>
      </c>
      <c r="J1828" s="62" t="str">
        <f>Table1[[#This Row],[Column42]]&amp;IF(Table1[[#This Row],[Column13]]="","",Table1[[#This Row],[Column13]])&amp;IF(Table1[[#This Row],[mod]]="","",Table1[[#This Row],[mod]])</f>
        <v>overflow--visible</v>
      </c>
      <c r="K18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8" t="s">
        <v>2186</v>
      </c>
      <c r="Q18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S1828" t="s">
        <v>2967</v>
      </c>
      <c r="U18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8" s="29"/>
      <c r="AC1828" s="25" t="s">
        <v>5676</v>
      </c>
      <c r="AD1828" s="41"/>
      <c r="AE1828" s="41"/>
      <c r="AF1828" s="11"/>
      <c r="AH1828" s="1" t="str">
        <f>Table1[[#This Row],[html_tag]]&amp;Table1[[#This Row],[html_type]]&amp;Table1[[#This Row],[html_modifier]]</f>
        <v/>
      </c>
      <c r="AL1828" s="22" t="str">
        <f>IFERROR(_xlfn.XLOOKUP(Table1[[#This Row],[word]],Table57[English style name],Table57[Style type]),"")</f>
        <v/>
      </c>
      <c r="AM1828" s="20"/>
      <c r="AN1828" s="11"/>
      <c r="AQ1828" s="6" t="s">
        <v>2198</v>
      </c>
      <c r="AR1828" t="s">
        <v>2187</v>
      </c>
      <c r="AS1828" s="6" t="s">
        <v>2192</v>
      </c>
      <c r="AT1828" t="s">
        <v>2187</v>
      </c>
    </row>
    <row r="1829" spans="6:46">
      <c r="F18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29" s="13" t="s">
        <v>337</v>
      </c>
      <c r="H1829" s="13" t="s">
        <v>2986</v>
      </c>
      <c r="I1829" s="12" t="str">
        <f>Table1[[#This Row],[type]]</f>
        <v>overlay</v>
      </c>
      <c r="J1829" s="62" t="str">
        <f>Table1[[#This Row],[Column42]]&amp;IF(Table1[[#This Row],[Column13]]="","",Table1[[#This Row],[Column13]])&amp;IF(Table1[[#This Row],[mod]]="","",Table1[[#This Row],[mod]])</f>
        <v>overlay</v>
      </c>
      <c r="K18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29" t="s">
        <v>3107</v>
      </c>
      <c r="P1829" s="6" t="s">
        <v>2207</v>
      </c>
      <c r="Q18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9" s="29"/>
      <c r="AC1829" s="25"/>
      <c r="AD1829" s="41"/>
      <c r="AE1829" s="41"/>
      <c r="AF1829" s="11"/>
      <c r="AH1829" s="1" t="str">
        <f>Table1[[#This Row],[html_tag]]&amp;Table1[[#This Row],[html_type]]&amp;Table1[[#This Row],[html_modifier]]</f>
        <v/>
      </c>
      <c r="AL1829" s="22" t="str">
        <f>IFERROR(_xlfn.XLOOKUP(Table1[[#This Row],[word]],Table57[English style name],Table57[Style type]),"")</f>
        <v/>
      </c>
      <c r="AM1829" s="20"/>
      <c r="AN1829" s="11"/>
      <c r="AQ1829" s="6" t="s">
        <v>2207</v>
      </c>
      <c r="AR1829" t="s">
        <v>2208</v>
      </c>
    </row>
    <row r="1830" spans="6:46">
      <c r="F18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0" s="13" t="s">
        <v>337</v>
      </c>
      <c r="H1830" s="13" t="s">
        <v>2986</v>
      </c>
      <c r="I1830" s="12" t="str">
        <f>Table1[[#This Row],[type]]</f>
        <v>overlay</v>
      </c>
      <c r="J1830" s="62" t="str">
        <f>Table1[[#This Row],[Column42]]&amp;IF(Table1[[#This Row],[Column13]]="","",Table1[[#This Row],[Column13]])&amp;IF(Table1[[#This Row],[mod]]="","",Table1[[#This Row],[mod]])</f>
        <v>overlay</v>
      </c>
      <c r="K18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0" t="s">
        <v>3107</v>
      </c>
      <c r="P1830" s="6" t="s">
        <v>2210</v>
      </c>
      <c r="Q18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0" s="29"/>
      <c r="AC1830" s="25"/>
      <c r="AD1830" s="41"/>
      <c r="AE1830" s="41"/>
      <c r="AF1830" s="11"/>
      <c r="AH1830" s="1" t="str">
        <f>Table1[[#This Row],[html_tag]]&amp;Table1[[#This Row],[html_type]]&amp;Table1[[#This Row],[html_modifier]]</f>
        <v/>
      </c>
      <c r="AL1830" s="22" t="str">
        <f>IFERROR(_xlfn.XLOOKUP(Table1[[#This Row],[word]],Table57[English style name],Table57[Style type]),"")</f>
        <v/>
      </c>
      <c r="AM1830" s="20"/>
      <c r="AN1830" s="11"/>
      <c r="AQ1830" s="6" t="s">
        <v>2210</v>
      </c>
      <c r="AR1830" t="s">
        <v>2208</v>
      </c>
    </row>
    <row r="1831" spans="6:46">
      <c r="F18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1" s="13" t="s">
        <v>337</v>
      </c>
      <c r="H1831" s="13" t="s">
        <v>2986</v>
      </c>
      <c r="I1831" s="12" t="str">
        <f>Table1[[#This Row],[type]]</f>
        <v>overlay</v>
      </c>
      <c r="J1831" s="62" t="str">
        <f>Table1[[#This Row],[Column42]]&amp;IF(Table1[[#This Row],[Column13]]="","",Table1[[#This Row],[Column13]])&amp;IF(Table1[[#This Row],[mod]]="","",Table1[[#This Row],[mod]])</f>
        <v>overlay</v>
      </c>
      <c r="K18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1" t="s">
        <v>3107</v>
      </c>
      <c r="P1831" s="6" t="s">
        <v>2211</v>
      </c>
      <c r="Q18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1" s="29"/>
      <c r="AC1831" s="25"/>
      <c r="AD1831" s="41"/>
      <c r="AE1831" s="41"/>
      <c r="AF1831" s="11"/>
      <c r="AH1831" s="1" t="str">
        <f>Table1[[#This Row],[html_tag]]&amp;Table1[[#This Row],[html_type]]&amp;Table1[[#This Row],[html_modifier]]</f>
        <v/>
      </c>
      <c r="AL1831" s="22" t="str">
        <f>IFERROR(_xlfn.XLOOKUP(Table1[[#This Row],[word]],Table57[English style name],Table57[Style type]),"")</f>
        <v/>
      </c>
      <c r="AM1831" s="20"/>
      <c r="AN1831" s="11"/>
      <c r="AQ1831" s="6" t="s">
        <v>2211</v>
      </c>
      <c r="AR1831" t="s">
        <v>2208</v>
      </c>
    </row>
    <row r="1832" spans="6:46">
      <c r="F18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2" s="13" t="s">
        <v>337</v>
      </c>
      <c r="H1832" s="13" t="s">
        <v>2986</v>
      </c>
      <c r="I1832" s="12" t="str">
        <f>Table1[[#This Row],[type]]</f>
        <v>overlay</v>
      </c>
      <c r="J1832" s="62" t="str">
        <f>Table1[[#This Row],[Column42]]&amp;IF(Table1[[#This Row],[Column13]]="","",Table1[[#This Row],[Column13]])&amp;IF(Table1[[#This Row],[mod]]="","",Table1[[#This Row],[mod]])</f>
        <v>overlay</v>
      </c>
      <c r="K18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2" t="s">
        <v>3107</v>
      </c>
      <c r="P1832" s="6" t="s">
        <v>2212</v>
      </c>
      <c r="Q18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2" s="29"/>
      <c r="AC1832" s="25"/>
      <c r="AD1832" s="41"/>
      <c r="AE1832" s="41"/>
      <c r="AF1832" s="11"/>
      <c r="AH1832" s="1" t="str">
        <f>Table1[[#This Row],[html_tag]]&amp;Table1[[#This Row],[html_type]]&amp;Table1[[#This Row],[html_modifier]]</f>
        <v/>
      </c>
      <c r="AL1832" s="22" t="str">
        <f>IFERROR(_xlfn.XLOOKUP(Table1[[#This Row],[word]],Table57[English style name],Table57[Style type]),"")</f>
        <v/>
      </c>
      <c r="AM1832" s="20"/>
      <c r="AN1832" s="11"/>
      <c r="AQ1832" s="6" t="s">
        <v>2212</v>
      </c>
      <c r="AR1832" t="s">
        <v>2208</v>
      </c>
    </row>
    <row r="1833" spans="6:46">
      <c r="F18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3" s="13" t="s">
        <v>337</v>
      </c>
      <c r="H1833" s="13" t="s">
        <v>2986</v>
      </c>
      <c r="I1833" s="12" t="str">
        <f>Table1[[#This Row],[type]]</f>
        <v>overlay</v>
      </c>
      <c r="J1833" s="62" t="str">
        <f>Table1[[#This Row],[Column42]]&amp;IF(Table1[[#This Row],[Column13]]="","",Table1[[#This Row],[Column13]])&amp;IF(Table1[[#This Row],[mod]]="","",Table1[[#This Row],[mod]])</f>
        <v>overlay</v>
      </c>
      <c r="K18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3" t="s">
        <v>3107</v>
      </c>
      <c r="P1833" s="6" t="s">
        <v>2213</v>
      </c>
      <c r="Q18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3" s="29"/>
      <c r="AC1833" s="25"/>
      <c r="AD1833" s="41"/>
      <c r="AE1833" s="41"/>
      <c r="AF1833" s="11"/>
      <c r="AH1833" s="1" t="str">
        <f>Table1[[#This Row],[html_tag]]&amp;Table1[[#This Row],[html_type]]&amp;Table1[[#This Row],[html_modifier]]</f>
        <v/>
      </c>
      <c r="AL1833" s="22" t="str">
        <f>IFERROR(_xlfn.XLOOKUP(Table1[[#This Row],[word]],Table57[English style name],Table57[Style type]),"")</f>
        <v/>
      </c>
      <c r="AM1833" s="20"/>
      <c r="AN1833" s="11"/>
      <c r="AQ1833" s="6" t="s">
        <v>2213</v>
      </c>
      <c r="AR1833" t="s">
        <v>2208</v>
      </c>
    </row>
    <row r="1834" spans="6:46">
      <c r="F18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4" s="13" t="s">
        <v>337</v>
      </c>
      <c r="H1834" s="13" t="s">
        <v>2986</v>
      </c>
      <c r="I1834" s="12" t="str">
        <f>Table1[[#This Row],[type]]</f>
        <v>overlay</v>
      </c>
      <c r="J1834" s="62" t="str">
        <f>Table1[[#This Row],[Column42]]&amp;IF(Table1[[#This Row],[Column13]]="","",Table1[[#This Row],[Column13]])&amp;IF(Table1[[#This Row],[mod]]="","",Table1[[#This Row],[mod]])</f>
        <v>overlay--base</v>
      </c>
      <c r="K18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4" t="s">
        <v>3107</v>
      </c>
      <c r="P1834" s="6" t="s">
        <v>2209</v>
      </c>
      <c r="Q18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834" t="s">
        <v>338</v>
      </c>
      <c r="AB1834" s="29"/>
      <c r="AC1834" s="25"/>
      <c r="AD1834" s="41"/>
      <c r="AE1834" s="41"/>
      <c r="AF1834" s="11"/>
      <c r="AH1834" s="1" t="str">
        <f>Table1[[#This Row],[html_tag]]&amp;Table1[[#This Row],[html_type]]&amp;Table1[[#This Row],[html_modifier]]</f>
        <v/>
      </c>
      <c r="AL1834" s="22" t="str">
        <f>IFERROR(_xlfn.XLOOKUP(Table1[[#This Row],[word]],Table57[English style name],Table57[Style type]),"")</f>
        <v/>
      </c>
      <c r="AM1834" s="20"/>
      <c r="AN1834" s="11"/>
      <c r="AQ1834" s="6" t="s">
        <v>2209</v>
      </c>
      <c r="AR1834" t="s">
        <v>2208</v>
      </c>
    </row>
    <row r="1835" spans="6:46">
      <c r="F18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5" s="13" t="s">
        <v>337</v>
      </c>
      <c r="H1835" s="13" t="s">
        <v>2986</v>
      </c>
      <c r="I1835" s="12" t="str">
        <f>Table1[[#This Row],[type]]</f>
        <v>overlay</v>
      </c>
      <c r="J1835" s="62" t="str">
        <f>Table1[[#This Row],[Column42]]&amp;IF(Table1[[#This Row],[Column13]]="","",Table1[[#This Row],[Column13]])&amp;IF(Table1[[#This Row],[mod]]="","",Table1[[#This Row],[mod]])</f>
        <v>overlay--container</v>
      </c>
      <c r="K18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5" t="s">
        <v>3107</v>
      </c>
      <c r="P1835" s="6" t="s">
        <v>2214</v>
      </c>
      <c r="Q18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835" t="s">
        <v>3445</v>
      </c>
      <c r="AB1835" s="29"/>
      <c r="AC1835" s="25"/>
      <c r="AD1835" s="41"/>
      <c r="AE1835" s="41"/>
      <c r="AF1835" s="11"/>
      <c r="AH1835" s="1" t="str">
        <f>Table1[[#This Row],[html_tag]]&amp;Table1[[#This Row],[html_type]]&amp;Table1[[#This Row],[html_modifier]]</f>
        <v/>
      </c>
      <c r="AL1835" s="22" t="str">
        <f>IFERROR(_xlfn.XLOOKUP(Table1[[#This Row],[word]],Table57[English style name],Table57[Style type]),"")</f>
        <v/>
      </c>
      <c r="AM1835" s="20"/>
      <c r="AN1835" s="11"/>
      <c r="AQ1835" s="6" t="s">
        <v>2214</v>
      </c>
      <c r="AR1835" t="s">
        <v>2208</v>
      </c>
    </row>
    <row r="1836" spans="6:46">
      <c r="F18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36" s="13" t="s">
        <v>461</v>
      </c>
      <c r="H1836" s="13" t="s">
        <v>2991</v>
      </c>
      <c r="I1836" s="12" t="str">
        <f>Table1[[#This Row],[type]]</f>
        <v>padding</v>
      </c>
      <c r="J1836" s="62" t="str">
        <f>Table1[[#This Row],[Column42]]&amp;IF(Table1[[#This Row],[Column13]]="","",Table1[[#This Row],[Column13]])&amp;IF(Table1[[#This Row],[mod]]="","",Table1[[#This Row],[mod]])</f>
        <v>padding</v>
      </c>
      <c r="K18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</v>
      </c>
      <c r="L1836" t="s">
        <v>2215</v>
      </c>
      <c r="P1836" s="6" t="s">
        <v>2215</v>
      </c>
      <c r="Q18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6" s="29"/>
      <c r="AC1836" s="25"/>
      <c r="AD1836" s="41"/>
      <c r="AE1836" s="41"/>
      <c r="AF1836" s="11"/>
      <c r="AH1836" s="1" t="str">
        <f>Table1[[#This Row],[html_tag]]&amp;Table1[[#This Row],[html_type]]&amp;Table1[[#This Row],[html_modifier]]</f>
        <v/>
      </c>
      <c r="AL1836" s="22" t="str">
        <f>IFERROR(_xlfn.XLOOKUP(Table1[[#This Row],[word]],Table57[English style name],Table57[Style type]),"")</f>
        <v/>
      </c>
      <c r="AM1836" s="20"/>
      <c r="AN1836" s="11"/>
      <c r="AQ1836" s="6" t="s">
        <v>2215</v>
      </c>
      <c r="AR1836" t="s">
        <v>2216</v>
      </c>
    </row>
    <row r="1837" spans="6:46">
      <c r="F18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37" s="13" t="s">
        <v>461</v>
      </c>
      <c r="H1837" s="13" t="s">
        <v>2991</v>
      </c>
      <c r="I1837" s="12" t="str">
        <f>Table1[[#This Row],[type]]</f>
        <v>padding</v>
      </c>
      <c r="J1837" s="62" t="str">
        <f>Table1[[#This Row],[Column42]]&amp;IF(Table1[[#This Row],[Column13]]="","",Table1[[#This Row],[Column13]])&amp;IF(Table1[[#This Row],[mod]]="","",Table1[[#This Row],[mod]])</f>
        <v>padding__bottom</v>
      </c>
      <c r="K18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padding__bottom</v>
      </c>
      <c r="L1837" t="s">
        <v>2215</v>
      </c>
      <c r="N1837" t="s">
        <v>3186</v>
      </c>
      <c r="P1837" s="6" t="s">
        <v>2217</v>
      </c>
      <c r="Q18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7" s="29"/>
      <c r="AC1837" s="25"/>
      <c r="AD1837" s="41"/>
      <c r="AE1837" s="41"/>
      <c r="AF1837" s="11"/>
      <c r="AH1837" s="1" t="str">
        <f>Table1[[#This Row],[html_tag]]&amp;Table1[[#This Row],[html_type]]&amp;Table1[[#This Row],[html_modifier]]</f>
        <v/>
      </c>
      <c r="AL1837" s="22" t="str">
        <f>IFERROR(_xlfn.XLOOKUP(Table1[[#This Row],[word]],Table57[English style name],Table57[Style type]),"")</f>
        <v/>
      </c>
      <c r="AM1837" s="20"/>
      <c r="AN1837" s="11"/>
      <c r="AQ1837" s="6" t="s">
        <v>2217</v>
      </c>
      <c r="AR1837" t="s">
        <v>2216</v>
      </c>
    </row>
    <row r="1838" spans="6:46">
      <c r="F18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38" s="13" t="s">
        <v>461</v>
      </c>
      <c r="H1838" s="13" t="s">
        <v>2991</v>
      </c>
      <c r="I1838" s="12" t="str">
        <f>Table1[[#This Row],[type]]</f>
        <v>padding</v>
      </c>
      <c r="J1838" s="62" t="str">
        <f>Table1[[#This Row],[Column42]]&amp;IF(Table1[[#This Row],[Column13]]="","",Table1[[#This Row],[Column13]])&amp;IF(Table1[[#This Row],[mod]]="","",Table1[[#This Row],[mod]])</f>
        <v>padding__left</v>
      </c>
      <c r="K18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padding__left</v>
      </c>
      <c r="L1838" t="s">
        <v>2215</v>
      </c>
      <c r="N1838" s="3" t="s">
        <v>616</v>
      </c>
      <c r="P1838" s="6" t="s">
        <v>2219</v>
      </c>
      <c r="Q18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8" s="29"/>
      <c r="AC1838" s="25"/>
      <c r="AD1838" s="41"/>
      <c r="AE1838" s="41"/>
      <c r="AF1838" s="11"/>
      <c r="AH1838" s="1" t="str">
        <f>Table1[[#This Row],[html_tag]]&amp;Table1[[#This Row],[html_type]]&amp;Table1[[#This Row],[html_modifier]]</f>
        <v/>
      </c>
      <c r="AL1838" s="22" t="str">
        <f>IFERROR(_xlfn.XLOOKUP(Table1[[#This Row],[word]],Table57[English style name],Table57[Style type]),"")</f>
        <v/>
      </c>
      <c r="AM1838" s="20"/>
      <c r="AN1838" s="11"/>
      <c r="AQ1838" s="6" t="s">
        <v>2219</v>
      </c>
      <c r="AR1838" t="s">
        <v>2216</v>
      </c>
    </row>
    <row r="1839" spans="6:46">
      <c r="F18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39" s="13" t="s">
        <v>461</v>
      </c>
      <c r="H1839" s="13" t="s">
        <v>2991</v>
      </c>
      <c r="I1839" s="12" t="str">
        <f>Table1[[#This Row],[type]]</f>
        <v>padding</v>
      </c>
      <c r="J1839" s="62" t="str">
        <f>Table1[[#This Row],[Column42]]&amp;IF(Table1[[#This Row],[Column13]]="","",Table1[[#This Row],[Column13]])&amp;IF(Table1[[#This Row],[mod]]="","",Table1[[#This Row],[mod]])</f>
        <v>padding__right</v>
      </c>
      <c r="K18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padding__right</v>
      </c>
      <c r="L1839" t="s">
        <v>2215</v>
      </c>
      <c r="N1839" t="s">
        <v>617</v>
      </c>
      <c r="P1839" s="6" t="s">
        <v>2220</v>
      </c>
      <c r="Q18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9" s="29"/>
      <c r="AC1839" s="25"/>
      <c r="AD1839" s="41"/>
      <c r="AE1839" s="41"/>
      <c r="AF1839" s="11"/>
      <c r="AH1839" s="1" t="str">
        <f>Table1[[#This Row],[html_tag]]&amp;Table1[[#This Row],[html_type]]&amp;Table1[[#This Row],[html_modifier]]</f>
        <v/>
      </c>
      <c r="AL1839" s="22" t="str">
        <f>IFERROR(_xlfn.XLOOKUP(Table1[[#This Row],[word]],Table57[English style name],Table57[Style type]),"")</f>
        <v/>
      </c>
      <c r="AM1839" s="20"/>
      <c r="AN1839" s="11"/>
      <c r="AQ1839" s="6" t="s">
        <v>2220</v>
      </c>
      <c r="AR1839" t="s">
        <v>2216</v>
      </c>
    </row>
    <row r="1840" spans="6:46">
      <c r="F18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40" s="13" t="s">
        <v>461</v>
      </c>
      <c r="H1840" s="13" t="s">
        <v>2991</v>
      </c>
      <c r="I1840" s="12" t="str">
        <f>Table1[[#This Row],[type]]</f>
        <v>padding</v>
      </c>
      <c r="J1840" s="62" t="str">
        <f>Table1[[#This Row],[Column42]]&amp;IF(Table1[[#This Row],[Column13]]="","",Table1[[#This Row],[Column13]])&amp;IF(Table1[[#This Row],[mod]]="","",Table1[[#This Row],[mod]])</f>
        <v>padding__top</v>
      </c>
      <c r="K18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padding__top</v>
      </c>
      <c r="L1840" t="s">
        <v>2215</v>
      </c>
      <c r="N1840" t="s">
        <v>3182</v>
      </c>
      <c r="P1840" s="6" t="s">
        <v>2221</v>
      </c>
      <c r="Q18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0" s="29"/>
      <c r="AC1840" s="25"/>
      <c r="AD1840" s="41"/>
      <c r="AE1840" s="41"/>
      <c r="AF1840" s="11"/>
      <c r="AH1840" s="1" t="str">
        <f>Table1[[#This Row],[html_tag]]&amp;Table1[[#This Row],[html_type]]&amp;Table1[[#This Row],[html_modifier]]</f>
        <v/>
      </c>
      <c r="AL1840" s="22" t="str">
        <f>IFERROR(_xlfn.XLOOKUP(Table1[[#This Row],[word]],Table57[English style name],Table57[Style type]),"")</f>
        <v/>
      </c>
      <c r="AM1840" s="20"/>
      <c r="AN1840" s="11"/>
      <c r="AQ1840" s="6" t="s">
        <v>2221</v>
      </c>
      <c r="AR1840" t="s">
        <v>2216</v>
      </c>
    </row>
    <row r="1841" spans="6:44">
      <c r="F18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41" s="13" t="s">
        <v>461</v>
      </c>
      <c r="H1841" s="13" t="s">
        <v>2991</v>
      </c>
      <c r="I1841" s="12" t="str">
        <f>Table1[[#This Row],[type]]</f>
        <v>padding</v>
      </c>
      <c r="J1841" s="62" t="str">
        <f>Table1[[#This Row],[Column42]]&amp;IF(Table1[[#This Row],[Column13]]="","",Table1[[#This Row],[Column13]])&amp;IF(Table1[[#This Row],[mod]]="","",Table1[[#This Row],[mod]])</f>
        <v>padding--horizontal</v>
      </c>
      <c r="K18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</v>
      </c>
      <c r="L1841" t="s">
        <v>2215</v>
      </c>
      <c r="P1841" s="6" t="s">
        <v>2218</v>
      </c>
      <c r="Q18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841" t="s">
        <v>3205</v>
      </c>
      <c r="AB1841" s="29"/>
      <c r="AC1841" s="25"/>
      <c r="AD1841" s="41"/>
      <c r="AE1841" s="41"/>
      <c r="AF1841" s="11"/>
      <c r="AH1841" s="1" t="str">
        <f>Table1[[#This Row],[html_tag]]&amp;Table1[[#This Row],[html_type]]&amp;Table1[[#This Row],[html_modifier]]</f>
        <v/>
      </c>
      <c r="AL1841" s="22" t="str">
        <f>IFERROR(_xlfn.XLOOKUP(Table1[[#This Row],[word]],Table57[English style name],Table57[Style type]),"")</f>
        <v/>
      </c>
      <c r="AM1841" s="20"/>
      <c r="AN1841" s="11"/>
      <c r="AQ1841" s="6" t="s">
        <v>2218</v>
      </c>
      <c r="AR1841" t="s">
        <v>2216</v>
      </c>
    </row>
    <row r="1842" spans="6:44">
      <c r="F18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42" s="13" t="s">
        <v>461</v>
      </c>
      <c r="H1842" s="13" t="s">
        <v>2991</v>
      </c>
      <c r="I1842" s="12" t="str">
        <f>Table1[[#This Row],[type]]</f>
        <v>padding</v>
      </c>
      <c r="J1842" s="62" t="str">
        <f>Table1[[#This Row],[Column42]]&amp;IF(Table1[[#This Row],[Column13]]="","",Table1[[#This Row],[Column13]])&amp;IF(Table1[[#This Row],[mod]]="","",Table1[[#This Row],[mod]])</f>
        <v>padding--vertical</v>
      </c>
      <c r="K18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</v>
      </c>
      <c r="L1842" t="s">
        <v>2215</v>
      </c>
      <c r="P1842" s="6" t="s">
        <v>2222</v>
      </c>
      <c r="Q18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842" t="s">
        <v>2943</v>
      </c>
      <c r="AB1842" s="29"/>
      <c r="AC1842" s="25"/>
      <c r="AD1842" s="41"/>
      <c r="AE1842" s="41"/>
      <c r="AF1842" s="11"/>
      <c r="AH1842" s="1" t="str">
        <f>Table1[[#This Row],[html_tag]]&amp;Table1[[#This Row],[html_type]]&amp;Table1[[#This Row],[html_modifier]]</f>
        <v/>
      </c>
      <c r="AL1842" s="22" t="str">
        <f>IFERROR(_xlfn.XLOOKUP(Table1[[#This Row],[word]],Table57[English style name],Table57[Style type]),"")</f>
        <v/>
      </c>
      <c r="AM1842" s="20"/>
      <c r="AN1842" s="11"/>
      <c r="AQ1842" s="6" t="s">
        <v>2222</v>
      </c>
      <c r="AR1842" t="s">
        <v>2216</v>
      </c>
    </row>
    <row r="1843" spans="6:44">
      <c r="F18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843" s="13" t="s">
        <v>461</v>
      </c>
      <c r="H1843" s="13" t="s">
        <v>2991</v>
      </c>
      <c r="I1843" s="12" t="str">
        <f>Table1[[#This Row],[type]]</f>
        <v>page</v>
      </c>
      <c r="J1843" s="62" t="str">
        <f>Table1[[#This Row],[Column42]]&amp;IF(Table1[[#This Row],[Column13]]="","",Table1[[#This Row],[Column13]])&amp;IF(Table1[[#This Row],[mod]]="","",Table1[[#This Row],[mod]])</f>
        <v>page</v>
      </c>
      <c r="K18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3" t="s">
        <v>2237</v>
      </c>
      <c r="P1843" s="6" t="s">
        <v>2237</v>
      </c>
      <c r="Q18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3" s="29"/>
      <c r="AC1843" s="25"/>
      <c r="AD1843" s="41"/>
      <c r="AE1843" s="41"/>
      <c r="AF1843" s="11"/>
      <c r="AH1843" s="1" t="str">
        <f>Table1[[#This Row],[html_tag]]&amp;Table1[[#This Row],[html_type]]&amp;Table1[[#This Row],[html_modifier]]</f>
        <v/>
      </c>
      <c r="AL1843" s="22" t="str">
        <f>IFERROR(_xlfn.XLOOKUP(Table1[[#This Row],[word]],Table57[English style name],Table57[Style type]),"")</f>
        <v/>
      </c>
      <c r="AM1843" s="20"/>
      <c r="AN1843" s="11"/>
      <c r="AQ1843" s="6" t="s">
        <v>2237</v>
      </c>
      <c r="AR1843" t="s">
        <v>2238</v>
      </c>
    </row>
    <row r="1844" spans="6:44">
      <c r="F18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844" s="13" t="s">
        <v>461</v>
      </c>
      <c r="H1844" s="13" t="s">
        <v>2991</v>
      </c>
      <c r="I1844" s="12" t="str">
        <f>Table1[[#This Row],[type]]</f>
        <v>page</v>
      </c>
      <c r="J1844" s="62" t="str">
        <f>Table1[[#This Row],[Column42]]&amp;IF(Table1[[#This Row],[Column13]]="","",Table1[[#This Row],[Column13]])&amp;IF(Table1[[#This Row],[mod]]="","",Table1[[#This Row],[mod]])</f>
        <v>page</v>
      </c>
      <c r="K18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4" t="s">
        <v>2237</v>
      </c>
      <c r="P1844" s="6" t="s">
        <v>2239</v>
      </c>
      <c r="Q18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4" s="29"/>
      <c r="AC1844" s="25"/>
      <c r="AD1844" s="41"/>
      <c r="AE1844" s="41"/>
      <c r="AF1844" s="11"/>
      <c r="AH1844" s="1" t="str">
        <f>Table1[[#This Row],[html_tag]]&amp;Table1[[#This Row],[html_type]]&amp;Table1[[#This Row],[html_modifier]]</f>
        <v/>
      </c>
      <c r="AL1844" s="22" t="str">
        <f>IFERROR(_xlfn.XLOOKUP(Table1[[#This Row],[word]],Table57[English style name],Table57[Style type]),"")</f>
        <v/>
      </c>
      <c r="AM1844" s="20"/>
      <c r="AN1844" s="11"/>
      <c r="AQ1844" s="6" t="s">
        <v>2239</v>
      </c>
      <c r="AR1844" t="s">
        <v>2238</v>
      </c>
    </row>
    <row r="1845" spans="6:44">
      <c r="F18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45" s="13" t="s">
        <v>337</v>
      </c>
      <c r="H1845" s="13" t="s">
        <v>2989</v>
      </c>
      <c r="I1845" s="12" t="str">
        <f>Table1[[#This Row],[type]]</f>
        <v>page</v>
      </c>
      <c r="J1845" s="62" t="str">
        <f>Table1[[#This Row],[Column42]]&amp;IF(Table1[[#This Row],[Column13]]="","",Table1[[#This Row],[Column13]])&amp;IF(Table1[[#This Row],[mod]]="","",Table1[[#This Row],[mod]])</f>
        <v>page</v>
      </c>
      <c r="K18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5" t="s">
        <v>2237</v>
      </c>
      <c r="P1845" s="6" t="s">
        <v>2226</v>
      </c>
      <c r="Q18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5" s="29"/>
      <c r="AC1845" s="25"/>
      <c r="AD1845" s="41"/>
      <c r="AE1845" s="41"/>
      <c r="AF1845" s="11"/>
      <c r="AH1845" s="1" t="str">
        <f>Table1[[#This Row],[html_tag]]&amp;Table1[[#This Row],[html_type]]&amp;Table1[[#This Row],[html_modifier]]</f>
        <v/>
      </c>
      <c r="AL1845" s="22" t="str">
        <f>IFERROR(_xlfn.XLOOKUP(Table1[[#This Row],[word]],Table57[English style name],Table57[Style type]),"")</f>
        <v/>
      </c>
      <c r="AM1845" s="20"/>
      <c r="AN1845" s="11"/>
      <c r="AQ1845" s="6" t="s">
        <v>2226</v>
      </c>
      <c r="AR1845" t="s">
        <v>2224</v>
      </c>
    </row>
    <row r="1846" spans="6:44">
      <c r="F18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846" s="13" t="s">
        <v>461</v>
      </c>
      <c r="H1846" s="13" t="s">
        <v>2991</v>
      </c>
      <c r="I1846" s="12" t="str">
        <f>Table1[[#This Row],[type]]</f>
        <v>page</v>
      </c>
      <c r="J1846" s="62" t="str">
        <f>Table1[[#This Row],[Column42]]&amp;IF(Table1[[#This Row],[Column13]]="","",Table1[[#This Row],[Column13]])&amp;IF(Table1[[#This Row],[mod]]="","",Table1[[#This Row],[mod]])</f>
        <v>page</v>
      </c>
      <c r="K18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6" t="s">
        <v>2237</v>
      </c>
      <c r="P1846" s="6" t="s">
        <v>2240</v>
      </c>
      <c r="Q18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6" s="29"/>
      <c r="AC1846" s="25"/>
      <c r="AD1846" s="41"/>
      <c r="AE1846" s="41"/>
      <c r="AF1846" s="11"/>
      <c r="AH1846" s="1" t="str">
        <f>Table1[[#This Row],[html_tag]]&amp;Table1[[#This Row],[html_type]]&amp;Table1[[#This Row],[html_modifier]]</f>
        <v/>
      </c>
      <c r="AL1846" s="22" t="str">
        <f>IFERROR(_xlfn.XLOOKUP(Table1[[#This Row],[word]],Table57[English style name],Table57[Style type]),"")</f>
        <v/>
      </c>
      <c r="AM1846" s="20"/>
      <c r="AN1846" s="11"/>
      <c r="AQ1846" s="6" t="s">
        <v>2240</v>
      </c>
      <c r="AR1846" t="s">
        <v>2238</v>
      </c>
    </row>
    <row r="1847" spans="6:44">
      <c r="F18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47" s="13" t="s">
        <v>337</v>
      </c>
      <c r="H1847" s="13" t="s">
        <v>2989</v>
      </c>
      <c r="I1847" s="12" t="str">
        <f>Table1[[#This Row],[type]]</f>
        <v>page</v>
      </c>
      <c r="J1847" s="62" t="str">
        <f>Table1[[#This Row],[Column42]]&amp;IF(Table1[[#This Row],[Column13]]="","",Table1[[#This Row],[Column13]])&amp;IF(Table1[[#This Row],[mod]]="","",Table1[[#This Row],[mod]])</f>
        <v>page</v>
      </c>
      <c r="K18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7" t="s">
        <v>2237</v>
      </c>
      <c r="P1847" s="6" t="s">
        <v>2228</v>
      </c>
      <c r="Q18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7" s="29"/>
      <c r="AC1847" s="25"/>
      <c r="AD1847" s="41"/>
      <c r="AE1847" s="41"/>
      <c r="AF1847" s="11"/>
      <c r="AH1847" s="1" t="str">
        <f>Table1[[#This Row],[html_tag]]&amp;Table1[[#This Row],[html_type]]&amp;Table1[[#This Row],[html_modifier]]</f>
        <v/>
      </c>
      <c r="AL1847" s="22" t="str">
        <f>IFERROR(_xlfn.XLOOKUP(Table1[[#This Row],[word]],Table57[English style name],Table57[Style type]),"")</f>
        <v/>
      </c>
      <c r="AM1847" s="20"/>
      <c r="AN1847" s="11"/>
      <c r="AQ1847" s="6" t="s">
        <v>2228</v>
      </c>
      <c r="AR1847" t="s">
        <v>2224</v>
      </c>
    </row>
    <row r="1848" spans="6:44">
      <c r="F18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48" s="13" t="s">
        <v>337</v>
      </c>
      <c r="H1848" s="13" t="s">
        <v>2989</v>
      </c>
      <c r="I1848" s="12" t="str">
        <f>Table1[[#This Row],[type]]</f>
        <v>page</v>
      </c>
      <c r="J1848" s="62" t="str">
        <f>Table1[[#This Row],[Column42]]&amp;IF(Table1[[#This Row],[Column13]]="","",Table1[[#This Row],[Column13]])&amp;IF(Table1[[#This Row],[mod]]="","",Table1[[#This Row],[mod]])</f>
        <v>page</v>
      </c>
      <c r="K18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8" t="s">
        <v>2237</v>
      </c>
      <c r="P1848" s="6" t="s">
        <v>2229</v>
      </c>
      <c r="Q18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8" s="29"/>
      <c r="AC1848" s="25"/>
      <c r="AD1848" s="41"/>
      <c r="AE1848" s="41"/>
      <c r="AF1848" s="11"/>
      <c r="AH1848" s="1" t="str">
        <f>Table1[[#This Row],[html_tag]]&amp;Table1[[#This Row],[html_type]]&amp;Table1[[#This Row],[html_modifier]]</f>
        <v/>
      </c>
      <c r="AL1848" s="22" t="str">
        <f>IFERROR(_xlfn.XLOOKUP(Table1[[#This Row],[word]],Table57[English style name],Table57[Style type]),"")</f>
        <v/>
      </c>
      <c r="AM1848" s="20"/>
      <c r="AN1848" s="11"/>
      <c r="AQ1848" s="6" t="s">
        <v>2229</v>
      </c>
      <c r="AR1848" t="s">
        <v>2224</v>
      </c>
    </row>
    <row r="1849" spans="6:44">
      <c r="F18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49" s="13" t="s">
        <v>337</v>
      </c>
      <c r="H1849" s="13" t="s">
        <v>2989</v>
      </c>
      <c r="I1849" s="12" t="str">
        <f>Table1[[#This Row],[type]]</f>
        <v>page</v>
      </c>
      <c r="J1849" s="62" t="str">
        <f>Table1[[#This Row],[Column42]]&amp;IF(Table1[[#This Row],[Column13]]="","",Table1[[#This Row],[Column13]])&amp;IF(Table1[[#This Row],[mod]]="","",Table1[[#This Row],[mod]])</f>
        <v>page__center</v>
      </c>
      <c r="K18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page__center</v>
      </c>
      <c r="L1849" t="s">
        <v>2237</v>
      </c>
      <c r="N1849" t="s">
        <v>425</v>
      </c>
      <c r="P1849" s="6" t="s">
        <v>2225</v>
      </c>
      <c r="Q18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9" s="29"/>
      <c r="AC1849" s="25"/>
      <c r="AD1849" s="41"/>
      <c r="AE1849" s="41"/>
      <c r="AF1849" s="11"/>
      <c r="AH1849" s="1" t="str">
        <f>Table1[[#This Row],[html_tag]]&amp;Table1[[#This Row],[html_type]]&amp;Table1[[#This Row],[html_modifier]]</f>
        <v/>
      </c>
      <c r="AL1849" s="22" t="str">
        <f>IFERROR(_xlfn.XLOOKUP(Table1[[#This Row],[word]],Table57[English style name],Table57[Style type]),"")</f>
        <v/>
      </c>
      <c r="AM1849" s="20"/>
      <c r="AN1849" s="11"/>
      <c r="AQ1849" s="6" t="s">
        <v>2225</v>
      </c>
      <c r="AR1849" t="s">
        <v>2224</v>
      </c>
    </row>
    <row r="1850" spans="6:44">
      <c r="F18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50" s="13" t="s">
        <v>337</v>
      </c>
      <c r="H1850" s="13" t="s">
        <v>2989</v>
      </c>
      <c r="I1850" s="12" t="str">
        <f>Table1[[#This Row],[type]]</f>
        <v>page</v>
      </c>
      <c r="J1850" s="62" t="str">
        <f>Table1[[#This Row],[Column42]]&amp;IF(Table1[[#This Row],[Column13]]="","",Table1[[#This Row],[Column13]])&amp;IF(Table1[[#This Row],[mod]]="","",Table1[[#This Row],[mod]])</f>
        <v>page__fixed__header</v>
      </c>
      <c r="K18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page__fixed__header</v>
      </c>
      <c r="L1850" t="s">
        <v>2237</v>
      </c>
      <c r="M1850" t="s">
        <v>3410</v>
      </c>
      <c r="O1850" t="s">
        <v>465</v>
      </c>
      <c r="Q18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0" s="29"/>
      <c r="AC1850" s="25"/>
      <c r="AD1850" s="41"/>
      <c r="AE1850" s="41"/>
      <c r="AF1850" s="11"/>
      <c r="AH1850" s="1" t="str">
        <f>Table1[[#This Row],[html_tag]]&amp;Table1[[#This Row],[html_type]]&amp;Table1[[#This Row],[html_modifier]]</f>
        <v/>
      </c>
      <c r="AL1850" s="22" t="str">
        <f>IFERROR(_xlfn.XLOOKUP(Table1[[#This Row],[word]],Table57[English style name],Table57[Style type]),"")</f>
        <v/>
      </c>
      <c r="AM1850" s="20"/>
      <c r="AN1850" s="11"/>
      <c r="AQ1850" s="6" t="s">
        <v>2227</v>
      </c>
      <c r="AR1850" t="s">
        <v>2224</v>
      </c>
    </row>
    <row r="1851" spans="6:44">
      <c r="F18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51" s="13" t="s">
        <v>337</v>
      </c>
      <c r="H1851" s="13" t="s">
        <v>2989</v>
      </c>
      <c r="I1851" s="12" t="str">
        <f>Table1[[#This Row],[type]]</f>
        <v>page</v>
      </c>
      <c r="J1851" s="62" t="str">
        <f>Table1[[#This Row],[Column42]]&amp;IF(Table1[[#This Row],[Column13]]="","",Table1[[#This Row],[Column13]])&amp;IF(Table1[[#This Row],[mod]]="","",Table1[[#This Row],[mod]])</f>
        <v>page--base</v>
      </c>
      <c r="K18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51" t="s">
        <v>2237</v>
      </c>
      <c r="P1851" s="6" t="s">
        <v>2223</v>
      </c>
      <c r="Q18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851" t="s">
        <v>338</v>
      </c>
      <c r="AB1851" s="29"/>
      <c r="AC1851" s="25"/>
      <c r="AD1851" s="41"/>
      <c r="AE1851" s="41"/>
      <c r="AF1851" s="11"/>
      <c r="AH1851" s="1" t="str">
        <f>Table1[[#This Row],[html_tag]]&amp;Table1[[#This Row],[html_type]]&amp;Table1[[#This Row],[html_modifier]]</f>
        <v/>
      </c>
      <c r="AL1851" s="22" t="str">
        <f>IFERROR(_xlfn.XLOOKUP(Table1[[#This Row],[word]],Table57[English style name],Table57[Style type]),"")</f>
        <v/>
      </c>
      <c r="AM1851" s="20"/>
      <c r="AN1851" s="11"/>
      <c r="AQ1851" s="6" t="s">
        <v>2223</v>
      </c>
      <c r="AR1851" t="s">
        <v>2224</v>
      </c>
    </row>
    <row r="1852" spans="6:44">
      <c r="F18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2" s="13" t="s">
        <v>337</v>
      </c>
      <c r="H1852" s="13" t="s">
        <v>2987</v>
      </c>
      <c r="I1852" s="12" t="str">
        <f>Table1[[#This Row],[type]]</f>
        <v>pagination</v>
      </c>
      <c r="J1852" s="62" t="str">
        <f>Table1[[#This Row],[Column42]]&amp;IF(Table1[[#This Row],[Column13]]="","",Table1[[#This Row],[Column13]])&amp;IF(Table1[[#This Row],[mod]]="","",Table1[[#This Row],[mod]])</f>
        <v>pagination</v>
      </c>
      <c r="K18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52" t="s">
        <v>3100</v>
      </c>
      <c r="Q18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2" s="10"/>
      <c r="AB1852" s="29" t="s">
        <v>3666</v>
      </c>
      <c r="AC1852" s="25" t="s">
        <v>3666</v>
      </c>
      <c r="AD1852" s="41" t="s">
        <v>6633</v>
      </c>
      <c r="AE1852" s="41"/>
      <c r="AF1852" s="11" t="s">
        <v>226</v>
      </c>
      <c r="AH1852" s="1" t="str">
        <f>Table1[[#This Row],[html_tag]]&amp;Table1[[#This Row],[html_type]]&amp;Table1[[#This Row],[html_modifier]]</f>
        <v/>
      </c>
      <c r="AL1852" s="22" t="str">
        <f>IFERROR(_xlfn.XLOOKUP(Table1[[#This Row],[word]],Table57[English style name],Table57[Style type]),"")</f>
        <v/>
      </c>
      <c r="AM1852" s="20"/>
      <c r="AN1852" s="11"/>
      <c r="AQ1852" s="14" t="s">
        <v>2230</v>
      </c>
      <c r="AR1852" t="s">
        <v>2231</v>
      </c>
    </row>
    <row r="1853" spans="6:44">
      <c r="F18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3" s="13" t="s">
        <v>337</v>
      </c>
      <c r="H1853" s="13" t="s">
        <v>2987</v>
      </c>
      <c r="I1853" s="12" t="str">
        <f>Table1[[#This Row],[type]]</f>
        <v>pagination</v>
      </c>
      <c r="J1853" s="62" t="str">
        <f>Table1[[#This Row],[Column42]]&amp;IF(Table1[[#This Row],[Column13]]="","",Table1[[#This Row],[Column13]])&amp;IF(Table1[[#This Row],[mod]]="","",Table1[[#This Row],[mod]])</f>
        <v>pagination__center</v>
      </c>
      <c r="K18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pagination__center</v>
      </c>
      <c r="L1853" t="s">
        <v>3100</v>
      </c>
      <c r="N1853" t="s">
        <v>425</v>
      </c>
      <c r="Q18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3" s="29"/>
      <c r="AC1853" s="25"/>
      <c r="AD1853" s="41"/>
      <c r="AE1853" s="41"/>
      <c r="AF1853" s="11" t="s">
        <v>226</v>
      </c>
      <c r="AH1853" s="1" t="str">
        <f>Table1[[#This Row],[html_tag]]&amp;Table1[[#This Row],[html_type]]&amp;Table1[[#This Row],[html_modifier]]</f>
        <v/>
      </c>
      <c r="AL1853" s="22" t="str">
        <f>IFERROR(_xlfn.XLOOKUP(Table1[[#This Row],[word]],Table57[English style name],Table57[Style type]),"")</f>
        <v/>
      </c>
      <c r="AM1853" s="20"/>
      <c r="AN1853" s="11"/>
      <c r="AQ1853" s="14" t="s">
        <v>2232</v>
      </c>
      <c r="AR1853" t="s">
        <v>2231</v>
      </c>
    </row>
    <row r="1854" spans="6:44">
      <c r="F18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4" s="13" t="s">
        <v>337</v>
      </c>
      <c r="H1854" s="13" t="s">
        <v>2987</v>
      </c>
      <c r="I1854" s="12" t="str">
        <f>Table1[[#This Row],[type]]</f>
        <v>pagination</v>
      </c>
      <c r="J1854" s="62" t="str">
        <f>Table1[[#This Row],[Column42]]&amp;IF(Table1[[#This Row],[Column13]]="","",Table1[[#This Row],[Column13]])&amp;IF(Table1[[#This Row],[mod]]="","",Table1[[#This Row],[mod]])</f>
        <v>pagination__left</v>
      </c>
      <c r="K18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pagination__left</v>
      </c>
      <c r="L1854" t="s">
        <v>3100</v>
      </c>
      <c r="N1854" s="3" t="s">
        <v>616</v>
      </c>
      <c r="Q18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4" s="29"/>
      <c r="AC1854" s="25"/>
      <c r="AD1854" s="41"/>
      <c r="AE1854" s="41"/>
      <c r="AF1854" s="11" t="s">
        <v>226</v>
      </c>
      <c r="AH1854" s="1" t="str">
        <f>Table1[[#This Row],[html_tag]]&amp;Table1[[#This Row],[html_type]]&amp;Table1[[#This Row],[html_modifier]]</f>
        <v/>
      </c>
      <c r="AL1854" s="22" t="str">
        <f>IFERROR(_xlfn.XLOOKUP(Table1[[#This Row],[word]],Table57[English style name],Table57[Style type]),"")</f>
        <v/>
      </c>
      <c r="AM1854" s="20"/>
      <c r="AN1854" s="11"/>
      <c r="AQ1854" s="14" t="s">
        <v>2234</v>
      </c>
      <c r="AR1854" t="s">
        <v>2231</v>
      </c>
    </row>
    <row r="1855" spans="6:44">
      <c r="F18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5" s="13" t="s">
        <v>337</v>
      </c>
      <c r="H1855" s="13" t="s">
        <v>2987</v>
      </c>
      <c r="I1855" s="12" t="str">
        <f>Table1[[#This Row],[type]]</f>
        <v>pagination</v>
      </c>
      <c r="J1855" s="62" t="str">
        <f>Table1[[#This Row],[Column42]]&amp;IF(Table1[[#This Row],[Column13]]="","",Table1[[#This Row],[Column13]])&amp;IF(Table1[[#This Row],[mod]]="","",Table1[[#This Row],[mod]])</f>
        <v>pagination__list</v>
      </c>
      <c r="K18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55" t="s">
        <v>3100</v>
      </c>
      <c r="M1855" t="s">
        <v>325</v>
      </c>
      <c r="Q18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5" s="29" t="s">
        <v>4419</v>
      </c>
      <c r="AC1855" s="25"/>
      <c r="AD1855" s="41" t="s">
        <v>6634</v>
      </c>
      <c r="AE1855" s="41"/>
      <c r="AF1855" s="11" t="s">
        <v>211</v>
      </c>
      <c r="AH1855" s="7" t="str">
        <f>Table1[[#This Row],[html_tag]]&amp;Table1[[#This Row],[html_type]]&amp;Table1[[#This Row],[html_modifier]]</f>
        <v/>
      </c>
      <c r="AL1855" s="23" t="str">
        <f>IFERROR(_xlfn.XLOOKUP(Table1[[#This Row],[word]],Table57[English style name],Table57[Style type]),"")</f>
        <v/>
      </c>
      <c r="AM1855" s="21"/>
      <c r="AN1855" s="11"/>
    </row>
    <row r="1856" spans="6:44">
      <c r="F18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6" s="13" t="s">
        <v>337</v>
      </c>
      <c r="H1856" s="13" t="s">
        <v>2987</v>
      </c>
      <c r="I1856" s="12" t="str">
        <f>Table1[[#This Row],[type]]</f>
        <v>pagination</v>
      </c>
      <c r="J1856" s="62" t="str">
        <f>Table1[[#This Row],[Column42]]&amp;IF(Table1[[#This Row],[Column13]]="","",Table1[[#This Row],[Column13]])&amp;IF(Table1[[#This Row],[mod]]="","",Table1[[#This Row],[mod]])</f>
        <v>pagination__list</v>
      </c>
      <c r="K18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56" t="s">
        <v>3100</v>
      </c>
      <c r="M1856" t="s">
        <v>325</v>
      </c>
      <c r="Q18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6" s="29" t="s">
        <v>4421</v>
      </c>
      <c r="AC1856" s="25"/>
      <c r="AD1856" s="41"/>
      <c r="AE1856" s="41"/>
      <c r="AF1856" s="11" t="s">
        <v>231</v>
      </c>
      <c r="AH1856" s="7" t="str">
        <f>Table1[[#This Row],[html_tag]]&amp;Table1[[#This Row],[html_type]]&amp;Table1[[#This Row],[html_modifier]]</f>
        <v/>
      </c>
      <c r="AL1856" s="23" t="str">
        <f>IFERROR(_xlfn.XLOOKUP(Table1[[#This Row],[word]],Table57[English style name],Table57[Style type]),"")</f>
        <v/>
      </c>
      <c r="AM1856" s="21"/>
      <c r="AN1856" s="11"/>
    </row>
    <row r="1857" spans="1:47">
      <c r="F18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7" s="13" t="s">
        <v>337</v>
      </c>
      <c r="H1857" s="13" t="s">
        <v>2987</v>
      </c>
      <c r="I1857" s="12" t="str">
        <f>Table1[[#This Row],[type]]</f>
        <v>pagination</v>
      </c>
      <c r="J1857" s="62" t="str">
        <f>Table1[[#This Row],[Column42]]&amp;IF(Table1[[#This Row],[Column13]]="","",Table1[[#This Row],[Column13]])&amp;IF(Table1[[#This Row],[mod]]="","",Table1[[#This Row],[mod]])</f>
        <v>pagination__list--active</v>
      </c>
      <c r="K18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57" t="s">
        <v>3100</v>
      </c>
      <c r="M1857" t="s">
        <v>325</v>
      </c>
      <c r="Q18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857" t="s">
        <v>350</v>
      </c>
      <c r="AB1857" s="29"/>
      <c r="AC1857" s="25" t="s">
        <v>3664</v>
      </c>
      <c r="AD1857" s="41"/>
      <c r="AE1857" s="41"/>
      <c r="AF1857" s="11" t="s">
        <v>211</v>
      </c>
      <c r="AH1857" s="7" t="str">
        <f>Table1[[#This Row],[html_tag]]&amp;Table1[[#This Row],[html_type]]&amp;Table1[[#This Row],[html_modifier]]</f>
        <v/>
      </c>
      <c r="AL1857" s="23" t="str">
        <f>IFERROR(_xlfn.XLOOKUP(Table1[[#This Row],[word]],Table57[English style name],Table57[Style type]),"")</f>
        <v/>
      </c>
      <c r="AM1857" s="21"/>
      <c r="AN1857" s="11"/>
    </row>
    <row r="1858" spans="1:47">
      <c r="F18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8" s="13" t="s">
        <v>337</v>
      </c>
      <c r="H1858" s="13" t="s">
        <v>2987</v>
      </c>
      <c r="I1858" s="12" t="str">
        <f>Table1[[#This Row],[type]]</f>
        <v>pagination</v>
      </c>
      <c r="J1858" s="62" t="str">
        <f>Table1[[#This Row],[Column42]]&amp;IF(Table1[[#This Row],[Column13]]="","",Table1[[#This Row],[Column13]])&amp;IF(Table1[[#This Row],[mod]]="","",Table1[[#This Row],[mod]])</f>
        <v>pagination__list--current</v>
      </c>
      <c r="K18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58" t="s">
        <v>3100</v>
      </c>
      <c r="M1858" t="s">
        <v>325</v>
      </c>
      <c r="Q18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--current</v>
      </c>
      <c r="S1858" t="s">
        <v>10220</v>
      </c>
      <c r="U18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8" s="29" t="s">
        <v>4420</v>
      </c>
      <c r="AC1858" s="25"/>
      <c r="AD1858" s="41"/>
      <c r="AE1858" s="41"/>
      <c r="AF1858" s="11" t="s">
        <v>211</v>
      </c>
      <c r="AH1858" s="7" t="str">
        <f>Table1[[#This Row],[html_tag]]&amp;Table1[[#This Row],[html_type]]&amp;Table1[[#This Row],[html_modifier]]</f>
        <v/>
      </c>
      <c r="AL1858" s="23" t="str">
        <f>IFERROR(_xlfn.XLOOKUP(Table1[[#This Row],[word]],Table57[English style name],Table57[Style type]),"")</f>
        <v/>
      </c>
      <c r="AM1858" s="21"/>
      <c r="AN1858" s="11"/>
    </row>
    <row r="1859" spans="1:47">
      <c r="F18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9" s="13" t="s">
        <v>337</v>
      </c>
      <c r="H1859" s="13" t="s">
        <v>2987</v>
      </c>
      <c r="I1859" s="12" t="str">
        <f>Table1[[#This Row],[type]]</f>
        <v>pagination</v>
      </c>
      <c r="J1859" s="62" t="str">
        <f>Table1[[#This Row],[Column42]]&amp;IF(Table1[[#This Row],[Column13]]="","",Table1[[#This Row],[Column13]])&amp;IF(Table1[[#This Row],[mod]]="","",Table1[[#This Row],[mod]])</f>
        <v>pagination__list--disabled</v>
      </c>
      <c r="K18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59" t="s">
        <v>3100</v>
      </c>
      <c r="M1859" t="s">
        <v>325</v>
      </c>
      <c r="Q18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1859" t="s">
        <v>3032</v>
      </c>
      <c r="AB1859" s="29"/>
      <c r="AC1859" s="25" t="s">
        <v>3665</v>
      </c>
      <c r="AD1859" s="41"/>
      <c r="AE1859" s="41"/>
      <c r="AF1859" s="11" t="s">
        <v>211</v>
      </c>
      <c r="AH1859" s="7" t="str">
        <f>Table1[[#This Row],[html_tag]]&amp;Table1[[#This Row],[html_type]]&amp;Table1[[#This Row],[html_modifier]]</f>
        <v/>
      </c>
      <c r="AL1859" s="23" t="str">
        <f>IFERROR(_xlfn.XLOOKUP(Table1[[#This Row],[word]],Table57[English style name],Table57[Style type]),"")</f>
        <v/>
      </c>
      <c r="AM1859" s="21"/>
      <c r="AN1859" s="11"/>
    </row>
    <row r="1860" spans="1:47">
      <c r="F18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0" s="13" t="s">
        <v>337</v>
      </c>
      <c r="H1860" s="13" t="s">
        <v>2987</v>
      </c>
      <c r="I1860" s="12" t="str">
        <f>Table1[[#This Row],[type]]</f>
        <v>pagination</v>
      </c>
      <c r="J1860" s="62" t="str">
        <f>Table1[[#This Row],[Column42]]&amp;IF(Table1[[#This Row],[Column13]]="","",Table1[[#This Row],[Column13]])&amp;IF(Table1[[#This Row],[mod]]="","",Table1[[#This Row],[mod]])</f>
        <v>pagination__list--ellipsis</v>
      </c>
      <c r="K18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0" t="s">
        <v>3100</v>
      </c>
      <c r="M1860" t="s">
        <v>325</v>
      </c>
      <c r="Q18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--ellipsis</v>
      </c>
      <c r="S1860" t="s">
        <v>10221</v>
      </c>
      <c r="U18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0" s="48" t="s">
        <v>4418</v>
      </c>
      <c r="AC1860" s="25"/>
      <c r="AD1860" s="41"/>
      <c r="AE1860" s="41"/>
      <c r="AF1860" s="11" t="s">
        <v>211</v>
      </c>
      <c r="AH1860" s="7" t="str">
        <f>Table1[[#This Row],[html_tag]]&amp;Table1[[#This Row],[html_type]]&amp;Table1[[#This Row],[html_modifier]]</f>
        <v/>
      </c>
      <c r="AL1860" s="23" t="str">
        <f>IFERROR(_xlfn.XLOOKUP(Table1[[#This Row],[word]],Table57[English style name],Table57[Style type]),"")</f>
        <v/>
      </c>
      <c r="AM1860" s="21"/>
      <c r="AN1860" s="11"/>
    </row>
    <row r="1861" spans="1:47">
      <c r="A1861" s="68"/>
      <c r="B1861" s="68"/>
      <c r="C1861" s="68"/>
      <c r="D1861" s="69"/>
      <c r="E1861" s="84"/>
      <c r="F1861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861" s="13"/>
      <c r="H1861" s="13"/>
      <c r="I1861" s="85" t="str">
        <f>Table1[[#This Row],[type]]</f>
        <v>pagination</v>
      </c>
      <c r="J1861" s="72" t="str">
        <f>Table1[[#This Row],[Column42]]&amp;IF(Table1[[#This Row],[Column13]]="","",Table1[[#This Row],[Column13]])&amp;IF(Table1[[#This Row],[mod]]="","",Table1[[#This Row],[mod]])</f>
        <v>pagination__list--first</v>
      </c>
      <c r="K1861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1" t="s">
        <v>3100</v>
      </c>
      <c r="M1861" t="s">
        <v>325</v>
      </c>
      <c r="Q1861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S1861" t="s">
        <v>339</v>
      </c>
      <c r="U1861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1" s="29"/>
      <c r="AC1861" s="25"/>
      <c r="AD1861" s="41"/>
      <c r="AE1861" s="41"/>
      <c r="AF1861" s="11" t="s">
        <v>211</v>
      </c>
      <c r="AH1861" s="75" t="str">
        <f>Table1[[#This Row],[html_tag]]&amp;Table1[[#This Row],[html_type]]&amp;Table1[[#This Row],[html_modifier]]</f>
        <v/>
      </c>
      <c r="AL1861" s="23" t="str">
        <f>IFERROR(_xlfn.XLOOKUP(Table1[[#This Row],[word]],Table57[English style name],Table57[Style type]),"")</f>
        <v/>
      </c>
      <c r="AM1861" s="21"/>
      <c r="AN1861" s="70"/>
      <c r="AO1861" s="67"/>
      <c r="AP1861" s="67"/>
      <c r="AQ1861" s="67"/>
      <c r="AR1861" s="67"/>
      <c r="AS1861" s="67"/>
      <c r="AT1861" s="67"/>
      <c r="AU1861" s="67"/>
    </row>
    <row r="1862" spans="1:47">
      <c r="A1862" s="68"/>
      <c r="B1862" s="68"/>
      <c r="C1862" s="68"/>
      <c r="D1862" s="69"/>
      <c r="E1862" s="84"/>
      <c r="F1862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862" s="13"/>
      <c r="H1862" s="13"/>
      <c r="I1862" s="85" t="str">
        <f>Table1[[#This Row],[type]]</f>
        <v>pagination</v>
      </c>
      <c r="J1862" s="72" t="str">
        <f>Table1[[#This Row],[Column42]]&amp;IF(Table1[[#This Row],[Column13]]="","",Table1[[#This Row],[Column13]])&amp;IF(Table1[[#This Row],[mod]]="","",Table1[[#This Row],[mod]])</f>
        <v>pagination__list--last</v>
      </c>
      <c r="K1862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2" t="s">
        <v>3100</v>
      </c>
      <c r="M1862" t="s">
        <v>325</v>
      </c>
      <c r="Q1862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S1862" t="s">
        <v>10166</v>
      </c>
      <c r="U1862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2" s="29"/>
      <c r="AC1862" s="25"/>
      <c r="AD1862" s="41"/>
      <c r="AE1862" s="41"/>
      <c r="AF1862" s="11" t="s">
        <v>211</v>
      </c>
      <c r="AH1862" s="75" t="str">
        <f>Table1[[#This Row],[html_tag]]&amp;Table1[[#This Row],[html_type]]&amp;Table1[[#This Row],[html_modifier]]</f>
        <v/>
      </c>
      <c r="AL1862" s="23" t="str">
        <f>IFERROR(_xlfn.XLOOKUP(Table1[[#This Row],[word]],Table57[English style name],Table57[Style type]),"")</f>
        <v/>
      </c>
      <c r="AM1862" s="21"/>
      <c r="AN1862" s="70"/>
      <c r="AO1862" s="67"/>
      <c r="AP1862" s="67"/>
      <c r="AQ1862" s="67"/>
      <c r="AR1862" s="67"/>
      <c r="AS1862" s="67"/>
      <c r="AT1862" s="67"/>
      <c r="AU1862" s="67"/>
    </row>
    <row r="1863" spans="1:47">
      <c r="F18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3" s="13" t="s">
        <v>337</v>
      </c>
      <c r="H1863" s="13" t="s">
        <v>2987</v>
      </c>
      <c r="I1863" s="12" t="str">
        <f>Table1[[#This Row],[type]]</f>
        <v>pagination</v>
      </c>
      <c r="J1863" s="62" t="str">
        <f>Table1[[#This Row],[Column42]]&amp;IF(Table1[[#This Row],[Column13]]="","",Table1[[#This Row],[Column13]])&amp;IF(Table1[[#This Row],[mod]]="","",Table1[[#This Row],[mod]])</f>
        <v>pagination__list--neighbor</v>
      </c>
      <c r="K18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3" t="s">
        <v>3100</v>
      </c>
      <c r="M1863" t="s">
        <v>325</v>
      </c>
      <c r="Q18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--neighbor</v>
      </c>
      <c r="S1863" t="s">
        <v>3211</v>
      </c>
      <c r="U18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3" s="29"/>
      <c r="AC1863" s="25"/>
      <c r="AD1863" s="41"/>
      <c r="AE1863" s="41"/>
      <c r="AF1863" s="11" t="s">
        <v>211</v>
      </c>
      <c r="AH1863" s="1" t="str">
        <f>Table1[[#This Row],[html_tag]]&amp;Table1[[#This Row],[html_type]]&amp;Table1[[#This Row],[html_modifier]]</f>
        <v/>
      </c>
      <c r="AL1863" s="22" t="str">
        <f>IFERROR(_xlfn.XLOOKUP(Table1[[#This Row],[word]],Table57[English style name],Table57[Style type]),"")</f>
        <v/>
      </c>
      <c r="AM1863" s="20"/>
      <c r="AN1863" s="11"/>
      <c r="AQ1863" s="14" t="s">
        <v>2235</v>
      </c>
      <c r="AR1863" t="s">
        <v>2231</v>
      </c>
    </row>
    <row r="1864" spans="1:47">
      <c r="F18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4" s="13" t="s">
        <v>337</v>
      </c>
      <c r="H1864" s="13" t="s">
        <v>2987</v>
      </c>
      <c r="I1864" s="12" t="str">
        <f>Table1[[#This Row],[type]]</f>
        <v>pagination</v>
      </c>
      <c r="J1864" s="62" t="str">
        <f>Table1[[#This Row],[Column42]]&amp;IF(Table1[[#This Row],[Column13]]="","",Table1[[#This Row],[Column13]])&amp;IF(Table1[[#This Row],[mod]]="","",Table1[[#This Row],[mod]])</f>
        <v>pagination__list--next</v>
      </c>
      <c r="K18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4" t="s">
        <v>3100</v>
      </c>
      <c r="M1864" t="s">
        <v>325</v>
      </c>
      <c r="Q18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--next</v>
      </c>
      <c r="S1864" t="s">
        <v>3617</v>
      </c>
      <c r="U18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4" s="29" t="s">
        <v>4422</v>
      </c>
      <c r="AC1864" s="25"/>
      <c r="AD1864" s="41"/>
      <c r="AE1864" s="41"/>
      <c r="AF1864" s="11" t="s">
        <v>211</v>
      </c>
      <c r="AH1864" s="7" t="str">
        <f>Table1[[#This Row],[html_tag]]&amp;Table1[[#This Row],[html_type]]&amp;Table1[[#This Row],[html_modifier]]</f>
        <v/>
      </c>
      <c r="AL1864" s="23" t="str">
        <f>IFERROR(_xlfn.XLOOKUP(Table1[[#This Row],[word]],Table57[English style name],Table57[Style type]),"")</f>
        <v/>
      </c>
      <c r="AM1864" s="21"/>
      <c r="AN1864" s="11"/>
    </row>
    <row r="1865" spans="1:47">
      <c r="F18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5" s="13" t="s">
        <v>337</v>
      </c>
      <c r="H1865" s="13" t="s">
        <v>2987</v>
      </c>
      <c r="I1865" s="12" t="str">
        <f>Table1[[#This Row],[type]]</f>
        <v>pagination</v>
      </c>
      <c r="J1865" s="62" t="str">
        <f>Table1[[#This Row],[Column42]]&amp;IF(Table1[[#This Row],[Column13]]="","",Table1[[#This Row],[Column13]])&amp;IF(Table1[[#This Row],[mod]]="","",Table1[[#This Row],[mod]])</f>
        <v>pagination__list--previous</v>
      </c>
      <c r="K18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5" t="s">
        <v>3100</v>
      </c>
      <c r="M1865" t="s">
        <v>325</v>
      </c>
      <c r="Q18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--previous</v>
      </c>
      <c r="S1865" t="s">
        <v>10219</v>
      </c>
      <c r="U18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5" s="29" t="s">
        <v>4423</v>
      </c>
      <c r="AC1865" s="25"/>
      <c r="AD1865" s="41"/>
      <c r="AE1865" s="41"/>
      <c r="AF1865" s="11" t="s">
        <v>211</v>
      </c>
      <c r="AH1865" s="7" t="str">
        <f>Table1[[#This Row],[html_tag]]&amp;Table1[[#This Row],[html_type]]&amp;Table1[[#This Row],[html_modifier]]</f>
        <v/>
      </c>
      <c r="AL1865" s="23" t="str">
        <f>IFERROR(_xlfn.XLOOKUP(Table1[[#This Row],[word]],Table57[English style name],Table57[Style type]),"")</f>
        <v/>
      </c>
      <c r="AM1865" s="21"/>
      <c r="AN1865" s="11"/>
    </row>
    <row r="1866" spans="1:47">
      <c r="F18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6" s="13" t="s">
        <v>337</v>
      </c>
      <c r="H1866" s="13" t="s">
        <v>2987</v>
      </c>
      <c r="I1866" s="12" t="str">
        <f>Table1[[#This Row],[type]]</f>
        <v>pagination</v>
      </c>
      <c r="J1866" s="62" t="str">
        <f>Table1[[#This Row],[Column42]]&amp;IF(Table1[[#This Row],[Column13]]="","",Table1[[#This Row],[Column13]])&amp;IF(Table1[[#This Row],[mod]]="","",Table1[[#This Row],[mod]])</f>
        <v>pagination__right</v>
      </c>
      <c r="K18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pagination__right</v>
      </c>
      <c r="L1866" t="s">
        <v>3100</v>
      </c>
      <c r="N1866" t="s">
        <v>617</v>
      </c>
      <c r="Q18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6" s="29"/>
      <c r="AC1866" s="25"/>
      <c r="AD1866" s="41"/>
      <c r="AE1866" s="41"/>
      <c r="AF1866" s="11" t="s">
        <v>226</v>
      </c>
      <c r="AH1866" s="1" t="str">
        <f>Table1[[#This Row],[html_tag]]&amp;Table1[[#This Row],[html_type]]&amp;Table1[[#This Row],[html_modifier]]</f>
        <v/>
      </c>
      <c r="AL1866" s="22" t="str">
        <f>IFERROR(_xlfn.XLOOKUP(Table1[[#This Row],[word]],Table57[English style name],Table57[Style type]),"")</f>
        <v/>
      </c>
      <c r="AM1866" s="20"/>
      <c r="AN1866" s="11"/>
      <c r="AQ1866" s="14" t="s">
        <v>2236</v>
      </c>
      <c r="AR1866" t="s">
        <v>2231</v>
      </c>
    </row>
    <row r="1867" spans="1:47">
      <c r="F18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7" s="13" t="s">
        <v>337</v>
      </c>
      <c r="H1867" s="13" t="s">
        <v>2987</v>
      </c>
      <c r="I1867" s="12" t="str">
        <f>Table1[[#This Row],[type]]</f>
        <v>pagination</v>
      </c>
      <c r="J1867" s="62" t="str">
        <f>Table1[[#This Row],[Column42]]&amp;IF(Table1[[#This Row],[Column13]]="","",Table1[[#This Row],[Column13]])&amp;IF(Table1[[#This Row],[mod]]="","",Table1[[#This Row],[mod]])</f>
        <v>pagination--horizontal</v>
      </c>
      <c r="K18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67" t="s">
        <v>3100</v>
      </c>
      <c r="Q18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867" t="s">
        <v>3205</v>
      </c>
      <c r="AB1867" s="29"/>
      <c r="AC1867" s="25"/>
      <c r="AD1867" s="41" t="s">
        <v>6636</v>
      </c>
      <c r="AE1867" s="41"/>
      <c r="AF1867" s="11" t="s">
        <v>226</v>
      </c>
      <c r="AH1867" s="1" t="str">
        <f>Table1[[#This Row],[html_tag]]&amp;Table1[[#This Row],[html_type]]&amp;Table1[[#This Row],[html_modifier]]</f>
        <v/>
      </c>
      <c r="AL1867" s="22" t="str">
        <f>IFERROR(_xlfn.XLOOKUP(Table1[[#This Row],[word]],Table57[English style name],Table57[Style type]),"")</f>
        <v/>
      </c>
      <c r="AM1867" s="20"/>
      <c r="AN1867" s="11"/>
      <c r="AQ1867" s="14" t="s">
        <v>2233</v>
      </c>
      <c r="AR1867" t="s">
        <v>2231</v>
      </c>
    </row>
    <row r="1868" spans="1:47">
      <c r="F18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8" s="13" t="s">
        <v>337</v>
      </c>
      <c r="H1868" s="13" t="s">
        <v>2987</v>
      </c>
      <c r="I1868" s="12" t="str">
        <f>Table1[[#This Row],[type]]</f>
        <v>pagination</v>
      </c>
      <c r="J1868" s="62" t="str">
        <f>Table1[[#This Row],[Column42]]&amp;IF(Table1[[#This Row],[Column13]]="","",Table1[[#This Row],[Column13]])&amp;IF(Table1[[#This Row],[mod]]="","",Table1[[#This Row],[mod]])</f>
        <v>pagination--lg</v>
      </c>
      <c r="K18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68" t="s">
        <v>3100</v>
      </c>
      <c r="Q18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868" t="s">
        <v>3114</v>
      </c>
      <c r="AB1868" s="29"/>
      <c r="AC1868" s="25" t="s">
        <v>3667</v>
      </c>
      <c r="AD1868" s="41"/>
      <c r="AE1868" s="41"/>
      <c r="AF1868" s="11" t="s">
        <v>226</v>
      </c>
      <c r="AH1868" s="7" t="str">
        <f>Table1[[#This Row],[html_tag]]&amp;Table1[[#This Row],[html_type]]&amp;Table1[[#This Row],[html_modifier]]</f>
        <v/>
      </c>
      <c r="AL1868" s="23" t="str">
        <f>IFERROR(_xlfn.XLOOKUP(Table1[[#This Row],[word]],Table57[English style name],Table57[Style type]),"")</f>
        <v/>
      </c>
      <c r="AM1868" s="21"/>
      <c r="AN1868" s="11"/>
    </row>
    <row r="1869" spans="1:47">
      <c r="F18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9" s="13" t="s">
        <v>337</v>
      </c>
      <c r="H1869" s="13" t="s">
        <v>2987</v>
      </c>
      <c r="I1869" s="12" t="str">
        <f>Table1[[#This Row],[type]]</f>
        <v>pagination</v>
      </c>
      <c r="J1869" s="62" t="str">
        <f>Table1[[#This Row],[Column42]]&amp;IF(Table1[[#This Row],[Column13]]="","",Table1[[#This Row],[Column13]])&amp;IF(Table1[[#This Row],[mod]]="","",Table1[[#This Row],[mod]])</f>
        <v>pagination--round</v>
      </c>
      <c r="K18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69" t="s">
        <v>3100</v>
      </c>
      <c r="Q18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869" t="s">
        <v>3204</v>
      </c>
      <c r="AB1869" s="29" t="s">
        <v>4424</v>
      </c>
      <c r="AC1869" s="25"/>
      <c r="AD1869" s="41"/>
      <c r="AE1869" s="41"/>
      <c r="AF1869" s="11" t="s">
        <v>226</v>
      </c>
      <c r="AH1869" s="7" t="str">
        <f>Table1[[#This Row],[html_tag]]&amp;Table1[[#This Row],[html_type]]&amp;Table1[[#This Row],[html_modifier]]</f>
        <v/>
      </c>
      <c r="AL1869" s="23" t="str">
        <f>IFERROR(_xlfn.XLOOKUP(Table1[[#This Row],[word]],Table57[English style name],Table57[Style type]),"")</f>
        <v/>
      </c>
      <c r="AM1869" s="21"/>
      <c r="AN1869" s="11"/>
    </row>
    <row r="1870" spans="1:47">
      <c r="E1870" s="76"/>
      <c r="F18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70" s="13" t="s">
        <v>337</v>
      </c>
      <c r="H1870" s="13" t="s">
        <v>2987</v>
      </c>
      <c r="I1870" s="77" t="str">
        <f>Table1[[#This Row],[type]]</f>
        <v>pagination</v>
      </c>
      <c r="J1870" s="62" t="str">
        <f>Table1[[#This Row],[Column42]]&amp;IF(Table1[[#This Row],[Column13]]="","",Table1[[#This Row],[Column13]])&amp;IF(Table1[[#This Row],[mod]]="","",Table1[[#This Row],[mod]])</f>
        <v>pagination--sm</v>
      </c>
      <c r="K18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70" t="s">
        <v>3100</v>
      </c>
      <c r="Q18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870" t="s">
        <v>3116</v>
      </c>
      <c r="AB1870" s="29"/>
      <c r="AC1870" s="25" t="s">
        <v>3668</v>
      </c>
      <c r="AD1870" s="41"/>
      <c r="AE1870" s="41"/>
      <c r="AF1870" s="11" t="s">
        <v>226</v>
      </c>
      <c r="AH1870" s="7" t="str">
        <f>Table1[[#This Row],[html_tag]]&amp;Table1[[#This Row],[html_type]]&amp;Table1[[#This Row],[html_modifier]]</f>
        <v/>
      </c>
      <c r="AL1870" s="23" t="str">
        <f>IFERROR(_xlfn.XLOOKUP(Table1[[#This Row],[word]],Table57[English style name],Table57[Style type]),"")</f>
        <v/>
      </c>
      <c r="AM1870" s="21"/>
      <c r="AN1870" s="11"/>
    </row>
    <row r="1871" spans="1:47">
      <c r="E1871" s="76"/>
      <c r="F18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71" s="13" t="s">
        <v>337</v>
      </c>
      <c r="H1871" s="13" t="s">
        <v>2987</v>
      </c>
      <c r="I1871" s="77" t="str">
        <f>Table1[[#This Row],[type]]</f>
        <v>pagination</v>
      </c>
      <c r="J1871" s="62" t="str">
        <f>Table1[[#This Row],[Column42]]&amp;IF(Table1[[#This Row],[Column13]]="","",Table1[[#This Row],[Column13]])&amp;IF(Table1[[#This Row],[mod]]="","",Table1[[#This Row],[mod]])</f>
        <v>pagination--vertical</v>
      </c>
      <c r="K18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71" t="s">
        <v>3100</v>
      </c>
      <c r="Q18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871" t="s">
        <v>2943</v>
      </c>
      <c r="AB1871" s="29"/>
      <c r="AC1871" s="25"/>
      <c r="AD1871" s="41" t="s">
        <v>6635</v>
      </c>
      <c r="AE1871" s="41"/>
      <c r="AF1871" s="11" t="s">
        <v>226</v>
      </c>
      <c r="AH1871" s="7" t="str">
        <f>Table1[[#This Row],[html_tag]]&amp;Table1[[#This Row],[html_type]]&amp;Table1[[#This Row],[html_modifier]]</f>
        <v/>
      </c>
      <c r="AL1871" s="23" t="str">
        <f>IFERROR(_xlfn.XLOOKUP(Table1[[#This Row],[word]],Table57[English style name],Table57[Style type]),"")</f>
        <v/>
      </c>
      <c r="AM1871" s="21"/>
      <c r="AN1871" s="11"/>
    </row>
    <row r="1872" spans="1:47">
      <c r="F18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2" s="13" t="s">
        <v>337</v>
      </c>
      <c r="H1872" s="13" t="s">
        <v>2987</v>
      </c>
      <c r="I1872" s="12" t="str">
        <f>Table1[[#This Row],[type]]</f>
        <v>panel</v>
      </c>
      <c r="J1872" s="62" t="str">
        <f>Table1[[#This Row],[Column42]]&amp;IF(Table1[[#This Row],[Column13]]="","",Table1[[#This Row],[Column13]])&amp;IF(Table1[[#This Row],[mod]]="","",Table1[[#This Row],[mod]])</f>
        <v>panel</v>
      </c>
      <c r="K18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2" t="s">
        <v>3411</v>
      </c>
      <c r="Q18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2" s="29" t="s">
        <v>4426</v>
      </c>
      <c r="AC1872" s="25"/>
      <c r="AD1872" s="41"/>
      <c r="AE1872" s="41"/>
      <c r="AF1872" s="11"/>
      <c r="AH1872" s="7" t="str">
        <f>Table1[[#This Row],[html_tag]]&amp;Table1[[#This Row],[html_type]]&amp;Table1[[#This Row],[html_modifier]]</f>
        <v/>
      </c>
      <c r="AL1872" s="23" t="str">
        <f>IFERROR(_xlfn.XLOOKUP(Table1[[#This Row],[word]],Table57[English style name],Table57[Style type]),"")</f>
        <v/>
      </c>
      <c r="AM1872" s="21"/>
      <c r="AN1872" s="11"/>
    </row>
    <row r="1873" spans="3:44">
      <c r="F18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3" s="13" t="s">
        <v>337</v>
      </c>
      <c r="H1873" s="13" t="s">
        <v>2987</v>
      </c>
      <c r="I1873" s="12" t="str">
        <f>Table1[[#This Row],[type]]</f>
        <v>panel</v>
      </c>
      <c r="J1873" s="62" t="str">
        <f>Table1[[#This Row],[Column42]]&amp;IF(Table1[[#This Row],[Column13]]="","",Table1[[#This Row],[Column13]])&amp;IF(Table1[[#This Row],[mod]]="","",Table1[[#This Row],[mod]])</f>
        <v>panel</v>
      </c>
      <c r="K18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3" t="s">
        <v>3411</v>
      </c>
      <c r="Q18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3" s="29" t="s">
        <v>4427</v>
      </c>
      <c r="AC1873" s="25"/>
      <c r="AD1873" s="41"/>
      <c r="AE1873" s="41"/>
      <c r="AF1873" s="11"/>
      <c r="AH1873" s="7" t="str">
        <f>Table1[[#This Row],[html_tag]]&amp;Table1[[#This Row],[html_type]]&amp;Table1[[#This Row],[html_modifier]]</f>
        <v/>
      </c>
      <c r="AL1873" s="23" t="str">
        <f>IFERROR(_xlfn.XLOOKUP(Table1[[#This Row],[word]],Table57[English style name],Table57[Style type]),"")</f>
        <v/>
      </c>
      <c r="AM1873" s="21"/>
      <c r="AN1873" s="11"/>
    </row>
    <row r="1874" spans="3:44">
      <c r="F18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4" s="13" t="s">
        <v>337</v>
      </c>
      <c r="H1874" s="13" t="s">
        <v>2987</v>
      </c>
      <c r="I1874" s="12" t="str">
        <f>Table1[[#This Row],[type]]</f>
        <v>panel</v>
      </c>
      <c r="J1874" s="62" t="str">
        <f>Table1[[#This Row],[Column42]]&amp;IF(Table1[[#This Row],[Column13]]="","",Table1[[#This Row],[Column13]])&amp;IF(Table1[[#This Row],[mod]]="","",Table1[[#This Row],[mod]])</f>
        <v>panel</v>
      </c>
      <c r="K18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4" t="s">
        <v>3411</v>
      </c>
      <c r="Q18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4" s="29" t="s">
        <v>4428</v>
      </c>
      <c r="AC1874" s="25"/>
      <c r="AD1874" s="41"/>
      <c r="AE1874" s="41"/>
      <c r="AF1874" s="11"/>
      <c r="AH1874" s="7" t="str">
        <f>Table1[[#This Row],[html_tag]]&amp;Table1[[#This Row],[html_type]]&amp;Table1[[#This Row],[html_modifier]]</f>
        <v/>
      </c>
      <c r="AL1874" s="23" t="str">
        <f>IFERROR(_xlfn.XLOOKUP(Table1[[#This Row],[word]],Table57[English style name],Table57[Style type]),"")</f>
        <v/>
      </c>
      <c r="AM1874" s="21"/>
      <c r="AN1874" s="11"/>
    </row>
    <row r="1875" spans="3:44">
      <c r="F18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5" s="13" t="s">
        <v>337</v>
      </c>
      <c r="H1875" s="13" t="s">
        <v>2987</v>
      </c>
      <c r="I1875" s="12" t="str">
        <f>Table1[[#This Row],[type]]</f>
        <v>panel</v>
      </c>
      <c r="J1875" s="62" t="str">
        <f>Table1[[#This Row],[Column42]]&amp;IF(Table1[[#This Row],[Column13]]="","",Table1[[#This Row],[Column13]])&amp;IF(Table1[[#This Row],[mod]]="","",Table1[[#This Row],[mod]])</f>
        <v>panel</v>
      </c>
      <c r="K18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5" t="s">
        <v>3411</v>
      </c>
      <c r="Q18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5" s="29" t="s">
        <v>4429</v>
      </c>
      <c r="AC1875" s="25"/>
      <c r="AD1875" s="41"/>
      <c r="AE1875" s="41"/>
      <c r="AF1875" s="11"/>
      <c r="AH1875" s="7" t="str">
        <f>Table1[[#This Row],[html_tag]]&amp;Table1[[#This Row],[html_type]]&amp;Table1[[#This Row],[html_modifier]]</f>
        <v/>
      </c>
      <c r="AL1875" s="23" t="str">
        <f>IFERROR(_xlfn.XLOOKUP(Table1[[#This Row],[word]],Table57[English style name],Table57[Style type]),"")</f>
        <v/>
      </c>
      <c r="AM1875" s="21"/>
      <c r="AN1875" s="11"/>
    </row>
    <row r="1876" spans="3:44">
      <c r="F18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6" s="13" t="s">
        <v>337</v>
      </c>
      <c r="H1876" s="13" t="s">
        <v>2987</v>
      </c>
      <c r="I1876" s="12" t="str">
        <f>Table1[[#This Row],[type]]</f>
        <v>panel</v>
      </c>
      <c r="J1876" s="62" t="str">
        <f>Table1[[#This Row],[Column42]]&amp;IF(Table1[[#This Row],[Column13]]="","",Table1[[#This Row],[Column13]])&amp;IF(Table1[[#This Row],[mod]]="","",Table1[[#This Row],[mod]])</f>
        <v>panel</v>
      </c>
      <c r="K18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6" t="s">
        <v>3411</v>
      </c>
      <c r="Q18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6" s="29" t="s">
        <v>4430</v>
      </c>
      <c r="AC1876" s="25"/>
      <c r="AD1876" s="41"/>
      <c r="AE1876" s="41"/>
      <c r="AF1876" s="11"/>
      <c r="AH1876" s="7" t="str">
        <f>Table1[[#This Row],[html_tag]]&amp;Table1[[#This Row],[html_type]]&amp;Table1[[#This Row],[html_modifier]]</f>
        <v/>
      </c>
      <c r="AL1876" s="23" t="str">
        <f>IFERROR(_xlfn.XLOOKUP(Table1[[#This Row],[word]],Table57[English style name],Table57[Style type]),"")</f>
        <v/>
      </c>
      <c r="AM1876" s="21"/>
      <c r="AN1876" s="11"/>
    </row>
    <row r="1877" spans="3:44">
      <c r="F18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7" s="13" t="s">
        <v>337</v>
      </c>
      <c r="H1877" s="13" t="s">
        <v>2987</v>
      </c>
      <c r="I1877" s="12" t="str">
        <f>Table1[[#This Row],[type]]</f>
        <v>panel</v>
      </c>
      <c r="J1877" s="62" t="str">
        <f>Table1[[#This Row],[Column42]]&amp;IF(Table1[[#This Row],[Column13]]="","",Table1[[#This Row],[Column13]])&amp;IF(Table1[[#This Row],[mod]]="","",Table1[[#This Row],[mod]])</f>
        <v>panel</v>
      </c>
      <c r="K18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7" t="s">
        <v>3411</v>
      </c>
      <c r="Q18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7" s="29" t="s">
        <v>4431</v>
      </c>
      <c r="AC1877" s="25"/>
      <c r="AD1877" s="41"/>
      <c r="AE1877" s="41"/>
      <c r="AF1877" s="11"/>
      <c r="AH1877" s="7" t="str">
        <f>Table1[[#This Row],[html_tag]]&amp;Table1[[#This Row],[html_type]]&amp;Table1[[#This Row],[html_modifier]]</f>
        <v/>
      </c>
      <c r="AL1877" s="23" t="str">
        <f>IFERROR(_xlfn.XLOOKUP(Table1[[#This Row],[word]],Table57[English style name],Table57[Style type]),"")</f>
        <v/>
      </c>
      <c r="AM1877" s="21"/>
      <c r="AN1877" s="11"/>
    </row>
    <row r="1878" spans="3:44">
      <c r="D1878" t="s">
        <v>3349</v>
      </c>
      <c r="F18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78" s="13"/>
      <c r="H1878" s="13"/>
      <c r="I1878" s="12" t="str">
        <f>Table1[[#This Row],[type]]</f>
        <v>paragraph</v>
      </c>
      <c r="J1878" s="62" t="str">
        <f>Table1[[#This Row],[Column42]]&amp;IF(Table1[[#This Row],[Column13]]="","",Table1[[#This Row],[Column13]])&amp;IF(Table1[[#This Row],[mod]]="","",Table1[[#This Row],[mod]])</f>
        <v>paragraph</v>
      </c>
      <c r="K18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78" t="s">
        <v>0</v>
      </c>
      <c r="P1878" t="s">
        <v>3350</v>
      </c>
      <c r="Q18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8" s="29"/>
      <c r="AC1878" s="25"/>
      <c r="AD1878" s="41"/>
      <c r="AE1878" s="41"/>
      <c r="AF1878" s="11"/>
      <c r="AH1878" s="7" t="str">
        <f>Table1[[#This Row],[html_tag]]&amp;Table1[[#This Row],[html_type]]&amp;Table1[[#This Row],[html_modifier]]</f>
        <v/>
      </c>
      <c r="AL1878" s="23" t="str">
        <f>IFERROR(_xlfn.XLOOKUP(Table1[[#This Row],[word]],Table57[English style name],Table57[Style type]),"")</f>
        <v/>
      </c>
      <c r="AM1878" s="21"/>
      <c r="AN1878" s="11"/>
    </row>
    <row r="1879" spans="3:44">
      <c r="C1879">
        <v>1</v>
      </c>
      <c r="D1879" t="s">
        <v>3271</v>
      </c>
      <c r="F18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79" s="13"/>
      <c r="H1879" s="13"/>
      <c r="I1879" s="12" t="str">
        <f>Table1[[#This Row],[type]]</f>
        <v>paragraph</v>
      </c>
      <c r="J1879" s="62" t="str">
        <f>Table1[[#This Row],[Column42]]&amp;IF(Table1[[#This Row],[Column13]]="","",Table1[[#This Row],[Column13]])&amp;IF(Table1[[#This Row],[mod]]="","",Table1[[#This Row],[mod]])</f>
        <v>paragraph</v>
      </c>
      <c r="K18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79" t="s">
        <v>0</v>
      </c>
      <c r="P1879" t="s">
        <v>842</v>
      </c>
      <c r="Q18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9" s="29"/>
      <c r="AC1879" s="25"/>
      <c r="AD1879" s="41"/>
      <c r="AE1879" s="41"/>
      <c r="AF1879" s="11" t="s">
        <v>226</v>
      </c>
      <c r="AG1879" t="s">
        <v>3272</v>
      </c>
      <c r="AH1879" s="1" t="str">
        <f>Table1[[#This Row],[html_tag]]&amp;Table1[[#This Row],[html_type]]&amp;Table1[[#This Row],[html_modifier]]</f>
        <v/>
      </c>
      <c r="AL1879" s="22" t="str">
        <f>IFERROR(_xlfn.XLOOKUP(Table1[[#This Row],[word]],Table57[English style name],Table57[Style type]),"")</f>
        <v>Paragraph</v>
      </c>
      <c r="AM1879" s="20" t="s">
        <v>842</v>
      </c>
      <c r="AN1879" s="11"/>
    </row>
    <row r="1880" spans="3:44">
      <c r="C1880">
        <v>1</v>
      </c>
      <c r="D1880" t="s">
        <v>3276</v>
      </c>
      <c r="F18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0" s="13"/>
      <c r="H1880" s="13"/>
      <c r="I1880" s="12" t="str">
        <f>Table1[[#This Row],[type]]</f>
        <v>paragraph</v>
      </c>
      <c r="J1880" s="62" t="str">
        <f>Table1[[#This Row],[Column42]]&amp;IF(Table1[[#This Row],[Column13]]="","",Table1[[#This Row],[Column13]])&amp;IF(Table1[[#This Row],[mod]]="","",Table1[[#This Row],[mod]])</f>
        <v>paragraph</v>
      </c>
      <c r="K18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0" t="s">
        <v>0</v>
      </c>
      <c r="P1880" t="s">
        <v>845</v>
      </c>
      <c r="Q18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0" s="29"/>
      <c r="AC1880" s="25"/>
      <c r="AD1880" s="41"/>
      <c r="AE1880" s="41"/>
      <c r="AF1880" s="11" t="s">
        <v>181</v>
      </c>
      <c r="AG1880" t="s">
        <v>3279</v>
      </c>
      <c r="AH1880" s="1" t="str">
        <f>Table1[[#This Row],[html_tag]]&amp;Table1[[#This Row],[html_type]]&amp;Table1[[#This Row],[html_modifier]]</f>
        <v/>
      </c>
      <c r="AL1880" s="22" t="str">
        <f>IFERROR(_xlfn.XLOOKUP(Table1[[#This Row],[word]],Table57[English style name],Table57[Style type]),"")</f>
        <v>Paragraph</v>
      </c>
      <c r="AM1880" s="20" t="s">
        <v>845</v>
      </c>
      <c r="AN1880" s="11"/>
    </row>
    <row r="1881" spans="3:44">
      <c r="D1881" t="s">
        <v>3348</v>
      </c>
      <c r="F18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1" s="13"/>
      <c r="H1881" s="13"/>
      <c r="I1881" s="12" t="str">
        <f>Table1[[#This Row],[type]]</f>
        <v>paragraph</v>
      </c>
      <c r="J1881" s="62" t="str">
        <f>Table1[[#This Row],[Column42]]&amp;IF(Table1[[#This Row],[Column13]]="","",Table1[[#This Row],[Column13]])&amp;IF(Table1[[#This Row],[mod]]="","",Table1[[#This Row],[mod]])</f>
        <v>paragraph</v>
      </c>
      <c r="K18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1" t="s">
        <v>0</v>
      </c>
      <c r="P1881" t="s">
        <v>3343</v>
      </c>
      <c r="Q18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1" s="29"/>
      <c r="AC1881" s="25"/>
      <c r="AD1881" s="41"/>
      <c r="AE1881" s="41"/>
      <c r="AF1881" s="11"/>
      <c r="AH1881" s="7" t="str">
        <f>Table1[[#This Row],[html_tag]]&amp;Table1[[#This Row],[html_type]]&amp;Table1[[#This Row],[html_modifier]]</f>
        <v/>
      </c>
      <c r="AL1881" s="23" t="str">
        <f>IFERROR(_xlfn.XLOOKUP(Table1[[#This Row],[word]],Table57[English style name],Table57[Style type]),"")</f>
        <v/>
      </c>
      <c r="AM1881" s="21"/>
      <c r="AN1881" s="11"/>
    </row>
    <row r="1882" spans="3:44">
      <c r="C1882">
        <v>1</v>
      </c>
      <c r="D1882" t="s">
        <v>3253</v>
      </c>
      <c r="F18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2" s="13"/>
      <c r="H1882" s="13"/>
      <c r="I1882" s="12" t="str">
        <f>Table1[[#This Row],[type]]</f>
        <v>paragraph</v>
      </c>
      <c r="J1882" s="62" t="str">
        <f>Table1[[#This Row],[Column42]]&amp;IF(Table1[[#This Row],[Column13]]="","",Table1[[#This Row],[Column13]])&amp;IF(Table1[[#This Row],[mod]]="","",Table1[[#This Row],[mod]])</f>
        <v>paragraph</v>
      </c>
      <c r="K18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2" t="s">
        <v>0</v>
      </c>
      <c r="P1882" t="s">
        <v>864</v>
      </c>
      <c r="Q18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2" s="29"/>
      <c r="AC1882" s="25"/>
      <c r="AD1882" s="41"/>
      <c r="AE1882" s="41"/>
      <c r="AF1882" s="11" t="s">
        <v>131</v>
      </c>
      <c r="AG1882" t="s">
        <v>3254</v>
      </c>
      <c r="AH1882" s="1" t="str">
        <f>Table1[[#This Row],[html_tag]]&amp;Table1[[#This Row],[html_type]]&amp;Table1[[#This Row],[html_modifier]]</f>
        <v/>
      </c>
      <c r="AL1882" s="22" t="str">
        <f>IFERROR(_xlfn.XLOOKUP(Table1[[#This Row],[word]],Table57[English style name],Table57[Style type]),"")</f>
        <v>Paragraph</v>
      </c>
      <c r="AM1882" s="20" t="s">
        <v>864</v>
      </c>
      <c r="AN1882" s="11"/>
    </row>
    <row r="1883" spans="3:44">
      <c r="F18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83" s="13" t="s">
        <v>2992</v>
      </c>
      <c r="H1883" s="13" t="s">
        <v>1</v>
      </c>
      <c r="I1883" s="12" t="str">
        <f>Table1[[#This Row],[type]]</f>
        <v>paragraph</v>
      </c>
      <c r="J1883" s="62" t="str">
        <f>Table1[[#This Row],[Column42]]&amp;IF(Table1[[#This Row],[Column13]]="","",Table1[[#This Row],[Column13]])&amp;IF(Table1[[#This Row],[mod]]="","",Table1[[#This Row],[mod]])</f>
        <v>paragraph</v>
      </c>
      <c r="K18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3" t="s">
        <v>0</v>
      </c>
      <c r="P1883" s="6" t="s">
        <v>2981</v>
      </c>
      <c r="Q18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3" s="29"/>
      <c r="AC1883" s="25"/>
      <c r="AD1883" s="41"/>
      <c r="AE1883" s="41"/>
      <c r="AF1883" s="11"/>
      <c r="AH1883" s="1" t="str">
        <f>Table1[[#This Row],[html_tag]]&amp;Table1[[#This Row],[html_type]]&amp;Table1[[#This Row],[html_modifier]]</f>
        <v/>
      </c>
      <c r="AL1883" s="22" t="str">
        <f>IFERROR(_xlfn.XLOOKUP(Table1[[#This Row],[word]],Table57[English style name],Table57[Style type]),"")</f>
        <v/>
      </c>
      <c r="AM1883" s="20"/>
      <c r="AN1883" s="11"/>
      <c r="AQ1883" s="6" t="s">
        <v>2981</v>
      </c>
      <c r="AR1883" t="s">
        <v>2982</v>
      </c>
    </row>
    <row r="1884" spans="3:44">
      <c r="F18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84" s="13" t="s">
        <v>2992</v>
      </c>
      <c r="H1884" s="13" t="s">
        <v>1</v>
      </c>
      <c r="I1884" s="12" t="str">
        <f>Table1[[#This Row],[type]]</f>
        <v>paragraph</v>
      </c>
      <c r="J1884" s="62" t="str">
        <f>Table1[[#This Row],[Column42]]&amp;IF(Table1[[#This Row],[Column13]]="","",Table1[[#This Row],[Column13]])&amp;IF(Table1[[#This Row],[mod]]="","",Table1[[#This Row],[mod]])</f>
        <v>paragraph</v>
      </c>
      <c r="K18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4" t="s">
        <v>0</v>
      </c>
      <c r="P1884" s="6" t="s">
        <v>1499</v>
      </c>
      <c r="Q18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4" s="29"/>
      <c r="AC1884" s="25"/>
      <c r="AD1884" s="41"/>
      <c r="AE1884" s="41"/>
      <c r="AF1884" s="11"/>
      <c r="AH1884" s="1" t="str">
        <f>Table1[[#This Row],[html_tag]]&amp;Table1[[#This Row],[html_type]]&amp;Table1[[#This Row],[html_modifier]]</f>
        <v/>
      </c>
      <c r="AL1884" s="22" t="str">
        <f>IFERROR(_xlfn.XLOOKUP(Table1[[#This Row],[word]],Table57[English style name],Table57[Style type]),"")</f>
        <v/>
      </c>
      <c r="AM1884" s="20"/>
      <c r="AN1884" s="11"/>
      <c r="AQ1884" s="6" t="s">
        <v>1499</v>
      </c>
      <c r="AR1884" t="s">
        <v>1497</v>
      </c>
    </row>
    <row r="1885" spans="3:44">
      <c r="F18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85" s="13" t="s">
        <v>2992</v>
      </c>
      <c r="H1885" s="13" t="s">
        <v>1</v>
      </c>
      <c r="I1885" s="12" t="str">
        <f>Table1[[#This Row],[type]]</f>
        <v>paragraph</v>
      </c>
      <c r="J1885" s="62" t="str">
        <f>Table1[[#This Row],[Column42]]&amp;IF(Table1[[#This Row],[Column13]]="","",Table1[[#This Row],[Column13]])&amp;IF(Table1[[#This Row],[mod]]="","",Table1[[#This Row],[mod]])</f>
        <v>paragraph</v>
      </c>
      <c r="K18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5" t="s">
        <v>0</v>
      </c>
      <c r="P1885" s="6" t="s">
        <v>1503</v>
      </c>
      <c r="Q18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5" s="29"/>
      <c r="AC1885" s="25"/>
      <c r="AD1885" s="41"/>
      <c r="AE1885" s="41"/>
      <c r="AF1885" s="11"/>
      <c r="AH1885" s="1" t="str">
        <f>Table1[[#This Row],[html_tag]]&amp;Table1[[#This Row],[html_type]]&amp;Table1[[#This Row],[html_modifier]]</f>
        <v/>
      </c>
      <c r="AL1885" s="22" t="str">
        <f>IFERROR(_xlfn.XLOOKUP(Table1[[#This Row],[word]],Table57[English style name],Table57[Style type]),"")</f>
        <v/>
      </c>
      <c r="AM1885" s="20"/>
      <c r="AN1885" s="11"/>
      <c r="AQ1885" s="6" t="s">
        <v>1503</v>
      </c>
      <c r="AR1885" t="s">
        <v>1497</v>
      </c>
    </row>
    <row r="1886" spans="3:44">
      <c r="C1886">
        <v>1</v>
      </c>
      <c r="D1886" t="s">
        <v>3276</v>
      </c>
      <c r="F18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6" s="13"/>
      <c r="H1886" s="13"/>
      <c r="I1886" s="12" t="str">
        <f>Table1[[#This Row],[type]]</f>
        <v>paragraph</v>
      </c>
      <c r="J1886" s="62" t="str">
        <f>Table1[[#This Row],[Column42]]&amp;IF(Table1[[#This Row],[Column13]]="","",Table1[[#This Row],[Column13]])&amp;IF(Table1[[#This Row],[mod]]="","",Table1[[#This Row],[mod]])</f>
        <v>paragraph</v>
      </c>
      <c r="K18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6" t="s">
        <v>0</v>
      </c>
      <c r="P1886" t="s">
        <v>822</v>
      </c>
      <c r="Q18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6" s="29"/>
      <c r="AC1886" s="25"/>
      <c r="AD1886" s="41"/>
      <c r="AE1886" s="41"/>
      <c r="AF1886" s="11" t="s">
        <v>239</v>
      </c>
      <c r="AG1886" t="s">
        <v>3277</v>
      </c>
      <c r="AH1886" s="1" t="str">
        <f>Table1[[#This Row],[html_tag]]&amp;Table1[[#This Row],[html_type]]&amp;Table1[[#This Row],[html_modifier]]</f>
        <v/>
      </c>
      <c r="AL1886" s="22" t="str">
        <f>IFERROR(_xlfn.XLOOKUP(Table1[[#This Row],[word]],Table57[English style name],Table57[Style type]),"")</f>
        <v>Paragraph</v>
      </c>
      <c r="AM1886" s="20" t="s">
        <v>822</v>
      </c>
      <c r="AN1886" s="11"/>
    </row>
    <row r="1887" spans="3:44">
      <c r="C1887">
        <v>1</v>
      </c>
      <c r="D1887" t="s">
        <v>3276</v>
      </c>
      <c r="F18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7" s="13"/>
      <c r="H1887" s="13"/>
      <c r="I1887" s="12" t="str">
        <f>Table1[[#This Row],[type]]</f>
        <v>paragraph</v>
      </c>
      <c r="J1887" s="62" t="str">
        <f>Table1[[#This Row],[Column42]]&amp;IF(Table1[[#This Row],[Column13]]="","",Table1[[#This Row],[Column13]])&amp;IF(Table1[[#This Row],[mod]]="","",Table1[[#This Row],[mod]])</f>
        <v>paragraph</v>
      </c>
      <c r="K18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7" t="s">
        <v>0</v>
      </c>
      <c r="P1887" t="s">
        <v>802</v>
      </c>
      <c r="Q18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7" s="29"/>
      <c r="AC1887" s="25"/>
      <c r="AD1887" s="41"/>
      <c r="AE1887" s="41"/>
      <c r="AF1887" s="11" t="s">
        <v>239</v>
      </c>
      <c r="AG1887" t="s">
        <v>3278</v>
      </c>
      <c r="AH1887" s="1" t="str">
        <f>Table1[[#This Row],[html_tag]]&amp;Table1[[#This Row],[html_type]]&amp;Table1[[#This Row],[html_modifier]]</f>
        <v/>
      </c>
      <c r="AL1887" s="22" t="str">
        <f>IFERROR(_xlfn.XLOOKUP(Table1[[#This Row],[word]],Table57[English style name],Table57[Style type]),"")</f>
        <v>Paragraph</v>
      </c>
      <c r="AM1887" s="20" t="s">
        <v>802</v>
      </c>
      <c r="AN1887" s="11"/>
    </row>
    <row r="1888" spans="3:44">
      <c r="C1888">
        <v>1</v>
      </c>
      <c r="D1888" t="s">
        <v>3375</v>
      </c>
      <c r="E1888" t="s">
        <v>3376</v>
      </c>
      <c r="F18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8" s="13"/>
      <c r="H1888" s="13"/>
      <c r="I1888" s="12" t="str">
        <f>Table1[[#This Row],[type]]</f>
        <v>paragraph</v>
      </c>
      <c r="J1888" s="62" t="str">
        <f>Table1[[#This Row],[Column42]]&amp;IF(Table1[[#This Row],[Column13]]="","",Table1[[#This Row],[Column13]])&amp;IF(Table1[[#This Row],[mod]]="","",Table1[[#This Row],[mod]])</f>
        <v>paragraph</v>
      </c>
      <c r="K18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8" t="s">
        <v>0</v>
      </c>
      <c r="P1888" t="s">
        <v>764</v>
      </c>
      <c r="Q18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8" s="29"/>
      <c r="AC1888" s="25"/>
      <c r="AD1888" s="41"/>
      <c r="AE1888" s="41"/>
      <c r="AF1888" s="11" t="s">
        <v>264</v>
      </c>
      <c r="AG1888" t="s">
        <v>3268</v>
      </c>
      <c r="AH1888" s="1" t="str">
        <f>Table1[[#This Row],[html_tag]]&amp;Table1[[#This Row],[html_type]]&amp;Table1[[#This Row],[html_modifier]]</f>
        <v/>
      </c>
      <c r="AL1888" s="22" t="str">
        <f>IFERROR(_xlfn.XLOOKUP(Table1[[#This Row],[word]],Table57[English style name],Table57[Style type]),"")</f>
        <v>Paragraph</v>
      </c>
      <c r="AM1888" s="20" t="s">
        <v>764</v>
      </c>
      <c r="AN1888" s="11"/>
    </row>
    <row r="1889" spans="3:44">
      <c r="F18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89" s="13" t="s">
        <v>2992</v>
      </c>
      <c r="H1889" s="13" t="s">
        <v>1</v>
      </c>
      <c r="I1889" s="12" t="str">
        <f>Table1[[#This Row],[type]]</f>
        <v>paragraph</v>
      </c>
      <c r="J1889" s="62" t="str">
        <f>Table1[[#This Row],[Column42]]&amp;IF(Table1[[#This Row],[Column13]]="","",Table1[[#This Row],[Column13]])&amp;IF(Table1[[#This Row],[mod]]="","",Table1[[#This Row],[mod]])</f>
        <v>paragraph</v>
      </c>
      <c r="K18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9" t="s">
        <v>0</v>
      </c>
      <c r="P1889" t="s">
        <v>15</v>
      </c>
      <c r="Q18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9" s="29"/>
      <c r="AC1889" s="25"/>
      <c r="AD1889" s="41"/>
      <c r="AE1889" s="41"/>
      <c r="AF1889" s="11" t="s">
        <v>239</v>
      </c>
      <c r="AH1889" s="1" t="str">
        <f>Table1[[#This Row],[html_tag]]&amp;Table1[[#This Row],[html_type]]&amp;Table1[[#This Row],[html_modifier]]</f>
        <v/>
      </c>
      <c r="AL1889" s="22" t="str">
        <f>IFERROR(_xlfn.XLOOKUP(Table1[[#This Row],[word]],Table57[English style name],Table57[Style type]),"")</f>
        <v/>
      </c>
      <c r="AM1889" s="20"/>
      <c r="AN1889" s="11" t="s">
        <v>7</v>
      </c>
      <c r="AO1889" t="s">
        <v>18</v>
      </c>
      <c r="AP1889" t="s">
        <v>19</v>
      </c>
      <c r="AQ1889" t="s">
        <v>15</v>
      </c>
    </row>
    <row r="1890" spans="3:44">
      <c r="F18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90" s="13" t="s">
        <v>2992</v>
      </c>
      <c r="H1890" s="13" t="s">
        <v>1</v>
      </c>
      <c r="I1890" s="12" t="str">
        <f>Table1[[#This Row],[type]]</f>
        <v>paragraph</v>
      </c>
      <c r="J1890" s="62" t="str">
        <f>Table1[[#This Row],[Column42]]&amp;IF(Table1[[#This Row],[Column13]]="","",Table1[[#This Row],[Column13]])&amp;IF(Table1[[#This Row],[mod]]="","",Table1[[#This Row],[mod]])</f>
        <v>paragraph</v>
      </c>
      <c r="K18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90" t="s">
        <v>0</v>
      </c>
      <c r="P1890" t="s">
        <v>13</v>
      </c>
      <c r="Q18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0" s="29"/>
      <c r="AC1890" s="25"/>
      <c r="AD1890" s="41"/>
      <c r="AE1890" s="41"/>
      <c r="AF1890" s="11" t="s">
        <v>239</v>
      </c>
      <c r="AH1890" s="1" t="str">
        <f>Table1[[#This Row],[html_tag]]&amp;Table1[[#This Row],[html_type]]&amp;Table1[[#This Row],[html_modifier]]</f>
        <v/>
      </c>
      <c r="AL1890" s="22" t="str">
        <f>IFERROR(_xlfn.XLOOKUP(Table1[[#This Row],[word]],Table57[English style name],Table57[Style type]),"")</f>
        <v/>
      </c>
      <c r="AM1890" s="20"/>
      <c r="AN1890" s="11" t="s">
        <v>15</v>
      </c>
      <c r="AO1890" t="s">
        <v>16</v>
      </c>
      <c r="AP1890" t="s">
        <v>17</v>
      </c>
      <c r="AQ1890" t="s">
        <v>13</v>
      </c>
    </row>
    <row r="1891" spans="3:44">
      <c r="F18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91" s="13" t="s">
        <v>2992</v>
      </c>
      <c r="H1891" s="13" t="s">
        <v>1</v>
      </c>
      <c r="I1891" s="12" t="str">
        <f>Table1[[#This Row],[type]]</f>
        <v>paragraph</v>
      </c>
      <c r="J1891" s="62" t="str">
        <f>Table1[[#This Row],[Column42]]&amp;IF(Table1[[#This Row],[Column13]]="","",Table1[[#This Row],[Column13]])&amp;IF(Table1[[#This Row],[mod]]="","",Table1[[#This Row],[mod]])</f>
        <v>paragraph</v>
      </c>
      <c r="K18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91" t="s">
        <v>0</v>
      </c>
      <c r="P1891" t="s">
        <v>20</v>
      </c>
      <c r="Q18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1" s="29"/>
      <c r="AC1891" s="25"/>
      <c r="AD1891" s="41"/>
      <c r="AE1891" s="41"/>
      <c r="AF1891" s="11" t="s">
        <v>239</v>
      </c>
      <c r="AH1891" s="1" t="str">
        <f>Table1[[#This Row],[html_tag]]&amp;Table1[[#This Row],[html_type]]&amp;Table1[[#This Row],[html_modifier]]</f>
        <v/>
      </c>
      <c r="AL1891" s="22" t="str">
        <f>IFERROR(_xlfn.XLOOKUP(Table1[[#This Row],[word]],Table57[English style name],Table57[Style type]),"")</f>
        <v/>
      </c>
      <c r="AM1891" s="20"/>
      <c r="AN1891" s="11" t="s">
        <v>21</v>
      </c>
      <c r="AO1891" t="s">
        <v>22</v>
      </c>
      <c r="AP1891" t="s">
        <v>23</v>
      </c>
      <c r="AQ1891" t="s">
        <v>20</v>
      </c>
    </row>
    <row r="1892" spans="3:44">
      <c r="C1892">
        <v>1</v>
      </c>
      <c r="D1892" t="s">
        <v>3253</v>
      </c>
      <c r="F18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2" s="13"/>
      <c r="H1892" s="13"/>
      <c r="I1892" s="12" t="str">
        <f>Table1[[#This Row],[type]]</f>
        <v>paragraph</v>
      </c>
      <c r="J1892" s="62" t="str">
        <f>Table1[[#This Row],[Column42]]&amp;IF(Table1[[#This Row],[Column13]]="","",Table1[[#This Row],[Column13]])&amp;IF(Table1[[#This Row],[mod]]="","",Table1[[#This Row],[mod]])</f>
        <v>paragraph</v>
      </c>
      <c r="K18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92" t="s">
        <v>0</v>
      </c>
      <c r="P1892" t="s">
        <v>862</v>
      </c>
      <c r="Q18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2" s="29"/>
      <c r="AC1892" s="25"/>
      <c r="AD1892" s="41"/>
      <c r="AE1892" s="41"/>
      <c r="AF1892" s="11" t="s">
        <v>131</v>
      </c>
      <c r="AH1892" s="1" t="str">
        <f>Table1[[#This Row],[html_tag]]&amp;Table1[[#This Row],[html_type]]&amp;Table1[[#This Row],[html_modifier]]</f>
        <v>&lt;blockquote&gt;</v>
      </c>
      <c r="AI1892" t="s">
        <v>131</v>
      </c>
      <c r="AL1892" s="22" t="str">
        <f>IFERROR(_xlfn.XLOOKUP(Table1[[#This Row],[word]],Table57[English style name],Table57[Style type]),"")</f>
        <v>Paragraph</v>
      </c>
      <c r="AM1892" s="20" t="s">
        <v>862</v>
      </c>
      <c r="AN1892" s="11"/>
    </row>
    <row r="1893" spans="3:44">
      <c r="C1893">
        <v>1</v>
      </c>
      <c r="D1893" t="s">
        <v>3287</v>
      </c>
      <c r="F18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3" s="13"/>
      <c r="H1893" s="13"/>
      <c r="I1893" s="12" t="str">
        <f>Table1[[#This Row],[type]]</f>
        <v>paragraph</v>
      </c>
      <c r="J1893" s="62" t="str">
        <f>Table1[[#This Row],[Column42]]&amp;IF(Table1[[#This Row],[Column13]]="","",Table1[[#This Row],[Column13]])&amp;IF(Table1[[#This Row],[mod]]="","",Table1[[#This Row],[mod]])</f>
        <v>paragraph</v>
      </c>
      <c r="K18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93" t="s">
        <v>0</v>
      </c>
      <c r="P1893" t="s">
        <v>853</v>
      </c>
      <c r="Q18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3" s="29"/>
      <c r="AC1893" s="25"/>
      <c r="AD1893" s="41"/>
      <c r="AE1893" s="41"/>
      <c r="AF1893" s="11" t="s">
        <v>245</v>
      </c>
      <c r="AH1893" s="1" t="str">
        <f>Table1[[#This Row],[html_tag]]&amp;Table1[[#This Row],[html_type]]&amp;Table1[[#This Row],[html_modifier]]</f>
        <v>&lt;pre&gt;</v>
      </c>
      <c r="AI1893" t="s">
        <v>245</v>
      </c>
      <c r="AL1893" s="22" t="str">
        <f>IFERROR(_xlfn.XLOOKUP(Table1[[#This Row],[word]],Table57[English style name],Table57[Style type]),"")</f>
        <v>Paragraph</v>
      </c>
      <c r="AM1893" s="20" t="s">
        <v>853</v>
      </c>
      <c r="AN1893" s="11"/>
    </row>
    <row r="1894" spans="3:44">
      <c r="F18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4" s="13"/>
      <c r="H1894" s="13"/>
      <c r="I1894" s="12" t="str">
        <f>Table1[[#This Row],[type]]</f>
        <v>paragraph</v>
      </c>
      <c r="J1894" s="62" t="str">
        <f>Table1[[#This Row],[Column42]]&amp;IF(Table1[[#This Row],[Column13]]="","",Table1[[#This Row],[Column13]])&amp;IF(Table1[[#This Row],[mod]]="","",Table1[[#This Row],[mod]])</f>
        <v>paragraph__&lt;p&gt;</v>
      </c>
      <c r="K18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paragraph__&lt;p&gt;</v>
      </c>
      <c r="L1894" t="s">
        <v>0</v>
      </c>
      <c r="O1894" t="s">
        <v>239</v>
      </c>
      <c r="Q18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4" s="29"/>
      <c r="AC1894" s="25"/>
      <c r="AD1894" s="41"/>
      <c r="AE1894" s="41"/>
      <c r="AF1894" s="11" t="s">
        <v>239</v>
      </c>
      <c r="AH1894" s="1" t="str">
        <f>Table1[[#This Row],[html_tag]]&amp;Table1[[#This Row],[html_type]]&amp;Table1[[#This Row],[html_modifier]]</f>
        <v>&lt;p&gt;</v>
      </c>
      <c r="AI1894" t="s">
        <v>239</v>
      </c>
      <c r="AL1894" s="22" t="str">
        <f>IFERROR(_xlfn.XLOOKUP(Table1[[#This Row],[word]],Table57[English style name],Table57[Style type]),"")</f>
        <v/>
      </c>
      <c r="AM1894" s="20"/>
      <c r="AN1894" s="11"/>
    </row>
    <row r="1895" spans="3:44">
      <c r="D1895" t="s">
        <v>3375</v>
      </c>
      <c r="E1895" t="s">
        <v>3376</v>
      </c>
      <c r="F18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5" s="13"/>
      <c r="H1895" s="13"/>
      <c r="I1895" s="12" t="str">
        <f>Table1[[#This Row],[type]]</f>
        <v>paragraph</v>
      </c>
      <c r="J1895" s="62" t="str">
        <f>Table1[[#This Row],[Column42]]&amp;IF(Table1[[#This Row],[Column13]]="","",Table1[[#This Row],[Column13]])&amp;IF(Table1[[#This Row],[mod]]="","",Table1[[#This Row],[mod]])</f>
        <v>paragraph__abbreviation</v>
      </c>
      <c r="K18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paragraph__abbreviation</v>
      </c>
      <c r="L1895" t="s">
        <v>0</v>
      </c>
      <c r="M1895" t="s">
        <v>2997</v>
      </c>
      <c r="Q18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5" s="29"/>
      <c r="AC1895" s="25"/>
      <c r="AD1895" s="41"/>
      <c r="AE1895" s="41"/>
      <c r="AF1895" s="11"/>
      <c r="AH1895" s="7" t="str">
        <f>Table1[[#This Row],[html_tag]]&amp;Table1[[#This Row],[html_type]]&amp;Table1[[#This Row],[html_modifier]]</f>
        <v/>
      </c>
      <c r="AL1895" s="23" t="str">
        <f>IFERROR(_xlfn.XLOOKUP(Table1[[#This Row],[word]],Table57[English style name],Table57[Style type]),"")</f>
        <v/>
      </c>
      <c r="AM1895" s="21"/>
      <c r="AN1895" s="11"/>
    </row>
    <row r="1896" spans="3:44">
      <c r="D1896" t="s">
        <v>3375</v>
      </c>
      <c r="E1896" t="s">
        <v>3376</v>
      </c>
      <c r="F18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6" s="13"/>
      <c r="H1896" s="13"/>
      <c r="I1896" s="12" t="str">
        <f>Table1[[#This Row],[type]]</f>
        <v>paragraph</v>
      </c>
      <c r="J1896" s="62" t="str">
        <f>Table1[[#This Row],[Column42]]&amp;IF(Table1[[#This Row],[Column13]]="","",Table1[[#This Row],[Column13]])&amp;IF(Table1[[#This Row],[mod]]="","",Table1[[#This Row],[mod]])</f>
        <v>paragraph__abbreviation__heading</v>
      </c>
      <c r="K18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paragraph__abbreviation__heading</v>
      </c>
      <c r="L1896" t="s">
        <v>0</v>
      </c>
      <c r="M1896" t="s">
        <v>2997</v>
      </c>
      <c r="O1896" t="s">
        <v>100</v>
      </c>
      <c r="Q18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6" s="29"/>
      <c r="AC1896" s="25"/>
      <c r="AD1896" s="41"/>
      <c r="AE1896" s="41"/>
      <c r="AF1896" s="11"/>
      <c r="AH1896" s="7" t="str">
        <f>Table1[[#This Row],[html_tag]]&amp;Table1[[#This Row],[html_type]]&amp;Table1[[#This Row],[html_modifier]]</f>
        <v/>
      </c>
      <c r="AL1896" s="23" t="str">
        <f>IFERROR(_xlfn.XLOOKUP(Table1[[#This Row],[word]],Table57[English style name],Table57[Style type]),"")</f>
        <v/>
      </c>
      <c r="AM1896" s="21"/>
      <c r="AN1896" s="11"/>
    </row>
    <row r="1897" spans="3:44">
      <c r="D1897" t="s">
        <v>3348</v>
      </c>
      <c r="F18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7" s="13"/>
      <c r="H1897" s="13"/>
      <c r="I1897" s="12" t="str">
        <f>Table1[[#This Row],[type]]</f>
        <v>paragraph</v>
      </c>
      <c r="J1897" s="62" t="str">
        <f>Table1[[#This Row],[Column42]]&amp;IF(Table1[[#This Row],[Column13]]="","",Table1[[#This Row],[Column13]])&amp;IF(Table1[[#This Row],[mod]]="","",Table1[[#This Row],[mod]])</f>
        <v>paragraph__acknowledgements__body</v>
      </c>
      <c r="K18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paragraph__acknowledgements__body</v>
      </c>
      <c r="L1897" t="s">
        <v>0</v>
      </c>
      <c r="M1897" t="s">
        <v>3381</v>
      </c>
      <c r="O1897" t="s">
        <v>337</v>
      </c>
      <c r="Q18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7" s="29"/>
      <c r="AC1897" s="25"/>
      <c r="AD1897" s="41"/>
      <c r="AE1897" s="41"/>
      <c r="AF1897" s="11"/>
      <c r="AH1897" s="7" t="str">
        <f>Table1[[#This Row],[html_tag]]&amp;Table1[[#This Row],[html_type]]&amp;Table1[[#This Row],[html_modifier]]</f>
        <v/>
      </c>
      <c r="AL1897" s="23" t="str">
        <f>IFERROR(_xlfn.XLOOKUP(Table1[[#This Row],[word]],Table57[English style name],Table57[Style type]),"")</f>
        <v/>
      </c>
      <c r="AM1897" s="21"/>
      <c r="AN1897" s="11"/>
    </row>
    <row r="1898" spans="3:44">
      <c r="D1898" t="s">
        <v>3348</v>
      </c>
      <c r="F18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8" s="13"/>
      <c r="H1898" s="13"/>
      <c r="I1898" s="12" t="str">
        <f>Table1[[#This Row],[type]]</f>
        <v>paragraph</v>
      </c>
      <c r="J1898" s="62" t="str">
        <f>Table1[[#This Row],[Column42]]&amp;IF(Table1[[#This Row],[Column13]]="","",Table1[[#This Row],[Column13]])&amp;IF(Table1[[#This Row],[mod]]="","",Table1[[#This Row],[mod]])</f>
        <v>paragraph__acknowledgements__heading</v>
      </c>
      <c r="K18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paragraph__acknowledgements__heading</v>
      </c>
      <c r="L1898" t="s">
        <v>0</v>
      </c>
      <c r="M1898" t="s">
        <v>3381</v>
      </c>
      <c r="O1898" t="s">
        <v>100</v>
      </c>
      <c r="Q18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8" s="29"/>
      <c r="AC1898" s="25"/>
      <c r="AD1898" s="41"/>
      <c r="AE1898" s="41"/>
      <c r="AF1898" s="11"/>
      <c r="AH1898" s="7" t="str">
        <f>Table1[[#This Row],[html_tag]]&amp;Table1[[#This Row],[html_type]]&amp;Table1[[#This Row],[html_modifier]]</f>
        <v/>
      </c>
      <c r="AL1898" s="23" t="str">
        <f>IFERROR(_xlfn.XLOOKUP(Table1[[#This Row],[word]],Table57[English style name],Table57[Style type]),"")</f>
        <v/>
      </c>
      <c r="AM1898" s="21"/>
      <c r="AN1898" s="11"/>
    </row>
    <row r="1899" spans="3:44">
      <c r="D1899" t="s">
        <v>3375</v>
      </c>
      <c r="E1899" t="s">
        <v>3376</v>
      </c>
      <c r="F18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9" s="13"/>
      <c r="H1899" s="13"/>
      <c r="I1899" s="12" t="str">
        <f>Table1[[#This Row],[type]]</f>
        <v>paragraph</v>
      </c>
      <c r="J1899" s="62" t="str">
        <f>Table1[[#This Row],[Column42]]&amp;IF(Table1[[#This Row],[Column13]]="","",Table1[[#This Row],[Column13]])&amp;IF(Table1[[#This Row],[mod]]="","",Table1[[#This Row],[mod]])</f>
        <v>paragraph__acronym</v>
      </c>
      <c r="K18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paragraph__acronym</v>
      </c>
      <c r="L1899" t="s">
        <v>0</v>
      </c>
      <c r="M1899" t="s">
        <v>365</v>
      </c>
      <c r="Q18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9" s="29"/>
      <c r="AC1899" s="25"/>
      <c r="AD1899" s="41"/>
      <c r="AE1899" s="41"/>
      <c r="AF1899" s="11"/>
      <c r="AH1899" s="7" t="str">
        <f>Table1[[#This Row],[html_tag]]&amp;Table1[[#This Row],[html_type]]&amp;Table1[[#This Row],[html_modifier]]</f>
        <v/>
      </c>
      <c r="AL1899" s="23" t="str">
        <f>IFERROR(_xlfn.XLOOKUP(Table1[[#This Row],[word]],Table57[English style name],Table57[Style type]),"")</f>
        <v/>
      </c>
      <c r="AM1899" s="21"/>
      <c r="AN1899" s="11"/>
    </row>
    <row r="1900" spans="3:44">
      <c r="D1900" t="s">
        <v>3375</v>
      </c>
      <c r="E1900" t="s">
        <v>3376</v>
      </c>
      <c r="F19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0" s="13"/>
      <c r="H1900" s="13"/>
      <c r="I1900" s="12" t="str">
        <f>Table1[[#This Row],[type]]</f>
        <v>paragraph</v>
      </c>
      <c r="J1900" s="62" t="str">
        <f>Table1[[#This Row],[Column42]]&amp;IF(Table1[[#This Row],[Column13]]="","",Table1[[#This Row],[Column13]])&amp;IF(Table1[[#This Row],[mod]]="","",Table1[[#This Row],[mod]])</f>
        <v>paragraph__acronym__heading</v>
      </c>
      <c r="K19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paragraph__acronym__heading</v>
      </c>
      <c r="L1900" t="s">
        <v>0</v>
      </c>
      <c r="M1900" t="s">
        <v>365</v>
      </c>
      <c r="O1900" t="s">
        <v>100</v>
      </c>
      <c r="Q19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0" s="29"/>
      <c r="AC1900" s="25"/>
      <c r="AD1900" s="41"/>
      <c r="AE1900" s="41"/>
      <c r="AF1900" s="11"/>
      <c r="AH1900" s="7" t="str">
        <f>Table1[[#This Row],[html_tag]]&amp;Table1[[#This Row],[html_type]]&amp;Table1[[#This Row],[html_modifier]]</f>
        <v/>
      </c>
      <c r="AL1900" s="23" t="str">
        <f>IFERROR(_xlfn.XLOOKUP(Table1[[#This Row],[word]],Table57[English style name],Table57[Style type]),"")</f>
        <v/>
      </c>
      <c r="AM1900" s="21"/>
      <c r="AN1900" s="11"/>
    </row>
    <row r="1901" spans="3:44">
      <c r="C1901">
        <v>1</v>
      </c>
      <c r="D1901" t="s">
        <v>3276</v>
      </c>
      <c r="F19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1" s="13"/>
      <c r="H1901" s="13"/>
      <c r="I1901" s="12" t="str">
        <f>Table1[[#This Row],[type]]</f>
        <v>paragraph</v>
      </c>
      <c r="J1901" s="62" t="str">
        <f>Table1[[#This Row],[Column42]]&amp;IF(Table1[[#This Row],[Column13]]="","",Table1[[#This Row],[Column13]])&amp;IF(Table1[[#This Row],[mod]]="","",Table1[[#This Row],[mod]])</f>
        <v>paragraph__address</v>
      </c>
      <c r="K19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paragraph__address</v>
      </c>
      <c r="L1901" t="s">
        <v>0</v>
      </c>
      <c r="M1901" t="s">
        <v>370</v>
      </c>
      <c r="P1901" t="s">
        <v>760</v>
      </c>
      <c r="Q19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1" s="29"/>
      <c r="AC1901" s="25"/>
      <c r="AD1901" s="41"/>
      <c r="AE1901" s="41"/>
      <c r="AF1901" s="11" t="s">
        <v>109</v>
      </c>
      <c r="AG1901" t="s">
        <v>3282</v>
      </c>
      <c r="AH1901" s="1" t="str">
        <f>Table1[[#This Row],[html_tag]]&amp;Table1[[#This Row],[html_type]]&amp;Table1[[#This Row],[html_modifier]]</f>
        <v/>
      </c>
      <c r="AL1901" s="22" t="str">
        <f>IFERROR(_xlfn.XLOOKUP(Table1[[#This Row],[word]],Table57[English style name],Table57[Style type]),"")</f>
        <v>Paragraph</v>
      </c>
      <c r="AM1901" s="20" t="s">
        <v>760</v>
      </c>
      <c r="AN1901" s="11"/>
    </row>
    <row r="1902" spans="3:44">
      <c r="C1902">
        <v>1</v>
      </c>
      <c r="D1902" t="s">
        <v>3276</v>
      </c>
      <c r="F19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2" s="13"/>
      <c r="H1902" s="13"/>
      <c r="I1902" s="12" t="str">
        <f>Table1[[#This Row],[type]]</f>
        <v>paragraph</v>
      </c>
      <c r="J1902" s="62" t="str">
        <f>Table1[[#This Row],[Column42]]&amp;IF(Table1[[#This Row],[Column13]]="","",Table1[[#This Row],[Column13]])&amp;IF(Table1[[#This Row],[mod]]="","",Table1[[#This Row],[mod]])</f>
        <v>paragraph__address</v>
      </c>
      <c r="K19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paragraph__address</v>
      </c>
      <c r="L1902" t="s">
        <v>0</v>
      </c>
      <c r="M1902" t="s">
        <v>370</v>
      </c>
      <c r="P1902" t="s">
        <v>758</v>
      </c>
      <c r="Q19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2" s="29"/>
      <c r="AC1902" s="25"/>
      <c r="AD1902" s="41"/>
      <c r="AE1902" s="41"/>
      <c r="AF1902" s="11" t="s">
        <v>109</v>
      </c>
      <c r="AG1902" t="s">
        <v>3281</v>
      </c>
      <c r="AH1902" s="1" t="str">
        <f>Table1[[#This Row],[html_tag]]&amp;Table1[[#This Row],[html_type]]&amp;Table1[[#This Row],[html_modifier]]</f>
        <v/>
      </c>
      <c r="AL1902" s="22" t="str">
        <f>IFERROR(_xlfn.XLOOKUP(Table1[[#This Row],[word]],Table57[English style name],Table57[Style type]),"")</f>
        <v>Paragraph</v>
      </c>
      <c r="AM1902" s="20" t="s">
        <v>758</v>
      </c>
      <c r="AN1902" s="11"/>
    </row>
    <row r="1903" spans="3:44">
      <c r="C1903">
        <v>1</v>
      </c>
      <c r="D1903" t="s">
        <v>3287</v>
      </c>
      <c r="F19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03" s="13" t="s">
        <v>2992</v>
      </c>
      <c r="H1903" s="13" t="s">
        <v>1</v>
      </c>
      <c r="I1903" s="12" t="str">
        <f>Table1[[#This Row],[type]]</f>
        <v>paragraph</v>
      </c>
      <c r="J1903" s="62" t="str">
        <f>Table1[[#This Row],[Column42]]&amp;IF(Table1[[#This Row],[Column13]]="","",Table1[[#This Row],[Column13]])&amp;IF(Table1[[#This Row],[mod]]="","",Table1[[#This Row],[mod]])</f>
        <v>paragraph__address</v>
      </c>
      <c r="K19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paragraph__address</v>
      </c>
      <c r="L1903" t="s">
        <v>0</v>
      </c>
      <c r="M1903" t="s">
        <v>370</v>
      </c>
      <c r="P1903" t="s">
        <v>851</v>
      </c>
      <c r="Q19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3" s="29"/>
      <c r="AC1903" s="25"/>
      <c r="AD1903" s="41"/>
      <c r="AE1903" s="41"/>
      <c r="AF1903" s="11" t="s">
        <v>109</v>
      </c>
      <c r="AH1903" s="1" t="str">
        <f>Table1[[#This Row],[html_tag]]&amp;Table1[[#This Row],[html_type]]&amp;Table1[[#This Row],[html_modifier]]</f>
        <v>&lt;address&gt;</v>
      </c>
      <c r="AI1903" t="s">
        <v>109</v>
      </c>
      <c r="AL1903" s="22" t="str">
        <f>IFERROR(_xlfn.XLOOKUP(Table1[[#This Row],[word]],Table57[English style name],Table57[Style type]),"")</f>
        <v>Paragraph</v>
      </c>
      <c r="AM1903" s="20" t="s">
        <v>851</v>
      </c>
      <c r="AN1903" s="11"/>
      <c r="AQ1903" s="6" t="s">
        <v>1151</v>
      </c>
      <c r="AR1903" t="s">
        <v>1152</v>
      </c>
    </row>
    <row r="1904" spans="3:44">
      <c r="D1904" t="s">
        <v>804</v>
      </c>
      <c r="F19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4" s="13"/>
      <c r="H1904" s="13"/>
      <c r="I1904" s="12" t="str">
        <f>Table1[[#This Row],[type]]</f>
        <v>paragraph</v>
      </c>
      <c r="J1904" s="62" t="str">
        <f>Table1[[#This Row],[Column42]]&amp;IF(Table1[[#This Row],[Column13]]="","",Table1[[#This Row],[Column13]])&amp;IF(Table1[[#This Row],[mod]]="","",Table1[[#This Row],[mod]])</f>
        <v>paragraph__after__body</v>
      </c>
      <c r="K19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paragraph__after__body</v>
      </c>
      <c r="L1904" t="s">
        <v>0</v>
      </c>
      <c r="M1904" t="s">
        <v>3434</v>
      </c>
      <c r="O1904" t="s">
        <v>337</v>
      </c>
      <c r="Q19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4" s="29"/>
      <c r="AC1904" s="25"/>
      <c r="AD1904" s="41"/>
      <c r="AE1904" s="41"/>
      <c r="AF1904" s="11" t="s">
        <v>239</v>
      </c>
      <c r="AH1904" s="7" t="str">
        <f>Table1[[#This Row],[html_tag]]&amp;Table1[[#This Row],[html_type]]&amp;Table1[[#This Row],[html_modifier]]</f>
        <v/>
      </c>
      <c r="AL1904" s="23" t="str">
        <f>IFERROR(_xlfn.XLOOKUP(Table1[[#This Row],[word]],Table57[English style name],Table57[Style type]),"")</f>
        <v/>
      </c>
      <c r="AM1904" s="21"/>
      <c r="AN1904" s="11"/>
    </row>
    <row r="1905" spans="3:40">
      <c r="D1905" t="s">
        <v>804</v>
      </c>
      <c r="F19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5" s="13"/>
      <c r="H1905" s="13"/>
      <c r="I1905" s="12" t="str">
        <f>Table1[[#This Row],[type]]</f>
        <v>paragraph</v>
      </c>
      <c r="J1905" s="62" t="str">
        <f>Table1[[#This Row],[Column42]]&amp;IF(Table1[[#This Row],[Column13]]="","",Table1[[#This Row],[Column13]])&amp;IF(Table1[[#This Row],[mod]]="","",Table1[[#This Row],[mod]])</f>
        <v>paragraph__after__body</v>
      </c>
      <c r="K19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paragraph__after__body</v>
      </c>
      <c r="L1905" t="s">
        <v>0</v>
      </c>
      <c r="M1905" t="s">
        <v>3434</v>
      </c>
      <c r="O1905" t="s">
        <v>337</v>
      </c>
      <c r="Q19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5" s="29"/>
      <c r="AC1905" s="25"/>
      <c r="AD1905" s="41"/>
      <c r="AE1905" s="41"/>
      <c r="AF1905" s="11" t="s">
        <v>239</v>
      </c>
      <c r="AH1905" s="7" t="str">
        <f>Table1[[#This Row],[html_tag]]&amp;Table1[[#This Row],[html_type]]&amp;Table1[[#This Row],[html_modifier]]</f>
        <v/>
      </c>
      <c r="AL1905" s="23" t="str">
        <f>IFERROR(_xlfn.XLOOKUP(Table1[[#This Row],[word]],Table57[English style name],Table57[Style type]),"")</f>
        <v/>
      </c>
      <c r="AM1905" s="21"/>
      <c r="AN1905" s="11"/>
    </row>
    <row r="1906" spans="3:40">
      <c r="D1906" t="s">
        <v>804</v>
      </c>
      <c r="F19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6" s="13"/>
      <c r="H1906" s="13"/>
      <c r="I1906" s="12" t="str">
        <f>Table1[[#This Row],[type]]</f>
        <v>paragraph</v>
      </c>
      <c r="J1906" s="62" t="str">
        <f>Table1[[#This Row],[Column42]]&amp;IF(Table1[[#This Row],[Column13]]="","",Table1[[#This Row],[Column13]])&amp;IF(Table1[[#This Row],[mod]]="","",Table1[[#This Row],[mod]])</f>
        <v>paragraph__after__body</v>
      </c>
      <c r="K19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paragraph__after__body</v>
      </c>
      <c r="L1906" t="s">
        <v>0</v>
      </c>
      <c r="M1906" t="s">
        <v>3434</v>
      </c>
      <c r="O1906" t="s">
        <v>337</v>
      </c>
      <c r="Q19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6" s="29"/>
      <c r="AC1906" s="25"/>
      <c r="AD1906" s="41"/>
      <c r="AE1906" s="41"/>
      <c r="AF1906" s="11" t="s">
        <v>239</v>
      </c>
      <c r="AH1906" s="7" t="str">
        <f>Table1[[#This Row],[html_tag]]&amp;Table1[[#This Row],[html_type]]&amp;Table1[[#This Row],[html_modifier]]</f>
        <v/>
      </c>
      <c r="AL1906" s="23" t="str">
        <f>IFERROR(_xlfn.XLOOKUP(Table1[[#This Row],[word]],Table57[English style name],Table57[Style type]),"")</f>
        <v/>
      </c>
      <c r="AM1906" s="21"/>
      <c r="AN1906" s="11"/>
    </row>
    <row r="1907" spans="3:40">
      <c r="D1907" t="s">
        <v>3348</v>
      </c>
      <c r="F19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7" s="13"/>
      <c r="H1907" s="13"/>
      <c r="I1907" s="12" t="str">
        <f>Table1[[#This Row],[type]]</f>
        <v>paragraph</v>
      </c>
      <c r="J1907" s="62" t="str">
        <f>Table1[[#This Row],[Column42]]&amp;IF(Table1[[#This Row],[Column13]]="","",Table1[[#This Row],[Column13]])&amp;IF(Table1[[#This Row],[mod]]="","",Table1[[#This Row],[mod]])</f>
        <v>paragraph__afterword__body</v>
      </c>
      <c r="K19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paragraph__afterword__body</v>
      </c>
      <c r="L1907" t="s">
        <v>0</v>
      </c>
      <c r="M1907" t="s">
        <v>3386</v>
      </c>
      <c r="O1907" t="s">
        <v>337</v>
      </c>
      <c r="Q19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7" s="29"/>
      <c r="AC1907" s="25"/>
      <c r="AD1907" s="41"/>
      <c r="AE1907" s="41"/>
      <c r="AF1907" s="11"/>
      <c r="AH1907" s="7" t="str">
        <f>Table1[[#This Row],[html_tag]]&amp;Table1[[#This Row],[html_type]]&amp;Table1[[#This Row],[html_modifier]]</f>
        <v/>
      </c>
      <c r="AL1907" s="23" t="str">
        <f>IFERROR(_xlfn.XLOOKUP(Table1[[#This Row],[word]],Table57[English style name],Table57[Style type]),"")</f>
        <v/>
      </c>
      <c r="AM1907" s="21"/>
      <c r="AN1907" s="11"/>
    </row>
    <row r="1908" spans="3:40">
      <c r="D1908" t="s">
        <v>804</v>
      </c>
      <c r="F19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8" s="13"/>
      <c r="H1908" s="13"/>
      <c r="I1908" s="12" t="str">
        <f>Table1[[#This Row],[type]]</f>
        <v>paragraph</v>
      </c>
      <c r="J1908" s="62" t="str">
        <f>Table1[[#This Row],[Column42]]&amp;IF(Table1[[#This Row],[Column13]]="","",Table1[[#This Row],[Column13]])&amp;IF(Table1[[#This Row],[mod]]="","",Table1[[#This Row],[mod]])</f>
        <v>paragraph__analytical__body</v>
      </c>
      <c r="K19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paragraph__analytical__body</v>
      </c>
      <c r="L1908" t="s">
        <v>0</v>
      </c>
      <c r="M1908" t="s">
        <v>3425</v>
      </c>
      <c r="O1908" t="s">
        <v>337</v>
      </c>
      <c r="Q19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8" s="29"/>
      <c r="AC1908" s="25"/>
      <c r="AD1908" s="41"/>
      <c r="AE1908" s="41"/>
      <c r="AF1908" s="11" t="s">
        <v>239</v>
      </c>
      <c r="AH1908" s="7" t="str">
        <f>Table1[[#This Row],[html_tag]]&amp;Table1[[#This Row],[html_type]]&amp;Table1[[#This Row],[html_modifier]]</f>
        <v/>
      </c>
      <c r="AL1908" s="23" t="str">
        <f>IFERROR(_xlfn.XLOOKUP(Table1[[#This Row],[word]],Table57[English style name],Table57[Style type]),"")</f>
        <v/>
      </c>
      <c r="AM1908" s="21"/>
      <c r="AN1908" s="11"/>
    </row>
    <row r="1909" spans="3:40">
      <c r="D1909" t="s">
        <v>3362</v>
      </c>
      <c r="F19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9" s="13"/>
      <c r="H1909" s="13"/>
      <c r="I1909" s="12" t="str">
        <f>Table1[[#This Row],[type]]</f>
        <v>paragraph</v>
      </c>
      <c r="J1909" s="62" t="str">
        <f>Table1[[#This Row],[Column42]]&amp;IF(Table1[[#This Row],[Column13]]="","",Table1[[#This Row],[Column13]])&amp;IF(Table1[[#This Row],[mod]]="","",Table1[[#This Row],[mod]])</f>
        <v>paragraph__appendix__body</v>
      </c>
      <c r="K19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paragraph__appendix__body</v>
      </c>
      <c r="L1909" t="s">
        <v>0</v>
      </c>
      <c r="M1909" t="s">
        <v>3395</v>
      </c>
      <c r="O1909" t="s">
        <v>337</v>
      </c>
      <c r="Q19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9" s="29"/>
      <c r="AC1909" s="25"/>
      <c r="AD1909" s="41"/>
      <c r="AE1909" s="41"/>
      <c r="AF1909" s="11"/>
      <c r="AH1909" s="7" t="str">
        <f>Table1[[#This Row],[html_tag]]&amp;Table1[[#This Row],[html_type]]&amp;Table1[[#This Row],[html_modifier]]</f>
        <v/>
      </c>
      <c r="AL1909" s="23" t="str">
        <f>IFERROR(_xlfn.XLOOKUP(Table1[[#This Row],[word]],Table57[English style name],Table57[Style type]),"")</f>
        <v/>
      </c>
      <c r="AM1909" s="21"/>
      <c r="AN1909" s="11"/>
    </row>
    <row r="1910" spans="3:40">
      <c r="D1910" t="s">
        <v>3362</v>
      </c>
      <c r="F19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0" s="13"/>
      <c r="H1910" s="13"/>
      <c r="I1910" s="12" t="str">
        <f>Table1[[#This Row],[type]]</f>
        <v>paragraph</v>
      </c>
      <c r="J1910" s="62" t="str">
        <f>Table1[[#This Row],[Column42]]&amp;IF(Table1[[#This Row],[Column13]]="","",Table1[[#This Row],[Column13]])&amp;IF(Table1[[#This Row],[mod]]="","",Table1[[#This Row],[mod]])</f>
        <v>paragraph__appendix__heading</v>
      </c>
      <c r="K19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paragraph__appendix__heading</v>
      </c>
      <c r="L1910" t="s">
        <v>0</v>
      </c>
      <c r="M1910" t="s">
        <v>3395</v>
      </c>
      <c r="O1910" t="s">
        <v>100</v>
      </c>
      <c r="Q19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0" s="29"/>
      <c r="AC1910" s="25"/>
      <c r="AD1910" s="41"/>
      <c r="AE1910" s="41"/>
      <c r="AF1910" s="11"/>
      <c r="AH1910" s="7" t="str">
        <f>Table1[[#This Row],[html_tag]]&amp;Table1[[#This Row],[html_type]]&amp;Table1[[#This Row],[html_modifier]]</f>
        <v/>
      </c>
      <c r="AL1910" s="23" t="str">
        <f>IFERROR(_xlfn.XLOOKUP(Table1[[#This Row],[word]],Table57[English style name],Table57[Style type]),"")</f>
        <v/>
      </c>
      <c r="AM1910" s="21"/>
      <c r="AN1910" s="11"/>
    </row>
    <row r="1911" spans="3:40">
      <c r="D1911" t="s">
        <v>3362</v>
      </c>
      <c r="F19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1" s="13"/>
      <c r="H1911" s="13"/>
      <c r="I1911" s="12" t="str">
        <f>Table1[[#This Row],[type]]</f>
        <v>paragraph</v>
      </c>
      <c r="J1911" s="62" t="str">
        <f>Table1[[#This Row],[Column42]]&amp;IF(Table1[[#This Row],[Column13]]="","",Table1[[#This Row],[Column13]])&amp;IF(Table1[[#This Row],[mod]]="","",Table1[[#This Row],[mod]])</f>
        <v>paragraph__appendix__title</v>
      </c>
      <c r="K19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paragraph__appendix__title</v>
      </c>
      <c r="L1911" t="s">
        <v>0</v>
      </c>
      <c r="M1911" t="s">
        <v>3395</v>
      </c>
      <c r="O1911" t="s">
        <v>333</v>
      </c>
      <c r="Q19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1" s="29"/>
      <c r="AC1911" s="25"/>
      <c r="AD1911" s="41"/>
      <c r="AE1911" s="41"/>
      <c r="AF1911" s="11"/>
      <c r="AH1911" s="7" t="str">
        <f>Table1[[#This Row],[html_tag]]&amp;Table1[[#This Row],[html_type]]&amp;Table1[[#This Row],[html_modifier]]</f>
        <v/>
      </c>
      <c r="AL1911" s="23" t="str">
        <f>IFERROR(_xlfn.XLOOKUP(Table1[[#This Row],[word]],Table57[English style name],Table57[Style type]),"")</f>
        <v/>
      </c>
      <c r="AM1911" s="21"/>
      <c r="AN1911" s="11"/>
    </row>
    <row r="1912" spans="3:40">
      <c r="D1912" t="s">
        <v>3339</v>
      </c>
      <c r="F19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2" s="13"/>
      <c r="H1912" s="13"/>
      <c r="I1912" s="12" t="str">
        <f>Table1[[#This Row],[type]]</f>
        <v>paragraph</v>
      </c>
      <c r="J1912" s="62" t="str">
        <f>Table1[[#This Row],[Column42]]&amp;IF(Table1[[#This Row],[Column13]]="","",Table1[[#This Row],[Column13]])&amp;IF(Table1[[#This Row],[mod]]="","",Table1[[#This Row],[mod]])</f>
        <v>paragraph__Archive reference</v>
      </c>
      <c r="K19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paragraph__Archive reference</v>
      </c>
      <c r="L1912" t="s">
        <v>0</v>
      </c>
      <c r="O1912" t="s">
        <v>3337</v>
      </c>
      <c r="P1912" t="s">
        <v>3337</v>
      </c>
      <c r="Q19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2" s="29"/>
      <c r="AC1912" s="25"/>
      <c r="AD1912" s="41"/>
      <c r="AE1912" s="41"/>
      <c r="AF1912" s="11"/>
      <c r="AH1912" s="7" t="str">
        <f>Table1[[#This Row],[html_tag]]&amp;Table1[[#This Row],[html_type]]&amp;Table1[[#This Row],[html_modifier]]</f>
        <v/>
      </c>
      <c r="AL1912" s="23" t="str">
        <f>IFERROR(_xlfn.XLOOKUP(Table1[[#This Row],[word]],Table57[English style name],Table57[Style type]),"")</f>
        <v/>
      </c>
      <c r="AM1912" s="21"/>
      <c r="AN1912" s="11"/>
    </row>
    <row r="1913" spans="3:40">
      <c r="D1913" t="s">
        <v>804</v>
      </c>
      <c r="F19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3" s="13"/>
      <c r="H1913" s="13"/>
      <c r="I1913" s="12" t="str">
        <f>Table1[[#This Row],[type]]</f>
        <v>paragraph</v>
      </c>
      <c r="J1913" s="62" t="str">
        <f>Table1[[#This Row],[Column42]]&amp;IF(Table1[[#This Row],[Column13]]="","",Table1[[#This Row],[Column13]])&amp;IF(Table1[[#This Row],[mod]]="","",Table1[[#This Row],[mod]])</f>
        <v>paragraph__argument__body</v>
      </c>
      <c r="K19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paragraph__argument__body</v>
      </c>
      <c r="L1913" t="s">
        <v>0</v>
      </c>
      <c r="M1913" t="s">
        <v>3426</v>
      </c>
      <c r="O1913" t="s">
        <v>337</v>
      </c>
      <c r="Q19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3" s="29"/>
      <c r="AC1913" s="25"/>
      <c r="AD1913" s="41"/>
      <c r="AE1913" s="41"/>
      <c r="AF1913" s="11" t="s">
        <v>239</v>
      </c>
      <c r="AH1913" s="7" t="str">
        <f>Table1[[#This Row],[html_tag]]&amp;Table1[[#This Row],[html_type]]&amp;Table1[[#This Row],[html_modifier]]</f>
        <v/>
      </c>
      <c r="AL1913" s="23" t="str">
        <f>IFERROR(_xlfn.XLOOKUP(Table1[[#This Row],[word]],Table57[English style name],Table57[Style type]),"")</f>
        <v/>
      </c>
      <c r="AM1913" s="21"/>
      <c r="AN1913" s="11"/>
    </row>
    <row r="1914" spans="3:40">
      <c r="F19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4" s="13"/>
      <c r="H1914" s="13"/>
      <c r="I1914" s="12" t="str">
        <f>Table1[[#This Row],[type]]</f>
        <v>paragraph</v>
      </c>
      <c r="J1914" s="62" t="str">
        <f>Table1[[#This Row],[Column42]]&amp;IF(Table1[[#This Row],[Column13]]="","",Table1[[#This Row],[Column13]])&amp;IF(Table1[[#This Row],[mod]]="","",Table1[[#This Row],[mod]])</f>
        <v>paragraph__article</v>
      </c>
      <c r="K19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paragraph__article</v>
      </c>
      <c r="L1914" t="s">
        <v>0</v>
      </c>
      <c r="M1914" t="s">
        <v>379</v>
      </c>
      <c r="Q19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4" s="29"/>
      <c r="AC1914" s="25"/>
      <c r="AD1914" s="41"/>
      <c r="AE1914" s="41"/>
      <c r="AF1914" s="11" t="s">
        <v>114</v>
      </c>
      <c r="AH1914" s="1" t="str">
        <f>Table1[[#This Row],[html_tag]]&amp;Table1[[#This Row],[html_type]]&amp;Table1[[#This Row],[html_modifier]]</f>
        <v>&lt;article&gt;</v>
      </c>
      <c r="AI1914" t="s">
        <v>114</v>
      </c>
      <c r="AL1914" s="22" t="str">
        <f>IFERROR(_xlfn.XLOOKUP(Table1[[#This Row],[word]],Table57[English style name],Table57[Style type]),"")</f>
        <v/>
      </c>
      <c r="AM1914" s="20"/>
      <c r="AN1914" s="11"/>
    </row>
    <row r="1915" spans="3:40">
      <c r="D1915" t="s">
        <v>3377</v>
      </c>
      <c r="E1915" t="s">
        <v>317</v>
      </c>
      <c r="F19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15" s="13" t="s">
        <v>2992</v>
      </c>
      <c r="H1915" s="13" t="s">
        <v>1</v>
      </c>
      <c r="I1915" s="12" t="str">
        <f>Table1[[#This Row],[type]]</f>
        <v>paragraph</v>
      </c>
      <c r="J1915" s="62" t="str">
        <f>Table1[[#This Row],[Column42]]&amp;IF(Table1[[#This Row],[Column13]]="","",Table1[[#This Row],[Column13]])&amp;IF(Table1[[#This Row],[mod]]="","",Table1[[#This Row],[mod]])</f>
        <v>paragraph__article__subtitle</v>
      </c>
      <c r="K19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paragraph__article__subtitle</v>
      </c>
      <c r="L1915" t="s">
        <v>0</v>
      </c>
      <c r="M1915" t="s">
        <v>379</v>
      </c>
      <c r="O1915" t="s">
        <v>3359</v>
      </c>
      <c r="Q19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5" s="29"/>
      <c r="AC1915" s="25"/>
      <c r="AD1915" s="41"/>
      <c r="AE1915" s="41"/>
      <c r="AF1915" s="11"/>
      <c r="AH1915" s="1" t="str">
        <f>Table1[[#This Row],[html_tag]]&amp;Table1[[#This Row],[html_type]]&amp;Table1[[#This Row],[html_modifier]]</f>
        <v/>
      </c>
      <c r="AL1915" s="22" t="str">
        <f>IFERROR(_xlfn.XLOOKUP(Table1[[#This Row],[word]],Table57[English style name],Table57[Style type]),"")</f>
        <v/>
      </c>
      <c r="AM1915" s="20"/>
      <c r="AN1915" s="11"/>
    </row>
    <row r="1916" spans="3:40">
      <c r="D1916" t="s">
        <v>3377</v>
      </c>
      <c r="E1916" t="s">
        <v>317</v>
      </c>
      <c r="F19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16" s="13" t="s">
        <v>2992</v>
      </c>
      <c r="H1916" s="13" t="s">
        <v>1</v>
      </c>
      <c r="I1916" s="12" t="str">
        <f>Table1[[#This Row],[type]]</f>
        <v>paragraph</v>
      </c>
      <c r="J1916" s="62" t="str">
        <f>Table1[[#This Row],[Column42]]&amp;IF(Table1[[#This Row],[Column13]]="","",Table1[[#This Row],[Column13]])&amp;IF(Table1[[#This Row],[mod]]="","",Table1[[#This Row],[mod]])</f>
        <v>paragraph__article__title</v>
      </c>
      <c r="K19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paragraph__article__title</v>
      </c>
      <c r="L1916" t="s">
        <v>0</v>
      </c>
      <c r="M1916" t="s">
        <v>379</v>
      </c>
      <c r="O1916" t="s">
        <v>333</v>
      </c>
      <c r="Q19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6" s="29"/>
      <c r="AC1916" s="25"/>
      <c r="AD1916" s="41"/>
      <c r="AE1916" s="41"/>
      <c r="AF1916" s="11"/>
      <c r="AH1916" s="1" t="str">
        <f>Table1[[#This Row],[html_tag]]&amp;Table1[[#This Row],[html_type]]&amp;Table1[[#This Row],[html_modifier]]</f>
        <v/>
      </c>
      <c r="AL1916" s="22" t="str">
        <f>IFERROR(_xlfn.XLOOKUP(Table1[[#This Row],[word]],Table57[English style name],Table57[Style type]),"")</f>
        <v/>
      </c>
      <c r="AM1916" s="20"/>
      <c r="AN1916" s="11"/>
    </row>
    <row r="1917" spans="3:40">
      <c r="C1917">
        <v>1</v>
      </c>
      <c r="D1917" t="s">
        <v>3284</v>
      </c>
      <c r="F19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7" s="13"/>
      <c r="H1917" s="13"/>
      <c r="I1917" s="12" t="str">
        <f>Table1[[#This Row],[type]]</f>
        <v>paragraph</v>
      </c>
      <c r="J1917" s="62" t="str">
        <f>Table1[[#This Row],[Column42]]&amp;IF(Table1[[#This Row],[Column13]]="","",Table1[[#This Row],[Column13]])&amp;IF(Table1[[#This Row],[mod]]="","",Table1[[#This Row],[mod]])</f>
        <v>paragraph__balloon__text</v>
      </c>
      <c r="K19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paragraph__balloon__text</v>
      </c>
      <c r="L1917" t="s">
        <v>0</v>
      </c>
      <c r="M1917" t="s">
        <v>3384</v>
      </c>
      <c r="O1917" t="s">
        <v>403</v>
      </c>
      <c r="Q19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7" s="29"/>
      <c r="AC1917" s="25"/>
      <c r="AD1917" s="41"/>
      <c r="AE1917" s="41"/>
      <c r="AF1917" s="11" t="s">
        <v>116</v>
      </c>
      <c r="AG1917" t="s">
        <v>3283</v>
      </c>
      <c r="AH1917" s="1" t="str">
        <f>Table1[[#This Row],[html_tag]]&amp;Table1[[#This Row],[html_type]]&amp;Table1[[#This Row],[html_modifier]]</f>
        <v/>
      </c>
      <c r="AL1917" s="22" t="str">
        <f>IFERROR(_xlfn.XLOOKUP(Table1[[#This Row],[word]],Table57[English style name],Table57[Style type]),"")</f>
        <v>Paragraph</v>
      </c>
      <c r="AM1917" s="20" t="s">
        <v>855</v>
      </c>
      <c r="AN1917" s="11"/>
    </row>
    <row r="1918" spans="3:40">
      <c r="D1918" t="s">
        <v>3375</v>
      </c>
      <c r="E1918" t="s">
        <v>3376</v>
      </c>
      <c r="F19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8" s="13"/>
      <c r="H1918" s="13"/>
      <c r="I1918" s="12" t="str">
        <f>Table1[[#This Row],[type]]</f>
        <v>paragraph</v>
      </c>
      <c r="J1918" s="62" t="str">
        <f>Table1[[#This Row],[Column42]]&amp;IF(Table1[[#This Row],[Column13]]="","",Table1[[#This Row],[Column13]])&amp;IF(Table1[[#This Row],[mod]]="","",Table1[[#This Row],[mod]])</f>
        <v>paragraph__bibliography</v>
      </c>
      <c r="K19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paragraph__bibliography</v>
      </c>
      <c r="L1918" t="s">
        <v>0</v>
      </c>
      <c r="M1918" t="s">
        <v>3383</v>
      </c>
      <c r="Q19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8" s="29"/>
      <c r="AC1918" s="25"/>
      <c r="AD1918" s="41"/>
      <c r="AE1918" s="41"/>
      <c r="AF1918" s="11" t="s">
        <v>239</v>
      </c>
      <c r="AH1918" s="7" t="str">
        <f>Table1[[#This Row],[html_tag]]&amp;Table1[[#This Row],[html_type]]&amp;Table1[[#This Row],[html_modifier]]</f>
        <v/>
      </c>
      <c r="AL1918" s="23" t="str">
        <f>IFERROR(_xlfn.XLOOKUP(Table1[[#This Row],[word]],Table57[English style name],Table57[Style type]),"")</f>
        <v/>
      </c>
      <c r="AM1918" s="21"/>
      <c r="AN1918" s="11"/>
    </row>
    <row r="1919" spans="3:40">
      <c r="C1919">
        <v>1</v>
      </c>
      <c r="D1919" t="s">
        <v>3375</v>
      </c>
      <c r="E1919" t="s">
        <v>3376</v>
      </c>
      <c r="F19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9" s="13"/>
      <c r="H1919" s="13"/>
      <c r="I1919" s="12" t="str">
        <f>Table1[[#This Row],[type]]</f>
        <v>paragraph</v>
      </c>
      <c r="J1919" s="62" t="str">
        <f>Table1[[#This Row],[Column42]]&amp;IF(Table1[[#This Row],[Column13]]="","",Table1[[#This Row],[Column13]])&amp;IF(Table1[[#This Row],[mod]]="","",Table1[[#This Row],[mod]])</f>
        <v>paragraph__bibliography</v>
      </c>
      <c r="K19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paragraph__bibliography</v>
      </c>
      <c r="L1919" t="s">
        <v>0</v>
      </c>
      <c r="M1919" t="s">
        <v>3383</v>
      </c>
      <c r="Q19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9" s="29"/>
      <c r="AC1919" s="25"/>
      <c r="AD1919" s="41"/>
      <c r="AE1919" s="41"/>
      <c r="AF1919" s="11" t="s">
        <v>264</v>
      </c>
      <c r="AG1919" t="s">
        <v>3267</v>
      </c>
      <c r="AH1919" s="1" t="str">
        <f>Table1[[#This Row],[html_tag]]&amp;Table1[[#This Row],[html_type]]&amp;Table1[[#This Row],[html_modifier]]</f>
        <v/>
      </c>
      <c r="AL1919" s="22" t="str">
        <f>IFERROR(_xlfn.XLOOKUP(Table1[[#This Row],[word]],Table57[English style name],Table57[Style type]),"")</f>
        <v>Paragraph</v>
      </c>
      <c r="AM1919" s="20" t="s">
        <v>866</v>
      </c>
      <c r="AN1919" s="11"/>
    </row>
    <row r="1920" spans="3:40">
      <c r="D1920" t="s">
        <v>3375</v>
      </c>
      <c r="E1920" t="s">
        <v>3376</v>
      </c>
      <c r="F19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0" s="13"/>
      <c r="H1920" s="13"/>
      <c r="I1920" s="12" t="str">
        <f>Table1[[#This Row],[type]]</f>
        <v>paragraph</v>
      </c>
      <c r="J1920" s="62" t="str">
        <f>Table1[[#This Row],[Column42]]&amp;IF(Table1[[#This Row],[Column13]]="","",Table1[[#This Row],[Column13]])&amp;IF(Table1[[#This Row],[mod]]="","",Table1[[#This Row],[mod]])</f>
        <v>paragraph__bibliography__heading</v>
      </c>
      <c r="K19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paragraph__bibliography__heading</v>
      </c>
      <c r="L1920" t="s">
        <v>0</v>
      </c>
      <c r="M1920" t="s">
        <v>3383</v>
      </c>
      <c r="O1920" t="s">
        <v>100</v>
      </c>
      <c r="Q19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0" s="29"/>
      <c r="AC1920" s="25"/>
      <c r="AD1920" s="41"/>
      <c r="AE1920" s="41"/>
      <c r="AF1920" s="11" t="s">
        <v>1138</v>
      </c>
      <c r="AH1920" s="7" t="str">
        <f>Table1[[#This Row],[html_tag]]&amp;Table1[[#This Row],[html_type]]&amp;Table1[[#This Row],[html_modifier]]</f>
        <v/>
      </c>
      <c r="AL1920" s="23" t="str">
        <f>IFERROR(_xlfn.XLOOKUP(Table1[[#This Row],[word]],Table57[English style name],Table57[Style type]),"")</f>
        <v/>
      </c>
      <c r="AM1920" s="21"/>
      <c r="AN1920" s="11"/>
    </row>
    <row r="1921" spans="3:40">
      <c r="D1921" t="s">
        <v>3348</v>
      </c>
      <c r="F19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1" s="13"/>
      <c r="H1921" s="13"/>
      <c r="I1921" s="12" t="str">
        <f>Table1[[#This Row],[type]]</f>
        <v>paragraph</v>
      </c>
      <c r="J1921" s="62" t="str">
        <f>Table1[[#This Row],[Column42]]&amp;IF(Table1[[#This Row],[Column13]]="","",Table1[[#This Row],[Column13]])&amp;IF(Table1[[#This Row],[mod]]="","",Table1[[#This Row],[mod]])</f>
        <v>paragraph__biography</v>
      </c>
      <c r="K19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paragraph__biography</v>
      </c>
      <c r="L1921" t="s">
        <v>0</v>
      </c>
      <c r="M1921" t="s">
        <v>3406</v>
      </c>
      <c r="Q19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1" s="29"/>
      <c r="AC1921" s="25"/>
      <c r="AD1921" s="41"/>
      <c r="AE1921" s="41"/>
      <c r="AF1921" s="11"/>
      <c r="AH1921" s="7" t="str">
        <f>Table1[[#This Row],[html_tag]]&amp;Table1[[#This Row],[html_type]]&amp;Table1[[#This Row],[html_modifier]]</f>
        <v/>
      </c>
      <c r="AL1921" s="23" t="str">
        <f>IFERROR(_xlfn.XLOOKUP(Table1[[#This Row],[word]],Table57[English style name],Table57[Style type]),"")</f>
        <v/>
      </c>
      <c r="AM1921" s="21"/>
      <c r="AN1921" s="11"/>
    </row>
    <row r="1922" spans="3:40">
      <c r="D1922" t="s">
        <v>3348</v>
      </c>
      <c r="F19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2" s="13"/>
      <c r="H1922" s="13"/>
      <c r="I1922" s="12" t="str">
        <f>Table1[[#This Row],[type]]</f>
        <v>paragraph</v>
      </c>
      <c r="J1922" s="62" t="str">
        <f>Table1[[#This Row],[Column42]]&amp;IF(Table1[[#This Row],[Column13]]="","",Table1[[#This Row],[Column13]])&amp;IF(Table1[[#This Row],[mod]]="","",Table1[[#This Row],[mod]])</f>
        <v>paragraph__biography</v>
      </c>
      <c r="K19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paragraph__biography</v>
      </c>
      <c r="L1922" t="s">
        <v>0</v>
      </c>
      <c r="M1922" t="s">
        <v>3406</v>
      </c>
      <c r="Q19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2" s="29"/>
      <c r="AC1922" s="25"/>
      <c r="AD1922" s="41"/>
      <c r="AE1922" s="41"/>
      <c r="AF1922" s="11"/>
      <c r="AH1922" s="7" t="str">
        <f>Table1[[#This Row],[html_tag]]&amp;Table1[[#This Row],[html_type]]&amp;Table1[[#This Row],[html_modifier]]</f>
        <v/>
      </c>
      <c r="AL1922" s="23" t="str">
        <f>IFERROR(_xlfn.XLOOKUP(Table1[[#This Row],[word]],Table57[English style name],Table57[Style type]),"")</f>
        <v/>
      </c>
      <c r="AM1922" s="21"/>
      <c r="AN1922" s="11"/>
    </row>
    <row r="1923" spans="3:40">
      <c r="D1923" t="s">
        <v>804</v>
      </c>
      <c r="E1923" s="76"/>
      <c r="F19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3" s="13"/>
      <c r="H1923" s="13"/>
      <c r="I1923" s="12" t="str">
        <f>Table1[[#This Row],[type]]</f>
        <v>paragraph</v>
      </c>
      <c r="J1923" s="62" t="str">
        <f>Table1[[#This Row],[Column42]]&amp;IF(Table1[[#This Row],[Column13]]="","",Table1[[#This Row],[Column13]])&amp;IF(Table1[[#This Row],[mod]]="","",Table1[[#This Row],[mod]])</f>
        <v>paragraph__body</v>
      </c>
      <c r="K19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3" t="s">
        <v>0</v>
      </c>
      <c r="O1923" t="s">
        <v>337</v>
      </c>
      <c r="Q19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3" s="29"/>
      <c r="AC1923" s="25"/>
      <c r="AD1923" s="41"/>
      <c r="AE1923" s="41"/>
      <c r="AF1923" s="11" t="s">
        <v>239</v>
      </c>
      <c r="AH1923" s="7" t="str">
        <f>Table1[[#This Row],[html_tag]]&amp;Table1[[#This Row],[html_type]]&amp;Table1[[#This Row],[html_modifier]]</f>
        <v/>
      </c>
      <c r="AL1923" s="23" t="str">
        <f>IFERROR(_xlfn.XLOOKUP(Table1[[#This Row],[word]],Table57[English style name],Table57[Style type]),"")</f>
        <v/>
      </c>
      <c r="AM1923" s="21"/>
      <c r="AN1923" s="11"/>
    </row>
    <row r="1924" spans="3:40">
      <c r="C1924">
        <v>1</v>
      </c>
      <c r="D1924" t="s">
        <v>804</v>
      </c>
      <c r="F19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4" s="13"/>
      <c r="H1924" s="13"/>
      <c r="I1924" s="12" t="str">
        <f>Table1[[#This Row],[type]]</f>
        <v>paragraph</v>
      </c>
      <c r="J1924" s="62" t="str">
        <f>Table1[[#This Row],[Column42]]&amp;IF(Table1[[#This Row],[Column13]]="","",Table1[[#This Row],[Column13]])&amp;IF(Table1[[#This Row],[mod]]="","",Table1[[#This Row],[mod]])</f>
        <v>paragraph__body</v>
      </c>
      <c r="K19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4" t="s">
        <v>0</v>
      </c>
      <c r="M1924" t="s">
        <v>337</v>
      </c>
      <c r="P1924" t="s">
        <v>743</v>
      </c>
      <c r="Q19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4" s="29"/>
      <c r="AC1924" s="25"/>
      <c r="AD1924" s="41"/>
      <c r="AE1924" s="41"/>
      <c r="AF1924" s="11" t="s">
        <v>239</v>
      </c>
      <c r="AG1924" t="s">
        <v>3247</v>
      </c>
      <c r="AH1924" s="1" t="str">
        <f>Table1[[#This Row],[html_tag]]&amp;Table1[[#This Row],[html_type]]&amp;Table1[[#This Row],[html_modifier]]</f>
        <v/>
      </c>
      <c r="AL1924" s="22" t="str">
        <f>IFERROR(_xlfn.XLOOKUP(Table1[[#This Row],[word]],Table57[English style name],Table57[Style type]),"")</f>
        <v>Paragraph</v>
      </c>
      <c r="AM1924" s="20" t="s">
        <v>743</v>
      </c>
      <c r="AN1924" s="11"/>
    </row>
    <row r="1925" spans="3:40">
      <c r="D1925" t="s">
        <v>804</v>
      </c>
      <c r="F19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5" s="13"/>
      <c r="H1925" s="13"/>
      <c r="I1925" s="12" t="str">
        <f>Table1[[#This Row],[type]]</f>
        <v>paragraph</v>
      </c>
      <c r="J1925" s="62" t="str">
        <f>Table1[[#This Row],[Column42]]&amp;IF(Table1[[#This Row],[Column13]]="","",Table1[[#This Row],[Column13]])&amp;IF(Table1[[#This Row],[mod]]="","",Table1[[#This Row],[mod]])</f>
        <v>paragraph__body</v>
      </c>
      <c r="K19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5" t="s">
        <v>0</v>
      </c>
      <c r="M1925" t="s">
        <v>337</v>
      </c>
      <c r="Q19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5" s="29"/>
      <c r="AC1925" s="25"/>
      <c r="AD1925" s="41"/>
      <c r="AE1925" s="41"/>
      <c r="AF1925" s="11" t="s">
        <v>239</v>
      </c>
      <c r="AH1925" s="7" t="str">
        <f>Table1[[#This Row],[html_tag]]&amp;Table1[[#This Row],[html_type]]&amp;Table1[[#This Row],[html_modifier]]</f>
        <v/>
      </c>
      <c r="AL1925" s="23" t="str">
        <f>IFERROR(_xlfn.XLOOKUP(Table1[[#This Row],[word]],Table57[English style name],Table57[Style type]),"")</f>
        <v/>
      </c>
      <c r="AM1925" s="21"/>
      <c r="AN1925" s="11"/>
    </row>
    <row r="1926" spans="3:40">
      <c r="D1926" t="s">
        <v>804</v>
      </c>
      <c r="F19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6" s="13"/>
      <c r="H1926" s="13"/>
      <c r="I1926" s="12" t="str">
        <f>Table1[[#This Row],[type]]</f>
        <v>paragraph</v>
      </c>
      <c r="J1926" s="62" t="str">
        <f>Table1[[#This Row],[Column42]]&amp;IF(Table1[[#This Row],[Column13]]="","",Table1[[#This Row],[Column13]])&amp;IF(Table1[[#This Row],[mod]]="","",Table1[[#This Row],[mod]])</f>
        <v>paragraph__body</v>
      </c>
      <c r="K19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6" t="s">
        <v>0</v>
      </c>
      <c r="O1926" t="s">
        <v>337</v>
      </c>
      <c r="P1926" t="s">
        <v>3308</v>
      </c>
      <c r="Q19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6" s="29"/>
      <c r="AC1926" s="25"/>
      <c r="AD1926" s="41"/>
      <c r="AE1926" s="41"/>
      <c r="AF1926" s="11" t="s">
        <v>239</v>
      </c>
      <c r="AH1926" s="7" t="str">
        <f>Table1[[#This Row],[html_tag]]&amp;Table1[[#This Row],[html_type]]&amp;Table1[[#This Row],[html_modifier]]</f>
        <v/>
      </c>
      <c r="AL1926" s="23" t="str">
        <f>IFERROR(_xlfn.XLOOKUP(Table1[[#This Row],[word]],Table57[English style name],Table57[Style type]),"")</f>
        <v/>
      </c>
      <c r="AM1926" s="21"/>
      <c r="AN1926" s="11"/>
    </row>
    <row r="1927" spans="3:40">
      <c r="C1927">
        <v>1</v>
      </c>
      <c r="D1927" t="s">
        <v>804</v>
      </c>
      <c r="F19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7" s="13"/>
      <c r="H1927" s="13"/>
      <c r="I1927" s="12" t="str">
        <f>Table1[[#This Row],[type]]</f>
        <v>paragraph</v>
      </c>
      <c r="J1927" s="62" t="str">
        <f>Table1[[#This Row],[Column42]]&amp;IF(Table1[[#This Row],[Column13]]="","",Table1[[#This Row],[Column13]])&amp;IF(Table1[[#This Row],[mod]]="","",Table1[[#This Row],[mod]])</f>
        <v>paragraph__body</v>
      </c>
      <c r="K19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7" t="s">
        <v>0</v>
      </c>
      <c r="M1927" t="s">
        <v>337</v>
      </c>
      <c r="P1927" t="s">
        <v>857</v>
      </c>
      <c r="Q19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7" s="29"/>
      <c r="AC1927" s="25"/>
      <c r="AD1927" s="41"/>
      <c r="AE1927" s="41"/>
      <c r="AF1927" s="11" t="s">
        <v>239</v>
      </c>
      <c r="AG1927" t="s">
        <v>3244</v>
      </c>
      <c r="AH1927" s="1" t="str">
        <f>Table1[[#This Row],[html_tag]]&amp;Table1[[#This Row],[html_type]]&amp;Table1[[#This Row],[html_modifier]]</f>
        <v/>
      </c>
      <c r="AL1927" s="22" t="str">
        <f>IFERROR(_xlfn.XLOOKUP(Table1[[#This Row],[word]],Table57[English style name],Table57[Style type]),"")</f>
        <v>Paragraph</v>
      </c>
      <c r="AM1927" s="20" t="s">
        <v>857</v>
      </c>
      <c r="AN1927" s="11"/>
    </row>
    <row r="1928" spans="3:40">
      <c r="C1928">
        <v>1</v>
      </c>
      <c r="D1928" t="s">
        <v>804</v>
      </c>
      <c r="F19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8" s="13"/>
      <c r="H1928" s="13"/>
      <c r="I1928" s="12" t="str">
        <f>Table1[[#This Row],[type]]</f>
        <v>paragraph</v>
      </c>
      <c r="J1928" s="62" t="str">
        <f>Table1[[#This Row],[Column42]]&amp;IF(Table1[[#This Row],[Column13]]="","",Table1[[#This Row],[Column13]])&amp;IF(Table1[[#This Row],[mod]]="","",Table1[[#This Row],[mod]])</f>
        <v>paragraph__body</v>
      </c>
      <c r="K19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8" t="s">
        <v>0</v>
      </c>
      <c r="M1928" t="s">
        <v>337</v>
      </c>
      <c r="P1928" t="s">
        <v>687</v>
      </c>
      <c r="Q19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8" s="29"/>
      <c r="AC1928" s="25"/>
      <c r="AD1928" s="41"/>
      <c r="AE1928" s="41"/>
      <c r="AF1928" s="11" t="s">
        <v>239</v>
      </c>
      <c r="AH1928" s="1" t="str">
        <f>Table1[[#This Row],[html_tag]]&amp;Table1[[#This Row],[html_type]]&amp;Table1[[#This Row],[html_modifier]]</f>
        <v/>
      </c>
      <c r="AL1928" s="22" t="str">
        <f>IFERROR(_xlfn.XLOOKUP(Table1[[#This Row],[word]],Table57[English style name],Table57[Style type]),"")</f>
        <v>Paragraph</v>
      </c>
      <c r="AM1928" s="20" t="s">
        <v>687</v>
      </c>
      <c r="AN1928" s="11"/>
    </row>
    <row r="1929" spans="3:40">
      <c r="C1929">
        <v>1</v>
      </c>
      <c r="D1929" t="s">
        <v>804</v>
      </c>
      <c r="F19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9" s="13"/>
      <c r="H1929" s="13"/>
      <c r="I1929" s="12" t="str">
        <f>Table1[[#This Row],[type]]</f>
        <v>paragraph</v>
      </c>
      <c r="J1929" s="62" t="str">
        <f>Table1[[#This Row],[Column42]]&amp;IF(Table1[[#This Row],[Column13]]="","",Table1[[#This Row],[Column13]])&amp;IF(Table1[[#This Row],[mod]]="","",Table1[[#This Row],[mod]])</f>
        <v>paragraph__body</v>
      </c>
      <c r="K19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9" t="s">
        <v>0</v>
      </c>
      <c r="M1929" t="s">
        <v>337</v>
      </c>
      <c r="P1929" t="s">
        <v>849</v>
      </c>
      <c r="Q19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9" s="29"/>
      <c r="AC1929" s="25"/>
      <c r="AD1929" s="41"/>
      <c r="AE1929" s="41"/>
      <c r="AF1929" s="11" t="s">
        <v>239</v>
      </c>
      <c r="AG1929" t="s">
        <v>3243</v>
      </c>
      <c r="AH1929" s="1" t="str">
        <f>Table1[[#This Row],[html_tag]]&amp;Table1[[#This Row],[html_type]]&amp;Table1[[#This Row],[html_modifier]]</f>
        <v/>
      </c>
      <c r="AL1929" s="22" t="str">
        <f>IFERROR(_xlfn.XLOOKUP(Table1[[#This Row],[word]],Table57[English style name],Table57[Style type]),"")</f>
        <v>Paragraph</v>
      </c>
      <c r="AM1929" s="20" t="s">
        <v>849</v>
      </c>
      <c r="AN1929" s="11"/>
    </row>
    <row r="1930" spans="3:40">
      <c r="D1930" t="s">
        <v>804</v>
      </c>
      <c r="F19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0" s="13"/>
      <c r="H1930" s="13"/>
      <c r="I1930" s="12" t="str">
        <f>Table1[[#This Row],[type]]</f>
        <v>paragraph</v>
      </c>
      <c r="J1930" s="62" t="str">
        <f>Table1[[#This Row],[Column42]]&amp;IF(Table1[[#This Row],[Column13]]="","",Table1[[#This Row],[Column13]])&amp;IF(Table1[[#This Row],[mod]]="","",Table1[[#This Row],[mod]])</f>
        <v>paragraph__body</v>
      </c>
      <c r="K19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30" t="s">
        <v>0</v>
      </c>
      <c r="M1930" t="s">
        <v>337</v>
      </c>
      <c r="Q19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0" s="29"/>
      <c r="AC1930" s="25"/>
      <c r="AD1930" s="41"/>
      <c r="AE1930" s="41"/>
      <c r="AF1930" s="11" t="s">
        <v>239</v>
      </c>
      <c r="AH1930" s="7" t="str">
        <f>Table1[[#This Row],[html_tag]]&amp;Table1[[#This Row],[html_type]]&amp;Table1[[#This Row],[html_modifier]]</f>
        <v/>
      </c>
      <c r="AL1930" s="23" t="str">
        <f>IFERROR(_xlfn.XLOOKUP(Table1[[#This Row],[word]],Table57[English style name],Table57[Style type]),"")</f>
        <v/>
      </c>
      <c r="AM1930" s="21"/>
      <c r="AN1930" s="11"/>
    </row>
    <row r="1931" spans="3:40">
      <c r="D1931" t="s">
        <v>804</v>
      </c>
      <c r="F19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1" s="13"/>
      <c r="H1931" s="13"/>
      <c r="I1931" s="12" t="str">
        <f>Table1[[#This Row],[type]]</f>
        <v>paragraph</v>
      </c>
      <c r="J1931" s="62" t="str">
        <f>Table1[[#This Row],[Column42]]&amp;IF(Table1[[#This Row],[Column13]]="","",Table1[[#This Row],[Column13]])&amp;IF(Table1[[#This Row],[mod]]="","",Table1[[#This Row],[mod]])</f>
        <v>paragraph__body</v>
      </c>
      <c r="K19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31" t="s">
        <v>0</v>
      </c>
      <c r="M1931" t="s">
        <v>337</v>
      </c>
      <c r="Q19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1" s="29"/>
      <c r="AC1931" s="25"/>
      <c r="AD1931" s="41"/>
      <c r="AE1931" s="41"/>
      <c r="AF1931" s="11" t="s">
        <v>239</v>
      </c>
      <c r="AH1931" s="7" t="str">
        <f>Table1[[#This Row],[html_tag]]&amp;Table1[[#This Row],[html_type]]&amp;Table1[[#This Row],[html_modifier]]</f>
        <v/>
      </c>
      <c r="AL1931" s="23" t="str">
        <f>IFERROR(_xlfn.XLOOKUP(Table1[[#This Row],[word]],Table57[English style name],Table57[Style type]),"")</f>
        <v/>
      </c>
      <c r="AM1931" s="21"/>
      <c r="AN1931" s="11"/>
    </row>
    <row r="1932" spans="3:40">
      <c r="C1932">
        <v>1</v>
      </c>
      <c r="D1932" t="s">
        <v>804</v>
      </c>
      <c r="F19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2" s="13"/>
      <c r="H1932" s="13"/>
      <c r="I1932" s="12" t="str">
        <f>Table1[[#This Row],[type]]</f>
        <v>paragraph</v>
      </c>
      <c r="J1932" s="62" t="str">
        <f>Table1[[#This Row],[Column42]]&amp;IF(Table1[[#This Row],[Column13]]="","",Table1[[#This Row],[Column13]])&amp;IF(Table1[[#This Row],[mod]]="","",Table1[[#This Row],[mod]])</f>
        <v>paragraph__body__first--1</v>
      </c>
      <c r="K19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paragraph__body__first</v>
      </c>
      <c r="L1932" t="s">
        <v>0</v>
      </c>
      <c r="M1932" t="s">
        <v>337</v>
      </c>
      <c r="O1932" t="s">
        <v>339</v>
      </c>
      <c r="Q19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1932">
        <v>1</v>
      </c>
      <c r="U19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2" s="29"/>
      <c r="AC1932" s="25"/>
      <c r="AD1932" s="41"/>
      <c r="AE1932" s="41"/>
      <c r="AF1932" s="11" t="s">
        <v>239</v>
      </c>
      <c r="AG1932" t="s">
        <v>3249</v>
      </c>
      <c r="AH1932" s="1" t="str">
        <f>Table1[[#This Row],[html_tag]]&amp;Table1[[#This Row],[html_type]]&amp;Table1[[#This Row],[html_modifier]]</f>
        <v/>
      </c>
      <c r="AL1932" s="22" t="str">
        <f>IFERROR(_xlfn.XLOOKUP(Table1[[#This Row],[word]],Table57[English style name],Table57[Style type]),"")</f>
        <v>Paragraph</v>
      </c>
      <c r="AM1932" s="20" t="s">
        <v>826</v>
      </c>
      <c r="AN1932" s="11"/>
    </row>
    <row r="1933" spans="3:40">
      <c r="C1933">
        <v>1</v>
      </c>
      <c r="D1933" t="s">
        <v>804</v>
      </c>
      <c r="F19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3" s="13"/>
      <c r="H1933" s="13"/>
      <c r="I1933" s="12" t="str">
        <f>Table1[[#This Row],[type]]</f>
        <v>paragraph</v>
      </c>
      <c r="J1933" s="62" t="str">
        <f>Table1[[#This Row],[Column42]]&amp;IF(Table1[[#This Row],[Column13]]="","",Table1[[#This Row],[Column13]])&amp;IF(Table1[[#This Row],[mod]]="","",Table1[[#This Row],[mod]])</f>
        <v>paragraph__body__first--2</v>
      </c>
      <c r="K19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paragraph__body__first</v>
      </c>
      <c r="L1933" t="s">
        <v>0</v>
      </c>
      <c r="M1933" t="s">
        <v>337</v>
      </c>
      <c r="O1933" t="s">
        <v>339</v>
      </c>
      <c r="Q19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1933">
        <v>2</v>
      </c>
      <c r="U19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3" s="29"/>
      <c r="AC1933" s="25"/>
      <c r="AD1933" s="41"/>
      <c r="AE1933" s="41"/>
      <c r="AF1933" s="11" t="s">
        <v>239</v>
      </c>
      <c r="AG1933" t="s">
        <v>3249</v>
      </c>
      <c r="AH1933" s="1" t="str">
        <f>Table1[[#This Row],[html_tag]]&amp;Table1[[#This Row],[html_type]]&amp;Table1[[#This Row],[html_modifier]]</f>
        <v/>
      </c>
      <c r="AL1933" s="22" t="str">
        <f>IFERROR(_xlfn.XLOOKUP(Table1[[#This Row],[word]],Table57[English style name],Table57[Style type]),"")</f>
        <v>Paragraph</v>
      </c>
      <c r="AM1933" s="20" t="s">
        <v>828</v>
      </c>
      <c r="AN1933" s="11"/>
    </row>
    <row r="1934" spans="3:40">
      <c r="D1934" t="s">
        <v>804</v>
      </c>
      <c r="F19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4" s="13"/>
      <c r="H1934" s="13"/>
      <c r="I1934" s="12" t="str">
        <f>Table1[[#This Row],[type]]</f>
        <v>paragraph</v>
      </c>
      <c r="J1934" s="62" t="str">
        <f>Table1[[#This Row],[Column42]]&amp;IF(Table1[[#This Row],[Column13]]="","",Table1[[#This Row],[Column13]])&amp;IF(Table1[[#This Row],[mod]]="","",Table1[[#This Row],[mod]])</f>
        <v>paragraph__body__narrow</v>
      </c>
      <c r="K19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paragraph__body__narrow</v>
      </c>
      <c r="L1934" t="s">
        <v>0</v>
      </c>
      <c r="M1934" t="s">
        <v>337</v>
      </c>
      <c r="O1934" t="s">
        <v>3351</v>
      </c>
      <c r="Q19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4" s="29"/>
      <c r="AC1934" s="25"/>
      <c r="AD1934" s="41"/>
      <c r="AE1934" s="41"/>
      <c r="AF1934" s="11" t="s">
        <v>239</v>
      </c>
      <c r="AH1934" s="7" t="str">
        <f>Table1[[#This Row],[html_tag]]&amp;Table1[[#This Row],[html_type]]&amp;Table1[[#This Row],[html_modifier]]</f>
        <v/>
      </c>
      <c r="AL1934" s="23" t="str">
        <f>IFERROR(_xlfn.XLOOKUP(Table1[[#This Row],[word]],Table57[English style name],Table57[Style type]),"")</f>
        <v/>
      </c>
      <c r="AM1934" s="21"/>
      <c r="AN1934" s="11"/>
    </row>
    <row r="1935" spans="3:40">
      <c r="D1935" t="s">
        <v>804</v>
      </c>
      <c r="F19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5" s="13"/>
      <c r="H1935" s="13"/>
      <c r="I1935" s="12" t="str">
        <f>Table1[[#This Row],[type]]</f>
        <v>paragraph</v>
      </c>
      <c r="J1935" s="62" t="str">
        <f>Table1[[#This Row],[Column42]]&amp;IF(Table1[[#This Row],[Column13]]="","",Table1[[#This Row],[Column13]])&amp;IF(Table1[[#This Row],[mod]]="","",Table1[[#This Row],[mod]])</f>
        <v>paragraph__body__none</v>
      </c>
      <c r="K19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paragraph__body__none</v>
      </c>
      <c r="L1935" t="s">
        <v>0</v>
      </c>
      <c r="M1935" t="s">
        <v>337</v>
      </c>
      <c r="O1935" t="s">
        <v>3209</v>
      </c>
      <c r="Q19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5" s="29"/>
      <c r="AC1935" s="25"/>
      <c r="AD1935" s="41"/>
      <c r="AE1935" s="41"/>
      <c r="AF1935" s="11" t="s">
        <v>239</v>
      </c>
      <c r="AH1935" s="7" t="str">
        <f>Table1[[#This Row],[html_tag]]&amp;Table1[[#This Row],[html_type]]&amp;Table1[[#This Row],[html_modifier]]</f>
        <v/>
      </c>
      <c r="AL1935" s="23" t="str">
        <f>IFERROR(_xlfn.XLOOKUP(Table1[[#This Row],[word]],Table57[English style name],Table57[Style type]),"")</f>
        <v/>
      </c>
      <c r="AM1935" s="21"/>
      <c r="AN1935" s="11"/>
    </row>
    <row r="1936" spans="3:40">
      <c r="C1936">
        <v>1</v>
      </c>
      <c r="D1936" t="s">
        <v>804</v>
      </c>
      <c r="F19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6" s="13"/>
      <c r="H1936" s="13"/>
      <c r="I1936" s="12" t="str">
        <f>Table1[[#This Row],[type]]</f>
        <v>paragraph</v>
      </c>
      <c r="J1936" s="62" t="str">
        <f>Table1[[#This Row],[Column42]]&amp;IF(Table1[[#This Row],[Column13]]="","",Table1[[#This Row],[Column13]])&amp;IF(Table1[[#This Row],[mod]]="","",Table1[[#This Row],[mod]])</f>
        <v>paragraph__body__text</v>
      </c>
      <c r="K19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paragraph__body__text</v>
      </c>
      <c r="L1936" t="s">
        <v>0</v>
      </c>
      <c r="M1936" t="s">
        <v>337</v>
      </c>
      <c r="O1936" t="s">
        <v>403</v>
      </c>
      <c r="Q19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6" s="29"/>
      <c r="AC1936" s="25"/>
      <c r="AD1936" s="41"/>
      <c r="AE1936" s="41"/>
      <c r="AF1936" s="11" t="s">
        <v>239</v>
      </c>
      <c r="AH1936" s="1" t="str">
        <f>Table1[[#This Row],[html_tag]]&amp;Table1[[#This Row],[html_type]]&amp;Table1[[#This Row],[html_modifier]]</f>
        <v/>
      </c>
      <c r="AL1936" s="22" t="str">
        <f>IFERROR(_xlfn.XLOOKUP(Table1[[#This Row],[word]],Table57[English style name],Table57[Style type]),"")</f>
        <v>Paragraph</v>
      </c>
      <c r="AM1936" s="20" t="s">
        <v>844</v>
      </c>
      <c r="AN1936" s="11"/>
    </row>
    <row r="1937" spans="3:43">
      <c r="C1937">
        <v>1</v>
      </c>
      <c r="D1937" t="s">
        <v>804</v>
      </c>
      <c r="F19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7" s="13"/>
      <c r="H1937" s="13"/>
      <c r="I1937" s="12" t="str">
        <f>Table1[[#This Row],[type]]</f>
        <v>paragraph</v>
      </c>
      <c r="J1937" s="62" t="str">
        <f>Table1[[#This Row],[Column42]]&amp;IF(Table1[[#This Row],[Column13]]="","",Table1[[#This Row],[Column13]])&amp;IF(Table1[[#This Row],[mod]]="","",Table1[[#This Row],[mod]])</f>
        <v>paragraph__body__text</v>
      </c>
      <c r="K19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paragraph__body__text</v>
      </c>
      <c r="L1937" t="s">
        <v>0</v>
      </c>
      <c r="M1937" t="s">
        <v>337</v>
      </c>
      <c r="O1937" t="s">
        <v>403</v>
      </c>
      <c r="Q19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7" s="29"/>
      <c r="AC1937" s="25"/>
      <c r="AD1937" s="41"/>
      <c r="AE1937" s="41"/>
      <c r="AF1937" s="11" t="s">
        <v>239</v>
      </c>
      <c r="AG1937" t="s">
        <v>3245</v>
      </c>
      <c r="AH1937" s="1" t="str">
        <f>Table1[[#This Row],[html_tag]]&amp;Table1[[#This Row],[html_type]]&amp;Table1[[#This Row],[html_modifier]]</f>
        <v/>
      </c>
      <c r="AL1937" s="22" t="str">
        <f>IFERROR(_xlfn.XLOOKUP(Table1[[#This Row],[word]],Table57[English style name],Table57[Style type]),"")</f>
        <v>Paragraph</v>
      </c>
      <c r="AM1937" s="20" t="s">
        <v>840</v>
      </c>
      <c r="AN1937" s="11"/>
    </row>
    <row r="1938" spans="3:43">
      <c r="D1938" t="s">
        <v>804</v>
      </c>
      <c r="F19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8" s="13"/>
      <c r="H1938" s="13"/>
      <c r="I1938" s="12" t="str">
        <f>Table1[[#This Row],[type]]</f>
        <v>paragraph</v>
      </c>
      <c r="J1938" s="62" t="str">
        <f>Table1[[#This Row],[Column42]]&amp;IF(Table1[[#This Row],[Column13]]="","",Table1[[#This Row],[Column13]])&amp;IF(Table1[[#This Row],[mod]]="","",Table1[[#This Row],[mod]])</f>
        <v>paragraph__body__wide</v>
      </c>
      <c r="K19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paragraph__body__wide</v>
      </c>
      <c r="L1938" t="s">
        <v>0</v>
      </c>
      <c r="M1938" t="s">
        <v>337</v>
      </c>
      <c r="O1938" t="s">
        <v>3352</v>
      </c>
      <c r="Q19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8" s="29"/>
      <c r="AC1938" s="25"/>
      <c r="AD1938" s="41"/>
      <c r="AE1938" s="41"/>
      <c r="AF1938" s="11" t="s">
        <v>239</v>
      </c>
      <c r="AH1938" s="7" t="str">
        <f>Table1[[#This Row],[html_tag]]&amp;Table1[[#This Row],[html_type]]&amp;Table1[[#This Row],[html_modifier]]</f>
        <v/>
      </c>
      <c r="AL1938" s="23" t="str">
        <f>IFERROR(_xlfn.XLOOKUP(Table1[[#This Row],[word]],Table57[English style name],Table57[Style type]),"")</f>
        <v/>
      </c>
      <c r="AM1938" s="21"/>
      <c r="AN1938" s="11"/>
    </row>
    <row r="1939" spans="3:43">
      <c r="C1939">
        <v>1</v>
      </c>
      <c r="D1939" t="s">
        <v>804</v>
      </c>
      <c r="E1939" s="76"/>
      <c r="F19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9" s="13"/>
      <c r="H1939" s="13"/>
      <c r="I1939" s="12" t="str">
        <f>Table1[[#This Row],[type]]</f>
        <v>paragraph</v>
      </c>
      <c r="J1939" s="62" t="str">
        <f>Table1[[#This Row],[Column42]]&amp;IF(Table1[[#This Row],[Column13]]="","",Table1[[#This Row],[Column13]])&amp;IF(Table1[[#This Row],[mod]]="","",Table1[[#This Row],[mod]])</f>
        <v>paragraph__body--1</v>
      </c>
      <c r="K19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39" t="s">
        <v>0</v>
      </c>
      <c r="M1939" t="s">
        <v>337</v>
      </c>
      <c r="Q19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1939">
        <v>1</v>
      </c>
      <c r="U19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9" s="29"/>
      <c r="AC1939" s="25"/>
      <c r="AD1939" s="41"/>
      <c r="AE1939" s="41"/>
      <c r="AF1939" s="11" t="s">
        <v>239</v>
      </c>
      <c r="AH1939" s="1" t="str">
        <f>Table1[[#This Row],[html_tag]]&amp;Table1[[#This Row],[html_type]]&amp;Table1[[#This Row],[html_modifier]]</f>
        <v/>
      </c>
      <c r="AL1939" s="22" t="str">
        <f>IFERROR(_xlfn.XLOOKUP(Table1[[#This Row],[word]],Table57[English style name],Table57[Style type]),"")</f>
        <v>Paragraph</v>
      </c>
      <c r="AM1939" s="20" t="s">
        <v>804</v>
      </c>
      <c r="AN1939" s="11"/>
    </row>
    <row r="1940" spans="3:43">
      <c r="C1940">
        <v>1</v>
      </c>
      <c r="D1940" t="s">
        <v>804</v>
      </c>
      <c r="F19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0" s="13"/>
      <c r="H1940" s="13"/>
      <c r="I1940" s="12" t="str">
        <f>Table1[[#This Row],[type]]</f>
        <v>paragraph</v>
      </c>
      <c r="J1940" s="62" t="str">
        <f>Table1[[#This Row],[Column42]]&amp;IF(Table1[[#This Row],[Column13]]="","",Table1[[#This Row],[Column13]])&amp;IF(Table1[[#This Row],[mod]]="","",Table1[[#This Row],[mod]])</f>
        <v>paragraph__body--1</v>
      </c>
      <c r="K19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0" t="s">
        <v>0</v>
      </c>
      <c r="M1940" t="s">
        <v>337</v>
      </c>
      <c r="Q19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1940">
        <v>1</v>
      </c>
      <c r="U19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0" s="29"/>
      <c r="AC1940" s="25"/>
      <c r="AD1940" s="41"/>
      <c r="AE1940" s="41"/>
      <c r="AF1940" s="11" t="s">
        <v>239</v>
      </c>
      <c r="AG1940" t="s">
        <v>3248</v>
      </c>
      <c r="AH1940" s="1" t="str">
        <f>Table1[[#This Row],[html_tag]]&amp;Table1[[#This Row],[html_type]]&amp;Table1[[#This Row],[html_modifier]]</f>
        <v/>
      </c>
      <c r="AL1940" s="22" t="str">
        <f>IFERROR(_xlfn.XLOOKUP(Table1[[#This Row],[word]],Table57[English style name],Table57[Style type]),"")</f>
        <v>Paragraph</v>
      </c>
      <c r="AM1940" s="20" t="s">
        <v>806</v>
      </c>
      <c r="AN1940" s="11"/>
    </row>
    <row r="1941" spans="3:43">
      <c r="C1941">
        <v>1</v>
      </c>
      <c r="D1941" t="s">
        <v>804</v>
      </c>
      <c r="E1941" s="76"/>
      <c r="F19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1" s="13"/>
      <c r="H1941" s="13"/>
      <c r="I1941" s="12" t="str">
        <f>Table1[[#This Row],[type]]</f>
        <v>paragraph</v>
      </c>
      <c r="J1941" s="62" t="str">
        <f>Table1[[#This Row],[Column42]]&amp;IF(Table1[[#This Row],[Column13]]="","",Table1[[#This Row],[Column13]])&amp;IF(Table1[[#This Row],[mod]]="","",Table1[[#This Row],[mod]])</f>
        <v>paragraph__body--2</v>
      </c>
      <c r="K19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1" t="s">
        <v>0</v>
      </c>
      <c r="M1941" t="s">
        <v>337</v>
      </c>
      <c r="Q19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1941">
        <v>2</v>
      </c>
      <c r="U19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1" s="29"/>
      <c r="AC1941" s="25"/>
      <c r="AD1941" s="41"/>
      <c r="AE1941" s="41"/>
      <c r="AF1941" s="11" t="s">
        <v>239</v>
      </c>
      <c r="AG1941" t="s">
        <v>3246</v>
      </c>
      <c r="AH1941" s="1" t="str">
        <f>Table1[[#This Row],[html_tag]]&amp;Table1[[#This Row],[html_type]]&amp;Table1[[#This Row],[html_modifier]]</f>
        <v/>
      </c>
      <c r="AL1941" s="22" t="str">
        <f>IFERROR(_xlfn.XLOOKUP(Table1[[#This Row],[word]],Table57[English style name],Table57[Style type]),"")</f>
        <v>Paragraph</v>
      </c>
      <c r="AM1941" s="20" t="s">
        <v>832</v>
      </c>
      <c r="AN1941" s="11"/>
    </row>
    <row r="1942" spans="3:43">
      <c r="C1942">
        <v>1</v>
      </c>
      <c r="D1942" t="s">
        <v>804</v>
      </c>
      <c r="F19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2" s="13"/>
      <c r="H1942" s="13"/>
      <c r="I1942" s="12" t="str">
        <f>Table1[[#This Row],[type]]</f>
        <v>paragraph</v>
      </c>
      <c r="J1942" s="62" t="str">
        <f>Table1[[#This Row],[Column42]]&amp;IF(Table1[[#This Row],[Column13]]="","",Table1[[#This Row],[Column13]])&amp;IF(Table1[[#This Row],[mod]]="","",Table1[[#This Row],[mod]])</f>
        <v>paragraph__body--2</v>
      </c>
      <c r="K19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2" t="s">
        <v>0</v>
      </c>
      <c r="M1942" t="s">
        <v>337</v>
      </c>
      <c r="Q19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1942">
        <v>2</v>
      </c>
      <c r="U19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2" s="29"/>
      <c r="AC1942" s="25"/>
      <c r="AD1942" s="41"/>
      <c r="AE1942" s="41"/>
      <c r="AF1942" s="11" t="s">
        <v>239</v>
      </c>
      <c r="AG1942" t="s">
        <v>3248</v>
      </c>
      <c r="AH1942" s="1" t="str">
        <f>Table1[[#This Row],[html_tag]]&amp;Table1[[#This Row],[html_type]]&amp;Table1[[#This Row],[html_modifier]]</f>
        <v/>
      </c>
      <c r="AL1942" s="22" t="str">
        <f>IFERROR(_xlfn.XLOOKUP(Table1[[#This Row],[word]],Table57[English style name],Table57[Style type]),"")</f>
        <v>Paragraph</v>
      </c>
      <c r="AM1942" s="20" t="s">
        <v>836</v>
      </c>
      <c r="AN1942" s="11"/>
    </row>
    <row r="1943" spans="3:43">
      <c r="C1943">
        <v>1</v>
      </c>
      <c r="D1943" t="s">
        <v>804</v>
      </c>
      <c r="E1943" s="76"/>
      <c r="F19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3" s="13"/>
      <c r="H1943" s="13"/>
      <c r="I1943" s="12" t="str">
        <f>Table1[[#This Row],[type]]</f>
        <v>paragraph</v>
      </c>
      <c r="J1943" s="62" t="str">
        <f>Table1[[#This Row],[Column42]]&amp;IF(Table1[[#This Row],[Column13]]="","",Table1[[#This Row],[Column13]])&amp;IF(Table1[[#This Row],[mod]]="","",Table1[[#This Row],[mod]])</f>
        <v>paragraph__body--3</v>
      </c>
      <c r="K19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3" t="s">
        <v>0</v>
      </c>
      <c r="M1943" t="s">
        <v>337</v>
      </c>
      <c r="Q19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R1943">
        <v>3</v>
      </c>
      <c r="U19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3" s="29"/>
      <c r="AC1943" s="25"/>
      <c r="AD1943" s="41"/>
      <c r="AE1943" s="41"/>
      <c r="AF1943" s="11" t="s">
        <v>239</v>
      </c>
      <c r="AG1943" t="s">
        <v>3246</v>
      </c>
      <c r="AH1943" s="1" t="str">
        <f>Table1[[#This Row],[html_tag]]&amp;Table1[[#This Row],[html_type]]&amp;Table1[[#This Row],[html_modifier]]</f>
        <v/>
      </c>
      <c r="AL1943" s="22" t="str">
        <f>IFERROR(_xlfn.XLOOKUP(Table1[[#This Row],[word]],Table57[English style name],Table57[Style type]),"")</f>
        <v>Paragraph</v>
      </c>
      <c r="AM1943" s="20" t="s">
        <v>834</v>
      </c>
      <c r="AN1943" s="11"/>
    </row>
    <row r="1944" spans="3:43">
      <c r="C1944">
        <v>1</v>
      </c>
      <c r="D1944" t="s">
        <v>804</v>
      </c>
      <c r="F19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4" s="13"/>
      <c r="H1944" s="13"/>
      <c r="I1944" s="12" t="str">
        <f>Table1[[#This Row],[type]]</f>
        <v>paragraph</v>
      </c>
      <c r="J1944" s="62" t="str">
        <f>Table1[[#This Row],[Column42]]&amp;IF(Table1[[#This Row],[Column13]]="","",Table1[[#This Row],[Column13]])&amp;IF(Table1[[#This Row],[mod]]="","",Table1[[#This Row],[mod]])</f>
        <v>paragraph__body--3</v>
      </c>
      <c r="K19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4" t="s">
        <v>0</v>
      </c>
      <c r="M1944" t="s">
        <v>337</v>
      </c>
      <c r="Q19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R1944">
        <v>3</v>
      </c>
      <c r="U19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4" s="29"/>
      <c r="AC1944" s="25"/>
      <c r="AD1944" s="41"/>
      <c r="AE1944" s="41"/>
      <c r="AF1944" s="11" t="s">
        <v>239</v>
      </c>
      <c r="AG1944" t="s">
        <v>3248</v>
      </c>
      <c r="AH1944" s="1" t="str">
        <f>Table1[[#This Row],[html_tag]]&amp;Table1[[#This Row],[html_type]]&amp;Table1[[#This Row],[html_modifier]]</f>
        <v/>
      </c>
      <c r="AL1944" s="22" t="str">
        <f>IFERROR(_xlfn.XLOOKUP(Table1[[#This Row],[word]],Table57[English style name],Table57[Style type]),"")</f>
        <v>Paragraph</v>
      </c>
      <c r="AM1944" s="20" t="s">
        <v>838</v>
      </c>
      <c r="AN1944" s="11"/>
    </row>
    <row r="1945" spans="3:43">
      <c r="E1945" s="76"/>
      <c r="F19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45" s="13" t="s">
        <v>2992</v>
      </c>
      <c r="H1945" s="13" t="s">
        <v>1</v>
      </c>
      <c r="I1945" s="12" t="str">
        <f>Table1[[#This Row],[type]]</f>
        <v>paragraph</v>
      </c>
      <c r="J1945" s="62" t="str">
        <f>Table1[[#This Row],[Column42]]&amp;IF(Table1[[#This Row],[Column13]]="","",Table1[[#This Row],[Column13]])&amp;IF(Table1[[#This Row],[mod]]="","",Table1[[#This Row],[mod]])</f>
        <v>paragraph__body--base</v>
      </c>
      <c r="K19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5" t="s">
        <v>0</v>
      </c>
      <c r="M1945" t="s">
        <v>337</v>
      </c>
      <c r="Q19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945" t="s">
        <v>338</v>
      </c>
      <c r="AB1945" s="29"/>
      <c r="AC1945" s="25"/>
      <c r="AD1945" s="41"/>
      <c r="AE1945" s="41"/>
      <c r="AF1945" s="11" t="s">
        <v>239</v>
      </c>
      <c r="AH1945" s="1" t="str">
        <f>Table1[[#This Row],[html_tag]]&amp;Table1[[#This Row],[html_type]]&amp;Table1[[#This Row],[html_modifier]]</f>
        <v>&lt;p&gt;</v>
      </c>
      <c r="AI1945" t="s">
        <v>239</v>
      </c>
      <c r="AL1945" s="22" t="str">
        <f>IFERROR(_xlfn.XLOOKUP(Table1[[#This Row],[word]],Table57[English style name],Table57[Style type]),"")</f>
        <v/>
      </c>
      <c r="AM1945" s="20"/>
      <c r="AN1945" s="11" t="s">
        <v>34</v>
      </c>
      <c r="AO1945" t="s">
        <v>35</v>
      </c>
      <c r="AP1945" t="s">
        <v>36</v>
      </c>
      <c r="AQ1945" s="14" t="s">
        <v>14</v>
      </c>
    </row>
    <row r="1946" spans="3:43">
      <c r="E1946" s="76"/>
      <c r="F19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46" s="13" t="s">
        <v>2992</v>
      </c>
      <c r="H1946" s="13" t="s">
        <v>1</v>
      </c>
      <c r="I1946" s="12" t="str">
        <f>Table1[[#This Row],[type]]</f>
        <v>paragraph</v>
      </c>
      <c r="J1946" s="62" t="str">
        <f>Table1[[#This Row],[Column42]]&amp;IF(Table1[[#This Row],[Column13]]="","",Table1[[#This Row],[Column13]])&amp;IF(Table1[[#This Row],[mod]]="","",Table1[[#This Row],[mod]])</f>
        <v>paragraph__body--first</v>
      </c>
      <c r="K19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6" t="s">
        <v>0</v>
      </c>
      <c r="M1946" t="s">
        <v>337</v>
      </c>
      <c r="Q19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R1946" t="s">
        <v>339</v>
      </c>
      <c r="U19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6" s="29"/>
      <c r="AC1946" s="25"/>
      <c r="AD1946" s="41"/>
      <c r="AE1946" s="41"/>
      <c r="AF1946" s="11" t="s">
        <v>239</v>
      </c>
      <c r="AH1946" s="1" t="str">
        <f>Table1[[#This Row],[html_tag]]&amp;Table1[[#This Row],[html_type]]&amp;Table1[[#This Row],[html_modifier]]</f>
        <v/>
      </c>
      <c r="AL1946" s="22" t="str">
        <f>IFERROR(_xlfn.XLOOKUP(Table1[[#This Row],[word]],Table57[English style name],Table57[Style type]),"")</f>
        <v/>
      </c>
      <c r="AM1946" s="20"/>
      <c r="AN1946" s="11" t="s">
        <v>34</v>
      </c>
      <c r="AO1946" t="s">
        <v>37</v>
      </c>
      <c r="AP1946" t="s">
        <v>38</v>
      </c>
      <c r="AQ1946" t="s">
        <v>7</v>
      </c>
    </row>
    <row r="1947" spans="3:43">
      <c r="E1947" s="76"/>
      <c r="F19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47" s="13" t="s">
        <v>2992</v>
      </c>
      <c r="H1947" s="13" t="s">
        <v>1</v>
      </c>
      <c r="I1947" s="12" t="str">
        <f>Table1[[#This Row],[type]]</f>
        <v>paragraph</v>
      </c>
      <c r="J1947" s="62" t="str">
        <f>Table1[[#This Row],[Column42]]&amp;IF(Table1[[#This Row],[Column13]]="","",Table1[[#This Row],[Column13]])&amp;IF(Table1[[#This Row],[mod]]="","",Table1[[#This Row],[mod]])</f>
        <v>paragraph__body--indented</v>
      </c>
      <c r="K19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7" t="s">
        <v>0</v>
      </c>
      <c r="M1947" t="s">
        <v>337</v>
      </c>
      <c r="Q19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--indented</v>
      </c>
      <c r="R1947" t="s">
        <v>340</v>
      </c>
      <c r="U19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7" s="29"/>
      <c r="AC1947" s="25"/>
      <c r="AD1947" s="41"/>
      <c r="AE1947" s="41"/>
      <c r="AF1947" s="11" t="s">
        <v>239</v>
      </c>
      <c r="AH1947" s="1" t="str">
        <f>Table1[[#This Row],[html_tag]]&amp;Table1[[#This Row],[html_type]]&amp;Table1[[#This Row],[html_modifier]]</f>
        <v/>
      </c>
      <c r="AL1947" s="22" t="str">
        <f>IFERROR(_xlfn.XLOOKUP(Table1[[#This Row],[word]],Table57[English style name],Table57[Style type]),"")</f>
        <v/>
      </c>
      <c r="AM1947" s="20"/>
      <c r="AN1947" s="11" t="s">
        <v>34</v>
      </c>
      <c r="AO1947" t="s">
        <v>39</v>
      </c>
      <c r="AP1947" t="s">
        <v>40</v>
      </c>
      <c r="AQ1947" t="s">
        <v>34</v>
      </c>
    </row>
    <row r="1948" spans="3:43">
      <c r="D1948" t="s">
        <v>804</v>
      </c>
      <c r="E1948" s="76"/>
      <c r="F19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8" s="13"/>
      <c r="H1948" s="13"/>
      <c r="I1948" s="12" t="str">
        <f>Table1[[#This Row],[type]]</f>
        <v>paragraph</v>
      </c>
      <c r="J1948" s="62" t="str">
        <f>Table1[[#This Row],[Column42]]&amp;IF(Table1[[#This Row],[Column13]]="","",Table1[[#This Row],[Column13]])&amp;IF(Table1[[#This Row],[mod]]="","",Table1[[#This Row],[mod]])</f>
        <v>paragraph__body--lg</v>
      </c>
      <c r="K19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8" t="s">
        <v>0</v>
      </c>
      <c r="M1948" t="s">
        <v>337</v>
      </c>
      <c r="Q19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948" t="s">
        <v>3114</v>
      </c>
      <c r="AB1948" s="29"/>
      <c r="AC1948" s="25"/>
      <c r="AD1948" s="41"/>
      <c r="AE1948" s="41"/>
      <c r="AF1948" s="11" t="s">
        <v>239</v>
      </c>
      <c r="AH1948" s="7" t="str">
        <f>Table1[[#This Row],[html_tag]]&amp;Table1[[#This Row],[html_type]]&amp;Table1[[#This Row],[html_modifier]]</f>
        <v/>
      </c>
      <c r="AL1948" s="23" t="str">
        <f>IFERROR(_xlfn.XLOOKUP(Table1[[#This Row],[word]],Table57[English style name],Table57[Style type]),"")</f>
        <v/>
      </c>
      <c r="AM1948" s="21"/>
      <c r="AN1948" s="11"/>
    </row>
    <row r="1949" spans="3:43">
      <c r="D1949" t="s">
        <v>804</v>
      </c>
      <c r="E1949" s="76"/>
      <c r="F19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9" s="13"/>
      <c r="H1949" s="13"/>
      <c r="I1949" s="12" t="str">
        <f>Table1[[#This Row],[type]]</f>
        <v>paragraph</v>
      </c>
      <c r="J1949" s="62" t="str">
        <f>Table1[[#This Row],[Column42]]&amp;IF(Table1[[#This Row],[Column13]]="","",Table1[[#This Row],[Column13]])&amp;IF(Table1[[#This Row],[mod]]="","",Table1[[#This Row],[mod]])</f>
        <v>paragraph__body--md</v>
      </c>
      <c r="K19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9" t="s">
        <v>0</v>
      </c>
      <c r="M1949" t="s">
        <v>337</v>
      </c>
      <c r="Q19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949" t="s">
        <v>3115</v>
      </c>
      <c r="AB1949" s="29"/>
      <c r="AC1949" s="25"/>
      <c r="AD1949" s="41"/>
      <c r="AE1949" s="41"/>
      <c r="AF1949" s="11" t="s">
        <v>239</v>
      </c>
      <c r="AH1949" s="7" t="str">
        <f>Table1[[#This Row],[html_tag]]&amp;Table1[[#This Row],[html_type]]&amp;Table1[[#This Row],[html_modifier]]</f>
        <v/>
      </c>
      <c r="AL1949" s="23" t="str">
        <f>IFERROR(_xlfn.XLOOKUP(Table1[[#This Row],[word]],Table57[English style name],Table57[Style type]),"")</f>
        <v/>
      </c>
      <c r="AM1949" s="21"/>
      <c r="AN1949" s="11"/>
    </row>
    <row r="1950" spans="3:43">
      <c r="D1950" t="s">
        <v>804</v>
      </c>
      <c r="E1950" s="76"/>
      <c r="F19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0" s="13"/>
      <c r="H1950" s="13"/>
      <c r="I1950" s="12" t="str">
        <f>Table1[[#This Row],[type]]</f>
        <v>paragraph</v>
      </c>
      <c r="J1950" s="62" t="str">
        <f>Table1[[#This Row],[Column42]]&amp;IF(Table1[[#This Row],[Column13]]="","",Table1[[#This Row],[Column13]])&amp;IF(Table1[[#This Row],[mod]]="","",Table1[[#This Row],[mod]])</f>
        <v>paragraph__body--sans</v>
      </c>
      <c r="K19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50" t="s">
        <v>0</v>
      </c>
      <c r="M1950" t="s">
        <v>337</v>
      </c>
      <c r="Q19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--sans</v>
      </c>
      <c r="W1950" t="s">
        <v>3353</v>
      </c>
      <c r="AB1950" s="29"/>
      <c r="AC1950" s="25"/>
      <c r="AD1950" s="41"/>
      <c r="AE1950" s="41"/>
      <c r="AF1950" s="11" t="s">
        <v>239</v>
      </c>
      <c r="AH1950" s="7" t="str">
        <f>Table1[[#This Row],[html_tag]]&amp;Table1[[#This Row],[html_type]]&amp;Table1[[#This Row],[html_modifier]]</f>
        <v/>
      </c>
      <c r="AL1950" s="23" t="str">
        <f>IFERROR(_xlfn.XLOOKUP(Table1[[#This Row],[word]],Table57[English style name],Table57[Style type]),"")</f>
        <v/>
      </c>
      <c r="AM1950" s="21"/>
      <c r="AN1950" s="11"/>
    </row>
    <row r="1951" spans="3:43">
      <c r="D1951" t="s">
        <v>804</v>
      </c>
      <c r="E1951" s="76"/>
      <c r="F19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1" s="13"/>
      <c r="H1951" s="13"/>
      <c r="I1951" s="12" t="str">
        <f>Table1[[#This Row],[type]]</f>
        <v>paragraph</v>
      </c>
      <c r="J1951" s="62" t="str">
        <f>Table1[[#This Row],[Column42]]&amp;IF(Table1[[#This Row],[Column13]]="","",Table1[[#This Row],[Column13]])&amp;IF(Table1[[#This Row],[mod]]="","",Table1[[#This Row],[mod]])</f>
        <v>paragraph__body--serif</v>
      </c>
      <c r="K19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51" t="s">
        <v>0</v>
      </c>
      <c r="M1951" t="s">
        <v>337</v>
      </c>
      <c r="Q19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--serif</v>
      </c>
      <c r="W1951" t="s">
        <v>3354</v>
      </c>
      <c r="AB1951" s="29"/>
      <c r="AC1951" s="25"/>
      <c r="AD1951" s="41"/>
      <c r="AE1951" s="41"/>
      <c r="AF1951" s="11" t="s">
        <v>239</v>
      </c>
      <c r="AH1951" s="7" t="str">
        <f>Table1[[#This Row],[html_tag]]&amp;Table1[[#This Row],[html_type]]&amp;Table1[[#This Row],[html_modifier]]</f>
        <v/>
      </c>
      <c r="AL1951" s="23" t="str">
        <f>IFERROR(_xlfn.XLOOKUP(Table1[[#This Row],[word]],Table57[English style name],Table57[Style type]),"")</f>
        <v/>
      </c>
      <c r="AM1951" s="21"/>
      <c r="AN1951" s="11"/>
    </row>
    <row r="1952" spans="3:43">
      <c r="D1952" t="s">
        <v>804</v>
      </c>
      <c r="E1952" s="76"/>
      <c r="F19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2" s="13"/>
      <c r="H1952" s="13"/>
      <c r="I1952" s="12" t="str">
        <f>Table1[[#This Row],[type]]</f>
        <v>paragraph</v>
      </c>
      <c r="J1952" s="62" t="str">
        <f>Table1[[#This Row],[Column42]]&amp;IF(Table1[[#This Row],[Column13]]="","",Table1[[#This Row],[Column13]])&amp;IF(Table1[[#This Row],[mod]]="","",Table1[[#This Row],[mod]])</f>
        <v>paragraph__body--sm</v>
      </c>
      <c r="K19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52" t="s">
        <v>0</v>
      </c>
      <c r="M1952" t="s">
        <v>337</v>
      </c>
      <c r="Q19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952" t="s">
        <v>3116</v>
      </c>
      <c r="AB1952" s="29"/>
      <c r="AC1952" s="25"/>
      <c r="AD1952" s="41"/>
      <c r="AE1952" s="41"/>
      <c r="AF1952" s="11" t="s">
        <v>239</v>
      </c>
      <c r="AH1952" s="7" t="str">
        <f>Table1[[#This Row],[html_tag]]&amp;Table1[[#This Row],[html_type]]&amp;Table1[[#This Row],[html_modifier]]</f>
        <v/>
      </c>
      <c r="AL1952" s="23" t="str">
        <f>IFERROR(_xlfn.XLOOKUP(Table1[[#This Row],[word]],Table57[English style name],Table57[Style type]),"")</f>
        <v/>
      </c>
      <c r="AM1952" s="21"/>
      <c r="AN1952" s="11"/>
    </row>
    <row r="1953" spans="3:44">
      <c r="E1953" s="76"/>
      <c r="F19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53" s="13" t="s">
        <v>2992</v>
      </c>
      <c r="H1953" s="13" t="s">
        <v>1</v>
      </c>
      <c r="I1953" s="12" t="str">
        <f>Table1[[#This Row],[type]]</f>
        <v>paragraph</v>
      </c>
      <c r="J1953" s="62" t="str">
        <f>Table1[[#This Row],[Column42]]&amp;IF(Table1[[#This Row],[Column13]]="","",Table1[[#This Row],[Column13]])&amp;IF(Table1[[#This Row],[mod]]="","",Table1[[#This Row],[mod]])</f>
        <v>paragraph__body--sm</v>
      </c>
      <c r="K19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53" t="s">
        <v>0</v>
      </c>
      <c r="M1953" t="s">
        <v>337</v>
      </c>
      <c r="Q19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953" s="3" t="s">
        <v>3116</v>
      </c>
      <c r="AB1953" s="29"/>
      <c r="AC1953" s="25"/>
      <c r="AD1953" s="41"/>
      <c r="AE1953" s="41"/>
      <c r="AF1953" s="11" t="s">
        <v>239</v>
      </c>
      <c r="AH1953" s="1" t="str">
        <f>Table1[[#This Row],[html_tag]]&amp;Table1[[#This Row],[html_type]]&amp;Table1[[#This Row],[html_modifier]]</f>
        <v/>
      </c>
      <c r="AL1953" s="22" t="str">
        <f>IFERROR(_xlfn.XLOOKUP(Table1[[#This Row],[word]],Table57[English style name],Table57[Style type]),"")</f>
        <v/>
      </c>
      <c r="AM1953" s="20"/>
      <c r="AN1953" s="11" t="s">
        <v>21</v>
      </c>
      <c r="AO1953" t="s">
        <v>41</v>
      </c>
      <c r="AP1953" t="s">
        <v>42</v>
      </c>
      <c r="AQ1953" t="s">
        <v>21</v>
      </c>
    </row>
    <row r="1954" spans="3:44">
      <c r="D1954" t="s">
        <v>3377</v>
      </c>
      <c r="E1954" s="76" t="s">
        <v>317</v>
      </c>
      <c r="F19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54" s="13" t="s">
        <v>2992</v>
      </c>
      <c r="H1954" s="13" t="s">
        <v>1</v>
      </c>
      <c r="I1954" s="12" t="str">
        <f>Table1[[#This Row],[type]]</f>
        <v>paragraph</v>
      </c>
      <c r="J1954" s="62" t="str">
        <f>Table1[[#This Row],[Column42]]&amp;IF(Table1[[#This Row],[Column13]]="","",Table1[[#This Row],[Column13]])&amp;IF(Table1[[#This Row],[mod]]="","",Table1[[#This Row],[mod]])</f>
        <v>paragraph__book</v>
      </c>
      <c r="K19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paragraph__book</v>
      </c>
      <c r="L1954" t="s">
        <v>0</v>
      </c>
      <c r="M1954" t="s">
        <v>3378</v>
      </c>
      <c r="Q19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4" s="29"/>
      <c r="AC1954" s="25"/>
      <c r="AD1954" s="41"/>
      <c r="AE1954" s="41"/>
      <c r="AF1954" s="11"/>
      <c r="AH1954" s="1" t="str">
        <f>Table1[[#This Row],[html_tag]]&amp;Table1[[#This Row],[html_type]]&amp;Table1[[#This Row],[html_modifier]]</f>
        <v/>
      </c>
      <c r="AL1954" s="22" t="str">
        <f>IFERROR(_xlfn.XLOOKUP(Table1[[#This Row],[word]],Table57[English style name],Table57[Style type]),"")</f>
        <v/>
      </c>
      <c r="AM1954" s="20"/>
      <c r="AN1954" s="11"/>
    </row>
    <row r="1955" spans="3:44">
      <c r="D1955" t="s">
        <v>3377</v>
      </c>
      <c r="E1955" s="76" t="s">
        <v>317</v>
      </c>
      <c r="F19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55" s="13" t="s">
        <v>2992</v>
      </c>
      <c r="H1955" s="13" t="s">
        <v>1</v>
      </c>
      <c r="I1955" s="12" t="str">
        <f>Table1[[#This Row],[type]]</f>
        <v>paragraph</v>
      </c>
      <c r="J1955" s="62" t="str">
        <f>Table1[[#This Row],[Column42]]&amp;IF(Table1[[#This Row],[Column13]]="","",Table1[[#This Row],[Column13]])&amp;IF(Table1[[#This Row],[mod]]="","",Table1[[#This Row],[mod]])</f>
        <v>paragraph__book</v>
      </c>
      <c r="K19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paragraph__book</v>
      </c>
      <c r="L1955" t="s">
        <v>0</v>
      </c>
      <c r="M1955" t="s">
        <v>3378</v>
      </c>
      <c r="Q19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5" s="29"/>
      <c r="AC1955" s="25"/>
      <c r="AD1955" s="41"/>
      <c r="AE1955" s="41"/>
      <c r="AF1955" s="11"/>
      <c r="AH1955" s="1" t="str">
        <f>Table1[[#This Row],[html_tag]]&amp;Table1[[#This Row],[html_type]]&amp;Table1[[#This Row],[html_modifier]]</f>
        <v/>
      </c>
      <c r="AL1955" s="22" t="str">
        <f>IFERROR(_xlfn.XLOOKUP(Table1[[#This Row],[word]],Table57[English style name],Table57[Style type]),"")</f>
        <v/>
      </c>
      <c r="AM1955" s="20"/>
      <c r="AN1955" s="11"/>
    </row>
    <row r="1956" spans="3:44">
      <c r="D1956" t="s">
        <v>3377</v>
      </c>
      <c r="E1956" t="s">
        <v>317</v>
      </c>
      <c r="F19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56" s="13" t="s">
        <v>2992</v>
      </c>
      <c r="H1956" s="13" t="s">
        <v>1</v>
      </c>
      <c r="I1956" s="12" t="str">
        <f>Table1[[#This Row],[type]]</f>
        <v>paragraph</v>
      </c>
      <c r="J1956" s="62" t="str">
        <f>Table1[[#This Row],[Column42]]&amp;IF(Table1[[#This Row],[Column13]]="","",Table1[[#This Row],[Column13]])&amp;IF(Table1[[#This Row],[mod]]="","",Table1[[#This Row],[mod]])</f>
        <v>paragraph__book__title</v>
      </c>
      <c r="K19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paragraph__book__title</v>
      </c>
      <c r="L1956" t="s">
        <v>0</v>
      </c>
      <c r="M1956" t="s">
        <v>3378</v>
      </c>
      <c r="O1956" t="s">
        <v>333</v>
      </c>
      <c r="Q19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6" s="29"/>
      <c r="AC1956" s="25"/>
      <c r="AD1956" s="41"/>
      <c r="AE1956" s="41"/>
      <c r="AF1956" s="11"/>
      <c r="AH1956" s="1" t="str">
        <f>Table1[[#This Row],[html_tag]]&amp;Table1[[#This Row],[html_type]]&amp;Table1[[#This Row],[html_modifier]]</f>
        <v/>
      </c>
      <c r="AL1956" s="22" t="str">
        <f>IFERROR(_xlfn.XLOOKUP(Table1[[#This Row],[word]],Table57[English style name],Table57[Style type]),"")</f>
        <v/>
      </c>
      <c r="AM1956" s="20"/>
      <c r="AN1956" s="11"/>
    </row>
    <row r="1957" spans="3:44">
      <c r="D1957" t="s">
        <v>3362</v>
      </c>
      <c r="F19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7" s="13"/>
      <c r="H1957" s="13"/>
      <c r="I1957" s="12" t="str">
        <f>Table1[[#This Row],[type]]</f>
        <v>paragraph</v>
      </c>
      <c r="J1957" s="62" t="str">
        <f>Table1[[#This Row],[Column42]]&amp;IF(Table1[[#This Row],[Column13]]="","",Table1[[#This Row],[Column13]])&amp;IF(Table1[[#This Row],[mod]]="","",Table1[[#This Row],[mod]])</f>
        <v>paragraph__box__body</v>
      </c>
      <c r="K19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paragraph__box__body</v>
      </c>
      <c r="L1957" t="s">
        <v>0</v>
      </c>
      <c r="M1957" t="s">
        <v>3206</v>
      </c>
      <c r="O1957" t="s">
        <v>337</v>
      </c>
      <c r="Q19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7" s="29"/>
      <c r="AC1957" s="25"/>
      <c r="AD1957" s="41"/>
      <c r="AE1957" s="41"/>
      <c r="AF1957" s="11"/>
      <c r="AH1957" s="7" t="str">
        <f>Table1[[#This Row],[html_tag]]&amp;Table1[[#This Row],[html_type]]&amp;Table1[[#This Row],[html_modifier]]</f>
        <v/>
      </c>
      <c r="AL1957" s="23" t="str">
        <f>IFERROR(_xlfn.XLOOKUP(Table1[[#This Row],[word]],Table57[English style name],Table57[Style type]),"")</f>
        <v/>
      </c>
      <c r="AM1957" s="21"/>
      <c r="AN1957" s="11"/>
    </row>
    <row r="1958" spans="3:44">
      <c r="D1958" t="s">
        <v>3362</v>
      </c>
      <c r="F19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8" s="13"/>
      <c r="H1958" s="13"/>
      <c r="I1958" s="12" t="str">
        <f>Table1[[#This Row],[type]]</f>
        <v>paragraph</v>
      </c>
      <c r="J1958" s="62" t="str">
        <f>Table1[[#This Row],[Column42]]&amp;IF(Table1[[#This Row],[Column13]]="","",Table1[[#This Row],[Column13]])&amp;IF(Table1[[#This Row],[mod]]="","",Table1[[#This Row],[mod]])</f>
        <v>paragraph__box__heading</v>
      </c>
      <c r="K19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paragraph__box__heading</v>
      </c>
      <c r="L1958" t="s">
        <v>0</v>
      </c>
      <c r="M1958" t="s">
        <v>3206</v>
      </c>
      <c r="O1958" t="s">
        <v>100</v>
      </c>
      <c r="Q19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8" s="29"/>
      <c r="AC1958" s="25"/>
      <c r="AD1958" s="41"/>
      <c r="AE1958" s="41"/>
      <c r="AF1958" s="11"/>
      <c r="AH1958" s="7" t="str">
        <f>Table1[[#This Row],[html_tag]]&amp;Table1[[#This Row],[html_type]]&amp;Table1[[#This Row],[html_modifier]]</f>
        <v/>
      </c>
      <c r="AL1958" s="23" t="str">
        <f>IFERROR(_xlfn.XLOOKUP(Table1[[#This Row],[word]],Table57[English style name],Table57[Style type]),"")</f>
        <v/>
      </c>
      <c r="AM1958" s="21"/>
      <c r="AN1958" s="11"/>
    </row>
    <row r="1959" spans="3:44">
      <c r="D1959" t="s">
        <v>3362</v>
      </c>
      <c r="F19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9" s="13"/>
      <c r="H1959" s="13"/>
      <c r="I1959" s="12" t="str">
        <f>Table1[[#This Row],[type]]</f>
        <v>paragraph</v>
      </c>
      <c r="J1959" s="62" t="str">
        <f>Table1[[#This Row],[Column42]]&amp;IF(Table1[[#This Row],[Column13]]="","",Table1[[#This Row],[Column13]])&amp;IF(Table1[[#This Row],[mod]]="","",Table1[[#This Row],[mod]])</f>
        <v>paragraph__break__text</v>
      </c>
      <c r="K19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paragraph__break__text</v>
      </c>
      <c r="L1959" t="s">
        <v>0</v>
      </c>
      <c r="M1959" t="s">
        <v>3415</v>
      </c>
      <c r="O1959" t="s">
        <v>403</v>
      </c>
      <c r="Q19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9" s="29"/>
      <c r="AC1959" s="25"/>
      <c r="AD1959" s="41"/>
      <c r="AE1959" s="41"/>
      <c r="AF1959" s="11"/>
      <c r="AH1959" s="7" t="str">
        <f>Table1[[#This Row],[html_tag]]&amp;Table1[[#This Row],[html_type]]&amp;Table1[[#This Row],[html_modifier]]</f>
        <v/>
      </c>
      <c r="AL1959" s="23" t="str">
        <f>IFERROR(_xlfn.XLOOKUP(Table1[[#This Row],[word]],Table57[English style name],Table57[Style type]),"")</f>
        <v/>
      </c>
      <c r="AM1959" s="21"/>
      <c r="AN1959" s="11"/>
    </row>
    <row r="1960" spans="3:44">
      <c r="D1960" t="s">
        <v>3362</v>
      </c>
      <c r="E1960" s="76"/>
      <c r="F19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0" s="13"/>
      <c r="H1960" s="13"/>
      <c r="I1960" s="12" t="str">
        <f>Table1[[#This Row],[type]]</f>
        <v>paragraph</v>
      </c>
      <c r="J1960" s="62" t="str">
        <f>Table1[[#This Row],[Column42]]&amp;IF(Table1[[#This Row],[Column13]]="","",Table1[[#This Row],[Column13]])&amp;IF(Table1[[#This Row],[mod]]="","",Table1[[#This Row],[mod]])</f>
        <v>paragraph__bridge</v>
      </c>
      <c r="K19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paragraph__bridge</v>
      </c>
      <c r="L1960" t="s">
        <v>0</v>
      </c>
      <c r="M1960" t="s">
        <v>3438</v>
      </c>
      <c r="Q19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0" s="29"/>
      <c r="AC1960" s="25"/>
      <c r="AD1960" s="41"/>
      <c r="AE1960" s="41"/>
      <c r="AF1960" s="11"/>
      <c r="AH1960" s="7" t="str">
        <f>Table1[[#This Row],[html_tag]]&amp;Table1[[#This Row],[html_type]]&amp;Table1[[#This Row],[html_modifier]]</f>
        <v/>
      </c>
      <c r="AL1960" s="23" t="str">
        <f>IFERROR(_xlfn.XLOOKUP(Table1[[#This Row],[word]],Table57[English style name],Table57[Style type]),"")</f>
        <v/>
      </c>
      <c r="AM1960" s="21"/>
      <c r="AN1960" s="11"/>
    </row>
    <row r="1961" spans="3:44">
      <c r="D1961" t="s">
        <v>3362</v>
      </c>
      <c r="F19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1" s="13"/>
      <c r="H1961" s="13"/>
      <c r="I1961" s="12" t="str">
        <f>Table1[[#This Row],[type]]</f>
        <v>paragraph</v>
      </c>
      <c r="J1961" s="62" t="str">
        <f>Table1[[#This Row],[Column42]]&amp;IF(Table1[[#This Row],[Column13]]="","",Table1[[#This Row],[Column13]])&amp;IF(Table1[[#This Row],[mod]]="","",Table1[[#This Row],[mod]])</f>
        <v>paragraph__callout__body</v>
      </c>
      <c r="K19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paragraph__callout__body</v>
      </c>
      <c r="L1961" t="s">
        <v>0</v>
      </c>
      <c r="M1961" t="s">
        <v>3373</v>
      </c>
      <c r="O1961" t="s">
        <v>337</v>
      </c>
      <c r="Q19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1" s="29"/>
      <c r="AC1961" s="25"/>
      <c r="AD1961" s="41"/>
      <c r="AE1961" s="41"/>
      <c r="AF1961" s="11"/>
      <c r="AH1961" s="7" t="str">
        <f>Table1[[#This Row],[html_tag]]&amp;Table1[[#This Row],[html_type]]&amp;Table1[[#This Row],[html_modifier]]</f>
        <v/>
      </c>
      <c r="AL1961" s="23" t="str">
        <f>IFERROR(_xlfn.XLOOKUP(Table1[[#This Row],[word]],Table57[English style name],Table57[Style type]),"")</f>
        <v/>
      </c>
      <c r="AM1961" s="21"/>
      <c r="AN1961" s="11"/>
    </row>
    <row r="1962" spans="3:44">
      <c r="D1962" t="s">
        <v>3362</v>
      </c>
      <c r="F19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2" s="13"/>
      <c r="H1962" s="13"/>
      <c r="I1962" s="12" t="str">
        <f>Table1[[#This Row],[type]]</f>
        <v>paragraph</v>
      </c>
      <c r="J1962" s="62" t="str">
        <f>Table1[[#This Row],[Column42]]&amp;IF(Table1[[#This Row],[Column13]]="","",Table1[[#This Row],[Column13]])&amp;IF(Table1[[#This Row],[mod]]="","",Table1[[#This Row],[mod]])</f>
        <v>paragraph__callout__heading</v>
      </c>
      <c r="K19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paragraph__callout__heading</v>
      </c>
      <c r="L1962" t="s">
        <v>0</v>
      </c>
      <c r="M1962" t="s">
        <v>3373</v>
      </c>
      <c r="O1962" t="s">
        <v>100</v>
      </c>
      <c r="Q19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2" s="29"/>
      <c r="AC1962" s="25"/>
      <c r="AD1962" s="41"/>
      <c r="AE1962" s="41"/>
      <c r="AF1962" s="11"/>
      <c r="AH1962" s="7" t="str">
        <f>Table1[[#This Row],[html_tag]]&amp;Table1[[#This Row],[html_type]]&amp;Table1[[#This Row],[html_modifier]]</f>
        <v/>
      </c>
      <c r="AL1962" s="23" t="str">
        <f>IFERROR(_xlfn.XLOOKUP(Table1[[#This Row],[word]],Table57[English style name],Table57[Style type]),"")</f>
        <v/>
      </c>
      <c r="AM1962" s="21"/>
      <c r="AN1962" s="11"/>
    </row>
    <row r="1963" spans="3:44">
      <c r="C1963">
        <v>1</v>
      </c>
      <c r="D1963" t="s">
        <v>3262</v>
      </c>
      <c r="E1963" s="76"/>
      <c r="F19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body/atoms/paragraph.scss</v>
      </c>
      <c r="G1963" s="13" t="s">
        <v>337</v>
      </c>
      <c r="H1963" s="13" t="s">
        <v>2986</v>
      </c>
      <c r="I1963" s="12" t="str">
        <f>Table1[[#This Row],[type]]</f>
        <v>paragraph</v>
      </c>
      <c r="J1963" s="62" t="str">
        <f>Table1[[#This Row],[Column42]]&amp;IF(Table1[[#This Row],[Column13]]="","",Table1[[#This Row],[Column13]])&amp;IF(Table1[[#This Row],[mod]]="","",Table1[[#This Row],[mod]])</f>
        <v>paragraph__caption</v>
      </c>
      <c r="K19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paragraph__caption</v>
      </c>
      <c r="L1963" t="s">
        <v>0</v>
      </c>
      <c r="M1963" t="s">
        <v>329</v>
      </c>
      <c r="Q19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3" s="29"/>
      <c r="AC1963" s="25"/>
      <c r="AD1963" s="41"/>
      <c r="AE1963" s="41"/>
      <c r="AF1963" s="11" t="s">
        <v>141</v>
      </c>
      <c r="AG1963" t="s">
        <v>177</v>
      </c>
      <c r="AH1963" s="1" t="str">
        <f>Table1[[#This Row],[html_tag]]&amp;Table1[[#This Row],[html_type]]&amp;Table1[[#This Row],[html_modifier]]</f>
        <v>&lt;caption&gt;</v>
      </c>
      <c r="AI1963" t="s">
        <v>141</v>
      </c>
      <c r="AL1963" s="22" t="str">
        <f>IFERROR(_xlfn.XLOOKUP(Table1[[#This Row],[word]],Table57[English style name],Table57[Style type]),"")</f>
        <v>Paragraph</v>
      </c>
      <c r="AM1963" s="20" t="s">
        <v>56</v>
      </c>
      <c r="AN1963" s="11"/>
      <c r="AQ1963" s="6" t="s">
        <v>329</v>
      </c>
      <c r="AR1963" t="s">
        <v>1370</v>
      </c>
    </row>
    <row r="1964" spans="3:44">
      <c r="D1964" t="s">
        <v>3339</v>
      </c>
      <c r="F19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4" s="13"/>
      <c r="H1964" s="13"/>
      <c r="I1964" s="12" t="str">
        <f>Table1[[#This Row],[type]]</f>
        <v>paragraph</v>
      </c>
      <c r="J1964" s="62" t="str">
        <f>Table1[[#This Row],[Column42]]&amp;IF(Table1[[#This Row],[Column13]]="","",Table1[[#This Row],[Column13]])&amp;IF(Table1[[#This Row],[mod]]="","",Table1[[#This Row],[mod]])</f>
        <v>paragraph__Case citation</v>
      </c>
      <c r="K19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paragraph__Case citation</v>
      </c>
      <c r="L1964" t="s">
        <v>0</v>
      </c>
      <c r="O1964" t="s">
        <v>3332</v>
      </c>
      <c r="P1964" t="s">
        <v>3332</v>
      </c>
      <c r="Q19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4" s="29"/>
      <c r="AC1964" s="25"/>
      <c r="AD1964" s="41"/>
      <c r="AE1964" s="41"/>
      <c r="AF1964" s="11"/>
      <c r="AH1964" s="7" t="str">
        <f>Table1[[#This Row],[html_tag]]&amp;Table1[[#This Row],[html_type]]&amp;Table1[[#This Row],[html_modifier]]</f>
        <v/>
      </c>
      <c r="AL1964" s="23" t="str">
        <f>IFERROR(_xlfn.XLOOKUP(Table1[[#This Row],[word]],Table57[English style name],Table57[Style type]),"")</f>
        <v/>
      </c>
      <c r="AM1964" s="21"/>
      <c r="AN1964" s="11"/>
    </row>
    <row r="1965" spans="3:44">
      <c r="E1965" s="76"/>
      <c r="F19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5" s="13" t="s">
        <v>2992</v>
      </c>
      <c r="H1965" s="13" t="s">
        <v>1</v>
      </c>
      <c r="I1965" s="12" t="str">
        <f>Table1[[#This Row],[type]]</f>
        <v>paragraph</v>
      </c>
      <c r="J1965" s="62" t="str">
        <f>Table1[[#This Row],[Column42]]&amp;IF(Table1[[#This Row],[Column13]]="","",Table1[[#This Row],[Column13]])&amp;IF(Table1[[#This Row],[mod]]="","",Table1[[#This Row],[mod]])</f>
        <v>paragraph__center</v>
      </c>
      <c r="K19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paragraph__center</v>
      </c>
      <c r="L1965" t="s">
        <v>0</v>
      </c>
      <c r="N1965" t="s">
        <v>425</v>
      </c>
      <c r="P1965" s="6" t="s">
        <v>1496</v>
      </c>
      <c r="Q19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5" s="29"/>
      <c r="AC1965" s="25"/>
      <c r="AD1965" s="41"/>
      <c r="AE1965" s="41"/>
      <c r="AF1965" s="11"/>
      <c r="AH1965" s="1" t="str">
        <f>Table1[[#This Row],[html_tag]]&amp;Table1[[#This Row],[html_type]]&amp;Table1[[#This Row],[html_modifier]]</f>
        <v/>
      </c>
      <c r="AL1965" s="22" t="str">
        <f>IFERROR(_xlfn.XLOOKUP(Table1[[#This Row],[word]],Table57[English style name],Table57[Style type]),"")</f>
        <v/>
      </c>
      <c r="AM1965" s="20"/>
      <c r="AN1965" s="11"/>
      <c r="AQ1965" s="6" t="s">
        <v>1496</v>
      </c>
      <c r="AR1965" t="s">
        <v>1497</v>
      </c>
    </row>
    <row r="1966" spans="3:44">
      <c r="D1966" t="s">
        <v>3377</v>
      </c>
      <c r="E1966" s="76" t="s">
        <v>318</v>
      </c>
      <c r="F19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6" s="13" t="s">
        <v>2992</v>
      </c>
      <c r="H1966" s="13" t="s">
        <v>1</v>
      </c>
      <c r="I1966" s="12" t="str">
        <f>Table1[[#This Row],[type]]</f>
        <v>paragraph</v>
      </c>
      <c r="J1966" s="62" t="str">
        <f>Table1[[#This Row],[Column42]]&amp;IF(Table1[[#This Row],[Column13]]="","",Table1[[#This Row],[Column13]])&amp;IF(Table1[[#This Row],[mod]]="","",Table1[[#This Row],[mod]])</f>
        <v>paragraph__chapter</v>
      </c>
      <c r="K19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1966" t="s">
        <v>0</v>
      </c>
      <c r="M1966" t="s">
        <v>3360</v>
      </c>
      <c r="Q19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6" s="29"/>
      <c r="AC1966" s="25"/>
      <c r="AD1966" s="41"/>
      <c r="AE1966" s="41"/>
      <c r="AF1966" s="11"/>
      <c r="AH1966" s="1" t="str">
        <f>Table1[[#This Row],[html_tag]]&amp;Table1[[#This Row],[html_type]]&amp;Table1[[#This Row],[html_modifier]]</f>
        <v/>
      </c>
      <c r="AL1966" s="22" t="str">
        <f>IFERROR(_xlfn.XLOOKUP(Table1[[#This Row],[word]],Table57[English style name],Table57[Style type]),"")</f>
        <v/>
      </c>
      <c r="AM1966" s="20"/>
      <c r="AN1966" s="11"/>
    </row>
    <row r="1967" spans="3:44">
      <c r="D1967" t="s">
        <v>3362</v>
      </c>
      <c r="E1967" s="76"/>
      <c r="F19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7" s="13"/>
      <c r="H1967" s="13"/>
      <c r="I1967" s="12" t="str">
        <f>Table1[[#This Row],[type]]</f>
        <v>paragraph</v>
      </c>
      <c r="J1967" s="62" t="str">
        <f>Table1[[#This Row],[Column42]]&amp;IF(Table1[[#This Row],[Column13]]="","",Table1[[#This Row],[Column13]])&amp;IF(Table1[[#This Row],[mod]]="","",Table1[[#This Row],[mod]])</f>
        <v>paragraph__chapter</v>
      </c>
      <c r="K19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1967" t="s">
        <v>0</v>
      </c>
      <c r="M1967" t="s">
        <v>3360</v>
      </c>
      <c r="Q19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7" s="29"/>
      <c r="AC1967" s="25"/>
      <c r="AD1967" s="41"/>
      <c r="AE1967" s="41"/>
      <c r="AF1967" s="11"/>
      <c r="AH1967" s="7" t="str">
        <f>Table1[[#This Row],[html_tag]]&amp;Table1[[#This Row],[html_type]]&amp;Table1[[#This Row],[html_modifier]]</f>
        <v/>
      </c>
      <c r="AL1967" s="23" t="str">
        <f>IFERROR(_xlfn.XLOOKUP(Table1[[#This Row],[word]],Table57[English style name],Table57[Style type]),"")</f>
        <v/>
      </c>
      <c r="AM1967" s="21"/>
      <c r="AN1967" s="11"/>
    </row>
    <row r="1968" spans="3:44">
      <c r="D1968" t="s">
        <v>3362</v>
      </c>
      <c r="E1968" s="76"/>
      <c r="F19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8" s="13"/>
      <c r="H1968" s="13"/>
      <c r="I1968" s="12" t="str">
        <f>Table1[[#This Row],[type]]</f>
        <v>paragraph</v>
      </c>
      <c r="J1968" s="62" t="str">
        <f>Table1[[#This Row],[Column42]]&amp;IF(Table1[[#This Row],[Column13]]="","",Table1[[#This Row],[Column13]])&amp;IF(Table1[[#This Row],[mod]]="","",Table1[[#This Row],[mod]])</f>
        <v>paragraph__chapter</v>
      </c>
      <c r="K19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1968" t="s">
        <v>0</v>
      </c>
      <c r="M1968" t="s">
        <v>3360</v>
      </c>
      <c r="P1968" t="s">
        <v>3306</v>
      </c>
      <c r="Q19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8" s="29"/>
      <c r="AC1968" s="25"/>
      <c r="AD1968" s="41"/>
      <c r="AE1968" s="41"/>
      <c r="AF1968" s="11"/>
      <c r="AH1968" s="7" t="str">
        <f>Table1[[#This Row],[html_tag]]&amp;Table1[[#This Row],[html_type]]&amp;Table1[[#This Row],[html_modifier]]</f>
        <v/>
      </c>
      <c r="AL1968" s="23" t="str">
        <f>IFERROR(_xlfn.XLOOKUP(Table1[[#This Row],[word]],Table57[English style name],Table57[Style type]),"")</f>
        <v/>
      </c>
      <c r="AM1968" s="21"/>
      <c r="AN1968" s="11"/>
    </row>
    <row r="1969" spans="3:44">
      <c r="D1969" t="s">
        <v>3377</v>
      </c>
      <c r="E1969" s="76" t="s">
        <v>318</v>
      </c>
      <c r="F19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9" s="13" t="s">
        <v>2992</v>
      </c>
      <c r="H1969" s="13" t="s">
        <v>1</v>
      </c>
      <c r="I1969" s="12" t="str">
        <f>Table1[[#This Row],[type]]</f>
        <v>paragraph</v>
      </c>
      <c r="J1969" s="62" t="str">
        <f>Table1[[#This Row],[Column42]]&amp;IF(Table1[[#This Row],[Column13]]="","",Table1[[#This Row],[Column13]])&amp;IF(Table1[[#This Row],[mod]]="","",Table1[[#This Row],[mod]])</f>
        <v>paragraph__chapter</v>
      </c>
      <c r="K19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1969" t="s">
        <v>0</v>
      </c>
      <c r="M1969" t="s">
        <v>3360</v>
      </c>
      <c r="Q19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9" s="29"/>
      <c r="AC1969" s="25"/>
      <c r="AD1969" s="41"/>
      <c r="AE1969" s="41"/>
      <c r="AF1969" s="11"/>
      <c r="AH1969" s="1" t="str">
        <f>Table1[[#This Row],[html_tag]]&amp;Table1[[#This Row],[html_type]]&amp;Table1[[#This Row],[html_modifier]]</f>
        <v/>
      </c>
      <c r="AL1969" s="22" t="str">
        <f>IFERROR(_xlfn.XLOOKUP(Table1[[#This Row],[word]],Table57[English style name],Table57[Style type]),"")</f>
        <v/>
      </c>
      <c r="AM1969" s="20"/>
      <c r="AN1969" s="11"/>
    </row>
    <row r="1970" spans="3:44">
      <c r="D1970" t="s">
        <v>3362</v>
      </c>
      <c r="E1970" s="76"/>
      <c r="F19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0" s="13"/>
      <c r="H1970" s="13"/>
      <c r="I1970" s="12" t="str">
        <f>Table1[[#This Row],[type]]</f>
        <v>paragraph</v>
      </c>
      <c r="J1970" s="62" t="str">
        <f>Table1[[#This Row],[Column42]]&amp;IF(Table1[[#This Row],[Column13]]="","",Table1[[#This Row],[Column13]])&amp;IF(Table1[[#This Row],[mod]]="","",Table1[[#This Row],[mod]])</f>
        <v>paragraph__chapter</v>
      </c>
      <c r="K19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1970" t="s">
        <v>0</v>
      </c>
      <c r="M1970" t="s">
        <v>3360</v>
      </c>
      <c r="Q19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0" s="29"/>
      <c r="AC1970" s="25"/>
      <c r="AD1970" s="41"/>
      <c r="AE1970" s="41"/>
      <c r="AF1970" s="11" t="s">
        <v>131</v>
      </c>
      <c r="AH1970" s="7" t="str">
        <f>Table1[[#This Row],[html_tag]]&amp;Table1[[#This Row],[html_type]]&amp;Table1[[#This Row],[html_modifier]]</f>
        <v/>
      </c>
      <c r="AL1970" s="23" t="str">
        <f>IFERROR(_xlfn.XLOOKUP(Table1[[#This Row],[word]],Table57[English style name],Table57[Style type]),"")</f>
        <v/>
      </c>
      <c r="AM1970" s="21"/>
      <c r="AN1970" s="11"/>
    </row>
    <row r="1971" spans="3:44">
      <c r="D1971" t="s">
        <v>3362</v>
      </c>
      <c r="F19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1" s="13"/>
      <c r="H1971" s="13"/>
      <c r="I1971" s="12" t="str">
        <f>Table1[[#This Row],[type]]</f>
        <v>paragraph</v>
      </c>
      <c r="J1971" s="62" t="str">
        <f>Table1[[#This Row],[Column42]]&amp;IF(Table1[[#This Row],[Column13]]="","",Table1[[#This Row],[Column13]])&amp;IF(Table1[[#This Row],[mod]]="","",Table1[[#This Row],[mod]])</f>
        <v>paragraph__chapter__body</v>
      </c>
      <c r="K19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paragraph__chapter__body</v>
      </c>
      <c r="L1971" t="s">
        <v>0</v>
      </c>
      <c r="M1971" t="s">
        <v>3360</v>
      </c>
      <c r="O1971" t="s">
        <v>337</v>
      </c>
      <c r="Q19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1" s="29"/>
      <c r="AC1971" s="25"/>
      <c r="AD1971" s="41"/>
      <c r="AE1971" s="41"/>
      <c r="AF1971" s="11"/>
      <c r="AH1971" s="7" t="str">
        <f>Table1[[#This Row],[html_tag]]&amp;Table1[[#This Row],[html_type]]&amp;Table1[[#This Row],[html_modifier]]</f>
        <v/>
      </c>
      <c r="AL1971" s="23" t="str">
        <f>IFERROR(_xlfn.XLOOKUP(Table1[[#This Row],[word]],Table57[English style name],Table57[Style type]),"")</f>
        <v/>
      </c>
      <c r="AM1971" s="21"/>
      <c r="AN1971" s="11"/>
    </row>
    <row r="1972" spans="3:44">
      <c r="D1972" t="s">
        <v>3362</v>
      </c>
      <c r="F19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2" s="13"/>
      <c r="H1972" s="13"/>
      <c r="I1972" s="12" t="str">
        <f>Table1[[#This Row],[type]]</f>
        <v>paragraph</v>
      </c>
      <c r="J1972" s="62" t="str">
        <f>Table1[[#This Row],[Column42]]&amp;IF(Table1[[#This Row],[Column13]]="","",Table1[[#This Row],[Column13]])&amp;IF(Table1[[#This Row],[mod]]="","",Table1[[#This Row],[mod]])</f>
        <v>paragraph__chapter__heading</v>
      </c>
      <c r="K19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paragraph__chapter__heading</v>
      </c>
      <c r="L1972" t="s">
        <v>0</v>
      </c>
      <c r="M1972" t="s">
        <v>3360</v>
      </c>
      <c r="O1972" t="s">
        <v>100</v>
      </c>
      <c r="Q19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2" s="29"/>
      <c r="AC1972" s="25"/>
      <c r="AD1972" s="41"/>
      <c r="AE1972" s="41"/>
      <c r="AF1972" s="11"/>
      <c r="AH1972" s="7" t="str">
        <f>Table1[[#This Row],[html_tag]]&amp;Table1[[#This Row],[html_type]]&amp;Table1[[#This Row],[html_modifier]]</f>
        <v/>
      </c>
      <c r="AL1972" s="23" t="str">
        <f>IFERROR(_xlfn.XLOOKUP(Table1[[#This Row],[word]],Table57[English style name],Table57[Style type]),"")</f>
        <v/>
      </c>
      <c r="AM1972" s="21"/>
      <c r="AN1972" s="11"/>
    </row>
    <row r="1973" spans="3:44">
      <c r="D1973" t="s">
        <v>3362</v>
      </c>
      <c r="F19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3" s="13"/>
      <c r="H1973" s="13"/>
      <c r="I1973" s="12" t="str">
        <f>Table1[[#This Row],[type]]</f>
        <v>paragraph</v>
      </c>
      <c r="J1973" s="62" t="str">
        <f>Table1[[#This Row],[Column42]]&amp;IF(Table1[[#This Row],[Column13]]="","",Table1[[#This Row],[Column13]])&amp;IF(Table1[[#This Row],[mod]]="","",Table1[[#This Row],[mod]])</f>
        <v>paragraph__chapter__subtitle</v>
      </c>
      <c r="K19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paragraph__chapter__subtitle</v>
      </c>
      <c r="L1973" t="s">
        <v>0</v>
      </c>
      <c r="M1973" t="s">
        <v>3360</v>
      </c>
      <c r="O1973" t="s">
        <v>3359</v>
      </c>
      <c r="Q19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3" s="29"/>
      <c r="AC1973" s="25"/>
      <c r="AD1973" s="41"/>
      <c r="AE1973" s="41"/>
      <c r="AF1973" s="11"/>
      <c r="AH1973" s="7" t="str">
        <f>Table1[[#This Row],[html_tag]]&amp;Table1[[#This Row],[html_type]]&amp;Table1[[#This Row],[html_modifier]]</f>
        <v/>
      </c>
      <c r="AL1973" s="23" t="str">
        <f>IFERROR(_xlfn.XLOOKUP(Table1[[#This Row],[word]],Table57[English style name],Table57[Style type]),"")</f>
        <v/>
      </c>
      <c r="AM1973" s="21"/>
      <c r="AN1973" s="11"/>
    </row>
    <row r="1974" spans="3:44">
      <c r="D1974" t="s">
        <v>3362</v>
      </c>
      <c r="F19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4" s="13"/>
      <c r="H1974" s="13"/>
      <c r="I1974" s="12" t="str">
        <f>Table1[[#This Row],[type]]</f>
        <v>paragraph</v>
      </c>
      <c r="J1974" s="62" t="str">
        <f>Table1[[#This Row],[Column42]]&amp;IF(Table1[[#This Row],[Column13]]="","",Table1[[#This Row],[Column13]])&amp;IF(Table1[[#This Row],[mod]]="","",Table1[[#This Row],[mod]])</f>
        <v>paragraph__chapter__title</v>
      </c>
      <c r="K19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paragraph__chapter__title</v>
      </c>
      <c r="L1974" t="s">
        <v>0</v>
      </c>
      <c r="M1974" t="s">
        <v>3360</v>
      </c>
      <c r="O1974" t="s">
        <v>333</v>
      </c>
      <c r="Q19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4" s="29"/>
      <c r="AC1974" s="25"/>
      <c r="AD1974" s="41"/>
      <c r="AE1974" s="41"/>
      <c r="AF1974" s="11"/>
      <c r="AH1974" s="7" t="str">
        <f>Table1[[#This Row],[html_tag]]&amp;Table1[[#This Row],[html_type]]&amp;Table1[[#This Row],[html_modifier]]</f>
        <v/>
      </c>
      <c r="AL1974" s="23" t="str">
        <f>IFERROR(_xlfn.XLOOKUP(Table1[[#This Row],[word]],Table57[English style name],Table57[Style type]),"")</f>
        <v/>
      </c>
      <c r="AM1974" s="21"/>
      <c r="AN1974" s="11"/>
    </row>
    <row r="1975" spans="3:44">
      <c r="D1975" t="s">
        <v>3377</v>
      </c>
      <c r="E1975" t="s">
        <v>318</v>
      </c>
      <c r="F19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75" s="13" t="s">
        <v>2992</v>
      </c>
      <c r="H1975" s="13" t="s">
        <v>1</v>
      </c>
      <c r="I1975" s="12" t="str">
        <f>Table1[[#This Row],[type]]</f>
        <v>paragraph</v>
      </c>
      <c r="J1975" s="62" t="str">
        <f>Table1[[#This Row],[Column42]]&amp;IF(Table1[[#This Row],[Column13]]="","",Table1[[#This Row],[Column13]])&amp;IF(Table1[[#This Row],[mod]]="","",Table1[[#This Row],[mod]])</f>
        <v>paragraph__chapter__title</v>
      </c>
      <c r="K19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paragraph__chapter__title</v>
      </c>
      <c r="L1975" t="s">
        <v>0</v>
      </c>
      <c r="M1975" t="s">
        <v>3360</v>
      </c>
      <c r="O1975" t="s">
        <v>333</v>
      </c>
      <c r="Q19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5" s="29"/>
      <c r="AC1975" s="25"/>
      <c r="AD1975" s="41"/>
      <c r="AE1975" s="41"/>
      <c r="AF1975" s="11"/>
      <c r="AH1975" s="1" t="str">
        <f>Table1[[#This Row],[html_tag]]&amp;Table1[[#This Row],[html_type]]&amp;Table1[[#This Row],[html_modifier]]</f>
        <v/>
      </c>
      <c r="AL1975" s="22" t="str">
        <f>IFERROR(_xlfn.XLOOKUP(Table1[[#This Row],[word]],Table57[English style name],Table57[Style type]),"")</f>
        <v/>
      </c>
      <c r="AM1975" s="20"/>
      <c r="AN1975" s="11"/>
    </row>
    <row r="1976" spans="3:44">
      <c r="D1976" t="s">
        <v>3339</v>
      </c>
      <c r="E1976" s="76"/>
      <c r="F19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6" s="13"/>
      <c r="H1976" s="13"/>
      <c r="I1976" s="12" t="str">
        <f>Table1[[#This Row],[type]]</f>
        <v>paragraph</v>
      </c>
      <c r="J1976" s="62" t="str">
        <f>Table1[[#This Row],[Column42]]&amp;IF(Table1[[#This Row],[Column13]]="","",Table1[[#This Row],[Column13]])&amp;IF(Table1[[#This Row],[mod]]="","",Table1[[#This Row],[mod]])</f>
        <v>paragraph__citation</v>
      </c>
      <c r="K19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paragraph__citation</v>
      </c>
      <c r="L1976" t="s">
        <v>0</v>
      </c>
      <c r="M1976" t="s">
        <v>3466</v>
      </c>
      <c r="Q19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6" s="29"/>
      <c r="AC1976" s="25"/>
      <c r="AD1976" s="41"/>
      <c r="AE1976" s="41"/>
      <c r="AF1976" s="11" t="s">
        <v>144</v>
      </c>
      <c r="AH1976" s="7" t="str">
        <f>Table1[[#This Row],[html_tag]]&amp;Table1[[#This Row],[html_type]]&amp;Table1[[#This Row],[html_modifier]]</f>
        <v/>
      </c>
      <c r="AL1976" s="23" t="str">
        <f>IFERROR(_xlfn.XLOOKUP(Table1[[#This Row],[word]],Table57[English style name],Table57[Style type]),"")</f>
        <v/>
      </c>
      <c r="AM1976" s="21"/>
      <c r="AN1976" s="11"/>
    </row>
    <row r="1977" spans="3:44">
      <c r="D1977" t="s">
        <v>3349</v>
      </c>
      <c r="E1977" s="76"/>
      <c r="F19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7" s="13"/>
      <c r="H1977" s="13"/>
      <c r="I1977" s="12" t="str">
        <f>Table1[[#This Row],[type]]</f>
        <v>paragraph</v>
      </c>
      <c r="J1977" s="62" t="str">
        <f>Table1[[#This Row],[Column42]]&amp;IF(Table1[[#This Row],[Column13]]="","",Table1[[#This Row],[Column13]])&amp;IF(Table1[[#This Row],[mod]]="","",Table1[[#This Row],[mod]])</f>
        <v>paragraph__closing</v>
      </c>
      <c r="K19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paragraph__closing</v>
      </c>
      <c r="L1977" t="s">
        <v>0</v>
      </c>
      <c r="M1977" t="s">
        <v>3427</v>
      </c>
      <c r="Q19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7" s="29"/>
      <c r="AC1977" s="25"/>
      <c r="AD1977" s="41"/>
      <c r="AE1977" s="41"/>
      <c r="AF1977" s="11"/>
      <c r="AH1977" s="7" t="str">
        <f>Table1[[#This Row],[html_tag]]&amp;Table1[[#This Row],[html_type]]&amp;Table1[[#This Row],[html_modifier]]</f>
        <v/>
      </c>
      <c r="AL1977" s="23" t="str">
        <f>IFERROR(_xlfn.XLOOKUP(Table1[[#This Row],[word]],Table57[English style name],Table57[Style type]),"")</f>
        <v/>
      </c>
      <c r="AM1977" s="21"/>
      <c r="AN1977" s="11"/>
    </row>
    <row r="1978" spans="3:44">
      <c r="C1978">
        <v>1</v>
      </c>
      <c r="D1978" t="s">
        <v>3253</v>
      </c>
      <c r="E1978" s="76"/>
      <c r="F19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8" s="13"/>
      <c r="H1978" s="13"/>
      <c r="I1978" s="12" t="str">
        <f>Table1[[#This Row],[type]]</f>
        <v>paragraph</v>
      </c>
      <c r="J1978" s="62" t="str">
        <f>Table1[[#This Row],[Column42]]&amp;IF(Table1[[#This Row],[Column13]]="","",Table1[[#This Row],[Column13]])&amp;IF(Table1[[#This Row],[mod]]="","",Table1[[#This Row],[mod]])</f>
        <v>paragraph__closing</v>
      </c>
      <c r="K19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paragraph__closing</v>
      </c>
      <c r="L1978" t="s">
        <v>0</v>
      </c>
      <c r="M1978" t="s">
        <v>3427</v>
      </c>
      <c r="Q19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8" s="29"/>
      <c r="AC1978" s="25"/>
      <c r="AD1978" s="41"/>
      <c r="AE1978" s="41"/>
      <c r="AF1978" s="11" t="s">
        <v>239</v>
      </c>
      <c r="AG1978" t="s">
        <v>3255</v>
      </c>
      <c r="AH1978" s="1" t="str">
        <f>Table1[[#This Row],[html_tag]]&amp;Table1[[#This Row],[html_type]]&amp;Table1[[#This Row],[html_modifier]]</f>
        <v/>
      </c>
      <c r="AL1978" s="22" t="str">
        <f>IFERROR(_xlfn.XLOOKUP(Table1[[#This Row],[word]],Table57[English style name],Table57[Style type]),"")</f>
        <v>Paragraph</v>
      </c>
      <c r="AM1978" s="20" t="s">
        <v>800</v>
      </c>
      <c r="AN1978" s="11"/>
    </row>
    <row r="1979" spans="3:44">
      <c r="D1979" t="s">
        <v>804</v>
      </c>
      <c r="F19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9" s="13"/>
      <c r="H1979" s="13"/>
      <c r="I1979" s="12" t="str">
        <f>Table1[[#This Row],[type]]</f>
        <v>paragraph</v>
      </c>
      <c r="J1979" s="62" t="str">
        <f>Table1[[#This Row],[Column42]]&amp;IF(Table1[[#This Row],[Column13]]="","",Table1[[#This Row],[Column13]])&amp;IF(Table1[[#This Row],[mod]]="","",Table1[[#This Row],[mod]])</f>
        <v>paragraph__closing__body</v>
      </c>
      <c r="K19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paragraph__closing__body</v>
      </c>
      <c r="L1979" t="s">
        <v>0</v>
      </c>
      <c r="M1979" t="s">
        <v>3427</v>
      </c>
      <c r="O1979" t="s">
        <v>337</v>
      </c>
      <c r="Q19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9" s="29"/>
      <c r="AC1979" s="25"/>
      <c r="AD1979" s="41"/>
      <c r="AE1979" s="41"/>
      <c r="AF1979" s="11" t="s">
        <v>239</v>
      </c>
      <c r="AH1979" s="7" t="str">
        <f>Table1[[#This Row],[html_tag]]&amp;Table1[[#This Row],[html_type]]&amp;Table1[[#This Row],[html_modifier]]</f>
        <v/>
      </c>
      <c r="AL1979" s="23" t="str">
        <f>IFERROR(_xlfn.XLOOKUP(Table1[[#This Row],[word]],Table57[English style name],Table57[Style type]),"")</f>
        <v/>
      </c>
      <c r="AM1979" s="21"/>
      <c r="AN1979" s="11"/>
    </row>
    <row r="1980" spans="3:44">
      <c r="E1980" s="76"/>
      <c r="F19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80" s="13" t="s">
        <v>2992</v>
      </c>
      <c r="H1980" s="13" t="s">
        <v>1</v>
      </c>
      <c r="I1980" s="12" t="str">
        <f>Table1[[#This Row],[type]]</f>
        <v>paragraph</v>
      </c>
      <c r="J1980" s="62" t="str">
        <f>Table1[[#This Row],[Column42]]&amp;IF(Table1[[#This Row],[Column13]]="","",Table1[[#This Row],[Column13]])&amp;IF(Table1[[#This Row],[mod]]="","",Table1[[#This Row],[mod]])</f>
        <v>paragraph__code</v>
      </c>
      <c r="K19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paragraph__code</v>
      </c>
      <c r="L1980" t="s">
        <v>0</v>
      </c>
      <c r="M1980" t="s">
        <v>432</v>
      </c>
      <c r="P1980" s="6" t="s">
        <v>2282</v>
      </c>
      <c r="Q19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0" s="29"/>
      <c r="AC1980" s="25"/>
      <c r="AD1980" s="41"/>
      <c r="AE1980" s="41"/>
      <c r="AF1980" s="11"/>
      <c r="AH1980" s="1" t="str">
        <f>Table1[[#This Row],[html_tag]]&amp;Table1[[#This Row],[html_type]]&amp;Table1[[#This Row],[html_modifier]]</f>
        <v/>
      </c>
      <c r="AL1980" s="22" t="str">
        <f>IFERROR(_xlfn.XLOOKUP(Table1[[#This Row],[word]],Table57[English style name],Table57[Style type]),"")</f>
        <v/>
      </c>
      <c r="AM1980" s="20"/>
      <c r="AN1980" s="11"/>
      <c r="AQ1980" s="6" t="s">
        <v>2282</v>
      </c>
      <c r="AR1980" t="s">
        <v>2283</v>
      </c>
    </row>
    <row r="1981" spans="3:44">
      <c r="D1981" t="s">
        <v>3348</v>
      </c>
      <c r="F19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1" s="13"/>
      <c r="H1981" s="13"/>
      <c r="I1981" s="12" t="str">
        <f>Table1[[#This Row],[type]]</f>
        <v>paragraph</v>
      </c>
      <c r="J1981" s="62" t="str">
        <f>Table1[[#This Row],[Column42]]&amp;IF(Table1[[#This Row],[Column13]]="","",Table1[[#This Row],[Column13]])&amp;IF(Table1[[#This Row],[mod]]="","",Table1[[#This Row],[mod]])</f>
        <v>paragraph__colophon__body</v>
      </c>
      <c r="K19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paragraph__colophon__body</v>
      </c>
      <c r="L1981" t="s">
        <v>0</v>
      </c>
      <c r="M1981" t="s">
        <v>3371</v>
      </c>
      <c r="O1981" t="s">
        <v>337</v>
      </c>
      <c r="Q19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1" s="29"/>
      <c r="AC1981" s="25"/>
      <c r="AD1981" s="41"/>
      <c r="AE1981" s="41"/>
      <c r="AF1981" s="11"/>
      <c r="AH1981" s="7" t="str">
        <f>Table1[[#This Row],[html_tag]]&amp;Table1[[#This Row],[html_type]]&amp;Table1[[#This Row],[html_modifier]]</f>
        <v/>
      </c>
      <c r="AL1981" s="23" t="str">
        <f>IFERROR(_xlfn.XLOOKUP(Table1[[#This Row],[word]],Table57[English style name],Table57[Style type]),"")</f>
        <v/>
      </c>
      <c r="AM1981" s="21"/>
      <c r="AN1981" s="11"/>
    </row>
    <row r="1982" spans="3:44">
      <c r="D1982" t="s">
        <v>3348</v>
      </c>
      <c r="F19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2" s="13"/>
      <c r="H1982" s="13"/>
      <c r="I1982" s="12" t="str">
        <f>Table1[[#This Row],[type]]</f>
        <v>paragraph</v>
      </c>
      <c r="J1982" s="62" t="str">
        <f>Table1[[#This Row],[Column42]]&amp;IF(Table1[[#This Row],[Column13]]="","",Table1[[#This Row],[Column13]])&amp;IF(Table1[[#This Row],[mod]]="","",Table1[[#This Row],[mod]])</f>
        <v>paragraph__colophon__heading</v>
      </c>
      <c r="K19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paragraph__colophon__heading</v>
      </c>
      <c r="L1982" t="s">
        <v>0</v>
      </c>
      <c r="M1982" t="s">
        <v>3371</v>
      </c>
      <c r="O1982" t="s">
        <v>100</v>
      </c>
      <c r="Q19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2" s="29"/>
      <c r="AC1982" s="25"/>
      <c r="AD1982" s="41"/>
      <c r="AE1982" s="41"/>
      <c r="AF1982" s="11"/>
      <c r="AH1982" s="7" t="str">
        <f>Table1[[#This Row],[html_tag]]&amp;Table1[[#This Row],[html_type]]&amp;Table1[[#This Row],[html_modifier]]</f>
        <v/>
      </c>
      <c r="AL1982" s="23" t="str">
        <f>IFERROR(_xlfn.XLOOKUP(Table1[[#This Row],[word]],Table57[English style name],Table57[Style type]),"")</f>
        <v/>
      </c>
      <c r="AM1982" s="21"/>
      <c r="AN1982" s="11"/>
    </row>
    <row r="1983" spans="3:44">
      <c r="C1983">
        <v>1</v>
      </c>
      <c r="D1983" t="s">
        <v>3284</v>
      </c>
      <c r="E1983" s="76"/>
      <c r="F19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3" s="13"/>
      <c r="H1983" s="13"/>
      <c r="I1983" s="12" t="str">
        <f>Table1[[#This Row],[type]]</f>
        <v>paragraph</v>
      </c>
      <c r="J1983" s="62" t="str">
        <f>Table1[[#This Row],[Column42]]&amp;IF(Table1[[#This Row],[Column13]]="","",Table1[[#This Row],[Column13]])&amp;IF(Table1[[#This Row],[mod]]="","",Table1[[#This Row],[mod]])</f>
        <v>paragraph__comment</v>
      </c>
      <c r="K19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paragraph__comment</v>
      </c>
      <c r="L1983" t="s">
        <v>0</v>
      </c>
      <c r="M1983" t="s">
        <v>3238</v>
      </c>
      <c r="Q19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3" s="29"/>
      <c r="AC1983" s="25"/>
      <c r="AD1983" s="41"/>
      <c r="AE1983" s="41"/>
      <c r="AF1983" s="11" t="s">
        <v>1140</v>
      </c>
      <c r="AG1983" t="s">
        <v>3285</v>
      </c>
      <c r="AH1983" s="1" t="str">
        <f>Table1[[#This Row],[html_tag]]&amp;Table1[[#This Row],[html_type]]&amp;Table1[[#This Row],[html_modifier]]</f>
        <v/>
      </c>
      <c r="AL1983" s="22" t="str">
        <f>IFERROR(_xlfn.XLOOKUP(Table1[[#This Row],[word]],Table57[English style name],Table57[Style type]),"")</f>
        <v>Paragraph</v>
      </c>
      <c r="AM1983" s="20" t="s">
        <v>854</v>
      </c>
      <c r="AN1983" s="11"/>
    </row>
    <row r="1984" spans="3:44">
      <c r="C1984">
        <v>1</v>
      </c>
      <c r="D1984" t="s">
        <v>3284</v>
      </c>
      <c r="F19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4" s="13"/>
      <c r="H1984" s="13"/>
      <c r="I1984" s="12" t="str">
        <f>Table1[[#This Row],[type]]</f>
        <v>paragraph</v>
      </c>
      <c r="J1984" s="62" t="str">
        <f>Table1[[#This Row],[Column42]]&amp;IF(Table1[[#This Row],[Column13]]="","",Table1[[#This Row],[Column13]])&amp;IF(Table1[[#This Row],[mod]]="","",Table1[[#This Row],[mod]])</f>
        <v>paragraph__comment__text</v>
      </c>
      <c r="K19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paragraph__comment__text</v>
      </c>
      <c r="L1984" t="s">
        <v>0</v>
      </c>
      <c r="M1984" t="s">
        <v>3238</v>
      </c>
      <c r="O1984" t="s">
        <v>403</v>
      </c>
      <c r="Q19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4" s="29"/>
      <c r="AC1984" s="25"/>
      <c r="AD1984" s="41"/>
      <c r="AE1984" s="41"/>
      <c r="AF1984" s="11" t="s">
        <v>239</v>
      </c>
      <c r="AG1984" t="s">
        <v>3286</v>
      </c>
      <c r="AH1984" s="1" t="str">
        <f>Table1[[#This Row],[html_tag]]&amp;Table1[[#This Row],[html_type]]&amp;Table1[[#This Row],[html_modifier]]</f>
        <v/>
      </c>
      <c r="AL1984" s="22" t="str">
        <f>IFERROR(_xlfn.XLOOKUP(Table1[[#This Row],[word]],Table57[English style name],Table57[Style type]),"")</f>
        <v>Paragraph</v>
      </c>
      <c r="AM1984" s="20" t="s">
        <v>747</v>
      </c>
      <c r="AN1984" s="11"/>
    </row>
    <row r="1985" spans="3:44">
      <c r="D1985" t="s">
        <v>804</v>
      </c>
      <c r="F19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5" s="13"/>
      <c r="H1985" s="13"/>
      <c r="I1985" s="12" t="str">
        <f>Table1[[#This Row],[type]]</f>
        <v>paragraph</v>
      </c>
      <c r="J1985" s="62" t="str">
        <f>Table1[[#This Row],[Column42]]&amp;IF(Table1[[#This Row],[Column13]]="","",Table1[[#This Row],[Column13]])&amp;IF(Table1[[#This Row],[mod]]="","",Table1[[#This Row],[mod]])</f>
        <v>paragraph__concluding__body</v>
      </c>
      <c r="K19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paragraph__concluding__body</v>
      </c>
      <c r="L1985" t="s">
        <v>0</v>
      </c>
      <c r="M1985" t="s">
        <v>3428</v>
      </c>
      <c r="O1985" t="s">
        <v>337</v>
      </c>
      <c r="Q19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5" s="29"/>
      <c r="AC1985" s="25"/>
      <c r="AD1985" s="41"/>
      <c r="AE1985" s="41"/>
      <c r="AF1985" s="11" t="s">
        <v>239</v>
      </c>
      <c r="AH1985" s="7" t="str">
        <f>Table1[[#This Row],[html_tag]]&amp;Table1[[#This Row],[html_type]]&amp;Table1[[#This Row],[html_modifier]]</f>
        <v/>
      </c>
      <c r="AL1985" s="23" t="str">
        <f>IFERROR(_xlfn.XLOOKUP(Table1[[#This Row],[word]],Table57[English style name],Table57[Style type]),"")</f>
        <v/>
      </c>
      <c r="AM1985" s="21"/>
      <c r="AN1985" s="11"/>
    </row>
    <row r="1986" spans="3:44">
      <c r="D1986" t="s">
        <v>3349</v>
      </c>
      <c r="E1986" s="76"/>
      <c r="F19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6" s="13"/>
      <c r="H1986" s="13"/>
      <c r="I1986" s="12" t="str">
        <f>Table1[[#This Row],[type]]</f>
        <v>paragraph</v>
      </c>
      <c r="J1986" s="62" t="str">
        <f>Table1[[#This Row],[Column42]]&amp;IF(Table1[[#This Row],[Column13]]="","",Table1[[#This Row],[Column13]])&amp;IF(Table1[[#This Row],[mod]]="","",Table1[[#This Row],[mod]])</f>
        <v>paragraph__contact_information</v>
      </c>
      <c r="K19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paragraph__contact_information</v>
      </c>
      <c r="L1986" t="s">
        <v>0</v>
      </c>
      <c r="M1986" t="s">
        <v>3442</v>
      </c>
      <c r="Q19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6" s="29"/>
      <c r="AC1986" s="25"/>
      <c r="AD1986" s="41"/>
      <c r="AE1986" s="41"/>
      <c r="AF1986" s="11" t="s">
        <v>109</v>
      </c>
      <c r="AH1986" s="7" t="str">
        <f>Table1[[#This Row],[html_tag]]&amp;Table1[[#This Row],[html_type]]&amp;Table1[[#This Row],[html_modifier]]</f>
        <v/>
      </c>
      <c r="AL1986" s="23" t="str">
        <f>IFERROR(_xlfn.XLOOKUP(Table1[[#This Row],[word]],Table57[English style name],Table57[Style type]),"")</f>
        <v/>
      </c>
      <c r="AM1986" s="21"/>
      <c r="AN1986" s="11"/>
    </row>
    <row r="1987" spans="3:44">
      <c r="D1987" t="s">
        <v>804</v>
      </c>
      <c r="F19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7" s="13"/>
      <c r="H1987" s="13"/>
      <c r="I1987" s="12" t="str">
        <f>Table1[[#This Row],[type]]</f>
        <v>paragraph</v>
      </c>
      <c r="J1987" s="62" t="str">
        <f>Table1[[#This Row],[Column42]]&amp;IF(Table1[[#This Row],[Column13]]="","",Table1[[#This Row],[Column13]])&amp;IF(Table1[[#This Row],[mod]]="","",Table1[[#This Row],[mod]])</f>
        <v>paragraph__continuation__body</v>
      </c>
      <c r="K19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paragraph__continuation__body</v>
      </c>
      <c r="L1987" t="s">
        <v>0</v>
      </c>
      <c r="M1987" t="s">
        <v>3429</v>
      </c>
      <c r="O1987" t="s">
        <v>337</v>
      </c>
      <c r="Q19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7" s="29"/>
      <c r="AC1987" s="25"/>
      <c r="AD1987" s="41"/>
      <c r="AE1987" s="41"/>
      <c r="AF1987" s="11" t="s">
        <v>239</v>
      </c>
      <c r="AH1987" s="7" t="str">
        <f>Table1[[#This Row],[html_tag]]&amp;Table1[[#This Row],[html_type]]&amp;Table1[[#This Row],[html_modifier]]</f>
        <v/>
      </c>
      <c r="AL1987" s="23" t="str">
        <f>IFERROR(_xlfn.XLOOKUP(Table1[[#This Row],[word]],Table57[English style name],Table57[Style type]),"")</f>
        <v/>
      </c>
      <c r="AM1987" s="21"/>
      <c r="AN1987" s="11"/>
    </row>
    <row r="1988" spans="3:44">
      <c r="D1988" t="s">
        <v>3299</v>
      </c>
      <c r="F19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8" s="13"/>
      <c r="H1988" s="13"/>
      <c r="I1988" s="12" t="str">
        <f>Table1[[#This Row],[type]]</f>
        <v>paragraph</v>
      </c>
      <c r="J1988" s="62" t="str">
        <f>Table1[[#This Row],[Column42]]&amp;IF(Table1[[#This Row],[Column13]]="","",Table1[[#This Row],[Column13]])&amp;IF(Table1[[#This Row],[mod]]="","",Table1[[#This Row],[mod]])</f>
        <v>paragraph__Copyright notice</v>
      </c>
      <c r="K19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paragraph__Copyright notice</v>
      </c>
      <c r="L1988" t="s">
        <v>0</v>
      </c>
      <c r="O1988" t="s">
        <v>3293</v>
      </c>
      <c r="P1988" t="s">
        <v>3293</v>
      </c>
      <c r="Q19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8" s="29"/>
      <c r="AC1988" s="25"/>
      <c r="AD1988" s="41"/>
      <c r="AE1988" s="41"/>
      <c r="AF1988" s="11"/>
      <c r="AH1988" s="7" t="str">
        <f>Table1[[#This Row],[html_tag]]&amp;Table1[[#This Row],[html_type]]&amp;Table1[[#This Row],[html_modifier]]</f>
        <v/>
      </c>
      <c r="AL1988" s="23" t="str">
        <f>IFERROR(_xlfn.XLOOKUP(Table1[[#This Row],[word]],Table57[English style name],Table57[Style type]),"")</f>
        <v/>
      </c>
      <c r="AM1988" s="21"/>
      <c r="AN1988" s="11"/>
    </row>
    <row r="1989" spans="3:44">
      <c r="D1989" t="s">
        <v>3349</v>
      </c>
      <c r="E1989" s="76"/>
      <c r="F19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89" s="13" t="s">
        <v>2992</v>
      </c>
      <c r="H1989" s="13" t="s">
        <v>1</v>
      </c>
      <c r="I1989" s="12" t="str">
        <f>Table1[[#This Row],[type]]</f>
        <v>paragraph</v>
      </c>
      <c r="J1989" s="62" t="str">
        <f>Table1[[#This Row],[Column42]]&amp;IF(Table1[[#This Row],[Column13]]="","",Table1[[#This Row],[Column13]])&amp;IF(Table1[[#This Row],[mod]]="","",Table1[[#This Row],[mod]])</f>
        <v>paragraph__cover_back</v>
      </c>
      <c r="K19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paragraph__cover_back</v>
      </c>
      <c r="L1989" t="s">
        <v>0</v>
      </c>
      <c r="M1989" t="s">
        <v>3396</v>
      </c>
      <c r="Q19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9" s="29"/>
      <c r="AC1989" s="25"/>
      <c r="AD1989" s="41"/>
      <c r="AE1989" s="41"/>
      <c r="AF1989" s="11"/>
      <c r="AH1989" s="7" t="str">
        <f>Table1[[#This Row],[html_tag]]&amp;Table1[[#This Row],[html_type]]&amp;Table1[[#This Row],[html_modifier]]</f>
        <v/>
      </c>
      <c r="AL1989" s="23" t="str">
        <f>IFERROR(_xlfn.XLOOKUP(Table1[[#This Row],[word]],Table57[English style name],Table57[Style type]),"")</f>
        <v/>
      </c>
      <c r="AM1989" s="21"/>
      <c r="AN1989" s="11"/>
    </row>
    <row r="1990" spans="3:44">
      <c r="D1990" t="s">
        <v>3349</v>
      </c>
      <c r="E1990" s="76"/>
      <c r="F19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0" s="13"/>
      <c r="H1990" s="13"/>
      <c r="I1990" s="12" t="str">
        <f>Table1[[#This Row],[type]]</f>
        <v>paragraph</v>
      </c>
      <c r="J1990" s="62" t="str">
        <f>Table1[[#This Row],[Column42]]&amp;IF(Table1[[#This Row],[Column13]]="","",Table1[[#This Row],[Column13]])&amp;IF(Table1[[#This Row],[mod]]="","",Table1[[#This Row],[mod]])</f>
        <v>paragraph__cover_back</v>
      </c>
      <c r="K19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paragraph__cover_back</v>
      </c>
      <c r="L1990" t="s">
        <v>0</v>
      </c>
      <c r="M1990" t="s">
        <v>3396</v>
      </c>
      <c r="Q19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0" s="29"/>
      <c r="AC1990" s="25"/>
      <c r="AD1990" s="41"/>
      <c r="AE1990" s="41"/>
      <c r="AF1990" s="11"/>
      <c r="AH1990" s="7" t="str">
        <f>Table1[[#This Row],[html_tag]]&amp;Table1[[#This Row],[html_type]]&amp;Table1[[#This Row],[html_modifier]]</f>
        <v/>
      </c>
      <c r="AL1990" s="23" t="str">
        <f>IFERROR(_xlfn.XLOOKUP(Table1[[#This Row],[word]],Table57[English style name],Table57[Style type]),"")</f>
        <v/>
      </c>
      <c r="AM1990" s="21"/>
      <c r="AN1990" s="11"/>
    </row>
    <row r="1991" spans="3:44">
      <c r="D1991" t="s">
        <v>3349</v>
      </c>
      <c r="E1991" s="76"/>
      <c r="F19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1" s="13"/>
      <c r="H1991" s="13"/>
      <c r="I1991" s="12" t="str">
        <f>Table1[[#This Row],[type]]</f>
        <v>paragraph</v>
      </c>
      <c r="J1991" s="62" t="str">
        <f>Table1[[#This Row],[Column42]]&amp;IF(Table1[[#This Row],[Column13]]="","",Table1[[#This Row],[Column13]])&amp;IF(Table1[[#This Row],[mod]]="","",Table1[[#This Row],[mod]])</f>
        <v>paragraph__cover_back</v>
      </c>
      <c r="K19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paragraph__cover_back</v>
      </c>
      <c r="L1991" t="s">
        <v>0</v>
      </c>
      <c r="M1991" t="s">
        <v>3396</v>
      </c>
      <c r="Q19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1" s="29"/>
      <c r="AC1991" s="25"/>
      <c r="AD1991" s="41"/>
      <c r="AE1991" s="41"/>
      <c r="AF1991" s="11"/>
      <c r="AH1991" s="7" t="str">
        <f>Table1[[#This Row],[html_tag]]&amp;Table1[[#This Row],[html_type]]&amp;Table1[[#This Row],[html_modifier]]</f>
        <v/>
      </c>
      <c r="AL1991" s="23" t="str">
        <f>IFERROR(_xlfn.XLOOKUP(Table1[[#This Row],[word]],Table57[English style name],Table57[Style type]),"")</f>
        <v/>
      </c>
      <c r="AM1991" s="21"/>
      <c r="AN1991" s="11"/>
    </row>
    <row r="1992" spans="3:44">
      <c r="D1992" t="s">
        <v>3348</v>
      </c>
      <c r="E1992" s="76"/>
      <c r="F19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2" s="13"/>
      <c r="H1992" s="13"/>
      <c r="I1992" s="12" t="str">
        <f>Table1[[#This Row],[type]]</f>
        <v>paragraph</v>
      </c>
      <c r="J1992" s="62" t="str">
        <f>Table1[[#This Row],[Column42]]&amp;IF(Table1[[#This Row],[Column13]]="","",Table1[[#This Row],[Column13]])&amp;IF(Table1[[#This Row],[mod]]="","",Table1[[#This Row],[mod]])</f>
        <v>paragraph__credits</v>
      </c>
      <c r="K19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paragraph__credits</v>
      </c>
      <c r="L1992" t="s">
        <v>0</v>
      </c>
      <c r="M1992" t="s">
        <v>3423</v>
      </c>
      <c r="P1992" t="s">
        <v>3342</v>
      </c>
      <c r="Q19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2" s="29"/>
      <c r="AC1992" s="25"/>
      <c r="AD1992" s="41"/>
      <c r="AE1992" s="41"/>
      <c r="AF1992" s="11"/>
      <c r="AH1992" s="7" t="str">
        <f>Table1[[#This Row],[html_tag]]&amp;Table1[[#This Row],[html_type]]&amp;Table1[[#This Row],[html_modifier]]</f>
        <v/>
      </c>
      <c r="AL1992" s="23" t="str">
        <f>IFERROR(_xlfn.XLOOKUP(Table1[[#This Row],[word]],Table57[English style name],Table57[Style type]),"")</f>
        <v/>
      </c>
      <c r="AM1992" s="21"/>
      <c r="AN1992" s="11"/>
    </row>
    <row r="1993" spans="3:44">
      <c r="D1993" t="s">
        <v>3348</v>
      </c>
      <c r="E1993" s="76"/>
      <c r="F19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3" s="13"/>
      <c r="H1993" s="13"/>
      <c r="I1993" s="12" t="str">
        <f>Table1[[#This Row],[type]]</f>
        <v>paragraph</v>
      </c>
      <c r="J1993" s="62" t="str">
        <f>Table1[[#This Row],[Column42]]&amp;IF(Table1[[#This Row],[Column13]]="","",Table1[[#This Row],[Column13]])&amp;IF(Table1[[#This Row],[mod]]="","",Table1[[#This Row],[mod]])</f>
        <v>paragraph__credits</v>
      </c>
      <c r="K19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paragraph__credits</v>
      </c>
      <c r="L1993" t="s">
        <v>0</v>
      </c>
      <c r="M1993" t="s">
        <v>3423</v>
      </c>
      <c r="Q19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3" s="29"/>
      <c r="AC1993" s="25"/>
      <c r="AD1993" s="41"/>
      <c r="AE1993" s="41"/>
      <c r="AF1993" s="11"/>
      <c r="AH1993" s="7" t="str">
        <f>Table1[[#This Row],[html_tag]]&amp;Table1[[#This Row],[html_type]]&amp;Table1[[#This Row],[html_modifier]]</f>
        <v/>
      </c>
      <c r="AL1993" s="23" t="str">
        <f>IFERROR(_xlfn.XLOOKUP(Table1[[#This Row],[word]],Table57[English style name],Table57[Style type]),"")</f>
        <v/>
      </c>
      <c r="AM1993" s="21"/>
      <c r="AN1993" s="11"/>
    </row>
    <row r="1994" spans="3:44">
      <c r="C1994">
        <v>1</v>
      </c>
      <c r="D1994" t="s">
        <v>3276</v>
      </c>
      <c r="E1994" s="76"/>
      <c r="F19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4" s="13"/>
      <c r="H1994" s="13"/>
      <c r="I1994" s="12" t="str">
        <f>Table1[[#This Row],[type]]</f>
        <v>paragraph</v>
      </c>
      <c r="J1994" s="62" t="str">
        <f>Table1[[#This Row],[Column42]]&amp;IF(Table1[[#This Row],[Column13]]="","",Table1[[#This Row],[Column13]])&amp;IF(Table1[[#This Row],[mod]]="","",Table1[[#This Row],[mod]])</f>
        <v>paragraph__date</v>
      </c>
      <c r="K19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paragraph__date</v>
      </c>
      <c r="L1994" t="s">
        <v>0</v>
      </c>
      <c r="M1994" t="s">
        <v>3084</v>
      </c>
      <c r="Q19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4" s="29"/>
      <c r="AC1994" s="25"/>
      <c r="AD1994" s="41"/>
      <c r="AE1994" s="41"/>
      <c r="AF1994" s="11" t="s">
        <v>298</v>
      </c>
      <c r="AG1994" t="s">
        <v>3280</v>
      </c>
      <c r="AH1994" s="1" t="str">
        <f>Table1[[#This Row],[html_tag]]&amp;Table1[[#This Row],[html_type]]&amp;Table1[[#This Row],[html_modifier]]</f>
        <v/>
      </c>
      <c r="AL1994" s="22" t="str">
        <f>IFERROR(_xlfn.XLOOKUP(Table1[[#This Row],[word]],Table57[English style name],Table57[Style type]),"")</f>
        <v>Paragraph</v>
      </c>
      <c r="AM1994" s="20" t="s">
        <v>824</v>
      </c>
      <c r="AN1994" s="11"/>
    </row>
    <row r="1995" spans="3:44">
      <c r="D1995" t="s">
        <v>3299</v>
      </c>
      <c r="F19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5" s="13"/>
      <c r="H1995" s="13"/>
      <c r="I1995" s="12" t="str">
        <f>Table1[[#This Row],[type]]</f>
        <v>paragraph</v>
      </c>
      <c r="J1995" s="62" t="str">
        <f>Table1[[#This Row],[Column42]]&amp;IF(Table1[[#This Row],[Column13]]="","",Table1[[#This Row],[Column13]])&amp;IF(Table1[[#This Row],[mod]]="","",Table1[[#This Row],[mod]])</f>
        <v>paragraph__Dedication</v>
      </c>
      <c r="K19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paragraph__Dedication</v>
      </c>
      <c r="L1995" t="s">
        <v>0</v>
      </c>
      <c r="O1995" t="s">
        <v>3298</v>
      </c>
      <c r="P1995" t="s">
        <v>3298</v>
      </c>
      <c r="Q19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5" s="29"/>
      <c r="AC1995" s="25"/>
      <c r="AD1995" s="41"/>
      <c r="AE1995" s="41"/>
      <c r="AF1995" s="11"/>
      <c r="AH1995" s="7" t="str">
        <f>Table1[[#This Row],[html_tag]]&amp;Table1[[#This Row],[html_type]]&amp;Table1[[#This Row],[html_modifier]]</f>
        <v/>
      </c>
      <c r="AL1995" s="23" t="str">
        <f>IFERROR(_xlfn.XLOOKUP(Table1[[#This Row],[word]],Table57[English style name],Table57[Style type]),"")</f>
        <v/>
      </c>
      <c r="AM1995" s="21"/>
      <c r="AN1995" s="11"/>
    </row>
    <row r="1996" spans="3:44">
      <c r="D1996" t="s">
        <v>804</v>
      </c>
      <c r="F19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6" s="13"/>
      <c r="H1996" s="13"/>
      <c r="I1996" s="12" t="str">
        <f>Table1[[#This Row],[type]]</f>
        <v>paragraph</v>
      </c>
      <c r="J1996" s="62" t="str">
        <f>Table1[[#This Row],[Column42]]&amp;IF(Table1[[#This Row],[Column13]]="","",Table1[[#This Row],[Column13]])&amp;IF(Table1[[#This Row],[mod]]="","",Table1[[#This Row],[mod]])</f>
        <v>paragraph__descriptive__body</v>
      </c>
      <c r="K19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paragraph__descriptive__body</v>
      </c>
      <c r="L1996" t="s">
        <v>0</v>
      </c>
      <c r="M1996" t="s">
        <v>3430</v>
      </c>
      <c r="O1996" t="s">
        <v>337</v>
      </c>
      <c r="Q19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6" s="29"/>
      <c r="AC1996" s="25"/>
      <c r="AD1996" s="41"/>
      <c r="AE1996" s="41"/>
      <c r="AF1996" s="11" t="s">
        <v>239</v>
      </c>
      <c r="AH1996" s="7" t="str">
        <f>Table1[[#This Row],[html_tag]]&amp;Table1[[#This Row],[html_type]]&amp;Table1[[#This Row],[html_modifier]]</f>
        <v/>
      </c>
      <c r="AL1996" s="23" t="str">
        <f>IFERROR(_xlfn.XLOOKUP(Table1[[#This Row],[word]],Table57[English style name],Table57[Style type]),"")</f>
        <v/>
      </c>
      <c r="AM1996" s="21"/>
      <c r="AN1996" s="11"/>
    </row>
    <row r="1997" spans="3:44">
      <c r="E1997" s="76"/>
      <c r="F19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97" s="13" t="s">
        <v>2992</v>
      </c>
      <c r="H1997" s="13" t="s">
        <v>1</v>
      </c>
      <c r="I1997" s="12" t="str">
        <f>Table1[[#This Row],[type]]</f>
        <v>paragraph</v>
      </c>
      <c r="J1997" s="62" t="str">
        <f>Table1[[#This Row],[Column42]]&amp;IF(Table1[[#This Row],[Column13]]="","",Table1[[#This Row],[Column13]])&amp;IF(Table1[[#This Row],[mod]]="","",Table1[[#This Row],[mod]])</f>
        <v>paragraph__display--100</v>
      </c>
      <c r="K19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1997" t="s">
        <v>0</v>
      </c>
      <c r="M1997" t="s">
        <v>3009</v>
      </c>
      <c r="P1997" s="14"/>
      <c r="Q19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1997">
        <v>100</v>
      </c>
      <c r="AB1997" s="29"/>
      <c r="AC1997" s="25"/>
      <c r="AD1997" s="41"/>
      <c r="AE1997" s="41"/>
      <c r="AF1997" s="11"/>
      <c r="AH1997" s="1" t="str">
        <f>Table1[[#This Row],[html_tag]]&amp;Table1[[#This Row],[html_type]]&amp;Table1[[#This Row],[html_modifier]]</f>
        <v/>
      </c>
      <c r="AL1997" s="22" t="str">
        <f>IFERROR(_xlfn.XLOOKUP(Table1[[#This Row],[word]],Table57[English style name],Table57[Style type]),"")</f>
        <v/>
      </c>
      <c r="AM1997" s="20"/>
      <c r="AN1997" s="11"/>
      <c r="AQ1997" s="14" t="s">
        <v>1525</v>
      </c>
      <c r="AR1997" t="s">
        <v>1526</v>
      </c>
    </row>
    <row r="1998" spans="3:44">
      <c r="E1998" s="76"/>
      <c r="F19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98" s="13" t="s">
        <v>2992</v>
      </c>
      <c r="H1998" s="13" t="s">
        <v>1</v>
      </c>
      <c r="I1998" s="12" t="str">
        <f>Table1[[#This Row],[type]]</f>
        <v>paragraph</v>
      </c>
      <c r="J1998" s="62" t="str">
        <f>Table1[[#This Row],[Column42]]&amp;IF(Table1[[#This Row],[Column13]]="","",Table1[[#This Row],[Column13]])&amp;IF(Table1[[#This Row],[mod]]="","",Table1[[#This Row],[mod]])</f>
        <v>paragraph__display--200</v>
      </c>
      <c r="K19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1998" t="s">
        <v>0</v>
      </c>
      <c r="M1998" t="s">
        <v>3009</v>
      </c>
      <c r="P1998" s="14"/>
      <c r="Q19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1998">
        <v>200</v>
      </c>
      <c r="AB1998" s="29"/>
      <c r="AC1998" s="25"/>
      <c r="AD1998" s="41"/>
      <c r="AE1998" s="41"/>
      <c r="AF1998" s="11"/>
      <c r="AH1998" s="1" t="str">
        <f>Table1[[#This Row],[html_tag]]&amp;Table1[[#This Row],[html_type]]&amp;Table1[[#This Row],[html_modifier]]</f>
        <v/>
      </c>
      <c r="AL1998" s="22" t="str">
        <f>IFERROR(_xlfn.XLOOKUP(Table1[[#This Row],[word]],Table57[English style name],Table57[Style type]),"")</f>
        <v/>
      </c>
      <c r="AM1998" s="20"/>
      <c r="AN1998" s="11"/>
      <c r="AQ1998" s="14" t="s">
        <v>1527</v>
      </c>
      <c r="AR1998" t="s">
        <v>1526</v>
      </c>
    </row>
    <row r="1999" spans="3:44">
      <c r="E1999" s="76"/>
      <c r="F19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99" s="13" t="s">
        <v>2992</v>
      </c>
      <c r="H1999" s="13" t="s">
        <v>1</v>
      </c>
      <c r="I1999" s="12" t="str">
        <f>Table1[[#This Row],[type]]</f>
        <v>paragraph</v>
      </c>
      <c r="J1999" s="62" t="str">
        <f>Table1[[#This Row],[Column42]]&amp;IF(Table1[[#This Row],[Column13]]="","",Table1[[#This Row],[Column13]])&amp;IF(Table1[[#This Row],[mod]]="","",Table1[[#This Row],[mod]])</f>
        <v>paragraph__display--300</v>
      </c>
      <c r="K19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1999" t="s">
        <v>0</v>
      </c>
      <c r="M1999" t="s">
        <v>3009</v>
      </c>
      <c r="P1999" s="14"/>
      <c r="Q19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1999">
        <v>300</v>
      </c>
      <c r="AB1999" s="29"/>
      <c r="AC1999" s="25"/>
      <c r="AD1999" s="41"/>
      <c r="AE1999" s="41"/>
      <c r="AF1999" s="11"/>
      <c r="AH1999" s="1" t="str">
        <f>Table1[[#This Row],[html_tag]]&amp;Table1[[#This Row],[html_type]]&amp;Table1[[#This Row],[html_modifier]]</f>
        <v/>
      </c>
      <c r="AL1999" s="22" t="str">
        <f>IFERROR(_xlfn.XLOOKUP(Table1[[#This Row],[word]],Table57[English style name],Table57[Style type]),"")</f>
        <v/>
      </c>
      <c r="AM1999" s="20"/>
      <c r="AN1999" s="11"/>
      <c r="AQ1999" s="14" t="s">
        <v>1528</v>
      </c>
      <c r="AR1999" t="s">
        <v>1526</v>
      </c>
    </row>
    <row r="2000" spans="3:44">
      <c r="E2000" s="76"/>
      <c r="F20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0" s="13" t="s">
        <v>2992</v>
      </c>
      <c r="H2000" s="13" t="s">
        <v>1</v>
      </c>
      <c r="I2000" s="12" t="str">
        <f>Table1[[#This Row],[type]]</f>
        <v>paragraph</v>
      </c>
      <c r="J2000" s="62" t="str">
        <f>Table1[[#This Row],[Column42]]&amp;IF(Table1[[#This Row],[Column13]]="","",Table1[[#This Row],[Column13]])&amp;IF(Table1[[#This Row],[mod]]="","",Table1[[#This Row],[mod]])</f>
        <v>paragraph__display--400</v>
      </c>
      <c r="K20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00" t="s">
        <v>0</v>
      </c>
      <c r="M2000" t="s">
        <v>3009</v>
      </c>
      <c r="P2000" s="14"/>
      <c r="Q20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2000">
        <v>400</v>
      </c>
      <c r="AB2000" s="29"/>
      <c r="AC2000" s="25"/>
      <c r="AD2000" s="41"/>
      <c r="AE2000" s="41"/>
      <c r="AF2000" s="11"/>
      <c r="AH2000" s="1" t="str">
        <f>Table1[[#This Row],[html_tag]]&amp;Table1[[#This Row],[html_type]]&amp;Table1[[#This Row],[html_modifier]]</f>
        <v/>
      </c>
      <c r="AL2000" s="22" t="str">
        <f>IFERROR(_xlfn.XLOOKUP(Table1[[#This Row],[word]],Table57[English style name],Table57[Style type]),"")</f>
        <v/>
      </c>
      <c r="AM2000" s="20"/>
      <c r="AN2000" s="11"/>
      <c r="AQ2000" s="14" t="s">
        <v>1529</v>
      </c>
      <c r="AR2000" t="s">
        <v>1526</v>
      </c>
    </row>
    <row r="2001" spans="3:44">
      <c r="E2001" s="76"/>
      <c r="F20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1" s="13" t="s">
        <v>2992</v>
      </c>
      <c r="H2001" s="13" t="s">
        <v>1</v>
      </c>
      <c r="I2001" s="12" t="str">
        <f>Table1[[#This Row],[type]]</f>
        <v>paragraph</v>
      </c>
      <c r="J2001" s="62" t="str">
        <f>Table1[[#This Row],[Column42]]&amp;IF(Table1[[#This Row],[Column13]]="","",Table1[[#This Row],[Column13]])&amp;IF(Table1[[#This Row],[mod]]="","",Table1[[#This Row],[mod]])</f>
        <v>paragraph__display--500</v>
      </c>
      <c r="K20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01" t="s">
        <v>0</v>
      </c>
      <c r="M2001" t="s">
        <v>3009</v>
      </c>
      <c r="P2001" s="14"/>
      <c r="Q20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2001">
        <v>500</v>
      </c>
      <c r="AB2001" s="29"/>
      <c r="AC2001" s="25"/>
      <c r="AD2001" s="41"/>
      <c r="AE2001" s="41"/>
      <c r="AF2001" s="11"/>
      <c r="AH2001" s="1" t="str">
        <f>Table1[[#This Row],[html_tag]]&amp;Table1[[#This Row],[html_type]]&amp;Table1[[#This Row],[html_modifier]]</f>
        <v/>
      </c>
      <c r="AL2001" s="22" t="str">
        <f>IFERROR(_xlfn.XLOOKUP(Table1[[#This Row],[word]],Table57[English style name],Table57[Style type]),"")</f>
        <v/>
      </c>
      <c r="AM2001" s="20"/>
      <c r="AN2001" s="11"/>
      <c r="AQ2001" s="14" t="s">
        <v>1530</v>
      </c>
      <c r="AR2001" t="s">
        <v>1526</v>
      </c>
    </row>
    <row r="2002" spans="3:44">
      <c r="E2002" s="76"/>
      <c r="F20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2" s="13" t="s">
        <v>2992</v>
      </c>
      <c r="H2002" s="13" t="s">
        <v>1</v>
      </c>
      <c r="I2002" s="12" t="str">
        <f>Table1[[#This Row],[type]]</f>
        <v>paragraph</v>
      </c>
      <c r="J2002" s="62" t="str">
        <f>Table1[[#This Row],[Column42]]&amp;IF(Table1[[#This Row],[Column13]]="","",Table1[[#This Row],[Column13]])&amp;IF(Table1[[#This Row],[mod]]="","",Table1[[#This Row],[mod]])</f>
        <v>paragraph__display--600</v>
      </c>
      <c r="K20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02" t="s">
        <v>0</v>
      </c>
      <c r="M2002" t="s">
        <v>3009</v>
      </c>
      <c r="P2002" s="14"/>
      <c r="Q20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2002">
        <v>600</v>
      </c>
      <c r="AB2002" s="29"/>
      <c r="AC2002" s="25"/>
      <c r="AD2002" s="41"/>
      <c r="AE2002" s="41"/>
      <c r="AF2002" s="11"/>
      <c r="AH2002" s="1" t="str">
        <f>Table1[[#This Row],[html_tag]]&amp;Table1[[#This Row],[html_type]]&amp;Table1[[#This Row],[html_modifier]]</f>
        <v/>
      </c>
      <c r="AL2002" s="22" t="str">
        <f>IFERROR(_xlfn.XLOOKUP(Table1[[#This Row],[word]],Table57[English style name],Table57[Style type]),"")</f>
        <v/>
      </c>
      <c r="AM2002" s="20"/>
      <c r="AN2002" s="11"/>
      <c r="AQ2002" s="14" t="s">
        <v>1531</v>
      </c>
      <c r="AR2002" t="s">
        <v>1526</v>
      </c>
    </row>
    <row r="2003" spans="3:44">
      <c r="D2003" t="s">
        <v>3362</v>
      </c>
      <c r="F20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3" s="13"/>
      <c r="H2003" s="13"/>
      <c r="I2003" s="12" t="str">
        <f>Table1[[#This Row],[type]]</f>
        <v>paragraph</v>
      </c>
      <c r="J2003" s="62" t="str">
        <f>Table1[[#This Row],[Column42]]&amp;IF(Table1[[#This Row],[Column13]]="","",Table1[[#This Row],[Column13]])&amp;IF(Table1[[#This Row],[mod]]="","",Table1[[#This Row],[mod]])</f>
        <v>paragraph__divider__text</v>
      </c>
      <c r="K20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paragraph__divider__text</v>
      </c>
      <c r="L2003" t="s">
        <v>0</v>
      </c>
      <c r="M2003" t="s">
        <v>1532</v>
      </c>
      <c r="O2003" t="s">
        <v>403</v>
      </c>
      <c r="Q20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3" s="29"/>
      <c r="AC2003" s="25"/>
      <c r="AD2003" s="41"/>
      <c r="AE2003" s="41"/>
      <c r="AF2003" s="11"/>
      <c r="AH2003" s="7" t="str">
        <f>Table1[[#This Row],[html_tag]]&amp;Table1[[#This Row],[html_type]]&amp;Table1[[#This Row],[html_modifier]]</f>
        <v/>
      </c>
      <c r="AL2003" s="23" t="str">
        <f>IFERROR(_xlfn.XLOOKUP(Table1[[#This Row],[word]],Table57[English style name],Table57[Style type]),"")</f>
        <v/>
      </c>
      <c r="AM2003" s="21"/>
      <c r="AN2003" s="11"/>
    </row>
    <row r="2004" spans="3:44">
      <c r="F20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4" s="13" t="s">
        <v>2992</v>
      </c>
      <c r="H2004" s="13" t="s">
        <v>1</v>
      </c>
      <c r="I2004" s="12" t="str">
        <f>Table1[[#This Row],[type]]</f>
        <v>paragraph</v>
      </c>
      <c r="J2004" s="62" t="str">
        <f>Table1[[#This Row],[Column42]]&amp;IF(Table1[[#This Row],[Column13]]="","",Table1[[#This Row],[Column13]])&amp;IF(Table1[[#This Row],[mod]]="","",Table1[[#This Row],[mod]])</f>
        <v>paragraph__document__subtitle</v>
      </c>
      <c r="K20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paragraph__document__subtitle</v>
      </c>
      <c r="L2004" t="s">
        <v>0</v>
      </c>
      <c r="M2004" t="s">
        <v>336</v>
      </c>
      <c r="O2004" t="s">
        <v>3359</v>
      </c>
      <c r="Q20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4" s="29"/>
      <c r="AC2004" s="25"/>
      <c r="AD2004" s="41"/>
      <c r="AE2004" s="41"/>
      <c r="AF2004" s="11" t="s">
        <v>1138</v>
      </c>
      <c r="AH2004" s="1" t="str">
        <f>Table1[[#This Row],[html_tag]]&amp;Table1[[#This Row],[html_type]]&amp;Table1[[#This Row],[html_modifier]]</f>
        <v/>
      </c>
      <c r="AL2004" s="22" t="str">
        <f>IFERROR(_xlfn.XLOOKUP(Table1[[#This Row],[word]],Table57[English style name],Table57[Style type]),"")</f>
        <v/>
      </c>
      <c r="AM2004" s="20"/>
      <c r="AN2004" s="11" t="s">
        <v>7</v>
      </c>
      <c r="AO2004" t="s">
        <v>11</v>
      </c>
      <c r="AP2004" t="s">
        <v>12</v>
      </c>
      <c r="AQ2004" t="s">
        <v>10</v>
      </c>
    </row>
    <row r="2005" spans="3:44">
      <c r="F20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5" s="13" t="s">
        <v>2992</v>
      </c>
      <c r="H2005" s="13" t="s">
        <v>1</v>
      </c>
      <c r="I2005" s="12" t="str">
        <f>Table1[[#This Row],[type]]</f>
        <v>paragraph</v>
      </c>
      <c r="J2005" s="62" t="str">
        <f>Table1[[#This Row],[Column42]]&amp;IF(Table1[[#This Row],[Column13]]="","",Table1[[#This Row],[Column13]])&amp;IF(Table1[[#This Row],[mod]]="","",Table1[[#This Row],[mod]])</f>
        <v>paragraph__document__title</v>
      </c>
      <c r="K20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paragraph__document__title</v>
      </c>
      <c r="L2005" t="s">
        <v>0</v>
      </c>
      <c r="M2005" t="s">
        <v>336</v>
      </c>
      <c r="O2005" t="s">
        <v>333</v>
      </c>
      <c r="Q20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5" s="29"/>
      <c r="AC2005" s="25"/>
      <c r="AD2005" s="41"/>
      <c r="AE2005" s="41"/>
      <c r="AF2005" s="11" t="s">
        <v>1137</v>
      </c>
      <c r="AH2005" s="1" t="str">
        <f>Table1[[#This Row],[html_tag]]&amp;Table1[[#This Row],[html_type]]&amp;Table1[[#This Row],[html_modifier]]</f>
        <v/>
      </c>
      <c r="AL2005" s="22" t="str">
        <f>IFERROR(_xlfn.XLOOKUP(Table1[[#This Row],[word]],Table57[English style name],Table57[Style type]),"")</f>
        <v/>
      </c>
      <c r="AM2005" s="20"/>
      <c r="AN2005" s="11" t="s">
        <v>7</v>
      </c>
      <c r="AO2005" t="s">
        <v>8</v>
      </c>
      <c r="AP2005" t="s">
        <v>9</v>
      </c>
      <c r="AQ2005" t="s">
        <v>6</v>
      </c>
    </row>
    <row r="2006" spans="3:44">
      <c r="D2006" t="s">
        <v>804</v>
      </c>
      <c r="F20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6" s="13"/>
      <c r="H2006" s="13"/>
      <c r="I2006" s="12" t="str">
        <f>Table1[[#This Row],[type]]</f>
        <v>paragraph</v>
      </c>
      <c r="J2006" s="62" t="str">
        <f>Table1[[#This Row],[Column42]]&amp;IF(Table1[[#This Row],[Column13]]="","",Table1[[#This Row],[Column13]])&amp;IF(Table1[[#This Row],[mod]]="","",Table1[[#This Row],[mod]])</f>
        <v>paragraph__dropcap__body</v>
      </c>
      <c r="K20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paragraph__dropcap__body</v>
      </c>
      <c r="L2006" t="s">
        <v>0</v>
      </c>
      <c r="M2006" t="s">
        <v>2472</v>
      </c>
      <c r="O2006" t="s">
        <v>337</v>
      </c>
      <c r="Q20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6" s="29"/>
      <c r="AC2006" s="25"/>
      <c r="AD2006" s="41"/>
      <c r="AE2006" s="41"/>
      <c r="AF2006" s="11" t="s">
        <v>239</v>
      </c>
      <c r="AH2006" s="7" t="str">
        <f>Table1[[#This Row],[html_tag]]&amp;Table1[[#This Row],[html_type]]&amp;Table1[[#This Row],[html_modifier]]</f>
        <v/>
      </c>
      <c r="AL2006" s="23" t="str">
        <f>IFERROR(_xlfn.XLOOKUP(Table1[[#This Row],[word]],Table57[English style name],Table57[Style type]),"")</f>
        <v/>
      </c>
      <c r="AM2006" s="21"/>
      <c r="AN2006" s="11"/>
    </row>
    <row r="2007" spans="3:44">
      <c r="D2007" t="s">
        <v>3299</v>
      </c>
      <c r="F20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7" s="13"/>
      <c r="H2007" s="13"/>
      <c r="I2007" s="12" t="str">
        <f>Table1[[#This Row],[type]]</f>
        <v>paragraph</v>
      </c>
      <c r="J2007" s="62" t="str">
        <f>Table1[[#This Row],[Column42]]&amp;IF(Table1[[#This Row],[Column13]]="","",Table1[[#This Row],[Column13]])&amp;IF(Table1[[#This Row],[mod]]="","",Table1[[#This Row],[mod]])</f>
        <v>paragraph__Edition statement</v>
      </c>
      <c r="K20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paragraph__Edition statement</v>
      </c>
      <c r="L2007" t="s">
        <v>0</v>
      </c>
      <c r="O2007" t="s">
        <v>3296</v>
      </c>
      <c r="P2007" t="s">
        <v>3296</v>
      </c>
      <c r="Q20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7" s="29"/>
      <c r="AC2007" s="25"/>
      <c r="AD2007" s="41"/>
      <c r="AE2007" s="41"/>
      <c r="AF2007" s="11"/>
      <c r="AH2007" s="7" t="str">
        <f>Table1[[#This Row],[html_tag]]&amp;Table1[[#This Row],[html_type]]&amp;Table1[[#This Row],[html_modifier]]</f>
        <v/>
      </c>
      <c r="AL2007" s="23" t="str">
        <f>IFERROR(_xlfn.XLOOKUP(Table1[[#This Row],[word]],Table57[English style name],Table57[Style type]),"")</f>
        <v/>
      </c>
      <c r="AM2007" s="21"/>
      <c r="AN2007" s="11"/>
    </row>
    <row r="2008" spans="3:44">
      <c r="D2008" t="s">
        <v>3348</v>
      </c>
      <c r="E2008" s="76"/>
      <c r="F20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8" s="13"/>
      <c r="H2008" s="13"/>
      <c r="I2008" s="12" t="str">
        <f>Table1[[#This Row],[type]]</f>
        <v>paragraph</v>
      </c>
      <c r="J2008" s="62" t="str">
        <f>Table1[[#This Row],[Column42]]&amp;IF(Table1[[#This Row],[Column13]]="","",Table1[[#This Row],[Column13]])&amp;IF(Table1[[#This Row],[mod]]="","",Table1[[#This Row],[mod]])</f>
        <v>paragraph__editors_note</v>
      </c>
      <c r="K20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paragraph__editors_note</v>
      </c>
      <c r="L2008" t="s">
        <v>0</v>
      </c>
      <c r="M2008" t="s">
        <v>3424</v>
      </c>
      <c r="Q20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8" s="29"/>
      <c r="AC2008" s="25"/>
      <c r="AD2008" s="41"/>
      <c r="AE2008" s="41"/>
      <c r="AF2008" s="11"/>
      <c r="AH2008" s="7" t="str">
        <f>Table1[[#This Row],[html_tag]]&amp;Table1[[#This Row],[html_type]]&amp;Table1[[#This Row],[html_modifier]]</f>
        <v/>
      </c>
      <c r="AL2008" s="23" t="str">
        <f>IFERROR(_xlfn.XLOOKUP(Table1[[#This Row],[word]],Table57[English style name],Table57[Style type]),"")</f>
        <v/>
      </c>
      <c r="AM2008" s="21"/>
      <c r="AN2008" s="11"/>
    </row>
    <row r="2009" spans="3:44">
      <c r="D2009" t="s">
        <v>804</v>
      </c>
      <c r="E2009" s="76"/>
      <c r="F20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9" s="13"/>
      <c r="H2009" s="13"/>
      <c r="I2009" s="12" t="str">
        <f>Table1[[#This Row],[type]]</f>
        <v>paragraph</v>
      </c>
      <c r="J2009" s="62" t="str">
        <f>Table1[[#This Row],[Column42]]&amp;IF(Table1[[#This Row],[Column13]]="","",Table1[[#This Row],[Column13]])&amp;IF(Table1[[#This Row],[mod]]="","",Table1[[#This Row],[mod]])</f>
        <v>paragraph__emphasis</v>
      </c>
      <c r="K20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paragraph__emphasis</v>
      </c>
      <c r="L2009" t="s">
        <v>0</v>
      </c>
      <c r="M2009" t="s">
        <v>70</v>
      </c>
      <c r="Q20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9" s="29"/>
      <c r="AC2009" s="25"/>
      <c r="AD2009" s="41"/>
      <c r="AE2009" s="41"/>
      <c r="AF2009" s="11" t="s">
        <v>239</v>
      </c>
      <c r="AH2009" s="7" t="str">
        <f>Table1[[#This Row],[html_tag]]&amp;Table1[[#This Row],[html_type]]&amp;Table1[[#This Row],[html_modifier]]</f>
        <v/>
      </c>
      <c r="AL2009" s="23" t="str">
        <f>IFERROR(_xlfn.XLOOKUP(Table1[[#This Row],[word]],Table57[English style name],Table57[Style type]),"")</f>
        <v/>
      </c>
      <c r="AM2009" s="21"/>
      <c r="AN2009" s="11"/>
    </row>
    <row r="2010" spans="3:44">
      <c r="D2010" t="s">
        <v>3339</v>
      </c>
      <c r="F20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0" s="13"/>
      <c r="H2010" s="13"/>
      <c r="I2010" s="12" t="str">
        <f>Table1[[#This Row],[type]]</f>
        <v>paragraph</v>
      </c>
      <c r="J2010" s="62" t="str">
        <f>Table1[[#This Row],[Column42]]&amp;IF(Table1[[#This Row],[Column13]]="","",Table1[[#This Row],[Column13]])&amp;IF(Table1[[#This Row],[mod]]="","",Table1[[#This Row],[mod]])</f>
        <v>paragraph__endnote__heading</v>
      </c>
      <c r="K20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paragraph__endnote__heading</v>
      </c>
      <c r="L2010" t="s">
        <v>0</v>
      </c>
      <c r="M2010" t="s">
        <v>331</v>
      </c>
      <c r="O2010" t="s">
        <v>100</v>
      </c>
      <c r="Q20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0" s="29"/>
      <c r="AC2010" s="25"/>
      <c r="AD2010" s="41"/>
      <c r="AE2010" s="41"/>
      <c r="AF2010" s="11"/>
      <c r="AH2010" s="7" t="str">
        <f>Table1[[#This Row],[html_tag]]&amp;Table1[[#This Row],[html_type]]&amp;Table1[[#This Row],[html_modifier]]</f>
        <v/>
      </c>
      <c r="AL2010" s="23" t="str">
        <f>IFERROR(_xlfn.XLOOKUP(Table1[[#This Row],[word]],Table57[English style name],Table57[Style type]),"")</f>
        <v/>
      </c>
      <c r="AM2010" s="21"/>
      <c r="AN2010" s="11"/>
    </row>
    <row r="2011" spans="3:44">
      <c r="C2011">
        <v>1</v>
      </c>
      <c r="D2011" t="s">
        <v>3264</v>
      </c>
      <c r="F20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1" s="13"/>
      <c r="H2011" s="13"/>
      <c r="I2011" s="12" t="str">
        <f>Table1[[#This Row],[type]]</f>
        <v>paragraph</v>
      </c>
      <c r="J2011" s="62" t="str">
        <f>Table1[[#This Row],[Column42]]&amp;IF(Table1[[#This Row],[Column13]]="","",Table1[[#This Row],[Column13]])&amp;IF(Table1[[#This Row],[mod]]="","",Table1[[#This Row],[mod]])</f>
        <v>paragraph__endnote__text</v>
      </c>
      <c r="K20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paragraph__endnote__text</v>
      </c>
      <c r="L2011" t="s">
        <v>0</v>
      </c>
      <c r="M2011" t="s">
        <v>331</v>
      </c>
      <c r="O2011" t="s">
        <v>403</v>
      </c>
      <c r="Q20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1" s="29"/>
      <c r="AC2011" s="25"/>
      <c r="AD2011" s="41"/>
      <c r="AE2011" s="41"/>
      <c r="AF2011" s="11" t="s">
        <v>116</v>
      </c>
      <c r="AG2011" t="s">
        <v>3266</v>
      </c>
      <c r="AH2011" s="1" t="str">
        <f>Table1[[#This Row],[html_tag]]&amp;Table1[[#This Row],[html_type]]&amp;Table1[[#This Row],[html_modifier]]</f>
        <v/>
      </c>
      <c r="AL2011" s="22" t="str">
        <f>IFERROR(_xlfn.XLOOKUP(Table1[[#This Row],[word]],Table57[English style name],Table57[Style type]),"")</f>
        <v>Paragraph</v>
      </c>
      <c r="AM2011" s="20" t="s">
        <v>762</v>
      </c>
      <c r="AN2011" s="11"/>
    </row>
    <row r="2012" spans="3:44">
      <c r="D2012" t="s">
        <v>3339</v>
      </c>
      <c r="F20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2" s="13"/>
      <c r="H2012" s="13"/>
      <c r="I2012" s="12" t="str">
        <f>Table1[[#This Row],[type]]</f>
        <v>paragraph</v>
      </c>
      <c r="J2012" s="62" t="str">
        <f>Table1[[#This Row],[Column42]]&amp;IF(Table1[[#This Row],[Column13]]="","",Table1[[#This Row],[Column13]])&amp;IF(Table1[[#This Row],[mod]]="","",Table1[[#This Row],[mod]])</f>
        <v>paragraph__endnote__text</v>
      </c>
      <c r="K20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paragraph__endnote__text</v>
      </c>
      <c r="L2012" t="s">
        <v>0</v>
      </c>
      <c r="M2012" t="s">
        <v>331</v>
      </c>
      <c r="O2012" t="s">
        <v>403</v>
      </c>
      <c r="Q20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2" s="29"/>
      <c r="AC2012" s="25"/>
      <c r="AD2012" s="41"/>
      <c r="AE2012" s="41"/>
      <c r="AF2012" s="11"/>
      <c r="AH2012" s="7" t="str">
        <f>Table1[[#This Row],[html_tag]]&amp;Table1[[#This Row],[html_type]]&amp;Table1[[#This Row],[html_modifier]]</f>
        <v/>
      </c>
      <c r="AL2012" s="23" t="str">
        <f>IFERROR(_xlfn.XLOOKUP(Table1[[#This Row],[word]],Table57[English style name],Table57[Style type]),"")</f>
        <v/>
      </c>
      <c r="AM2012" s="21"/>
      <c r="AN2012" s="11"/>
    </row>
    <row r="2013" spans="3:44">
      <c r="D2013" t="s">
        <v>3299</v>
      </c>
      <c r="E2013" s="76"/>
      <c r="F20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3" s="13"/>
      <c r="H2013" s="13"/>
      <c r="I2013" s="12" t="str">
        <f>Table1[[#This Row],[type]]</f>
        <v>paragraph</v>
      </c>
      <c r="J2013" s="62" t="str">
        <f>Table1[[#This Row],[Column42]]&amp;IF(Table1[[#This Row],[Column13]]="","",Table1[[#This Row],[Column13]])&amp;IF(Table1[[#This Row],[mod]]="","",Table1[[#This Row],[mod]])</f>
        <v>paragraph__epigraph</v>
      </c>
      <c r="K20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paragraph__epigraph</v>
      </c>
      <c r="L2013" t="s">
        <v>0</v>
      </c>
      <c r="M2013" t="s">
        <v>3358</v>
      </c>
      <c r="Q20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3" s="29"/>
      <c r="AC2013" s="25"/>
      <c r="AD2013" s="41"/>
      <c r="AE2013" s="41"/>
      <c r="AF2013" s="11" t="s">
        <v>131</v>
      </c>
      <c r="AH2013" s="7" t="str">
        <f>Table1[[#This Row],[html_tag]]&amp;Table1[[#This Row],[html_type]]&amp;Table1[[#This Row],[html_modifier]]</f>
        <v/>
      </c>
      <c r="AL2013" s="23" t="str">
        <f>IFERROR(_xlfn.XLOOKUP(Table1[[#This Row],[word]],Table57[English style name],Table57[Style type]),"")</f>
        <v/>
      </c>
      <c r="AM2013" s="21"/>
      <c r="AN2013" s="11"/>
    </row>
    <row r="2014" spans="3:44">
      <c r="D2014" t="s">
        <v>3299</v>
      </c>
      <c r="E2014" s="76"/>
      <c r="F20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4" s="13"/>
      <c r="H2014" s="13"/>
      <c r="I2014" s="12" t="str">
        <f>Table1[[#This Row],[type]]</f>
        <v>paragraph</v>
      </c>
      <c r="J2014" s="62" t="str">
        <f>Table1[[#This Row],[Column42]]&amp;IF(Table1[[#This Row],[Column13]]="","",Table1[[#This Row],[Column13]])&amp;IF(Table1[[#This Row],[mod]]="","",Table1[[#This Row],[mod]])</f>
        <v>paragraph__epigraph</v>
      </c>
      <c r="K20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paragraph__epigraph</v>
      </c>
      <c r="L2014" t="s">
        <v>0</v>
      </c>
      <c r="M2014" t="s">
        <v>3358</v>
      </c>
      <c r="Q20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4" s="29"/>
      <c r="AC2014" s="25"/>
      <c r="AD2014" s="41"/>
      <c r="AE2014" s="41"/>
      <c r="AF2014" s="11" t="s">
        <v>131</v>
      </c>
      <c r="AH2014" s="7" t="str">
        <f>Table1[[#This Row],[html_tag]]&amp;Table1[[#This Row],[html_type]]&amp;Table1[[#This Row],[html_modifier]]</f>
        <v/>
      </c>
      <c r="AL2014" s="23" t="str">
        <f>IFERROR(_xlfn.XLOOKUP(Table1[[#This Row],[word]],Table57[English style name],Table57[Style type]),"")</f>
        <v/>
      </c>
      <c r="AM2014" s="21"/>
      <c r="AN2014" s="11"/>
    </row>
    <row r="2015" spans="3:44">
      <c r="D2015" t="s">
        <v>3349</v>
      </c>
      <c r="F20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5" s="13"/>
      <c r="H2015" s="13"/>
      <c r="I2015" s="12" t="str">
        <f>Table1[[#This Row],[type]]</f>
        <v>paragraph</v>
      </c>
      <c r="J2015" s="62" t="str">
        <f>Table1[[#This Row],[Column42]]&amp;IF(Table1[[#This Row],[Column13]]="","",Table1[[#This Row],[Column13]])&amp;IF(Table1[[#This Row],[mod]]="","",Table1[[#This Row],[mod]])</f>
        <v>paragraph__errata__entry</v>
      </c>
      <c r="K20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paragraph__errata__entry</v>
      </c>
      <c r="L2015" t="s">
        <v>0</v>
      </c>
      <c r="M2015" t="s">
        <v>3387</v>
      </c>
      <c r="O2015" t="s">
        <v>3374</v>
      </c>
      <c r="Q20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5" s="29"/>
      <c r="AC2015" s="25"/>
      <c r="AD2015" s="41"/>
      <c r="AE2015" s="41"/>
      <c r="AF2015" s="11"/>
      <c r="AH2015" s="7" t="str">
        <f>Table1[[#This Row],[html_tag]]&amp;Table1[[#This Row],[html_type]]&amp;Table1[[#This Row],[html_modifier]]</f>
        <v/>
      </c>
      <c r="AL2015" s="23" t="str">
        <f>IFERROR(_xlfn.XLOOKUP(Table1[[#This Row],[word]],Table57[English style name],Table57[Style type]),"")</f>
        <v/>
      </c>
      <c r="AM2015" s="21"/>
      <c r="AN2015" s="11"/>
    </row>
    <row r="2016" spans="3:44">
      <c r="D2016" t="s">
        <v>3349</v>
      </c>
      <c r="F20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6" s="13"/>
      <c r="H2016" s="13"/>
      <c r="I2016" s="12" t="str">
        <f>Table1[[#This Row],[type]]</f>
        <v>paragraph</v>
      </c>
      <c r="J2016" s="62" t="str">
        <f>Table1[[#This Row],[Column42]]&amp;IF(Table1[[#This Row],[Column13]]="","",Table1[[#This Row],[Column13]])&amp;IF(Table1[[#This Row],[mod]]="","",Table1[[#This Row],[mod]])</f>
        <v>paragraph__errata__heading</v>
      </c>
      <c r="K20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paragraph__errata__heading</v>
      </c>
      <c r="L2016" t="s">
        <v>0</v>
      </c>
      <c r="M2016" t="s">
        <v>3387</v>
      </c>
      <c r="O2016" t="s">
        <v>100</v>
      </c>
      <c r="Q20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6" s="29"/>
      <c r="AC2016" s="25"/>
      <c r="AD2016" s="41"/>
      <c r="AE2016" s="41"/>
      <c r="AF2016" s="11"/>
      <c r="AH2016" s="7" t="str">
        <f>Table1[[#This Row],[html_tag]]&amp;Table1[[#This Row],[html_type]]&amp;Table1[[#This Row],[html_modifier]]</f>
        <v/>
      </c>
      <c r="AL2016" s="23" t="str">
        <f>IFERROR(_xlfn.XLOOKUP(Table1[[#This Row],[word]],Table57[English style name],Table57[Style type]),"")</f>
        <v/>
      </c>
      <c r="AM2016" s="21"/>
      <c r="AN2016" s="11"/>
    </row>
    <row r="2017" spans="3:43">
      <c r="D2017" t="s">
        <v>804</v>
      </c>
      <c r="F20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7" s="13"/>
      <c r="H2017" s="13"/>
      <c r="I2017" s="12" t="str">
        <f>Table1[[#This Row],[type]]</f>
        <v>paragraph</v>
      </c>
      <c r="J2017" s="62" t="str">
        <f>Table1[[#This Row],[Column42]]&amp;IF(Table1[[#This Row],[Column13]]="","",Table1[[#This Row],[Column13]])&amp;IF(Table1[[#This Row],[mod]]="","",Table1[[#This Row],[mod]])</f>
        <v>paragraph__explanatory__body</v>
      </c>
      <c r="K20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paragraph__explanatory__body</v>
      </c>
      <c r="L2017" t="s">
        <v>0</v>
      </c>
      <c r="M2017" t="s">
        <v>3431</v>
      </c>
      <c r="O2017" t="s">
        <v>337</v>
      </c>
      <c r="Q20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7" s="29"/>
      <c r="AC2017" s="25"/>
      <c r="AD2017" s="41"/>
      <c r="AE2017" s="41"/>
      <c r="AF2017" s="11" t="s">
        <v>239</v>
      </c>
      <c r="AH2017" s="7" t="str">
        <f>Table1[[#This Row],[html_tag]]&amp;Table1[[#This Row],[html_type]]&amp;Table1[[#This Row],[html_modifier]]</f>
        <v/>
      </c>
      <c r="AL2017" s="23" t="str">
        <f>IFERROR(_xlfn.XLOOKUP(Table1[[#This Row],[word]],Table57[English style name],Table57[Style type]),"")</f>
        <v/>
      </c>
      <c r="AM2017" s="21"/>
      <c r="AN2017" s="11"/>
    </row>
    <row r="2018" spans="3:43">
      <c r="E2018" s="76"/>
      <c r="F20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18" s="13" t="s">
        <v>2992</v>
      </c>
      <c r="H2018" s="13" t="s">
        <v>1</v>
      </c>
      <c r="I2018" s="12" t="str">
        <f>Table1[[#This Row],[type]]</f>
        <v>paragraph</v>
      </c>
      <c r="J2018" s="62" t="str">
        <f>Table1[[#This Row],[Column42]]&amp;IF(Table1[[#This Row],[Column13]]="","",Table1[[#This Row],[Column13]])&amp;IF(Table1[[#This Row],[mod]]="","",Table1[[#This Row],[mod]])</f>
        <v>paragraph__figure</v>
      </c>
      <c r="K20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paragraph__figure</v>
      </c>
      <c r="L2018" t="s">
        <v>0</v>
      </c>
      <c r="M2018" t="s">
        <v>343</v>
      </c>
      <c r="Q20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8" s="29"/>
      <c r="AC2018" s="25" t="s">
        <v>3751</v>
      </c>
      <c r="AD2018" s="41"/>
      <c r="AE2018" s="41"/>
      <c r="AF2018" s="11" t="s">
        <v>177</v>
      </c>
      <c r="AH2018" s="1" t="str">
        <f>Table1[[#This Row],[html_tag]]&amp;Table1[[#This Row],[html_type]]&amp;Table1[[#This Row],[html_modifier]]</f>
        <v>&lt;figcaption&gt;</v>
      </c>
      <c r="AI2018" t="s">
        <v>177</v>
      </c>
      <c r="AL2018" s="22" t="str">
        <f>IFERROR(_xlfn.XLOOKUP(Table1[[#This Row],[word]],Table57[English style name],Table57[Style type]),"")</f>
        <v/>
      </c>
      <c r="AM2018" s="20"/>
      <c r="AN2018" s="11"/>
      <c r="AO2018" t="s">
        <v>60</v>
      </c>
      <c r="AP2018" t="s">
        <v>61</v>
      </c>
      <c r="AQ2018" t="s">
        <v>59</v>
      </c>
    </row>
    <row r="2019" spans="3:43">
      <c r="C2019">
        <v>1</v>
      </c>
      <c r="D2019" t="s">
        <v>3271</v>
      </c>
      <c r="E2019" s="76"/>
      <c r="F20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9" s="13"/>
      <c r="H2019" s="13"/>
      <c r="I2019" s="12" t="str">
        <f>Table1[[#This Row],[type]]</f>
        <v>paragraph</v>
      </c>
      <c r="J2019" s="62" t="str">
        <f>Table1[[#This Row],[Column42]]&amp;IF(Table1[[#This Row],[Column13]]="","",Table1[[#This Row],[Column13]])&amp;IF(Table1[[#This Row],[mod]]="","",Table1[[#This Row],[mod]])</f>
        <v>paragraph__footer</v>
      </c>
      <c r="K20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paragraph__footer</v>
      </c>
      <c r="L2019" t="s">
        <v>0</v>
      </c>
      <c r="M2019" t="s">
        <v>451</v>
      </c>
      <c r="P2019" t="s">
        <v>751</v>
      </c>
      <c r="Q20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9" s="29"/>
      <c r="AC2019" s="25"/>
      <c r="AD2019" s="41"/>
      <c r="AE2019" s="41"/>
      <c r="AF2019" s="11" t="s">
        <v>181</v>
      </c>
      <c r="AG2019" t="s">
        <v>181</v>
      </c>
      <c r="AH2019" s="1" t="str">
        <f>Table1[[#This Row],[html_tag]]&amp;Table1[[#This Row],[html_type]]&amp;Table1[[#This Row],[html_modifier]]</f>
        <v/>
      </c>
      <c r="AL2019" s="22" t="str">
        <f>IFERROR(_xlfn.XLOOKUP(Table1[[#This Row],[word]],Table57[English style name],Table57[Style type]),"")</f>
        <v>Paragraph</v>
      </c>
      <c r="AM2019" s="20" t="s">
        <v>751</v>
      </c>
      <c r="AN2019" s="11"/>
    </row>
    <row r="2020" spans="3:43">
      <c r="C2020">
        <v>1</v>
      </c>
      <c r="D2020" t="s">
        <v>3264</v>
      </c>
      <c r="F20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0" s="13"/>
      <c r="H2020" s="13"/>
      <c r="I2020" s="12" t="str">
        <f>Table1[[#This Row],[type]]</f>
        <v>paragraph</v>
      </c>
      <c r="J2020" s="62" t="str">
        <f>Table1[[#This Row],[Column42]]&amp;IF(Table1[[#This Row],[Column13]]="","",Table1[[#This Row],[Column13]])&amp;IF(Table1[[#This Row],[mod]]="","",Table1[[#This Row],[mod]])</f>
        <v>paragraph__footnote__text</v>
      </c>
      <c r="K20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paragraph__footnote__text</v>
      </c>
      <c r="L2020" t="s">
        <v>0</v>
      </c>
      <c r="M2020" t="s">
        <v>330</v>
      </c>
      <c r="O2020" t="s">
        <v>403</v>
      </c>
      <c r="Q20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0" s="29"/>
      <c r="AC2020" s="25"/>
      <c r="AD2020" s="41"/>
      <c r="AE2020" s="41"/>
      <c r="AF2020" s="11" t="s">
        <v>116</v>
      </c>
      <c r="AG2020" t="s">
        <v>3265</v>
      </c>
      <c r="AH2020" s="1" t="str">
        <f>Table1[[#This Row],[html_tag]]&amp;Table1[[#This Row],[html_type]]&amp;Table1[[#This Row],[html_modifier]]</f>
        <v/>
      </c>
      <c r="AL2020" s="22" t="str">
        <f>IFERROR(_xlfn.XLOOKUP(Table1[[#This Row],[word]],Table57[English style name],Table57[Style type]),"")</f>
        <v>Paragraph</v>
      </c>
      <c r="AM2020" s="20" t="s">
        <v>745</v>
      </c>
      <c r="AN2020" s="11"/>
    </row>
    <row r="2021" spans="3:43">
      <c r="D2021" t="s">
        <v>3339</v>
      </c>
      <c r="F20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1" s="13"/>
      <c r="H2021" s="13"/>
      <c r="I2021" s="12" t="str">
        <f>Table1[[#This Row],[type]]</f>
        <v>paragraph</v>
      </c>
      <c r="J2021" s="62" t="str">
        <f>Table1[[#This Row],[Column42]]&amp;IF(Table1[[#This Row],[Column13]]="","",Table1[[#This Row],[Column13]])&amp;IF(Table1[[#This Row],[mod]]="","",Table1[[#This Row],[mod]])</f>
        <v>paragraph__footnote__text</v>
      </c>
      <c r="K20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paragraph__footnote__text</v>
      </c>
      <c r="L2021" t="s">
        <v>0</v>
      </c>
      <c r="M2021" t="s">
        <v>330</v>
      </c>
      <c r="O2021" t="s">
        <v>403</v>
      </c>
      <c r="Q20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1" s="29"/>
      <c r="AC2021" s="25"/>
      <c r="AD2021" s="41"/>
      <c r="AE2021" s="41"/>
      <c r="AF2021" s="11"/>
      <c r="AH2021" s="7" t="str">
        <f>Table1[[#This Row],[html_tag]]&amp;Table1[[#This Row],[html_type]]&amp;Table1[[#This Row],[html_modifier]]</f>
        <v/>
      </c>
      <c r="AL2021" s="23" t="str">
        <f>IFERROR(_xlfn.XLOOKUP(Table1[[#This Row],[word]],Table57[English style name],Table57[Style type]),"")</f>
        <v/>
      </c>
      <c r="AM2021" s="21"/>
      <c r="AN2021" s="11"/>
    </row>
    <row r="2022" spans="3:43">
      <c r="D2022" t="s">
        <v>3348</v>
      </c>
      <c r="F20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2" s="13"/>
      <c r="H2022" s="13"/>
      <c r="I2022" s="12" t="str">
        <f>Table1[[#This Row],[type]]</f>
        <v>paragraph</v>
      </c>
      <c r="J2022" s="62" t="str">
        <f>Table1[[#This Row],[Column42]]&amp;IF(Table1[[#This Row],[Column13]]="","",Table1[[#This Row],[Column13]])&amp;IF(Table1[[#This Row],[mod]]="","",Table1[[#This Row],[mod]])</f>
        <v>paragraph__foreword__body</v>
      </c>
      <c r="K20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paragraph__foreword__body</v>
      </c>
      <c r="L2022" t="s">
        <v>0</v>
      </c>
      <c r="M2022" t="s">
        <v>3407</v>
      </c>
      <c r="O2022" t="s">
        <v>337</v>
      </c>
      <c r="Q20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2" s="29"/>
      <c r="AC2022" s="25"/>
      <c r="AD2022" s="41"/>
      <c r="AE2022" s="41"/>
      <c r="AF2022" s="11"/>
      <c r="AH2022" s="7" t="str">
        <f>Table1[[#This Row],[html_tag]]&amp;Table1[[#This Row],[html_type]]&amp;Table1[[#This Row],[html_modifier]]</f>
        <v/>
      </c>
      <c r="AL2022" s="23" t="str">
        <f>IFERROR(_xlfn.XLOOKUP(Table1[[#This Row],[word]],Table57[English style name],Table57[Style type]),"")</f>
        <v/>
      </c>
      <c r="AM2022" s="21"/>
      <c r="AN2022" s="11"/>
    </row>
    <row r="2023" spans="3:43">
      <c r="D2023" t="s">
        <v>3299</v>
      </c>
      <c r="E2023" s="76"/>
      <c r="F20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3" s="13"/>
      <c r="H2023" s="13"/>
      <c r="I2023" s="12" t="str">
        <f>Table1[[#This Row],[type]]</f>
        <v>paragraph</v>
      </c>
      <c r="J2023" s="62" t="str">
        <f>Table1[[#This Row],[Column42]]&amp;IF(Table1[[#This Row],[Column13]]="","",Table1[[#This Row],[Column13]])&amp;IF(Table1[[#This Row],[mod]]="","",Table1[[#This Row],[mod]])</f>
        <v>paragraph__frontispiece</v>
      </c>
      <c r="K20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paragraph__frontispiece</v>
      </c>
      <c r="L2023" t="s">
        <v>0</v>
      </c>
      <c r="M2023" t="s">
        <v>3443</v>
      </c>
      <c r="Q20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3" s="29"/>
      <c r="AC2023" s="25"/>
      <c r="AD2023" s="41"/>
      <c r="AE2023" s="41"/>
      <c r="AF2023" s="11"/>
      <c r="AH2023" s="7" t="str">
        <f>Table1[[#This Row],[html_tag]]&amp;Table1[[#This Row],[html_type]]&amp;Table1[[#This Row],[html_modifier]]</f>
        <v/>
      </c>
      <c r="AL2023" s="23" t="str">
        <f>IFERROR(_xlfn.XLOOKUP(Table1[[#This Row],[word]],Table57[English style name],Table57[Style type]),"")</f>
        <v/>
      </c>
      <c r="AM2023" s="21"/>
      <c r="AN2023" s="11"/>
    </row>
    <row r="2024" spans="3:43">
      <c r="D2024" t="s">
        <v>3375</v>
      </c>
      <c r="E2024" s="76" t="s">
        <v>3376</v>
      </c>
      <c r="F20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4" s="13"/>
      <c r="H2024" s="13"/>
      <c r="I2024" s="12" t="str">
        <f>Table1[[#This Row],[type]]</f>
        <v>paragraph</v>
      </c>
      <c r="J2024" s="62" t="str">
        <f>Table1[[#This Row],[Column42]]&amp;IF(Table1[[#This Row],[Column13]]="","",Table1[[#This Row],[Column13]])&amp;IF(Table1[[#This Row],[mod]]="","",Table1[[#This Row],[mod]])</f>
        <v>paragraph__glossary</v>
      </c>
      <c r="K20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paragraph__glossary</v>
      </c>
      <c r="L2024" t="s">
        <v>0</v>
      </c>
      <c r="M2024" t="s">
        <v>3356</v>
      </c>
      <c r="P2024" t="s">
        <v>3301</v>
      </c>
      <c r="Q20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4" s="29"/>
      <c r="AC2024" s="25"/>
      <c r="AD2024" s="41"/>
      <c r="AE2024" s="41"/>
      <c r="AF2024" s="11"/>
      <c r="AH2024" s="7" t="str">
        <f>Table1[[#This Row],[html_tag]]&amp;Table1[[#This Row],[html_type]]&amp;Table1[[#This Row],[html_modifier]]</f>
        <v/>
      </c>
      <c r="AL2024" s="23" t="str">
        <f>IFERROR(_xlfn.XLOOKUP(Table1[[#This Row],[word]],Table57[English style name],Table57[Style type]),"")</f>
        <v/>
      </c>
      <c r="AM2024" s="21"/>
      <c r="AN2024" s="11"/>
    </row>
    <row r="2025" spans="3:43">
      <c r="D2025" t="s">
        <v>3375</v>
      </c>
      <c r="E2025" s="76" t="s">
        <v>3376</v>
      </c>
      <c r="F20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5" s="13"/>
      <c r="H2025" s="13"/>
      <c r="I2025" s="12" t="str">
        <f>Table1[[#This Row],[type]]</f>
        <v>paragraph</v>
      </c>
      <c r="J2025" s="62" t="str">
        <f>Table1[[#This Row],[Column42]]&amp;IF(Table1[[#This Row],[Column13]]="","",Table1[[#This Row],[Column13]])&amp;IF(Table1[[#This Row],[mod]]="","",Table1[[#This Row],[mod]])</f>
        <v>paragraph__glossary</v>
      </c>
      <c r="K20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paragraph__glossary</v>
      </c>
      <c r="L2025" t="s">
        <v>0</v>
      </c>
      <c r="M2025" t="s">
        <v>3356</v>
      </c>
      <c r="P2025" t="s">
        <v>3302</v>
      </c>
      <c r="Q20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5" s="29"/>
      <c r="AC2025" s="25"/>
      <c r="AD2025" s="41"/>
      <c r="AE2025" s="41"/>
      <c r="AF2025" s="11"/>
      <c r="AH2025" s="7" t="str">
        <f>Table1[[#This Row],[html_tag]]&amp;Table1[[#This Row],[html_type]]&amp;Table1[[#This Row],[html_modifier]]</f>
        <v/>
      </c>
      <c r="AL2025" s="23" t="str">
        <f>IFERROR(_xlfn.XLOOKUP(Table1[[#This Row],[word]],Table57[English style name],Table57[Style type]),"")</f>
        <v/>
      </c>
      <c r="AM2025" s="21"/>
      <c r="AN2025" s="11"/>
    </row>
    <row r="2026" spans="3:43">
      <c r="D2026" t="s">
        <v>3375</v>
      </c>
      <c r="E2026" t="s">
        <v>3376</v>
      </c>
      <c r="F20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6" s="13"/>
      <c r="H2026" s="13"/>
      <c r="I2026" s="12" t="str">
        <f>Table1[[#This Row],[type]]</f>
        <v>paragraph</v>
      </c>
      <c r="J2026" s="62" t="str">
        <f>Table1[[#This Row],[Column42]]&amp;IF(Table1[[#This Row],[Column13]]="","",Table1[[#This Row],[Column13]])&amp;IF(Table1[[#This Row],[mod]]="","",Table1[[#This Row],[mod]])</f>
        <v>paragraph__glossary__heading</v>
      </c>
      <c r="K20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paragraph__glossary__heading</v>
      </c>
      <c r="L2026" t="s">
        <v>0</v>
      </c>
      <c r="M2026" t="s">
        <v>3356</v>
      </c>
      <c r="O2026" t="s">
        <v>100</v>
      </c>
      <c r="Q20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6" s="29"/>
      <c r="AC2026" s="25"/>
      <c r="AD2026" s="41"/>
      <c r="AE2026" s="41"/>
      <c r="AF2026" s="11"/>
      <c r="AH2026" s="7" t="str">
        <f>Table1[[#This Row],[html_tag]]&amp;Table1[[#This Row],[html_type]]&amp;Table1[[#This Row],[html_modifier]]</f>
        <v/>
      </c>
      <c r="AL2026" s="23" t="str">
        <f>IFERROR(_xlfn.XLOOKUP(Table1[[#This Row],[word]],Table57[English style name],Table57[Style type]),"")</f>
        <v/>
      </c>
      <c r="AM2026" s="21"/>
      <c r="AN2026" s="11"/>
    </row>
    <row r="2027" spans="3:43">
      <c r="D2027" t="s">
        <v>3299</v>
      </c>
      <c r="E2027" s="76"/>
      <c r="F20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7" s="13"/>
      <c r="H2027" s="13"/>
      <c r="I2027" s="12" t="str">
        <f>Table1[[#This Row],[type]]</f>
        <v>paragraph</v>
      </c>
      <c r="J2027" s="62" t="str">
        <f>Table1[[#This Row],[Column42]]&amp;IF(Table1[[#This Row],[Column13]]="","",Table1[[#This Row],[Column13]])&amp;IF(Table1[[#This Row],[mod]]="","",Table1[[#This Row],[mod]])</f>
        <v>paragraph__half_title</v>
      </c>
      <c r="K20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paragraph__half_title</v>
      </c>
      <c r="L2027" t="s">
        <v>0</v>
      </c>
      <c r="M2027" t="s">
        <v>3405</v>
      </c>
      <c r="Q20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7" s="29"/>
      <c r="AC2027" s="25"/>
      <c r="AD2027" s="41"/>
      <c r="AE2027" s="41"/>
      <c r="AF2027" s="11"/>
      <c r="AH2027" s="7" t="str">
        <f>Table1[[#This Row],[html_tag]]&amp;Table1[[#This Row],[html_type]]&amp;Table1[[#This Row],[html_modifier]]</f>
        <v/>
      </c>
      <c r="AL2027" s="23" t="str">
        <f>IFERROR(_xlfn.XLOOKUP(Table1[[#This Row],[word]],Table57[English style name],Table57[Style type]),"")</f>
        <v/>
      </c>
      <c r="AM2027" s="21"/>
      <c r="AN2027" s="11"/>
    </row>
    <row r="2028" spans="3:43">
      <c r="C2028">
        <v>1</v>
      </c>
      <c r="D2028" t="s">
        <v>3271</v>
      </c>
      <c r="E2028" s="76"/>
      <c r="F20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8" s="13"/>
      <c r="H2028" s="13"/>
      <c r="I2028" s="12" t="str">
        <f>Table1[[#This Row],[type]]</f>
        <v>paragraph</v>
      </c>
      <c r="J2028" s="62" t="str">
        <f>Table1[[#This Row],[Column42]]&amp;IF(Table1[[#This Row],[Column13]]="","",Table1[[#This Row],[Column13]])&amp;IF(Table1[[#This Row],[mod]]="","",Table1[[#This Row],[mod]])</f>
        <v>paragraph__header</v>
      </c>
      <c r="K20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28" t="s">
        <v>0</v>
      </c>
      <c r="M2028" t="s">
        <v>465</v>
      </c>
      <c r="P2028" t="s">
        <v>749</v>
      </c>
      <c r="Q20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8" s="29"/>
      <c r="AC2028" s="25"/>
      <c r="AD2028" s="41"/>
      <c r="AE2028" s="41"/>
      <c r="AF2028" s="11" t="s">
        <v>190</v>
      </c>
      <c r="AG2028" t="s">
        <v>190</v>
      </c>
      <c r="AH2028" s="1" t="str">
        <f>Table1[[#This Row],[html_tag]]&amp;Table1[[#This Row],[html_type]]&amp;Table1[[#This Row],[html_modifier]]</f>
        <v>&lt;header&gt;</v>
      </c>
      <c r="AI2028" t="s">
        <v>190</v>
      </c>
      <c r="AL2028" s="22" t="str">
        <f>IFERROR(_xlfn.XLOOKUP(Table1[[#This Row],[word]],Table57[English style name],Table57[Style type]),"")</f>
        <v>Paragraph</v>
      </c>
      <c r="AM2028" s="20" t="s">
        <v>749</v>
      </c>
      <c r="AN2028" s="11"/>
    </row>
    <row r="2029" spans="3:43">
      <c r="E2029" s="76"/>
      <c r="F20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9" s="13"/>
      <c r="H2029" s="13"/>
      <c r="I2029" s="12" t="str">
        <f>Table1[[#This Row],[type]]</f>
        <v>paragraph</v>
      </c>
      <c r="J2029" s="62" t="str">
        <f>Table1[[#This Row],[Column42]]&amp;IF(Table1[[#This Row],[Column13]]="","",Table1[[#This Row],[Column13]])&amp;IF(Table1[[#This Row],[mod]]="","",Table1[[#This Row],[mod]])</f>
        <v>paragraph__header</v>
      </c>
      <c r="K20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29" t="s">
        <v>0</v>
      </c>
      <c r="M2029" t="s">
        <v>465</v>
      </c>
      <c r="Q20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9" s="29"/>
      <c r="AC2029" s="25"/>
      <c r="AD2029" s="41"/>
      <c r="AE2029" s="59" t="s">
        <v>8844</v>
      </c>
      <c r="AF2029" s="11"/>
      <c r="AH2029" s="7" t="str">
        <f>Table1[[#This Row],[html_tag]]&amp;Table1[[#This Row],[html_type]]&amp;Table1[[#This Row],[html_modifier]]</f>
        <v/>
      </c>
      <c r="AL2029" s="23" t="str">
        <f>IFERROR(_xlfn.XLOOKUP(Table1[[#This Row],[word]],Table57[English style name],Table57[Style type]),"")</f>
        <v/>
      </c>
      <c r="AM2029" s="21"/>
      <c r="AN2029" s="11"/>
    </row>
    <row r="2030" spans="3:43">
      <c r="E2030" s="76"/>
      <c r="F20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0" s="13"/>
      <c r="H2030" s="13"/>
      <c r="I2030" s="12" t="str">
        <f>Table1[[#This Row],[type]]</f>
        <v>paragraph</v>
      </c>
      <c r="J2030" s="62" t="str">
        <f>Table1[[#This Row],[Column42]]&amp;IF(Table1[[#This Row],[Column13]]="","",Table1[[#This Row],[Column13]])&amp;IF(Table1[[#This Row],[mod]]="","",Table1[[#This Row],[mod]])</f>
        <v>paragraph__header</v>
      </c>
      <c r="K20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30" t="s">
        <v>0</v>
      </c>
      <c r="M2030" t="s">
        <v>465</v>
      </c>
      <c r="Q20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30" s="29"/>
      <c r="AC2030" s="25"/>
      <c r="AD2030" s="41"/>
      <c r="AE2030" s="59" t="s">
        <v>8849</v>
      </c>
      <c r="AF2030" s="11"/>
      <c r="AH2030" s="7" t="str">
        <f>Table1[[#This Row],[html_tag]]&amp;Table1[[#This Row],[html_type]]&amp;Table1[[#This Row],[html_modifier]]</f>
        <v/>
      </c>
      <c r="AL2030" s="23" t="str">
        <f>IFERROR(_xlfn.XLOOKUP(Table1[[#This Row],[word]],Table57[English style name],Table57[Style type]),"")</f>
        <v/>
      </c>
      <c r="AM2030" s="21"/>
      <c r="AN2030" s="11"/>
    </row>
    <row r="2031" spans="3:43">
      <c r="E2031" s="76"/>
      <c r="F20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1" s="13"/>
      <c r="H2031" s="13"/>
      <c r="I2031" s="12" t="str">
        <f>Table1[[#This Row],[type]]</f>
        <v>paragraph</v>
      </c>
      <c r="J2031" s="62" t="str">
        <f>Table1[[#This Row],[Column42]]&amp;IF(Table1[[#This Row],[Column13]]="","",Table1[[#This Row],[Column13]])&amp;IF(Table1[[#This Row],[mod]]="","",Table1[[#This Row],[mod]])</f>
        <v>paragraph__header</v>
      </c>
      <c r="K20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31" t="s">
        <v>0</v>
      </c>
      <c r="M2031" t="s">
        <v>465</v>
      </c>
      <c r="Q20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31" s="29"/>
      <c r="AC2031" s="25"/>
      <c r="AD2031" s="41"/>
      <c r="AE2031" s="59" t="s">
        <v>8852</v>
      </c>
      <c r="AF2031" s="11"/>
      <c r="AH2031" s="7" t="str">
        <f>Table1[[#This Row],[html_tag]]&amp;Table1[[#This Row],[html_type]]&amp;Table1[[#This Row],[html_modifier]]</f>
        <v/>
      </c>
      <c r="AL2031" s="23" t="str">
        <f>IFERROR(_xlfn.XLOOKUP(Table1[[#This Row],[word]],Table57[English style name],Table57[Style type]),"")</f>
        <v/>
      </c>
      <c r="AM2031" s="21"/>
      <c r="AN2031" s="11"/>
    </row>
    <row r="2032" spans="3:43">
      <c r="E2032" s="76"/>
      <c r="F20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2" s="13"/>
      <c r="H2032" s="13"/>
      <c r="I2032" s="12" t="str">
        <f>Table1[[#This Row],[type]]</f>
        <v>paragraph</v>
      </c>
      <c r="J2032" s="62" t="str">
        <f>Table1[[#This Row],[Column42]]&amp;IF(Table1[[#This Row],[Column13]]="","",Table1[[#This Row],[Column13]])&amp;IF(Table1[[#This Row],[mod]]="","",Table1[[#This Row],[mod]])</f>
        <v>paragraph__header</v>
      </c>
      <c r="K20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32" t="s">
        <v>0</v>
      </c>
      <c r="M2032" t="s">
        <v>465</v>
      </c>
      <c r="Q20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32" s="29"/>
      <c r="AC2032" s="25"/>
      <c r="AD2032" s="41"/>
      <c r="AE2032" s="59" t="s">
        <v>8854</v>
      </c>
      <c r="AF2032" s="11"/>
      <c r="AH2032" s="7" t="str">
        <f>Table1[[#This Row],[html_tag]]&amp;Table1[[#This Row],[html_type]]&amp;Table1[[#This Row],[html_modifier]]</f>
        <v/>
      </c>
      <c r="AL2032" s="23" t="str">
        <f>IFERROR(_xlfn.XLOOKUP(Table1[[#This Row],[word]],Table57[English style name],Table57[Style type]),"")</f>
        <v/>
      </c>
      <c r="AM2032" s="21"/>
      <c r="AN2032" s="11"/>
    </row>
    <row r="2033" spans="3:44">
      <c r="E2033" s="76"/>
      <c r="F20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3" s="13"/>
      <c r="H2033" s="13"/>
      <c r="I2033" s="12" t="str">
        <f>Table1[[#This Row],[type]]</f>
        <v>paragraph</v>
      </c>
      <c r="J2033" s="62" t="str">
        <f>Table1[[#This Row],[Column42]]&amp;IF(Table1[[#This Row],[Column13]]="","",Table1[[#This Row],[Column13]])&amp;IF(Table1[[#This Row],[mod]]="","",Table1[[#This Row],[mod]])</f>
        <v>paragraph__header</v>
      </c>
      <c r="K20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33" t="s">
        <v>0</v>
      </c>
      <c r="M2033" t="s">
        <v>465</v>
      </c>
      <c r="Q20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33" s="29"/>
      <c r="AC2033" s="25"/>
      <c r="AD2033" s="41"/>
      <c r="AE2033" s="59" t="s">
        <v>8855</v>
      </c>
      <c r="AF2033" s="11"/>
      <c r="AH2033" s="7" t="str">
        <f>Table1[[#This Row],[html_tag]]&amp;Table1[[#This Row],[html_type]]&amp;Table1[[#This Row],[html_modifier]]</f>
        <v/>
      </c>
      <c r="AL2033" s="23" t="str">
        <f>IFERROR(_xlfn.XLOOKUP(Table1[[#This Row],[word]],Table57[English style name],Table57[Style type]),"")</f>
        <v/>
      </c>
      <c r="AM2033" s="21"/>
      <c r="AN2033" s="11"/>
    </row>
    <row r="2034" spans="3:44">
      <c r="C2034">
        <v>1</v>
      </c>
      <c r="D2034" t="s">
        <v>3377</v>
      </c>
      <c r="E2034" s="76"/>
      <c r="F20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4" s="13" t="s">
        <v>2992</v>
      </c>
      <c r="H2034" s="13" t="s">
        <v>1</v>
      </c>
      <c r="I2034" s="12" t="str">
        <f>Table1[[#This Row],[type]]</f>
        <v>paragraph</v>
      </c>
      <c r="J2034" s="62" t="str">
        <f>Table1[[#This Row],[Column42]]&amp;IF(Table1[[#This Row],[Column13]]="","",Table1[[#This Row],[Column13]])&amp;IF(Table1[[#This Row],[mod]]="","",Table1[[#This Row],[mod]])</f>
        <v>paragraph__heading--100</v>
      </c>
      <c r="K20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4" t="s">
        <v>0</v>
      </c>
      <c r="M2034" t="s">
        <v>100</v>
      </c>
      <c r="Q20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2034">
        <v>100</v>
      </c>
      <c r="AB2034" s="29"/>
      <c r="AC2034" s="25" t="s">
        <v>3801</v>
      </c>
      <c r="AD2034" s="41"/>
      <c r="AE2034" s="59" t="s">
        <v>3801</v>
      </c>
      <c r="AF2034" s="11" t="s">
        <v>1137</v>
      </c>
      <c r="AG2034" t="s">
        <v>3241</v>
      </c>
      <c r="AH2034" s="1" t="str">
        <f>Table1[[#This Row],[html_tag]]&amp;Table1[[#This Row],[html_type]]&amp;Table1[[#This Row],[html_modifier]]</f>
        <v>&lt;h1&gt;</v>
      </c>
      <c r="AI2034" t="s">
        <v>1137</v>
      </c>
      <c r="AL2034" s="22" t="str">
        <f>IFERROR(_xlfn.XLOOKUP(Table1[[#This Row],[word]],Table57[English style name],Table57[Style type]),"")</f>
        <v>Paragraph</v>
      </c>
      <c r="AM2034" s="20" t="s">
        <v>689</v>
      </c>
      <c r="AN2034" s="11" t="s">
        <v>7</v>
      </c>
      <c r="AO2034" t="s">
        <v>24</v>
      </c>
      <c r="AP2034" t="s">
        <v>25</v>
      </c>
      <c r="AQ2034" s="6" t="s">
        <v>1848</v>
      </c>
      <c r="AR2034" t="s">
        <v>1849</v>
      </c>
    </row>
    <row r="2035" spans="3:44">
      <c r="C2035">
        <v>1</v>
      </c>
      <c r="D2035" t="s">
        <v>3377</v>
      </c>
      <c r="E2035" s="76"/>
      <c r="F20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5" s="13" t="s">
        <v>2992</v>
      </c>
      <c r="H2035" s="13" t="s">
        <v>1</v>
      </c>
      <c r="I2035" s="12" t="str">
        <f>Table1[[#This Row],[type]]</f>
        <v>paragraph</v>
      </c>
      <c r="J2035" s="62" t="str">
        <f>Table1[[#This Row],[Column42]]&amp;IF(Table1[[#This Row],[Column13]]="","",Table1[[#This Row],[Column13]])&amp;IF(Table1[[#This Row],[mod]]="","",Table1[[#This Row],[mod]])</f>
        <v>paragraph__heading--200</v>
      </c>
      <c r="K20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5" t="s">
        <v>0</v>
      </c>
      <c r="M2035" t="s">
        <v>100</v>
      </c>
      <c r="Q20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2035">
        <v>200</v>
      </c>
      <c r="AB2035" s="29"/>
      <c r="AC2035" s="25" t="s">
        <v>3802</v>
      </c>
      <c r="AD2035" s="41"/>
      <c r="AE2035" s="59" t="s">
        <v>3802</v>
      </c>
      <c r="AF2035" s="11" t="s">
        <v>1138</v>
      </c>
      <c r="AG2035" t="s">
        <v>3241</v>
      </c>
      <c r="AH2035" s="1" t="str">
        <f>Table1[[#This Row],[html_tag]]&amp;Table1[[#This Row],[html_type]]&amp;Table1[[#This Row],[html_modifier]]</f>
        <v>&lt;h2&gt;</v>
      </c>
      <c r="AI2035" t="s">
        <v>1138</v>
      </c>
      <c r="AL2035" s="22" t="str">
        <f>IFERROR(_xlfn.XLOOKUP(Table1[[#This Row],[word]],Table57[English style name],Table57[Style type]),"")</f>
        <v>Paragraph</v>
      </c>
      <c r="AM2035" s="20" t="s">
        <v>691</v>
      </c>
      <c r="AN2035" s="11" t="s">
        <v>7</v>
      </c>
      <c r="AO2035" t="s">
        <v>26</v>
      </c>
      <c r="AP2035" t="s">
        <v>27</v>
      </c>
      <c r="AQ2035" s="6" t="s">
        <v>1851</v>
      </c>
      <c r="AR2035" t="s">
        <v>1849</v>
      </c>
    </row>
    <row r="2036" spans="3:44">
      <c r="C2036">
        <v>1</v>
      </c>
      <c r="D2036" t="s">
        <v>3377</v>
      </c>
      <c r="E2036" s="76"/>
      <c r="F20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6" s="13" t="s">
        <v>2992</v>
      </c>
      <c r="H2036" s="13" t="s">
        <v>1</v>
      </c>
      <c r="I2036" s="12" t="str">
        <f>Table1[[#This Row],[type]]</f>
        <v>paragraph</v>
      </c>
      <c r="J2036" s="62" t="str">
        <f>Table1[[#This Row],[Column42]]&amp;IF(Table1[[#This Row],[Column13]]="","",Table1[[#This Row],[Column13]])&amp;IF(Table1[[#This Row],[mod]]="","",Table1[[#This Row],[mod]])</f>
        <v>paragraph__heading--300</v>
      </c>
      <c r="K20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6" t="s">
        <v>0</v>
      </c>
      <c r="M2036" t="s">
        <v>100</v>
      </c>
      <c r="Q20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2036">
        <v>300</v>
      </c>
      <c r="AB2036" s="29"/>
      <c r="AC2036" s="25" t="s">
        <v>3803</v>
      </c>
      <c r="AD2036" s="41"/>
      <c r="AE2036" s="59" t="s">
        <v>3803</v>
      </c>
      <c r="AF2036" s="11" t="s">
        <v>1139</v>
      </c>
      <c r="AG2036" t="s">
        <v>3241</v>
      </c>
      <c r="AH2036" s="1" t="str">
        <f>Table1[[#This Row],[html_tag]]&amp;Table1[[#This Row],[html_type]]&amp;Table1[[#This Row],[html_modifier]]</f>
        <v>&lt;h3&gt;</v>
      </c>
      <c r="AI2036" t="s">
        <v>1139</v>
      </c>
      <c r="AL2036" s="22" t="str">
        <f>IFERROR(_xlfn.XLOOKUP(Table1[[#This Row],[word]],Table57[English style name],Table57[Style type]),"")</f>
        <v>Paragraph</v>
      </c>
      <c r="AM2036" s="20" t="s">
        <v>693</v>
      </c>
      <c r="AN2036" s="11" t="s">
        <v>7</v>
      </c>
      <c r="AO2036" t="s">
        <v>28</v>
      </c>
      <c r="AP2036" t="s">
        <v>29</v>
      </c>
      <c r="AQ2036" s="6" t="s">
        <v>1853</v>
      </c>
      <c r="AR2036" t="s">
        <v>1849</v>
      </c>
    </row>
    <row r="2037" spans="3:44">
      <c r="C2037">
        <v>1</v>
      </c>
      <c r="D2037" t="s">
        <v>3377</v>
      </c>
      <c r="E2037" s="76"/>
      <c r="F20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7" s="13" t="s">
        <v>2992</v>
      </c>
      <c r="H2037" s="13" t="s">
        <v>1</v>
      </c>
      <c r="I2037" s="12" t="str">
        <f>Table1[[#This Row],[type]]</f>
        <v>paragraph</v>
      </c>
      <c r="J2037" s="62" t="str">
        <f>Table1[[#This Row],[Column42]]&amp;IF(Table1[[#This Row],[Column13]]="","",Table1[[#This Row],[Column13]])&amp;IF(Table1[[#This Row],[mod]]="","",Table1[[#This Row],[mod]])</f>
        <v>paragraph__heading--400</v>
      </c>
      <c r="K20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7" t="s">
        <v>0</v>
      </c>
      <c r="M2037" t="s">
        <v>100</v>
      </c>
      <c r="Q20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2037">
        <v>400</v>
      </c>
      <c r="AB2037" s="29"/>
      <c r="AC2037" s="25" t="s">
        <v>3804</v>
      </c>
      <c r="AD2037" s="41"/>
      <c r="AE2037" s="59" t="s">
        <v>3804</v>
      </c>
      <c r="AF2037" s="11" t="s">
        <v>1140</v>
      </c>
      <c r="AG2037" t="s">
        <v>3241</v>
      </c>
      <c r="AH2037" s="1" t="str">
        <f>Table1[[#This Row],[html_tag]]&amp;Table1[[#This Row],[html_type]]&amp;Table1[[#This Row],[html_modifier]]</f>
        <v>&lt;h4&gt;</v>
      </c>
      <c r="AI2037" t="s">
        <v>1140</v>
      </c>
      <c r="AL2037" s="22" t="str">
        <f>IFERROR(_xlfn.XLOOKUP(Table1[[#This Row],[word]],Table57[English style name],Table57[Style type]),"")</f>
        <v>Paragraph</v>
      </c>
      <c r="AM2037" s="20" t="s">
        <v>695</v>
      </c>
      <c r="AN2037" s="11" t="s">
        <v>7</v>
      </c>
      <c r="AO2037" t="s">
        <v>30</v>
      </c>
      <c r="AP2037" t="s">
        <v>31</v>
      </c>
      <c r="AQ2037" s="6" t="s">
        <v>1855</v>
      </c>
      <c r="AR2037" t="s">
        <v>1849</v>
      </c>
    </row>
    <row r="2038" spans="3:44">
      <c r="C2038">
        <v>1</v>
      </c>
      <c r="D2038" t="s">
        <v>3377</v>
      </c>
      <c r="E2038" s="76"/>
      <c r="F20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8" s="13" t="s">
        <v>2992</v>
      </c>
      <c r="H2038" s="13" t="s">
        <v>1</v>
      </c>
      <c r="I2038" s="12" t="str">
        <f>Table1[[#This Row],[type]]</f>
        <v>paragraph</v>
      </c>
      <c r="J2038" s="62" t="str">
        <f>Table1[[#This Row],[Column42]]&amp;IF(Table1[[#This Row],[Column13]]="","",Table1[[#This Row],[Column13]])&amp;IF(Table1[[#This Row],[mod]]="","",Table1[[#This Row],[mod]])</f>
        <v>paragraph__heading--500</v>
      </c>
      <c r="K20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8" t="s">
        <v>0</v>
      </c>
      <c r="M2038" t="s">
        <v>100</v>
      </c>
      <c r="Q20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2038">
        <v>500</v>
      </c>
      <c r="AB2038" s="29"/>
      <c r="AC2038" s="25" t="s">
        <v>3805</v>
      </c>
      <c r="AD2038" s="41"/>
      <c r="AE2038" s="59" t="s">
        <v>3805</v>
      </c>
      <c r="AF2038" s="11" t="s">
        <v>1141</v>
      </c>
      <c r="AG2038" t="s">
        <v>3241</v>
      </c>
      <c r="AH2038" s="1" t="str">
        <f>Table1[[#This Row],[html_tag]]&amp;Table1[[#This Row],[html_type]]&amp;Table1[[#This Row],[html_modifier]]</f>
        <v>&lt;h5&gt;</v>
      </c>
      <c r="AI2038" t="s">
        <v>1141</v>
      </c>
      <c r="AL2038" s="22" t="str">
        <f>IFERROR(_xlfn.XLOOKUP(Table1[[#This Row],[word]],Table57[English style name],Table57[Style type]),"")</f>
        <v>Paragraph</v>
      </c>
      <c r="AM2038" s="20" t="s">
        <v>697</v>
      </c>
      <c r="AN2038" s="11" t="s">
        <v>7</v>
      </c>
      <c r="AO2038" t="s">
        <v>30</v>
      </c>
      <c r="AP2038" t="s">
        <v>32</v>
      </c>
      <c r="AQ2038" s="6" t="s">
        <v>1857</v>
      </c>
      <c r="AR2038" t="s">
        <v>1849</v>
      </c>
    </row>
    <row r="2039" spans="3:44">
      <c r="C2039">
        <v>1</v>
      </c>
      <c r="D2039" t="s">
        <v>3377</v>
      </c>
      <c r="E2039" s="76"/>
      <c r="F20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9" s="13" t="s">
        <v>2992</v>
      </c>
      <c r="H2039" s="13" t="s">
        <v>1</v>
      </c>
      <c r="I2039" s="12" t="str">
        <f>Table1[[#This Row],[type]]</f>
        <v>paragraph</v>
      </c>
      <c r="J2039" s="62" t="str">
        <f>Table1[[#This Row],[Column42]]&amp;IF(Table1[[#This Row],[Column13]]="","",Table1[[#This Row],[Column13]])&amp;IF(Table1[[#This Row],[mod]]="","",Table1[[#This Row],[mod]])</f>
        <v>paragraph__heading--600</v>
      </c>
      <c r="K20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9" t="s">
        <v>0</v>
      </c>
      <c r="M2039" t="s">
        <v>100</v>
      </c>
      <c r="Q20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2039">
        <v>600</v>
      </c>
      <c r="AB2039" s="29"/>
      <c r="AC2039" s="25" t="s">
        <v>3806</v>
      </c>
      <c r="AD2039" s="41"/>
      <c r="AE2039" s="59" t="s">
        <v>3806</v>
      </c>
      <c r="AF2039" s="11" t="s">
        <v>1142</v>
      </c>
      <c r="AG2039" t="s">
        <v>3241</v>
      </c>
      <c r="AH2039" s="1" t="str">
        <f>Table1[[#This Row],[html_tag]]&amp;Table1[[#This Row],[html_type]]&amp;Table1[[#This Row],[html_modifier]]</f>
        <v>&lt;h6&gt;</v>
      </c>
      <c r="AI2039" t="s">
        <v>1142</v>
      </c>
      <c r="AL2039" s="22" t="str">
        <f>IFERROR(_xlfn.XLOOKUP(Table1[[#This Row],[word]],Table57[English style name],Table57[Style type]),"")</f>
        <v>Paragraph</v>
      </c>
      <c r="AM2039" s="20" t="s">
        <v>699</v>
      </c>
      <c r="AN2039" s="11" t="s">
        <v>7</v>
      </c>
      <c r="AO2039" t="s">
        <v>30</v>
      </c>
      <c r="AP2039" t="s">
        <v>33</v>
      </c>
      <c r="AQ2039" s="6" t="s">
        <v>1859</v>
      </c>
      <c r="AR2039" t="s">
        <v>1849</v>
      </c>
    </row>
    <row r="2040" spans="3:44">
      <c r="C2040">
        <v>1</v>
      </c>
      <c r="D2040" t="s">
        <v>3377</v>
      </c>
      <c r="E2040" s="76"/>
      <c r="F20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0" s="13" t="s">
        <v>2992</v>
      </c>
      <c r="H2040" s="13" t="s">
        <v>1</v>
      </c>
      <c r="I2040" s="12" t="str">
        <f>Table1[[#This Row],[type]]</f>
        <v>paragraph</v>
      </c>
      <c r="J2040" s="62" t="str">
        <f>Table1[[#This Row],[Column42]]&amp;IF(Table1[[#This Row],[Column13]]="","",Table1[[#This Row],[Column13]])&amp;IF(Table1[[#This Row],[mod]]="","",Table1[[#This Row],[mod]])</f>
        <v>paragraph__heading--700</v>
      </c>
      <c r="K20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0" t="s">
        <v>0</v>
      </c>
      <c r="M2040" t="s">
        <v>100</v>
      </c>
      <c r="Q20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--700</v>
      </c>
      <c r="AA2040">
        <v>700</v>
      </c>
      <c r="AB2040" s="29"/>
      <c r="AC2040" s="25"/>
      <c r="AD2040" s="41"/>
      <c r="AE2040" s="41"/>
      <c r="AF2040" s="11" t="s">
        <v>1142</v>
      </c>
      <c r="AG2040" t="s">
        <v>3240</v>
      </c>
      <c r="AH2040" s="1" t="str">
        <f>Table1[[#This Row],[html_tag]]&amp;Table1[[#This Row],[html_type]]&amp;Table1[[#This Row],[html_modifier]]</f>
        <v/>
      </c>
      <c r="AL2040" s="22" t="str">
        <f>IFERROR(_xlfn.XLOOKUP(Table1[[#This Row],[word]],Table57[English style name],Table57[Style type]),"")</f>
        <v>Paragraph</v>
      </c>
      <c r="AM2040" s="20" t="s">
        <v>701</v>
      </c>
      <c r="AN2040" s="11"/>
    </row>
    <row r="2041" spans="3:44">
      <c r="C2041">
        <v>1</v>
      </c>
      <c r="D2041" t="s">
        <v>3377</v>
      </c>
      <c r="E2041" s="76"/>
      <c r="F20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1" s="13" t="s">
        <v>2992</v>
      </c>
      <c r="H2041" s="13" t="s">
        <v>1</v>
      </c>
      <c r="I2041" s="12" t="str">
        <f>Table1[[#This Row],[type]]</f>
        <v>paragraph</v>
      </c>
      <c r="J2041" s="62" t="str">
        <f>Table1[[#This Row],[Column42]]&amp;IF(Table1[[#This Row],[Column13]]="","",Table1[[#This Row],[Column13]])&amp;IF(Table1[[#This Row],[mod]]="","",Table1[[#This Row],[mod]])</f>
        <v>paragraph__heading--800</v>
      </c>
      <c r="K20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1" t="s">
        <v>0</v>
      </c>
      <c r="M2041" t="s">
        <v>100</v>
      </c>
      <c r="Q20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--800</v>
      </c>
      <c r="AA2041">
        <v>800</v>
      </c>
      <c r="AB2041" s="29"/>
      <c r="AC2041" s="25"/>
      <c r="AD2041" s="41"/>
      <c r="AE2041" s="41"/>
      <c r="AF2041" s="11" t="s">
        <v>1142</v>
      </c>
      <c r="AG2041" t="s">
        <v>3240</v>
      </c>
      <c r="AH2041" s="1" t="str">
        <f>Table1[[#This Row],[html_tag]]&amp;Table1[[#This Row],[html_type]]&amp;Table1[[#This Row],[html_modifier]]</f>
        <v/>
      </c>
      <c r="AL2041" s="22" t="str">
        <f>IFERROR(_xlfn.XLOOKUP(Table1[[#This Row],[word]],Table57[English style name],Table57[Style type]),"")</f>
        <v>Paragraph</v>
      </c>
      <c r="AM2041" s="20" t="s">
        <v>703</v>
      </c>
      <c r="AN2041" s="11"/>
    </row>
    <row r="2042" spans="3:44">
      <c r="C2042">
        <v>1</v>
      </c>
      <c r="D2042" t="s">
        <v>3377</v>
      </c>
      <c r="E2042" s="76"/>
      <c r="F20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2" s="13" t="s">
        <v>2992</v>
      </c>
      <c r="H2042" s="13" t="s">
        <v>1</v>
      </c>
      <c r="I2042" s="12" t="str">
        <f>Table1[[#This Row],[type]]</f>
        <v>paragraph</v>
      </c>
      <c r="J2042" s="62" t="str">
        <f>Table1[[#This Row],[Column42]]&amp;IF(Table1[[#This Row],[Column13]]="","",Table1[[#This Row],[Column13]])&amp;IF(Table1[[#This Row],[mod]]="","",Table1[[#This Row],[mod]])</f>
        <v>paragraph__heading--900</v>
      </c>
      <c r="K20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2" t="s">
        <v>0</v>
      </c>
      <c r="M2042" t="s">
        <v>100</v>
      </c>
      <c r="Q20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--900</v>
      </c>
      <c r="AA2042">
        <v>900</v>
      </c>
      <c r="AB2042" s="29"/>
      <c r="AC2042" s="25"/>
      <c r="AD2042" s="41"/>
      <c r="AE2042" s="41"/>
      <c r="AF2042" s="11" t="s">
        <v>1142</v>
      </c>
      <c r="AG2042" t="s">
        <v>3240</v>
      </c>
      <c r="AH2042" s="1" t="str">
        <f>Table1[[#This Row],[html_tag]]&amp;Table1[[#This Row],[html_type]]&amp;Table1[[#This Row],[html_modifier]]</f>
        <v/>
      </c>
      <c r="AL2042" s="22" t="str">
        <f>IFERROR(_xlfn.XLOOKUP(Table1[[#This Row],[word]],Table57[English style name],Table57[Style type]),"")</f>
        <v>Paragraph</v>
      </c>
      <c r="AM2042" s="20" t="s">
        <v>705</v>
      </c>
      <c r="AN2042" s="11"/>
    </row>
    <row r="2043" spans="3:44">
      <c r="D2043" t="s">
        <v>3377</v>
      </c>
      <c r="E2043" s="76"/>
      <c r="F20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3" s="13" t="s">
        <v>2992</v>
      </c>
      <c r="H2043" s="13" t="s">
        <v>1</v>
      </c>
      <c r="I2043" s="12" t="str">
        <f>Table1[[#This Row],[type]]</f>
        <v>paragraph</v>
      </c>
      <c r="J2043" s="62" t="str">
        <f>Table1[[#This Row],[Column42]]&amp;IF(Table1[[#This Row],[Column13]]="","",Table1[[#This Row],[Column13]])&amp;IF(Table1[[#This Row],[mod]]="","",Table1[[#This Row],[mod]])</f>
        <v>paragraph__heading--caps--100</v>
      </c>
      <c r="K20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3" t="s">
        <v>0</v>
      </c>
      <c r="M2043" t="s">
        <v>100</v>
      </c>
      <c r="Q20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3" t="s">
        <v>3394</v>
      </c>
      <c r="U20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2043">
        <v>100</v>
      </c>
      <c r="AB2043" s="29"/>
      <c r="AC2043" s="25"/>
      <c r="AD2043" s="41"/>
      <c r="AE2043" s="41"/>
      <c r="AF2043" s="11" t="s">
        <v>1137</v>
      </c>
      <c r="AH2043" s="1" t="str">
        <f>Table1[[#This Row],[html_tag]]&amp;Table1[[#This Row],[html_type]]&amp;Table1[[#This Row],[html_modifier]]</f>
        <v/>
      </c>
      <c r="AL2043" s="22" t="str">
        <f>IFERROR(_xlfn.XLOOKUP(Table1[[#This Row],[word]],Table57[English style name],Table57[Style type]),"")</f>
        <v/>
      </c>
      <c r="AM2043" s="20"/>
      <c r="AN2043" s="11"/>
      <c r="AQ2043" s="6" t="s">
        <v>1850</v>
      </c>
      <c r="AR2043" t="s">
        <v>1849</v>
      </c>
    </row>
    <row r="2044" spans="3:44">
      <c r="D2044" t="s">
        <v>3377</v>
      </c>
      <c r="E2044" s="76"/>
      <c r="F20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4" s="13" t="s">
        <v>2992</v>
      </c>
      <c r="H2044" s="13" t="s">
        <v>1</v>
      </c>
      <c r="I2044" s="12" t="str">
        <f>Table1[[#This Row],[type]]</f>
        <v>paragraph</v>
      </c>
      <c r="J2044" s="62" t="str">
        <f>Table1[[#This Row],[Column42]]&amp;IF(Table1[[#This Row],[Column13]]="","",Table1[[#This Row],[Column13]])&amp;IF(Table1[[#This Row],[mod]]="","",Table1[[#This Row],[mod]])</f>
        <v>paragraph__heading--caps--200</v>
      </c>
      <c r="K20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4" t="s">
        <v>0</v>
      </c>
      <c r="M2044" t="s">
        <v>100</v>
      </c>
      <c r="Q20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4" t="s">
        <v>3394</v>
      </c>
      <c r="U20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2044">
        <v>200</v>
      </c>
      <c r="AB2044" s="29"/>
      <c r="AC2044" s="25"/>
      <c r="AD2044" s="41"/>
      <c r="AE2044" s="41"/>
      <c r="AF2044" s="11" t="s">
        <v>1138</v>
      </c>
      <c r="AH2044" s="1" t="str">
        <f>Table1[[#This Row],[html_tag]]&amp;Table1[[#This Row],[html_type]]&amp;Table1[[#This Row],[html_modifier]]</f>
        <v/>
      </c>
      <c r="AL2044" s="22" t="str">
        <f>IFERROR(_xlfn.XLOOKUP(Table1[[#This Row],[word]],Table57[English style name],Table57[Style type]),"")</f>
        <v/>
      </c>
      <c r="AM2044" s="20"/>
      <c r="AN2044" s="11"/>
      <c r="AQ2044" s="6" t="s">
        <v>1852</v>
      </c>
      <c r="AR2044" t="s">
        <v>1849</v>
      </c>
    </row>
    <row r="2045" spans="3:44">
      <c r="D2045" t="s">
        <v>3377</v>
      </c>
      <c r="E2045" s="76"/>
      <c r="F20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5" s="13" t="s">
        <v>2992</v>
      </c>
      <c r="H2045" s="13" t="s">
        <v>1</v>
      </c>
      <c r="I2045" s="12" t="str">
        <f>Table1[[#This Row],[type]]</f>
        <v>paragraph</v>
      </c>
      <c r="J2045" s="62" t="str">
        <f>Table1[[#This Row],[Column42]]&amp;IF(Table1[[#This Row],[Column13]]="","",Table1[[#This Row],[Column13]])&amp;IF(Table1[[#This Row],[mod]]="","",Table1[[#This Row],[mod]])</f>
        <v>paragraph__heading--caps--300</v>
      </c>
      <c r="K20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5" t="s">
        <v>0</v>
      </c>
      <c r="M2045" t="s">
        <v>100</v>
      </c>
      <c r="Q20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5" t="s">
        <v>3394</v>
      </c>
      <c r="U20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2045">
        <v>300</v>
      </c>
      <c r="AB2045" s="29"/>
      <c r="AC2045" s="25"/>
      <c r="AD2045" s="41"/>
      <c r="AE2045" s="41"/>
      <c r="AF2045" s="11" t="s">
        <v>1139</v>
      </c>
      <c r="AH2045" s="1" t="str">
        <f>Table1[[#This Row],[html_tag]]&amp;Table1[[#This Row],[html_type]]&amp;Table1[[#This Row],[html_modifier]]</f>
        <v/>
      </c>
      <c r="AL2045" s="22" t="str">
        <f>IFERROR(_xlfn.XLOOKUP(Table1[[#This Row],[word]],Table57[English style name],Table57[Style type]),"")</f>
        <v/>
      </c>
      <c r="AM2045" s="20"/>
      <c r="AN2045" s="11"/>
      <c r="AQ2045" s="6" t="s">
        <v>1854</v>
      </c>
      <c r="AR2045" t="s">
        <v>1849</v>
      </c>
    </row>
    <row r="2046" spans="3:44">
      <c r="D2046" t="s">
        <v>3377</v>
      </c>
      <c r="E2046" s="76"/>
      <c r="F20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6" s="13" t="s">
        <v>2992</v>
      </c>
      <c r="H2046" s="13" t="s">
        <v>1</v>
      </c>
      <c r="I2046" s="12" t="str">
        <f>Table1[[#This Row],[type]]</f>
        <v>paragraph</v>
      </c>
      <c r="J2046" s="62" t="str">
        <f>Table1[[#This Row],[Column42]]&amp;IF(Table1[[#This Row],[Column13]]="","",Table1[[#This Row],[Column13]])&amp;IF(Table1[[#This Row],[mod]]="","",Table1[[#This Row],[mod]])</f>
        <v>paragraph__heading--caps--400</v>
      </c>
      <c r="K20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6" t="s">
        <v>0</v>
      </c>
      <c r="M2046" t="s">
        <v>100</v>
      </c>
      <c r="Q20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6" t="s">
        <v>3394</v>
      </c>
      <c r="U20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2046">
        <v>400</v>
      </c>
      <c r="AB2046" s="29"/>
      <c r="AC2046" s="25"/>
      <c r="AD2046" s="41"/>
      <c r="AE2046" s="41"/>
      <c r="AF2046" s="11" t="s">
        <v>1140</v>
      </c>
      <c r="AH2046" s="1" t="str">
        <f>Table1[[#This Row],[html_tag]]&amp;Table1[[#This Row],[html_type]]&amp;Table1[[#This Row],[html_modifier]]</f>
        <v/>
      </c>
      <c r="AL2046" s="22" t="str">
        <f>IFERROR(_xlfn.XLOOKUP(Table1[[#This Row],[word]],Table57[English style name],Table57[Style type]),"")</f>
        <v/>
      </c>
      <c r="AM2046" s="20"/>
      <c r="AN2046" s="11"/>
      <c r="AQ2046" s="6" t="s">
        <v>1856</v>
      </c>
      <c r="AR2046" t="s">
        <v>1849</v>
      </c>
    </row>
    <row r="2047" spans="3:44">
      <c r="D2047" t="s">
        <v>3377</v>
      </c>
      <c r="E2047" s="76"/>
      <c r="F20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7" s="13" t="s">
        <v>2992</v>
      </c>
      <c r="H2047" s="13" t="s">
        <v>1</v>
      </c>
      <c r="I2047" s="12" t="str">
        <f>Table1[[#This Row],[type]]</f>
        <v>paragraph</v>
      </c>
      <c r="J2047" s="62" t="str">
        <f>Table1[[#This Row],[Column42]]&amp;IF(Table1[[#This Row],[Column13]]="","",Table1[[#This Row],[Column13]])&amp;IF(Table1[[#This Row],[mod]]="","",Table1[[#This Row],[mod]])</f>
        <v>paragraph__heading--caps--500</v>
      </c>
      <c r="K20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7" t="s">
        <v>0</v>
      </c>
      <c r="M2047" t="s">
        <v>100</v>
      </c>
      <c r="Q20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7" t="s">
        <v>3394</v>
      </c>
      <c r="U20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2047">
        <v>500</v>
      </c>
      <c r="AB2047" s="29"/>
      <c r="AC2047" s="25"/>
      <c r="AD2047" s="41"/>
      <c r="AE2047" s="41"/>
      <c r="AF2047" s="11" t="s">
        <v>1141</v>
      </c>
      <c r="AH2047" s="1" t="str">
        <f>Table1[[#This Row],[html_tag]]&amp;Table1[[#This Row],[html_type]]&amp;Table1[[#This Row],[html_modifier]]</f>
        <v/>
      </c>
      <c r="AL2047" s="22" t="str">
        <f>IFERROR(_xlfn.XLOOKUP(Table1[[#This Row],[word]],Table57[English style name],Table57[Style type]),"")</f>
        <v/>
      </c>
      <c r="AM2047" s="20"/>
      <c r="AN2047" s="11"/>
      <c r="AQ2047" s="6" t="s">
        <v>1858</v>
      </c>
      <c r="AR2047" t="s">
        <v>1849</v>
      </c>
    </row>
    <row r="2048" spans="3:44">
      <c r="D2048" t="s">
        <v>3377</v>
      </c>
      <c r="E2048" s="76"/>
      <c r="F20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8" s="13" t="s">
        <v>2992</v>
      </c>
      <c r="H2048" s="13" t="s">
        <v>1</v>
      </c>
      <c r="I2048" s="12" t="str">
        <f>Table1[[#This Row],[type]]</f>
        <v>paragraph</v>
      </c>
      <c r="J2048" s="62" t="str">
        <f>Table1[[#This Row],[Column42]]&amp;IF(Table1[[#This Row],[Column13]]="","",Table1[[#This Row],[Column13]])&amp;IF(Table1[[#This Row],[mod]]="","",Table1[[#This Row],[mod]])</f>
        <v>paragraph__heading--caps--600</v>
      </c>
      <c r="K20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8" t="s">
        <v>0</v>
      </c>
      <c r="M2048" t="s">
        <v>100</v>
      </c>
      <c r="Q20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8" t="s">
        <v>3394</v>
      </c>
      <c r="U20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2048">
        <v>600</v>
      </c>
      <c r="AB2048" s="29"/>
      <c r="AC2048" s="25"/>
      <c r="AD2048" s="41"/>
      <c r="AE2048" s="41"/>
      <c r="AF2048" s="11" t="s">
        <v>1142</v>
      </c>
      <c r="AH2048" s="1" t="str">
        <f>Table1[[#This Row],[html_tag]]&amp;Table1[[#This Row],[html_type]]&amp;Table1[[#This Row],[html_modifier]]</f>
        <v/>
      </c>
      <c r="AL2048" s="22" t="str">
        <f>IFERROR(_xlfn.XLOOKUP(Table1[[#This Row],[word]],Table57[English style name],Table57[Style type]),"")</f>
        <v/>
      </c>
      <c r="AM2048" s="20"/>
      <c r="AN2048" s="11"/>
      <c r="AQ2048" s="6" t="s">
        <v>1860</v>
      </c>
      <c r="AR2048" t="s">
        <v>1849</v>
      </c>
    </row>
    <row r="2049" spans="3:44">
      <c r="D2049" t="s">
        <v>3377</v>
      </c>
      <c r="E2049" s="76"/>
      <c r="F20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9" s="13" t="s">
        <v>2992</v>
      </c>
      <c r="H2049" s="13" t="s">
        <v>1</v>
      </c>
      <c r="I2049" s="12" t="str">
        <f>Table1[[#This Row],[type]]</f>
        <v>paragraph</v>
      </c>
      <c r="J2049" s="62" t="str">
        <f>Table1[[#This Row],[Column42]]&amp;IF(Table1[[#This Row],[Column13]]="","",Table1[[#This Row],[Column13]])&amp;IF(Table1[[#This Row],[mod]]="","",Table1[[#This Row],[mod]])</f>
        <v>paragraph__heading--caps--700</v>
      </c>
      <c r="K20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9" t="s">
        <v>0</v>
      </c>
      <c r="M2049" t="s">
        <v>100</v>
      </c>
      <c r="Q20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9" t="s">
        <v>3394</v>
      </c>
      <c r="U20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--700</v>
      </c>
      <c r="AA2049">
        <v>700</v>
      </c>
      <c r="AB2049" s="29"/>
      <c r="AC2049" s="25"/>
      <c r="AD2049" s="41"/>
      <c r="AE2049" s="41"/>
      <c r="AF2049" s="11" t="s">
        <v>1142</v>
      </c>
      <c r="AH2049" s="1" t="str">
        <f>Table1[[#This Row],[html_tag]]&amp;Table1[[#This Row],[html_type]]&amp;Table1[[#This Row],[html_modifier]]</f>
        <v/>
      </c>
      <c r="AL2049" s="23" t="str">
        <f>IFERROR(_xlfn.XLOOKUP(Table1[[#This Row],[word]],Table57[English style name],Table57[Style type]),"")</f>
        <v/>
      </c>
      <c r="AM2049" s="21"/>
      <c r="AN2049" s="11"/>
    </row>
    <row r="2050" spans="3:44">
      <c r="D2050" t="s">
        <v>3377</v>
      </c>
      <c r="E2050" s="76"/>
      <c r="F20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50" s="13" t="s">
        <v>2992</v>
      </c>
      <c r="H2050" s="13" t="s">
        <v>1</v>
      </c>
      <c r="I2050" s="12" t="str">
        <f>Table1[[#This Row],[type]]</f>
        <v>paragraph</v>
      </c>
      <c r="J2050" s="62" t="str">
        <f>Table1[[#This Row],[Column42]]&amp;IF(Table1[[#This Row],[Column13]]="","",Table1[[#This Row],[Column13]])&amp;IF(Table1[[#This Row],[mod]]="","",Table1[[#This Row],[mod]])</f>
        <v>paragraph__heading--caps--800</v>
      </c>
      <c r="K20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50" t="s">
        <v>0</v>
      </c>
      <c r="M2050" t="s">
        <v>100</v>
      </c>
      <c r="Q20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50" t="s">
        <v>3394</v>
      </c>
      <c r="U20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--800</v>
      </c>
      <c r="AA2050">
        <v>800</v>
      </c>
      <c r="AB2050" s="29"/>
      <c r="AC2050" s="25"/>
      <c r="AD2050" s="41"/>
      <c r="AE2050" s="41"/>
      <c r="AF2050" s="11" t="s">
        <v>1142</v>
      </c>
      <c r="AH2050" s="1" t="str">
        <f>Table1[[#This Row],[html_tag]]&amp;Table1[[#This Row],[html_type]]&amp;Table1[[#This Row],[html_modifier]]</f>
        <v/>
      </c>
      <c r="AL2050" s="23" t="str">
        <f>IFERROR(_xlfn.XLOOKUP(Table1[[#This Row],[word]],Table57[English style name],Table57[Style type]),"")</f>
        <v/>
      </c>
      <c r="AM2050" s="21"/>
      <c r="AN2050" s="11"/>
    </row>
    <row r="2051" spans="3:44">
      <c r="D2051" t="s">
        <v>3377</v>
      </c>
      <c r="E2051" s="76"/>
      <c r="F20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51" s="13" t="s">
        <v>2992</v>
      </c>
      <c r="H2051" s="13" t="s">
        <v>1</v>
      </c>
      <c r="I2051" s="12" t="str">
        <f>Table1[[#This Row],[type]]</f>
        <v>paragraph</v>
      </c>
      <c r="J2051" s="62" t="str">
        <f>Table1[[#This Row],[Column42]]&amp;IF(Table1[[#This Row],[Column13]]="","",Table1[[#This Row],[Column13]])&amp;IF(Table1[[#This Row],[mod]]="","",Table1[[#This Row],[mod]])</f>
        <v>paragraph__heading--caps--900</v>
      </c>
      <c r="K20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51" t="s">
        <v>0</v>
      </c>
      <c r="M2051" t="s">
        <v>100</v>
      </c>
      <c r="Q20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51" t="s">
        <v>3394</v>
      </c>
      <c r="U20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--900</v>
      </c>
      <c r="AA2051">
        <v>900</v>
      </c>
      <c r="AB2051" s="29"/>
      <c r="AC2051" s="25"/>
      <c r="AD2051" s="41"/>
      <c r="AE2051" s="41"/>
      <c r="AF2051" s="11" t="s">
        <v>1142</v>
      </c>
      <c r="AH2051" s="1" t="str">
        <f>Table1[[#This Row],[html_tag]]&amp;Table1[[#This Row],[html_type]]&amp;Table1[[#This Row],[html_modifier]]</f>
        <v/>
      </c>
      <c r="AL2051" s="23" t="str">
        <f>IFERROR(_xlfn.XLOOKUP(Table1[[#This Row],[word]],Table57[English style name],Table57[Style type]),"")</f>
        <v/>
      </c>
      <c r="AM2051" s="21"/>
      <c r="AN2051" s="11"/>
    </row>
    <row r="2052" spans="3:44">
      <c r="E2052" s="76"/>
      <c r="F20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52" s="13" t="s">
        <v>2992</v>
      </c>
      <c r="H2052" s="13" t="s">
        <v>1</v>
      </c>
      <c r="I2052" s="12" t="str">
        <f>Table1[[#This Row],[type]]</f>
        <v>paragraph</v>
      </c>
      <c r="J2052" s="62" t="str">
        <f>Table1[[#This Row],[Column42]]&amp;IF(Table1[[#This Row],[Column13]]="","",Table1[[#This Row],[Column13]])&amp;IF(Table1[[#This Row],[mod]]="","",Table1[[#This Row],[mod]])</f>
        <v>paragraph__heading--normal</v>
      </c>
      <c r="K20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52" t="s">
        <v>0</v>
      </c>
      <c r="M2052" t="s">
        <v>100</v>
      </c>
      <c r="Q20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--normal</v>
      </c>
      <c r="V2052" t="s">
        <v>3079</v>
      </c>
      <c r="AB2052" s="29"/>
      <c r="AC2052" s="25"/>
      <c r="AD2052" s="41"/>
      <c r="AE2052" s="41"/>
      <c r="AF2052" s="11"/>
      <c r="AH2052" s="1" t="str">
        <f>Table1[[#This Row],[html_tag]]&amp;Table1[[#This Row],[html_type]]&amp;Table1[[#This Row],[html_modifier]]</f>
        <v/>
      </c>
      <c r="AL2052" s="22" t="str">
        <f>IFERROR(_xlfn.XLOOKUP(Table1[[#This Row],[word]],Table57[English style name],Table57[Style type]),"")</f>
        <v/>
      </c>
      <c r="AM2052" s="20"/>
      <c r="AN2052" s="11"/>
      <c r="AQ2052" s="6" t="s">
        <v>1861</v>
      </c>
      <c r="AR2052" t="s">
        <v>1849</v>
      </c>
    </row>
    <row r="2053" spans="3:44">
      <c r="D2053" t="s">
        <v>3375</v>
      </c>
      <c r="E2053" s="76" t="s">
        <v>3376</v>
      </c>
      <c r="F20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3" s="13"/>
      <c r="H2053" s="13"/>
      <c r="I2053" s="12" t="str">
        <f>Table1[[#This Row],[type]]</f>
        <v>paragraph</v>
      </c>
      <c r="J2053" s="62" t="str">
        <f>Table1[[#This Row],[Column42]]&amp;IF(Table1[[#This Row],[Column13]]="","",Table1[[#This Row],[Column13]])&amp;IF(Table1[[#This Row],[mod]]="","",Table1[[#This Row],[mod]])</f>
        <v>paragraph__index</v>
      </c>
      <c r="K20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</v>
      </c>
      <c r="L2053" t="s">
        <v>0</v>
      </c>
      <c r="M2053" t="s">
        <v>3214</v>
      </c>
      <c r="P2053" t="s">
        <v>3304</v>
      </c>
      <c r="Q20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53" s="29"/>
      <c r="AC2053" s="25"/>
      <c r="AD2053" s="41"/>
      <c r="AE2053" s="41"/>
      <c r="AF2053" s="11"/>
      <c r="AH2053" s="7" t="str">
        <f>Table1[[#This Row],[html_tag]]&amp;Table1[[#This Row],[html_type]]&amp;Table1[[#This Row],[html_modifier]]</f>
        <v/>
      </c>
      <c r="AL2053" s="23" t="str">
        <f>IFERROR(_xlfn.XLOOKUP(Table1[[#This Row],[word]],Table57[English style name],Table57[Style type]),"")</f>
        <v/>
      </c>
      <c r="AM2053" s="21"/>
      <c r="AN2053" s="11"/>
    </row>
    <row r="2054" spans="3:44">
      <c r="D2054" t="s">
        <v>3375</v>
      </c>
      <c r="E2054" s="76" t="s">
        <v>3376</v>
      </c>
      <c r="F20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4" s="13"/>
      <c r="H2054" s="13"/>
      <c r="I2054" s="12" t="str">
        <f>Table1[[#This Row],[type]]</f>
        <v>paragraph</v>
      </c>
      <c r="J2054" s="62" t="str">
        <f>Table1[[#This Row],[Column42]]&amp;IF(Table1[[#This Row],[Column13]]="","",Table1[[#This Row],[Column13]])&amp;IF(Table1[[#This Row],[mod]]="","",Table1[[#This Row],[mod]])</f>
        <v>paragraph__index</v>
      </c>
      <c r="K20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</v>
      </c>
      <c r="L2054" t="s">
        <v>0</v>
      </c>
      <c r="M2054" t="s">
        <v>3214</v>
      </c>
      <c r="P2054" t="s">
        <v>3303</v>
      </c>
      <c r="Q20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54" s="29"/>
      <c r="AC2054" s="25"/>
      <c r="AD2054" s="41"/>
      <c r="AE2054" s="41"/>
      <c r="AF2054" s="11"/>
      <c r="AH2054" s="7" t="str">
        <f>Table1[[#This Row],[html_tag]]&amp;Table1[[#This Row],[html_type]]&amp;Table1[[#This Row],[html_modifier]]</f>
        <v/>
      </c>
      <c r="AL2054" s="23" t="str">
        <f>IFERROR(_xlfn.XLOOKUP(Table1[[#This Row],[word]],Table57[English style name],Table57[Style type]),"")</f>
        <v/>
      </c>
      <c r="AM2054" s="21"/>
      <c r="AN2054" s="11"/>
    </row>
    <row r="2055" spans="3:44">
      <c r="D2055" t="s">
        <v>3375</v>
      </c>
      <c r="E2055" t="s">
        <v>3376</v>
      </c>
      <c r="F20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5" s="13"/>
      <c r="H2055" s="13"/>
      <c r="I2055" s="12" t="str">
        <f>Table1[[#This Row],[type]]</f>
        <v>paragraph</v>
      </c>
      <c r="J2055" s="62" t="str">
        <f>Table1[[#This Row],[Column42]]&amp;IF(Table1[[#This Row],[Column13]]="","",Table1[[#This Row],[Column13]])&amp;IF(Table1[[#This Row],[mod]]="","",Table1[[#This Row],[mod]])</f>
        <v>paragraph__index__heading</v>
      </c>
      <c r="K20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paragraph__index__heading</v>
      </c>
      <c r="L2055" t="s">
        <v>0</v>
      </c>
      <c r="M2055" t="s">
        <v>3214</v>
      </c>
      <c r="O2055" t="s">
        <v>100</v>
      </c>
      <c r="Q20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55" s="29"/>
      <c r="AC2055" s="25"/>
      <c r="AD2055" s="41"/>
      <c r="AE2055" s="41"/>
      <c r="AF2055" s="11" t="s">
        <v>1138</v>
      </c>
      <c r="AG2055" t="s">
        <v>3250</v>
      </c>
      <c r="AH2055" s="1" t="str">
        <f>Table1[[#This Row],[html_tag]]&amp;Table1[[#This Row],[html_type]]&amp;Table1[[#This Row],[html_modifier]]</f>
        <v/>
      </c>
      <c r="AL2055" s="22" t="str">
        <f>IFERROR(_xlfn.XLOOKUP(Table1[[#This Row],[word]],Table57[English style name],Table57[Style type]),"")</f>
        <v>Paragraph</v>
      </c>
      <c r="AM2055" s="20" t="s">
        <v>753</v>
      </c>
      <c r="AN2055" s="11"/>
    </row>
    <row r="2056" spans="3:44">
      <c r="C2056">
        <v>1</v>
      </c>
      <c r="D2056" t="s">
        <v>3375</v>
      </c>
      <c r="E2056" t="s">
        <v>3376</v>
      </c>
      <c r="F20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6" s="13"/>
      <c r="H2056" s="13"/>
      <c r="I2056" s="12" t="str">
        <f>Table1[[#This Row],[type]]</f>
        <v>paragraph</v>
      </c>
      <c r="J2056" s="62" t="str">
        <f>Table1[[#This Row],[Column42]]&amp;IF(Table1[[#This Row],[Column13]]="","",Table1[[#This Row],[Column13]])&amp;IF(Table1[[#This Row],[mod]]="","",Table1[[#This Row],[mod]])</f>
        <v>paragraph__index__level--1</v>
      </c>
      <c r="K20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56" t="s">
        <v>0</v>
      </c>
      <c r="M2056" t="s">
        <v>3214</v>
      </c>
      <c r="O2056" t="s">
        <v>3355</v>
      </c>
      <c r="P2056" t="s">
        <v>707</v>
      </c>
      <c r="Q20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056">
        <v>1</v>
      </c>
      <c r="AB2056" s="29"/>
      <c r="AC2056" s="25"/>
      <c r="AD2056" s="41"/>
      <c r="AE2056" s="41"/>
      <c r="AF2056" s="11" t="s">
        <v>211</v>
      </c>
      <c r="AG2056" t="s">
        <v>3270</v>
      </c>
      <c r="AH2056" s="1" t="str">
        <f>Table1[[#This Row],[html_tag]]&amp;Table1[[#This Row],[html_type]]&amp;Table1[[#This Row],[html_modifier]]</f>
        <v/>
      </c>
      <c r="AL2056" s="22" t="str">
        <f>IFERROR(_xlfn.XLOOKUP(Table1[[#This Row],[word]],Table57[English style name],Table57[Style type]),"")</f>
        <v>Paragraph</v>
      </c>
      <c r="AM2056" s="20" t="s">
        <v>707</v>
      </c>
      <c r="AN2056" s="11"/>
    </row>
    <row r="2057" spans="3:44">
      <c r="C2057">
        <v>1</v>
      </c>
      <c r="D2057" t="s">
        <v>3375</v>
      </c>
      <c r="E2057" t="s">
        <v>3376</v>
      </c>
      <c r="F20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7" s="13"/>
      <c r="H2057" s="13"/>
      <c r="I2057" s="12" t="str">
        <f>Table1[[#This Row],[type]]</f>
        <v>paragraph</v>
      </c>
      <c r="J2057" s="62" t="str">
        <f>Table1[[#This Row],[Column42]]&amp;IF(Table1[[#This Row],[Column13]]="","",Table1[[#This Row],[Column13]])&amp;IF(Table1[[#This Row],[mod]]="","",Table1[[#This Row],[mod]])</f>
        <v>paragraph__index__level--2</v>
      </c>
      <c r="K20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57" t="s">
        <v>0</v>
      </c>
      <c r="M2057" t="s">
        <v>3214</v>
      </c>
      <c r="O2057" t="s">
        <v>3355</v>
      </c>
      <c r="P2057" t="s">
        <v>709</v>
      </c>
      <c r="Q20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057">
        <v>2</v>
      </c>
      <c r="AB2057" s="29"/>
      <c r="AC2057" s="25"/>
      <c r="AD2057" s="41"/>
      <c r="AE2057" s="41"/>
      <c r="AF2057" s="11" t="s">
        <v>211</v>
      </c>
      <c r="AG2057" t="s">
        <v>3270</v>
      </c>
      <c r="AH2057" s="1" t="str">
        <f>Table1[[#This Row],[html_tag]]&amp;Table1[[#This Row],[html_type]]&amp;Table1[[#This Row],[html_modifier]]</f>
        <v/>
      </c>
      <c r="AL2057" s="22" t="str">
        <f>IFERROR(_xlfn.XLOOKUP(Table1[[#This Row],[word]],Table57[English style name],Table57[Style type]),"")</f>
        <v>Paragraph</v>
      </c>
      <c r="AM2057" s="20" t="s">
        <v>709</v>
      </c>
      <c r="AN2057" s="11"/>
    </row>
    <row r="2058" spans="3:44">
      <c r="C2058">
        <v>1</v>
      </c>
      <c r="D2058" t="s">
        <v>3375</v>
      </c>
      <c r="E2058" t="s">
        <v>3376</v>
      </c>
      <c r="F20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8" s="13"/>
      <c r="H2058" s="13"/>
      <c r="I2058" s="12" t="str">
        <f>Table1[[#This Row],[type]]</f>
        <v>paragraph</v>
      </c>
      <c r="J2058" s="62" t="str">
        <f>Table1[[#This Row],[Column42]]&amp;IF(Table1[[#This Row],[Column13]]="","",Table1[[#This Row],[Column13]])&amp;IF(Table1[[#This Row],[mod]]="","",Table1[[#This Row],[mod]])</f>
        <v>paragraph__index__level--3</v>
      </c>
      <c r="K20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58" t="s">
        <v>0</v>
      </c>
      <c r="M2058" t="s">
        <v>3214</v>
      </c>
      <c r="O2058" t="s">
        <v>3355</v>
      </c>
      <c r="P2058" t="s">
        <v>711</v>
      </c>
      <c r="Q20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058">
        <v>3</v>
      </c>
      <c r="AB2058" s="29"/>
      <c r="AC2058" s="25"/>
      <c r="AD2058" s="41"/>
      <c r="AE2058" s="41"/>
      <c r="AF2058" s="11" t="s">
        <v>211</v>
      </c>
      <c r="AG2058" t="s">
        <v>3270</v>
      </c>
      <c r="AH2058" s="1" t="str">
        <f>Table1[[#This Row],[html_tag]]&amp;Table1[[#This Row],[html_type]]&amp;Table1[[#This Row],[html_modifier]]</f>
        <v/>
      </c>
      <c r="AL2058" s="22" t="str">
        <f>IFERROR(_xlfn.XLOOKUP(Table1[[#This Row],[word]],Table57[English style name],Table57[Style type]),"")</f>
        <v>Paragraph</v>
      </c>
      <c r="AM2058" s="20" t="s">
        <v>711</v>
      </c>
      <c r="AN2058" s="11"/>
    </row>
    <row r="2059" spans="3:44">
      <c r="C2059">
        <v>1</v>
      </c>
      <c r="D2059" t="s">
        <v>3375</v>
      </c>
      <c r="E2059" t="s">
        <v>3376</v>
      </c>
      <c r="F20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9" s="13"/>
      <c r="H2059" s="13"/>
      <c r="I2059" s="12" t="str">
        <f>Table1[[#This Row],[type]]</f>
        <v>paragraph</v>
      </c>
      <c r="J2059" s="62" t="str">
        <f>Table1[[#This Row],[Column42]]&amp;IF(Table1[[#This Row],[Column13]]="","",Table1[[#This Row],[Column13]])&amp;IF(Table1[[#This Row],[mod]]="","",Table1[[#This Row],[mod]])</f>
        <v>paragraph__index__level--4</v>
      </c>
      <c r="K20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59" t="s">
        <v>0</v>
      </c>
      <c r="M2059" t="s">
        <v>3214</v>
      </c>
      <c r="O2059" t="s">
        <v>3355</v>
      </c>
      <c r="P2059" t="s">
        <v>713</v>
      </c>
      <c r="Q20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059">
        <v>4</v>
      </c>
      <c r="AB2059" s="29"/>
      <c r="AC2059" s="25"/>
      <c r="AD2059" s="41"/>
      <c r="AE2059" s="41"/>
      <c r="AF2059" s="11" t="s">
        <v>211</v>
      </c>
      <c r="AG2059" t="s">
        <v>3270</v>
      </c>
      <c r="AH2059" s="1" t="str">
        <f>Table1[[#This Row],[html_tag]]&amp;Table1[[#This Row],[html_type]]&amp;Table1[[#This Row],[html_modifier]]</f>
        <v/>
      </c>
      <c r="AL2059" s="22" t="str">
        <f>IFERROR(_xlfn.XLOOKUP(Table1[[#This Row],[word]],Table57[English style name],Table57[Style type]),"")</f>
        <v>Paragraph</v>
      </c>
      <c r="AM2059" s="20" t="s">
        <v>713</v>
      </c>
      <c r="AN2059" s="11"/>
    </row>
    <row r="2060" spans="3:44">
      <c r="C2060">
        <v>1</v>
      </c>
      <c r="D2060" t="s">
        <v>3375</v>
      </c>
      <c r="E2060" t="s">
        <v>3376</v>
      </c>
      <c r="F20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0" s="13"/>
      <c r="H2060" s="13"/>
      <c r="I2060" s="12" t="str">
        <f>Table1[[#This Row],[type]]</f>
        <v>paragraph</v>
      </c>
      <c r="J2060" s="62" t="str">
        <f>Table1[[#This Row],[Column42]]&amp;IF(Table1[[#This Row],[Column13]]="","",Table1[[#This Row],[Column13]])&amp;IF(Table1[[#This Row],[mod]]="","",Table1[[#This Row],[mod]])</f>
        <v>paragraph__index__level--5</v>
      </c>
      <c r="K20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60" t="s">
        <v>0</v>
      </c>
      <c r="M2060" t="s">
        <v>3214</v>
      </c>
      <c r="O2060" t="s">
        <v>3355</v>
      </c>
      <c r="P2060" t="s">
        <v>715</v>
      </c>
      <c r="Q20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060">
        <v>5</v>
      </c>
      <c r="AB2060" s="29"/>
      <c r="AC2060" s="25"/>
      <c r="AD2060" s="41"/>
      <c r="AE2060" s="41"/>
      <c r="AF2060" s="11" t="s">
        <v>211</v>
      </c>
      <c r="AG2060" t="s">
        <v>3270</v>
      </c>
      <c r="AH2060" s="1" t="str">
        <f>Table1[[#This Row],[html_tag]]&amp;Table1[[#This Row],[html_type]]&amp;Table1[[#This Row],[html_modifier]]</f>
        <v/>
      </c>
      <c r="AL2060" s="22" t="str">
        <f>IFERROR(_xlfn.XLOOKUP(Table1[[#This Row],[word]],Table57[English style name],Table57[Style type]),"")</f>
        <v>Paragraph</v>
      </c>
      <c r="AM2060" s="20" t="s">
        <v>715</v>
      </c>
      <c r="AN2060" s="11"/>
    </row>
    <row r="2061" spans="3:44">
      <c r="C2061">
        <v>1</v>
      </c>
      <c r="D2061" t="s">
        <v>3375</v>
      </c>
      <c r="E2061" t="s">
        <v>3376</v>
      </c>
      <c r="F20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1" s="13"/>
      <c r="H2061" s="13"/>
      <c r="I2061" s="12" t="str">
        <f>Table1[[#This Row],[type]]</f>
        <v>paragraph</v>
      </c>
      <c r="J2061" s="62" t="str">
        <f>Table1[[#This Row],[Column42]]&amp;IF(Table1[[#This Row],[Column13]]="","",Table1[[#This Row],[Column13]])&amp;IF(Table1[[#This Row],[mod]]="","",Table1[[#This Row],[mod]])</f>
        <v>paragraph__index__level--6</v>
      </c>
      <c r="K20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61" t="s">
        <v>0</v>
      </c>
      <c r="M2061" t="s">
        <v>3214</v>
      </c>
      <c r="O2061" t="s">
        <v>3355</v>
      </c>
      <c r="P2061" t="s">
        <v>717</v>
      </c>
      <c r="Q20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</v>
      </c>
      <c r="AA2061">
        <v>6</v>
      </c>
      <c r="AB2061" s="29"/>
      <c r="AC2061" s="25"/>
      <c r="AD2061" s="41"/>
      <c r="AE2061" s="41"/>
      <c r="AF2061" s="11" t="s">
        <v>211</v>
      </c>
      <c r="AG2061" t="s">
        <v>3270</v>
      </c>
      <c r="AH2061" s="1" t="str">
        <f>Table1[[#This Row],[html_tag]]&amp;Table1[[#This Row],[html_type]]&amp;Table1[[#This Row],[html_modifier]]</f>
        <v/>
      </c>
      <c r="AL2061" s="22" t="str">
        <f>IFERROR(_xlfn.XLOOKUP(Table1[[#This Row],[word]],Table57[English style name],Table57[Style type]),"")</f>
        <v>Paragraph</v>
      </c>
      <c r="AM2061" s="20" t="s">
        <v>717</v>
      </c>
      <c r="AN2061" s="11"/>
    </row>
    <row r="2062" spans="3:44">
      <c r="C2062">
        <v>1</v>
      </c>
      <c r="D2062" t="s">
        <v>3375</v>
      </c>
      <c r="E2062" t="s">
        <v>3376</v>
      </c>
      <c r="F20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2" s="13"/>
      <c r="H2062" s="13"/>
      <c r="I2062" s="12" t="str">
        <f>Table1[[#This Row],[type]]</f>
        <v>paragraph</v>
      </c>
      <c r="J2062" s="62" t="str">
        <f>Table1[[#This Row],[Column42]]&amp;IF(Table1[[#This Row],[Column13]]="","",Table1[[#This Row],[Column13]])&amp;IF(Table1[[#This Row],[mod]]="","",Table1[[#This Row],[mod]])</f>
        <v>paragraph__index__level--7</v>
      </c>
      <c r="K20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62" t="s">
        <v>0</v>
      </c>
      <c r="M2062" t="s">
        <v>3214</v>
      </c>
      <c r="O2062" t="s">
        <v>3355</v>
      </c>
      <c r="P2062" t="s">
        <v>719</v>
      </c>
      <c r="Q20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</v>
      </c>
      <c r="AA2062">
        <v>7</v>
      </c>
      <c r="AB2062" s="29"/>
      <c r="AC2062" s="25"/>
      <c r="AD2062" s="41"/>
      <c r="AE2062" s="41"/>
      <c r="AF2062" s="11" t="s">
        <v>211</v>
      </c>
      <c r="AG2062" t="s">
        <v>3270</v>
      </c>
      <c r="AH2062" s="1" t="str">
        <f>Table1[[#This Row],[html_tag]]&amp;Table1[[#This Row],[html_type]]&amp;Table1[[#This Row],[html_modifier]]</f>
        <v/>
      </c>
      <c r="AL2062" s="22" t="str">
        <f>IFERROR(_xlfn.XLOOKUP(Table1[[#This Row],[word]],Table57[English style name],Table57[Style type]),"")</f>
        <v>Paragraph</v>
      </c>
      <c r="AM2062" s="20" t="s">
        <v>719</v>
      </c>
      <c r="AN2062" s="11"/>
    </row>
    <row r="2063" spans="3:44">
      <c r="C2063">
        <v>1</v>
      </c>
      <c r="D2063" t="s">
        <v>3375</v>
      </c>
      <c r="E2063" t="s">
        <v>3376</v>
      </c>
      <c r="F20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3" s="13"/>
      <c r="H2063" s="13"/>
      <c r="I2063" s="12" t="str">
        <f>Table1[[#This Row],[type]]</f>
        <v>paragraph</v>
      </c>
      <c r="J2063" s="62" t="str">
        <f>Table1[[#This Row],[Column42]]&amp;IF(Table1[[#This Row],[Column13]]="","",Table1[[#This Row],[Column13]])&amp;IF(Table1[[#This Row],[mod]]="","",Table1[[#This Row],[mod]])</f>
        <v>paragraph__index__level--8</v>
      </c>
      <c r="K20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63" t="s">
        <v>0</v>
      </c>
      <c r="M2063" t="s">
        <v>3214</v>
      </c>
      <c r="O2063" t="s">
        <v>3355</v>
      </c>
      <c r="P2063" t="s">
        <v>721</v>
      </c>
      <c r="Q20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</v>
      </c>
      <c r="AA2063">
        <v>8</v>
      </c>
      <c r="AB2063" s="29"/>
      <c r="AC2063" s="25"/>
      <c r="AD2063" s="41"/>
      <c r="AE2063" s="41"/>
      <c r="AF2063" s="11" t="s">
        <v>211</v>
      </c>
      <c r="AG2063" t="s">
        <v>3270</v>
      </c>
      <c r="AH2063" s="1" t="str">
        <f>Table1[[#This Row],[html_tag]]&amp;Table1[[#This Row],[html_type]]&amp;Table1[[#This Row],[html_modifier]]</f>
        <v/>
      </c>
      <c r="AL2063" s="22" t="str">
        <f>IFERROR(_xlfn.XLOOKUP(Table1[[#This Row],[word]],Table57[English style name],Table57[Style type]),"")</f>
        <v>Paragraph</v>
      </c>
      <c r="AM2063" s="20" t="s">
        <v>721</v>
      </c>
      <c r="AN2063" s="11"/>
    </row>
    <row r="2064" spans="3:44">
      <c r="C2064">
        <v>1</v>
      </c>
      <c r="D2064" t="s">
        <v>3375</v>
      </c>
      <c r="E2064" t="s">
        <v>3376</v>
      </c>
      <c r="F20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4" s="13"/>
      <c r="H2064" s="13"/>
      <c r="I2064" s="12" t="str">
        <f>Table1[[#This Row],[type]]</f>
        <v>paragraph</v>
      </c>
      <c r="J2064" s="62" t="str">
        <f>Table1[[#This Row],[Column42]]&amp;IF(Table1[[#This Row],[Column13]]="","",Table1[[#This Row],[Column13]])&amp;IF(Table1[[#This Row],[mod]]="","",Table1[[#This Row],[mod]])</f>
        <v>paragraph__index__level--9</v>
      </c>
      <c r="K20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64" t="s">
        <v>0</v>
      </c>
      <c r="M2064" t="s">
        <v>3214</v>
      </c>
      <c r="O2064" t="s">
        <v>3355</v>
      </c>
      <c r="P2064" t="s">
        <v>723</v>
      </c>
      <c r="Q20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</v>
      </c>
      <c r="AA2064">
        <v>9</v>
      </c>
      <c r="AB2064" s="29"/>
      <c r="AC2064" s="25"/>
      <c r="AD2064" s="41"/>
      <c r="AE2064" s="41"/>
      <c r="AF2064" s="11" t="s">
        <v>211</v>
      </c>
      <c r="AG2064" t="s">
        <v>3270</v>
      </c>
      <c r="AH2064" s="1" t="str">
        <f>Table1[[#This Row],[html_tag]]&amp;Table1[[#This Row],[html_type]]&amp;Table1[[#This Row],[html_modifier]]</f>
        <v/>
      </c>
      <c r="AL2064" s="22" t="str">
        <f>IFERROR(_xlfn.XLOOKUP(Table1[[#This Row],[word]],Table57[English style name],Table57[Style type]),"")</f>
        <v>Paragraph</v>
      </c>
      <c r="AM2064" s="20" t="s">
        <v>723</v>
      </c>
      <c r="AN2064" s="11"/>
    </row>
    <row r="2065" spans="3:47">
      <c r="D2065" t="s">
        <v>3362</v>
      </c>
      <c r="F20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5" s="13"/>
      <c r="H2065" s="13"/>
      <c r="I2065" s="12" t="str">
        <f>Table1[[#This Row],[type]]</f>
        <v>paragraph</v>
      </c>
      <c r="J2065" s="62" t="str">
        <f>Table1[[#This Row],[Column42]]&amp;IF(Table1[[#This Row],[Column13]]="","",Table1[[#This Row],[Column13]])&amp;IF(Table1[[#This Row],[mod]]="","",Table1[[#This Row],[mod]])</f>
        <v>paragraph__interlude__body</v>
      </c>
      <c r="K20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paragraph__interlude__body</v>
      </c>
      <c r="L2065" t="s">
        <v>0</v>
      </c>
      <c r="M2065" t="s">
        <v>3388</v>
      </c>
      <c r="O2065" t="s">
        <v>337</v>
      </c>
      <c r="Q20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65" s="29"/>
      <c r="AC2065" s="25"/>
      <c r="AD2065" s="41"/>
      <c r="AE2065" s="41"/>
      <c r="AF2065" s="11"/>
      <c r="AH2065" s="7" t="str">
        <f>Table1[[#This Row],[html_tag]]&amp;Table1[[#This Row],[html_type]]&amp;Table1[[#This Row],[html_modifier]]</f>
        <v/>
      </c>
      <c r="AL2065" s="23" t="str">
        <f>IFERROR(_xlfn.XLOOKUP(Table1[[#This Row],[word]],Table57[English style name],Table57[Style type]),"")</f>
        <v/>
      </c>
      <c r="AM2065" s="21"/>
      <c r="AN2065" s="11"/>
    </row>
    <row r="2066" spans="3:47">
      <c r="D2066" t="s">
        <v>3362</v>
      </c>
      <c r="F20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6" s="13"/>
      <c r="H2066" s="13"/>
      <c r="I2066" s="12" t="str">
        <f>Table1[[#This Row],[type]]</f>
        <v>paragraph</v>
      </c>
      <c r="J2066" s="62" t="str">
        <f>Table1[[#This Row],[Column42]]&amp;IF(Table1[[#This Row],[Column13]]="","",Table1[[#This Row],[Column13]])&amp;IF(Table1[[#This Row],[mod]]="","",Table1[[#This Row],[mod]])</f>
        <v>paragraph__interlude__heading</v>
      </c>
      <c r="K20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paragraph__interlude__heading</v>
      </c>
      <c r="L2066" t="s">
        <v>0</v>
      </c>
      <c r="M2066" t="s">
        <v>3388</v>
      </c>
      <c r="O2066" t="s">
        <v>100</v>
      </c>
      <c r="Q20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66" s="29"/>
      <c r="AC2066" s="25"/>
      <c r="AD2066" s="41"/>
      <c r="AE2066" s="41"/>
      <c r="AF2066" s="11"/>
      <c r="AH2066" s="7" t="str">
        <f>Table1[[#This Row],[html_tag]]&amp;Table1[[#This Row],[html_type]]&amp;Table1[[#This Row],[html_modifier]]</f>
        <v/>
      </c>
      <c r="AL2066" s="23" t="str">
        <f>IFERROR(_xlfn.XLOOKUP(Table1[[#This Row],[word]],Table57[English style name],Table57[Style type]),"")</f>
        <v/>
      </c>
      <c r="AM2066" s="21"/>
      <c r="AN2066" s="11"/>
    </row>
    <row r="2067" spans="3:47">
      <c r="D2067" t="s">
        <v>3348</v>
      </c>
      <c r="F20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7" s="13"/>
      <c r="H2067" s="13"/>
      <c r="I2067" s="12" t="str">
        <f>Table1[[#This Row],[type]]</f>
        <v>paragraph</v>
      </c>
      <c r="J2067" s="62" t="str">
        <f>Table1[[#This Row],[Column42]]&amp;IF(Table1[[#This Row],[Column13]]="","",Table1[[#This Row],[Column13]])&amp;IF(Table1[[#This Row],[mod]]="","",Table1[[#This Row],[mod]])</f>
        <v>paragraph__introduction__body</v>
      </c>
      <c r="K20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paragraph__introduction__body</v>
      </c>
      <c r="L2067" t="s">
        <v>0</v>
      </c>
      <c r="M2067" t="s">
        <v>3408</v>
      </c>
      <c r="O2067" t="s">
        <v>337</v>
      </c>
      <c r="Q20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67" s="29"/>
      <c r="AC2067" s="25"/>
      <c r="AD2067" s="41"/>
      <c r="AE2067" s="41"/>
      <c r="AF2067" s="11"/>
      <c r="AH2067" s="7" t="str">
        <f>Table1[[#This Row],[html_tag]]&amp;Table1[[#This Row],[html_type]]&amp;Table1[[#This Row],[html_modifier]]</f>
        <v/>
      </c>
      <c r="AL2067" s="23" t="str">
        <f>IFERROR(_xlfn.XLOOKUP(Table1[[#This Row],[word]],Table57[English style name],Table57[Style type]),"")</f>
        <v/>
      </c>
      <c r="AM2067" s="21"/>
      <c r="AN2067" s="11"/>
    </row>
    <row r="2068" spans="3:47">
      <c r="D2068" t="s">
        <v>3299</v>
      </c>
      <c r="F20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8" s="13"/>
      <c r="H2068" s="13"/>
      <c r="I2068" s="12" t="str">
        <f>Table1[[#This Row],[type]]</f>
        <v>paragraph</v>
      </c>
      <c r="J2068" s="62" t="str">
        <f>Table1[[#This Row],[Column42]]&amp;IF(Table1[[#This Row],[Column13]]="","",Table1[[#This Row],[Column13]])&amp;IF(Table1[[#This Row],[mod]]="","",Table1[[#This Row],[mod]])</f>
        <v>paragraph__ISBN line</v>
      </c>
      <c r="K20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paragraph__ISBN line</v>
      </c>
      <c r="L2068" t="s">
        <v>0</v>
      </c>
      <c r="O2068" t="s">
        <v>3294</v>
      </c>
      <c r="P2068" t="s">
        <v>3294</v>
      </c>
      <c r="Q20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68" s="29"/>
      <c r="AC2068" s="25"/>
      <c r="AD2068" s="41"/>
      <c r="AE2068" s="41"/>
      <c r="AF2068" s="11"/>
      <c r="AH2068" s="7" t="str">
        <f>Table1[[#This Row],[html_tag]]&amp;Table1[[#This Row],[html_type]]&amp;Table1[[#This Row],[html_modifier]]</f>
        <v/>
      </c>
      <c r="AL2068" s="23" t="str">
        <f>IFERROR(_xlfn.XLOOKUP(Table1[[#This Row],[word]],Table57[English style name],Table57[Style type]),"")</f>
        <v/>
      </c>
      <c r="AM2068" s="21"/>
      <c r="AN2068" s="11"/>
    </row>
    <row r="2069" spans="3:47">
      <c r="D2069" t="s">
        <v>804</v>
      </c>
      <c r="F20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9" s="13"/>
      <c r="H2069" s="13"/>
      <c r="I2069" s="12" t="str">
        <f>Table1[[#This Row],[type]]</f>
        <v>paragraph</v>
      </c>
      <c r="J2069" s="62" t="str">
        <f>Table1[[#This Row],[Column42]]&amp;IF(Table1[[#This Row],[Column13]]="","",Table1[[#This Row],[Column13]])&amp;IF(Table1[[#This Row],[mod]]="","",Table1[[#This Row],[mod]])</f>
        <v>paragraph__lead__body</v>
      </c>
      <c r="K20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paragraph__lead__body</v>
      </c>
      <c r="L2069" t="s">
        <v>0</v>
      </c>
      <c r="M2069" t="s">
        <v>3432</v>
      </c>
      <c r="O2069" t="s">
        <v>337</v>
      </c>
      <c r="Q20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69" s="29"/>
      <c r="AC2069" s="25"/>
      <c r="AD2069" s="41"/>
      <c r="AE2069" s="41"/>
      <c r="AF2069" s="11" t="s">
        <v>239</v>
      </c>
      <c r="AH2069" s="7" t="str">
        <f>Table1[[#This Row],[html_tag]]&amp;Table1[[#This Row],[html_type]]&amp;Table1[[#This Row],[html_modifier]]</f>
        <v/>
      </c>
      <c r="AL2069" s="23" t="str">
        <f>IFERROR(_xlfn.XLOOKUP(Table1[[#This Row],[word]],Table57[English style name],Table57[Style type]),"")</f>
        <v/>
      </c>
      <c r="AM2069" s="21"/>
      <c r="AN2069" s="11"/>
    </row>
    <row r="2070" spans="3:47">
      <c r="E2070" s="76"/>
      <c r="F20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70" s="13" t="s">
        <v>2992</v>
      </c>
      <c r="H2070" s="13" t="s">
        <v>1</v>
      </c>
      <c r="I2070" s="12" t="str">
        <f>Table1[[#This Row],[type]]</f>
        <v>paragraph</v>
      </c>
      <c r="J2070" s="62" t="str">
        <f>Table1[[#This Row],[Column42]]&amp;IF(Table1[[#This Row],[Column13]]="","",Table1[[#This Row],[Column13]])&amp;IF(Table1[[#This Row],[mod]]="","",Table1[[#This Row],[mod]])</f>
        <v>paragraph__left</v>
      </c>
      <c r="K20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paragraph__left</v>
      </c>
      <c r="L2070" t="s">
        <v>0</v>
      </c>
      <c r="N2070" t="s">
        <v>616</v>
      </c>
      <c r="P2070" s="6" t="s">
        <v>1500</v>
      </c>
      <c r="Q20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0" s="29"/>
      <c r="AC2070" s="25"/>
      <c r="AD2070" s="41"/>
      <c r="AE2070" s="41"/>
      <c r="AF2070" s="11"/>
      <c r="AH2070" s="1" t="str">
        <f>Table1[[#This Row],[html_tag]]&amp;Table1[[#This Row],[html_type]]&amp;Table1[[#This Row],[html_modifier]]</f>
        <v/>
      </c>
      <c r="AL2070" s="22" t="str">
        <f>IFERROR(_xlfn.XLOOKUP(Table1[[#This Row],[word]],Table57[English style name],Table57[Style type]),"")</f>
        <v/>
      </c>
      <c r="AM2070" s="20"/>
      <c r="AN2070" s="11"/>
      <c r="AQ2070" s="6" t="s">
        <v>1500</v>
      </c>
      <c r="AR2070" t="s">
        <v>1497</v>
      </c>
    </row>
    <row r="2071" spans="3:47">
      <c r="E2071" s="76"/>
      <c r="F20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71" s="13" t="s">
        <v>2992</v>
      </c>
      <c r="H2071" s="13" t="s">
        <v>1</v>
      </c>
      <c r="I2071" s="12" t="str">
        <f>Table1[[#This Row],[type]]</f>
        <v>paragraph</v>
      </c>
      <c r="J2071" s="62" t="str">
        <f>Table1[[#This Row],[Column42]]&amp;IF(Table1[[#This Row],[Column13]]="","",Table1[[#This Row],[Column13]])&amp;IF(Table1[[#This Row],[mod]]="","",Table1[[#This Row],[mod]])</f>
        <v>paragraph__left</v>
      </c>
      <c r="K20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paragraph__left</v>
      </c>
      <c r="L2071" t="s">
        <v>0</v>
      </c>
      <c r="N2071" t="s">
        <v>616</v>
      </c>
      <c r="P2071" s="6" t="s">
        <v>1502</v>
      </c>
      <c r="Q20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1" s="29"/>
      <c r="AC2071" s="25"/>
      <c r="AD2071" s="41"/>
      <c r="AE2071" s="41"/>
      <c r="AF2071" s="11"/>
      <c r="AH2071" s="1" t="str">
        <f>Table1[[#This Row],[html_tag]]&amp;Table1[[#This Row],[html_type]]&amp;Table1[[#This Row],[html_modifier]]</f>
        <v/>
      </c>
      <c r="AL2071" s="22" t="str">
        <f>IFERROR(_xlfn.XLOOKUP(Table1[[#This Row],[word]],Table57[English style name],Table57[Style type]),"")</f>
        <v/>
      </c>
      <c r="AM2071" s="20"/>
      <c r="AN2071" s="11"/>
      <c r="AQ2071" s="6" t="s">
        <v>1502</v>
      </c>
      <c r="AR2071" t="s">
        <v>1497</v>
      </c>
    </row>
    <row r="2072" spans="3:47">
      <c r="D2072" t="s">
        <v>3299</v>
      </c>
      <c r="F20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2" s="13"/>
      <c r="H2072" s="13"/>
      <c r="I2072" s="12" t="str">
        <f>Table1[[#This Row],[type]]</f>
        <v>paragraph</v>
      </c>
      <c r="J2072" s="62" t="str">
        <f>Table1[[#This Row],[Column42]]&amp;IF(Table1[[#This Row],[Column13]]="","",Table1[[#This Row],[Column13]])&amp;IF(Table1[[#This Row],[mod]]="","",Table1[[#This Row],[mod]])</f>
        <v>paragraph__Legal disclaimer</v>
      </c>
      <c r="K20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paragraph__Legal disclaimer</v>
      </c>
      <c r="L2072" t="s">
        <v>0</v>
      </c>
      <c r="O2072" t="s">
        <v>3295</v>
      </c>
      <c r="P2072" t="s">
        <v>3295</v>
      </c>
      <c r="Q20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2" s="29"/>
      <c r="AC2072" s="25"/>
      <c r="AD2072" s="41"/>
      <c r="AE2072" s="41"/>
      <c r="AF2072" s="11"/>
      <c r="AH2072" s="7" t="str">
        <f>Table1[[#This Row],[html_tag]]&amp;Table1[[#This Row],[html_type]]&amp;Table1[[#This Row],[html_modifier]]</f>
        <v/>
      </c>
      <c r="AL2072" s="23" t="str">
        <f>IFERROR(_xlfn.XLOOKUP(Table1[[#This Row],[word]],Table57[English style name],Table57[Style type]),"")</f>
        <v/>
      </c>
      <c r="AM2072" s="21"/>
      <c r="AN2072" s="11"/>
    </row>
    <row r="2073" spans="3:47">
      <c r="E2073" s="76"/>
      <c r="F20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73" s="13" t="s">
        <v>2992</v>
      </c>
      <c r="H2073" s="13" t="s">
        <v>1</v>
      </c>
      <c r="I2073" s="12" t="str">
        <f>Table1[[#This Row],[type]]</f>
        <v>paragraph</v>
      </c>
      <c r="J2073" s="62" t="str">
        <f>Table1[[#This Row],[Column42]]&amp;IF(Table1[[#This Row],[Column13]]="","",Table1[[#This Row],[Column13]])&amp;IF(Table1[[#This Row],[mod]]="","",Table1[[#This Row],[mod]])</f>
        <v>paragraph__list</v>
      </c>
      <c r="K20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3" t="s">
        <v>0</v>
      </c>
      <c r="M2073" t="s">
        <v>325</v>
      </c>
      <c r="P2073" s="6" t="s">
        <v>2036</v>
      </c>
      <c r="Q20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3" s="29"/>
      <c r="AC2073" s="25"/>
      <c r="AD2073" s="41"/>
      <c r="AE2073" s="41"/>
      <c r="AF2073" s="11" t="s">
        <v>211</v>
      </c>
      <c r="AH2073" s="1" t="str">
        <f>Table1[[#This Row],[html_tag]]&amp;Table1[[#This Row],[html_type]]&amp;Table1[[#This Row],[html_modifier]]</f>
        <v/>
      </c>
      <c r="AL2073" s="22" t="str">
        <f>IFERROR(_xlfn.XLOOKUP(Table1[[#This Row],[word]],Table57[English style name],Table57[Style type]),"")</f>
        <v/>
      </c>
      <c r="AM2073" s="20"/>
      <c r="AN2073" s="11"/>
      <c r="AQ2073" s="6" t="s">
        <v>2036</v>
      </c>
      <c r="AR2073" t="s">
        <v>2026</v>
      </c>
    </row>
    <row r="2074" spans="3:47">
      <c r="E2074" s="76"/>
      <c r="F20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74" s="13" t="s">
        <v>2992</v>
      </c>
      <c r="H2074" s="13" t="s">
        <v>1</v>
      </c>
      <c r="I2074" s="12" t="str">
        <f>Table1[[#This Row],[type]]</f>
        <v>paragraph</v>
      </c>
      <c r="J2074" s="62" t="str">
        <f>Table1[[#This Row],[Column42]]&amp;IF(Table1[[#This Row],[Column13]]="","",Table1[[#This Row],[Column13]])&amp;IF(Table1[[#This Row],[mod]]="","",Table1[[#This Row],[mod]])</f>
        <v>paragraph__list</v>
      </c>
      <c r="K20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4" t="s">
        <v>0</v>
      </c>
      <c r="M2074" t="s">
        <v>325</v>
      </c>
      <c r="P2074" s="6" t="s">
        <v>2031</v>
      </c>
      <c r="Q20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4" s="29" t="s">
        <v>4363</v>
      </c>
      <c r="AC2074" s="25"/>
      <c r="AD2074" s="41"/>
      <c r="AE2074" s="41"/>
      <c r="AF2074" s="11" t="s">
        <v>211</v>
      </c>
      <c r="AH2074" s="1" t="str">
        <f>Table1[[#This Row],[html_tag]]&amp;Table1[[#This Row],[html_type]]&amp;Table1[[#This Row],[html_modifier]]</f>
        <v>&lt;li&gt;</v>
      </c>
      <c r="AI2074" t="s">
        <v>211</v>
      </c>
      <c r="AL2074" s="22" t="str">
        <f>IFERROR(_xlfn.XLOOKUP(Table1[[#This Row],[word]],Table57[English style name],Table57[Style type]),"")</f>
        <v/>
      </c>
      <c r="AM2074" s="20"/>
      <c r="AN2074" s="11"/>
      <c r="AQ2074" s="6" t="s">
        <v>2031</v>
      </c>
      <c r="AR2074" t="s">
        <v>2026</v>
      </c>
      <c r="AU2074" t="s">
        <v>558</v>
      </c>
    </row>
    <row r="2075" spans="3:47">
      <c r="D2075" t="s">
        <v>3317</v>
      </c>
      <c r="E2075" s="76"/>
      <c r="F20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5" s="13"/>
      <c r="H2075" s="13"/>
      <c r="I2075" s="12" t="str">
        <f>Table1[[#This Row],[type]]</f>
        <v>paragraph</v>
      </c>
      <c r="J2075" s="62" t="str">
        <f>Table1[[#This Row],[Column42]]&amp;IF(Table1[[#This Row],[Column13]]="","",Table1[[#This Row],[Column13]])&amp;IF(Table1[[#This Row],[mod]]="","",Table1[[#This Row],[mod]])</f>
        <v>paragraph__list</v>
      </c>
      <c r="K20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5" t="s">
        <v>0</v>
      </c>
      <c r="M2075" t="s">
        <v>325</v>
      </c>
      <c r="Q20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5" s="29"/>
      <c r="AC2075" s="25"/>
      <c r="AD2075" s="41"/>
      <c r="AE2075" s="41"/>
      <c r="AF2075" s="11"/>
      <c r="AH2075" s="7" t="str">
        <f>Table1[[#This Row],[html_tag]]&amp;Table1[[#This Row],[html_type]]&amp;Table1[[#This Row],[html_modifier]]</f>
        <v/>
      </c>
      <c r="AL2075" s="23" t="str">
        <f>IFERROR(_xlfn.XLOOKUP(Table1[[#This Row],[word]],Table57[English style name],Table57[Style type]),"")</f>
        <v/>
      </c>
      <c r="AM2075" s="21"/>
      <c r="AN2075" s="11"/>
    </row>
    <row r="2076" spans="3:47">
      <c r="D2076" t="s">
        <v>3317</v>
      </c>
      <c r="E2076" s="76"/>
      <c r="F20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6" s="13"/>
      <c r="H2076" s="13"/>
      <c r="I2076" s="12" t="str">
        <f>Table1[[#This Row],[type]]</f>
        <v>paragraph</v>
      </c>
      <c r="J2076" s="62" t="str">
        <f>Table1[[#This Row],[Column42]]&amp;IF(Table1[[#This Row],[Column13]]="","",Table1[[#This Row],[Column13]])&amp;IF(Table1[[#This Row],[mod]]="","",Table1[[#This Row],[mod]])</f>
        <v>paragraph__list</v>
      </c>
      <c r="K20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6" t="s">
        <v>0</v>
      </c>
      <c r="M2076" t="s">
        <v>325</v>
      </c>
      <c r="Q20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6" s="29"/>
      <c r="AC2076" s="25"/>
      <c r="AD2076" s="41"/>
      <c r="AE2076" s="41"/>
      <c r="AF2076" s="11"/>
      <c r="AH2076" s="7" t="str">
        <f>Table1[[#This Row],[html_tag]]&amp;Table1[[#This Row],[html_type]]&amp;Table1[[#This Row],[html_modifier]]</f>
        <v/>
      </c>
      <c r="AL2076" s="23" t="str">
        <f>IFERROR(_xlfn.XLOOKUP(Table1[[#This Row],[word]],Table57[English style name],Table57[Style type]),"")</f>
        <v/>
      </c>
      <c r="AM2076" s="21"/>
      <c r="AN2076" s="11"/>
    </row>
    <row r="2077" spans="3:47">
      <c r="E2077" s="76"/>
      <c r="F20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7" s="13"/>
      <c r="H2077" s="13"/>
      <c r="I2077" s="12" t="str">
        <f>Table1[[#This Row],[type]]</f>
        <v>paragraph</v>
      </c>
      <c r="J2077" s="62" t="str">
        <f>Table1[[#This Row],[Column42]]&amp;IF(Table1[[#This Row],[Column13]]="","",Table1[[#This Row],[Column13]])&amp;IF(Table1[[#This Row],[mod]]="","",Table1[[#This Row],[mod]])</f>
        <v>paragraph__list</v>
      </c>
      <c r="K20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7" t="s">
        <v>0</v>
      </c>
      <c r="M2077" t="s">
        <v>325</v>
      </c>
      <c r="Q20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7" s="29"/>
      <c r="AC2077" s="25"/>
      <c r="AD2077" s="41" t="s">
        <v>6802</v>
      </c>
      <c r="AE2077" s="41"/>
      <c r="AF2077" s="11"/>
      <c r="AH2077" s="7" t="str">
        <f>Table1[[#This Row],[html_tag]]&amp;Table1[[#This Row],[html_type]]&amp;Table1[[#This Row],[html_modifier]]</f>
        <v/>
      </c>
      <c r="AL2077" s="23" t="str">
        <f>IFERROR(_xlfn.XLOOKUP(Table1[[#This Row],[word]],Table57[English style name],Table57[Style type]),"")</f>
        <v/>
      </c>
      <c r="AM2077" s="21"/>
      <c r="AN2077" s="11"/>
    </row>
    <row r="2078" spans="3:47">
      <c r="E2078" s="76"/>
      <c r="F20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8" s="13"/>
      <c r="H2078" s="13"/>
      <c r="I2078" s="12" t="str">
        <f>Table1[[#This Row],[type]]</f>
        <v>paragraph</v>
      </c>
      <c r="J2078" s="62" t="str">
        <f>Table1[[#This Row],[Column42]]&amp;IF(Table1[[#This Row],[Column13]]="","",Table1[[#This Row],[Column13]])&amp;IF(Table1[[#This Row],[mod]]="","",Table1[[#This Row],[mod]])</f>
        <v>paragraph__list</v>
      </c>
      <c r="K20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8" t="s">
        <v>0</v>
      </c>
      <c r="M2078" t="s">
        <v>325</v>
      </c>
      <c r="Q20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8" s="29"/>
      <c r="AC2078" s="25"/>
      <c r="AD2078" s="41" t="s">
        <v>6803</v>
      </c>
      <c r="AE2078" s="41"/>
      <c r="AF2078" s="11"/>
      <c r="AH2078" s="7" t="str">
        <f>Table1[[#This Row],[html_tag]]&amp;Table1[[#This Row],[html_type]]&amp;Table1[[#This Row],[html_modifier]]</f>
        <v/>
      </c>
      <c r="AL2078" s="23" t="str">
        <f>IFERROR(_xlfn.XLOOKUP(Table1[[#This Row],[word]],Table57[English style name],Table57[Style type]),"")</f>
        <v/>
      </c>
      <c r="AM2078" s="21"/>
      <c r="AN2078" s="11"/>
    </row>
    <row r="2079" spans="3:47">
      <c r="E2079" s="76"/>
      <c r="F20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9" s="13"/>
      <c r="H2079" s="13"/>
      <c r="I2079" s="12" t="str">
        <f>Table1[[#This Row],[type]]</f>
        <v>paragraph</v>
      </c>
      <c r="J2079" s="62" t="str">
        <f>Table1[[#This Row],[Column42]]&amp;IF(Table1[[#This Row],[Column13]]="","",Table1[[#This Row],[Column13]])&amp;IF(Table1[[#This Row],[mod]]="","",Table1[[#This Row],[mod]])</f>
        <v>paragraph__list</v>
      </c>
      <c r="K20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9" t="s">
        <v>0</v>
      </c>
      <c r="M2079" t="s">
        <v>325</v>
      </c>
      <c r="Q20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9" s="29"/>
      <c r="AC2079" s="25"/>
      <c r="AD2079" s="41" t="s">
        <v>6804</v>
      </c>
      <c r="AE2079" s="41"/>
      <c r="AF2079" s="11"/>
      <c r="AH2079" s="7" t="str">
        <f>Table1[[#This Row],[html_tag]]&amp;Table1[[#This Row],[html_type]]&amp;Table1[[#This Row],[html_modifier]]</f>
        <v/>
      </c>
      <c r="AL2079" s="23" t="str">
        <f>IFERROR(_xlfn.XLOOKUP(Table1[[#This Row],[word]],Table57[English style name],Table57[Style type]),"")</f>
        <v/>
      </c>
      <c r="AM2079" s="21"/>
      <c r="AN2079" s="11"/>
    </row>
    <row r="2080" spans="3:47">
      <c r="C2080">
        <v>1</v>
      </c>
      <c r="E2080" s="76"/>
      <c r="F20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0" s="13"/>
      <c r="H2080" s="13"/>
      <c r="I2080" s="12" t="str">
        <f>Table1[[#This Row],[type]]</f>
        <v>paragraph</v>
      </c>
      <c r="J2080" s="62" t="str">
        <f>Table1[[#This Row],[Column42]]&amp;IF(Table1[[#This Row],[Column13]]="","",Table1[[#This Row],[Column13]])&amp;IF(Table1[[#This Row],[mod]]="","",Table1[[#This Row],[mod]])</f>
        <v>paragraph__list</v>
      </c>
      <c r="K20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0" t="s">
        <v>0</v>
      </c>
      <c r="M2080" t="s">
        <v>325</v>
      </c>
      <c r="P2080" t="s">
        <v>684</v>
      </c>
      <c r="Q20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0" s="29"/>
      <c r="AC2080" s="25"/>
      <c r="AD2080" s="41"/>
      <c r="AE2080" s="41"/>
      <c r="AF2080" s="11" t="s">
        <v>231</v>
      </c>
      <c r="AH2080" s="1" t="str">
        <f>Table1[[#This Row],[html_tag]]&amp;Table1[[#This Row],[html_type]]&amp;Table1[[#This Row],[html_modifier]]</f>
        <v/>
      </c>
      <c r="AL2080" s="22" t="str">
        <f>IFERROR(_xlfn.XLOOKUP(Table1[[#This Row],[word]],Table57[English style name],Table57[Style type]),"")</f>
        <v>List</v>
      </c>
      <c r="AM2080" s="20" t="s">
        <v>684</v>
      </c>
      <c r="AN2080" s="11"/>
    </row>
    <row r="2081" spans="3:44">
      <c r="C2081">
        <v>1</v>
      </c>
      <c r="E2081" s="76"/>
      <c r="F20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1" s="13"/>
      <c r="H2081" s="13"/>
      <c r="I2081" s="12" t="str">
        <f>Table1[[#This Row],[type]]</f>
        <v>paragraph</v>
      </c>
      <c r="J2081" s="62" t="str">
        <f>Table1[[#This Row],[Column42]]&amp;IF(Table1[[#This Row],[Column13]]="","",Table1[[#This Row],[Column13]])&amp;IF(Table1[[#This Row],[mod]]="","",Table1[[#This Row],[mod]])</f>
        <v>paragraph__list</v>
      </c>
      <c r="K20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1" t="s">
        <v>0</v>
      </c>
      <c r="M2081" t="s">
        <v>325</v>
      </c>
      <c r="P2081" t="s">
        <v>683</v>
      </c>
      <c r="Q20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1" s="29"/>
      <c r="AC2081" s="25"/>
      <c r="AD2081" s="41"/>
      <c r="AE2081" s="41"/>
      <c r="AF2081" s="11" t="s">
        <v>231</v>
      </c>
      <c r="AH2081" s="1" t="str">
        <f>Table1[[#This Row],[html_tag]]&amp;Table1[[#This Row],[html_type]]&amp;Table1[[#This Row],[html_modifier]]</f>
        <v/>
      </c>
      <c r="AL2081" s="22" t="str">
        <f>IFERROR(_xlfn.XLOOKUP(Table1[[#This Row],[word]],Table57[English style name],Table57[Style type]),"")</f>
        <v>List</v>
      </c>
      <c r="AM2081" s="20" t="s">
        <v>683</v>
      </c>
      <c r="AN2081" s="11"/>
    </row>
    <row r="2082" spans="3:44">
      <c r="C2082">
        <v>1</v>
      </c>
      <c r="E2082" s="76"/>
      <c r="F20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2" s="13"/>
      <c r="H2082" s="13"/>
      <c r="I2082" s="12" t="str">
        <f>Table1[[#This Row],[type]]</f>
        <v>paragraph</v>
      </c>
      <c r="J2082" s="62" t="str">
        <f>Table1[[#This Row],[Column42]]&amp;IF(Table1[[#This Row],[Column13]]="","",Table1[[#This Row],[Column13]])&amp;IF(Table1[[#This Row],[mod]]="","",Table1[[#This Row],[mod]])</f>
        <v>paragraph__list</v>
      </c>
      <c r="K20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2" t="s">
        <v>0</v>
      </c>
      <c r="M2082" t="s">
        <v>325</v>
      </c>
      <c r="P2082" t="s">
        <v>685</v>
      </c>
      <c r="Q20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2" s="29"/>
      <c r="AC2082" s="25"/>
      <c r="AD2082" s="41"/>
      <c r="AE2082" s="41"/>
      <c r="AF2082" s="11" t="s">
        <v>231</v>
      </c>
      <c r="AH2082" s="1" t="str">
        <f>Table1[[#This Row],[html_tag]]&amp;Table1[[#This Row],[html_type]]&amp;Table1[[#This Row],[html_modifier]]</f>
        <v/>
      </c>
      <c r="AL2082" s="22" t="str">
        <f>IFERROR(_xlfn.XLOOKUP(Table1[[#This Row],[word]],Table57[English style name],Table57[Style type]),"")</f>
        <v>List</v>
      </c>
      <c r="AM2082" s="20" t="s">
        <v>685</v>
      </c>
      <c r="AN2082" s="11"/>
    </row>
    <row r="2083" spans="3:44">
      <c r="D2083" t="s">
        <v>3317</v>
      </c>
      <c r="E2083" s="76"/>
      <c r="F20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3" s="13"/>
      <c r="H2083" s="13"/>
      <c r="I2083" s="12" t="str">
        <f>Table1[[#This Row],[type]]</f>
        <v>paragraph</v>
      </c>
      <c r="J2083" s="62" t="str">
        <f>Table1[[#This Row],[Column42]]&amp;IF(Table1[[#This Row],[Column13]]="","",Table1[[#This Row],[Column13]])&amp;IF(Table1[[#This Row],[mod]]="","",Table1[[#This Row],[mod]])</f>
        <v>paragraph__list</v>
      </c>
      <c r="K20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3" t="s">
        <v>0</v>
      </c>
      <c r="M2083" t="s">
        <v>325</v>
      </c>
      <c r="P2083" t="s">
        <v>3309</v>
      </c>
      <c r="Q20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3" s="29"/>
      <c r="AC2083" s="25"/>
      <c r="AD2083" s="41"/>
      <c r="AE2083" s="41"/>
      <c r="AF2083" s="11"/>
      <c r="AH2083" s="7" t="str">
        <f>Table1[[#This Row],[html_tag]]&amp;Table1[[#This Row],[html_type]]&amp;Table1[[#This Row],[html_modifier]]</f>
        <v/>
      </c>
      <c r="AL2083" s="23" t="str">
        <f>IFERROR(_xlfn.XLOOKUP(Table1[[#This Row],[word]],Table57[English style name],Table57[Style type]),"")</f>
        <v/>
      </c>
      <c r="AM2083" s="21"/>
      <c r="AN2083" s="11"/>
    </row>
    <row r="2084" spans="3:44">
      <c r="D2084" t="s">
        <v>3317</v>
      </c>
      <c r="E2084" s="76"/>
      <c r="F20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4" s="13"/>
      <c r="H2084" s="13"/>
      <c r="I2084" s="12" t="str">
        <f>Table1[[#This Row],[type]]</f>
        <v>paragraph</v>
      </c>
      <c r="J2084" s="62" t="str">
        <f>Table1[[#This Row],[Column42]]&amp;IF(Table1[[#This Row],[Column13]]="","",Table1[[#This Row],[Column13]])&amp;IF(Table1[[#This Row],[mod]]="","",Table1[[#This Row],[mod]])</f>
        <v>paragraph__list</v>
      </c>
      <c r="K20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4" t="s">
        <v>0</v>
      </c>
      <c r="M2084" t="s">
        <v>325</v>
      </c>
      <c r="P2084" t="s">
        <v>3316</v>
      </c>
      <c r="Q20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4" s="29"/>
      <c r="AC2084" s="25"/>
      <c r="AD2084" s="41"/>
      <c r="AE2084" s="41"/>
      <c r="AF2084" s="11"/>
      <c r="AH2084" s="7" t="str">
        <f>Table1[[#This Row],[html_tag]]&amp;Table1[[#This Row],[html_type]]&amp;Table1[[#This Row],[html_modifier]]</f>
        <v/>
      </c>
      <c r="AL2084" s="23" t="str">
        <f>IFERROR(_xlfn.XLOOKUP(Table1[[#This Row],[word]],Table57[English style name],Table57[Style type]),"")</f>
        <v/>
      </c>
      <c r="AM2084" s="21"/>
      <c r="AN2084" s="11"/>
    </row>
    <row r="2085" spans="3:44">
      <c r="D2085" t="s">
        <v>3317</v>
      </c>
      <c r="E2085" s="76"/>
      <c r="F20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5" s="13"/>
      <c r="H2085" s="13"/>
      <c r="I2085" s="12" t="str">
        <f>Table1[[#This Row],[type]]</f>
        <v>paragraph</v>
      </c>
      <c r="J2085" s="62" t="str">
        <f>Table1[[#This Row],[Column42]]&amp;IF(Table1[[#This Row],[Column13]]="","",Table1[[#This Row],[Column13]])&amp;IF(Table1[[#This Row],[mod]]="","",Table1[[#This Row],[mod]])</f>
        <v>paragraph__list</v>
      </c>
      <c r="K20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5" t="s">
        <v>0</v>
      </c>
      <c r="M2085" t="s">
        <v>325</v>
      </c>
      <c r="P2085" t="s">
        <v>3314</v>
      </c>
      <c r="Q20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5" s="29"/>
      <c r="AC2085" s="25"/>
      <c r="AD2085" s="41"/>
      <c r="AE2085" s="41"/>
      <c r="AF2085" s="11"/>
      <c r="AH2085" s="7" t="str">
        <f>Table1[[#This Row],[html_tag]]&amp;Table1[[#This Row],[html_type]]&amp;Table1[[#This Row],[html_modifier]]</f>
        <v/>
      </c>
      <c r="AL2085" s="23" t="str">
        <f>IFERROR(_xlfn.XLOOKUP(Table1[[#This Row],[word]],Table57[English style name],Table57[Style type]),"")</f>
        <v/>
      </c>
      <c r="AM2085" s="21"/>
      <c r="AN2085" s="11"/>
    </row>
    <row r="2086" spans="3:44">
      <c r="D2086" t="s">
        <v>3317</v>
      </c>
      <c r="E2086" s="76"/>
      <c r="F20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6" s="13"/>
      <c r="H2086" s="13"/>
      <c r="I2086" s="12" t="str">
        <f>Table1[[#This Row],[type]]</f>
        <v>paragraph</v>
      </c>
      <c r="J2086" s="62" t="str">
        <f>Table1[[#This Row],[Column42]]&amp;IF(Table1[[#This Row],[Column13]]="","",Table1[[#This Row],[Column13]])&amp;IF(Table1[[#This Row],[mod]]="","",Table1[[#This Row],[mod]])</f>
        <v>paragraph__list</v>
      </c>
      <c r="K20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6" t="s">
        <v>0</v>
      </c>
      <c r="M2086" t="s">
        <v>325</v>
      </c>
      <c r="P2086" t="s">
        <v>3311</v>
      </c>
      <c r="Q20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6" s="29"/>
      <c r="AC2086" s="25"/>
      <c r="AD2086" s="41"/>
      <c r="AE2086" s="41"/>
      <c r="AF2086" s="11"/>
      <c r="AH2086" s="7" t="str">
        <f>Table1[[#This Row],[html_tag]]&amp;Table1[[#This Row],[html_type]]&amp;Table1[[#This Row],[html_modifier]]</f>
        <v/>
      </c>
      <c r="AL2086" s="23" t="str">
        <f>IFERROR(_xlfn.XLOOKUP(Table1[[#This Row],[word]],Table57[English style name],Table57[Style type]),"")</f>
        <v/>
      </c>
      <c r="AM2086" s="21"/>
      <c r="AN2086" s="11"/>
    </row>
    <row r="2087" spans="3:44">
      <c r="E2087" s="76"/>
      <c r="F20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7" s="13" t="s">
        <v>2992</v>
      </c>
      <c r="H2087" s="13" t="s">
        <v>1</v>
      </c>
      <c r="I2087" s="12" t="str">
        <f>Table1[[#This Row],[type]]</f>
        <v>paragraph</v>
      </c>
      <c r="J2087" s="62" t="str">
        <f>Table1[[#This Row],[Column42]]&amp;IF(Table1[[#This Row],[Column13]]="","",Table1[[#This Row],[Column13]])&amp;IF(Table1[[#This Row],[mod]]="","",Table1[[#This Row],[mod]])</f>
        <v>paragraph__list</v>
      </c>
      <c r="K20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7" t="s">
        <v>0</v>
      </c>
      <c r="M2087" t="s">
        <v>325</v>
      </c>
      <c r="P2087" s="6" t="s">
        <v>2040</v>
      </c>
      <c r="Q20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7" s="29"/>
      <c r="AC2087" s="25"/>
      <c r="AD2087" s="41"/>
      <c r="AE2087" s="41"/>
      <c r="AF2087" s="11"/>
      <c r="AH2087" s="1" t="str">
        <f>Table1[[#This Row],[html_tag]]&amp;Table1[[#This Row],[html_type]]&amp;Table1[[#This Row],[html_modifier]]</f>
        <v/>
      </c>
      <c r="AL2087" s="22" t="str">
        <f>IFERROR(_xlfn.XLOOKUP(Table1[[#This Row],[word]],Table57[English style name],Table57[Style type]),"")</f>
        <v/>
      </c>
      <c r="AM2087" s="20"/>
      <c r="AN2087" s="11"/>
      <c r="AQ2087" s="6" t="s">
        <v>2040</v>
      </c>
      <c r="AR2087" t="s">
        <v>2026</v>
      </c>
    </row>
    <row r="2088" spans="3:44">
      <c r="E2088" s="76"/>
      <c r="F20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8" s="13" t="s">
        <v>2992</v>
      </c>
      <c r="H2088" s="13" t="s">
        <v>1</v>
      </c>
      <c r="I2088" s="12" t="str">
        <f>Table1[[#This Row],[type]]</f>
        <v>paragraph</v>
      </c>
      <c r="J2088" s="62" t="str">
        <f>Table1[[#This Row],[Column42]]&amp;IF(Table1[[#This Row],[Column13]]="","",Table1[[#This Row],[Column13]])&amp;IF(Table1[[#This Row],[mod]]="","",Table1[[#This Row],[mod]])</f>
        <v>paragraph__list</v>
      </c>
      <c r="K20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8" t="s">
        <v>0</v>
      </c>
      <c r="M2088" t="s">
        <v>325</v>
      </c>
      <c r="P2088" s="6" t="s">
        <v>2037</v>
      </c>
      <c r="Q20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8" s="29"/>
      <c r="AC2088" s="25"/>
      <c r="AD2088" s="41"/>
      <c r="AE2088" s="41"/>
      <c r="AF2088" s="11"/>
      <c r="AH2088" s="1" t="str">
        <f>Table1[[#This Row],[html_tag]]&amp;Table1[[#This Row],[html_type]]&amp;Table1[[#This Row],[html_modifier]]</f>
        <v/>
      </c>
      <c r="AL2088" s="22" t="str">
        <f>IFERROR(_xlfn.XLOOKUP(Table1[[#This Row],[word]],Table57[English style name],Table57[Style type]),"")</f>
        <v/>
      </c>
      <c r="AM2088" s="20"/>
      <c r="AN2088" s="11"/>
      <c r="AQ2088" s="6" t="s">
        <v>2037</v>
      </c>
      <c r="AR2088" t="s">
        <v>2026</v>
      </c>
    </row>
    <row r="2089" spans="3:44">
      <c r="E2089" s="76"/>
      <c r="F20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9" s="13" t="s">
        <v>2992</v>
      </c>
      <c r="H2089" s="13" t="s">
        <v>1</v>
      </c>
      <c r="I2089" s="12" t="str">
        <f>Table1[[#This Row],[type]]</f>
        <v>paragraph</v>
      </c>
      <c r="J2089" s="62" t="str">
        <f>Table1[[#This Row],[Column42]]&amp;IF(Table1[[#This Row],[Column13]]="","",Table1[[#This Row],[Column13]])&amp;IF(Table1[[#This Row],[mod]]="","",Table1[[#This Row],[mod]])</f>
        <v>paragraph__list</v>
      </c>
      <c r="K20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9" t="s">
        <v>0</v>
      </c>
      <c r="M2089" t="s">
        <v>325</v>
      </c>
      <c r="P2089" s="6" t="s">
        <v>2072</v>
      </c>
      <c r="Q20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9" s="29"/>
      <c r="AC2089" s="25"/>
      <c r="AD2089" s="41"/>
      <c r="AE2089" s="41"/>
      <c r="AF2089" s="11"/>
      <c r="AH2089" s="1" t="str">
        <f>Table1[[#This Row],[html_tag]]&amp;Table1[[#This Row],[html_type]]&amp;Table1[[#This Row],[html_modifier]]</f>
        <v/>
      </c>
      <c r="AL2089" s="22" t="str">
        <f>IFERROR(_xlfn.XLOOKUP(Table1[[#This Row],[word]],Table57[English style name],Table57[Style type]),"")</f>
        <v/>
      </c>
      <c r="AM2089" s="20"/>
      <c r="AN2089" s="11"/>
      <c r="AQ2089" s="6" t="s">
        <v>2072</v>
      </c>
      <c r="AR2089" t="s">
        <v>2062</v>
      </c>
    </row>
    <row r="2090" spans="3:44">
      <c r="E2090" s="76"/>
      <c r="F20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90" s="13" t="s">
        <v>2992</v>
      </c>
      <c r="H2090" s="13" t="s">
        <v>1</v>
      </c>
      <c r="I2090" s="12" t="str">
        <f>Table1[[#This Row],[type]]</f>
        <v>paragraph</v>
      </c>
      <c r="J2090" s="62" t="str">
        <f>Table1[[#This Row],[Column42]]&amp;IF(Table1[[#This Row],[Column13]]="","",Table1[[#This Row],[Column13]])&amp;IF(Table1[[#This Row],[mod]]="","",Table1[[#This Row],[mod]])</f>
        <v>paragraph__list</v>
      </c>
      <c r="K20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0" t="s">
        <v>0</v>
      </c>
      <c r="M2090" t="s">
        <v>325</v>
      </c>
      <c r="P2090" s="6" t="s">
        <v>2075</v>
      </c>
      <c r="Q20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0" s="29"/>
      <c r="AC2090" s="25"/>
      <c r="AD2090" s="41"/>
      <c r="AE2090" s="41"/>
      <c r="AF2090" s="11"/>
      <c r="AH2090" s="1" t="str">
        <f>Table1[[#This Row],[html_tag]]&amp;Table1[[#This Row],[html_type]]&amp;Table1[[#This Row],[html_modifier]]</f>
        <v/>
      </c>
      <c r="AL2090" s="22" t="str">
        <f>IFERROR(_xlfn.XLOOKUP(Table1[[#This Row],[word]],Table57[English style name],Table57[Style type]),"")</f>
        <v/>
      </c>
      <c r="AM2090" s="20"/>
      <c r="AN2090" s="11"/>
      <c r="AQ2090" s="6" t="s">
        <v>2075</v>
      </c>
      <c r="AR2090" t="s">
        <v>2062</v>
      </c>
    </row>
    <row r="2091" spans="3:44">
      <c r="E2091" s="76"/>
      <c r="F20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91" s="13" t="s">
        <v>2992</v>
      </c>
      <c r="H2091" s="13" t="s">
        <v>1</v>
      </c>
      <c r="I2091" s="12" t="str">
        <f>Table1[[#This Row],[type]]</f>
        <v>paragraph</v>
      </c>
      <c r="J2091" s="62" t="str">
        <f>Table1[[#This Row],[Column42]]&amp;IF(Table1[[#This Row],[Column13]]="","",Table1[[#This Row],[Column13]])&amp;IF(Table1[[#This Row],[mod]]="","",Table1[[#This Row],[mod]])</f>
        <v>paragraph__list</v>
      </c>
      <c r="K20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1" t="s">
        <v>0</v>
      </c>
      <c r="M2091" t="s">
        <v>325</v>
      </c>
      <c r="P2091" s="6" t="s">
        <v>2077</v>
      </c>
      <c r="Q20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1" s="29"/>
      <c r="AC2091" s="25"/>
      <c r="AD2091" s="41"/>
      <c r="AE2091" s="41"/>
      <c r="AF2091" s="11"/>
      <c r="AH2091" s="1" t="str">
        <f>Table1[[#This Row],[html_tag]]&amp;Table1[[#This Row],[html_type]]&amp;Table1[[#This Row],[html_modifier]]</f>
        <v/>
      </c>
      <c r="AL2091" s="22" t="str">
        <f>IFERROR(_xlfn.XLOOKUP(Table1[[#This Row],[word]],Table57[English style name],Table57[Style type]),"")</f>
        <v/>
      </c>
      <c r="AM2091" s="20"/>
      <c r="AN2091" s="11"/>
      <c r="AQ2091" s="6" t="s">
        <v>2077</v>
      </c>
      <c r="AR2091" t="s">
        <v>2062</v>
      </c>
    </row>
    <row r="2092" spans="3:44">
      <c r="E2092" s="76"/>
      <c r="F20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92" s="13" t="s">
        <v>2992</v>
      </c>
      <c r="H2092" s="13" t="s">
        <v>1</v>
      </c>
      <c r="I2092" s="12" t="str">
        <f>Table1[[#This Row],[type]]</f>
        <v>paragraph</v>
      </c>
      <c r="J2092" s="62" t="str">
        <f>Table1[[#This Row],[Column42]]&amp;IF(Table1[[#This Row],[Column13]]="","",Table1[[#This Row],[Column13]])&amp;IF(Table1[[#This Row],[mod]]="","",Table1[[#This Row],[mod]])</f>
        <v>paragraph__list</v>
      </c>
      <c r="K20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2" t="s">
        <v>0</v>
      </c>
      <c r="M2092" t="s">
        <v>325</v>
      </c>
      <c r="P2092" s="6" t="s">
        <v>2078</v>
      </c>
      <c r="Q20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2" s="29"/>
      <c r="AC2092" s="25"/>
      <c r="AD2092" s="41"/>
      <c r="AE2092" s="41"/>
      <c r="AF2092" s="11"/>
      <c r="AH2092" s="1" t="str">
        <f>Table1[[#This Row],[html_tag]]&amp;Table1[[#This Row],[html_type]]&amp;Table1[[#This Row],[html_modifier]]</f>
        <v/>
      </c>
      <c r="AL2092" s="22" t="str">
        <f>IFERROR(_xlfn.XLOOKUP(Table1[[#This Row],[word]],Table57[English style name],Table57[Style type]),"")</f>
        <v/>
      </c>
      <c r="AM2092" s="20"/>
      <c r="AN2092" s="11"/>
      <c r="AQ2092" s="6" t="s">
        <v>2078</v>
      </c>
      <c r="AR2092" t="s">
        <v>2062</v>
      </c>
    </row>
    <row r="2093" spans="3:44">
      <c r="E2093" s="76"/>
      <c r="F20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93" s="13" t="s">
        <v>2992</v>
      </c>
      <c r="H2093" s="13" t="s">
        <v>1</v>
      </c>
      <c r="I2093" s="12" t="str">
        <f>Table1[[#This Row],[type]]</f>
        <v>paragraph</v>
      </c>
      <c r="J2093" s="62" t="str">
        <f>Table1[[#This Row],[Column42]]&amp;IF(Table1[[#This Row],[Column13]]="","",Table1[[#This Row],[Column13]])&amp;IF(Table1[[#This Row],[mod]]="","",Table1[[#This Row],[mod]])</f>
        <v>paragraph__list</v>
      </c>
      <c r="K20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3" t="s">
        <v>0</v>
      </c>
      <c r="M2093" t="s">
        <v>325</v>
      </c>
      <c r="P2093" s="6" t="s">
        <v>2028</v>
      </c>
      <c r="Q20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3" s="29"/>
      <c r="AC2093" s="25"/>
      <c r="AD2093" s="41"/>
      <c r="AE2093" s="41"/>
      <c r="AF2093" s="11"/>
      <c r="AH2093" s="1" t="str">
        <f>Table1[[#This Row],[html_tag]]&amp;Table1[[#This Row],[html_type]]&amp;Table1[[#This Row],[html_modifier]]</f>
        <v/>
      </c>
      <c r="AL2093" s="22" t="str">
        <f>IFERROR(_xlfn.XLOOKUP(Table1[[#This Row],[word]],Table57[English style name],Table57[Style type]),"")</f>
        <v/>
      </c>
      <c r="AM2093" s="20"/>
      <c r="AN2093" s="11"/>
      <c r="AQ2093" s="6" t="s">
        <v>2028</v>
      </c>
      <c r="AR2093" t="s">
        <v>2026</v>
      </c>
    </row>
    <row r="2094" spans="3:44">
      <c r="E2094" s="76"/>
      <c r="F20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94" s="13" t="s">
        <v>2992</v>
      </c>
      <c r="H2094" s="13" t="s">
        <v>1</v>
      </c>
      <c r="I2094" s="12" t="str">
        <f>Table1[[#This Row],[type]]</f>
        <v>paragraph</v>
      </c>
      <c r="J2094" s="62" t="str">
        <f>Table1[[#This Row],[Column42]]&amp;IF(Table1[[#This Row],[Column13]]="","",Table1[[#This Row],[Column13]])&amp;IF(Table1[[#This Row],[mod]]="","",Table1[[#This Row],[mod]])</f>
        <v>paragraph__list</v>
      </c>
      <c r="K20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4" t="s">
        <v>0</v>
      </c>
      <c r="M2094" t="s">
        <v>325</v>
      </c>
      <c r="P2094" s="6" t="s">
        <v>2030</v>
      </c>
      <c r="Q20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4" s="29"/>
      <c r="AC2094" s="25"/>
      <c r="AD2094" s="41"/>
      <c r="AE2094" s="41"/>
      <c r="AF2094" s="11"/>
      <c r="AH2094" s="1" t="str">
        <f>Table1[[#This Row],[html_tag]]&amp;Table1[[#This Row],[html_type]]&amp;Table1[[#This Row],[html_modifier]]</f>
        <v/>
      </c>
      <c r="AL2094" s="22" t="str">
        <f>IFERROR(_xlfn.XLOOKUP(Table1[[#This Row],[word]],Table57[English style name],Table57[Style type]),"")</f>
        <v/>
      </c>
      <c r="AM2094" s="20"/>
      <c r="AN2094" s="11"/>
      <c r="AQ2094" s="6" t="s">
        <v>2030</v>
      </c>
      <c r="AR2094" t="s">
        <v>2026</v>
      </c>
    </row>
    <row r="2095" spans="3:44">
      <c r="C2095">
        <v>1</v>
      </c>
      <c r="E2095" s="76"/>
      <c r="F20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5" s="13"/>
      <c r="H2095" s="13"/>
      <c r="I2095" s="12" t="str">
        <f>Table1[[#This Row],[type]]</f>
        <v>paragraph</v>
      </c>
      <c r="J2095" s="62" t="str">
        <f>Table1[[#This Row],[Column42]]&amp;IF(Table1[[#This Row],[Column13]]="","",Table1[[#This Row],[Column13]])&amp;IF(Table1[[#This Row],[mod]]="","",Table1[[#This Row],[mod]])</f>
        <v>paragraph__list</v>
      </c>
      <c r="K20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5" t="s">
        <v>0</v>
      </c>
      <c r="M2095" t="s">
        <v>325</v>
      </c>
      <c r="P2095" t="s">
        <v>682</v>
      </c>
      <c r="Q20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5" s="29"/>
      <c r="AC2095" s="25"/>
      <c r="AD2095" s="41"/>
      <c r="AE2095" s="41"/>
      <c r="AF2095" s="11" t="s">
        <v>309</v>
      </c>
      <c r="AH2095" s="1" t="str">
        <f>Table1[[#This Row],[html_tag]]&amp;Table1[[#This Row],[html_type]]&amp;Table1[[#This Row],[html_modifier]]</f>
        <v/>
      </c>
      <c r="AL2095" s="22" t="str">
        <f>IFERROR(_xlfn.XLOOKUP(Table1[[#This Row],[word]],Table57[English style name],Table57[Style type]),"")</f>
        <v>List</v>
      </c>
      <c r="AM2095" s="20" t="s">
        <v>682</v>
      </c>
      <c r="AN2095" s="11"/>
    </row>
    <row r="2096" spans="3:44">
      <c r="D2096" t="s">
        <v>3317</v>
      </c>
      <c r="E2096" s="76"/>
      <c r="F20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6" s="13"/>
      <c r="H2096" s="13"/>
      <c r="I2096" s="12" t="str">
        <f>Table1[[#This Row],[type]]</f>
        <v>paragraph</v>
      </c>
      <c r="J2096" s="62" t="str">
        <f>Table1[[#This Row],[Column42]]&amp;IF(Table1[[#This Row],[Column13]]="","",Table1[[#This Row],[Column13]])&amp;IF(Table1[[#This Row],[mod]]="","",Table1[[#This Row],[mod]])</f>
        <v>paragraph__list</v>
      </c>
      <c r="K20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6" t="s">
        <v>0</v>
      </c>
      <c r="M2096" t="s">
        <v>325</v>
      </c>
      <c r="P2096" t="s">
        <v>3312</v>
      </c>
      <c r="Q20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6" s="29"/>
      <c r="AC2096" s="25"/>
      <c r="AD2096" s="41"/>
      <c r="AE2096" s="41"/>
      <c r="AF2096" s="11"/>
      <c r="AH2096" s="7" t="str">
        <f>Table1[[#This Row],[html_tag]]&amp;Table1[[#This Row],[html_type]]&amp;Table1[[#This Row],[html_modifier]]</f>
        <v/>
      </c>
      <c r="AL2096" s="23" t="str">
        <f>IFERROR(_xlfn.XLOOKUP(Table1[[#This Row],[word]],Table57[English style name],Table57[Style type]),"")</f>
        <v/>
      </c>
      <c r="AM2096" s="21"/>
      <c r="AN2096" s="11"/>
    </row>
    <row r="2097" spans="3:44">
      <c r="D2097" t="s">
        <v>3317</v>
      </c>
      <c r="E2097" s="76"/>
      <c r="F20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7" s="13"/>
      <c r="H2097" s="13"/>
      <c r="I2097" s="12" t="str">
        <f>Table1[[#This Row],[type]]</f>
        <v>paragraph</v>
      </c>
      <c r="J2097" s="62" t="str">
        <f>Table1[[#This Row],[Column42]]&amp;IF(Table1[[#This Row],[Column13]]="","",Table1[[#This Row],[Column13]])&amp;IF(Table1[[#This Row],[mod]]="","",Table1[[#This Row],[mod]])</f>
        <v>paragraph__list</v>
      </c>
      <c r="K20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7" t="s">
        <v>0</v>
      </c>
      <c r="M2097" t="s">
        <v>325</v>
      </c>
      <c r="P2097" t="s">
        <v>3310</v>
      </c>
      <c r="Q20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7" s="29"/>
      <c r="AC2097" s="25"/>
      <c r="AD2097" s="41"/>
      <c r="AE2097" s="41"/>
      <c r="AF2097" s="11"/>
      <c r="AH2097" s="7" t="str">
        <f>Table1[[#This Row],[html_tag]]&amp;Table1[[#This Row],[html_type]]&amp;Table1[[#This Row],[html_modifier]]</f>
        <v/>
      </c>
      <c r="AL2097" s="23" t="str">
        <f>IFERROR(_xlfn.XLOOKUP(Table1[[#This Row],[word]],Table57[English style name],Table57[Style type]),"")</f>
        <v/>
      </c>
      <c r="AM2097" s="21"/>
      <c r="AN2097" s="11"/>
    </row>
    <row r="2098" spans="3:44">
      <c r="D2098" t="s">
        <v>3317</v>
      </c>
      <c r="E2098" s="76"/>
      <c r="F20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8" s="13"/>
      <c r="H2098" s="13"/>
      <c r="I2098" s="12" t="str">
        <f>Table1[[#This Row],[type]]</f>
        <v>paragraph</v>
      </c>
      <c r="J2098" s="62" t="str">
        <f>Table1[[#This Row],[Column42]]&amp;IF(Table1[[#This Row],[Column13]]="","",Table1[[#This Row],[Column13]])&amp;IF(Table1[[#This Row],[mod]]="","",Table1[[#This Row],[mod]])</f>
        <v>paragraph__list</v>
      </c>
      <c r="K20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8" t="s">
        <v>0</v>
      </c>
      <c r="M2098" t="s">
        <v>325</v>
      </c>
      <c r="P2098" t="s">
        <v>3315</v>
      </c>
      <c r="Q20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8" s="29"/>
      <c r="AC2098" s="25"/>
      <c r="AD2098" s="41"/>
      <c r="AE2098" s="41"/>
      <c r="AF2098" s="11"/>
      <c r="AH2098" s="7" t="str">
        <f>Table1[[#This Row],[html_tag]]&amp;Table1[[#This Row],[html_type]]&amp;Table1[[#This Row],[html_modifier]]</f>
        <v/>
      </c>
      <c r="AL2098" s="23" t="str">
        <f>IFERROR(_xlfn.XLOOKUP(Table1[[#This Row],[word]],Table57[English style name],Table57[Style type]),"")</f>
        <v/>
      </c>
      <c r="AM2098" s="21"/>
      <c r="AN2098" s="11"/>
    </row>
    <row r="2099" spans="3:44">
      <c r="D2099" t="s">
        <v>3317</v>
      </c>
      <c r="E2099" s="76"/>
      <c r="F20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9" s="13"/>
      <c r="H2099" s="13"/>
      <c r="I2099" s="12" t="str">
        <f>Table1[[#This Row],[type]]</f>
        <v>paragraph</v>
      </c>
      <c r="J2099" s="62" t="str">
        <f>Table1[[#This Row],[Column42]]&amp;IF(Table1[[#This Row],[Column13]]="","",Table1[[#This Row],[Column13]])&amp;IF(Table1[[#This Row],[mod]]="","",Table1[[#This Row],[mod]])</f>
        <v>paragraph__list</v>
      </c>
      <c r="K20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9" t="s">
        <v>0</v>
      </c>
      <c r="M2099" t="s">
        <v>325</v>
      </c>
      <c r="P2099" t="s">
        <v>3313</v>
      </c>
      <c r="Q20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9" s="29"/>
      <c r="AC2099" s="25"/>
      <c r="AD2099" s="41"/>
      <c r="AE2099" s="41"/>
      <c r="AF2099" s="11"/>
      <c r="AH2099" s="7" t="str">
        <f>Table1[[#This Row],[html_tag]]&amp;Table1[[#This Row],[html_type]]&amp;Table1[[#This Row],[html_modifier]]</f>
        <v/>
      </c>
      <c r="AL2099" s="23" t="str">
        <f>IFERROR(_xlfn.XLOOKUP(Table1[[#This Row],[word]],Table57[English style name],Table57[Style type]),"")</f>
        <v/>
      </c>
      <c r="AM2099" s="21"/>
      <c r="AN2099" s="11"/>
    </row>
    <row r="2100" spans="3:44">
      <c r="C2100">
        <v>1</v>
      </c>
      <c r="D2100" t="s">
        <v>3256</v>
      </c>
      <c r="E2100" s="76"/>
      <c r="F21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0" s="13"/>
      <c r="H2100" s="13"/>
      <c r="I2100" s="12" t="str">
        <f>Table1[[#This Row],[type]]</f>
        <v>paragraph</v>
      </c>
      <c r="J2100" s="62" t="str">
        <f>Table1[[#This Row],[Column42]]&amp;IF(Table1[[#This Row],[Column13]]="","",Table1[[#This Row],[Column13]])&amp;IF(Table1[[#This Row],[mod]]="","",Table1[[#This Row],[mod]])</f>
        <v>paragraph__list</v>
      </c>
      <c r="K21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00" t="s">
        <v>0</v>
      </c>
      <c r="M2100" t="s">
        <v>325</v>
      </c>
      <c r="Q21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0" s="29"/>
      <c r="AC2100" s="25"/>
      <c r="AD2100" s="41"/>
      <c r="AE2100" s="41"/>
      <c r="AF2100" s="11" t="s">
        <v>239</v>
      </c>
      <c r="AG2100" t="s">
        <v>3261</v>
      </c>
      <c r="AH2100" s="1" t="str">
        <f>Table1[[#This Row],[html_tag]]&amp;Table1[[#This Row],[html_type]]&amp;Table1[[#This Row],[html_modifier]]</f>
        <v/>
      </c>
      <c r="AL2100" s="22" t="str">
        <f>IFERROR(_xlfn.XLOOKUP(Table1[[#This Row],[word]],Table57[English style name],Table57[Style type]),"")</f>
        <v>Paragraph</v>
      </c>
      <c r="AM2100" s="20" t="s">
        <v>860</v>
      </c>
      <c r="AN2100" s="11"/>
    </row>
    <row r="2101" spans="3:44">
      <c r="E2101" s="76"/>
      <c r="F21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1" s="13"/>
      <c r="H2101" s="13"/>
      <c r="I2101" s="12" t="str">
        <f>Table1[[#This Row],[type]]</f>
        <v>paragraph</v>
      </c>
      <c r="J2101" s="62" t="str">
        <f>Table1[[#This Row],[Column42]]&amp;IF(Table1[[#This Row],[Column13]]="","",Table1[[#This Row],[Column13]])&amp;IF(Table1[[#This Row],[mod]]="","",Table1[[#This Row],[mod]])</f>
        <v>paragraph__list</v>
      </c>
      <c r="K21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01" t="s">
        <v>0</v>
      </c>
      <c r="M2101" t="s">
        <v>325</v>
      </c>
      <c r="Q21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1" s="29" t="s">
        <v>4362</v>
      </c>
      <c r="AC2101" s="25"/>
      <c r="AD2101" s="41" t="s">
        <v>4362</v>
      </c>
      <c r="AE2101" s="41"/>
      <c r="AF2101" s="11"/>
      <c r="AH2101" s="7" t="str">
        <f>Table1[[#This Row],[html_tag]]&amp;Table1[[#This Row],[html_type]]&amp;Table1[[#This Row],[html_modifier]]</f>
        <v/>
      </c>
      <c r="AL2101" s="23" t="str">
        <f>IFERROR(_xlfn.XLOOKUP(Table1[[#This Row],[word]],Table57[English style name],Table57[Style type]),"")</f>
        <v/>
      </c>
      <c r="AM2101" s="21"/>
      <c r="AN2101" s="11"/>
      <c r="AQ2101" s="6" t="s">
        <v>325</v>
      </c>
      <c r="AR2101" t="s">
        <v>2026</v>
      </c>
    </row>
    <row r="2102" spans="3:44">
      <c r="F21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2" s="13"/>
      <c r="H2102" s="13"/>
      <c r="I2102" s="12" t="str">
        <f>Table1[[#This Row],[type]]</f>
        <v>paragraph</v>
      </c>
      <c r="J2102" s="62" t="str">
        <f>Table1[[#This Row],[Column42]]&amp;IF(Table1[[#This Row],[Column13]]="","",Table1[[#This Row],[Column13]])&amp;IF(Table1[[#This Row],[mod]]="","",Table1[[#This Row],[mod]])</f>
        <v>paragraph__list__&lt;dd&gt;</v>
      </c>
      <c r="K21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paragraph__list__&lt;dd&gt;</v>
      </c>
      <c r="L2102" s="3" t="s">
        <v>0</v>
      </c>
      <c r="M2102" s="3" t="s">
        <v>325</v>
      </c>
      <c r="O2102" t="s">
        <v>155</v>
      </c>
      <c r="Q21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2" s="29"/>
      <c r="AC2102" s="25"/>
      <c r="AD2102" s="41"/>
      <c r="AE2102" s="41"/>
      <c r="AF2102" s="11" t="s">
        <v>155</v>
      </c>
      <c r="AH2102" s="1" t="str">
        <f>Table1[[#This Row],[html_tag]]&amp;Table1[[#This Row],[html_type]]&amp;Table1[[#This Row],[html_modifier]]</f>
        <v>&lt;dd&gt;</v>
      </c>
      <c r="AI2102" t="s">
        <v>155</v>
      </c>
      <c r="AL2102" s="22" t="str">
        <f>IFERROR(_xlfn.XLOOKUP(Table1[[#This Row],[word]],Table57[English style name],Table57[Style type]),"")</f>
        <v/>
      </c>
      <c r="AM2102" s="20"/>
      <c r="AN2102" s="11"/>
    </row>
    <row r="2103" spans="3:44">
      <c r="F21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3" s="13"/>
      <c r="H2103" s="13"/>
      <c r="I2103" s="12" t="str">
        <f>Table1[[#This Row],[type]]</f>
        <v>paragraph</v>
      </c>
      <c r="J2103" s="62" t="str">
        <f>Table1[[#This Row],[Column42]]&amp;IF(Table1[[#This Row],[Column13]]="","",Table1[[#This Row],[Column13]])&amp;IF(Table1[[#This Row],[mod]]="","",Table1[[#This Row],[mod]])</f>
        <v>paragraph__list__&lt;dl&gt;</v>
      </c>
      <c r="K21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paragraph__list__&lt;dl&gt;</v>
      </c>
      <c r="L2103" s="3" t="s">
        <v>0</v>
      </c>
      <c r="M2103" s="3" t="s">
        <v>325</v>
      </c>
      <c r="O2103" t="s">
        <v>168</v>
      </c>
      <c r="Q21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3" s="29"/>
      <c r="AC2103" s="25"/>
      <c r="AD2103" s="41"/>
      <c r="AE2103" s="41"/>
      <c r="AF2103" s="11" t="s">
        <v>168</v>
      </c>
      <c r="AH2103" s="1" t="str">
        <f>Table1[[#This Row],[html_tag]]&amp;Table1[[#This Row],[html_type]]&amp;Table1[[#This Row],[html_modifier]]</f>
        <v>&lt;dl&gt;</v>
      </c>
      <c r="AI2103" t="s">
        <v>168</v>
      </c>
      <c r="AL2103" s="22" t="str">
        <f>IFERROR(_xlfn.XLOOKUP(Table1[[#This Row],[word]],Table57[English style name],Table57[Style type]),"")</f>
        <v/>
      </c>
      <c r="AM2103" s="20"/>
      <c r="AN2103" s="11"/>
    </row>
    <row r="2104" spans="3:44">
      <c r="F21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4" s="13"/>
      <c r="H2104" s="13"/>
      <c r="I2104" s="12" t="str">
        <f>Table1[[#This Row],[type]]</f>
        <v>paragraph</v>
      </c>
      <c r="J2104" s="62" t="str">
        <f>Table1[[#This Row],[Column42]]&amp;IF(Table1[[#This Row],[Column13]]="","",Table1[[#This Row],[Column13]])&amp;IF(Table1[[#This Row],[mod]]="","",Table1[[#This Row],[mod]])</f>
        <v>paragraph__list__&lt;dt&gt;</v>
      </c>
      <c r="K21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paragraph__list__&lt;dt&gt;</v>
      </c>
      <c r="L2104" s="3" t="s">
        <v>0</v>
      </c>
      <c r="M2104" s="3" t="s">
        <v>325</v>
      </c>
      <c r="O2104" t="s">
        <v>170</v>
      </c>
      <c r="Q21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4" s="29"/>
      <c r="AC2104" s="25"/>
      <c r="AD2104" s="41"/>
      <c r="AE2104" s="41"/>
      <c r="AF2104" s="11" t="s">
        <v>170</v>
      </c>
      <c r="AH2104" s="1" t="str">
        <f>Table1[[#This Row],[html_tag]]&amp;Table1[[#This Row],[html_type]]&amp;Table1[[#This Row],[html_modifier]]</f>
        <v>&lt;dt&gt;</v>
      </c>
      <c r="AI2104" t="s">
        <v>170</v>
      </c>
      <c r="AL2104" s="22" t="str">
        <f>IFERROR(_xlfn.XLOOKUP(Table1[[#This Row],[word]],Table57[English style name],Table57[Style type]),"")</f>
        <v/>
      </c>
      <c r="AM2104" s="20"/>
      <c r="AN2104" s="11"/>
    </row>
    <row r="2105" spans="3:44">
      <c r="F21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5" s="13"/>
      <c r="H2105" s="13"/>
      <c r="I2105" s="12" t="str">
        <f>Table1[[#This Row],[type]]</f>
        <v>paragraph</v>
      </c>
      <c r="J2105" s="62" t="str">
        <f>Table1[[#This Row],[Column42]]&amp;IF(Table1[[#This Row],[Column13]]="","",Table1[[#This Row],[Column13]])&amp;IF(Table1[[#This Row],[mod]]="","",Table1[[#This Row],[mod]])</f>
        <v>paragraph__list__&lt;ol&gt;</v>
      </c>
      <c r="K21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paragraph__list__&lt;ol&gt;</v>
      </c>
      <c r="L2105" t="s">
        <v>0</v>
      </c>
      <c r="M2105" t="s">
        <v>325</v>
      </c>
      <c r="O2105" t="s">
        <v>231</v>
      </c>
      <c r="Q21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5" s="29"/>
      <c r="AC2105" s="25"/>
      <c r="AD2105" s="41"/>
      <c r="AE2105" s="41"/>
      <c r="AF2105" s="11" t="s">
        <v>231</v>
      </c>
      <c r="AH2105" s="1" t="str">
        <f>Table1[[#This Row],[html_tag]]&amp;Table1[[#This Row],[html_type]]&amp;Table1[[#This Row],[html_modifier]]</f>
        <v>&lt;ol&gt;</v>
      </c>
      <c r="AI2105" t="s">
        <v>231</v>
      </c>
      <c r="AL2105" s="22" t="str">
        <f>IFERROR(_xlfn.XLOOKUP(Table1[[#This Row],[word]],Table57[English style name],Table57[Style type]),"")</f>
        <v/>
      </c>
      <c r="AM2105" s="20"/>
      <c r="AN2105" s="11"/>
    </row>
    <row r="2106" spans="3:44">
      <c r="F21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6" s="13"/>
      <c r="H2106" s="13"/>
      <c r="I2106" s="12" t="str">
        <f>Table1[[#This Row],[type]]</f>
        <v>paragraph</v>
      </c>
      <c r="J2106" s="62" t="str">
        <f>Table1[[#This Row],[Column42]]&amp;IF(Table1[[#This Row],[Column13]]="","",Table1[[#This Row],[Column13]])&amp;IF(Table1[[#This Row],[mod]]="","",Table1[[#This Row],[mod]])</f>
        <v>paragraph__list__&lt;ul&gt;</v>
      </c>
      <c r="K21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paragraph__list__&lt;ul&gt;</v>
      </c>
      <c r="L2106" t="s">
        <v>0</v>
      </c>
      <c r="M2106" t="s">
        <v>325</v>
      </c>
      <c r="O2106" t="s">
        <v>309</v>
      </c>
      <c r="Q21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6" s="29"/>
      <c r="AC2106" s="25"/>
      <c r="AD2106" s="41"/>
      <c r="AE2106" s="41"/>
      <c r="AF2106" s="11" t="s">
        <v>309</v>
      </c>
      <c r="AH2106" s="1" t="str">
        <f>Table1[[#This Row],[html_tag]]&amp;Table1[[#This Row],[html_type]]&amp;Table1[[#This Row],[html_modifier]]</f>
        <v>&lt;ul&gt;</v>
      </c>
      <c r="AI2106" t="s">
        <v>309</v>
      </c>
      <c r="AL2106" s="22" t="str">
        <f>IFERROR(_xlfn.XLOOKUP(Table1[[#This Row],[word]],Table57[English style name],Table57[Style type]),"")</f>
        <v/>
      </c>
      <c r="AM2106" s="20"/>
      <c r="AN2106" s="11"/>
    </row>
    <row r="2107" spans="3:44">
      <c r="D2107" t="s">
        <v>3317</v>
      </c>
      <c r="F21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7" s="13"/>
      <c r="H2107" s="13"/>
      <c r="I2107" s="12" t="str">
        <f>Table1[[#This Row],[type]]</f>
        <v>paragraph</v>
      </c>
      <c r="J2107" s="62" t="str">
        <f>Table1[[#This Row],[Column42]]&amp;IF(Table1[[#This Row],[Column13]]="","",Table1[[#This Row],[Column13]])&amp;IF(Table1[[#This Row],[mod]]="","",Table1[[#This Row],[mod]])</f>
        <v>paragraph__list__alphabetical--ordered</v>
      </c>
      <c r="K21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paragraph__list__alphabetical</v>
      </c>
      <c r="L2107" t="s">
        <v>0</v>
      </c>
      <c r="M2107" t="s">
        <v>325</v>
      </c>
      <c r="O2107" t="s">
        <v>3382</v>
      </c>
      <c r="Q21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107" s="3" t="s">
        <v>3007</v>
      </c>
      <c r="U21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7" s="29"/>
      <c r="AC2107" s="25"/>
      <c r="AD2107" s="41"/>
      <c r="AE2107" s="41"/>
      <c r="AF2107" s="11"/>
      <c r="AH2107" s="7" t="str">
        <f>Table1[[#This Row],[html_tag]]&amp;Table1[[#This Row],[html_type]]&amp;Table1[[#This Row],[html_modifier]]</f>
        <v/>
      </c>
      <c r="AL2107" s="23" t="str">
        <f>IFERROR(_xlfn.XLOOKUP(Table1[[#This Row],[word]],Table57[English style name],Table57[Style type]),"")</f>
        <v/>
      </c>
      <c r="AM2107" s="21"/>
      <c r="AN2107" s="11"/>
    </row>
    <row r="2108" spans="3:44">
      <c r="D2108" t="s">
        <v>3317</v>
      </c>
      <c r="F21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8" s="13"/>
      <c r="H2108" s="13"/>
      <c r="I2108" s="12" t="str">
        <f>Table1[[#This Row],[type]]</f>
        <v>paragraph</v>
      </c>
      <c r="J2108" s="62" t="str">
        <f>Table1[[#This Row],[Column42]]&amp;IF(Table1[[#This Row],[Column13]]="","",Table1[[#This Row],[Column13]])&amp;IF(Table1[[#This Row],[mod]]="","",Table1[[#This Row],[mod]])</f>
        <v>paragraph__list__description--definition</v>
      </c>
      <c r="K21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paragraph__list__description</v>
      </c>
      <c r="L2108" t="s">
        <v>0</v>
      </c>
      <c r="M2108" t="s">
        <v>325</v>
      </c>
      <c r="O2108" t="s">
        <v>347</v>
      </c>
      <c r="Q21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R2108" t="s">
        <v>342</v>
      </c>
      <c r="U21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8" s="29"/>
      <c r="AC2108" s="25"/>
      <c r="AD2108" s="41"/>
      <c r="AE2108" s="41"/>
      <c r="AF2108" s="11" t="s">
        <v>168</v>
      </c>
      <c r="AH2108" s="7" t="str">
        <f>Table1[[#This Row],[html_tag]]&amp;Table1[[#This Row],[html_type]]&amp;Table1[[#This Row],[html_modifier]]</f>
        <v/>
      </c>
      <c r="AL2108" s="23" t="str">
        <f>IFERROR(_xlfn.XLOOKUP(Table1[[#This Row],[word]],Table57[English style name],Table57[Style type]),"")</f>
        <v/>
      </c>
      <c r="AM2108" s="21"/>
      <c r="AN2108" s="11"/>
    </row>
    <row r="2109" spans="3:44">
      <c r="C2109">
        <v>1</v>
      </c>
      <c r="D2109" t="s">
        <v>3256</v>
      </c>
      <c r="F21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9" s="13"/>
      <c r="H2109" s="13"/>
      <c r="I2109" s="12" t="str">
        <f>Table1[[#This Row],[type]]</f>
        <v>paragraph</v>
      </c>
      <c r="J2109" s="62" t="str">
        <f>Table1[[#This Row],[Column42]]&amp;IF(Table1[[#This Row],[Column13]]="","",Table1[[#This Row],[Column13]])&amp;IF(Table1[[#This Row],[mod]]="","",Table1[[#This Row],[mod]])</f>
        <v>paragraph__list__level--1</v>
      </c>
      <c r="K21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109" t="s">
        <v>0</v>
      </c>
      <c r="M2109" t="s">
        <v>325</v>
      </c>
      <c r="O2109" t="s">
        <v>3355</v>
      </c>
      <c r="P2109" t="s">
        <v>808</v>
      </c>
      <c r="Q21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109">
        <v>1</v>
      </c>
      <c r="AB2109" s="29"/>
      <c r="AC2109" s="25"/>
      <c r="AD2109" s="41"/>
      <c r="AE2109" s="41"/>
      <c r="AF2109" s="11" t="s">
        <v>211</v>
      </c>
      <c r="AG2109" t="s">
        <v>3260</v>
      </c>
      <c r="AH2109" s="1" t="str">
        <f>Table1[[#This Row],[html_tag]]&amp;Table1[[#This Row],[html_type]]&amp;Table1[[#This Row],[html_modifier]]</f>
        <v/>
      </c>
      <c r="AL2109" s="22" t="str">
        <f>IFERROR(_xlfn.XLOOKUP(Table1[[#This Row],[word]],Table57[English style name],Table57[Style type]),"")</f>
        <v>Paragraph</v>
      </c>
      <c r="AM2109" s="20" t="s">
        <v>808</v>
      </c>
      <c r="AN2109" s="11"/>
    </row>
    <row r="2110" spans="3:44">
      <c r="C2110">
        <v>1</v>
      </c>
      <c r="D2110" t="s">
        <v>3256</v>
      </c>
      <c r="F21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0" s="13"/>
      <c r="H2110" s="13"/>
      <c r="I2110" s="12" t="str">
        <f>Table1[[#This Row],[type]]</f>
        <v>paragraph</v>
      </c>
      <c r="J2110" s="62" t="str">
        <f>Table1[[#This Row],[Column42]]&amp;IF(Table1[[#This Row],[Column13]]="","",Table1[[#This Row],[Column13]])&amp;IF(Table1[[#This Row],[mod]]="","",Table1[[#This Row],[mod]])</f>
        <v>paragraph__list__level--2</v>
      </c>
      <c r="K21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110" t="s">
        <v>0</v>
      </c>
      <c r="M2110" t="s">
        <v>325</v>
      </c>
      <c r="O2110" t="s">
        <v>3355</v>
      </c>
      <c r="P2110" t="s">
        <v>810</v>
      </c>
      <c r="Q21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110">
        <v>2</v>
      </c>
      <c r="AB2110" s="29"/>
      <c r="AC2110" s="25"/>
      <c r="AD2110" s="41"/>
      <c r="AE2110" s="41"/>
      <c r="AF2110" s="11" t="s">
        <v>211</v>
      </c>
      <c r="AG2110" t="s">
        <v>3260</v>
      </c>
      <c r="AH2110" s="1" t="str">
        <f>Table1[[#This Row],[html_tag]]&amp;Table1[[#This Row],[html_type]]&amp;Table1[[#This Row],[html_modifier]]</f>
        <v/>
      </c>
      <c r="AL2110" s="22" t="str">
        <f>IFERROR(_xlfn.XLOOKUP(Table1[[#This Row],[word]],Table57[English style name],Table57[Style type]),"")</f>
        <v>Paragraph</v>
      </c>
      <c r="AM2110" s="20" t="s">
        <v>810</v>
      </c>
      <c r="AN2110" s="11"/>
    </row>
    <row r="2111" spans="3:44">
      <c r="C2111">
        <v>1</v>
      </c>
      <c r="D2111" t="s">
        <v>3256</v>
      </c>
      <c r="F21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1" s="13"/>
      <c r="H2111" s="13"/>
      <c r="I2111" s="12" t="str">
        <f>Table1[[#This Row],[type]]</f>
        <v>paragraph</v>
      </c>
      <c r="J2111" s="62" t="str">
        <f>Table1[[#This Row],[Column42]]&amp;IF(Table1[[#This Row],[Column13]]="","",Table1[[#This Row],[Column13]])&amp;IF(Table1[[#This Row],[mod]]="","",Table1[[#This Row],[mod]])</f>
        <v>paragraph__list__level--3</v>
      </c>
      <c r="K21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111" t="s">
        <v>0</v>
      </c>
      <c r="M2111" t="s">
        <v>325</v>
      </c>
      <c r="O2111" t="s">
        <v>3355</v>
      </c>
      <c r="P2111" t="s">
        <v>812</v>
      </c>
      <c r="Q21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111">
        <v>3</v>
      </c>
      <c r="AB2111" s="29"/>
      <c r="AC2111" s="25"/>
      <c r="AD2111" s="41"/>
      <c r="AE2111" s="41"/>
      <c r="AF2111" s="11" t="s">
        <v>211</v>
      </c>
      <c r="AG2111" t="s">
        <v>3260</v>
      </c>
      <c r="AH2111" s="1" t="str">
        <f>Table1[[#This Row],[html_tag]]&amp;Table1[[#This Row],[html_type]]&amp;Table1[[#This Row],[html_modifier]]</f>
        <v/>
      </c>
      <c r="AL2111" s="22" t="str">
        <f>IFERROR(_xlfn.XLOOKUP(Table1[[#This Row],[word]],Table57[English style name],Table57[Style type]),"")</f>
        <v>Paragraph</v>
      </c>
      <c r="AM2111" s="20" t="s">
        <v>812</v>
      </c>
      <c r="AN2111" s="11"/>
    </row>
    <row r="2112" spans="3:44">
      <c r="C2112">
        <v>1</v>
      </c>
      <c r="D2112" t="s">
        <v>3256</v>
      </c>
      <c r="F21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2" s="13"/>
      <c r="H2112" s="13"/>
      <c r="I2112" s="12" t="str">
        <f>Table1[[#This Row],[type]]</f>
        <v>paragraph</v>
      </c>
      <c r="J2112" s="62" t="str">
        <f>Table1[[#This Row],[Column42]]&amp;IF(Table1[[#This Row],[Column13]]="","",Table1[[#This Row],[Column13]])&amp;IF(Table1[[#This Row],[mod]]="","",Table1[[#This Row],[mod]])</f>
        <v>paragraph__list__level--4</v>
      </c>
      <c r="K21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112" t="s">
        <v>0</v>
      </c>
      <c r="M2112" t="s">
        <v>325</v>
      </c>
      <c r="O2112" t="s">
        <v>3355</v>
      </c>
      <c r="P2112" t="s">
        <v>814</v>
      </c>
      <c r="Q21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112">
        <v>4</v>
      </c>
      <c r="AB2112" s="29"/>
      <c r="AC2112" s="25"/>
      <c r="AD2112" s="41"/>
      <c r="AE2112" s="41"/>
      <c r="AF2112" s="11" t="s">
        <v>211</v>
      </c>
      <c r="AG2112" t="s">
        <v>3260</v>
      </c>
      <c r="AH2112" s="1" t="str">
        <f>Table1[[#This Row],[html_tag]]&amp;Table1[[#This Row],[html_type]]&amp;Table1[[#This Row],[html_modifier]]</f>
        <v/>
      </c>
      <c r="AL2112" s="22" t="str">
        <f>IFERROR(_xlfn.XLOOKUP(Table1[[#This Row],[word]],Table57[English style name],Table57[Style type]),"")</f>
        <v>Paragraph</v>
      </c>
      <c r="AM2112" s="20" t="s">
        <v>814</v>
      </c>
      <c r="AN2112" s="11"/>
    </row>
    <row r="2113" spans="3:44">
      <c r="C2113">
        <v>1</v>
      </c>
      <c r="D2113" t="s">
        <v>3256</v>
      </c>
      <c r="F21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3" s="13"/>
      <c r="H2113" s="13"/>
      <c r="I2113" s="12" t="str">
        <f>Table1[[#This Row],[type]]</f>
        <v>paragraph</v>
      </c>
      <c r="J2113" s="62" t="str">
        <f>Table1[[#This Row],[Column42]]&amp;IF(Table1[[#This Row],[Column13]]="","",Table1[[#This Row],[Column13]])&amp;IF(Table1[[#This Row],[mod]]="","",Table1[[#This Row],[mod]])</f>
        <v>paragraph__list__level--5</v>
      </c>
      <c r="K21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113" t="s">
        <v>0</v>
      </c>
      <c r="M2113" t="s">
        <v>325</v>
      </c>
      <c r="O2113" t="s">
        <v>3355</v>
      </c>
      <c r="P2113" t="s">
        <v>816</v>
      </c>
      <c r="Q21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113">
        <v>5</v>
      </c>
      <c r="AB2113" s="29"/>
      <c r="AC2113" s="25"/>
      <c r="AD2113" s="41"/>
      <c r="AE2113" s="41"/>
      <c r="AF2113" s="11" t="s">
        <v>211</v>
      </c>
      <c r="AG2113" t="s">
        <v>3260</v>
      </c>
      <c r="AH2113" s="1" t="str">
        <f>Table1[[#This Row],[html_tag]]&amp;Table1[[#This Row],[html_type]]&amp;Table1[[#This Row],[html_modifier]]</f>
        <v/>
      </c>
      <c r="AL2113" s="22" t="str">
        <f>IFERROR(_xlfn.XLOOKUP(Table1[[#This Row],[word]],Table57[English style name],Table57[Style type]),"")</f>
        <v>Paragraph</v>
      </c>
      <c r="AM2113" s="20" t="s">
        <v>816</v>
      </c>
      <c r="AN2113" s="11"/>
    </row>
    <row r="2114" spans="3:44">
      <c r="F21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4" s="13" t="s">
        <v>2992</v>
      </c>
      <c r="H2114" s="13" t="s">
        <v>1</v>
      </c>
      <c r="I2114" s="12" t="str">
        <f>Table1[[#This Row],[type]]</f>
        <v>paragraph</v>
      </c>
      <c r="J2114" s="62" t="str">
        <f>Table1[[#This Row],[Column42]]&amp;IF(Table1[[#This Row],[Column13]]="","",Table1[[#This Row],[Column13]])&amp;IF(Table1[[#This Row],[mod]]="","",Table1[[#This Row],[mod]])</f>
        <v>paragraph__list__link</v>
      </c>
      <c r="K21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paragraph__list__link</v>
      </c>
      <c r="L2114" t="s">
        <v>0</v>
      </c>
      <c r="M2114" t="s">
        <v>325</v>
      </c>
      <c r="O2114" t="s">
        <v>477</v>
      </c>
      <c r="P2114" s="6" t="s">
        <v>2032</v>
      </c>
      <c r="Q21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14" s="29"/>
      <c r="AC2114" s="25"/>
      <c r="AD2114" s="41"/>
      <c r="AE2114" s="41"/>
      <c r="AF2114" s="11" t="s">
        <v>211</v>
      </c>
      <c r="AH2114" s="1" t="str">
        <f>Table1[[#This Row],[html_tag]]&amp;Table1[[#This Row],[html_type]]&amp;Table1[[#This Row],[html_modifier]]</f>
        <v/>
      </c>
      <c r="AL2114" s="22" t="str">
        <f>IFERROR(_xlfn.XLOOKUP(Table1[[#This Row],[word]],Table57[English style name],Table57[Style type]),"")</f>
        <v/>
      </c>
      <c r="AM2114" s="20"/>
      <c r="AN2114" s="11"/>
      <c r="AQ2114" s="6" t="s">
        <v>2032</v>
      </c>
      <c r="AR2114" t="s">
        <v>2026</v>
      </c>
    </row>
    <row r="2115" spans="3:44">
      <c r="F21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5" s="13" t="s">
        <v>2992</v>
      </c>
      <c r="H2115" s="13" t="s">
        <v>1</v>
      </c>
      <c r="I2115" s="12" t="str">
        <f>Table1[[#This Row],[type]]</f>
        <v>paragraph</v>
      </c>
      <c r="J2115" s="62" t="str">
        <f>Table1[[#This Row],[Column42]]&amp;IF(Table1[[#This Row],[Column13]]="","",Table1[[#This Row],[Column13]])&amp;IF(Table1[[#This Row],[mod]]="","",Table1[[#This Row],[mod]])</f>
        <v>paragraph__list__link--focus</v>
      </c>
      <c r="K21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paragraph__list__link</v>
      </c>
      <c r="L2115" t="s">
        <v>0</v>
      </c>
      <c r="M2115" t="s">
        <v>325</v>
      </c>
      <c r="O2115" t="s">
        <v>477</v>
      </c>
      <c r="P2115" s="6" t="s">
        <v>2034</v>
      </c>
      <c r="Q21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2115" t="s">
        <v>3020</v>
      </c>
      <c r="AB2115" s="29"/>
      <c r="AC2115" s="25"/>
      <c r="AD2115" s="41"/>
      <c r="AE2115" s="41"/>
      <c r="AF2115" s="11" t="s">
        <v>211</v>
      </c>
      <c r="AH2115" s="1" t="str">
        <f>Table1[[#This Row],[html_tag]]&amp;Table1[[#This Row],[html_type]]&amp;Table1[[#This Row],[html_modifier]]</f>
        <v/>
      </c>
      <c r="AL2115" s="22" t="str">
        <f>IFERROR(_xlfn.XLOOKUP(Table1[[#This Row],[word]],Table57[English style name],Table57[Style type]),"")</f>
        <v/>
      </c>
      <c r="AM2115" s="20"/>
      <c r="AN2115" s="11"/>
      <c r="AQ2115" s="6" t="s">
        <v>2034</v>
      </c>
      <c r="AR2115" t="s">
        <v>2026</v>
      </c>
    </row>
    <row r="2116" spans="3:44">
      <c r="F21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6" s="13" t="s">
        <v>2992</v>
      </c>
      <c r="H2116" s="13" t="s">
        <v>1</v>
      </c>
      <c r="I2116" s="12" t="str">
        <f>Table1[[#This Row],[type]]</f>
        <v>paragraph</v>
      </c>
      <c r="J2116" s="62" t="str">
        <f>Table1[[#This Row],[Column42]]&amp;IF(Table1[[#This Row],[Column13]]="","",Table1[[#This Row],[Column13]])&amp;IF(Table1[[#This Row],[mod]]="","",Table1[[#This Row],[mod]])</f>
        <v>paragraph__list__link--hover</v>
      </c>
      <c r="K21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paragraph__list__link</v>
      </c>
      <c r="L2116" t="s">
        <v>0</v>
      </c>
      <c r="M2116" t="s">
        <v>325</v>
      </c>
      <c r="O2116" t="s">
        <v>477</v>
      </c>
      <c r="P2116" s="6" t="s">
        <v>2035</v>
      </c>
      <c r="Q21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116" t="s">
        <v>3019</v>
      </c>
      <c r="AB2116" s="29"/>
      <c r="AC2116" s="25"/>
      <c r="AD2116" s="41"/>
      <c r="AE2116" s="41"/>
      <c r="AF2116" s="11" t="s">
        <v>211</v>
      </c>
      <c r="AH2116" s="1" t="str">
        <f>Table1[[#This Row],[html_tag]]&amp;Table1[[#This Row],[html_type]]&amp;Table1[[#This Row],[html_modifier]]</f>
        <v/>
      </c>
      <c r="AL2116" s="22" t="str">
        <f>IFERROR(_xlfn.XLOOKUP(Table1[[#This Row],[word]],Table57[English style name],Table57[Style type]),"")</f>
        <v/>
      </c>
      <c r="AM2116" s="20"/>
      <c r="AN2116" s="11"/>
      <c r="AQ2116" s="6" t="s">
        <v>2035</v>
      </c>
      <c r="AR2116" t="s">
        <v>2026</v>
      </c>
    </row>
    <row r="2117" spans="3:44">
      <c r="D2117" t="s">
        <v>3317</v>
      </c>
      <c r="F21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7" s="13"/>
      <c r="H2117" s="13"/>
      <c r="I2117" s="12" t="str">
        <f>Table1[[#This Row],[type]]</f>
        <v>paragraph</v>
      </c>
      <c r="J2117" s="62" t="str">
        <f>Table1[[#This Row],[Column42]]&amp;IF(Table1[[#This Row],[Column13]]="","",Table1[[#This Row],[Column13]])&amp;IF(Table1[[#This Row],[mod]]="","",Table1[[#This Row],[mod]])</f>
        <v>paragraph__list__term--definition</v>
      </c>
      <c r="K21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paragraph__list__term</v>
      </c>
      <c r="L2117" t="s">
        <v>0</v>
      </c>
      <c r="M2117" t="s">
        <v>325</v>
      </c>
      <c r="O2117" t="s">
        <v>3357</v>
      </c>
      <c r="Q21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R2117" t="s">
        <v>342</v>
      </c>
      <c r="U21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17" s="29"/>
      <c r="AC2117" s="25"/>
      <c r="AD2117" s="41"/>
      <c r="AE2117" s="41"/>
      <c r="AF2117" s="11" t="s">
        <v>168</v>
      </c>
      <c r="AH2117" s="7" t="str">
        <f>Table1[[#This Row],[html_tag]]&amp;Table1[[#This Row],[html_type]]&amp;Table1[[#This Row],[html_modifier]]</f>
        <v/>
      </c>
      <c r="AL2117" s="23" t="str">
        <f>IFERROR(_xlfn.XLOOKUP(Table1[[#This Row],[word]],Table57[English style name],Table57[Style type]),"")</f>
        <v/>
      </c>
      <c r="AM2117" s="21"/>
      <c r="AN2117" s="11"/>
    </row>
    <row r="2118" spans="3:44">
      <c r="E2118" s="76"/>
      <c r="F21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8" s="13" t="s">
        <v>2992</v>
      </c>
      <c r="H2118" s="13" t="s">
        <v>1</v>
      </c>
      <c r="I2118" s="12" t="str">
        <f>Table1[[#This Row],[type]]</f>
        <v>paragraph</v>
      </c>
      <c r="J2118" s="62" t="str">
        <f>Table1[[#This Row],[Column42]]&amp;IF(Table1[[#This Row],[Column13]]="","",Table1[[#This Row],[Column13]])&amp;IF(Table1[[#This Row],[mod]]="","",Table1[[#This Row],[mod]])</f>
        <v>paragraph__list--active</v>
      </c>
      <c r="K21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18" t="s">
        <v>0</v>
      </c>
      <c r="M2118" t="s">
        <v>325</v>
      </c>
      <c r="P2118" s="6" t="s">
        <v>2033</v>
      </c>
      <c r="Q21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118" t="s">
        <v>350</v>
      </c>
      <c r="AB2118" s="29"/>
      <c r="AC2118" s="25"/>
      <c r="AD2118" s="41"/>
      <c r="AE2118" s="41"/>
      <c r="AF2118" s="11"/>
      <c r="AH2118" s="1" t="str">
        <f>Table1[[#This Row],[html_tag]]&amp;Table1[[#This Row],[html_type]]&amp;Table1[[#This Row],[html_modifier]]</f>
        <v>:active</v>
      </c>
      <c r="AK2118" t="s">
        <v>3015</v>
      </c>
      <c r="AL2118" s="22" t="str">
        <f>IFERROR(_xlfn.XLOOKUP(Table1[[#This Row],[word]],Table57[English style name],Table57[Style type]),"")</f>
        <v/>
      </c>
      <c r="AM2118" s="20"/>
      <c r="AN2118" s="11"/>
      <c r="AQ2118" s="6" t="s">
        <v>2033</v>
      </c>
      <c r="AR2118" t="s">
        <v>2026</v>
      </c>
    </row>
    <row r="2119" spans="3:44">
      <c r="E2119" s="76"/>
      <c r="F21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9" s="13"/>
      <c r="H2119" s="13"/>
      <c r="I2119" s="12" t="str">
        <f>Table1[[#This Row],[type]]</f>
        <v>paragraph</v>
      </c>
      <c r="J2119" s="62" t="str">
        <f>Table1[[#This Row],[Column42]]&amp;IF(Table1[[#This Row],[Column13]]="","",Table1[[#This Row],[Column13]])&amp;IF(Table1[[#This Row],[mod]]="","",Table1[[#This Row],[mod]])</f>
        <v>paragraph__list--active</v>
      </c>
      <c r="K21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19" t="s">
        <v>0</v>
      </c>
      <c r="M2119" t="s">
        <v>325</v>
      </c>
      <c r="Q21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119" t="s">
        <v>350</v>
      </c>
      <c r="AB2119" s="29" t="s">
        <v>4364</v>
      </c>
      <c r="AC2119" s="25"/>
      <c r="AD2119" s="41"/>
      <c r="AE2119" s="41"/>
      <c r="AF2119" s="11"/>
      <c r="AH2119" s="7" t="str">
        <f>Table1[[#This Row],[html_tag]]&amp;Table1[[#This Row],[html_type]]&amp;Table1[[#This Row],[html_modifier]]</f>
        <v/>
      </c>
      <c r="AL2119" s="23" t="str">
        <f>IFERROR(_xlfn.XLOOKUP(Table1[[#This Row],[word]],Table57[English style name],Table57[Style type]),"")</f>
        <v/>
      </c>
      <c r="AM2119" s="21"/>
      <c r="AN2119" s="11"/>
    </row>
    <row r="2120" spans="3:44">
      <c r="E2120" s="76"/>
      <c r="F21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0" s="13" t="s">
        <v>2992</v>
      </c>
      <c r="H2120" s="13" t="s">
        <v>1</v>
      </c>
      <c r="I2120" s="12" t="str">
        <f>Table1[[#This Row],[type]]</f>
        <v>paragraph</v>
      </c>
      <c r="J2120" s="62" t="str">
        <f>Table1[[#This Row],[Column42]]&amp;IF(Table1[[#This Row],[Column13]]="","",Table1[[#This Row],[Column13]])&amp;IF(Table1[[#This Row],[mod]]="","",Table1[[#This Row],[mod]])</f>
        <v>paragraph__list--base</v>
      </c>
      <c r="K21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0" t="s">
        <v>0</v>
      </c>
      <c r="M2120" t="s">
        <v>325</v>
      </c>
      <c r="P2120" s="6" t="s">
        <v>2029</v>
      </c>
      <c r="Q21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120" t="s">
        <v>338</v>
      </c>
      <c r="AB2120" s="29"/>
      <c r="AC2120" s="25"/>
      <c r="AD2120" s="41"/>
      <c r="AE2120" s="41"/>
      <c r="AF2120" s="11"/>
      <c r="AH2120" s="1" t="str">
        <f>Table1[[#This Row],[html_tag]]&amp;Table1[[#This Row],[html_type]]&amp;Table1[[#This Row],[html_modifier]]</f>
        <v/>
      </c>
      <c r="AL2120" s="22" t="str">
        <f>IFERROR(_xlfn.XLOOKUP(Table1[[#This Row],[word]],Table57[English style name],Table57[Style type]),"")</f>
        <v/>
      </c>
      <c r="AM2120" s="20"/>
      <c r="AN2120" s="11"/>
      <c r="AQ2120" s="6" t="s">
        <v>2029</v>
      </c>
      <c r="AR2120" t="s">
        <v>2026</v>
      </c>
    </row>
    <row r="2121" spans="3:44">
      <c r="E2121" s="76"/>
      <c r="F21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1" s="13" t="s">
        <v>2992</v>
      </c>
      <c r="H2121" s="13" t="s">
        <v>1</v>
      </c>
      <c r="I2121" s="12" t="str">
        <f>Table1[[#This Row],[type]]</f>
        <v>paragraph</v>
      </c>
      <c r="J2121" s="62" t="str">
        <f>Table1[[#This Row],[Column42]]&amp;IF(Table1[[#This Row],[Column13]]="","",Table1[[#This Row],[Column13]])&amp;IF(Table1[[#This Row],[mod]]="","",Table1[[#This Row],[mod]])</f>
        <v>paragraph__list--base</v>
      </c>
      <c r="K21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1" t="s">
        <v>0</v>
      </c>
      <c r="M2121" t="s">
        <v>325</v>
      </c>
      <c r="P2121" t="s">
        <v>43</v>
      </c>
      <c r="Q21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121" t="s">
        <v>338</v>
      </c>
      <c r="AB2121" s="29"/>
      <c r="AC2121" s="25"/>
      <c r="AD2121" s="41"/>
      <c r="AE2121" s="41"/>
      <c r="AF2121" s="11" t="s">
        <v>309</v>
      </c>
      <c r="AH2121" s="1" t="str">
        <f>Table1[[#This Row],[html_tag]]&amp;Table1[[#This Row],[html_type]]&amp;Table1[[#This Row],[html_modifier]]</f>
        <v/>
      </c>
      <c r="AL2121" s="22" t="str">
        <f>IFERROR(_xlfn.XLOOKUP(Table1[[#This Row],[word]],Table57[English style name],Table57[Style type]),"")</f>
        <v/>
      </c>
      <c r="AM2121" s="20"/>
      <c r="AN2121" s="11" t="s">
        <v>43</v>
      </c>
      <c r="AO2121" t="s">
        <v>44</v>
      </c>
      <c r="AP2121" t="s">
        <v>45</v>
      </c>
      <c r="AQ2121" t="s">
        <v>43</v>
      </c>
    </row>
    <row r="2122" spans="3:44">
      <c r="E2122" s="76"/>
      <c r="F21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2" s="13" t="s">
        <v>2992</v>
      </c>
      <c r="H2122" s="13" t="s">
        <v>1</v>
      </c>
      <c r="I2122" s="12" t="str">
        <f>Table1[[#This Row],[type]]</f>
        <v>paragraph</v>
      </c>
      <c r="J2122" s="62" t="str">
        <f>Table1[[#This Row],[Column42]]&amp;IF(Table1[[#This Row],[Column13]]="","",Table1[[#This Row],[Column13]])&amp;IF(Table1[[#This Row],[mod]]="","",Table1[[#This Row],[mod]])</f>
        <v>paragraph__list--definition</v>
      </c>
      <c r="K21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2" t="s">
        <v>0</v>
      </c>
      <c r="M2122" t="s">
        <v>325</v>
      </c>
      <c r="P2122" s="6"/>
      <c r="Q21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R2122" t="s">
        <v>342</v>
      </c>
      <c r="U21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2" s="29"/>
      <c r="AC2122" s="25"/>
      <c r="AD2122" s="41"/>
      <c r="AE2122" s="41"/>
      <c r="AF2122" s="11" t="s">
        <v>168</v>
      </c>
      <c r="AH2122" s="1" t="str">
        <f>Table1[[#This Row],[html_tag]]&amp;Table1[[#This Row],[html_type]]&amp;Table1[[#This Row],[html_modifier]]</f>
        <v>&lt;dl&gt;</v>
      </c>
      <c r="AI2122" t="s">
        <v>168</v>
      </c>
      <c r="AL2122" s="22" t="str">
        <f>IFERROR(_xlfn.XLOOKUP(Table1[[#This Row],[word]],Table57[English style name],Table57[Style type]),"")</f>
        <v/>
      </c>
      <c r="AM2122" s="20"/>
      <c r="AN2122" s="11" t="s">
        <v>52</v>
      </c>
      <c r="AO2122" t="s">
        <v>53</v>
      </c>
      <c r="AP2122" t="s">
        <v>54</v>
      </c>
      <c r="AQ2122" s="6" t="s">
        <v>539</v>
      </c>
      <c r="AR2122" t="s">
        <v>2041</v>
      </c>
    </row>
    <row r="2123" spans="3:44">
      <c r="E2123" s="76"/>
      <c r="F21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3" s="13" t="s">
        <v>2992</v>
      </c>
      <c r="H2123" s="13" t="s">
        <v>1</v>
      </c>
      <c r="I2123" s="12" t="str">
        <f>Table1[[#This Row],[type]]</f>
        <v>paragraph</v>
      </c>
      <c r="J2123" s="62" t="str">
        <f>Table1[[#This Row],[Column42]]&amp;IF(Table1[[#This Row],[Column13]]="","",Table1[[#This Row],[Column13]])&amp;IF(Table1[[#This Row],[mod]]="","",Table1[[#This Row],[mod]])</f>
        <v>paragraph__list--hover</v>
      </c>
      <c r="K21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3" t="s">
        <v>0</v>
      </c>
      <c r="M2123" t="s">
        <v>325</v>
      </c>
      <c r="P2123" s="6" t="s">
        <v>2038</v>
      </c>
      <c r="Q21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123" t="s">
        <v>3019</v>
      </c>
      <c r="AB2123" s="29"/>
      <c r="AC2123" s="25"/>
      <c r="AD2123" s="41"/>
      <c r="AE2123" s="41"/>
      <c r="AF2123" s="11"/>
      <c r="AH2123" s="1" t="str">
        <f>Table1[[#This Row],[html_tag]]&amp;Table1[[#This Row],[html_type]]&amp;Table1[[#This Row],[html_modifier]]</f>
        <v/>
      </c>
      <c r="AL2123" s="22" t="str">
        <f>IFERROR(_xlfn.XLOOKUP(Table1[[#This Row],[word]],Table57[English style name],Table57[Style type]),"")</f>
        <v/>
      </c>
      <c r="AM2123" s="20"/>
      <c r="AN2123" s="11"/>
      <c r="AQ2123" s="6" t="s">
        <v>2038</v>
      </c>
      <c r="AR2123" t="s">
        <v>2026</v>
      </c>
    </row>
    <row r="2124" spans="3:44">
      <c r="E2124" s="76"/>
      <c r="F21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4" s="13" t="s">
        <v>2992</v>
      </c>
      <c r="H2124" s="13" t="s">
        <v>1</v>
      </c>
      <c r="I2124" s="12" t="str">
        <f>Table1[[#This Row],[type]]</f>
        <v>paragraph</v>
      </c>
      <c r="J2124" s="62" t="str">
        <f>Table1[[#This Row],[Column42]]&amp;IF(Table1[[#This Row],[Column13]]="","",Table1[[#This Row],[Column13]])&amp;IF(Table1[[#This Row],[mod]]="","",Table1[[#This Row],[mod]])</f>
        <v>paragraph__list--ordered</v>
      </c>
      <c r="K21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4" t="s">
        <v>0</v>
      </c>
      <c r="M2124" t="s">
        <v>325</v>
      </c>
      <c r="P2124" s="6" t="s">
        <v>2066</v>
      </c>
      <c r="Q21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124" s="3" t="s">
        <v>3007</v>
      </c>
      <c r="U21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4" s="29"/>
      <c r="AC2124" s="25"/>
      <c r="AD2124" s="41"/>
      <c r="AE2124" s="41"/>
      <c r="AF2124" s="11"/>
      <c r="AH2124" s="1" t="str">
        <f>Table1[[#This Row],[html_tag]]&amp;Table1[[#This Row],[html_type]]&amp;Table1[[#This Row],[html_modifier]]</f>
        <v/>
      </c>
      <c r="AL2124" s="22" t="str">
        <f>IFERROR(_xlfn.XLOOKUP(Table1[[#This Row],[word]],Table57[English style name],Table57[Style type]),"")</f>
        <v/>
      </c>
      <c r="AM2124" s="20"/>
      <c r="AN2124" s="11"/>
      <c r="AQ2124" s="6" t="s">
        <v>2066</v>
      </c>
      <c r="AR2124" t="s">
        <v>2062</v>
      </c>
    </row>
    <row r="2125" spans="3:44">
      <c r="E2125" s="76"/>
      <c r="F21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5" s="13" t="s">
        <v>2992</v>
      </c>
      <c r="H2125" s="13" t="s">
        <v>1</v>
      </c>
      <c r="I2125" s="12" t="str">
        <f>Table1[[#This Row],[type]]</f>
        <v>paragraph</v>
      </c>
      <c r="J2125" s="62" t="str">
        <f>Table1[[#This Row],[Column42]]&amp;IF(Table1[[#This Row],[Column13]]="","",Table1[[#This Row],[Column13]])&amp;IF(Table1[[#This Row],[mod]]="","",Table1[[#This Row],[mod]])</f>
        <v>paragraph__list--ordered</v>
      </c>
      <c r="K21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5" t="s">
        <v>0</v>
      </c>
      <c r="M2125" t="s">
        <v>325</v>
      </c>
      <c r="P2125" s="6" t="s">
        <v>2067</v>
      </c>
      <c r="Q21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125" s="3" t="s">
        <v>3007</v>
      </c>
      <c r="U21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5" s="29"/>
      <c r="AC2125" s="25"/>
      <c r="AD2125" s="41"/>
      <c r="AE2125" s="41"/>
      <c r="AF2125" s="11"/>
      <c r="AH2125" s="1" t="str">
        <f>Table1[[#This Row],[html_tag]]&amp;Table1[[#This Row],[html_type]]&amp;Table1[[#This Row],[html_modifier]]</f>
        <v/>
      </c>
      <c r="AL2125" s="22" t="str">
        <f>IFERROR(_xlfn.XLOOKUP(Table1[[#This Row],[word]],Table57[English style name],Table57[Style type]),"")</f>
        <v/>
      </c>
      <c r="AM2125" s="20"/>
      <c r="AN2125" s="11"/>
      <c r="AQ2125" s="6" t="s">
        <v>2067</v>
      </c>
      <c r="AR2125" t="s">
        <v>2062</v>
      </c>
    </row>
    <row r="2126" spans="3:44">
      <c r="E2126" s="76"/>
      <c r="F21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6" s="13" t="s">
        <v>2992</v>
      </c>
      <c r="H2126" s="13" t="s">
        <v>1</v>
      </c>
      <c r="I2126" s="12" t="str">
        <f>Table1[[#This Row],[type]]</f>
        <v>paragraph</v>
      </c>
      <c r="J2126" s="62" t="str">
        <f>Table1[[#This Row],[Column42]]&amp;IF(Table1[[#This Row],[Column13]]="","",Table1[[#This Row],[Column13]])&amp;IF(Table1[[#This Row],[mod]]="","",Table1[[#This Row],[mod]])</f>
        <v>paragraph__list--ordered</v>
      </c>
      <c r="K21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6" t="s">
        <v>0</v>
      </c>
      <c r="M2126" t="s">
        <v>325</v>
      </c>
      <c r="P2126" s="6" t="s">
        <v>2068</v>
      </c>
      <c r="Q21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126" s="3" t="s">
        <v>3007</v>
      </c>
      <c r="U21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6" s="29"/>
      <c r="AC2126" s="25"/>
      <c r="AD2126" s="41"/>
      <c r="AE2126" s="41"/>
      <c r="AF2126" s="11"/>
      <c r="AH2126" s="1" t="str">
        <f>Table1[[#This Row],[html_tag]]&amp;Table1[[#This Row],[html_type]]&amp;Table1[[#This Row],[html_modifier]]</f>
        <v/>
      </c>
      <c r="AL2126" s="22" t="str">
        <f>IFERROR(_xlfn.XLOOKUP(Table1[[#This Row],[word]],Table57[English style name],Table57[Style type]),"")</f>
        <v/>
      </c>
      <c r="AM2126" s="20"/>
      <c r="AN2126" s="11"/>
      <c r="AQ2126" s="6" t="s">
        <v>2068</v>
      </c>
      <c r="AR2126" t="s">
        <v>2062</v>
      </c>
    </row>
    <row r="2127" spans="3:44">
      <c r="E2127" s="76"/>
      <c r="F21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7" s="13" t="s">
        <v>2992</v>
      </c>
      <c r="H2127" s="13" t="s">
        <v>1</v>
      </c>
      <c r="I2127" s="12" t="str">
        <f>Table1[[#This Row],[type]]</f>
        <v>paragraph</v>
      </c>
      <c r="J2127" s="62" t="str">
        <f>Table1[[#This Row],[Column42]]&amp;IF(Table1[[#This Row],[Column13]]="","",Table1[[#This Row],[Column13]])&amp;IF(Table1[[#This Row],[mod]]="","",Table1[[#This Row],[mod]])</f>
        <v>paragraph__list--ordered--alpha--lower</v>
      </c>
      <c r="K21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7" t="s">
        <v>0</v>
      </c>
      <c r="M2127" t="s">
        <v>325</v>
      </c>
      <c r="P2127" s="6"/>
      <c r="Q21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--ordered--alpha--lower</v>
      </c>
      <c r="R2127" t="s">
        <v>3007</v>
      </c>
      <c r="S2127" t="s">
        <v>7401</v>
      </c>
      <c r="T2127" t="s">
        <v>7402</v>
      </c>
      <c r="U21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7" s="29" t="s">
        <v>4358</v>
      </c>
      <c r="AC2127" s="25"/>
      <c r="AD2127" s="41"/>
      <c r="AE2127" s="41"/>
      <c r="AF2127" s="11"/>
      <c r="AH2127" s="1" t="str">
        <f>Table1[[#This Row],[html_tag]]&amp;Table1[[#This Row],[html_type]]&amp;Table1[[#This Row],[html_modifier]]</f>
        <v/>
      </c>
      <c r="AL2127" s="22" t="str">
        <f>IFERROR(_xlfn.XLOOKUP(Table1[[#This Row],[word]],Table57[English style name],Table57[Style type]),"")</f>
        <v/>
      </c>
      <c r="AM2127" s="20"/>
      <c r="AN2127" s="11"/>
      <c r="AQ2127" s="6" t="s">
        <v>2063</v>
      </c>
      <c r="AR2127" t="s">
        <v>2062</v>
      </c>
    </row>
    <row r="2128" spans="3:44">
      <c r="E2128" s="76"/>
      <c r="F21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8" s="13" t="s">
        <v>2992</v>
      </c>
      <c r="H2128" s="13" t="s">
        <v>1</v>
      </c>
      <c r="I2128" s="12" t="str">
        <f>Table1[[#This Row],[type]]</f>
        <v>paragraph</v>
      </c>
      <c r="J2128" s="62" t="str">
        <f>Table1[[#This Row],[Column42]]&amp;IF(Table1[[#This Row],[Column13]]="","",Table1[[#This Row],[Column13]])&amp;IF(Table1[[#This Row],[mod]]="","",Table1[[#This Row],[mod]])</f>
        <v>paragraph__list--ordered--alpha--upper</v>
      </c>
      <c r="K21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8" t="s">
        <v>0</v>
      </c>
      <c r="M2128" t="s">
        <v>325</v>
      </c>
      <c r="P2128" s="6"/>
      <c r="Q21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--ordered--alpha--upper</v>
      </c>
      <c r="R2128" t="s">
        <v>3007</v>
      </c>
      <c r="S2128" t="s">
        <v>7401</v>
      </c>
      <c r="T2128" t="s">
        <v>7403</v>
      </c>
      <c r="U21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8" s="29" t="s">
        <v>4360</v>
      </c>
      <c r="AC2128" s="25"/>
      <c r="AD2128" s="41"/>
      <c r="AE2128" s="41"/>
      <c r="AF2128" s="11"/>
      <c r="AH2128" s="1" t="str">
        <f>Table1[[#This Row],[html_tag]]&amp;Table1[[#This Row],[html_type]]&amp;Table1[[#This Row],[html_modifier]]</f>
        <v/>
      </c>
      <c r="AL2128" s="22" t="str">
        <f>IFERROR(_xlfn.XLOOKUP(Table1[[#This Row],[word]],Table57[English style name],Table57[Style type]),"")</f>
        <v/>
      </c>
      <c r="AM2128" s="20"/>
      <c r="AN2128" s="11"/>
      <c r="AQ2128" s="6" t="s">
        <v>2064</v>
      </c>
      <c r="AR2128" t="s">
        <v>2062</v>
      </c>
    </row>
    <row r="2129" spans="3:44">
      <c r="E2129" s="76"/>
      <c r="F21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9" s="13" t="s">
        <v>2992</v>
      </c>
      <c r="H2129" s="13" t="s">
        <v>1</v>
      </c>
      <c r="I2129" s="12" t="str">
        <f>Table1[[#This Row],[type]]</f>
        <v>paragraph</v>
      </c>
      <c r="J2129" s="62" t="str">
        <f>Table1[[#This Row],[Column42]]&amp;IF(Table1[[#This Row],[Column13]]="","",Table1[[#This Row],[Column13]])&amp;IF(Table1[[#This Row],[mod]]="","",Table1[[#This Row],[mod]])</f>
        <v>paragraph__list--ordered--greek--lower</v>
      </c>
      <c r="K21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9" t="s">
        <v>0</v>
      </c>
      <c r="M2129" t="s">
        <v>325</v>
      </c>
      <c r="P2129" s="6"/>
      <c r="Q21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--ordered--greek--lower</v>
      </c>
      <c r="R2129" t="s">
        <v>3007</v>
      </c>
      <c r="S2129" t="s">
        <v>7404</v>
      </c>
      <c r="T2129" t="s">
        <v>7402</v>
      </c>
      <c r="U21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9" s="29"/>
      <c r="AC2129" s="25"/>
      <c r="AD2129" s="41"/>
      <c r="AE2129" s="41"/>
      <c r="AF2129" s="11"/>
      <c r="AH2129" s="1" t="str">
        <f>Table1[[#This Row],[html_tag]]&amp;Table1[[#This Row],[html_type]]&amp;Table1[[#This Row],[html_modifier]]</f>
        <v/>
      </c>
      <c r="AL2129" s="22" t="str">
        <f>IFERROR(_xlfn.XLOOKUP(Table1[[#This Row],[word]],Table57[English style name],Table57[Style type]),"")</f>
        <v/>
      </c>
      <c r="AM2129" s="20"/>
      <c r="AN2129" s="11"/>
      <c r="AQ2129" s="6" t="s">
        <v>2069</v>
      </c>
      <c r="AR2129" t="s">
        <v>2062</v>
      </c>
    </row>
    <row r="2130" spans="3:44">
      <c r="E2130" s="76"/>
      <c r="F21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0" s="13" t="s">
        <v>2992</v>
      </c>
      <c r="H2130" s="13" t="s">
        <v>1</v>
      </c>
      <c r="I2130" s="12" t="str">
        <f>Table1[[#This Row],[type]]</f>
        <v>paragraph</v>
      </c>
      <c r="J2130" s="62" t="str">
        <f>Table1[[#This Row],[Column42]]&amp;IF(Table1[[#This Row],[Column13]]="","",Table1[[#This Row],[Column13]])&amp;IF(Table1[[#This Row],[mod]]="","",Table1[[#This Row],[mod]])</f>
        <v>paragraph__list--ordered--latin--lower</v>
      </c>
      <c r="K21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0" t="s">
        <v>0</v>
      </c>
      <c r="M2130" t="s">
        <v>325</v>
      </c>
      <c r="P2130" s="6"/>
      <c r="Q21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--ordered--latin--lower</v>
      </c>
      <c r="R2130" t="s">
        <v>3007</v>
      </c>
      <c r="S2130" t="s">
        <v>7405</v>
      </c>
      <c r="T2130" t="s">
        <v>7402</v>
      </c>
      <c r="U21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30" s="29"/>
      <c r="AC2130" s="25"/>
      <c r="AD2130" s="41"/>
      <c r="AE2130" s="41"/>
      <c r="AF2130" s="11"/>
      <c r="AH2130" s="1" t="str">
        <f>Table1[[#This Row],[html_tag]]&amp;Table1[[#This Row],[html_type]]&amp;Table1[[#This Row],[html_modifier]]</f>
        <v/>
      </c>
      <c r="AL2130" s="22" t="str">
        <f>IFERROR(_xlfn.XLOOKUP(Table1[[#This Row],[word]],Table57[English style name],Table57[Style type]),"")</f>
        <v/>
      </c>
      <c r="AM2130" s="20"/>
      <c r="AN2130" s="11"/>
      <c r="AQ2130" s="6" t="s">
        <v>2070</v>
      </c>
      <c r="AR2130" t="s">
        <v>2062</v>
      </c>
    </row>
    <row r="2131" spans="3:44">
      <c r="E2131" s="76"/>
      <c r="F21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1" s="13" t="s">
        <v>2992</v>
      </c>
      <c r="H2131" s="13" t="s">
        <v>1</v>
      </c>
      <c r="I2131" s="12" t="str">
        <f>Table1[[#This Row],[type]]</f>
        <v>paragraph</v>
      </c>
      <c r="J2131" s="62" t="str">
        <f>Table1[[#This Row],[Column42]]&amp;IF(Table1[[#This Row],[Column13]]="","",Table1[[#This Row],[Column13]])&amp;IF(Table1[[#This Row],[mod]]="","",Table1[[#This Row],[mod]])</f>
        <v>paragraph__list--ordered--latin--upper</v>
      </c>
      <c r="K21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1" t="s">
        <v>0</v>
      </c>
      <c r="M2131" t="s">
        <v>325</v>
      </c>
      <c r="P2131" s="6"/>
      <c r="Q21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--ordered--latin--upper</v>
      </c>
      <c r="R2131" t="s">
        <v>3007</v>
      </c>
      <c r="S2131" t="s">
        <v>7405</v>
      </c>
      <c r="T2131" t="s">
        <v>7403</v>
      </c>
      <c r="U21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31" s="29"/>
      <c r="AC2131" s="25"/>
      <c r="AD2131" s="41"/>
      <c r="AE2131" s="41"/>
      <c r="AF2131" s="11"/>
      <c r="AH2131" s="1" t="str">
        <f>Table1[[#This Row],[html_tag]]&amp;Table1[[#This Row],[html_type]]&amp;Table1[[#This Row],[html_modifier]]</f>
        <v/>
      </c>
      <c r="AL2131" s="22" t="str">
        <f>IFERROR(_xlfn.XLOOKUP(Table1[[#This Row],[word]],Table57[English style name],Table57[Style type]),"")</f>
        <v/>
      </c>
      <c r="AM2131" s="20"/>
      <c r="AN2131" s="11"/>
      <c r="AQ2131" s="6" t="s">
        <v>2071</v>
      </c>
      <c r="AR2131" t="s">
        <v>2062</v>
      </c>
    </row>
    <row r="2132" spans="3:44">
      <c r="E2132" s="76"/>
      <c r="F21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2" s="13" t="s">
        <v>2992</v>
      </c>
      <c r="H2132" s="13" t="s">
        <v>1</v>
      </c>
      <c r="I2132" s="12" t="str">
        <f>Table1[[#This Row],[type]]</f>
        <v>paragraph</v>
      </c>
      <c r="J2132" s="62" t="str">
        <f>Table1[[#This Row],[Column42]]&amp;IF(Table1[[#This Row],[Column13]]="","",Table1[[#This Row],[Column13]])&amp;IF(Table1[[#This Row],[mod]]="","",Table1[[#This Row],[mod]])</f>
        <v>paragraph__list--ordered--number</v>
      </c>
      <c r="K21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2" t="s">
        <v>0</v>
      </c>
      <c r="M2132" t="s">
        <v>325</v>
      </c>
      <c r="P2132" s="6" t="s">
        <v>566</v>
      </c>
      <c r="Q21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2" s="3" t="s">
        <v>3007</v>
      </c>
      <c r="S2132" t="s">
        <v>3090</v>
      </c>
      <c r="U21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32" s="29"/>
      <c r="AC2132" s="25"/>
      <c r="AD2132" s="41"/>
      <c r="AE2132" s="41"/>
      <c r="AF2132" s="11" t="s">
        <v>231</v>
      </c>
      <c r="AH2132" s="1" t="str">
        <f>Table1[[#This Row],[html_tag]]&amp;Table1[[#This Row],[html_type]]&amp;Table1[[#This Row],[html_modifier]]</f>
        <v>&lt;ol&gt;</v>
      </c>
      <c r="AI2132" t="s">
        <v>231</v>
      </c>
      <c r="AL2132" s="22" t="str">
        <f>IFERROR(_xlfn.XLOOKUP(Table1[[#This Row],[word]],Table57[English style name],Table57[Style type]),"")</f>
        <v/>
      </c>
      <c r="AM2132" s="20"/>
      <c r="AN2132" s="11" t="s">
        <v>49</v>
      </c>
      <c r="AO2132" t="s">
        <v>50</v>
      </c>
      <c r="AP2132" t="s">
        <v>51</v>
      </c>
      <c r="AQ2132" s="6" t="s">
        <v>566</v>
      </c>
      <c r="AR2132" t="s">
        <v>2059</v>
      </c>
    </row>
    <row r="2133" spans="3:44">
      <c r="C2133">
        <v>1</v>
      </c>
      <c r="D2133" t="s">
        <v>3256</v>
      </c>
      <c r="E2133" s="76"/>
      <c r="F21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3" s="13"/>
      <c r="H2133" s="13"/>
      <c r="I2133" s="12" t="str">
        <f>Table1[[#This Row],[type]]</f>
        <v>paragraph</v>
      </c>
      <c r="J2133" s="62" t="str">
        <f>Table1[[#This Row],[Column42]]&amp;IF(Table1[[#This Row],[Column13]]="","",Table1[[#This Row],[Column13]])&amp;IF(Table1[[#This Row],[mod]]="","",Table1[[#This Row],[mod]])</f>
        <v>paragraph__list--ordered--number--1</v>
      </c>
      <c r="K21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3" t="s">
        <v>0</v>
      </c>
      <c r="M2133" t="s">
        <v>325</v>
      </c>
      <c r="Q21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3" t="s">
        <v>3007</v>
      </c>
      <c r="S2133" t="s">
        <v>3090</v>
      </c>
      <c r="U21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133">
        <v>1</v>
      </c>
      <c r="AB2133" s="29"/>
      <c r="AC2133" s="25"/>
      <c r="AD2133" s="41"/>
      <c r="AE2133" s="41"/>
      <c r="AF2133" s="11" t="s">
        <v>231</v>
      </c>
      <c r="AG2133" t="s">
        <v>3259</v>
      </c>
      <c r="AH2133" s="1" t="str">
        <f>Table1[[#This Row],[html_tag]]&amp;Table1[[#This Row],[html_type]]&amp;Table1[[#This Row],[html_modifier]]</f>
        <v/>
      </c>
      <c r="AL2133" s="22" t="str">
        <f>IFERROR(_xlfn.XLOOKUP(Table1[[#This Row],[word]],Table57[English style name],Table57[Style type]),"")</f>
        <v>Paragraph</v>
      </c>
      <c r="AM2133" s="20" t="s">
        <v>773</v>
      </c>
      <c r="AN2133" s="11"/>
    </row>
    <row r="2134" spans="3:44">
      <c r="C2134">
        <v>1</v>
      </c>
      <c r="D2134" t="s">
        <v>3256</v>
      </c>
      <c r="E2134" s="76"/>
      <c r="F21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4" s="13"/>
      <c r="H2134" s="13"/>
      <c r="I2134" s="12" t="str">
        <f>Table1[[#This Row],[type]]</f>
        <v>paragraph</v>
      </c>
      <c r="J2134" s="62" t="str">
        <f>Table1[[#This Row],[Column42]]&amp;IF(Table1[[#This Row],[Column13]]="","",Table1[[#This Row],[Column13]])&amp;IF(Table1[[#This Row],[mod]]="","",Table1[[#This Row],[mod]])</f>
        <v>paragraph__list--ordered--number--2</v>
      </c>
      <c r="K21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4" t="s">
        <v>0</v>
      </c>
      <c r="M2134" t="s">
        <v>325</v>
      </c>
      <c r="Q21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4" t="s">
        <v>3007</v>
      </c>
      <c r="S2134" t="s">
        <v>3090</v>
      </c>
      <c r="U21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134">
        <v>2</v>
      </c>
      <c r="AB2134" s="29"/>
      <c r="AC2134" s="25"/>
      <c r="AD2134" s="41"/>
      <c r="AE2134" s="41"/>
      <c r="AF2134" s="11" t="s">
        <v>231</v>
      </c>
      <c r="AG2134" t="s">
        <v>3259</v>
      </c>
      <c r="AH2134" s="1" t="str">
        <f>Table1[[#This Row],[html_tag]]&amp;Table1[[#This Row],[html_type]]&amp;Table1[[#This Row],[html_modifier]]</f>
        <v/>
      </c>
      <c r="AL2134" s="22" t="str">
        <f>IFERROR(_xlfn.XLOOKUP(Table1[[#This Row],[word]],Table57[English style name],Table57[Style type]),"")</f>
        <v>Paragraph</v>
      </c>
      <c r="AM2134" s="20" t="s">
        <v>790</v>
      </c>
      <c r="AN2134" s="11"/>
    </row>
    <row r="2135" spans="3:44">
      <c r="C2135">
        <v>1</v>
      </c>
      <c r="D2135" t="s">
        <v>3256</v>
      </c>
      <c r="E2135" s="76"/>
      <c r="F21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5" s="13"/>
      <c r="H2135" s="13"/>
      <c r="I2135" s="12" t="str">
        <f>Table1[[#This Row],[type]]</f>
        <v>paragraph</v>
      </c>
      <c r="J2135" s="62" t="str">
        <f>Table1[[#This Row],[Column42]]&amp;IF(Table1[[#This Row],[Column13]]="","",Table1[[#This Row],[Column13]])&amp;IF(Table1[[#This Row],[mod]]="","",Table1[[#This Row],[mod]])</f>
        <v>paragraph__list--ordered--number--3</v>
      </c>
      <c r="K21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5" t="s">
        <v>0</v>
      </c>
      <c r="M2135" t="s">
        <v>325</v>
      </c>
      <c r="Q21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5" t="s">
        <v>3007</v>
      </c>
      <c r="S2135" t="s">
        <v>3090</v>
      </c>
      <c r="U21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135">
        <v>3</v>
      </c>
      <c r="AB2135" s="29"/>
      <c r="AC2135" s="25"/>
      <c r="AD2135" s="41"/>
      <c r="AE2135" s="41"/>
      <c r="AF2135" s="11" t="s">
        <v>231</v>
      </c>
      <c r="AG2135" t="s">
        <v>3259</v>
      </c>
      <c r="AH2135" s="1" t="str">
        <f>Table1[[#This Row],[html_tag]]&amp;Table1[[#This Row],[html_type]]&amp;Table1[[#This Row],[html_modifier]]</f>
        <v/>
      </c>
      <c r="AL2135" s="22" t="str">
        <f>IFERROR(_xlfn.XLOOKUP(Table1[[#This Row],[word]],Table57[English style name],Table57[Style type]),"")</f>
        <v>Paragraph</v>
      </c>
      <c r="AM2135" s="20" t="s">
        <v>792</v>
      </c>
      <c r="AN2135" s="11"/>
    </row>
    <row r="2136" spans="3:44">
      <c r="C2136">
        <v>1</v>
      </c>
      <c r="D2136" t="s">
        <v>3256</v>
      </c>
      <c r="E2136" s="76"/>
      <c r="F21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6" s="13"/>
      <c r="H2136" s="13"/>
      <c r="I2136" s="12" t="str">
        <f>Table1[[#This Row],[type]]</f>
        <v>paragraph</v>
      </c>
      <c r="J2136" s="62" t="str">
        <f>Table1[[#This Row],[Column42]]&amp;IF(Table1[[#This Row],[Column13]]="","",Table1[[#This Row],[Column13]])&amp;IF(Table1[[#This Row],[mod]]="","",Table1[[#This Row],[mod]])</f>
        <v>paragraph__list--ordered--number--4</v>
      </c>
      <c r="K21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6" t="s">
        <v>0</v>
      </c>
      <c r="M2136" t="s">
        <v>325</v>
      </c>
      <c r="Q21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6" t="s">
        <v>3007</v>
      </c>
      <c r="S2136" t="s">
        <v>3090</v>
      </c>
      <c r="U21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136">
        <v>4</v>
      </c>
      <c r="AB2136" s="29"/>
      <c r="AC2136" s="25"/>
      <c r="AD2136" s="41"/>
      <c r="AE2136" s="41"/>
      <c r="AF2136" s="11" t="s">
        <v>231</v>
      </c>
      <c r="AG2136" t="s">
        <v>3259</v>
      </c>
      <c r="AH2136" s="1" t="str">
        <f>Table1[[#This Row],[html_tag]]&amp;Table1[[#This Row],[html_type]]&amp;Table1[[#This Row],[html_modifier]]</f>
        <v/>
      </c>
      <c r="AL2136" s="22" t="str">
        <f>IFERROR(_xlfn.XLOOKUP(Table1[[#This Row],[word]],Table57[English style name],Table57[Style type]),"")</f>
        <v>Paragraph</v>
      </c>
      <c r="AM2136" s="20" t="s">
        <v>794</v>
      </c>
      <c r="AN2136" s="11"/>
    </row>
    <row r="2137" spans="3:44">
      <c r="C2137">
        <v>1</v>
      </c>
      <c r="D2137" t="s">
        <v>3256</v>
      </c>
      <c r="E2137" s="76"/>
      <c r="F21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7" s="13"/>
      <c r="H2137" s="13"/>
      <c r="I2137" s="12" t="str">
        <f>Table1[[#This Row],[type]]</f>
        <v>paragraph</v>
      </c>
      <c r="J2137" s="62" t="str">
        <f>Table1[[#This Row],[Column42]]&amp;IF(Table1[[#This Row],[Column13]]="","",Table1[[#This Row],[Column13]])&amp;IF(Table1[[#This Row],[mod]]="","",Table1[[#This Row],[mod]])</f>
        <v>paragraph__list--ordered--number--5</v>
      </c>
      <c r="K21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7" t="s">
        <v>0</v>
      </c>
      <c r="M2137" t="s">
        <v>325</v>
      </c>
      <c r="Q21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7" t="s">
        <v>3007</v>
      </c>
      <c r="S2137" t="s">
        <v>3090</v>
      </c>
      <c r="U21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137">
        <v>5</v>
      </c>
      <c r="AB2137" s="29"/>
      <c r="AC2137" s="25"/>
      <c r="AD2137" s="41"/>
      <c r="AE2137" s="41"/>
      <c r="AF2137" s="11" t="s">
        <v>231</v>
      </c>
      <c r="AG2137" t="s">
        <v>3259</v>
      </c>
      <c r="AH2137" s="1" t="str">
        <f>Table1[[#This Row],[html_tag]]&amp;Table1[[#This Row],[html_type]]&amp;Table1[[#This Row],[html_modifier]]</f>
        <v/>
      </c>
      <c r="AL2137" s="22" t="str">
        <f>IFERROR(_xlfn.XLOOKUP(Table1[[#This Row],[word]],Table57[English style name],Table57[Style type]),"")</f>
        <v>Paragraph</v>
      </c>
      <c r="AM2137" s="20" t="s">
        <v>796</v>
      </c>
      <c r="AN2137" s="11"/>
    </row>
    <row r="2138" spans="3:44">
      <c r="E2138" s="76"/>
      <c r="F21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8" s="13" t="s">
        <v>2992</v>
      </c>
      <c r="H2138" s="13" t="s">
        <v>1</v>
      </c>
      <c r="I2138" s="12" t="str">
        <f>Table1[[#This Row],[type]]</f>
        <v>paragraph</v>
      </c>
      <c r="J2138" s="62" t="str">
        <f>Table1[[#This Row],[Column42]]&amp;IF(Table1[[#This Row],[Column13]]="","",Table1[[#This Row],[Column13]])&amp;IF(Table1[[#This Row],[mod]]="","",Table1[[#This Row],[mod]])</f>
        <v>paragraph__list--ordered--number--custom</v>
      </c>
      <c r="K21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8" t="s">
        <v>0</v>
      </c>
      <c r="M2138" t="s">
        <v>325</v>
      </c>
      <c r="P2138" s="6"/>
      <c r="Q21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--ordered--number--custom</v>
      </c>
      <c r="R2138" s="3" t="s">
        <v>3007</v>
      </c>
      <c r="S2138" t="s">
        <v>3090</v>
      </c>
      <c r="T2138" t="s">
        <v>7408</v>
      </c>
      <c r="U21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38" s="29"/>
      <c r="AC2138" s="25"/>
      <c r="AD2138" s="41"/>
      <c r="AE2138" s="41"/>
      <c r="AF2138" s="11"/>
      <c r="AH2138" s="1" t="str">
        <f>Table1[[#This Row],[html_tag]]&amp;Table1[[#This Row],[html_type]]&amp;Table1[[#This Row],[html_modifier]]</f>
        <v/>
      </c>
      <c r="AL2138" s="22" t="str">
        <f>IFERROR(_xlfn.XLOOKUP(Table1[[#This Row],[word]],Table57[English style name],Table57[Style type]),"")</f>
        <v/>
      </c>
      <c r="AM2138" s="20"/>
      <c r="AN2138" s="11"/>
      <c r="AQ2138" s="6" t="s">
        <v>2060</v>
      </c>
      <c r="AR2138" t="s">
        <v>2059</v>
      </c>
    </row>
    <row r="2139" spans="3:44">
      <c r="E2139" s="76"/>
      <c r="F21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9" s="13" t="s">
        <v>2992</v>
      </c>
      <c r="H2139" s="13" t="s">
        <v>1</v>
      </c>
      <c r="I2139" s="12" t="str">
        <f>Table1[[#This Row],[type]]</f>
        <v>paragraph</v>
      </c>
      <c r="J2139" s="62" t="str">
        <f>Table1[[#This Row],[Column42]]&amp;IF(Table1[[#This Row],[Column13]]="","",Table1[[#This Row],[Column13]])&amp;IF(Table1[[#This Row],[mod]]="","",Table1[[#This Row],[mod]])</f>
        <v>paragraph__list--ordered--roman--lower</v>
      </c>
      <c r="K21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9" t="s">
        <v>0</v>
      </c>
      <c r="M2139" t="s">
        <v>325</v>
      </c>
      <c r="P2139" s="6"/>
      <c r="Q21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--ordered--roman--lower</v>
      </c>
      <c r="R2139" t="s">
        <v>3007</v>
      </c>
      <c r="S2139" t="s">
        <v>7406</v>
      </c>
      <c r="T2139" t="s">
        <v>7402</v>
      </c>
      <c r="U21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39" s="29" t="s">
        <v>4359</v>
      </c>
      <c r="AC2139" s="25"/>
      <c r="AD2139" s="41"/>
      <c r="AE2139" s="41"/>
      <c r="AF2139" s="11"/>
      <c r="AH2139" s="1" t="str">
        <f>Table1[[#This Row],[html_tag]]&amp;Table1[[#This Row],[html_type]]&amp;Table1[[#This Row],[html_modifier]]</f>
        <v/>
      </c>
      <c r="AL2139" s="22" t="str">
        <f>IFERROR(_xlfn.XLOOKUP(Table1[[#This Row],[word]],Table57[English style name],Table57[Style type]),"")</f>
        <v/>
      </c>
      <c r="AM2139" s="20"/>
      <c r="AN2139" s="11"/>
      <c r="AQ2139" s="6" t="s">
        <v>2073</v>
      </c>
      <c r="AR2139" t="s">
        <v>2062</v>
      </c>
    </row>
    <row r="2140" spans="3:44">
      <c r="E2140" s="76"/>
      <c r="F21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0" s="13" t="s">
        <v>2992</v>
      </c>
      <c r="H2140" s="13" t="s">
        <v>1</v>
      </c>
      <c r="I2140" s="12" t="str">
        <f>Table1[[#This Row],[type]]</f>
        <v>paragraph</v>
      </c>
      <c r="J2140" s="62" t="str">
        <f>Table1[[#This Row],[Column42]]&amp;IF(Table1[[#This Row],[Column13]]="","",Table1[[#This Row],[Column13]])&amp;IF(Table1[[#This Row],[mod]]="","",Table1[[#This Row],[mod]])</f>
        <v>paragraph__list--ordered--roman--upper</v>
      </c>
      <c r="K21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0" t="s">
        <v>0</v>
      </c>
      <c r="M2140" t="s">
        <v>325</v>
      </c>
      <c r="P2140" s="6"/>
      <c r="Q21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--ordered--roman--upper</v>
      </c>
      <c r="R2140" t="s">
        <v>3007</v>
      </c>
      <c r="S2140" t="s">
        <v>7406</v>
      </c>
      <c r="T2140" t="s">
        <v>7403</v>
      </c>
      <c r="U21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0" s="29" t="s">
        <v>4361</v>
      </c>
      <c r="AC2140" s="25"/>
      <c r="AD2140" s="41"/>
      <c r="AE2140" s="41"/>
      <c r="AF2140" s="11"/>
      <c r="AH2140" s="1" t="str">
        <f>Table1[[#This Row],[html_tag]]&amp;Table1[[#This Row],[html_type]]&amp;Table1[[#This Row],[html_modifier]]</f>
        <v/>
      </c>
      <c r="AL2140" s="22" t="str">
        <f>IFERROR(_xlfn.XLOOKUP(Table1[[#This Row],[word]],Table57[English style name],Table57[Style type]),"")</f>
        <v/>
      </c>
      <c r="AM2140" s="20"/>
      <c r="AN2140" s="11"/>
      <c r="AQ2140" s="6" t="s">
        <v>2074</v>
      </c>
      <c r="AR2140" t="s">
        <v>2062</v>
      </c>
    </row>
    <row r="2141" spans="3:44">
      <c r="E2141" s="76"/>
      <c r="F21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1" s="13" t="s">
        <v>2992</v>
      </c>
      <c r="H2141" s="13" t="s">
        <v>1</v>
      </c>
      <c r="I2141" s="12" t="str">
        <f>Table1[[#This Row],[type]]</f>
        <v>paragraph</v>
      </c>
      <c r="J2141" s="62" t="str">
        <f>Table1[[#This Row],[Column42]]&amp;IF(Table1[[#This Row],[Column13]]="","",Table1[[#This Row],[Column13]])&amp;IF(Table1[[#This Row],[mod]]="","",Table1[[#This Row],[mod]])</f>
        <v>paragraph__list--unordered</v>
      </c>
      <c r="K21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1" t="s">
        <v>0</v>
      </c>
      <c r="M2141" t="s">
        <v>325</v>
      </c>
      <c r="P2141" s="6" t="s">
        <v>2065</v>
      </c>
      <c r="Q21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1" t="s">
        <v>7400</v>
      </c>
      <c r="U21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1" s="29"/>
      <c r="AC2141" s="25"/>
      <c r="AD2141" s="41"/>
      <c r="AE2141" s="41"/>
      <c r="AF2141" s="11"/>
      <c r="AH2141" s="1" t="str">
        <f>Table1[[#This Row],[html_tag]]&amp;Table1[[#This Row],[html_type]]&amp;Table1[[#This Row],[html_modifier]]</f>
        <v/>
      </c>
      <c r="AL2141" s="22" t="str">
        <f>IFERROR(_xlfn.XLOOKUP(Table1[[#This Row],[word]],Table57[English style name],Table57[Style type]),"")</f>
        <v/>
      </c>
      <c r="AM2141" s="20"/>
      <c r="AN2141" s="11"/>
      <c r="AQ2141" s="6" t="s">
        <v>2065</v>
      </c>
      <c r="AR2141" t="s">
        <v>2062</v>
      </c>
    </row>
    <row r="2142" spans="3:44">
      <c r="E2142" s="76"/>
      <c r="F21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2" s="13" t="s">
        <v>2992</v>
      </c>
      <c r="H2142" s="13" t="s">
        <v>1</v>
      </c>
      <c r="I2142" s="12" t="str">
        <f>Table1[[#This Row],[type]]</f>
        <v>paragraph</v>
      </c>
      <c r="J2142" s="62" t="str">
        <f>Table1[[#This Row],[Column42]]&amp;IF(Table1[[#This Row],[Column13]]="","",Table1[[#This Row],[Column13]])&amp;IF(Table1[[#This Row],[mod]]="","",Table1[[#This Row],[mod]])</f>
        <v>paragraph__list--unordered</v>
      </c>
      <c r="K21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2" t="s">
        <v>0</v>
      </c>
      <c r="M2142" t="s">
        <v>325</v>
      </c>
      <c r="P2142" s="6" t="s">
        <v>2076</v>
      </c>
      <c r="Q21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2" t="s">
        <v>7400</v>
      </c>
      <c r="U21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2" s="29"/>
      <c r="AC2142" s="25"/>
      <c r="AD2142" s="41"/>
      <c r="AE2142" s="41"/>
      <c r="AF2142" s="11"/>
      <c r="AH2142" s="1" t="str">
        <f>Table1[[#This Row],[html_tag]]&amp;Table1[[#This Row],[html_type]]&amp;Table1[[#This Row],[html_modifier]]</f>
        <v/>
      </c>
      <c r="AL2142" s="22" t="str">
        <f>IFERROR(_xlfn.XLOOKUP(Table1[[#This Row],[word]],Table57[English style name],Table57[Style type]),"")</f>
        <v/>
      </c>
      <c r="AM2142" s="20"/>
      <c r="AN2142" s="11"/>
      <c r="AQ2142" s="6" t="s">
        <v>2076</v>
      </c>
      <c r="AR2142" t="s">
        <v>2062</v>
      </c>
    </row>
    <row r="2143" spans="3:44">
      <c r="E2143" s="76"/>
      <c r="F21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3" s="13" t="s">
        <v>2992</v>
      </c>
      <c r="H2143" s="13" t="s">
        <v>1</v>
      </c>
      <c r="I2143" s="12" t="str">
        <f>Table1[[#This Row],[type]]</f>
        <v>paragraph</v>
      </c>
      <c r="J2143" s="62" t="str">
        <f>Table1[[#This Row],[Column42]]&amp;IF(Table1[[#This Row],[Column13]]="","",Table1[[#This Row],[Column13]])&amp;IF(Table1[[#This Row],[mod]]="","",Table1[[#This Row],[mod]])</f>
        <v>paragraph__list--unordered</v>
      </c>
      <c r="K21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3" t="s">
        <v>0</v>
      </c>
      <c r="M2143" t="s">
        <v>325</v>
      </c>
      <c r="P2143" s="6" t="s">
        <v>2027</v>
      </c>
      <c r="Q21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3" t="s">
        <v>7400</v>
      </c>
      <c r="U21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3" s="29"/>
      <c r="AC2143" s="25"/>
      <c r="AD2143" s="41"/>
      <c r="AE2143" s="41"/>
      <c r="AF2143" s="11"/>
      <c r="AH2143" s="1" t="str">
        <f>Table1[[#This Row],[html_tag]]&amp;Table1[[#This Row],[html_type]]&amp;Table1[[#This Row],[html_modifier]]</f>
        <v/>
      </c>
      <c r="AL2143" s="22" t="str">
        <f>IFERROR(_xlfn.XLOOKUP(Table1[[#This Row],[word]],Table57[English style name],Table57[Style type]),"")</f>
        <v/>
      </c>
      <c r="AM2143" s="20"/>
      <c r="AN2143" s="11"/>
      <c r="AQ2143" s="6" t="s">
        <v>2027</v>
      </c>
      <c r="AR2143" t="s">
        <v>2026</v>
      </c>
    </row>
    <row r="2144" spans="3:44">
      <c r="E2144" s="76"/>
      <c r="F21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4" s="13" t="s">
        <v>2992</v>
      </c>
      <c r="H2144" s="13" t="s">
        <v>1</v>
      </c>
      <c r="I2144" s="12" t="str">
        <f>Table1[[#This Row],[type]]</f>
        <v>paragraph</v>
      </c>
      <c r="J2144" s="62" t="str">
        <f>Table1[[#This Row],[Column42]]&amp;IF(Table1[[#This Row],[Column13]]="","",Table1[[#This Row],[Column13]])&amp;IF(Table1[[#This Row],[mod]]="","",Table1[[#This Row],[mod]])</f>
        <v>paragraph__list--unordered</v>
      </c>
      <c r="K21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4" t="s">
        <v>0</v>
      </c>
      <c r="M2144" t="s">
        <v>325</v>
      </c>
      <c r="P2144" s="6" t="s">
        <v>2080</v>
      </c>
      <c r="Q21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4" t="s">
        <v>7400</v>
      </c>
      <c r="U21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4" s="29"/>
      <c r="AC2144" s="25"/>
      <c r="AD2144" s="41"/>
      <c r="AE2144" s="41"/>
      <c r="AF2144" s="11" t="s">
        <v>309</v>
      </c>
      <c r="AH2144" s="1" t="str">
        <f>Table1[[#This Row],[html_tag]]&amp;Table1[[#This Row],[html_type]]&amp;Table1[[#This Row],[html_modifier]]</f>
        <v/>
      </c>
      <c r="AL2144" s="22" t="str">
        <f>IFERROR(_xlfn.XLOOKUP(Table1[[#This Row],[word]],Table57[English style name],Table57[Style type]),"")</f>
        <v/>
      </c>
      <c r="AM2144" s="20"/>
      <c r="AN2144" s="11"/>
      <c r="AQ2144" s="6" t="s">
        <v>2080</v>
      </c>
      <c r="AR2144" t="s">
        <v>2079</v>
      </c>
    </row>
    <row r="2145" spans="3:44">
      <c r="E2145" s="76"/>
      <c r="F21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5" s="13" t="s">
        <v>2992</v>
      </c>
      <c r="H2145" s="13" t="s">
        <v>1</v>
      </c>
      <c r="I2145" s="12" t="str">
        <f>Table1[[#This Row],[type]]</f>
        <v>paragraph</v>
      </c>
      <c r="J2145" s="62" t="str">
        <f>Table1[[#This Row],[Column42]]&amp;IF(Table1[[#This Row],[Column13]]="","",Table1[[#This Row],[Column13]])&amp;IF(Table1[[#This Row],[mod]]="","",Table1[[#This Row],[mod]])</f>
        <v>paragraph__list--unordered</v>
      </c>
      <c r="K21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5" t="s">
        <v>0</v>
      </c>
      <c r="M2145" t="s">
        <v>325</v>
      </c>
      <c r="P2145" s="6" t="s">
        <v>2061</v>
      </c>
      <c r="Q21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5" t="s">
        <v>7400</v>
      </c>
      <c r="U21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5" s="29"/>
      <c r="AC2145" s="25"/>
      <c r="AD2145" s="41"/>
      <c r="AE2145" s="41"/>
      <c r="AF2145" s="11"/>
      <c r="AH2145" s="1" t="str">
        <f>Table1[[#This Row],[html_tag]]&amp;Table1[[#This Row],[html_type]]&amp;Table1[[#This Row],[html_modifier]]</f>
        <v/>
      </c>
      <c r="AL2145" s="22" t="str">
        <f>IFERROR(_xlfn.XLOOKUP(Table1[[#This Row],[word]],Table57[English style name],Table57[Style type]),"")</f>
        <v/>
      </c>
      <c r="AM2145" s="20"/>
      <c r="AN2145" s="11"/>
      <c r="AQ2145" s="6" t="s">
        <v>2061</v>
      </c>
      <c r="AR2145" t="s">
        <v>2062</v>
      </c>
    </row>
    <row r="2146" spans="3:44">
      <c r="C2146">
        <v>1</v>
      </c>
      <c r="D2146" t="s">
        <v>3256</v>
      </c>
      <c r="E2146" s="76"/>
      <c r="F21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6" s="13"/>
      <c r="H2146" s="13"/>
      <c r="I2146" s="12" t="str">
        <f>Table1[[#This Row],[type]]</f>
        <v>paragraph</v>
      </c>
      <c r="J2146" s="62" t="str">
        <f>Table1[[#This Row],[Column42]]&amp;IF(Table1[[#This Row],[Column13]]="","",Table1[[#This Row],[Column13]])&amp;IF(Table1[[#This Row],[mod]]="","",Table1[[#This Row],[mod]])</f>
        <v>paragraph__list--unordered--1</v>
      </c>
      <c r="K21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6" t="s">
        <v>0</v>
      </c>
      <c r="M2146" t="s">
        <v>325</v>
      </c>
      <c r="Q21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6" t="s">
        <v>7400</v>
      </c>
      <c r="U21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146">
        <v>1</v>
      </c>
      <c r="AB2146" s="29"/>
      <c r="AC2146" s="25"/>
      <c r="AD2146" s="41"/>
      <c r="AE2146" s="41"/>
      <c r="AF2146" s="11" t="s">
        <v>309</v>
      </c>
      <c r="AG2146" t="s">
        <v>3257</v>
      </c>
      <c r="AH2146" s="1" t="str">
        <f>Table1[[#This Row],[html_tag]]&amp;Table1[[#This Row],[html_type]]&amp;Table1[[#This Row],[html_modifier]]</f>
        <v/>
      </c>
      <c r="AL2146" s="22" t="str">
        <f>IFERROR(_xlfn.XLOOKUP(Table1[[#This Row],[word]],Table57[English style name],Table57[Style type]),"")</f>
        <v>Paragraph</v>
      </c>
      <c r="AM2146" s="20" t="s">
        <v>681</v>
      </c>
      <c r="AN2146" s="11"/>
    </row>
    <row r="2147" spans="3:44">
      <c r="C2147">
        <v>1</v>
      </c>
      <c r="D2147" t="s">
        <v>3256</v>
      </c>
      <c r="E2147" s="76"/>
      <c r="F21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7" s="13"/>
      <c r="H2147" s="13"/>
      <c r="I2147" s="12" t="str">
        <f>Table1[[#This Row],[type]]</f>
        <v>paragraph</v>
      </c>
      <c r="J2147" s="62" t="str">
        <f>Table1[[#This Row],[Column42]]&amp;IF(Table1[[#This Row],[Column13]]="","",Table1[[#This Row],[Column13]])&amp;IF(Table1[[#This Row],[mod]]="","",Table1[[#This Row],[mod]])</f>
        <v>paragraph__list--unordered--2</v>
      </c>
      <c r="K21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7" t="s">
        <v>0</v>
      </c>
      <c r="M2147" t="s">
        <v>325</v>
      </c>
      <c r="Q21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7" t="s">
        <v>7400</v>
      </c>
      <c r="U21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147">
        <v>2</v>
      </c>
      <c r="AB2147" s="29"/>
      <c r="AC2147" s="25"/>
      <c r="AD2147" s="41"/>
      <c r="AE2147" s="41"/>
      <c r="AF2147" s="11" t="s">
        <v>309</v>
      </c>
      <c r="AG2147" t="s">
        <v>3257</v>
      </c>
      <c r="AH2147" s="1" t="str">
        <f>Table1[[#This Row],[html_tag]]&amp;Table1[[#This Row],[html_type]]&amp;Table1[[#This Row],[html_modifier]]</f>
        <v/>
      </c>
      <c r="AL2147" s="22" t="str">
        <f>IFERROR(_xlfn.XLOOKUP(Table1[[#This Row],[word]],Table57[English style name],Table57[Style type]),"")</f>
        <v>Paragraph</v>
      </c>
      <c r="AM2147" s="20" t="s">
        <v>775</v>
      </c>
      <c r="AN2147" s="11"/>
    </row>
    <row r="2148" spans="3:44">
      <c r="C2148">
        <v>1</v>
      </c>
      <c r="D2148" t="s">
        <v>3256</v>
      </c>
      <c r="E2148" s="11"/>
      <c r="F21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8" s="13"/>
      <c r="H2148" s="13"/>
      <c r="I2148" s="12" t="str">
        <f>Table1[[#This Row],[type]]</f>
        <v>paragraph</v>
      </c>
      <c r="J2148" s="62" t="str">
        <f>Table1[[#This Row],[Column42]]&amp;IF(Table1[[#This Row],[Column13]]="","",Table1[[#This Row],[Column13]])&amp;IF(Table1[[#This Row],[mod]]="","",Table1[[#This Row],[mod]])</f>
        <v>paragraph__list--unordered--3</v>
      </c>
      <c r="K21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8" t="s">
        <v>0</v>
      </c>
      <c r="M2148" t="s">
        <v>325</v>
      </c>
      <c r="Q21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8" t="s">
        <v>7400</v>
      </c>
      <c r="U21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148">
        <v>3</v>
      </c>
      <c r="AB2148" s="29"/>
      <c r="AC2148" s="25"/>
      <c r="AD2148" s="41"/>
      <c r="AE2148" s="41"/>
      <c r="AF2148" s="11" t="s">
        <v>309</v>
      </c>
      <c r="AG2148" t="s">
        <v>3257</v>
      </c>
      <c r="AH2148" s="1" t="str">
        <f>Table1[[#This Row],[html_tag]]&amp;Table1[[#This Row],[html_type]]&amp;Table1[[#This Row],[html_modifier]]</f>
        <v/>
      </c>
      <c r="AL2148" s="22" t="str">
        <f>IFERROR(_xlfn.XLOOKUP(Table1[[#This Row],[word]],Table57[English style name],Table57[Style type]),"")</f>
        <v>Paragraph</v>
      </c>
      <c r="AM2148" s="20" t="s">
        <v>777</v>
      </c>
      <c r="AN2148" s="11"/>
    </row>
    <row r="2149" spans="3:44">
      <c r="C2149">
        <v>1</v>
      </c>
      <c r="D2149" t="s">
        <v>3256</v>
      </c>
      <c r="E2149" s="11"/>
      <c r="F21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9" s="13"/>
      <c r="H2149" s="13"/>
      <c r="I2149" s="12" t="str">
        <f>Table1[[#This Row],[type]]</f>
        <v>paragraph</v>
      </c>
      <c r="J2149" s="62" t="str">
        <f>Table1[[#This Row],[Column42]]&amp;IF(Table1[[#This Row],[Column13]]="","",Table1[[#This Row],[Column13]])&amp;IF(Table1[[#This Row],[mod]]="","",Table1[[#This Row],[mod]])</f>
        <v>paragraph__list--unordered--4</v>
      </c>
      <c r="K21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9" t="s">
        <v>0</v>
      </c>
      <c r="M2149" t="s">
        <v>325</v>
      </c>
      <c r="Q21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9" t="s">
        <v>7400</v>
      </c>
      <c r="U21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149">
        <v>4</v>
      </c>
      <c r="AB2149" s="29"/>
      <c r="AC2149" s="25"/>
      <c r="AD2149" s="41"/>
      <c r="AE2149" s="41"/>
      <c r="AF2149" s="11" t="s">
        <v>309</v>
      </c>
      <c r="AG2149" t="s">
        <v>3257</v>
      </c>
      <c r="AH2149" s="1" t="str">
        <f>Table1[[#This Row],[html_tag]]&amp;Table1[[#This Row],[html_type]]&amp;Table1[[#This Row],[html_modifier]]</f>
        <v/>
      </c>
      <c r="AL2149" s="22" t="str">
        <f>IFERROR(_xlfn.XLOOKUP(Table1[[#This Row],[word]],Table57[English style name],Table57[Style type]),"")</f>
        <v>Paragraph</v>
      </c>
      <c r="AM2149" s="20" t="s">
        <v>779</v>
      </c>
      <c r="AN2149" s="11"/>
    </row>
    <row r="2150" spans="3:44">
      <c r="C2150">
        <v>1</v>
      </c>
      <c r="D2150" t="s">
        <v>3256</v>
      </c>
      <c r="E2150" s="11"/>
      <c r="F21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0" s="13"/>
      <c r="H2150" s="13"/>
      <c r="I2150" s="12" t="str">
        <f>Table1[[#This Row],[type]]</f>
        <v>paragraph</v>
      </c>
      <c r="J2150" s="62" t="str">
        <f>Table1[[#This Row],[Column42]]&amp;IF(Table1[[#This Row],[Column13]]="","",Table1[[#This Row],[Column13]])&amp;IF(Table1[[#This Row],[mod]]="","",Table1[[#This Row],[mod]])</f>
        <v>paragraph__list--unordered--5</v>
      </c>
      <c r="K21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0" t="s">
        <v>0</v>
      </c>
      <c r="M2150" t="s">
        <v>325</v>
      </c>
      <c r="Q21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50" t="s">
        <v>7400</v>
      </c>
      <c r="U21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150">
        <v>5</v>
      </c>
      <c r="AB2150" s="29"/>
      <c r="AC2150" s="25"/>
      <c r="AD2150" s="41"/>
      <c r="AE2150" s="41"/>
      <c r="AF2150" s="11" t="s">
        <v>309</v>
      </c>
      <c r="AG2150" t="s">
        <v>3257</v>
      </c>
      <c r="AH2150" s="1" t="str">
        <f>Table1[[#This Row],[html_tag]]&amp;Table1[[#This Row],[html_type]]&amp;Table1[[#This Row],[html_modifier]]</f>
        <v/>
      </c>
      <c r="AL2150" s="22" t="str">
        <f>IFERROR(_xlfn.XLOOKUP(Table1[[#This Row],[word]],Table57[English style name],Table57[Style type]),"")</f>
        <v>Paragraph</v>
      </c>
      <c r="AM2150" s="20" t="s">
        <v>780</v>
      </c>
      <c r="AN2150" s="11"/>
    </row>
    <row r="2151" spans="3:44">
      <c r="E2151" s="11"/>
      <c r="F21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51" s="13" t="s">
        <v>2992</v>
      </c>
      <c r="H2151" s="13" t="s">
        <v>1</v>
      </c>
      <c r="I2151" s="12" t="str">
        <f>Table1[[#This Row],[type]]</f>
        <v>paragraph</v>
      </c>
      <c r="J2151" s="62" t="str">
        <f>Table1[[#This Row],[Column42]]&amp;IF(Table1[[#This Row],[Column13]]="","",Table1[[#This Row],[Column13]])&amp;IF(Table1[[#This Row],[mod]]="","",Table1[[#This Row],[mod]])</f>
        <v>paragraph__list--unordered--bullet</v>
      </c>
      <c r="K21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1" t="s">
        <v>0</v>
      </c>
      <c r="M2151" t="s">
        <v>325</v>
      </c>
      <c r="P2151" s="6" t="s">
        <v>507</v>
      </c>
      <c r="Q21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1" t="s">
        <v>7400</v>
      </c>
      <c r="S2151" t="s">
        <v>326</v>
      </c>
      <c r="U21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51" s="29"/>
      <c r="AC2151" s="25"/>
      <c r="AD2151" s="41"/>
      <c r="AE2151" s="41"/>
      <c r="AF2151" s="11" t="s">
        <v>309</v>
      </c>
      <c r="AH2151" s="1" t="str">
        <f>Table1[[#This Row],[html_tag]]&amp;Table1[[#This Row],[html_type]]&amp;Table1[[#This Row],[html_modifier]]</f>
        <v>&lt;ul&gt;</v>
      </c>
      <c r="AI2151" t="s">
        <v>309</v>
      </c>
      <c r="AL2151" s="22" t="str">
        <f>IFERROR(_xlfn.XLOOKUP(Table1[[#This Row],[word]],Table57[English style name],Table57[Style type]),"")</f>
        <v/>
      </c>
      <c r="AM2151" s="20"/>
      <c r="AN2151" s="11" t="s">
        <v>46</v>
      </c>
      <c r="AO2151" t="s">
        <v>47</v>
      </c>
      <c r="AP2151" t="s">
        <v>48</v>
      </c>
      <c r="AQ2151" s="6" t="s">
        <v>507</v>
      </c>
      <c r="AR2151" t="s">
        <v>2079</v>
      </c>
    </row>
    <row r="2152" spans="3:44">
      <c r="C2152">
        <v>1</v>
      </c>
      <c r="D2152" t="s">
        <v>3256</v>
      </c>
      <c r="E2152" s="11"/>
      <c r="F21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2" s="13"/>
      <c r="H2152" s="13"/>
      <c r="I2152" s="12" t="str">
        <f>Table1[[#This Row],[type]]</f>
        <v>paragraph</v>
      </c>
      <c r="J2152" s="62" t="str">
        <f>Table1[[#This Row],[Column42]]&amp;IF(Table1[[#This Row],[Column13]]="","",Table1[[#This Row],[Column13]])&amp;IF(Table1[[#This Row],[mod]]="","",Table1[[#This Row],[mod]])</f>
        <v>paragraph__list--unordered--bullet--1</v>
      </c>
      <c r="K21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2" t="s">
        <v>0</v>
      </c>
      <c r="M2152" t="s">
        <v>325</v>
      </c>
      <c r="Q21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2" t="s">
        <v>7400</v>
      </c>
      <c r="S2152" t="s">
        <v>326</v>
      </c>
      <c r="U21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152">
        <v>1</v>
      </c>
      <c r="AB2152" s="29"/>
      <c r="AC2152" s="25"/>
      <c r="AD2152" s="41"/>
      <c r="AE2152" s="41"/>
      <c r="AF2152" s="11" t="s">
        <v>309</v>
      </c>
      <c r="AG2152" t="s">
        <v>3258</v>
      </c>
      <c r="AH2152" s="1" t="str">
        <f>Table1[[#This Row],[html_tag]]&amp;Table1[[#This Row],[html_type]]&amp;Table1[[#This Row],[html_modifier]]</f>
        <v/>
      </c>
      <c r="AL2152" s="22" t="str">
        <f>IFERROR(_xlfn.XLOOKUP(Table1[[#This Row],[word]],Table57[English style name],Table57[Style type]),"")</f>
        <v>Paragraph</v>
      </c>
      <c r="AM2152" s="20" t="s">
        <v>771</v>
      </c>
      <c r="AN2152" s="11"/>
    </row>
    <row r="2153" spans="3:44">
      <c r="C2153">
        <v>1</v>
      </c>
      <c r="D2153" t="s">
        <v>3256</v>
      </c>
      <c r="E2153" s="11"/>
      <c r="F21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3" s="13"/>
      <c r="H2153" s="13"/>
      <c r="I2153" s="12" t="str">
        <f>Table1[[#This Row],[type]]</f>
        <v>paragraph</v>
      </c>
      <c r="J2153" s="62" t="str">
        <f>Table1[[#This Row],[Column42]]&amp;IF(Table1[[#This Row],[Column13]]="","",Table1[[#This Row],[Column13]])&amp;IF(Table1[[#This Row],[mod]]="","",Table1[[#This Row],[mod]])</f>
        <v>paragraph__list--unordered--bullet--2</v>
      </c>
      <c r="K21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3" t="s">
        <v>0</v>
      </c>
      <c r="M2153" t="s">
        <v>325</v>
      </c>
      <c r="Q21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3" t="s">
        <v>7400</v>
      </c>
      <c r="S2153" t="s">
        <v>326</v>
      </c>
      <c r="U21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153">
        <v>2</v>
      </c>
      <c r="AB2153" s="29"/>
      <c r="AC2153" s="25"/>
      <c r="AD2153" s="41"/>
      <c r="AE2153" s="41"/>
      <c r="AF2153" s="11" t="s">
        <v>309</v>
      </c>
      <c r="AG2153" t="s">
        <v>3258</v>
      </c>
      <c r="AH2153" s="1" t="str">
        <f>Table1[[#This Row],[html_tag]]&amp;Table1[[#This Row],[html_type]]&amp;Table1[[#This Row],[html_modifier]]</f>
        <v/>
      </c>
      <c r="AL2153" s="22" t="str">
        <f>IFERROR(_xlfn.XLOOKUP(Table1[[#This Row],[word]],Table57[English style name],Table57[Style type]),"")</f>
        <v>Paragraph</v>
      </c>
      <c r="AM2153" s="20" t="s">
        <v>782</v>
      </c>
      <c r="AN2153" s="11"/>
    </row>
    <row r="2154" spans="3:44">
      <c r="C2154">
        <v>1</v>
      </c>
      <c r="D2154" t="s">
        <v>3256</v>
      </c>
      <c r="E2154" s="11"/>
      <c r="F21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4" s="13"/>
      <c r="H2154" s="13"/>
      <c r="I2154" s="12" t="str">
        <f>Table1[[#This Row],[type]]</f>
        <v>paragraph</v>
      </c>
      <c r="J2154" s="62" t="str">
        <f>Table1[[#This Row],[Column42]]&amp;IF(Table1[[#This Row],[Column13]]="","",Table1[[#This Row],[Column13]])&amp;IF(Table1[[#This Row],[mod]]="","",Table1[[#This Row],[mod]])</f>
        <v>paragraph__list--unordered--bullet--3</v>
      </c>
      <c r="K21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4" t="s">
        <v>0</v>
      </c>
      <c r="M2154" t="s">
        <v>325</v>
      </c>
      <c r="Q21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4" t="s">
        <v>7400</v>
      </c>
      <c r="S2154" t="s">
        <v>326</v>
      </c>
      <c r="U21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154">
        <v>3</v>
      </c>
      <c r="AB2154" s="29"/>
      <c r="AC2154" s="25"/>
      <c r="AD2154" s="41"/>
      <c r="AE2154" s="41"/>
      <c r="AF2154" s="11" t="s">
        <v>309</v>
      </c>
      <c r="AG2154" t="s">
        <v>3258</v>
      </c>
      <c r="AH2154" s="1" t="str">
        <f>Table1[[#This Row],[html_tag]]&amp;Table1[[#This Row],[html_type]]&amp;Table1[[#This Row],[html_modifier]]</f>
        <v/>
      </c>
      <c r="AL2154" s="22" t="str">
        <f>IFERROR(_xlfn.XLOOKUP(Table1[[#This Row],[word]],Table57[English style name],Table57[Style type]),"")</f>
        <v>Paragraph</v>
      </c>
      <c r="AM2154" s="20" t="s">
        <v>784</v>
      </c>
      <c r="AN2154" s="11"/>
    </row>
    <row r="2155" spans="3:44">
      <c r="C2155">
        <v>1</v>
      </c>
      <c r="D2155" t="s">
        <v>3256</v>
      </c>
      <c r="E2155" s="11"/>
      <c r="F21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5" s="13"/>
      <c r="H2155" s="13"/>
      <c r="I2155" s="12" t="str">
        <f>Table1[[#This Row],[type]]</f>
        <v>paragraph</v>
      </c>
      <c r="J2155" s="62" t="str">
        <f>Table1[[#This Row],[Column42]]&amp;IF(Table1[[#This Row],[Column13]]="","",Table1[[#This Row],[Column13]])&amp;IF(Table1[[#This Row],[mod]]="","",Table1[[#This Row],[mod]])</f>
        <v>paragraph__list--unordered--bullet--4</v>
      </c>
      <c r="K21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5" t="s">
        <v>0</v>
      </c>
      <c r="M2155" t="s">
        <v>325</v>
      </c>
      <c r="Q21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5" t="s">
        <v>7400</v>
      </c>
      <c r="S2155" t="s">
        <v>326</v>
      </c>
      <c r="U21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155">
        <v>4</v>
      </c>
      <c r="AB2155" s="29"/>
      <c r="AC2155" s="25"/>
      <c r="AD2155" s="41"/>
      <c r="AE2155" s="41"/>
      <c r="AF2155" s="11" t="s">
        <v>309</v>
      </c>
      <c r="AG2155" t="s">
        <v>3258</v>
      </c>
      <c r="AH2155" s="1" t="str">
        <f>Table1[[#This Row],[html_tag]]&amp;Table1[[#This Row],[html_type]]&amp;Table1[[#This Row],[html_modifier]]</f>
        <v/>
      </c>
      <c r="AL2155" s="22" t="str">
        <f>IFERROR(_xlfn.XLOOKUP(Table1[[#This Row],[word]],Table57[English style name],Table57[Style type]),"")</f>
        <v>Paragraph</v>
      </c>
      <c r="AM2155" s="20" t="s">
        <v>786</v>
      </c>
      <c r="AN2155" s="11"/>
    </row>
    <row r="2156" spans="3:44">
      <c r="C2156">
        <v>1</v>
      </c>
      <c r="D2156" t="s">
        <v>3256</v>
      </c>
      <c r="E2156" s="11"/>
      <c r="F21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6" s="13"/>
      <c r="H2156" s="13"/>
      <c r="I2156" s="12" t="str">
        <f>Table1[[#This Row],[type]]</f>
        <v>paragraph</v>
      </c>
      <c r="J2156" s="62" t="str">
        <f>Table1[[#This Row],[Column42]]&amp;IF(Table1[[#This Row],[Column13]]="","",Table1[[#This Row],[Column13]])&amp;IF(Table1[[#This Row],[mod]]="","",Table1[[#This Row],[mod]])</f>
        <v>paragraph__list--unordered--bullet--5</v>
      </c>
      <c r="K21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6" t="s">
        <v>0</v>
      </c>
      <c r="M2156" t="s">
        <v>325</v>
      </c>
      <c r="Q21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6" t="s">
        <v>7400</v>
      </c>
      <c r="S2156" t="s">
        <v>326</v>
      </c>
      <c r="U21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156">
        <v>5</v>
      </c>
      <c r="AB2156" s="29"/>
      <c r="AC2156" s="25"/>
      <c r="AD2156" s="41"/>
      <c r="AE2156" s="41"/>
      <c r="AF2156" s="11" t="s">
        <v>309</v>
      </c>
      <c r="AG2156" t="s">
        <v>3258</v>
      </c>
      <c r="AH2156" s="1" t="str">
        <f>Table1[[#This Row],[html_tag]]&amp;Table1[[#This Row],[html_type]]&amp;Table1[[#This Row],[html_modifier]]</f>
        <v/>
      </c>
      <c r="AL2156" s="22" t="str">
        <f>IFERROR(_xlfn.XLOOKUP(Table1[[#This Row],[word]],Table57[English style name],Table57[Style type]),"")</f>
        <v>Paragraph</v>
      </c>
      <c r="AM2156" s="20" t="s">
        <v>788</v>
      </c>
      <c r="AN2156" s="11"/>
    </row>
    <row r="2157" spans="3:44">
      <c r="E2157" s="11"/>
      <c r="F21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57" s="13" t="s">
        <v>2992</v>
      </c>
      <c r="H2157" s="13" t="s">
        <v>1</v>
      </c>
      <c r="I2157" s="12" t="str">
        <f>Table1[[#This Row],[type]]</f>
        <v>paragraph</v>
      </c>
      <c r="J2157" s="62" t="str">
        <f>Table1[[#This Row],[Column42]]&amp;IF(Table1[[#This Row],[Column13]]="","",Table1[[#This Row],[Column13]])&amp;IF(Table1[[#This Row],[mod]]="","",Table1[[#This Row],[mod]])</f>
        <v>paragraph__list--upper</v>
      </c>
      <c r="K21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7" t="s">
        <v>0</v>
      </c>
      <c r="M2157" t="s">
        <v>325</v>
      </c>
      <c r="P2157" s="6" t="s">
        <v>2039</v>
      </c>
      <c r="Q21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--upper</v>
      </c>
      <c r="T2157" t="s">
        <v>7403</v>
      </c>
      <c r="U21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57" s="29"/>
      <c r="AC2157" s="25"/>
      <c r="AD2157" s="41"/>
      <c r="AE2157" s="41"/>
      <c r="AF2157" s="11"/>
      <c r="AH2157" s="1" t="str">
        <f>Table1[[#This Row],[html_tag]]&amp;Table1[[#This Row],[html_type]]&amp;Table1[[#This Row],[html_modifier]]</f>
        <v/>
      </c>
      <c r="AL2157" s="22" t="str">
        <f>IFERROR(_xlfn.XLOOKUP(Table1[[#This Row],[word]],Table57[English style name],Table57[Style type]),"")</f>
        <v/>
      </c>
      <c r="AM2157" s="20"/>
      <c r="AN2157" s="11"/>
      <c r="AQ2157" s="6" t="s">
        <v>2039</v>
      </c>
      <c r="AR2157" t="s">
        <v>2026</v>
      </c>
    </row>
    <row r="2158" spans="3:44">
      <c r="D2158" t="s">
        <v>3375</v>
      </c>
      <c r="E2158" s="11" t="s">
        <v>3376</v>
      </c>
      <c r="F21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8" s="13"/>
      <c r="H2158" s="13"/>
      <c r="I2158" s="12" t="str">
        <f>Table1[[#This Row],[type]]</f>
        <v>paragraph</v>
      </c>
      <c r="J2158" s="62" t="str">
        <f>Table1[[#This Row],[Column42]]&amp;IF(Table1[[#This Row],[Column13]]="","",Table1[[#This Row],[Column13]])&amp;IF(Table1[[#This Row],[mod]]="","",Table1[[#This Row],[mod]])</f>
        <v>paragraph__lot__heading</v>
      </c>
      <c r="K21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paragraph__lot__heading</v>
      </c>
      <c r="L2158" t="s">
        <v>0</v>
      </c>
      <c r="M2158" t="s">
        <v>3389</v>
      </c>
      <c r="O2158" t="s">
        <v>100</v>
      </c>
      <c r="Q21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58" s="29"/>
      <c r="AC2158" s="25"/>
      <c r="AD2158" s="41"/>
      <c r="AE2158" s="41"/>
      <c r="AF2158" s="11"/>
      <c r="AH2158" s="7" t="str">
        <f>Table1[[#This Row],[html_tag]]&amp;Table1[[#This Row],[html_type]]&amp;Table1[[#This Row],[html_modifier]]</f>
        <v/>
      </c>
      <c r="AL2158" s="23" t="str">
        <f>IFERROR(_xlfn.XLOOKUP(Table1[[#This Row],[word]],Table57[English style name],Table57[Style type]),"")</f>
        <v/>
      </c>
      <c r="AM2158" s="21"/>
      <c r="AN2158" s="11"/>
    </row>
    <row r="2159" spans="3:44">
      <c r="C2159">
        <v>1</v>
      </c>
      <c r="D2159" t="s">
        <v>3271</v>
      </c>
      <c r="E2159" s="11"/>
      <c r="F21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9" s="13"/>
      <c r="H2159" s="13"/>
      <c r="I2159" s="12" t="str">
        <f>Table1[[#This Row],[type]]</f>
        <v>paragraph</v>
      </c>
      <c r="J2159" s="62" t="str">
        <f>Table1[[#This Row],[Column42]]&amp;IF(Table1[[#This Row],[Column13]]="","",Table1[[#This Row],[Column13]])&amp;IF(Table1[[#This Row],[mod]]="","",Table1[[#This Row],[mod]])</f>
        <v>paragraph__macro__text</v>
      </c>
      <c r="K21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paragraph__macro__text</v>
      </c>
      <c r="L2159" t="s">
        <v>0</v>
      </c>
      <c r="M2159" t="s">
        <v>3416</v>
      </c>
      <c r="O2159" t="s">
        <v>403</v>
      </c>
      <c r="Q21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59" s="29"/>
      <c r="AC2159" s="25"/>
      <c r="AD2159" s="41"/>
      <c r="AE2159" s="41"/>
      <c r="AF2159" s="11" t="s">
        <v>270</v>
      </c>
      <c r="AG2159" t="s">
        <v>3275</v>
      </c>
      <c r="AH2159" s="1" t="str">
        <f>Table1[[#This Row],[html_tag]]&amp;Table1[[#This Row],[html_type]]&amp;Table1[[#This Row],[html_modifier]]</f>
        <v/>
      </c>
      <c r="AL2159" s="22" t="str">
        <f>IFERROR(_xlfn.XLOOKUP(Table1[[#This Row],[word]],Table57[English style name],Table57[Style type]),"")</f>
        <v>Paragraph</v>
      </c>
      <c r="AM2159" s="20" t="s">
        <v>766</v>
      </c>
      <c r="AN2159" s="11"/>
    </row>
    <row r="2160" spans="3:44">
      <c r="D2160" t="s">
        <v>3320</v>
      </c>
      <c r="E2160" s="11"/>
      <c r="F21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0" s="13"/>
      <c r="H2160" s="13"/>
      <c r="I2160" s="12" t="str">
        <f>Table1[[#This Row],[type]]</f>
        <v>paragraph</v>
      </c>
      <c r="J2160" s="62" t="str">
        <f>Table1[[#This Row],[Column42]]&amp;IF(Table1[[#This Row],[Column13]]="","",Table1[[#This Row],[Column13]])&amp;IF(Table1[[#This Row],[mod]]="","",Table1[[#This Row],[mod]])</f>
        <v>paragraph__media_reference</v>
      </c>
      <c r="K21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paragraph__media_reference</v>
      </c>
      <c r="L2160" t="s">
        <v>0</v>
      </c>
      <c r="M2160" t="s">
        <v>3437</v>
      </c>
      <c r="Q21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0" s="29"/>
      <c r="AC2160" s="25"/>
      <c r="AD2160" s="41"/>
      <c r="AE2160" s="41"/>
      <c r="AF2160" s="11" t="s">
        <v>177</v>
      </c>
      <c r="AH2160" s="7" t="str">
        <f>Table1[[#This Row],[html_tag]]&amp;Table1[[#This Row],[html_type]]&amp;Table1[[#This Row],[html_modifier]]</f>
        <v/>
      </c>
      <c r="AL2160" s="23" t="str">
        <f>IFERROR(_xlfn.XLOOKUP(Table1[[#This Row],[word]],Table57[English style name],Table57[Style type]),"")</f>
        <v/>
      </c>
      <c r="AM2160" s="21"/>
      <c r="AN2160" s="11"/>
    </row>
    <row r="2161" spans="3:44">
      <c r="E2161" s="11"/>
      <c r="F21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1" s="13"/>
      <c r="H2161" s="13"/>
      <c r="I2161" s="12" t="str">
        <f>Table1[[#This Row],[type]]</f>
        <v>paragraph</v>
      </c>
      <c r="J2161" s="62" t="str">
        <f>Table1[[#This Row],[Column42]]&amp;IF(Table1[[#This Row],[Column13]]="","",Table1[[#This Row],[Column13]])&amp;IF(Table1[[#This Row],[mod]]="","",Table1[[#This Row],[mod]])</f>
        <v>paragraph__message</v>
      </c>
      <c r="K21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paragraph__message</v>
      </c>
      <c r="L2161" t="s">
        <v>0</v>
      </c>
      <c r="M2161" t="s">
        <v>4566</v>
      </c>
      <c r="Q21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1" s="29" t="s">
        <v>4381</v>
      </c>
      <c r="AC2161" s="25"/>
      <c r="AD2161" s="41"/>
      <c r="AE2161" s="41"/>
      <c r="AF2161" s="11"/>
      <c r="AH2161" s="7" t="str">
        <f>Table1[[#This Row],[html_tag]]&amp;Table1[[#This Row],[html_type]]&amp;Table1[[#This Row],[html_modifier]]</f>
        <v/>
      </c>
      <c r="AL2161" s="23" t="str">
        <f>IFERROR(_xlfn.XLOOKUP(Table1[[#This Row],[word]],Table57[English style name],Table57[Style type]),"")</f>
        <v/>
      </c>
      <c r="AM2161" s="21"/>
      <c r="AN2161" s="11"/>
    </row>
    <row r="2162" spans="3:44">
      <c r="E2162" s="11"/>
      <c r="F21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2" s="13"/>
      <c r="H2162" s="13"/>
      <c r="I2162" s="12" t="str">
        <f>Table1[[#This Row],[type]]</f>
        <v>paragraph</v>
      </c>
      <c r="J2162" s="62" t="str">
        <f>Table1[[#This Row],[Column42]]&amp;IF(Table1[[#This Row],[Column13]]="","",Table1[[#This Row],[Column13]])&amp;IF(Table1[[#This Row],[mod]]="","",Table1[[#This Row],[mod]])</f>
        <v>paragraph__message__body</v>
      </c>
      <c r="K21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paragraph__message__body</v>
      </c>
      <c r="L2162" t="s">
        <v>0</v>
      </c>
      <c r="M2162" t="s">
        <v>4566</v>
      </c>
      <c r="O2162" t="s">
        <v>337</v>
      </c>
      <c r="Q21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2" s="80" t="s">
        <v>4382</v>
      </c>
      <c r="AC2162" s="25"/>
      <c r="AD2162" s="41"/>
      <c r="AE2162" s="41"/>
      <c r="AF2162" s="11"/>
      <c r="AH2162" s="7" t="str">
        <f>Table1[[#This Row],[html_tag]]&amp;Table1[[#This Row],[html_type]]&amp;Table1[[#This Row],[html_modifier]]</f>
        <v/>
      </c>
      <c r="AL2162" s="23" t="str">
        <f>IFERROR(_xlfn.XLOOKUP(Table1[[#This Row],[word]],Table57[English style name],Table57[Style type]),"")</f>
        <v/>
      </c>
      <c r="AM2162" s="21"/>
      <c r="AN2162" s="11"/>
    </row>
    <row r="2163" spans="3:44">
      <c r="C2163">
        <v>1</v>
      </c>
      <c r="D2163" t="s">
        <v>3271</v>
      </c>
      <c r="E2163" s="11"/>
      <c r="F21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3" s="13"/>
      <c r="H2163" s="13"/>
      <c r="I2163" s="12" t="str">
        <f>Table1[[#This Row],[type]]</f>
        <v>paragraph</v>
      </c>
      <c r="J2163" s="62" t="str">
        <f>Table1[[#This Row],[Column42]]&amp;IF(Table1[[#This Row],[Column13]]="","",Table1[[#This Row],[Column13]])&amp;IF(Table1[[#This Row],[mod]]="","",Table1[[#This Row],[mod]])</f>
        <v>paragraph__message__header</v>
      </c>
      <c r="K21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paragraph__message__header</v>
      </c>
      <c r="L2163" t="s">
        <v>0</v>
      </c>
      <c r="M2163" t="s">
        <v>4566</v>
      </c>
      <c r="O2163" t="s">
        <v>465</v>
      </c>
      <c r="P2163" t="s">
        <v>818</v>
      </c>
      <c r="Q21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3" s="29" t="s">
        <v>4383</v>
      </c>
      <c r="AC2163" s="25"/>
      <c r="AD2163" s="41"/>
      <c r="AE2163" s="41"/>
      <c r="AF2163" s="11" t="s">
        <v>190</v>
      </c>
      <c r="AG2163" t="s">
        <v>3273</v>
      </c>
      <c r="AH2163" s="1" t="str">
        <f>Table1[[#This Row],[html_tag]]&amp;Table1[[#This Row],[html_type]]&amp;Table1[[#This Row],[html_modifier]]</f>
        <v/>
      </c>
      <c r="AL2163" s="22" t="str">
        <f>IFERROR(_xlfn.XLOOKUP(Table1[[#This Row],[word]],Table57[English style name],Table57[Style type]),"")</f>
        <v>Paragraph</v>
      </c>
      <c r="AM2163" s="20" t="s">
        <v>818</v>
      </c>
      <c r="AN2163" s="11"/>
    </row>
    <row r="2164" spans="3:44">
      <c r="D2164" t="s">
        <v>804</v>
      </c>
      <c r="E2164" s="11"/>
      <c r="F21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4" s="13"/>
      <c r="H2164" s="13"/>
      <c r="I2164" s="12" t="str">
        <f>Table1[[#This Row],[type]]</f>
        <v>paragraph</v>
      </c>
      <c r="J2164" s="62" t="str">
        <f>Table1[[#This Row],[Column42]]&amp;IF(Table1[[#This Row],[Column13]]="","",Table1[[#This Row],[Column13]])&amp;IF(Table1[[#This Row],[mod]]="","",Table1[[#This Row],[mod]])</f>
        <v>paragraph__narrative__body</v>
      </c>
      <c r="K21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paragraph__narrative__body</v>
      </c>
      <c r="L2164" t="s">
        <v>0</v>
      </c>
      <c r="M2164" t="s">
        <v>3433</v>
      </c>
      <c r="O2164" t="s">
        <v>337</v>
      </c>
      <c r="Q21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4" s="80"/>
      <c r="AC2164" s="25"/>
      <c r="AD2164" s="41"/>
      <c r="AE2164" s="41"/>
      <c r="AF2164" s="11" t="s">
        <v>239</v>
      </c>
      <c r="AH2164" s="7" t="str">
        <f>Table1[[#This Row],[html_tag]]&amp;Table1[[#This Row],[html_type]]&amp;Table1[[#This Row],[html_modifier]]</f>
        <v/>
      </c>
      <c r="AL2164" s="23" t="str">
        <f>IFERROR(_xlfn.XLOOKUP(Table1[[#This Row],[word]],Table57[English style name],Table57[Style type]),"")</f>
        <v/>
      </c>
      <c r="AM2164" s="21"/>
      <c r="AN2164" s="11"/>
    </row>
    <row r="2165" spans="3:44">
      <c r="D2165" t="s">
        <v>3320</v>
      </c>
      <c r="E2165" s="11"/>
      <c r="F21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5" s="13"/>
      <c r="H2165" s="13"/>
      <c r="I2165" s="12" t="str">
        <f>Table1[[#This Row],[type]]</f>
        <v>paragraph</v>
      </c>
      <c r="J2165" s="62" t="str">
        <f>Table1[[#This Row],[Column42]]&amp;IF(Table1[[#This Row],[Column13]]="","",Table1[[#This Row],[Column13]])&amp;IF(Table1[[#This Row],[mod]]="","",Table1[[#This Row],[mod]])</f>
        <v>paragraph__note</v>
      </c>
      <c r="K21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</v>
      </c>
      <c r="L2165" t="s">
        <v>0</v>
      </c>
      <c r="M2165" t="s">
        <v>3391</v>
      </c>
      <c r="Q21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5" s="29"/>
      <c r="AC2165" s="25"/>
      <c r="AD2165" s="41"/>
      <c r="AE2165" s="41"/>
      <c r="AF2165" s="11"/>
      <c r="AH2165" s="7" t="str">
        <f>Table1[[#This Row],[html_tag]]&amp;Table1[[#This Row],[html_type]]&amp;Table1[[#This Row],[html_modifier]]</f>
        <v/>
      </c>
      <c r="AL2165" s="23" t="str">
        <f>IFERROR(_xlfn.XLOOKUP(Table1[[#This Row],[word]],Table57[English style name],Table57[Style type]),"")</f>
        <v/>
      </c>
      <c r="AM2165" s="21"/>
      <c r="AN2165" s="11"/>
    </row>
    <row r="2166" spans="3:44">
      <c r="C2166">
        <v>1</v>
      </c>
      <c r="D2166" t="s">
        <v>3242</v>
      </c>
      <c r="E2166" s="11"/>
      <c r="F21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6" s="13"/>
      <c r="H2166" s="13"/>
      <c r="I2166" s="12" t="str">
        <f>Table1[[#This Row],[type]]</f>
        <v>paragraph</v>
      </c>
      <c r="J2166" s="62" t="str">
        <f>Table1[[#This Row],[Column42]]&amp;IF(Table1[[#This Row],[Column13]]="","",Table1[[#This Row],[Column13]])&amp;IF(Table1[[#This Row],[mod]]="","",Table1[[#This Row],[mod]])</f>
        <v>paragraph__note__heading</v>
      </c>
      <c r="K21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paragraph__note__heading</v>
      </c>
      <c r="L2166" t="s">
        <v>0</v>
      </c>
      <c r="M2166" t="s">
        <v>3391</v>
      </c>
      <c r="O2166" t="s">
        <v>100</v>
      </c>
      <c r="Q21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6" s="29"/>
      <c r="AC2166" s="25"/>
      <c r="AD2166" s="41"/>
      <c r="AE2166" s="41"/>
      <c r="AF2166" s="11" t="s">
        <v>1139</v>
      </c>
      <c r="AG2166" t="s">
        <v>3252</v>
      </c>
      <c r="AH2166" s="1" t="str">
        <f>Table1[[#This Row],[html_tag]]&amp;Table1[[#This Row],[html_type]]&amp;Table1[[#This Row],[html_modifier]]</f>
        <v/>
      </c>
      <c r="AL2166" s="22" t="str">
        <f>IFERROR(_xlfn.XLOOKUP(Table1[[#This Row],[word]],Table57[English style name],Table57[Style type]),"")</f>
        <v>Paragraph</v>
      </c>
      <c r="AM2166" s="20" t="s">
        <v>830</v>
      </c>
      <c r="AN2166" s="11"/>
    </row>
    <row r="2167" spans="3:44">
      <c r="D2167" t="s">
        <v>3348</v>
      </c>
      <c r="E2167" s="11"/>
      <c r="F21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7" s="13"/>
      <c r="H2167" s="13"/>
      <c r="I2167" s="12" t="str">
        <f>Table1[[#This Row],[type]]</f>
        <v>paragraph</v>
      </c>
      <c r="J2167" s="62" t="str">
        <f>Table1[[#This Row],[Column42]]&amp;IF(Table1[[#This Row],[Column13]]="","",Table1[[#This Row],[Column13]])&amp;IF(Table1[[#This Row],[mod]]="","",Table1[[#This Row],[mod]])</f>
        <v>paragraph__note__Publication note</v>
      </c>
      <c r="K21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paragraph__note__Publication note</v>
      </c>
      <c r="L2167" t="s">
        <v>0</v>
      </c>
      <c r="M2167" t="s">
        <v>3391</v>
      </c>
      <c r="O2167" t="s">
        <v>3345</v>
      </c>
      <c r="P2167" t="s">
        <v>3345</v>
      </c>
      <c r="Q21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7" s="29"/>
      <c r="AC2167" s="25"/>
      <c r="AD2167" s="41"/>
      <c r="AE2167" s="41"/>
      <c r="AF2167" s="11"/>
      <c r="AH2167" s="7" t="str">
        <f>Table1[[#This Row],[html_tag]]&amp;Table1[[#This Row],[html_type]]&amp;Table1[[#This Row],[html_modifier]]</f>
        <v/>
      </c>
      <c r="AL2167" s="23" t="str">
        <f>IFERROR(_xlfn.XLOOKUP(Table1[[#This Row],[word]],Table57[English style name],Table57[Style type]),"")</f>
        <v/>
      </c>
      <c r="AM2167" s="21"/>
      <c r="AN2167" s="11"/>
    </row>
    <row r="2168" spans="3:44">
      <c r="D2168" t="s">
        <v>3348</v>
      </c>
      <c r="E2168" s="11"/>
      <c r="F21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8" s="13"/>
      <c r="H2168" s="13"/>
      <c r="I2168" s="12" t="str">
        <f>Table1[[#This Row],[type]]</f>
        <v>paragraph</v>
      </c>
      <c r="J2168" s="62" t="str">
        <f>Table1[[#This Row],[Column42]]&amp;IF(Table1[[#This Row],[Column13]]="","",Table1[[#This Row],[Column13]])&amp;IF(Table1[[#This Row],[mod]]="","",Table1[[#This Row],[mod]])</f>
        <v>paragraph__note__Revision note</v>
      </c>
      <c r="K21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paragraph__note__Revision note</v>
      </c>
      <c r="L2168" t="s">
        <v>0</v>
      </c>
      <c r="M2168" t="s">
        <v>3391</v>
      </c>
      <c r="O2168" t="s">
        <v>3346</v>
      </c>
      <c r="P2168" t="s">
        <v>3346</v>
      </c>
      <c r="Q21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8" s="29"/>
      <c r="AC2168" s="25"/>
      <c r="AD2168" s="41"/>
      <c r="AE2168" s="41"/>
      <c r="AF2168" s="11"/>
      <c r="AH2168" s="7" t="str">
        <f>Table1[[#This Row],[html_tag]]&amp;Table1[[#This Row],[html_type]]&amp;Table1[[#This Row],[html_modifier]]</f>
        <v/>
      </c>
      <c r="AL2168" s="23" t="str">
        <f>IFERROR(_xlfn.XLOOKUP(Table1[[#This Row],[word]],Table57[English style name],Table57[Style type]),"")</f>
        <v/>
      </c>
      <c r="AM2168" s="21"/>
      <c r="AN2168" s="11"/>
    </row>
    <row r="2169" spans="3:44">
      <c r="D2169" t="s">
        <v>3348</v>
      </c>
      <c r="E2169" s="11"/>
      <c r="F21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9" s="13"/>
      <c r="H2169" s="13"/>
      <c r="I2169" s="12" t="str">
        <f>Table1[[#This Row],[type]]</f>
        <v>paragraph</v>
      </c>
      <c r="J2169" s="62" t="str">
        <f>Table1[[#This Row],[Column42]]&amp;IF(Table1[[#This Row],[Column13]]="","",Table1[[#This Row],[Column13]])&amp;IF(Table1[[#This Row],[mod]]="","",Table1[[#This Row],[mod]])</f>
        <v>paragraph__note__Translator’s note</v>
      </c>
      <c r="K21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paragraph__note__Translator’s note</v>
      </c>
      <c r="L2169" t="s">
        <v>0</v>
      </c>
      <c r="M2169" t="s">
        <v>3391</v>
      </c>
      <c r="O2169" t="s">
        <v>3341</v>
      </c>
      <c r="P2169" t="s">
        <v>3341</v>
      </c>
      <c r="Q21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9" s="29"/>
      <c r="AC2169" s="25"/>
      <c r="AD2169" s="41"/>
      <c r="AE2169" s="41"/>
      <c r="AF2169" s="11"/>
      <c r="AH2169" s="7" t="str">
        <f>Table1[[#This Row],[html_tag]]&amp;Table1[[#This Row],[html_type]]&amp;Table1[[#This Row],[html_modifier]]</f>
        <v/>
      </c>
      <c r="AL2169" s="23" t="str">
        <f>IFERROR(_xlfn.XLOOKUP(Table1[[#This Row],[word]],Table57[English style name],Table57[Style type]),"")</f>
        <v/>
      </c>
      <c r="AM2169" s="21"/>
      <c r="AN2169" s="11"/>
    </row>
    <row r="2170" spans="3:44">
      <c r="D2170" t="s">
        <v>3362</v>
      </c>
      <c r="E2170" s="11"/>
      <c r="F21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0" s="13"/>
      <c r="H2170" s="13"/>
      <c r="I2170" s="12" t="str">
        <f>Table1[[#This Row],[type]]</f>
        <v>paragraph</v>
      </c>
      <c r="J2170" s="62" t="str">
        <f>Table1[[#This Row],[Column42]]&amp;IF(Table1[[#This Row],[Column13]]="","",Table1[[#This Row],[Column13]])&amp;IF(Table1[[#This Row],[mod]]="","",Table1[[#This Row],[mod]])</f>
        <v>paragraph__part__title</v>
      </c>
      <c r="K21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paragraph__part__title</v>
      </c>
      <c r="L2170" t="s">
        <v>0</v>
      </c>
      <c r="M2170" t="s">
        <v>3401</v>
      </c>
      <c r="O2170" t="s">
        <v>333</v>
      </c>
      <c r="Q21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0" s="29"/>
      <c r="AC2170" s="25"/>
      <c r="AD2170" s="41"/>
      <c r="AE2170" s="41"/>
      <c r="AF2170" s="11"/>
      <c r="AH2170" s="7" t="str">
        <f>Table1[[#This Row],[html_tag]]&amp;Table1[[#This Row],[html_type]]&amp;Table1[[#This Row],[html_modifier]]</f>
        <v/>
      </c>
      <c r="AL2170" s="23" t="str">
        <f>IFERROR(_xlfn.XLOOKUP(Table1[[#This Row],[word]],Table57[English style name],Table57[Style type]),"")</f>
        <v/>
      </c>
      <c r="AM2170" s="21"/>
      <c r="AN2170" s="11"/>
    </row>
    <row r="2171" spans="3:44">
      <c r="D2171" t="s">
        <v>3348</v>
      </c>
      <c r="E2171" s="11"/>
      <c r="F21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1" s="13"/>
      <c r="H2171" s="13"/>
      <c r="I2171" s="12" t="str">
        <f>Table1[[#This Row],[type]]</f>
        <v>paragraph</v>
      </c>
      <c r="J2171" s="62" t="str">
        <f>Table1[[#This Row],[Column42]]&amp;IF(Table1[[#This Row],[Column13]]="","",Table1[[#This Row],[Column13]])&amp;IF(Table1[[#This Row],[mod]]="","",Table1[[#This Row],[mod]])</f>
        <v>paragraph__preface__body</v>
      </c>
      <c r="K21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paragraph__preface__body</v>
      </c>
      <c r="L2171" t="s">
        <v>0</v>
      </c>
      <c r="M2171" t="s">
        <v>3409</v>
      </c>
      <c r="O2171" t="s">
        <v>337</v>
      </c>
      <c r="Q21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1" s="80"/>
      <c r="AC2171" s="25"/>
      <c r="AD2171" s="41"/>
      <c r="AE2171" s="41"/>
      <c r="AF2171" s="11"/>
      <c r="AH2171" s="7" t="str">
        <f>Table1[[#This Row],[html_tag]]&amp;Table1[[#This Row],[html_type]]&amp;Table1[[#This Row],[html_modifier]]</f>
        <v/>
      </c>
      <c r="AL2171" s="23" t="str">
        <f>IFERROR(_xlfn.XLOOKUP(Table1[[#This Row],[word]],Table57[English style name],Table57[Style type]),"")</f>
        <v/>
      </c>
      <c r="AM2171" s="21"/>
      <c r="AN2171" s="11"/>
    </row>
    <row r="2172" spans="3:44">
      <c r="D2172" t="s">
        <v>3299</v>
      </c>
      <c r="E2172" s="11"/>
      <c r="F21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2" s="13"/>
      <c r="H2172" s="13"/>
      <c r="I2172" s="12" t="str">
        <f>Table1[[#This Row],[type]]</f>
        <v>paragraph</v>
      </c>
      <c r="J2172" s="62" t="str">
        <f>Table1[[#This Row],[Column42]]&amp;IF(Table1[[#This Row],[Column13]]="","",Table1[[#This Row],[Column13]])&amp;IF(Table1[[#This Row],[mod]]="","",Table1[[#This Row],[mod]])</f>
        <v>paragraph__Printing history</v>
      </c>
      <c r="K21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paragraph__Printing history</v>
      </c>
      <c r="L2172" t="s">
        <v>0</v>
      </c>
      <c r="O2172" t="s">
        <v>3297</v>
      </c>
      <c r="P2172" t="s">
        <v>3297</v>
      </c>
      <c r="Q21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2" s="29"/>
      <c r="AC2172" s="25"/>
      <c r="AD2172" s="41"/>
      <c r="AE2172" s="41"/>
      <c r="AF2172" s="11"/>
      <c r="AH2172" s="7" t="str">
        <f>Table1[[#This Row],[html_tag]]&amp;Table1[[#This Row],[html_type]]&amp;Table1[[#This Row],[html_modifier]]</f>
        <v/>
      </c>
      <c r="AL2172" s="23" t="str">
        <f>IFERROR(_xlfn.XLOOKUP(Table1[[#This Row],[word]],Table57[English style name],Table57[Style type]),"")</f>
        <v/>
      </c>
      <c r="AM2172" s="21"/>
      <c r="AN2172" s="11"/>
    </row>
    <row r="2173" spans="3:44">
      <c r="D2173" t="s">
        <v>3299</v>
      </c>
      <c r="E2173" s="11"/>
      <c r="F21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3" s="13"/>
      <c r="H2173" s="13"/>
      <c r="I2173" s="12" t="str">
        <f>Table1[[#This Row],[type]]</f>
        <v>paragraph</v>
      </c>
      <c r="J2173" s="62" t="str">
        <f>Table1[[#This Row],[Column42]]&amp;IF(Table1[[#This Row],[Column13]]="","",Table1[[#This Row],[Column13]])&amp;IF(Table1[[#This Row],[mod]]="","",Table1[[#This Row],[mod]])</f>
        <v>paragraph__Publisher imprint</v>
      </c>
      <c r="K21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paragraph__Publisher imprint</v>
      </c>
      <c r="L2173" t="s">
        <v>0</v>
      </c>
      <c r="O2173" t="s">
        <v>3291</v>
      </c>
      <c r="P2173" t="s">
        <v>3291</v>
      </c>
      <c r="Q21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3" s="29"/>
      <c r="AC2173" s="25"/>
      <c r="AD2173" s="41"/>
      <c r="AE2173" s="41"/>
      <c r="AF2173" s="11"/>
      <c r="AH2173" s="7" t="str">
        <f>Table1[[#This Row],[html_tag]]&amp;Table1[[#This Row],[html_type]]&amp;Table1[[#This Row],[html_modifier]]</f>
        <v/>
      </c>
      <c r="AL2173" s="23" t="str">
        <f>IFERROR(_xlfn.XLOOKUP(Table1[[#This Row],[word]],Table57[English style name],Table57[Style type]),"")</f>
        <v/>
      </c>
      <c r="AM2173" s="21"/>
      <c r="AN2173" s="11"/>
    </row>
    <row r="2174" spans="3:44">
      <c r="D2174" t="s">
        <v>3299</v>
      </c>
      <c r="E2174" s="11"/>
      <c r="F21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4" s="13"/>
      <c r="H2174" s="13"/>
      <c r="I2174" s="12" t="str">
        <f>Table1[[#This Row],[type]]</f>
        <v>paragraph</v>
      </c>
      <c r="J2174" s="62" t="str">
        <f>Table1[[#This Row],[Column42]]&amp;IF(Table1[[#This Row],[Column13]]="","",Table1[[#This Row],[Column13]])&amp;IF(Table1[[#This Row],[mod]]="","",Table1[[#This Row],[mod]])</f>
        <v>paragraph__Publisher location</v>
      </c>
      <c r="K21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paragraph__Publisher location</v>
      </c>
      <c r="L2174" t="s">
        <v>0</v>
      </c>
      <c r="O2174" t="s">
        <v>3292</v>
      </c>
      <c r="P2174" t="s">
        <v>3292</v>
      </c>
      <c r="Q21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4" s="29"/>
      <c r="AC2174" s="25"/>
      <c r="AD2174" s="41"/>
      <c r="AE2174" s="41"/>
      <c r="AF2174" s="11"/>
      <c r="AH2174" s="7" t="str">
        <f>Table1[[#This Row],[html_tag]]&amp;Table1[[#This Row],[html_type]]&amp;Table1[[#This Row],[html_modifier]]</f>
        <v/>
      </c>
      <c r="AL2174" s="23" t="str">
        <f>IFERROR(_xlfn.XLOOKUP(Table1[[#This Row],[word]],Table57[English style name],Table57[Style type]),"")</f>
        <v/>
      </c>
      <c r="AM2174" s="21"/>
      <c r="AN2174" s="11"/>
    </row>
    <row r="2175" spans="3:44">
      <c r="E2175" s="11"/>
      <c r="F21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5" s="13" t="s">
        <v>2992</v>
      </c>
      <c r="H2175" s="13" t="s">
        <v>1</v>
      </c>
      <c r="I2175" s="12" t="str">
        <f>Table1[[#This Row],[type]]</f>
        <v>paragraph</v>
      </c>
      <c r="J2175" s="62" t="str">
        <f>Table1[[#This Row],[Column42]]&amp;IF(Table1[[#This Row],[Column13]]="","",Table1[[#This Row],[Column13]])&amp;IF(Table1[[#This Row],[mod]]="","",Table1[[#This Row],[mod]])</f>
        <v>paragraph__quote</v>
      </c>
      <c r="K21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75" t="s">
        <v>0</v>
      </c>
      <c r="M2175" t="s">
        <v>322</v>
      </c>
      <c r="P2175" s="6" t="s">
        <v>2327</v>
      </c>
      <c r="Q21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5" s="29"/>
      <c r="AC2175" s="25"/>
      <c r="AD2175" s="41"/>
      <c r="AE2175" s="41"/>
      <c r="AF2175" s="11"/>
      <c r="AH2175" s="1" t="str">
        <f>Table1[[#This Row],[html_tag]]&amp;Table1[[#This Row],[html_type]]&amp;Table1[[#This Row],[html_modifier]]</f>
        <v/>
      </c>
      <c r="AL2175" s="22" t="str">
        <f>IFERROR(_xlfn.XLOOKUP(Table1[[#This Row],[word]],Table57[English style name],Table57[Style type]),"")</f>
        <v/>
      </c>
      <c r="AM2175" s="20"/>
      <c r="AN2175" s="11"/>
      <c r="AQ2175" s="6" t="s">
        <v>2327</v>
      </c>
      <c r="AR2175" t="s">
        <v>2328</v>
      </c>
    </row>
    <row r="2176" spans="3:44">
      <c r="E2176" s="11"/>
      <c r="F21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6" s="13" t="s">
        <v>2992</v>
      </c>
      <c r="H2176" s="13" t="s">
        <v>1</v>
      </c>
      <c r="I2176" s="12" t="str">
        <f>Table1[[#This Row],[type]]</f>
        <v>paragraph</v>
      </c>
      <c r="J2176" s="62" t="str">
        <f>Table1[[#This Row],[Column42]]&amp;IF(Table1[[#This Row],[Column13]]="","",Table1[[#This Row],[Column13]])&amp;IF(Table1[[#This Row],[mod]]="","",Table1[[#This Row],[mod]])</f>
        <v>paragraph__quote</v>
      </c>
      <c r="K21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76" t="s">
        <v>0</v>
      </c>
      <c r="M2176" t="s">
        <v>322</v>
      </c>
      <c r="P2176" s="6" t="s">
        <v>2332</v>
      </c>
      <c r="Q21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6" s="29"/>
      <c r="AC2176" s="25"/>
      <c r="AD2176" s="41"/>
      <c r="AE2176" s="41"/>
      <c r="AF2176" s="11"/>
      <c r="AH2176" s="1" t="str">
        <f>Table1[[#This Row],[html_tag]]&amp;Table1[[#This Row],[html_type]]&amp;Table1[[#This Row],[html_modifier]]</f>
        <v/>
      </c>
      <c r="AL2176" s="22" t="str">
        <f>IFERROR(_xlfn.XLOOKUP(Table1[[#This Row],[word]],Table57[English style name],Table57[Style type]),"")</f>
        <v/>
      </c>
      <c r="AM2176" s="20"/>
      <c r="AN2176" s="11"/>
      <c r="AQ2176" s="6" t="s">
        <v>2332</v>
      </c>
      <c r="AR2176" t="s">
        <v>2328</v>
      </c>
    </row>
    <row r="2177" spans="4:44">
      <c r="E2177" s="11"/>
      <c r="F21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7" s="13" t="s">
        <v>2992</v>
      </c>
      <c r="H2177" s="13" t="s">
        <v>1</v>
      </c>
      <c r="I2177" s="12" t="str">
        <f>Table1[[#This Row],[type]]</f>
        <v>paragraph</v>
      </c>
      <c r="J2177" s="62" t="str">
        <f>Table1[[#This Row],[Column42]]&amp;IF(Table1[[#This Row],[Column13]]="","",Table1[[#This Row],[Column13]])&amp;IF(Table1[[#This Row],[mod]]="","",Table1[[#This Row],[mod]])</f>
        <v>paragraph__quote</v>
      </c>
      <c r="K21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77" t="s">
        <v>0</v>
      </c>
      <c r="M2177" t="s">
        <v>322</v>
      </c>
      <c r="P2177" s="6" t="s">
        <v>2333</v>
      </c>
      <c r="Q21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7" s="29"/>
      <c r="AC2177" s="25"/>
      <c r="AD2177" s="41"/>
      <c r="AE2177" s="41"/>
      <c r="AF2177" s="11"/>
      <c r="AH2177" s="1" t="str">
        <f>Table1[[#This Row],[html_tag]]&amp;Table1[[#This Row],[html_type]]&amp;Table1[[#This Row],[html_modifier]]</f>
        <v/>
      </c>
      <c r="AL2177" s="22" t="str">
        <f>IFERROR(_xlfn.XLOOKUP(Table1[[#This Row],[word]],Table57[English style name],Table57[Style type]),"")</f>
        <v/>
      </c>
      <c r="AM2177" s="20"/>
      <c r="AN2177" s="11"/>
      <c r="AQ2177" s="6" t="s">
        <v>2333</v>
      </c>
      <c r="AR2177" t="s">
        <v>2328</v>
      </c>
    </row>
    <row r="2178" spans="4:44">
      <c r="E2178" s="11"/>
      <c r="F21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8" s="13" t="s">
        <v>2992</v>
      </c>
      <c r="H2178" s="13" t="s">
        <v>1</v>
      </c>
      <c r="I2178" s="12" t="str">
        <f>Table1[[#This Row],[type]]</f>
        <v>paragraph</v>
      </c>
      <c r="J2178" s="62" t="str">
        <f>Table1[[#This Row],[Column42]]&amp;IF(Table1[[#This Row],[Column13]]="","",Table1[[#This Row],[Column13]])&amp;IF(Table1[[#This Row],[mod]]="","",Table1[[#This Row],[mod]])</f>
        <v>paragraph__quote</v>
      </c>
      <c r="K21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78" t="s">
        <v>0</v>
      </c>
      <c r="M2178" t="s">
        <v>322</v>
      </c>
      <c r="P2178" s="6" t="s">
        <v>2337</v>
      </c>
      <c r="Q21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8" s="29"/>
      <c r="AC2178" s="25"/>
      <c r="AD2178" s="41"/>
      <c r="AE2178" s="41"/>
      <c r="AF2178" s="11"/>
      <c r="AH2178" s="1" t="str">
        <f>Table1[[#This Row],[html_tag]]&amp;Table1[[#This Row],[html_type]]&amp;Table1[[#This Row],[html_modifier]]</f>
        <v/>
      </c>
      <c r="AL2178" s="22" t="str">
        <f>IFERROR(_xlfn.XLOOKUP(Table1[[#This Row],[word]],Table57[English style name],Table57[Style type]),"")</f>
        <v/>
      </c>
      <c r="AM2178" s="20"/>
      <c r="AN2178" s="11"/>
      <c r="AQ2178" s="6" t="s">
        <v>2337</v>
      </c>
      <c r="AR2178" t="s">
        <v>2328</v>
      </c>
    </row>
    <row r="2179" spans="4:44">
      <c r="E2179" s="11"/>
      <c r="F21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9" s="13" t="s">
        <v>2992</v>
      </c>
      <c r="H2179" s="13" t="s">
        <v>1</v>
      </c>
      <c r="I2179" s="12" t="str">
        <f>Table1[[#This Row],[type]]</f>
        <v>paragraph</v>
      </c>
      <c r="J2179" s="62" t="str">
        <f>Table1[[#This Row],[Column42]]&amp;IF(Table1[[#This Row],[Column13]]="","",Table1[[#This Row],[Column13]])&amp;IF(Table1[[#This Row],[mod]]="","",Table1[[#This Row],[mod]])</f>
        <v>paragraph__quote</v>
      </c>
      <c r="K21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79" t="s">
        <v>0</v>
      </c>
      <c r="M2179" t="s">
        <v>322</v>
      </c>
      <c r="P2179" s="6" t="s">
        <v>2338</v>
      </c>
      <c r="Q21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9" s="29"/>
      <c r="AC2179" s="25"/>
      <c r="AD2179" s="41"/>
      <c r="AE2179" s="41"/>
      <c r="AF2179" s="11"/>
      <c r="AH2179" s="1" t="str">
        <f>Table1[[#This Row],[html_tag]]&amp;Table1[[#This Row],[html_type]]&amp;Table1[[#This Row],[html_modifier]]</f>
        <v/>
      </c>
      <c r="AL2179" s="22" t="str">
        <f>IFERROR(_xlfn.XLOOKUP(Table1[[#This Row],[word]],Table57[English style name],Table57[Style type]),"")</f>
        <v/>
      </c>
      <c r="AM2179" s="20"/>
      <c r="AN2179" s="11"/>
      <c r="AQ2179" s="6" t="s">
        <v>2338</v>
      </c>
      <c r="AR2179" t="s">
        <v>2328</v>
      </c>
    </row>
    <row r="2180" spans="4:44">
      <c r="E2180" s="11"/>
      <c r="F21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0" s="13" t="s">
        <v>2992</v>
      </c>
      <c r="H2180" s="13" t="s">
        <v>1</v>
      </c>
      <c r="I2180" s="12" t="str">
        <f>Table1[[#This Row],[type]]</f>
        <v>paragraph</v>
      </c>
      <c r="J2180" s="62" t="str">
        <f>Table1[[#This Row],[Column42]]&amp;IF(Table1[[#This Row],[Column13]]="","",Table1[[#This Row],[Column13]])&amp;IF(Table1[[#This Row],[mod]]="","",Table1[[#This Row],[mod]])</f>
        <v>paragraph__quote</v>
      </c>
      <c r="K21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0" t="s">
        <v>0</v>
      </c>
      <c r="M2180" t="s">
        <v>322</v>
      </c>
      <c r="P2180" s="6" t="s">
        <v>2343</v>
      </c>
      <c r="Q21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0" s="29"/>
      <c r="AC2180" s="25"/>
      <c r="AD2180" s="41"/>
      <c r="AE2180" s="41"/>
      <c r="AF2180" s="11"/>
      <c r="AH2180" s="1" t="str">
        <f>Table1[[#This Row],[html_tag]]&amp;Table1[[#This Row],[html_type]]&amp;Table1[[#This Row],[html_modifier]]</f>
        <v/>
      </c>
      <c r="AL2180" s="22" t="str">
        <f>IFERROR(_xlfn.XLOOKUP(Table1[[#This Row],[word]],Table57[English style name],Table57[Style type]),"")</f>
        <v/>
      </c>
      <c r="AM2180" s="20"/>
      <c r="AN2180" s="11"/>
      <c r="AQ2180" s="6" t="s">
        <v>2343</v>
      </c>
      <c r="AR2180" t="s">
        <v>2328</v>
      </c>
    </row>
    <row r="2181" spans="4:44">
      <c r="E2181" s="11"/>
      <c r="F21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1" s="13" t="s">
        <v>2992</v>
      </c>
      <c r="H2181" s="13" t="s">
        <v>1</v>
      </c>
      <c r="I2181" s="12" t="str">
        <f>Table1[[#This Row],[type]]</f>
        <v>paragraph</v>
      </c>
      <c r="J2181" s="62" t="str">
        <f>Table1[[#This Row],[Column42]]&amp;IF(Table1[[#This Row],[Column13]]="","",Table1[[#This Row],[Column13]])&amp;IF(Table1[[#This Row],[mod]]="","",Table1[[#This Row],[mod]])</f>
        <v>paragraph__quote</v>
      </c>
      <c r="K21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1" t="s">
        <v>0</v>
      </c>
      <c r="M2181" t="s">
        <v>322</v>
      </c>
      <c r="P2181" s="6" t="s">
        <v>2344</v>
      </c>
      <c r="Q21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1" s="29"/>
      <c r="AC2181" s="25"/>
      <c r="AD2181" s="41"/>
      <c r="AE2181" s="41"/>
      <c r="AF2181" s="11"/>
      <c r="AH2181" s="1" t="str">
        <f>Table1[[#This Row],[html_tag]]&amp;Table1[[#This Row],[html_type]]&amp;Table1[[#This Row],[html_modifier]]</f>
        <v/>
      </c>
      <c r="AL2181" s="22" t="str">
        <f>IFERROR(_xlfn.XLOOKUP(Table1[[#This Row],[word]],Table57[English style name],Table57[Style type]),"")</f>
        <v/>
      </c>
      <c r="AM2181" s="20"/>
      <c r="AN2181" s="11"/>
      <c r="AQ2181" s="6" t="s">
        <v>2344</v>
      </c>
      <c r="AR2181" t="s">
        <v>2328</v>
      </c>
    </row>
    <row r="2182" spans="4:44">
      <c r="E2182" s="11"/>
      <c r="F21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2" s="13" t="s">
        <v>2992</v>
      </c>
      <c r="H2182" s="13" t="s">
        <v>1</v>
      </c>
      <c r="I2182" s="12" t="str">
        <f>Table1[[#This Row],[type]]</f>
        <v>paragraph</v>
      </c>
      <c r="J2182" s="62" t="str">
        <f>Table1[[#This Row],[Column42]]&amp;IF(Table1[[#This Row],[Column13]]="","",Table1[[#This Row],[Column13]])&amp;IF(Table1[[#This Row],[mod]]="","",Table1[[#This Row],[mod]])</f>
        <v>paragraph__quote</v>
      </c>
      <c r="K21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2" t="s">
        <v>0</v>
      </c>
      <c r="M2182" t="s">
        <v>322</v>
      </c>
      <c r="P2182" s="6" t="s">
        <v>2345</v>
      </c>
      <c r="Q21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2" s="29"/>
      <c r="AC2182" s="25"/>
      <c r="AD2182" s="41"/>
      <c r="AE2182" s="41"/>
      <c r="AF2182" s="11"/>
      <c r="AH2182" s="1" t="str">
        <f>Table1[[#This Row],[html_tag]]&amp;Table1[[#This Row],[html_type]]&amp;Table1[[#This Row],[html_modifier]]</f>
        <v/>
      </c>
      <c r="AL2182" s="22" t="str">
        <f>IFERROR(_xlfn.XLOOKUP(Table1[[#This Row],[word]],Table57[English style name],Table57[Style type]),"")</f>
        <v/>
      </c>
      <c r="AM2182" s="20"/>
      <c r="AN2182" s="11"/>
      <c r="AQ2182" s="6" t="s">
        <v>2345</v>
      </c>
      <c r="AR2182" t="s">
        <v>2328</v>
      </c>
    </row>
    <row r="2183" spans="4:44">
      <c r="E2183" s="11"/>
      <c r="F21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3" s="13" t="s">
        <v>2992</v>
      </c>
      <c r="H2183" s="13" t="s">
        <v>1</v>
      </c>
      <c r="I2183" s="12" t="str">
        <f>Table1[[#This Row],[type]]</f>
        <v>paragraph</v>
      </c>
      <c r="J2183" s="62" t="str">
        <f>Table1[[#This Row],[Column42]]&amp;IF(Table1[[#This Row],[Column13]]="","",Table1[[#This Row],[Column13]])&amp;IF(Table1[[#This Row],[mod]]="","",Table1[[#This Row],[mod]])</f>
        <v>paragraph__quote</v>
      </c>
      <c r="K21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3" t="s">
        <v>0</v>
      </c>
      <c r="M2183" t="s">
        <v>322</v>
      </c>
      <c r="P2183" s="6" t="s">
        <v>2329</v>
      </c>
      <c r="Q21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3" s="29"/>
      <c r="AC2183" s="25"/>
      <c r="AD2183" s="41"/>
      <c r="AE2183" s="41"/>
      <c r="AF2183" s="11"/>
      <c r="AH2183" s="1" t="str">
        <f>Table1[[#This Row],[html_tag]]&amp;Table1[[#This Row],[html_type]]&amp;Table1[[#This Row],[html_modifier]]</f>
        <v/>
      </c>
      <c r="AL2183" s="22" t="str">
        <f>IFERROR(_xlfn.XLOOKUP(Table1[[#This Row],[word]],Table57[English style name],Table57[Style type]),"")</f>
        <v/>
      </c>
      <c r="AM2183" s="20"/>
      <c r="AN2183" s="11"/>
      <c r="AQ2183" s="6" t="s">
        <v>2329</v>
      </c>
      <c r="AR2183" t="s">
        <v>2328</v>
      </c>
    </row>
    <row r="2184" spans="4:44">
      <c r="E2184" s="11"/>
      <c r="F21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4" s="13" t="s">
        <v>2992</v>
      </c>
      <c r="H2184" s="13" t="s">
        <v>1</v>
      </c>
      <c r="I2184" s="12" t="str">
        <f>Table1[[#This Row],[type]]</f>
        <v>paragraph</v>
      </c>
      <c r="J2184" s="62" t="str">
        <f>Table1[[#This Row],[Column42]]&amp;IF(Table1[[#This Row],[Column13]]="","",Table1[[#This Row],[Column13]])&amp;IF(Table1[[#This Row],[mod]]="","",Table1[[#This Row],[mod]])</f>
        <v>paragraph__quote</v>
      </c>
      <c r="K21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4" t="s">
        <v>0</v>
      </c>
      <c r="M2184" t="s">
        <v>322</v>
      </c>
      <c r="P2184" s="6" t="s">
        <v>2330</v>
      </c>
      <c r="Q21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4" s="29"/>
      <c r="AC2184" s="25"/>
      <c r="AD2184" s="41"/>
      <c r="AE2184" s="41"/>
      <c r="AF2184" s="11"/>
      <c r="AH2184" s="1" t="str">
        <f>Table1[[#This Row],[html_tag]]&amp;Table1[[#This Row],[html_type]]&amp;Table1[[#This Row],[html_modifier]]</f>
        <v/>
      </c>
      <c r="AL2184" s="22" t="str">
        <f>IFERROR(_xlfn.XLOOKUP(Table1[[#This Row],[word]],Table57[English style name],Table57[Style type]),"")</f>
        <v/>
      </c>
      <c r="AM2184" s="20"/>
      <c r="AN2184" s="11"/>
      <c r="AQ2184" s="6" t="s">
        <v>2330</v>
      </c>
      <c r="AR2184" t="s">
        <v>2328</v>
      </c>
    </row>
    <row r="2185" spans="4:44">
      <c r="E2185" s="11"/>
      <c r="F21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5" s="13" t="s">
        <v>2992</v>
      </c>
      <c r="H2185" s="13" t="s">
        <v>1</v>
      </c>
      <c r="I2185" s="12" t="str">
        <f>Table1[[#This Row],[type]]</f>
        <v>paragraph</v>
      </c>
      <c r="J2185" s="62" t="str">
        <f>Table1[[#This Row],[Column42]]&amp;IF(Table1[[#This Row],[Column13]]="","",Table1[[#This Row],[Column13]])&amp;IF(Table1[[#This Row],[mod]]="","",Table1[[#This Row],[mod]])</f>
        <v>paragraph__quote</v>
      </c>
      <c r="K21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5" t="s">
        <v>0</v>
      </c>
      <c r="M2185" t="s">
        <v>322</v>
      </c>
      <c r="Q21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5" s="29"/>
      <c r="AC2185" s="25"/>
      <c r="AD2185" s="41"/>
      <c r="AE2185" s="41"/>
      <c r="AF2185" s="11"/>
      <c r="AH2185" s="1" t="str">
        <f>Table1[[#This Row],[html_tag]]&amp;Table1[[#This Row],[html_type]]&amp;Table1[[#This Row],[html_modifier]]</f>
        <v/>
      </c>
      <c r="AL2185" s="22" t="str">
        <f>IFERROR(_xlfn.XLOOKUP(Table1[[#This Row],[word]],Table57[English style name],Table57[Style type]),"")</f>
        <v/>
      </c>
      <c r="AM2185" s="20"/>
      <c r="AN2185" s="11"/>
    </row>
    <row r="2186" spans="4:44">
      <c r="E2186" s="11"/>
      <c r="F21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6" s="13" t="s">
        <v>2992</v>
      </c>
      <c r="H2186" s="13" t="s">
        <v>1</v>
      </c>
      <c r="I2186" s="12" t="str">
        <f>Table1[[#This Row],[type]]</f>
        <v>paragraph</v>
      </c>
      <c r="J2186" s="62" t="str">
        <f>Table1[[#This Row],[Column42]]&amp;IF(Table1[[#This Row],[Column13]]="","",Table1[[#This Row],[Column13]])&amp;IF(Table1[[#This Row],[mod]]="","",Table1[[#This Row],[mod]])</f>
        <v>paragraph__quote</v>
      </c>
      <c r="K21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6" t="s">
        <v>0</v>
      </c>
      <c r="M2186" t="s">
        <v>322</v>
      </c>
      <c r="Q21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6" s="29"/>
      <c r="AC2186" s="25"/>
      <c r="AD2186" s="41"/>
      <c r="AE2186" s="41"/>
      <c r="AF2186" s="11"/>
      <c r="AH2186" s="1" t="str">
        <f>Table1[[#This Row],[html_tag]]&amp;Table1[[#This Row],[html_type]]&amp;Table1[[#This Row],[html_modifier]]</f>
        <v/>
      </c>
      <c r="AL2186" s="22" t="str">
        <f>IFERROR(_xlfn.XLOOKUP(Table1[[#This Row],[word]],Table57[English style name],Table57[Style type]),"")</f>
        <v/>
      </c>
      <c r="AM2186" s="20"/>
      <c r="AN2186" s="11"/>
    </row>
    <row r="2187" spans="4:44">
      <c r="E2187" s="11"/>
      <c r="F21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7" s="13" t="s">
        <v>2992</v>
      </c>
      <c r="H2187" s="13" t="s">
        <v>1</v>
      </c>
      <c r="I2187" s="12" t="str">
        <f>Table1[[#This Row],[type]]</f>
        <v>paragraph</v>
      </c>
      <c r="J2187" s="62" t="str">
        <f>Table1[[#This Row],[Column42]]&amp;IF(Table1[[#This Row],[Column13]]="","",Table1[[#This Row],[Column13]])&amp;IF(Table1[[#This Row],[mod]]="","",Table1[[#This Row],[mod]])</f>
        <v>paragraph__quote</v>
      </c>
      <c r="K21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7" t="s">
        <v>0</v>
      </c>
      <c r="M2187" t="s">
        <v>322</v>
      </c>
      <c r="Q21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7" s="29"/>
      <c r="AC2187" s="25"/>
      <c r="AD2187" s="41"/>
      <c r="AE2187" s="41"/>
      <c r="AF2187" s="11"/>
      <c r="AH2187" s="1" t="str">
        <f>Table1[[#This Row],[html_tag]]&amp;Table1[[#This Row],[html_type]]&amp;Table1[[#This Row],[html_modifier]]</f>
        <v/>
      </c>
      <c r="AL2187" s="22" t="str">
        <f>IFERROR(_xlfn.XLOOKUP(Table1[[#This Row],[word]],Table57[English style name],Table57[Style type]),"")</f>
        <v/>
      </c>
      <c r="AM2187" s="20"/>
      <c r="AN2187" s="11"/>
    </row>
    <row r="2188" spans="4:44">
      <c r="E2188" s="11"/>
      <c r="F21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8" s="13" t="s">
        <v>2992</v>
      </c>
      <c r="H2188" s="13" t="s">
        <v>1</v>
      </c>
      <c r="I2188" s="12" t="str">
        <f>Table1[[#This Row],[type]]</f>
        <v>paragraph</v>
      </c>
      <c r="J2188" s="62" t="str">
        <f>Table1[[#This Row],[Column42]]&amp;IF(Table1[[#This Row],[Column13]]="","",Table1[[#This Row],[Column13]])&amp;IF(Table1[[#This Row],[mod]]="","",Table1[[#This Row],[mod]])</f>
        <v>paragraph__quote</v>
      </c>
      <c r="K21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8" t="s">
        <v>0</v>
      </c>
      <c r="M2188" t="s">
        <v>322</v>
      </c>
      <c r="P2188" s="6" t="s">
        <v>2325</v>
      </c>
      <c r="Q21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8" s="29"/>
      <c r="AC2188" s="25" t="s">
        <v>3774</v>
      </c>
      <c r="AD2188" s="41"/>
      <c r="AE2188" s="41"/>
      <c r="AF2188" s="11"/>
      <c r="AH2188" s="1" t="str">
        <f>Table1[[#This Row],[html_tag]]&amp;Table1[[#This Row],[html_type]]&amp;Table1[[#This Row],[html_modifier]]</f>
        <v/>
      </c>
      <c r="AL2188" s="22" t="str">
        <f>IFERROR(_xlfn.XLOOKUP(Table1[[#This Row],[word]],Table57[English style name],Table57[Style type]),"")</f>
        <v/>
      </c>
      <c r="AM2188" s="20"/>
      <c r="AN2188" s="11"/>
      <c r="AQ2188" s="6" t="s">
        <v>2325</v>
      </c>
      <c r="AR2188" t="s">
        <v>2326</v>
      </c>
    </row>
    <row r="2189" spans="4:44">
      <c r="E2189" s="11"/>
      <c r="F21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9" s="13" t="s">
        <v>2992</v>
      </c>
      <c r="H2189" s="13" t="s">
        <v>1</v>
      </c>
      <c r="I2189" s="12" t="str">
        <f>Table1[[#This Row],[type]]</f>
        <v>paragraph</v>
      </c>
      <c r="J2189" s="62" t="str">
        <f>Table1[[#This Row],[Column42]]&amp;IF(Table1[[#This Row],[Column13]]="","",Table1[[#This Row],[Column13]])&amp;IF(Table1[[#This Row],[mod]]="","",Table1[[#This Row],[mod]])</f>
        <v>paragraph__quote__footer</v>
      </c>
      <c r="K21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paragraph__quote__footer</v>
      </c>
      <c r="L2189" t="s">
        <v>0</v>
      </c>
      <c r="M2189" t="s">
        <v>322</v>
      </c>
      <c r="O2189" t="s">
        <v>451</v>
      </c>
      <c r="Q21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9" s="29"/>
      <c r="AC2189" s="25" t="s">
        <v>3775</v>
      </c>
      <c r="AD2189" s="41"/>
      <c r="AE2189" s="41"/>
      <c r="AF2189" s="11"/>
      <c r="AH2189" s="1" t="str">
        <f>Table1[[#This Row],[html_tag]]&amp;Table1[[#This Row],[html_type]]&amp;Table1[[#This Row],[html_modifier]]</f>
        <v/>
      </c>
      <c r="AL2189" s="22" t="str">
        <f>IFERROR(_xlfn.XLOOKUP(Table1[[#This Row],[word]],Table57[English style name],Table57[Style type]),"")</f>
        <v/>
      </c>
      <c r="AM2189" s="20"/>
      <c r="AN2189" s="11"/>
    </row>
    <row r="2190" spans="4:44">
      <c r="D2190" t="s">
        <v>3339</v>
      </c>
      <c r="E2190" s="11"/>
      <c r="F21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0" s="13" t="s">
        <v>2992</v>
      </c>
      <c r="H2190" s="13" t="s">
        <v>1</v>
      </c>
      <c r="I2190" s="12" t="str">
        <f>Table1[[#This Row],[type]]</f>
        <v>paragraph</v>
      </c>
      <c r="J2190" s="62" t="str">
        <f>Table1[[#This Row],[Column42]]&amp;IF(Table1[[#This Row],[Column13]]="","",Table1[[#This Row],[Column13]])&amp;IF(Table1[[#This Row],[mod]]="","",Table1[[#This Row],[mod]])</f>
        <v>paragraph__quote__Quotation attribution</v>
      </c>
      <c r="K21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paragraph__quote__Quotation attribution</v>
      </c>
      <c r="L2190" t="s">
        <v>0</v>
      </c>
      <c r="M2190" t="s">
        <v>322</v>
      </c>
      <c r="O2190" t="s">
        <v>3328</v>
      </c>
      <c r="P2190" t="s">
        <v>3328</v>
      </c>
      <c r="Q21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0" s="29"/>
      <c r="AC2190" s="25"/>
      <c r="AD2190" s="41"/>
      <c r="AE2190" s="41"/>
      <c r="AF2190" s="11"/>
      <c r="AH2190" s="7" t="str">
        <f>Table1[[#This Row],[html_tag]]&amp;Table1[[#This Row],[html_type]]&amp;Table1[[#This Row],[html_modifier]]</f>
        <v/>
      </c>
      <c r="AL2190" s="23" t="str">
        <f>IFERROR(_xlfn.XLOOKUP(Table1[[#This Row],[word]],Table57[English style name],Table57[Style type]),"")</f>
        <v/>
      </c>
      <c r="AM2190" s="21"/>
      <c r="AN2190" s="11"/>
    </row>
    <row r="2191" spans="4:44">
      <c r="D2191" t="s">
        <v>3339</v>
      </c>
      <c r="E2191" s="11"/>
      <c r="F21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1" s="13" t="s">
        <v>2992</v>
      </c>
      <c r="H2191" s="13" t="s">
        <v>1</v>
      </c>
      <c r="I2191" s="12" t="str">
        <f>Table1[[#This Row],[type]]</f>
        <v>paragraph</v>
      </c>
      <c r="J2191" s="62" t="str">
        <f>Table1[[#This Row],[Column42]]&amp;IF(Table1[[#This Row],[Column13]]="","",Table1[[#This Row],[Column13]])&amp;IF(Table1[[#This Row],[mod]]="","",Table1[[#This Row],[mod]])</f>
        <v>paragraph__quote__Quotation long (block quote)</v>
      </c>
      <c r="K21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paragraph__quote__Quotation long (block quote)</v>
      </c>
      <c r="L2191" t="s">
        <v>0</v>
      </c>
      <c r="M2191" t="s">
        <v>322</v>
      </c>
      <c r="O2191" t="s">
        <v>3327</v>
      </c>
      <c r="P2191" t="s">
        <v>3327</v>
      </c>
      <c r="Q21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1" s="29"/>
      <c r="AC2191" s="25"/>
      <c r="AD2191" s="41"/>
      <c r="AE2191" s="41"/>
      <c r="AF2191" s="11"/>
      <c r="AH2191" s="7" t="str">
        <f>Table1[[#This Row],[html_tag]]&amp;Table1[[#This Row],[html_type]]&amp;Table1[[#This Row],[html_modifier]]</f>
        <v/>
      </c>
      <c r="AL2191" s="23" t="str">
        <f>IFERROR(_xlfn.XLOOKUP(Table1[[#This Row],[word]],Table57[English style name],Table57[Style type]),"")</f>
        <v/>
      </c>
      <c r="AM2191" s="21"/>
      <c r="AN2191" s="11"/>
    </row>
    <row r="2192" spans="4:44">
      <c r="D2192" t="s">
        <v>3339</v>
      </c>
      <c r="E2192" s="11"/>
      <c r="F21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2" s="13" t="s">
        <v>2992</v>
      </c>
      <c r="H2192" s="13" t="s">
        <v>1</v>
      </c>
      <c r="I2192" s="12" t="str">
        <f>Table1[[#This Row],[type]]</f>
        <v>paragraph</v>
      </c>
      <c r="J2192" s="62" t="str">
        <f>Table1[[#This Row],[Column42]]&amp;IF(Table1[[#This Row],[Column13]]="","",Table1[[#This Row],[Column13]])&amp;IF(Table1[[#This Row],[mod]]="","",Table1[[#This Row],[mod]])</f>
        <v>paragraph__quote__Quotation short</v>
      </c>
      <c r="K21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paragraph__quote__Quotation short</v>
      </c>
      <c r="L2192" t="s">
        <v>0</v>
      </c>
      <c r="M2192" t="s">
        <v>322</v>
      </c>
      <c r="O2192" t="s">
        <v>3326</v>
      </c>
      <c r="P2192" t="s">
        <v>3326</v>
      </c>
      <c r="Q21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2" s="29"/>
      <c r="AC2192" s="25"/>
      <c r="AD2192" s="41"/>
      <c r="AE2192" s="41"/>
      <c r="AF2192" s="11"/>
      <c r="AH2192" s="7" t="str">
        <f>Table1[[#This Row],[html_tag]]&amp;Table1[[#This Row],[html_type]]&amp;Table1[[#This Row],[html_modifier]]</f>
        <v/>
      </c>
      <c r="AL2192" s="23" t="str">
        <f>IFERROR(_xlfn.XLOOKUP(Table1[[#This Row],[word]],Table57[English style name],Table57[Style type]),"")</f>
        <v/>
      </c>
      <c r="AM2192" s="21"/>
      <c r="AN2192" s="11"/>
    </row>
    <row r="2193" spans="4:44">
      <c r="E2193" s="11"/>
      <c r="F21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3" s="13" t="s">
        <v>2992</v>
      </c>
      <c r="H2193" s="13" t="s">
        <v>1</v>
      </c>
      <c r="I2193" s="12" t="str">
        <f>Table1[[#This Row],[type]]</f>
        <v>paragraph</v>
      </c>
      <c r="J2193" s="62" t="str">
        <f>Table1[[#This Row],[Column42]]&amp;IF(Table1[[#This Row],[Column13]]="","",Table1[[#This Row],[Column13]])&amp;IF(Table1[[#This Row],[mod]]="","",Table1[[#This Row],[mod]])</f>
        <v>paragraph__quote__text</v>
      </c>
      <c r="K21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3" t="s">
        <v>0</v>
      </c>
      <c r="M2193" t="s">
        <v>322</v>
      </c>
      <c r="O2193" t="s">
        <v>403</v>
      </c>
      <c r="P2193" s="6" t="s">
        <v>2334</v>
      </c>
      <c r="Q21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3" s="29"/>
      <c r="AC2193" s="25"/>
      <c r="AD2193" s="41"/>
      <c r="AE2193" s="41"/>
      <c r="AF2193" s="11"/>
      <c r="AH2193" s="1" t="str">
        <f>Table1[[#This Row],[html_tag]]&amp;Table1[[#This Row],[html_type]]&amp;Table1[[#This Row],[html_modifier]]</f>
        <v/>
      </c>
      <c r="AL2193" s="22" t="str">
        <f>IFERROR(_xlfn.XLOOKUP(Table1[[#This Row],[word]],Table57[English style name],Table57[Style type]),"")</f>
        <v/>
      </c>
      <c r="AM2193" s="20"/>
      <c r="AN2193" s="11"/>
      <c r="AQ2193" s="6" t="s">
        <v>2334</v>
      </c>
      <c r="AR2193" t="s">
        <v>2328</v>
      </c>
    </row>
    <row r="2194" spans="4:44">
      <c r="E2194" s="11"/>
      <c r="F21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4" s="13" t="s">
        <v>2992</v>
      </c>
      <c r="H2194" s="13" t="s">
        <v>1</v>
      </c>
      <c r="I2194" s="12" t="str">
        <f>Table1[[#This Row],[type]]</f>
        <v>paragraph</v>
      </c>
      <c r="J2194" s="62" t="str">
        <f>Table1[[#This Row],[Column42]]&amp;IF(Table1[[#This Row],[Column13]]="","",Table1[[#This Row],[Column13]])&amp;IF(Table1[[#This Row],[mod]]="","",Table1[[#This Row],[mod]])</f>
        <v>paragraph__quote__text</v>
      </c>
      <c r="K21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4" t="s">
        <v>0</v>
      </c>
      <c r="M2194" t="s">
        <v>322</v>
      </c>
      <c r="O2194" t="s">
        <v>403</v>
      </c>
      <c r="P2194" s="6" t="s">
        <v>2340</v>
      </c>
      <c r="Q21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4" s="29"/>
      <c r="AC2194" s="25"/>
      <c r="AD2194" s="41"/>
      <c r="AE2194" s="41"/>
      <c r="AF2194" s="11"/>
      <c r="AH2194" s="1" t="str">
        <f>Table1[[#This Row],[html_tag]]&amp;Table1[[#This Row],[html_type]]&amp;Table1[[#This Row],[html_modifier]]</f>
        <v/>
      </c>
      <c r="AL2194" s="22" t="str">
        <f>IFERROR(_xlfn.XLOOKUP(Table1[[#This Row],[word]],Table57[English style name],Table57[Style type]),"")</f>
        <v/>
      </c>
      <c r="AM2194" s="20"/>
      <c r="AN2194" s="11"/>
      <c r="AQ2194" s="6" t="s">
        <v>2340</v>
      </c>
      <c r="AR2194" t="s">
        <v>2328</v>
      </c>
    </row>
    <row r="2195" spans="4:44">
      <c r="E2195" s="11"/>
      <c r="F21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5" s="13" t="s">
        <v>2992</v>
      </c>
      <c r="H2195" s="13" t="s">
        <v>1</v>
      </c>
      <c r="I2195" s="12" t="str">
        <f>Table1[[#This Row],[type]]</f>
        <v>paragraph</v>
      </c>
      <c r="J2195" s="62" t="str">
        <f>Table1[[#This Row],[Column42]]&amp;IF(Table1[[#This Row],[Column13]]="","",Table1[[#This Row],[Column13]])&amp;IF(Table1[[#This Row],[mod]]="","",Table1[[#This Row],[mod]])</f>
        <v>paragraph__quote__text</v>
      </c>
      <c r="K21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5" t="s">
        <v>0</v>
      </c>
      <c r="M2195" t="s">
        <v>322</v>
      </c>
      <c r="O2195" t="s">
        <v>403</v>
      </c>
      <c r="P2195" s="6" t="s">
        <v>2341</v>
      </c>
      <c r="Q21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5" s="29"/>
      <c r="AC2195" s="25"/>
      <c r="AD2195" s="41"/>
      <c r="AE2195" s="41"/>
      <c r="AF2195" s="11"/>
      <c r="AH2195" s="1" t="str">
        <f>Table1[[#This Row],[html_tag]]&amp;Table1[[#This Row],[html_type]]&amp;Table1[[#This Row],[html_modifier]]</f>
        <v/>
      </c>
      <c r="AL2195" s="22" t="str">
        <f>IFERROR(_xlfn.XLOOKUP(Table1[[#This Row],[word]],Table57[English style name],Table57[Style type]),"")</f>
        <v/>
      </c>
      <c r="AM2195" s="20"/>
      <c r="AN2195" s="11"/>
      <c r="AQ2195" s="6" t="s">
        <v>2341</v>
      </c>
      <c r="AR2195" t="s">
        <v>2328</v>
      </c>
    </row>
    <row r="2196" spans="4:44">
      <c r="E2196" s="11"/>
      <c r="F21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6" s="13" t="s">
        <v>2992</v>
      </c>
      <c r="H2196" s="13" t="s">
        <v>1</v>
      </c>
      <c r="I2196" s="12" t="str">
        <f>Table1[[#This Row],[type]]</f>
        <v>paragraph</v>
      </c>
      <c r="J2196" s="62" t="str">
        <f>Table1[[#This Row],[Column42]]&amp;IF(Table1[[#This Row],[Column13]]="","",Table1[[#This Row],[Column13]])&amp;IF(Table1[[#This Row],[mod]]="","",Table1[[#This Row],[mod]])</f>
        <v>paragraph__quote__text</v>
      </c>
      <c r="K21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6" t="s">
        <v>0</v>
      </c>
      <c r="M2196" t="s">
        <v>322</v>
      </c>
      <c r="O2196" t="s">
        <v>403</v>
      </c>
      <c r="P2196" s="6" t="s">
        <v>2339</v>
      </c>
      <c r="Q21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6" s="29"/>
      <c r="AC2196" s="25"/>
      <c r="AD2196" s="41"/>
      <c r="AE2196" s="41"/>
      <c r="AF2196" s="11"/>
      <c r="AH2196" s="1" t="str">
        <f>Table1[[#This Row],[html_tag]]&amp;Table1[[#This Row],[html_type]]&amp;Table1[[#This Row],[html_modifier]]</f>
        <v/>
      </c>
      <c r="AL2196" s="22" t="str">
        <f>IFERROR(_xlfn.XLOOKUP(Table1[[#This Row],[word]],Table57[English style name],Table57[Style type]),"")</f>
        <v/>
      </c>
      <c r="AM2196" s="20"/>
      <c r="AN2196" s="11"/>
      <c r="AQ2196" s="6" t="s">
        <v>2339</v>
      </c>
      <c r="AR2196" t="s">
        <v>2328</v>
      </c>
    </row>
    <row r="2197" spans="4:44">
      <c r="E2197" s="11"/>
      <c r="F21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7" s="13" t="s">
        <v>2992</v>
      </c>
      <c r="H2197" s="13" t="s">
        <v>1</v>
      </c>
      <c r="I2197" s="12" t="str">
        <f>Table1[[#This Row],[type]]</f>
        <v>paragraph</v>
      </c>
      <c r="J2197" s="62" t="str">
        <f>Table1[[#This Row],[Column42]]&amp;IF(Table1[[#This Row],[Column13]]="","",Table1[[#This Row],[Column13]])&amp;IF(Table1[[#This Row],[mod]]="","",Table1[[#This Row],[mod]])</f>
        <v>paragraph__quote__text</v>
      </c>
      <c r="K21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7" t="s">
        <v>0</v>
      </c>
      <c r="M2197" t="s">
        <v>322</v>
      </c>
      <c r="O2197" t="s">
        <v>403</v>
      </c>
      <c r="P2197" s="6" t="s">
        <v>2346</v>
      </c>
      <c r="Q21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7" s="29"/>
      <c r="AC2197" s="25"/>
      <c r="AD2197" s="41"/>
      <c r="AE2197" s="41"/>
      <c r="AF2197" s="11"/>
      <c r="AH2197" s="1" t="str">
        <f>Table1[[#This Row],[html_tag]]&amp;Table1[[#This Row],[html_type]]&amp;Table1[[#This Row],[html_modifier]]</f>
        <v/>
      </c>
      <c r="AL2197" s="22" t="str">
        <f>IFERROR(_xlfn.XLOOKUP(Table1[[#This Row],[word]],Table57[English style name],Table57[Style type]),"")</f>
        <v/>
      </c>
      <c r="AM2197" s="20"/>
      <c r="AN2197" s="11"/>
      <c r="AQ2197" s="6" t="s">
        <v>2346</v>
      </c>
      <c r="AR2197" t="s">
        <v>2328</v>
      </c>
    </row>
    <row r="2198" spans="4:44">
      <c r="E2198" s="11"/>
      <c r="F21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8" s="13" t="s">
        <v>2992</v>
      </c>
      <c r="H2198" s="13" t="s">
        <v>1</v>
      </c>
      <c r="I2198" s="12" t="str">
        <f>Table1[[#This Row],[type]]</f>
        <v>paragraph</v>
      </c>
      <c r="J2198" s="62" t="str">
        <f>Table1[[#This Row],[Column42]]&amp;IF(Table1[[#This Row],[Column13]]="","",Table1[[#This Row],[Column13]])&amp;IF(Table1[[#This Row],[mod]]="","",Table1[[#This Row],[mod]])</f>
        <v>paragraph__quote__text</v>
      </c>
      <c r="K21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8" t="s">
        <v>0</v>
      </c>
      <c r="M2198" t="s">
        <v>322</v>
      </c>
      <c r="O2198" t="s">
        <v>403</v>
      </c>
      <c r="P2198" s="6" t="s">
        <v>2331</v>
      </c>
      <c r="Q21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8" s="29"/>
      <c r="AC2198" s="25"/>
      <c r="AD2198" s="41"/>
      <c r="AE2198" s="41"/>
      <c r="AF2198" s="11"/>
      <c r="AH2198" s="1" t="str">
        <f>Table1[[#This Row],[html_tag]]&amp;Table1[[#This Row],[html_type]]&amp;Table1[[#This Row],[html_modifier]]</f>
        <v/>
      </c>
      <c r="AL2198" s="22" t="str">
        <f>IFERROR(_xlfn.XLOOKUP(Table1[[#This Row],[word]],Table57[English style name],Table57[Style type]),"")</f>
        <v/>
      </c>
      <c r="AM2198" s="20"/>
      <c r="AN2198" s="11"/>
      <c r="AQ2198" s="6" t="s">
        <v>2331</v>
      </c>
      <c r="AR2198" t="s">
        <v>2328</v>
      </c>
    </row>
    <row r="2199" spans="4:44">
      <c r="E2199" s="11"/>
      <c r="F21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9" s="13" t="s">
        <v>2992</v>
      </c>
      <c r="H2199" s="13" t="s">
        <v>1</v>
      </c>
      <c r="I2199" s="12" t="str">
        <f>Table1[[#This Row],[type]]</f>
        <v>paragraph</v>
      </c>
      <c r="J2199" s="62" t="str">
        <f>Table1[[#This Row],[Column42]]&amp;IF(Table1[[#This Row],[Column13]]="","",Table1[[#This Row],[Column13]])&amp;IF(Table1[[#This Row],[mod]]="","",Table1[[#This Row],[mod]])</f>
        <v>paragraph__quote__text--hover</v>
      </c>
      <c r="K21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9" t="s">
        <v>0</v>
      </c>
      <c r="M2199" t="s">
        <v>322</v>
      </c>
      <c r="O2199" t="s">
        <v>403</v>
      </c>
      <c r="P2199" s="6" t="s">
        <v>2342</v>
      </c>
      <c r="Q21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199" t="s">
        <v>3019</v>
      </c>
      <c r="AB2199" s="29"/>
      <c r="AC2199" s="25"/>
      <c r="AD2199" s="41"/>
      <c r="AE2199" s="41"/>
      <c r="AF2199" s="11"/>
      <c r="AH2199" s="1" t="str">
        <f>Table1[[#This Row],[html_tag]]&amp;Table1[[#This Row],[html_type]]&amp;Table1[[#This Row],[html_modifier]]</f>
        <v/>
      </c>
      <c r="AL2199" s="22" t="str">
        <f>IFERROR(_xlfn.XLOOKUP(Table1[[#This Row],[word]],Table57[English style name],Table57[Style type]),"")</f>
        <v/>
      </c>
      <c r="AM2199" s="20"/>
      <c r="AN2199" s="11"/>
      <c r="AQ2199" s="6" t="s">
        <v>2342</v>
      </c>
      <c r="AR2199" t="s">
        <v>2328</v>
      </c>
    </row>
    <row r="2200" spans="4:44">
      <c r="E2200" s="11"/>
      <c r="F22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0" s="13" t="s">
        <v>2992</v>
      </c>
      <c r="H2200" s="13" t="s">
        <v>1</v>
      </c>
      <c r="I2200" s="12" t="str">
        <f>Table1[[#This Row],[type]]</f>
        <v>paragraph</v>
      </c>
      <c r="J2200" s="62" t="str">
        <f>Table1[[#This Row],[Column42]]&amp;IF(Table1[[#This Row],[Column13]]="","",Table1[[#This Row],[Column13]])&amp;IF(Table1[[#This Row],[mod]]="","",Table1[[#This Row],[mod]])</f>
        <v>paragraph__quote__text--link</v>
      </c>
      <c r="K22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00" t="s">
        <v>0</v>
      </c>
      <c r="M2200" t="s">
        <v>322</v>
      </c>
      <c r="O2200" t="s">
        <v>403</v>
      </c>
      <c r="P2200" s="6" t="s">
        <v>2335</v>
      </c>
      <c r="Q22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--link</v>
      </c>
      <c r="R2200" t="s">
        <v>477</v>
      </c>
      <c r="U22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0" s="29"/>
      <c r="AC2200" s="25"/>
      <c r="AD2200" s="41"/>
      <c r="AE2200" s="41"/>
      <c r="AF2200" s="11"/>
      <c r="AH2200" s="1" t="str">
        <f>Table1[[#This Row],[html_tag]]&amp;Table1[[#This Row],[html_type]]&amp;Table1[[#This Row],[html_modifier]]</f>
        <v/>
      </c>
      <c r="AL2200" s="22" t="str">
        <f>IFERROR(_xlfn.XLOOKUP(Table1[[#This Row],[word]],Table57[English style name],Table57[Style type]),"")</f>
        <v/>
      </c>
      <c r="AM2200" s="20"/>
      <c r="AN2200" s="11"/>
      <c r="AQ2200" s="6" t="s">
        <v>2335</v>
      </c>
      <c r="AR2200" t="s">
        <v>2328</v>
      </c>
    </row>
    <row r="2201" spans="4:44">
      <c r="E2201" s="11"/>
      <c r="F22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1" s="13" t="s">
        <v>2992</v>
      </c>
      <c r="H2201" s="13" t="s">
        <v>1</v>
      </c>
      <c r="I2201" s="12" t="str">
        <f>Table1[[#This Row],[type]]</f>
        <v>paragraph</v>
      </c>
      <c r="J2201" s="62" t="str">
        <f>Table1[[#This Row],[Column42]]&amp;IF(Table1[[#This Row],[Column13]]="","",Table1[[#This Row],[Column13]])&amp;IF(Table1[[#This Row],[mod]]="","",Table1[[#This Row],[mod]])</f>
        <v>paragraph__quote__text--link--hover</v>
      </c>
      <c r="K22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01" t="s">
        <v>0</v>
      </c>
      <c r="M2201" t="s">
        <v>322</v>
      </c>
      <c r="O2201" t="s">
        <v>403</v>
      </c>
      <c r="P2201" s="6" t="s">
        <v>2336</v>
      </c>
      <c r="Q22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--link</v>
      </c>
      <c r="R2201" t="s">
        <v>477</v>
      </c>
      <c r="U22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201" t="s">
        <v>3019</v>
      </c>
      <c r="AB2201" s="29"/>
      <c r="AC2201" s="25"/>
      <c r="AD2201" s="41"/>
      <c r="AE2201" s="41"/>
      <c r="AF2201" s="11"/>
      <c r="AH2201" s="1" t="str">
        <f>Table1[[#This Row],[html_tag]]&amp;Table1[[#This Row],[html_type]]&amp;Table1[[#This Row],[html_modifier]]</f>
        <v/>
      </c>
      <c r="AL2201" s="22" t="str">
        <f>IFERROR(_xlfn.XLOOKUP(Table1[[#This Row],[word]],Table57[English style name],Table57[Style type]),"")</f>
        <v/>
      </c>
      <c r="AM2201" s="20"/>
      <c r="AN2201" s="11"/>
      <c r="AQ2201" s="6" t="s">
        <v>2336</v>
      </c>
      <c r="AR2201" t="s">
        <v>2328</v>
      </c>
    </row>
    <row r="2202" spans="4:44">
      <c r="E2202" s="11"/>
      <c r="F22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2" s="13" t="s">
        <v>2992</v>
      </c>
      <c r="H2202" s="13" t="s">
        <v>1</v>
      </c>
      <c r="I2202" s="12" t="str">
        <f>Table1[[#This Row],[type]]</f>
        <v>paragraph</v>
      </c>
      <c r="J2202" s="62" t="str">
        <f>Table1[[#This Row],[Column42]]&amp;IF(Table1[[#This Row],[Column13]]="","",Table1[[#This Row],[Column13]])&amp;IF(Table1[[#This Row],[mod]]="","",Table1[[#This Row],[mod]])</f>
        <v>paragraph__quote--reverse</v>
      </c>
      <c r="K22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02" t="s">
        <v>0</v>
      </c>
      <c r="M2202" t="s">
        <v>322</v>
      </c>
      <c r="Q22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--reverse</v>
      </c>
      <c r="R2202" t="s">
        <v>3836</v>
      </c>
      <c r="U22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2" s="29"/>
      <c r="AC2202" s="25" t="s">
        <v>3776</v>
      </c>
      <c r="AD2202" s="41"/>
      <c r="AE2202" s="41"/>
      <c r="AF2202" s="11"/>
      <c r="AH2202" s="7" t="str">
        <f>Table1[[#This Row],[html_tag]]&amp;Table1[[#This Row],[html_type]]&amp;Table1[[#This Row],[html_modifier]]</f>
        <v/>
      </c>
      <c r="AL2202" s="23" t="str">
        <f>IFERROR(_xlfn.XLOOKUP(Table1[[#This Row],[word]],Table57[English style name],Table57[Style type]),"")</f>
        <v/>
      </c>
      <c r="AM2202" s="21"/>
      <c r="AN2202" s="11"/>
    </row>
    <row r="2203" spans="4:44">
      <c r="D2203" t="s">
        <v>3349</v>
      </c>
      <c r="E2203" s="11"/>
      <c r="F22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3" s="13"/>
      <c r="H2203" s="13"/>
      <c r="I2203" s="12" t="str">
        <f>Table1[[#This Row],[type]]</f>
        <v>paragraph</v>
      </c>
      <c r="J2203" s="62" t="str">
        <f>Table1[[#This Row],[Column42]]&amp;IF(Table1[[#This Row],[Column13]]="","",Table1[[#This Row],[Column13]])&amp;IF(Table1[[#This Row],[mod]]="","",Table1[[#This Row],[mod]])</f>
        <v>paragraph__reader_note</v>
      </c>
      <c r="K22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paragraph__reader_note</v>
      </c>
      <c r="L2203" t="s">
        <v>0</v>
      </c>
      <c r="M2203" t="s">
        <v>3441</v>
      </c>
      <c r="Q22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3" s="29"/>
      <c r="AC2203" s="25"/>
      <c r="AD2203" s="41"/>
      <c r="AE2203" s="41"/>
      <c r="AF2203" s="11"/>
      <c r="AH2203" s="7" t="str">
        <f>Table1[[#This Row],[html_tag]]&amp;Table1[[#This Row],[html_type]]&amp;Table1[[#This Row],[html_modifier]]</f>
        <v/>
      </c>
      <c r="AL2203" s="23" t="str">
        <f>IFERROR(_xlfn.XLOOKUP(Table1[[#This Row],[word]],Table57[English style name],Table57[Style type]),"")</f>
        <v/>
      </c>
      <c r="AM2203" s="21"/>
      <c r="AN2203" s="11"/>
    </row>
    <row r="2204" spans="4:44">
      <c r="D2204" t="s">
        <v>3339</v>
      </c>
      <c r="E2204" s="11"/>
      <c r="F22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4" s="13"/>
      <c r="H2204" s="13"/>
      <c r="I2204" s="12" t="str">
        <f>Table1[[#This Row],[type]]</f>
        <v>paragraph</v>
      </c>
      <c r="J2204" s="62" t="str">
        <f>Table1[[#This Row],[Column42]]&amp;IF(Table1[[#This Row],[Column13]]="","",Table1[[#This Row],[Column13]])&amp;IF(Table1[[#This Row],[mod]]="","",Table1[[#This Row],[mod]])</f>
        <v>paragraph__reference__heading</v>
      </c>
      <c r="K22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paragraph__reference__heading</v>
      </c>
      <c r="L2204" t="s">
        <v>0</v>
      </c>
      <c r="M2204" t="s">
        <v>3237</v>
      </c>
      <c r="O2204" t="s">
        <v>100</v>
      </c>
      <c r="Q22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4" s="29"/>
      <c r="AC2204" s="25"/>
      <c r="AD2204" s="41"/>
      <c r="AE2204" s="41"/>
      <c r="AF2204" s="11"/>
      <c r="AH2204" s="7" t="str">
        <f>Table1[[#This Row],[html_tag]]&amp;Table1[[#This Row],[html_type]]&amp;Table1[[#This Row],[html_modifier]]</f>
        <v/>
      </c>
      <c r="AL2204" s="23" t="str">
        <f>IFERROR(_xlfn.XLOOKUP(Table1[[#This Row],[word]],Table57[English style name],Table57[Style type]),"")</f>
        <v/>
      </c>
      <c r="AM2204" s="21"/>
      <c r="AN2204" s="11"/>
    </row>
    <row r="2205" spans="4:44">
      <c r="D2205" t="s">
        <v>3339</v>
      </c>
      <c r="E2205" s="11"/>
      <c r="F22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5" s="13"/>
      <c r="H2205" s="13"/>
      <c r="I2205" s="12" t="str">
        <f>Table1[[#This Row],[type]]</f>
        <v>paragraph</v>
      </c>
      <c r="J2205" s="62" t="str">
        <f>Table1[[#This Row],[Column42]]&amp;IF(Table1[[#This Row],[Column13]]="","",Table1[[#This Row],[Column13]])&amp;IF(Table1[[#This Row],[mod]]="","",Table1[[#This Row],[mod]])</f>
        <v>paragraph__reference__Reference entry – book</v>
      </c>
      <c r="K22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book</v>
      </c>
      <c r="L2205" t="s">
        <v>0</v>
      </c>
      <c r="M2205" t="s">
        <v>3237</v>
      </c>
      <c r="O2205" t="s">
        <v>3321</v>
      </c>
      <c r="P2205" t="s">
        <v>3321</v>
      </c>
      <c r="Q22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5" s="29"/>
      <c r="AC2205" s="25"/>
      <c r="AD2205" s="41"/>
      <c r="AE2205" s="41"/>
      <c r="AF2205" s="11"/>
      <c r="AH2205" s="7" t="str">
        <f>Table1[[#This Row],[html_tag]]&amp;Table1[[#This Row],[html_type]]&amp;Table1[[#This Row],[html_modifier]]</f>
        <v/>
      </c>
      <c r="AL2205" s="23" t="str">
        <f>IFERROR(_xlfn.XLOOKUP(Table1[[#This Row],[word]],Table57[English style name],Table57[Style type]),"")</f>
        <v/>
      </c>
      <c r="AM2205" s="21"/>
      <c r="AN2205" s="11"/>
    </row>
    <row r="2206" spans="4:44">
      <c r="D2206" t="s">
        <v>3339</v>
      </c>
      <c r="E2206" s="11"/>
      <c r="F22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6" s="13"/>
      <c r="H2206" s="13"/>
      <c r="I2206" s="12" t="str">
        <f>Table1[[#This Row],[type]]</f>
        <v>paragraph</v>
      </c>
      <c r="J2206" s="62" t="str">
        <f>Table1[[#This Row],[Column42]]&amp;IF(Table1[[#This Row],[Column13]]="","",Table1[[#This Row],[Column13]])&amp;IF(Table1[[#This Row],[mod]]="","",Table1[[#This Row],[mod]])</f>
        <v>paragraph__reference__Reference entry – dataset</v>
      </c>
      <c r="K22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dataset</v>
      </c>
      <c r="L2206" t="s">
        <v>0</v>
      </c>
      <c r="M2206" t="s">
        <v>3237</v>
      </c>
      <c r="O2206" t="s">
        <v>3325</v>
      </c>
      <c r="P2206" t="s">
        <v>3325</v>
      </c>
      <c r="Q22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6" s="29"/>
      <c r="AC2206" s="25"/>
      <c r="AD2206" s="41"/>
      <c r="AE2206" s="41"/>
      <c r="AF2206" s="11"/>
      <c r="AH2206" s="7" t="str">
        <f>Table1[[#This Row],[html_tag]]&amp;Table1[[#This Row],[html_type]]&amp;Table1[[#This Row],[html_modifier]]</f>
        <v/>
      </c>
      <c r="AL2206" s="23" t="str">
        <f>IFERROR(_xlfn.XLOOKUP(Table1[[#This Row],[word]],Table57[English style name],Table57[Style type]),"")</f>
        <v/>
      </c>
      <c r="AM2206" s="21"/>
      <c r="AN2206" s="11"/>
    </row>
    <row r="2207" spans="4:44">
      <c r="D2207" t="s">
        <v>3339</v>
      </c>
      <c r="E2207" s="11"/>
      <c r="F22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7" s="13"/>
      <c r="H2207" s="13"/>
      <c r="I2207" s="12" t="str">
        <f>Table1[[#This Row],[type]]</f>
        <v>paragraph</v>
      </c>
      <c r="J2207" s="62" t="str">
        <f>Table1[[#This Row],[Column42]]&amp;IF(Table1[[#This Row],[Column13]]="","",Table1[[#This Row],[Column13]])&amp;IF(Table1[[#This Row],[mod]]="","",Table1[[#This Row],[mod]])</f>
        <v>paragraph__reference__Reference entry – journal</v>
      </c>
      <c r="K22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journal</v>
      </c>
      <c r="L2207" t="s">
        <v>0</v>
      </c>
      <c r="M2207" t="s">
        <v>3237</v>
      </c>
      <c r="O2207" t="s">
        <v>3322</v>
      </c>
      <c r="P2207" t="s">
        <v>3322</v>
      </c>
      <c r="Q22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7" s="29"/>
      <c r="AC2207" s="25"/>
      <c r="AD2207" s="41"/>
      <c r="AE2207" s="41"/>
      <c r="AF2207" s="11"/>
      <c r="AH2207" s="7" t="str">
        <f>Table1[[#This Row],[html_tag]]&amp;Table1[[#This Row],[html_type]]&amp;Table1[[#This Row],[html_modifier]]</f>
        <v/>
      </c>
      <c r="AL2207" s="23" t="str">
        <f>IFERROR(_xlfn.XLOOKUP(Table1[[#This Row],[word]],Table57[English style name],Table57[Style type]),"")</f>
        <v/>
      </c>
      <c r="AM2207" s="21"/>
      <c r="AN2207" s="11"/>
    </row>
    <row r="2208" spans="4:44">
      <c r="D2208" t="s">
        <v>3339</v>
      </c>
      <c r="E2208" s="11"/>
      <c r="F22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8" s="13"/>
      <c r="H2208" s="13"/>
      <c r="I2208" s="12" t="str">
        <f>Table1[[#This Row],[type]]</f>
        <v>paragraph</v>
      </c>
      <c r="J2208" s="62" t="str">
        <f>Table1[[#This Row],[Column42]]&amp;IF(Table1[[#This Row],[Column13]]="","",Table1[[#This Row],[Column13]])&amp;IF(Table1[[#This Row],[mod]]="","",Table1[[#This Row],[mod]])</f>
        <v>paragraph__reference__Reference entry – report</v>
      </c>
      <c r="K22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report</v>
      </c>
      <c r="L2208" t="s">
        <v>0</v>
      </c>
      <c r="M2208" t="s">
        <v>3237</v>
      </c>
      <c r="O2208" t="s">
        <v>3324</v>
      </c>
      <c r="P2208" t="s">
        <v>3324</v>
      </c>
      <c r="Q22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8" s="29"/>
      <c r="AC2208" s="25"/>
      <c r="AD2208" s="41"/>
      <c r="AE2208" s="41"/>
      <c r="AF2208" s="11"/>
      <c r="AH2208" s="7" t="str">
        <f>Table1[[#This Row],[html_tag]]&amp;Table1[[#This Row],[html_type]]&amp;Table1[[#This Row],[html_modifier]]</f>
        <v/>
      </c>
      <c r="AL2208" s="23" t="str">
        <f>IFERROR(_xlfn.XLOOKUP(Table1[[#This Row],[word]],Table57[English style name],Table57[Style type]),"")</f>
        <v/>
      </c>
      <c r="AM2208" s="21"/>
      <c r="AN2208" s="11"/>
    </row>
    <row r="2209" spans="3:44">
      <c r="D2209" t="s">
        <v>3339</v>
      </c>
      <c r="E2209" s="11"/>
      <c r="F22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9" s="13"/>
      <c r="H2209" s="13"/>
      <c r="I2209" s="12" t="str">
        <f>Table1[[#This Row],[type]]</f>
        <v>paragraph</v>
      </c>
      <c r="J2209" s="62" t="str">
        <f>Table1[[#This Row],[Column42]]&amp;IF(Table1[[#This Row],[Column13]]="","",Table1[[#This Row],[Column13]])&amp;IF(Table1[[#This Row],[mod]]="","",Table1[[#This Row],[mod]])</f>
        <v>paragraph__reference__Reference entry – website</v>
      </c>
      <c r="K22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website</v>
      </c>
      <c r="L2209" t="s">
        <v>0</v>
      </c>
      <c r="M2209" t="s">
        <v>3237</v>
      </c>
      <c r="O2209" t="s">
        <v>3323</v>
      </c>
      <c r="P2209" t="s">
        <v>3323</v>
      </c>
      <c r="Q22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9" s="29"/>
      <c r="AC2209" s="25"/>
      <c r="AD2209" s="41"/>
      <c r="AE2209" s="41"/>
      <c r="AF2209" s="11"/>
      <c r="AH2209" s="7" t="str">
        <f>Table1[[#This Row],[html_tag]]&amp;Table1[[#This Row],[html_type]]&amp;Table1[[#This Row],[html_modifier]]</f>
        <v/>
      </c>
      <c r="AL2209" s="23" t="str">
        <f>IFERROR(_xlfn.XLOOKUP(Table1[[#This Row],[word]],Table57[English style name],Table57[Style type]),"")</f>
        <v/>
      </c>
      <c r="AM2209" s="21"/>
      <c r="AN2209" s="11"/>
    </row>
    <row r="2210" spans="3:44">
      <c r="D2210" t="s">
        <v>804</v>
      </c>
      <c r="E2210" s="11"/>
      <c r="F22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0" s="13"/>
      <c r="H2210" s="13"/>
      <c r="I2210" s="12" t="str">
        <f>Table1[[#This Row],[type]]</f>
        <v>paragraph</v>
      </c>
      <c r="J2210" s="62" t="str">
        <f>Table1[[#This Row],[Column42]]&amp;IF(Table1[[#This Row],[Column13]]="","",Table1[[#This Row],[Column13]])&amp;IF(Table1[[#This Row],[mod]]="","",Table1[[#This Row],[mod]])</f>
        <v>paragraph__reflective__body</v>
      </c>
      <c r="K22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paragraph__reflective__body</v>
      </c>
      <c r="L2210" t="s">
        <v>0</v>
      </c>
      <c r="M2210" t="s">
        <v>3435</v>
      </c>
      <c r="O2210" t="s">
        <v>337</v>
      </c>
      <c r="Q22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0" s="80"/>
      <c r="AC2210" s="25"/>
      <c r="AD2210" s="41"/>
      <c r="AE2210" s="41"/>
      <c r="AF2210" s="11" t="s">
        <v>239</v>
      </c>
      <c r="AH2210" s="7" t="str">
        <f>Table1[[#This Row],[html_tag]]&amp;Table1[[#This Row],[html_type]]&amp;Table1[[#This Row],[html_modifier]]</f>
        <v/>
      </c>
      <c r="AL2210" s="23" t="str">
        <f>IFERROR(_xlfn.XLOOKUP(Table1[[#This Row],[word]],Table57[English style name],Table57[Style type]),"")</f>
        <v/>
      </c>
      <c r="AM2210" s="21"/>
      <c r="AN2210" s="11"/>
    </row>
    <row r="2211" spans="3:44">
      <c r="C2211">
        <v>1</v>
      </c>
      <c r="D2211" t="s">
        <v>3271</v>
      </c>
      <c r="E2211" s="11"/>
      <c r="F22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1" s="13"/>
      <c r="H2211" s="13"/>
      <c r="I2211" s="12" t="str">
        <f>Table1[[#This Row],[type]]</f>
        <v>paragraph</v>
      </c>
      <c r="J2211" s="62" t="str">
        <f>Table1[[#This Row],[Column42]]&amp;IF(Table1[[#This Row],[Column13]]="","",Table1[[#This Row],[Column13]])&amp;IF(Table1[[#This Row],[mod]]="","",Table1[[#This Row],[mod]])</f>
        <v>paragraph__revision</v>
      </c>
      <c r="K22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paragraph__revision</v>
      </c>
      <c r="L2211" t="s">
        <v>0</v>
      </c>
      <c r="M2211" t="s">
        <v>3379</v>
      </c>
      <c r="P2211" t="s">
        <v>858</v>
      </c>
      <c r="Q22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1" s="29"/>
      <c r="AC2211" s="25"/>
      <c r="AD2211" s="41"/>
      <c r="AE2211" s="41"/>
      <c r="AF2211" s="11" t="s">
        <v>157</v>
      </c>
      <c r="AG2211" t="s">
        <v>3274</v>
      </c>
      <c r="AH2211" s="1" t="str">
        <f>Table1[[#This Row],[html_tag]]&amp;Table1[[#This Row],[html_type]]&amp;Table1[[#This Row],[html_modifier]]</f>
        <v/>
      </c>
      <c r="AL2211" s="22" t="str">
        <f>IFERROR(_xlfn.XLOOKUP(Table1[[#This Row],[word]],Table57[English style name],Table57[Style type]),"")</f>
        <v>Paragraph</v>
      </c>
      <c r="AM2211" s="20" t="s">
        <v>858</v>
      </c>
      <c r="AN2211" s="11"/>
    </row>
    <row r="2212" spans="3:44">
      <c r="E2212" s="11"/>
      <c r="F22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2" s="13" t="s">
        <v>2992</v>
      </c>
      <c r="H2212" s="13" t="s">
        <v>1</v>
      </c>
      <c r="I2212" s="12" t="str">
        <f>Table1[[#This Row],[type]]</f>
        <v>paragraph</v>
      </c>
      <c r="J2212" s="62" t="str">
        <f>Table1[[#This Row],[Column42]]&amp;IF(Table1[[#This Row],[Column13]]="","",Table1[[#This Row],[Column13]])&amp;IF(Table1[[#This Row],[mod]]="","",Table1[[#This Row],[mod]])</f>
        <v>paragraph__right</v>
      </c>
      <c r="K22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paragraph__right</v>
      </c>
      <c r="L2212" t="s">
        <v>0</v>
      </c>
      <c r="N2212" t="s">
        <v>617</v>
      </c>
      <c r="P2212" s="6" t="s">
        <v>1501</v>
      </c>
      <c r="Q22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2" s="29"/>
      <c r="AC2212" s="25"/>
      <c r="AD2212" s="41"/>
      <c r="AE2212" s="41"/>
      <c r="AF2212" s="11"/>
      <c r="AH2212" s="1" t="str">
        <f>Table1[[#This Row],[html_tag]]&amp;Table1[[#This Row],[html_type]]&amp;Table1[[#This Row],[html_modifier]]</f>
        <v/>
      </c>
      <c r="AL2212" s="22" t="str">
        <f>IFERROR(_xlfn.XLOOKUP(Table1[[#This Row],[word]],Table57[English style name],Table57[Style type]),"")</f>
        <v/>
      </c>
      <c r="AM2212" s="20"/>
      <c r="AN2212" s="11"/>
      <c r="AQ2212" s="6" t="s">
        <v>1501</v>
      </c>
      <c r="AR2212" t="s">
        <v>1497</v>
      </c>
    </row>
    <row r="2213" spans="3:44">
      <c r="E2213" s="11"/>
      <c r="F22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3" s="13" t="s">
        <v>2992</v>
      </c>
      <c r="H2213" s="13" t="s">
        <v>1</v>
      </c>
      <c r="I2213" s="12" t="str">
        <f>Table1[[#This Row],[type]]</f>
        <v>paragraph</v>
      </c>
      <c r="J2213" s="62" t="str">
        <f>Table1[[#This Row],[Column42]]&amp;IF(Table1[[#This Row],[Column13]]="","",Table1[[#This Row],[Column13]])&amp;IF(Table1[[#This Row],[mod]]="","",Table1[[#This Row],[mod]])</f>
        <v>paragraph__right</v>
      </c>
      <c r="K22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paragraph__right</v>
      </c>
      <c r="L2213" t="s">
        <v>0</v>
      </c>
      <c r="N2213" t="s">
        <v>617</v>
      </c>
      <c r="P2213" s="6" t="s">
        <v>1504</v>
      </c>
      <c r="Q22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3" s="29"/>
      <c r="AC2213" s="25"/>
      <c r="AD2213" s="41"/>
      <c r="AE2213" s="41"/>
      <c r="AF2213" s="11"/>
      <c r="AH2213" s="1" t="str">
        <f>Table1[[#This Row],[html_tag]]&amp;Table1[[#This Row],[html_type]]&amp;Table1[[#This Row],[html_modifier]]</f>
        <v/>
      </c>
      <c r="AL2213" s="22" t="str">
        <f>IFERROR(_xlfn.XLOOKUP(Table1[[#This Row],[word]],Table57[English style name],Table57[Style type]),"")</f>
        <v/>
      </c>
      <c r="AM2213" s="20"/>
      <c r="AN2213" s="11"/>
      <c r="AQ2213" s="6" t="s">
        <v>1504</v>
      </c>
      <c r="AR2213" t="s">
        <v>1497</v>
      </c>
    </row>
    <row r="2214" spans="3:44">
      <c r="D2214" t="s">
        <v>3362</v>
      </c>
      <c r="E2214" s="11"/>
      <c r="F22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4" s="13"/>
      <c r="H2214" s="13"/>
      <c r="I2214" s="12" t="str">
        <f>Table1[[#This Row],[type]]</f>
        <v>paragraph</v>
      </c>
      <c r="J2214" s="62" t="str">
        <f>Table1[[#This Row],[Column42]]&amp;IF(Table1[[#This Row],[Column13]]="","",Table1[[#This Row],[Column13]])&amp;IF(Table1[[#This Row],[mod]]="","",Table1[[#This Row],[mod]])</f>
        <v>paragraph__runin__heading</v>
      </c>
      <c r="K22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paragraph__runin__heading</v>
      </c>
      <c r="L2214" t="s">
        <v>0</v>
      </c>
      <c r="M2214" t="s">
        <v>3390</v>
      </c>
      <c r="O2214" t="s">
        <v>100</v>
      </c>
      <c r="P2214" t="s">
        <v>3307</v>
      </c>
      <c r="Q22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4" s="29"/>
      <c r="AC2214" s="25"/>
      <c r="AD2214" s="41"/>
      <c r="AE2214" s="41"/>
      <c r="AF2214" s="11"/>
      <c r="AH2214" s="7" t="str">
        <f>Table1[[#This Row],[html_tag]]&amp;Table1[[#This Row],[html_type]]&amp;Table1[[#This Row],[html_modifier]]</f>
        <v/>
      </c>
      <c r="AL2214" s="23" t="str">
        <f>IFERROR(_xlfn.XLOOKUP(Table1[[#This Row],[word]],Table57[English style name],Table57[Style type]),"")</f>
        <v/>
      </c>
      <c r="AM2214" s="21"/>
      <c r="AN2214" s="11"/>
    </row>
    <row r="2215" spans="3:44">
      <c r="D2215" t="s">
        <v>3349</v>
      </c>
      <c r="E2215" s="11"/>
      <c r="F22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5" s="13"/>
      <c r="H2215" s="13"/>
      <c r="I2215" s="12" t="str">
        <f>Table1[[#This Row],[type]]</f>
        <v>paragraph</v>
      </c>
      <c r="J2215" s="62" t="str">
        <f>Table1[[#This Row],[Column42]]&amp;IF(Table1[[#This Row],[Column13]]="","",Table1[[#This Row],[Column13]])&amp;IF(Table1[[#This Row],[mod]]="","",Table1[[#This Row],[mod]])</f>
        <v>paragraph__running_foot</v>
      </c>
      <c r="K22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paragraph__running_foot</v>
      </c>
      <c r="L2215" t="s">
        <v>0</v>
      </c>
      <c r="M2215" t="s">
        <v>3439</v>
      </c>
      <c r="Q22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5" s="29"/>
      <c r="AC2215" s="25"/>
      <c r="AD2215" s="41"/>
      <c r="AE2215" s="41"/>
      <c r="AF2215" s="11"/>
      <c r="AH2215" s="7" t="str">
        <f>Table1[[#This Row],[html_tag]]&amp;Table1[[#This Row],[html_type]]&amp;Table1[[#This Row],[html_modifier]]</f>
        <v/>
      </c>
      <c r="AL2215" s="23" t="str">
        <f>IFERROR(_xlfn.XLOOKUP(Table1[[#This Row],[word]],Table57[English style name],Table57[Style type]),"")</f>
        <v/>
      </c>
      <c r="AM2215" s="21"/>
      <c r="AN2215" s="11"/>
    </row>
    <row r="2216" spans="3:44">
      <c r="D2216" t="s">
        <v>3349</v>
      </c>
      <c r="E2216" s="11"/>
      <c r="F22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6" s="13"/>
      <c r="H2216" s="13"/>
      <c r="I2216" s="12" t="str">
        <f>Table1[[#This Row],[type]]</f>
        <v>paragraph</v>
      </c>
      <c r="J2216" s="62" t="str">
        <f>Table1[[#This Row],[Column42]]&amp;IF(Table1[[#This Row],[Column13]]="","",Table1[[#This Row],[Column13]])&amp;IF(Table1[[#This Row],[mod]]="","",Table1[[#This Row],[mod]])</f>
        <v>paragraph__running_foot</v>
      </c>
      <c r="K22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paragraph__running_foot</v>
      </c>
      <c r="L2216" t="s">
        <v>0</v>
      </c>
      <c r="M2216" t="s">
        <v>3439</v>
      </c>
      <c r="Q22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6" s="29"/>
      <c r="AC2216" s="25"/>
      <c r="AD2216" s="41"/>
      <c r="AE2216" s="41"/>
      <c r="AF2216" s="11"/>
      <c r="AH2216" s="7" t="str">
        <f>Table1[[#This Row],[html_tag]]&amp;Table1[[#This Row],[html_type]]&amp;Table1[[#This Row],[html_modifier]]</f>
        <v/>
      </c>
      <c r="AL2216" s="23" t="str">
        <f>IFERROR(_xlfn.XLOOKUP(Table1[[#This Row],[word]],Table57[English style name],Table57[Style type]),"")</f>
        <v/>
      </c>
      <c r="AM2216" s="21"/>
      <c r="AN2216" s="11"/>
    </row>
    <row r="2217" spans="3:44">
      <c r="D2217" t="s">
        <v>3349</v>
      </c>
      <c r="E2217" s="11"/>
      <c r="F22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7" s="13"/>
      <c r="H2217" s="13"/>
      <c r="I2217" s="12" t="str">
        <f>Table1[[#This Row],[type]]</f>
        <v>paragraph</v>
      </c>
      <c r="J2217" s="62" t="str">
        <f>Table1[[#This Row],[Column42]]&amp;IF(Table1[[#This Row],[Column13]]="","",Table1[[#This Row],[Column13]])&amp;IF(Table1[[#This Row],[mod]]="","",Table1[[#This Row],[mod]])</f>
        <v>paragraph__running_head</v>
      </c>
      <c r="K22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paragraph__running_head</v>
      </c>
      <c r="L2217" t="s">
        <v>0</v>
      </c>
      <c r="M2217" t="s">
        <v>3440</v>
      </c>
      <c r="Q22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7" s="29"/>
      <c r="AC2217" s="25"/>
      <c r="AD2217" s="41"/>
      <c r="AE2217" s="41"/>
      <c r="AF2217" s="11"/>
      <c r="AH2217" s="7" t="str">
        <f>Table1[[#This Row],[html_tag]]&amp;Table1[[#This Row],[html_type]]&amp;Table1[[#This Row],[html_modifier]]</f>
        <v/>
      </c>
      <c r="AL2217" s="23" t="str">
        <f>IFERROR(_xlfn.XLOOKUP(Table1[[#This Row],[word]],Table57[English style name],Table57[Style type]),"")</f>
        <v/>
      </c>
      <c r="AM2217" s="21"/>
      <c r="AN2217" s="11"/>
    </row>
    <row r="2218" spans="3:44">
      <c r="D2218" t="s">
        <v>3349</v>
      </c>
      <c r="E2218" s="11"/>
      <c r="F22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8" s="13"/>
      <c r="H2218" s="13"/>
      <c r="I2218" s="12" t="str">
        <f>Table1[[#This Row],[type]]</f>
        <v>paragraph</v>
      </c>
      <c r="J2218" s="62" t="str">
        <f>Table1[[#This Row],[Column42]]&amp;IF(Table1[[#This Row],[Column13]]="","",Table1[[#This Row],[Column13]])&amp;IF(Table1[[#This Row],[mod]]="","",Table1[[#This Row],[mod]])</f>
        <v>paragraph__running_head__title</v>
      </c>
      <c r="K22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paragraph__running_head__title</v>
      </c>
      <c r="L2218" t="s">
        <v>0</v>
      </c>
      <c r="M2218" t="s">
        <v>3440</v>
      </c>
      <c r="O2218" t="s">
        <v>333</v>
      </c>
      <c r="Q22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8" s="29"/>
      <c r="AC2218" s="25"/>
      <c r="AD2218" s="41"/>
      <c r="AE2218" s="41"/>
      <c r="AF2218" s="11"/>
      <c r="AH2218" s="7" t="str">
        <f>Table1[[#This Row],[html_tag]]&amp;Table1[[#This Row],[html_type]]&amp;Table1[[#This Row],[html_modifier]]</f>
        <v/>
      </c>
      <c r="AL2218" s="23" t="str">
        <f>IFERROR(_xlfn.XLOOKUP(Table1[[#This Row],[word]],Table57[English style name],Table57[Style type]),"")</f>
        <v/>
      </c>
      <c r="AM2218" s="21"/>
      <c r="AN2218" s="11"/>
    </row>
    <row r="2219" spans="3:44">
      <c r="E2219" s="11"/>
      <c r="F22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9" s="13"/>
      <c r="H2219" s="13"/>
      <c r="I2219" s="12" t="str">
        <f>Table1[[#This Row],[type]]</f>
        <v>paragraph</v>
      </c>
      <c r="J2219" s="62" t="str">
        <f>Table1[[#This Row],[Column42]]&amp;IF(Table1[[#This Row],[Column13]]="","",Table1[[#This Row],[Column13]])&amp;IF(Table1[[#This Row],[mod]]="","",Table1[[#This Row],[mod]])</f>
        <v>paragraph__section</v>
      </c>
      <c r="K22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</v>
      </c>
      <c r="L2219" t="s">
        <v>0</v>
      </c>
      <c r="M2219" t="s">
        <v>493</v>
      </c>
      <c r="Q22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9" s="29"/>
      <c r="AC2219" s="25"/>
      <c r="AD2219" s="41"/>
      <c r="AE2219" s="41"/>
      <c r="AF2219" s="11" t="s">
        <v>264</v>
      </c>
      <c r="AH2219" s="1" t="str">
        <f>Table1[[#This Row],[html_tag]]&amp;Table1[[#This Row],[html_type]]&amp;Table1[[#This Row],[html_modifier]]</f>
        <v>&lt;section&gt;</v>
      </c>
      <c r="AI2219" t="s">
        <v>264</v>
      </c>
      <c r="AL2219" s="22" t="str">
        <f>IFERROR(_xlfn.XLOOKUP(Table1[[#This Row],[word]],Table57[English style name],Table57[Style type]),"")</f>
        <v/>
      </c>
      <c r="AM2219" s="20"/>
      <c r="AN2219" s="11"/>
    </row>
    <row r="2220" spans="3:44">
      <c r="D2220" t="s">
        <v>3362</v>
      </c>
      <c r="E2220" s="11"/>
      <c r="F22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0" s="13"/>
      <c r="H2220" s="13"/>
      <c r="I2220" s="12" t="str">
        <f>Table1[[#This Row],[type]]</f>
        <v>paragraph</v>
      </c>
      <c r="J2220" s="62" t="str">
        <f>Table1[[#This Row],[Column42]]&amp;IF(Table1[[#This Row],[Column13]]="","",Table1[[#This Row],[Column13]])&amp;IF(Table1[[#This Row],[mod]]="","",Table1[[#This Row],[mod]])</f>
        <v>paragraph__section__body</v>
      </c>
      <c r="K22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paragraph__section__body</v>
      </c>
      <c r="L2220" t="s">
        <v>0</v>
      </c>
      <c r="M2220" t="s">
        <v>493</v>
      </c>
      <c r="O2220" t="s">
        <v>337</v>
      </c>
      <c r="Q22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0" s="80"/>
      <c r="AC2220" s="25"/>
      <c r="AD2220" s="41"/>
      <c r="AE2220" s="41"/>
      <c r="AF2220" s="11"/>
      <c r="AH2220" s="7" t="str">
        <f>Table1[[#This Row],[html_tag]]&amp;Table1[[#This Row],[html_type]]&amp;Table1[[#This Row],[html_modifier]]</f>
        <v/>
      </c>
      <c r="AL2220" s="23" t="str">
        <f>IFERROR(_xlfn.XLOOKUP(Table1[[#This Row],[word]],Table57[English style name],Table57[Style type]),"")</f>
        <v/>
      </c>
      <c r="AM2220" s="21"/>
      <c r="AN2220" s="11"/>
    </row>
    <row r="2221" spans="3:44">
      <c r="D2221" t="s">
        <v>3362</v>
      </c>
      <c r="E2221" s="11"/>
      <c r="F22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1" s="13"/>
      <c r="H2221" s="13"/>
      <c r="I2221" s="12" t="str">
        <f>Table1[[#This Row],[type]]</f>
        <v>paragraph</v>
      </c>
      <c r="J2221" s="62" t="str">
        <f>Table1[[#This Row],[Column42]]&amp;IF(Table1[[#This Row],[Column13]]="","",Table1[[#This Row],[Column13]])&amp;IF(Table1[[#This Row],[mod]]="","",Table1[[#This Row],[mod]])</f>
        <v>paragraph__section__heading</v>
      </c>
      <c r="K22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paragraph__section__heading</v>
      </c>
      <c r="L2221" t="s">
        <v>0</v>
      </c>
      <c r="M2221" t="s">
        <v>493</v>
      </c>
      <c r="O2221" t="s">
        <v>100</v>
      </c>
      <c r="Q22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1" s="29"/>
      <c r="AC2221" s="25"/>
      <c r="AD2221" s="41"/>
      <c r="AE2221" s="41"/>
      <c r="AF2221" s="11"/>
      <c r="AH2221" s="7" t="str">
        <f>Table1[[#This Row],[html_tag]]&amp;Table1[[#This Row],[html_type]]&amp;Table1[[#This Row],[html_modifier]]</f>
        <v/>
      </c>
      <c r="AL2221" s="23" t="str">
        <f>IFERROR(_xlfn.XLOOKUP(Table1[[#This Row],[word]],Table57[English style name],Table57[Style type]),"")</f>
        <v/>
      </c>
      <c r="AM2221" s="21"/>
      <c r="AN2221" s="11"/>
    </row>
    <row r="2222" spans="3:44">
      <c r="D2222" t="s">
        <v>3362</v>
      </c>
      <c r="E2222" s="11"/>
      <c r="F22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2" s="13"/>
      <c r="H2222" s="13"/>
      <c r="I2222" s="12" t="str">
        <f>Table1[[#This Row],[type]]</f>
        <v>paragraph</v>
      </c>
      <c r="J2222" s="62" t="str">
        <f>Table1[[#This Row],[Column42]]&amp;IF(Table1[[#This Row],[Column13]]="","",Table1[[#This Row],[Column13]])&amp;IF(Table1[[#This Row],[mod]]="","",Table1[[#This Row],[mod]])</f>
        <v>paragraph__section__heading</v>
      </c>
      <c r="K22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paragraph__section__heading</v>
      </c>
      <c r="L2222" t="s">
        <v>0</v>
      </c>
      <c r="M2222" t="s">
        <v>493</v>
      </c>
      <c r="O2222" t="s">
        <v>100</v>
      </c>
      <c r="Q22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2" s="29"/>
      <c r="AC2222" s="25"/>
      <c r="AD2222" s="41"/>
      <c r="AE2222" s="41"/>
      <c r="AF2222" s="11" t="s">
        <v>1138</v>
      </c>
      <c r="AH2222" s="7" t="str">
        <f>Table1[[#This Row],[html_tag]]&amp;Table1[[#This Row],[html_type]]&amp;Table1[[#This Row],[html_modifier]]</f>
        <v/>
      </c>
      <c r="AL2222" s="23" t="str">
        <f>IFERROR(_xlfn.XLOOKUP(Table1[[#This Row],[word]],Table57[English style name],Table57[Style type]),"")</f>
        <v/>
      </c>
      <c r="AM2222" s="21"/>
      <c r="AN2222" s="11"/>
    </row>
    <row r="2223" spans="3:44">
      <c r="D2223" t="s">
        <v>3299</v>
      </c>
      <c r="E2223" s="11"/>
      <c r="F22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3" s="13"/>
      <c r="H2223" s="13"/>
      <c r="I2223" s="12" t="str">
        <f>Table1[[#This Row],[type]]</f>
        <v>paragraph</v>
      </c>
      <c r="J2223" s="62" t="str">
        <f>Table1[[#This Row],[Column42]]&amp;IF(Table1[[#This Row],[Column13]]="","",Table1[[#This Row],[Column13]])&amp;IF(Table1[[#This Row],[mod]]="","",Table1[[#This Row],[mod]])</f>
        <v>paragraph__series__subtitle</v>
      </c>
      <c r="K22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paragraph__series__subtitle</v>
      </c>
      <c r="L2223" t="s">
        <v>0</v>
      </c>
      <c r="M2223" t="s">
        <v>3400</v>
      </c>
      <c r="O2223" t="s">
        <v>3359</v>
      </c>
      <c r="Q22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3" s="29"/>
      <c r="AC2223" s="25"/>
      <c r="AD2223" s="41"/>
      <c r="AE2223" s="41"/>
      <c r="AF2223" s="11"/>
      <c r="AH2223" s="7" t="str">
        <f>Table1[[#This Row],[html_tag]]&amp;Table1[[#This Row],[html_type]]&amp;Table1[[#This Row],[html_modifier]]</f>
        <v/>
      </c>
      <c r="AL2223" s="23" t="str">
        <f>IFERROR(_xlfn.XLOOKUP(Table1[[#This Row],[word]],Table57[English style name],Table57[Style type]),"")</f>
        <v/>
      </c>
      <c r="AM2223" s="21"/>
      <c r="AN2223" s="11"/>
    </row>
    <row r="2224" spans="3:44">
      <c r="D2224" t="s">
        <v>3299</v>
      </c>
      <c r="E2224" s="11"/>
      <c r="F22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4" s="13"/>
      <c r="H2224" s="13"/>
      <c r="I2224" s="12" t="str">
        <f>Table1[[#This Row],[type]]</f>
        <v>paragraph</v>
      </c>
      <c r="J2224" s="62" t="str">
        <f>Table1[[#This Row],[Column42]]&amp;IF(Table1[[#This Row],[Column13]]="","",Table1[[#This Row],[Column13]])&amp;IF(Table1[[#This Row],[mod]]="","",Table1[[#This Row],[mod]])</f>
        <v>paragraph__series__title</v>
      </c>
      <c r="K22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paragraph__series__title</v>
      </c>
      <c r="L2224" t="s">
        <v>0</v>
      </c>
      <c r="M2224" t="s">
        <v>3400</v>
      </c>
      <c r="O2224" t="s">
        <v>333</v>
      </c>
      <c r="Q22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4" s="29"/>
      <c r="AC2224" s="25"/>
      <c r="AD2224" s="41"/>
      <c r="AE2224" s="41"/>
      <c r="AF2224" s="11"/>
      <c r="AH2224" s="7" t="str">
        <f>Table1[[#This Row],[html_tag]]&amp;Table1[[#This Row],[html_type]]&amp;Table1[[#This Row],[html_modifier]]</f>
        <v/>
      </c>
      <c r="AL2224" s="23" t="str">
        <f>IFERROR(_xlfn.XLOOKUP(Table1[[#This Row],[word]],Table57[English style name],Table57[Style type]),"")</f>
        <v/>
      </c>
      <c r="AM2224" s="21"/>
      <c r="AN2224" s="11"/>
    </row>
    <row r="2225" spans="4:44">
      <c r="D2225" t="s">
        <v>3362</v>
      </c>
      <c r="E2225" s="11"/>
      <c r="F22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5" s="13"/>
      <c r="H2225" s="13"/>
      <c r="I2225" s="12" t="str">
        <f>Table1[[#This Row],[type]]</f>
        <v>paragraph</v>
      </c>
      <c r="J2225" s="62" t="str">
        <f>Table1[[#This Row],[Column42]]&amp;IF(Table1[[#This Row],[Column13]]="","",Table1[[#This Row],[Column13]])&amp;IF(Table1[[#This Row],[mod]]="","",Table1[[#This Row],[mod]])</f>
        <v>paragraph__sidebar__body</v>
      </c>
      <c r="K22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paragraph__sidebar__body</v>
      </c>
      <c r="L2225" t="s">
        <v>0</v>
      </c>
      <c r="M2225" t="s">
        <v>3146</v>
      </c>
      <c r="O2225" t="s">
        <v>337</v>
      </c>
      <c r="Q22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5" s="29"/>
      <c r="AC2225" s="25"/>
      <c r="AD2225" s="41"/>
      <c r="AE2225" s="41"/>
      <c r="AF2225" s="11"/>
      <c r="AH2225" s="7" t="str">
        <f>Table1[[#This Row],[html_tag]]&amp;Table1[[#This Row],[html_type]]&amp;Table1[[#This Row],[html_modifier]]</f>
        <v/>
      </c>
      <c r="AL2225" s="23" t="str">
        <f>IFERROR(_xlfn.XLOOKUP(Table1[[#This Row],[word]],Table57[English style name],Table57[Style type]),"")</f>
        <v/>
      </c>
      <c r="AM2225" s="21"/>
      <c r="AN2225" s="11"/>
    </row>
    <row r="2226" spans="4:44">
      <c r="D2226" t="s">
        <v>3362</v>
      </c>
      <c r="E2226" s="11"/>
      <c r="F22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6" s="13"/>
      <c r="H2226" s="13"/>
      <c r="I2226" s="12" t="str">
        <f>Table1[[#This Row],[type]]</f>
        <v>paragraph</v>
      </c>
      <c r="J2226" s="62" t="str">
        <f>Table1[[#This Row],[Column42]]&amp;IF(Table1[[#This Row],[Column13]]="","",Table1[[#This Row],[Column13]])&amp;IF(Table1[[#This Row],[mod]]="","",Table1[[#This Row],[mod]])</f>
        <v>paragraph__sidebar__title</v>
      </c>
      <c r="K22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paragraph__sidebar__title</v>
      </c>
      <c r="L2226" t="s">
        <v>0</v>
      </c>
      <c r="M2226" t="s">
        <v>3146</v>
      </c>
      <c r="O2226" t="s">
        <v>333</v>
      </c>
      <c r="Q22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6" s="29"/>
      <c r="AC2226" s="25"/>
      <c r="AD2226" s="41"/>
      <c r="AE2226" s="41"/>
      <c r="AF2226" s="11"/>
      <c r="AH2226" s="7" t="str">
        <f>Table1[[#This Row],[html_tag]]&amp;Table1[[#This Row],[html_type]]&amp;Table1[[#This Row],[html_modifier]]</f>
        <v/>
      </c>
      <c r="AL2226" s="23" t="str">
        <f>IFERROR(_xlfn.XLOOKUP(Table1[[#This Row],[word]],Table57[English style name],Table57[Style type]),"")</f>
        <v/>
      </c>
      <c r="AM2226" s="21"/>
      <c r="AN2226" s="11"/>
    </row>
    <row r="2227" spans="4:44">
      <c r="D2227" t="s">
        <v>3349</v>
      </c>
      <c r="E2227" s="11"/>
      <c r="F22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7" s="13"/>
      <c r="H2227" s="13"/>
      <c r="I2227" s="12" t="str">
        <f>Table1[[#This Row],[type]]</f>
        <v>paragraph</v>
      </c>
      <c r="J2227" s="62" t="str">
        <f>Table1[[#This Row],[Column42]]&amp;IF(Table1[[#This Row],[Column13]]="","",Table1[[#This Row],[Column13]])&amp;IF(Table1[[#This Row],[mod]]="","",Table1[[#This Row],[mod]])</f>
        <v>paragraph__spine__author</v>
      </c>
      <c r="K22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paragraph__spine__author</v>
      </c>
      <c r="L2227" t="s">
        <v>0</v>
      </c>
      <c r="M2227" t="s">
        <v>3399</v>
      </c>
      <c r="O2227" t="s">
        <v>334</v>
      </c>
      <c r="Q22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7" s="29"/>
      <c r="AC2227" s="25"/>
      <c r="AD2227" s="41"/>
      <c r="AE2227" s="41"/>
      <c r="AF2227" s="11"/>
      <c r="AH2227" s="7" t="str">
        <f>Table1[[#This Row],[html_tag]]&amp;Table1[[#This Row],[html_type]]&amp;Table1[[#This Row],[html_modifier]]</f>
        <v/>
      </c>
      <c r="AL2227" s="23" t="str">
        <f>IFERROR(_xlfn.XLOOKUP(Table1[[#This Row],[word]],Table57[English style name],Table57[Style type]),"")</f>
        <v/>
      </c>
      <c r="AM2227" s="21"/>
      <c r="AN2227" s="11"/>
    </row>
    <row r="2228" spans="4:44">
      <c r="D2228" t="s">
        <v>3349</v>
      </c>
      <c r="E2228" s="11"/>
      <c r="F22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8" s="13"/>
      <c r="H2228" s="13"/>
      <c r="I2228" s="12" t="str">
        <f>Table1[[#This Row],[type]]</f>
        <v>paragraph</v>
      </c>
      <c r="J2228" s="62" t="str">
        <f>Table1[[#This Row],[Column42]]&amp;IF(Table1[[#This Row],[Column13]]="","",Table1[[#This Row],[Column13]])&amp;IF(Table1[[#This Row],[mod]]="","",Table1[[#This Row],[mod]])</f>
        <v>paragraph__spine__title</v>
      </c>
      <c r="K22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paragraph__spine__title</v>
      </c>
      <c r="L2228" t="s">
        <v>0</v>
      </c>
      <c r="M2228" t="s">
        <v>3399</v>
      </c>
      <c r="O2228" t="s">
        <v>333</v>
      </c>
      <c r="Q22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8" s="29"/>
      <c r="AC2228" s="25"/>
      <c r="AD2228" s="41"/>
      <c r="AE2228" s="41"/>
      <c r="AF2228" s="11"/>
      <c r="AH2228" s="7" t="str">
        <f>Table1[[#This Row],[html_tag]]&amp;Table1[[#This Row],[html_type]]&amp;Table1[[#This Row],[html_modifier]]</f>
        <v/>
      </c>
      <c r="AL2228" s="23" t="str">
        <f>IFERROR(_xlfn.XLOOKUP(Table1[[#This Row],[word]],Table57[English style name],Table57[Style type]),"")</f>
        <v/>
      </c>
      <c r="AM2228" s="21"/>
      <c r="AN2228" s="11"/>
    </row>
    <row r="2229" spans="4:44">
      <c r="D2229" t="s">
        <v>3348</v>
      </c>
      <c r="E2229" s="11"/>
      <c r="F22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9" s="13"/>
      <c r="H2229" s="13"/>
      <c r="I2229" s="12" t="str">
        <f>Table1[[#This Row],[type]]</f>
        <v>paragraph</v>
      </c>
      <c r="J2229" s="62" t="str">
        <f>Table1[[#This Row],[Column42]]&amp;IF(Table1[[#This Row],[Column13]]="","",Table1[[#This Row],[Column13]])&amp;IF(Table1[[#This Row],[mod]]="","",Table1[[#This Row],[mod]])</f>
        <v>paragraph__Sponsor acknowledgement</v>
      </c>
      <c r="K22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paragraph__Sponsor acknowledgement</v>
      </c>
      <c r="L2229" t="s">
        <v>0</v>
      </c>
      <c r="O2229" t="s">
        <v>3344</v>
      </c>
      <c r="P2229" t="s">
        <v>3344</v>
      </c>
      <c r="Q22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9" s="29"/>
      <c r="AC2229" s="25"/>
      <c r="AD2229" s="41"/>
      <c r="AE2229" s="41"/>
      <c r="AF2229" s="11"/>
      <c r="AH2229" s="7" t="str">
        <f>Table1[[#This Row],[html_tag]]&amp;Table1[[#This Row],[html_type]]&amp;Table1[[#This Row],[html_modifier]]</f>
        <v/>
      </c>
      <c r="AL2229" s="23" t="str">
        <f>IFERROR(_xlfn.XLOOKUP(Table1[[#This Row],[word]],Table57[English style name],Table57[Style type]),"")</f>
        <v/>
      </c>
      <c r="AM2229" s="21"/>
      <c r="AN2229" s="11"/>
    </row>
    <row r="2230" spans="4:44">
      <c r="E2230" s="11"/>
      <c r="F22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0" s="13" t="s">
        <v>2992</v>
      </c>
      <c r="H2230" s="13" t="s">
        <v>1</v>
      </c>
      <c r="I2230" s="12" t="str">
        <f>Table1[[#This Row],[type]]</f>
        <v>paragraph</v>
      </c>
      <c r="J2230" s="62" t="str">
        <f>Table1[[#This Row],[Column42]]&amp;IF(Table1[[#This Row],[Column13]]="","",Table1[[#This Row],[Column13]])&amp;IF(Table1[[#This Row],[mod]]="","",Table1[[#This Row],[mod]])</f>
        <v>paragraph__subheader</v>
      </c>
      <c r="K22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0" t="s">
        <v>0</v>
      </c>
      <c r="M2230" t="s">
        <v>2686</v>
      </c>
      <c r="P2230" s="6" t="s">
        <v>2686</v>
      </c>
      <c r="Q22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0" s="29"/>
      <c r="AC2230" s="25"/>
      <c r="AD2230" s="41"/>
      <c r="AE2230" s="41"/>
      <c r="AF2230" s="11"/>
      <c r="AH2230" s="1" t="str">
        <f>Table1[[#This Row],[html_tag]]&amp;Table1[[#This Row],[html_type]]&amp;Table1[[#This Row],[html_modifier]]</f>
        <v/>
      </c>
      <c r="AL2230" s="22" t="str">
        <f>IFERROR(_xlfn.XLOOKUP(Table1[[#This Row],[word]],Table57[English style name],Table57[Style type]),"")</f>
        <v/>
      </c>
      <c r="AM2230" s="20"/>
      <c r="AN2230" s="11"/>
      <c r="AQ2230" s="6" t="s">
        <v>2686</v>
      </c>
      <c r="AR2230" t="s">
        <v>2687</v>
      </c>
    </row>
    <row r="2231" spans="4:44">
      <c r="E2231" s="11"/>
      <c r="F22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1" s="13" t="s">
        <v>2992</v>
      </c>
      <c r="H2231" s="13" t="s">
        <v>1</v>
      </c>
      <c r="I2231" s="12" t="str">
        <f>Table1[[#This Row],[type]]</f>
        <v>paragraph</v>
      </c>
      <c r="J2231" s="62" t="str">
        <f>Table1[[#This Row],[Column42]]&amp;IF(Table1[[#This Row],[Column13]]="","",Table1[[#This Row],[Column13]])&amp;IF(Table1[[#This Row],[mod]]="","",Table1[[#This Row],[mod]])</f>
        <v>paragraph__subheader</v>
      </c>
      <c r="K22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1" t="s">
        <v>0</v>
      </c>
      <c r="M2231" t="s">
        <v>2686</v>
      </c>
      <c r="P2231" s="6" t="s">
        <v>2699</v>
      </c>
      <c r="Q22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1" s="29"/>
      <c r="AC2231" s="25"/>
      <c r="AD2231" s="41"/>
      <c r="AE2231" s="41"/>
      <c r="AF2231" s="11"/>
      <c r="AH2231" s="1" t="str">
        <f>Table1[[#This Row],[html_tag]]&amp;Table1[[#This Row],[html_type]]&amp;Table1[[#This Row],[html_modifier]]</f>
        <v/>
      </c>
      <c r="AL2231" s="22" t="str">
        <f>IFERROR(_xlfn.XLOOKUP(Table1[[#This Row],[word]],Table57[English style name],Table57[Style type]),"")</f>
        <v/>
      </c>
      <c r="AM2231" s="20"/>
      <c r="AN2231" s="11"/>
      <c r="AQ2231" s="6" t="s">
        <v>2699</v>
      </c>
      <c r="AR2231" t="s">
        <v>2687</v>
      </c>
    </row>
    <row r="2232" spans="4:44">
      <c r="E2232" s="11"/>
      <c r="F22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2" s="13" t="s">
        <v>2992</v>
      </c>
      <c r="H2232" s="13" t="s">
        <v>1</v>
      </c>
      <c r="I2232" s="12" t="str">
        <f>Table1[[#This Row],[type]]</f>
        <v>paragraph</v>
      </c>
      <c r="J2232" s="62" t="str">
        <f>Table1[[#This Row],[Column42]]&amp;IF(Table1[[#This Row],[Column13]]="","",Table1[[#This Row],[Column13]])&amp;IF(Table1[[#This Row],[mod]]="","",Table1[[#This Row],[mod]])</f>
        <v>paragraph__subheader</v>
      </c>
      <c r="K22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2" t="s">
        <v>0</v>
      </c>
      <c r="M2232" t="s">
        <v>2686</v>
      </c>
      <c r="P2232" s="6" t="s">
        <v>2704</v>
      </c>
      <c r="Q22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2" s="29"/>
      <c r="AC2232" s="25"/>
      <c r="AD2232" s="41"/>
      <c r="AE2232" s="41"/>
      <c r="AF2232" s="11"/>
      <c r="AH2232" s="1" t="str">
        <f>Table1[[#This Row],[html_tag]]&amp;Table1[[#This Row],[html_type]]&amp;Table1[[#This Row],[html_modifier]]</f>
        <v/>
      </c>
      <c r="AL2232" s="22" t="str">
        <f>IFERROR(_xlfn.XLOOKUP(Table1[[#This Row],[word]],Table57[English style name],Table57[Style type]),"")</f>
        <v/>
      </c>
      <c r="AM2232" s="20"/>
      <c r="AN2232" s="11"/>
      <c r="AQ2232" s="6" t="s">
        <v>2704</v>
      </c>
      <c r="AR2232" t="s">
        <v>2687</v>
      </c>
    </row>
    <row r="2233" spans="4:44">
      <c r="E2233" s="11"/>
      <c r="F22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3" s="13" t="s">
        <v>2992</v>
      </c>
      <c r="H2233" s="13" t="s">
        <v>1</v>
      </c>
      <c r="I2233" s="12" t="str">
        <f>Table1[[#This Row],[type]]</f>
        <v>paragraph</v>
      </c>
      <c r="J2233" s="62" t="str">
        <f>Table1[[#This Row],[Column42]]&amp;IF(Table1[[#This Row],[Column13]]="","",Table1[[#This Row],[Column13]])&amp;IF(Table1[[#This Row],[mod]]="","",Table1[[#This Row],[mod]])</f>
        <v>paragraph__subheader</v>
      </c>
      <c r="K22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3" t="s">
        <v>0</v>
      </c>
      <c r="M2233" t="s">
        <v>2686</v>
      </c>
      <c r="P2233" s="6" t="s">
        <v>2700</v>
      </c>
      <c r="Q22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3" s="29"/>
      <c r="AC2233" s="25"/>
      <c r="AD2233" s="41"/>
      <c r="AE2233" s="41"/>
      <c r="AF2233" s="11"/>
      <c r="AH2233" s="1" t="str">
        <f>Table1[[#This Row],[html_tag]]&amp;Table1[[#This Row],[html_type]]&amp;Table1[[#This Row],[html_modifier]]</f>
        <v/>
      </c>
      <c r="AL2233" s="22" t="str">
        <f>IFERROR(_xlfn.XLOOKUP(Table1[[#This Row],[word]],Table57[English style name],Table57[Style type]),"")</f>
        <v/>
      </c>
      <c r="AM2233" s="20"/>
      <c r="AN2233" s="11"/>
      <c r="AQ2233" s="6" t="s">
        <v>2700</v>
      </c>
      <c r="AR2233" t="s">
        <v>2687</v>
      </c>
    </row>
    <row r="2234" spans="4:44">
      <c r="E2234" s="11"/>
      <c r="F22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4" s="13" t="s">
        <v>2992</v>
      </c>
      <c r="H2234" s="13" t="s">
        <v>1</v>
      </c>
      <c r="I2234" s="12" t="str">
        <f>Table1[[#This Row],[type]]</f>
        <v>paragraph</v>
      </c>
      <c r="J2234" s="62" t="str">
        <f>Table1[[#This Row],[Column42]]&amp;IF(Table1[[#This Row],[Column13]]="","",Table1[[#This Row],[Column13]])&amp;IF(Table1[[#This Row],[mod]]="","",Table1[[#This Row],[mod]])</f>
        <v>paragraph__subheader</v>
      </c>
      <c r="K22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4" t="s">
        <v>0</v>
      </c>
      <c r="M2234" t="s">
        <v>2686</v>
      </c>
      <c r="P2234" s="6" t="s">
        <v>2701</v>
      </c>
      <c r="Q22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4" s="29"/>
      <c r="AC2234" s="25"/>
      <c r="AD2234" s="41"/>
      <c r="AE2234" s="41"/>
      <c r="AF2234" s="11"/>
      <c r="AH2234" s="1" t="str">
        <f>Table1[[#This Row],[html_tag]]&amp;Table1[[#This Row],[html_type]]&amp;Table1[[#This Row],[html_modifier]]</f>
        <v/>
      </c>
      <c r="AL2234" s="22" t="str">
        <f>IFERROR(_xlfn.XLOOKUP(Table1[[#This Row],[word]],Table57[English style name],Table57[Style type]),"")</f>
        <v/>
      </c>
      <c r="AM2234" s="20"/>
      <c r="AN2234" s="11"/>
      <c r="AQ2234" s="6" t="s">
        <v>2701</v>
      </c>
      <c r="AR2234" t="s">
        <v>2687</v>
      </c>
    </row>
    <row r="2235" spans="4:44">
      <c r="E2235" s="11"/>
      <c r="F22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5" s="13" t="s">
        <v>2992</v>
      </c>
      <c r="H2235" s="13" t="s">
        <v>1</v>
      </c>
      <c r="I2235" s="12" t="str">
        <f>Table1[[#This Row],[type]]</f>
        <v>paragraph</v>
      </c>
      <c r="J2235" s="62" t="str">
        <f>Table1[[#This Row],[Column42]]&amp;IF(Table1[[#This Row],[Column13]]="","",Table1[[#This Row],[Column13]])&amp;IF(Table1[[#This Row],[mod]]="","",Table1[[#This Row],[mod]])</f>
        <v>paragraph__subheader</v>
      </c>
      <c r="K22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5" t="s">
        <v>0</v>
      </c>
      <c r="M2235" t="s">
        <v>2686</v>
      </c>
      <c r="P2235" s="6" t="s">
        <v>2702</v>
      </c>
      <c r="Q22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5" s="29"/>
      <c r="AC2235" s="25"/>
      <c r="AD2235" s="41"/>
      <c r="AE2235" s="41"/>
      <c r="AF2235" s="11"/>
      <c r="AH2235" s="1" t="str">
        <f>Table1[[#This Row],[html_tag]]&amp;Table1[[#This Row],[html_type]]&amp;Table1[[#This Row],[html_modifier]]</f>
        <v/>
      </c>
      <c r="AL2235" s="22" t="str">
        <f>IFERROR(_xlfn.XLOOKUP(Table1[[#This Row],[word]],Table57[English style name],Table57[Style type]),"")</f>
        <v/>
      </c>
      <c r="AM2235" s="20"/>
      <c r="AN2235" s="11"/>
      <c r="AQ2235" s="6" t="s">
        <v>2702</v>
      </c>
      <c r="AR2235" t="s">
        <v>2687</v>
      </c>
    </row>
    <row r="2236" spans="4:44">
      <c r="E2236" s="11"/>
      <c r="F22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6" s="13" t="s">
        <v>2992</v>
      </c>
      <c r="H2236" s="13" t="s">
        <v>1</v>
      </c>
      <c r="I2236" s="12" t="str">
        <f>Table1[[#This Row],[type]]</f>
        <v>paragraph</v>
      </c>
      <c r="J2236" s="62" t="str">
        <f>Table1[[#This Row],[Column42]]&amp;IF(Table1[[#This Row],[Column13]]="","",Table1[[#This Row],[Column13]])&amp;IF(Table1[[#This Row],[mod]]="","",Table1[[#This Row],[mod]])</f>
        <v>paragraph__subheader</v>
      </c>
      <c r="K22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6" t="s">
        <v>0</v>
      </c>
      <c r="M2236" t="s">
        <v>2686</v>
      </c>
      <c r="P2236" s="6" t="s">
        <v>2703</v>
      </c>
      <c r="Q22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6" s="29"/>
      <c r="AC2236" s="25"/>
      <c r="AD2236" s="41"/>
      <c r="AE2236" s="41"/>
      <c r="AF2236" s="11"/>
      <c r="AH2236" s="1" t="str">
        <f>Table1[[#This Row],[html_tag]]&amp;Table1[[#This Row],[html_type]]&amp;Table1[[#This Row],[html_modifier]]</f>
        <v/>
      </c>
      <c r="AL2236" s="22" t="str">
        <f>IFERROR(_xlfn.XLOOKUP(Table1[[#This Row],[word]],Table57[English style name],Table57[Style type]),"")</f>
        <v/>
      </c>
      <c r="AM2236" s="20"/>
      <c r="AN2236" s="11"/>
      <c r="AQ2236" s="6" t="s">
        <v>2703</v>
      </c>
      <c r="AR2236" t="s">
        <v>2687</v>
      </c>
    </row>
    <row r="2237" spans="4:44">
      <c r="E2237" s="11"/>
      <c r="F22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7" s="13" t="s">
        <v>2992</v>
      </c>
      <c r="H2237" s="13" t="s">
        <v>1</v>
      </c>
      <c r="I2237" s="12" t="str">
        <f>Table1[[#This Row],[type]]</f>
        <v>paragraph</v>
      </c>
      <c r="J2237" s="62" t="str">
        <f>Table1[[#This Row],[Column42]]&amp;IF(Table1[[#This Row],[Column13]]="","",Table1[[#This Row],[Column13]])&amp;IF(Table1[[#This Row],[mod]]="","",Table1[[#This Row],[mod]])</f>
        <v>paragraph__subheader</v>
      </c>
      <c r="K22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7" t="s">
        <v>0</v>
      </c>
      <c r="M2237" t="s">
        <v>2686</v>
      </c>
      <c r="P2237" s="6" t="s">
        <v>2717</v>
      </c>
      <c r="Q22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7" s="29"/>
      <c r="AC2237" s="25"/>
      <c r="AD2237" s="41"/>
      <c r="AE2237" s="41"/>
      <c r="AF2237" s="11"/>
      <c r="AH2237" s="1" t="str">
        <f>Table1[[#This Row],[html_tag]]&amp;Table1[[#This Row],[html_type]]&amp;Table1[[#This Row],[html_modifier]]</f>
        <v/>
      </c>
      <c r="AL2237" s="22" t="str">
        <f>IFERROR(_xlfn.XLOOKUP(Table1[[#This Row],[word]],Table57[English style name],Table57[Style type]),"")</f>
        <v/>
      </c>
      <c r="AM2237" s="20"/>
      <c r="AN2237" s="11"/>
      <c r="AQ2237" s="6" t="s">
        <v>2717</v>
      </c>
      <c r="AR2237" t="s">
        <v>2687</v>
      </c>
    </row>
    <row r="2238" spans="4:44">
      <c r="E2238" s="11"/>
      <c r="F22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8" s="13" t="s">
        <v>2992</v>
      </c>
      <c r="H2238" s="13" t="s">
        <v>1</v>
      </c>
      <c r="I2238" s="12" t="str">
        <f>Table1[[#This Row],[type]]</f>
        <v>paragraph</v>
      </c>
      <c r="J2238" s="62" t="str">
        <f>Table1[[#This Row],[Column42]]&amp;IF(Table1[[#This Row],[Column13]]="","",Table1[[#This Row],[Column13]])&amp;IF(Table1[[#This Row],[mod]]="","",Table1[[#This Row],[mod]])</f>
        <v>paragraph__subheader</v>
      </c>
      <c r="K22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8" t="s">
        <v>0</v>
      </c>
      <c r="M2238" t="s">
        <v>2686</v>
      </c>
      <c r="P2238" s="6" t="s">
        <v>2722</v>
      </c>
      <c r="Q22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8" s="29"/>
      <c r="AC2238" s="25"/>
      <c r="AD2238" s="41"/>
      <c r="AE2238" s="41"/>
      <c r="AF2238" s="11"/>
      <c r="AH2238" s="1" t="str">
        <f>Table1[[#This Row],[html_tag]]&amp;Table1[[#This Row],[html_type]]&amp;Table1[[#This Row],[html_modifier]]</f>
        <v/>
      </c>
      <c r="AL2238" s="22" t="str">
        <f>IFERROR(_xlfn.XLOOKUP(Table1[[#This Row],[word]],Table57[English style name],Table57[Style type]),"")</f>
        <v/>
      </c>
      <c r="AM2238" s="20"/>
      <c r="AN2238" s="11"/>
      <c r="AQ2238" s="6" t="s">
        <v>2722</v>
      </c>
      <c r="AR2238" t="s">
        <v>2687</v>
      </c>
    </row>
    <row r="2239" spans="4:44">
      <c r="E2239" s="11"/>
      <c r="F22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9" s="13" t="s">
        <v>2992</v>
      </c>
      <c r="H2239" s="13" t="s">
        <v>1</v>
      </c>
      <c r="I2239" s="12" t="str">
        <f>Table1[[#This Row],[type]]</f>
        <v>paragraph</v>
      </c>
      <c r="J2239" s="62" t="str">
        <f>Table1[[#This Row],[Column42]]&amp;IF(Table1[[#This Row],[Column13]]="","",Table1[[#This Row],[Column13]])&amp;IF(Table1[[#This Row],[mod]]="","",Table1[[#This Row],[mod]])</f>
        <v>paragraph__subheader</v>
      </c>
      <c r="K22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9" t="s">
        <v>0</v>
      </c>
      <c r="M2239" t="s">
        <v>2686</v>
      </c>
      <c r="P2239" s="6" t="s">
        <v>2718</v>
      </c>
      <c r="Q22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9" s="29"/>
      <c r="AC2239" s="25"/>
      <c r="AD2239" s="41"/>
      <c r="AE2239" s="41"/>
      <c r="AF2239" s="11"/>
      <c r="AH2239" s="1" t="str">
        <f>Table1[[#This Row],[html_tag]]&amp;Table1[[#This Row],[html_type]]&amp;Table1[[#This Row],[html_modifier]]</f>
        <v/>
      </c>
      <c r="AL2239" s="22" t="str">
        <f>IFERROR(_xlfn.XLOOKUP(Table1[[#This Row],[word]],Table57[English style name],Table57[Style type]),"")</f>
        <v/>
      </c>
      <c r="AM2239" s="20"/>
      <c r="AN2239" s="11"/>
      <c r="AQ2239" s="6" t="s">
        <v>2718</v>
      </c>
      <c r="AR2239" t="s">
        <v>2687</v>
      </c>
    </row>
    <row r="2240" spans="4:44">
      <c r="E2240" s="11"/>
      <c r="F22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0" s="13" t="s">
        <v>2992</v>
      </c>
      <c r="H2240" s="13" t="s">
        <v>1</v>
      </c>
      <c r="I2240" s="12" t="str">
        <f>Table1[[#This Row],[type]]</f>
        <v>paragraph</v>
      </c>
      <c r="J2240" s="62" t="str">
        <f>Table1[[#This Row],[Column42]]&amp;IF(Table1[[#This Row],[Column13]]="","",Table1[[#This Row],[Column13]])&amp;IF(Table1[[#This Row],[mod]]="","",Table1[[#This Row],[mod]])</f>
        <v>paragraph__subheader</v>
      </c>
      <c r="K22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0" t="s">
        <v>0</v>
      </c>
      <c r="M2240" t="s">
        <v>2686</v>
      </c>
      <c r="P2240" s="6" t="s">
        <v>2719</v>
      </c>
      <c r="Q22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0" s="29"/>
      <c r="AC2240" s="25"/>
      <c r="AD2240" s="41"/>
      <c r="AE2240" s="41"/>
      <c r="AF2240" s="11"/>
      <c r="AH2240" s="1" t="str">
        <f>Table1[[#This Row],[html_tag]]&amp;Table1[[#This Row],[html_type]]&amp;Table1[[#This Row],[html_modifier]]</f>
        <v/>
      </c>
      <c r="AL2240" s="22" t="str">
        <f>IFERROR(_xlfn.XLOOKUP(Table1[[#This Row],[word]],Table57[English style name],Table57[Style type]),"")</f>
        <v/>
      </c>
      <c r="AM2240" s="20"/>
      <c r="AN2240" s="11"/>
      <c r="AQ2240" s="6" t="s">
        <v>2719</v>
      </c>
      <c r="AR2240" t="s">
        <v>2687</v>
      </c>
    </row>
    <row r="2241" spans="5:44">
      <c r="E2241" s="11"/>
      <c r="F22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1" s="13" t="s">
        <v>2992</v>
      </c>
      <c r="H2241" s="13" t="s">
        <v>1</v>
      </c>
      <c r="I2241" s="12" t="str">
        <f>Table1[[#This Row],[type]]</f>
        <v>paragraph</v>
      </c>
      <c r="J2241" s="62" t="str">
        <f>Table1[[#This Row],[Column42]]&amp;IF(Table1[[#This Row],[Column13]]="","",Table1[[#This Row],[Column13]])&amp;IF(Table1[[#This Row],[mod]]="","",Table1[[#This Row],[mod]])</f>
        <v>paragraph__subheader</v>
      </c>
      <c r="K22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1" t="s">
        <v>0</v>
      </c>
      <c r="M2241" t="s">
        <v>2686</v>
      </c>
      <c r="P2241" s="6" t="s">
        <v>2720</v>
      </c>
      <c r="Q22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1" s="29"/>
      <c r="AC2241" s="25"/>
      <c r="AD2241" s="41"/>
      <c r="AE2241" s="41"/>
      <c r="AF2241" s="11"/>
      <c r="AH2241" s="1" t="str">
        <f>Table1[[#This Row],[html_tag]]&amp;Table1[[#This Row],[html_type]]&amp;Table1[[#This Row],[html_modifier]]</f>
        <v/>
      </c>
      <c r="AL2241" s="22" t="str">
        <f>IFERROR(_xlfn.XLOOKUP(Table1[[#This Row],[word]],Table57[English style name],Table57[Style type]),"")</f>
        <v/>
      </c>
      <c r="AM2241" s="20"/>
      <c r="AN2241" s="11"/>
      <c r="AQ2241" s="6" t="s">
        <v>2720</v>
      </c>
      <c r="AR2241" t="s">
        <v>2687</v>
      </c>
    </row>
    <row r="2242" spans="5:44">
      <c r="E2242" s="11"/>
      <c r="F22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2" s="13" t="s">
        <v>2992</v>
      </c>
      <c r="H2242" s="13" t="s">
        <v>1</v>
      </c>
      <c r="I2242" s="12" t="str">
        <f>Table1[[#This Row],[type]]</f>
        <v>paragraph</v>
      </c>
      <c r="J2242" s="62" t="str">
        <f>Table1[[#This Row],[Column42]]&amp;IF(Table1[[#This Row],[Column13]]="","",Table1[[#This Row],[Column13]])&amp;IF(Table1[[#This Row],[mod]]="","",Table1[[#This Row],[mod]])</f>
        <v>paragraph__subheader</v>
      </c>
      <c r="K22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2" t="s">
        <v>0</v>
      </c>
      <c r="M2242" t="s">
        <v>2686</v>
      </c>
      <c r="P2242" s="6" t="s">
        <v>2721</v>
      </c>
      <c r="Q22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2" s="29"/>
      <c r="AC2242" s="25"/>
      <c r="AD2242" s="41"/>
      <c r="AE2242" s="41"/>
      <c r="AF2242" s="11"/>
      <c r="AH2242" s="1" t="str">
        <f>Table1[[#This Row],[html_tag]]&amp;Table1[[#This Row],[html_type]]&amp;Table1[[#This Row],[html_modifier]]</f>
        <v/>
      </c>
      <c r="AL2242" s="22" t="str">
        <f>IFERROR(_xlfn.XLOOKUP(Table1[[#This Row],[word]],Table57[English style name],Table57[Style type]),"")</f>
        <v/>
      </c>
      <c r="AM2242" s="20"/>
      <c r="AN2242" s="11"/>
      <c r="AQ2242" s="6" t="s">
        <v>2721</v>
      </c>
      <c r="AR2242" t="s">
        <v>2687</v>
      </c>
    </row>
    <row r="2243" spans="5:44">
      <c r="E2243" s="11"/>
      <c r="F22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3" s="13" t="s">
        <v>2992</v>
      </c>
      <c r="H2243" s="13" t="s">
        <v>1</v>
      </c>
      <c r="I2243" s="12" t="str">
        <f>Table1[[#This Row],[type]]</f>
        <v>paragraph</v>
      </c>
      <c r="J2243" s="62" t="str">
        <f>Table1[[#This Row],[Column42]]&amp;IF(Table1[[#This Row],[Column13]]="","",Table1[[#This Row],[Column13]])&amp;IF(Table1[[#This Row],[mod]]="","",Table1[[#This Row],[mod]])</f>
        <v>paragraph__subheader</v>
      </c>
      <c r="K22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3" t="s">
        <v>0</v>
      </c>
      <c r="M2243" t="s">
        <v>2686</v>
      </c>
      <c r="P2243" s="6" t="s">
        <v>2688</v>
      </c>
      <c r="Q22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3" s="29"/>
      <c r="AC2243" s="25"/>
      <c r="AD2243" s="41"/>
      <c r="AE2243" s="41"/>
      <c r="AF2243" s="11"/>
      <c r="AH2243" s="1" t="str">
        <f>Table1[[#This Row],[html_tag]]&amp;Table1[[#This Row],[html_type]]&amp;Table1[[#This Row],[html_modifier]]</f>
        <v/>
      </c>
      <c r="AL2243" s="22" t="str">
        <f>IFERROR(_xlfn.XLOOKUP(Table1[[#This Row],[word]],Table57[English style name],Table57[Style type]),"")</f>
        <v/>
      </c>
      <c r="AM2243" s="20"/>
      <c r="AN2243" s="11"/>
      <c r="AQ2243" s="6" t="s">
        <v>2688</v>
      </c>
      <c r="AR2243" t="s">
        <v>2687</v>
      </c>
    </row>
    <row r="2244" spans="5:44">
      <c r="E2244" s="11"/>
      <c r="F22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4" s="13" t="s">
        <v>2992</v>
      </c>
      <c r="H2244" s="13" t="s">
        <v>1</v>
      </c>
      <c r="I2244" s="12" t="str">
        <f>Table1[[#This Row],[type]]</f>
        <v>paragraph</v>
      </c>
      <c r="J2244" s="62" t="str">
        <f>Table1[[#This Row],[Column42]]&amp;IF(Table1[[#This Row],[Column13]]="","",Table1[[#This Row],[Column13]])&amp;IF(Table1[[#This Row],[mod]]="","",Table1[[#This Row],[mod]])</f>
        <v>paragraph__subheader</v>
      </c>
      <c r="K22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4" t="s">
        <v>0</v>
      </c>
      <c r="M2244" t="s">
        <v>2686</v>
      </c>
      <c r="P2244" s="6" t="s">
        <v>2689</v>
      </c>
      <c r="Q22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4" s="29"/>
      <c r="AC2244" s="25"/>
      <c r="AD2244" s="41"/>
      <c r="AE2244" s="41"/>
      <c r="AF2244" s="11"/>
      <c r="AH2244" s="1" t="str">
        <f>Table1[[#This Row],[html_tag]]&amp;Table1[[#This Row],[html_type]]&amp;Table1[[#This Row],[html_modifier]]</f>
        <v/>
      </c>
      <c r="AL2244" s="22" t="str">
        <f>IFERROR(_xlfn.XLOOKUP(Table1[[#This Row],[word]],Table57[English style name],Table57[Style type]),"")</f>
        <v/>
      </c>
      <c r="AM2244" s="20"/>
      <c r="AN2244" s="11"/>
      <c r="AQ2244" s="6" t="s">
        <v>2689</v>
      </c>
      <c r="AR2244" t="s">
        <v>2687</v>
      </c>
    </row>
    <row r="2245" spans="5:44">
      <c r="E2245" s="11"/>
      <c r="F22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5" s="13" t="s">
        <v>2992</v>
      </c>
      <c r="H2245" s="13" t="s">
        <v>1</v>
      </c>
      <c r="I2245" s="12" t="str">
        <f>Table1[[#This Row],[type]]</f>
        <v>paragraph</v>
      </c>
      <c r="J2245" s="62" t="str">
        <f>Table1[[#This Row],[Column42]]&amp;IF(Table1[[#This Row],[Column13]]="","",Table1[[#This Row],[Column13]])&amp;IF(Table1[[#This Row],[mod]]="","",Table1[[#This Row],[mod]])</f>
        <v>paragraph__subheader</v>
      </c>
      <c r="K22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5" t="s">
        <v>0</v>
      </c>
      <c r="M2245" t="s">
        <v>2686</v>
      </c>
      <c r="P2245" s="6" t="s">
        <v>2690</v>
      </c>
      <c r="Q22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5" s="29"/>
      <c r="AC2245" s="25"/>
      <c r="AD2245" s="41"/>
      <c r="AE2245" s="41"/>
      <c r="AF2245" s="11"/>
      <c r="AH2245" s="1" t="str">
        <f>Table1[[#This Row],[html_tag]]&amp;Table1[[#This Row],[html_type]]&amp;Table1[[#This Row],[html_modifier]]</f>
        <v/>
      </c>
      <c r="AL2245" s="22" t="str">
        <f>IFERROR(_xlfn.XLOOKUP(Table1[[#This Row],[word]],Table57[English style name],Table57[Style type]),"")</f>
        <v/>
      </c>
      <c r="AM2245" s="20"/>
      <c r="AN2245" s="11"/>
      <c r="AQ2245" s="6" t="s">
        <v>2690</v>
      </c>
      <c r="AR2245" t="s">
        <v>2687</v>
      </c>
    </row>
    <row r="2246" spans="5:44">
      <c r="E2246" s="11"/>
      <c r="F22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6" s="13" t="s">
        <v>2992</v>
      </c>
      <c r="H2246" s="13" t="s">
        <v>1</v>
      </c>
      <c r="I2246" s="12" t="str">
        <f>Table1[[#This Row],[type]]</f>
        <v>paragraph</v>
      </c>
      <c r="J2246" s="62" t="str">
        <f>Table1[[#This Row],[Column42]]&amp;IF(Table1[[#This Row],[Column13]]="","",Table1[[#This Row],[Column13]])&amp;IF(Table1[[#This Row],[mod]]="","",Table1[[#This Row],[mod]])</f>
        <v>paragraph__subheader</v>
      </c>
      <c r="K22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6" t="s">
        <v>0</v>
      </c>
      <c r="M2246" t="s">
        <v>2686</v>
      </c>
      <c r="P2246" s="6" t="s">
        <v>2691</v>
      </c>
      <c r="Q22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6" s="29"/>
      <c r="AC2246" s="25"/>
      <c r="AD2246" s="41"/>
      <c r="AE2246" s="41"/>
      <c r="AF2246" s="11"/>
      <c r="AH2246" s="1" t="str">
        <f>Table1[[#This Row],[html_tag]]&amp;Table1[[#This Row],[html_type]]&amp;Table1[[#This Row],[html_modifier]]</f>
        <v/>
      </c>
      <c r="AL2246" s="22" t="str">
        <f>IFERROR(_xlfn.XLOOKUP(Table1[[#This Row],[word]],Table57[English style name],Table57[Style type]),"")</f>
        <v/>
      </c>
      <c r="AM2246" s="20"/>
      <c r="AN2246" s="11"/>
      <c r="AQ2246" s="6" t="s">
        <v>2691</v>
      </c>
      <c r="AR2246" t="s">
        <v>2687</v>
      </c>
    </row>
    <row r="2247" spans="5:44">
      <c r="E2247" s="11"/>
      <c r="F22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7" s="13" t="s">
        <v>2992</v>
      </c>
      <c r="H2247" s="13" t="s">
        <v>1</v>
      </c>
      <c r="I2247" s="12" t="str">
        <f>Table1[[#This Row],[type]]</f>
        <v>paragraph</v>
      </c>
      <c r="J2247" s="62" t="str">
        <f>Table1[[#This Row],[Column42]]&amp;IF(Table1[[#This Row],[Column13]]="","",Table1[[#This Row],[Column13]])&amp;IF(Table1[[#This Row],[mod]]="","",Table1[[#This Row],[mod]])</f>
        <v>paragraph__subheader</v>
      </c>
      <c r="K22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7" t="s">
        <v>0</v>
      </c>
      <c r="M2247" t="s">
        <v>2686</v>
      </c>
      <c r="P2247" s="6" t="s">
        <v>2692</v>
      </c>
      <c r="Q22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7" s="29"/>
      <c r="AC2247" s="25"/>
      <c r="AD2247" s="41"/>
      <c r="AE2247" s="41"/>
      <c r="AF2247" s="11"/>
      <c r="AH2247" s="1" t="str">
        <f>Table1[[#This Row],[html_tag]]&amp;Table1[[#This Row],[html_type]]&amp;Table1[[#This Row],[html_modifier]]</f>
        <v/>
      </c>
      <c r="AL2247" s="22" t="str">
        <f>IFERROR(_xlfn.XLOOKUP(Table1[[#This Row],[word]],Table57[English style name],Table57[Style type]),"")</f>
        <v/>
      </c>
      <c r="AM2247" s="20"/>
      <c r="AN2247" s="11"/>
      <c r="AQ2247" s="6" t="s">
        <v>2692</v>
      </c>
      <c r="AR2247" t="s">
        <v>2687</v>
      </c>
    </row>
    <row r="2248" spans="5:44">
      <c r="E2248" s="11"/>
      <c r="F22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8" s="13" t="s">
        <v>2992</v>
      </c>
      <c r="H2248" s="13" t="s">
        <v>1</v>
      </c>
      <c r="I2248" s="12" t="str">
        <f>Table1[[#This Row],[type]]</f>
        <v>paragraph</v>
      </c>
      <c r="J2248" s="62" t="str">
        <f>Table1[[#This Row],[Column42]]&amp;IF(Table1[[#This Row],[Column13]]="","",Table1[[#This Row],[Column13]])&amp;IF(Table1[[#This Row],[mod]]="","",Table1[[#This Row],[mod]])</f>
        <v>paragraph__subheader</v>
      </c>
      <c r="K22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8" t="s">
        <v>0</v>
      </c>
      <c r="M2248" t="s">
        <v>2686</v>
      </c>
      <c r="P2248" s="6" t="s">
        <v>2693</v>
      </c>
      <c r="Q22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8" s="29"/>
      <c r="AC2248" s="25"/>
      <c r="AD2248" s="41"/>
      <c r="AE2248" s="41"/>
      <c r="AF2248" s="11"/>
      <c r="AH2248" s="1" t="str">
        <f>Table1[[#This Row],[html_tag]]&amp;Table1[[#This Row],[html_type]]&amp;Table1[[#This Row],[html_modifier]]</f>
        <v/>
      </c>
      <c r="AL2248" s="22" t="str">
        <f>IFERROR(_xlfn.XLOOKUP(Table1[[#This Row],[word]],Table57[English style name],Table57[Style type]),"")</f>
        <v/>
      </c>
      <c r="AM2248" s="20"/>
      <c r="AN2248" s="11"/>
      <c r="AQ2248" s="6" t="s">
        <v>2693</v>
      </c>
      <c r="AR2248" t="s">
        <v>2687</v>
      </c>
    </row>
    <row r="2249" spans="5:44">
      <c r="E2249" s="11"/>
      <c r="F22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9" s="13" t="s">
        <v>2992</v>
      </c>
      <c r="H2249" s="13" t="s">
        <v>1</v>
      </c>
      <c r="I2249" s="12" t="str">
        <f>Table1[[#This Row],[type]]</f>
        <v>paragraph</v>
      </c>
      <c r="J2249" s="62" t="str">
        <f>Table1[[#This Row],[Column42]]&amp;IF(Table1[[#This Row],[Column13]]="","",Table1[[#This Row],[Column13]])&amp;IF(Table1[[#This Row],[mod]]="","",Table1[[#This Row],[mod]])</f>
        <v>paragraph__subheader</v>
      </c>
      <c r="K22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9" t="s">
        <v>0</v>
      </c>
      <c r="M2249" t="s">
        <v>2686</v>
      </c>
      <c r="P2249" s="6" t="s">
        <v>2694</v>
      </c>
      <c r="Q22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9" s="29"/>
      <c r="AC2249" s="25"/>
      <c r="AD2249" s="41"/>
      <c r="AE2249" s="41"/>
      <c r="AF2249" s="11"/>
      <c r="AH2249" s="1" t="str">
        <f>Table1[[#This Row],[html_tag]]&amp;Table1[[#This Row],[html_type]]&amp;Table1[[#This Row],[html_modifier]]</f>
        <v/>
      </c>
      <c r="AL2249" s="22" t="str">
        <f>IFERROR(_xlfn.XLOOKUP(Table1[[#This Row],[word]],Table57[English style name],Table57[Style type]),"")</f>
        <v/>
      </c>
      <c r="AM2249" s="20"/>
      <c r="AN2249" s="11"/>
      <c r="AQ2249" s="6" t="s">
        <v>2694</v>
      </c>
      <c r="AR2249" t="s">
        <v>2687</v>
      </c>
    </row>
    <row r="2250" spans="5:44">
      <c r="E2250" s="11"/>
      <c r="F22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0" s="13" t="s">
        <v>2992</v>
      </c>
      <c r="H2250" s="13" t="s">
        <v>1</v>
      </c>
      <c r="I2250" s="12" t="str">
        <f>Table1[[#This Row],[type]]</f>
        <v>paragraph</v>
      </c>
      <c r="J2250" s="62" t="str">
        <f>Table1[[#This Row],[Column42]]&amp;IF(Table1[[#This Row],[Column13]]="","",Table1[[#This Row],[Column13]])&amp;IF(Table1[[#This Row],[mod]]="","",Table1[[#This Row],[mod]])</f>
        <v>paragraph__subheader__center</v>
      </c>
      <c r="K22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0" t="s">
        <v>0</v>
      </c>
      <c r="M2250" t="s">
        <v>2686</v>
      </c>
      <c r="N2250" t="s">
        <v>425</v>
      </c>
      <c r="P2250" s="6" t="s">
        <v>2705</v>
      </c>
      <c r="Q22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0" s="29"/>
      <c r="AC2250" s="25"/>
      <c r="AD2250" s="41"/>
      <c r="AE2250" s="41"/>
      <c r="AF2250" s="11"/>
      <c r="AH2250" s="1" t="str">
        <f>Table1[[#This Row],[html_tag]]&amp;Table1[[#This Row],[html_type]]&amp;Table1[[#This Row],[html_modifier]]</f>
        <v/>
      </c>
      <c r="AL2250" s="22" t="str">
        <f>IFERROR(_xlfn.XLOOKUP(Table1[[#This Row],[word]],Table57[English style name],Table57[Style type]),"")</f>
        <v/>
      </c>
      <c r="AM2250" s="20"/>
      <c r="AN2250" s="11"/>
      <c r="AQ2250" s="6" t="s">
        <v>2705</v>
      </c>
      <c r="AR2250" t="s">
        <v>2687</v>
      </c>
    </row>
    <row r="2251" spans="5:44">
      <c r="E2251" s="11"/>
      <c r="F22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1" s="13" t="s">
        <v>2992</v>
      </c>
      <c r="H2251" s="13" t="s">
        <v>1</v>
      </c>
      <c r="I2251" s="12" t="str">
        <f>Table1[[#This Row],[type]]</f>
        <v>paragraph</v>
      </c>
      <c r="J2251" s="62" t="str">
        <f>Table1[[#This Row],[Column42]]&amp;IF(Table1[[#This Row],[Column13]]="","",Table1[[#This Row],[Column13]])&amp;IF(Table1[[#This Row],[mod]]="","",Table1[[#This Row],[mod]])</f>
        <v>paragraph__subheader__center</v>
      </c>
      <c r="K22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1" t="s">
        <v>0</v>
      </c>
      <c r="M2251" t="s">
        <v>2686</v>
      </c>
      <c r="N2251" t="s">
        <v>425</v>
      </c>
      <c r="P2251" s="6" t="s">
        <v>2706</v>
      </c>
      <c r="Q22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1" s="29"/>
      <c r="AC2251" s="25"/>
      <c r="AD2251" s="41"/>
      <c r="AE2251" s="41"/>
      <c r="AF2251" s="11"/>
      <c r="AH2251" s="1" t="str">
        <f>Table1[[#This Row],[html_tag]]&amp;Table1[[#This Row],[html_type]]&amp;Table1[[#This Row],[html_modifier]]</f>
        <v/>
      </c>
      <c r="AL2251" s="22" t="str">
        <f>IFERROR(_xlfn.XLOOKUP(Table1[[#This Row],[word]],Table57[English style name],Table57[Style type]),"")</f>
        <v/>
      </c>
      <c r="AM2251" s="20"/>
      <c r="AN2251" s="11"/>
      <c r="AQ2251" s="6" t="s">
        <v>2706</v>
      </c>
      <c r="AR2251" t="s">
        <v>2687</v>
      </c>
    </row>
    <row r="2252" spans="5:44">
      <c r="E2252" s="11"/>
      <c r="F22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2" s="13" t="s">
        <v>2992</v>
      </c>
      <c r="H2252" s="13" t="s">
        <v>1</v>
      </c>
      <c r="I2252" s="12" t="str">
        <f>Table1[[#This Row],[type]]</f>
        <v>paragraph</v>
      </c>
      <c r="J2252" s="62" t="str">
        <f>Table1[[#This Row],[Column42]]&amp;IF(Table1[[#This Row],[Column13]]="","",Table1[[#This Row],[Column13]])&amp;IF(Table1[[#This Row],[mod]]="","",Table1[[#This Row],[mod]])</f>
        <v>paragraph__subheader__center</v>
      </c>
      <c r="K22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2" t="s">
        <v>0</v>
      </c>
      <c r="M2252" t="s">
        <v>2686</v>
      </c>
      <c r="N2252" t="s">
        <v>425</v>
      </c>
      <c r="P2252" s="6" t="s">
        <v>2707</v>
      </c>
      <c r="Q22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2" s="29"/>
      <c r="AC2252" s="25"/>
      <c r="AD2252" s="41"/>
      <c r="AE2252" s="41"/>
      <c r="AF2252" s="11"/>
      <c r="AH2252" s="1" t="str">
        <f>Table1[[#This Row],[html_tag]]&amp;Table1[[#This Row],[html_type]]&amp;Table1[[#This Row],[html_modifier]]</f>
        <v/>
      </c>
      <c r="AL2252" s="22" t="str">
        <f>IFERROR(_xlfn.XLOOKUP(Table1[[#This Row],[word]],Table57[English style name],Table57[Style type]),"")</f>
        <v/>
      </c>
      <c r="AM2252" s="20"/>
      <c r="AN2252" s="11"/>
      <c r="AQ2252" s="6" t="s">
        <v>2707</v>
      </c>
      <c r="AR2252" t="s">
        <v>2687</v>
      </c>
    </row>
    <row r="2253" spans="5:44">
      <c r="E2253" s="11"/>
      <c r="F22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3" s="13" t="s">
        <v>2992</v>
      </c>
      <c r="H2253" s="13" t="s">
        <v>1</v>
      </c>
      <c r="I2253" s="12" t="str">
        <f>Table1[[#This Row],[type]]</f>
        <v>paragraph</v>
      </c>
      <c r="J2253" s="62" t="str">
        <f>Table1[[#This Row],[Column42]]&amp;IF(Table1[[#This Row],[Column13]]="","",Table1[[#This Row],[Column13]])&amp;IF(Table1[[#This Row],[mod]]="","",Table1[[#This Row],[mod]])</f>
        <v>paragraph__subheader__center</v>
      </c>
      <c r="K22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3" t="s">
        <v>0</v>
      </c>
      <c r="M2253" t="s">
        <v>2686</v>
      </c>
      <c r="N2253" t="s">
        <v>425</v>
      </c>
      <c r="P2253" s="6" t="s">
        <v>2708</v>
      </c>
      <c r="Q22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3" s="29"/>
      <c r="AC2253" s="25"/>
      <c r="AD2253" s="41"/>
      <c r="AE2253" s="41"/>
      <c r="AF2253" s="11"/>
      <c r="AH2253" s="1" t="str">
        <f>Table1[[#This Row],[html_tag]]&amp;Table1[[#This Row],[html_type]]&amp;Table1[[#This Row],[html_modifier]]</f>
        <v/>
      </c>
      <c r="AL2253" s="22" t="str">
        <f>IFERROR(_xlfn.XLOOKUP(Table1[[#This Row],[word]],Table57[English style name],Table57[Style type]),"")</f>
        <v/>
      </c>
      <c r="AM2253" s="20"/>
      <c r="AN2253" s="11"/>
      <c r="AQ2253" s="6" t="s">
        <v>2708</v>
      </c>
      <c r="AR2253" t="s">
        <v>2687</v>
      </c>
    </row>
    <row r="2254" spans="5:44">
      <c r="E2254" s="11"/>
      <c r="F22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4" s="13" t="s">
        <v>2992</v>
      </c>
      <c r="H2254" s="13" t="s">
        <v>1</v>
      </c>
      <c r="I2254" s="12" t="str">
        <f>Table1[[#This Row],[type]]</f>
        <v>paragraph</v>
      </c>
      <c r="J2254" s="62" t="str">
        <f>Table1[[#This Row],[Column42]]&amp;IF(Table1[[#This Row],[Column13]]="","",Table1[[#This Row],[Column13]])&amp;IF(Table1[[#This Row],[mod]]="","",Table1[[#This Row],[mod]])</f>
        <v>paragraph__subheader__center</v>
      </c>
      <c r="K22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4" t="s">
        <v>0</v>
      </c>
      <c r="M2254" t="s">
        <v>2686</v>
      </c>
      <c r="N2254" t="s">
        <v>425</v>
      </c>
      <c r="P2254" s="6" t="s">
        <v>2709</v>
      </c>
      <c r="Q22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4" s="29"/>
      <c r="AC2254" s="25"/>
      <c r="AD2254" s="41"/>
      <c r="AE2254" s="41"/>
      <c r="AF2254" s="11"/>
      <c r="AH2254" s="1" t="str">
        <f>Table1[[#This Row],[html_tag]]&amp;Table1[[#This Row],[html_type]]&amp;Table1[[#This Row],[html_modifier]]</f>
        <v/>
      </c>
      <c r="AL2254" s="22" t="str">
        <f>IFERROR(_xlfn.XLOOKUP(Table1[[#This Row],[word]],Table57[English style name],Table57[Style type]),"")</f>
        <v/>
      </c>
      <c r="AM2254" s="20"/>
      <c r="AN2254" s="11"/>
      <c r="AQ2254" s="6" t="s">
        <v>2709</v>
      </c>
      <c r="AR2254" t="s">
        <v>2687</v>
      </c>
    </row>
    <row r="2255" spans="5:44">
      <c r="E2255" s="11"/>
      <c r="F22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5" s="13" t="s">
        <v>2992</v>
      </c>
      <c r="H2255" s="13" t="s">
        <v>1</v>
      </c>
      <c r="I2255" s="12" t="str">
        <f>Table1[[#This Row],[type]]</f>
        <v>paragraph</v>
      </c>
      <c r="J2255" s="62" t="str">
        <f>Table1[[#This Row],[Column42]]&amp;IF(Table1[[#This Row],[Column13]]="","",Table1[[#This Row],[Column13]])&amp;IF(Table1[[#This Row],[mod]]="","",Table1[[#This Row],[mod]])</f>
        <v>paragraph__subheader__center</v>
      </c>
      <c r="K22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5" t="s">
        <v>0</v>
      </c>
      <c r="M2255" t="s">
        <v>2686</v>
      </c>
      <c r="N2255" t="s">
        <v>425</v>
      </c>
      <c r="P2255" s="6" t="s">
        <v>2710</v>
      </c>
      <c r="Q22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5" s="29"/>
      <c r="AC2255" s="25"/>
      <c r="AD2255" s="41"/>
      <c r="AE2255" s="41"/>
      <c r="AF2255" s="11"/>
      <c r="AH2255" s="1" t="str">
        <f>Table1[[#This Row],[html_tag]]&amp;Table1[[#This Row],[html_type]]&amp;Table1[[#This Row],[html_modifier]]</f>
        <v/>
      </c>
      <c r="AL2255" s="22" t="str">
        <f>IFERROR(_xlfn.XLOOKUP(Table1[[#This Row],[word]],Table57[English style name],Table57[Style type]),"")</f>
        <v/>
      </c>
      <c r="AM2255" s="20"/>
      <c r="AN2255" s="11"/>
      <c r="AQ2255" s="6" t="s">
        <v>2710</v>
      </c>
      <c r="AR2255" t="s">
        <v>2687</v>
      </c>
    </row>
    <row r="2256" spans="5:44">
      <c r="E2256" s="11"/>
      <c r="F22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6" s="13" t="s">
        <v>2992</v>
      </c>
      <c r="H2256" s="13" t="s">
        <v>1</v>
      </c>
      <c r="I2256" s="12" t="str">
        <f>Table1[[#This Row],[type]]</f>
        <v>paragraph</v>
      </c>
      <c r="J2256" s="62" t="str">
        <f>Table1[[#This Row],[Column42]]&amp;IF(Table1[[#This Row],[Column13]]="","",Table1[[#This Row],[Column13]])&amp;IF(Table1[[#This Row],[mod]]="","",Table1[[#This Row],[mod]])</f>
        <v>paragraph__subheader__center</v>
      </c>
      <c r="K22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6" t="s">
        <v>0</v>
      </c>
      <c r="M2256" t="s">
        <v>2686</v>
      </c>
      <c r="N2256" t="s">
        <v>425</v>
      </c>
      <c r="P2256" s="6" t="s">
        <v>2711</v>
      </c>
      <c r="Q22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6" s="29"/>
      <c r="AC2256" s="25"/>
      <c r="AD2256" s="41"/>
      <c r="AE2256" s="41"/>
      <c r="AF2256" s="11"/>
      <c r="AH2256" s="1" t="str">
        <f>Table1[[#This Row],[html_tag]]&amp;Table1[[#This Row],[html_type]]&amp;Table1[[#This Row],[html_modifier]]</f>
        <v/>
      </c>
      <c r="AL2256" s="22" t="str">
        <f>IFERROR(_xlfn.XLOOKUP(Table1[[#This Row],[word]],Table57[English style name],Table57[Style type]),"")</f>
        <v/>
      </c>
      <c r="AM2256" s="20"/>
      <c r="AN2256" s="11"/>
      <c r="AQ2256" s="6" t="s">
        <v>2711</v>
      </c>
      <c r="AR2256" t="s">
        <v>2687</v>
      </c>
    </row>
    <row r="2257" spans="3:44">
      <c r="E2257" s="11"/>
      <c r="F22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7" s="13" t="s">
        <v>2992</v>
      </c>
      <c r="H2257" s="13" t="s">
        <v>1</v>
      </c>
      <c r="I2257" s="12" t="str">
        <f>Table1[[#This Row],[type]]</f>
        <v>paragraph</v>
      </c>
      <c r="J2257" s="62" t="str">
        <f>Table1[[#This Row],[Column42]]&amp;IF(Table1[[#This Row],[Column13]]="","",Table1[[#This Row],[Column13]])&amp;IF(Table1[[#This Row],[mod]]="","",Table1[[#This Row],[mod]])</f>
        <v>paragraph__subheader__center</v>
      </c>
      <c r="K22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7" t="s">
        <v>0</v>
      </c>
      <c r="M2257" t="s">
        <v>2686</v>
      </c>
      <c r="N2257" t="s">
        <v>425</v>
      </c>
      <c r="P2257" s="6" t="s">
        <v>2712</v>
      </c>
      <c r="Q22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7" s="29"/>
      <c r="AC2257" s="25"/>
      <c r="AD2257" s="41"/>
      <c r="AE2257" s="41"/>
      <c r="AF2257" s="11"/>
      <c r="AH2257" s="1" t="str">
        <f>Table1[[#This Row],[html_tag]]&amp;Table1[[#This Row],[html_type]]&amp;Table1[[#This Row],[html_modifier]]</f>
        <v/>
      </c>
      <c r="AL2257" s="22" t="str">
        <f>IFERROR(_xlfn.XLOOKUP(Table1[[#This Row],[word]],Table57[English style name],Table57[Style type]),"")</f>
        <v/>
      </c>
      <c r="AM2257" s="20"/>
      <c r="AN2257" s="11"/>
      <c r="AQ2257" s="6" t="s">
        <v>2712</v>
      </c>
      <c r="AR2257" t="s">
        <v>2687</v>
      </c>
    </row>
    <row r="2258" spans="3:44">
      <c r="E2258" s="11"/>
      <c r="F22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8" s="13" t="s">
        <v>2992</v>
      </c>
      <c r="H2258" s="13" t="s">
        <v>1</v>
      </c>
      <c r="I2258" s="12" t="str">
        <f>Table1[[#This Row],[type]]</f>
        <v>paragraph</v>
      </c>
      <c r="J2258" s="62" t="str">
        <f>Table1[[#This Row],[Column42]]&amp;IF(Table1[[#This Row],[Column13]]="","",Table1[[#This Row],[Column13]])&amp;IF(Table1[[#This Row],[mod]]="","",Table1[[#This Row],[mod]])</f>
        <v>paragraph__subheader__center</v>
      </c>
      <c r="K22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8" t="s">
        <v>0</v>
      </c>
      <c r="M2258" t="s">
        <v>2686</v>
      </c>
      <c r="N2258" t="s">
        <v>425</v>
      </c>
      <c r="P2258" s="6" t="s">
        <v>2713</v>
      </c>
      <c r="Q22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8" s="29"/>
      <c r="AC2258" s="25"/>
      <c r="AD2258" s="41"/>
      <c r="AE2258" s="41"/>
      <c r="AF2258" s="11"/>
      <c r="AH2258" s="1" t="str">
        <f>Table1[[#This Row],[html_tag]]&amp;Table1[[#This Row],[html_type]]&amp;Table1[[#This Row],[html_modifier]]</f>
        <v/>
      </c>
      <c r="AL2258" s="22" t="str">
        <f>IFERROR(_xlfn.XLOOKUP(Table1[[#This Row],[word]],Table57[English style name],Table57[Style type]),"")</f>
        <v/>
      </c>
      <c r="AM2258" s="20"/>
      <c r="AN2258" s="11"/>
      <c r="AQ2258" s="6" t="s">
        <v>2713</v>
      </c>
      <c r="AR2258" t="s">
        <v>2687</v>
      </c>
    </row>
    <row r="2259" spans="3:44">
      <c r="E2259" s="11"/>
      <c r="F22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9" s="13" t="s">
        <v>2992</v>
      </c>
      <c r="H2259" s="13" t="s">
        <v>1</v>
      </c>
      <c r="I2259" s="12" t="str">
        <f>Table1[[#This Row],[type]]</f>
        <v>paragraph</v>
      </c>
      <c r="J2259" s="62" t="str">
        <f>Table1[[#This Row],[Column42]]&amp;IF(Table1[[#This Row],[Column13]]="","",Table1[[#This Row],[Column13]])&amp;IF(Table1[[#This Row],[mod]]="","",Table1[[#This Row],[mod]])</f>
        <v>paragraph__subheader__center</v>
      </c>
      <c r="K22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9" t="s">
        <v>0</v>
      </c>
      <c r="M2259" t="s">
        <v>2686</v>
      </c>
      <c r="N2259" t="s">
        <v>425</v>
      </c>
      <c r="P2259" s="6" t="s">
        <v>2714</v>
      </c>
      <c r="Q22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9" s="29"/>
      <c r="AC2259" s="25"/>
      <c r="AD2259" s="41"/>
      <c r="AE2259" s="41"/>
      <c r="AF2259" s="11"/>
      <c r="AH2259" s="1" t="str">
        <f>Table1[[#This Row],[html_tag]]&amp;Table1[[#This Row],[html_type]]&amp;Table1[[#This Row],[html_modifier]]</f>
        <v/>
      </c>
      <c r="AL2259" s="22" t="str">
        <f>IFERROR(_xlfn.XLOOKUP(Table1[[#This Row],[word]],Table57[English style name],Table57[Style type]),"")</f>
        <v/>
      </c>
      <c r="AM2259" s="20"/>
      <c r="AN2259" s="11"/>
      <c r="AQ2259" s="6" t="s">
        <v>2714</v>
      </c>
      <c r="AR2259" t="s">
        <v>2687</v>
      </c>
    </row>
    <row r="2260" spans="3:44">
      <c r="E2260" s="11"/>
      <c r="F22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0" s="13" t="s">
        <v>2992</v>
      </c>
      <c r="H2260" s="13" t="s">
        <v>1</v>
      </c>
      <c r="I2260" s="12" t="str">
        <f>Table1[[#This Row],[type]]</f>
        <v>paragraph</v>
      </c>
      <c r="J2260" s="62" t="str">
        <f>Table1[[#This Row],[Column42]]&amp;IF(Table1[[#This Row],[Column13]]="","",Table1[[#This Row],[Column13]])&amp;IF(Table1[[#This Row],[mod]]="","",Table1[[#This Row],[mod]])</f>
        <v>paragraph__subheader__center__link</v>
      </c>
      <c r="K22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paragraph__subheader__center__link</v>
      </c>
      <c r="L2260" t="s">
        <v>0</v>
      </c>
      <c r="M2260" t="s">
        <v>2686</v>
      </c>
      <c r="N2260" t="s">
        <v>425</v>
      </c>
      <c r="O2260" t="s">
        <v>477</v>
      </c>
      <c r="P2260" s="6" t="s">
        <v>2716</v>
      </c>
      <c r="Q22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0" s="29"/>
      <c r="AC2260" s="25"/>
      <c r="AD2260" s="41"/>
      <c r="AE2260" s="41"/>
      <c r="AF2260" s="11"/>
      <c r="AH2260" s="1" t="str">
        <f>Table1[[#This Row],[html_tag]]&amp;Table1[[#This Row],[html_type]]&amp;Table1[[#This Row],[html_modifier]]</f>
        <v/>
      </c>
      <c r="AL2260" s="22" t="str">
        <f>IFERROR(_xlfn.XLOOKUP(Table1[[#This Row],[word]],Table57[English style name],Table57[Style type]),"")</f>
        <v/>
      </c>
      <c r="AM2260" s="20"/>
      <c r="AN2260" s="11"/>
      <c r="AQ2260" s="6" t="s">
        <v>2716</v>
      </c>
      <c r="AR2260" t="s">
        <v>2687</v>
      </c>
    </row>
    <row r="2261" spans="3:44">
      <c r="E2261" s="11"/>
      <c r="F22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1" s="13" t="s">
        <v>2992</v>
      </c>
      <c r="H2261" s="13" t="s">
        <v>1</v>
      </c>
      <c r="I2261" s="12" t="str">
        <f>Table1[[#This Row],[type]]</f>
        <v>paragraph</v>
      </c>
      <c r="J2261" s="62" t="str">
        <f>Table1[[#This Row],[Column42]]&amp;IF(Table1[[#This Row],[Column13]]="","",Table1[[#This Row],[Column13]])&amp;IF(Table1[[#This Row],[mod]]="","",Table1[[#This Row],[mod]])</f>
        <v>paragraph__subheader__center__link</v>
      </c>
      <c r="K22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paragraph__subheader__center__link</v>
      </c>
      <c r="L2261" t="s">
        <v>0</v>
      </c>
      <c r="M2261" t="s">
        <v>2686</v>
      </c>
      <c r="N2261" t="s">
        <v>425</v>
      </c>
      <c r="O2261" t="s">
        <v>477</v>
      </c>
      <c r="P2261" s="6" t="s">
        <v>2715</v>
      </c>
      <c r="Q22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1" s="29"/>
      <c r="AC2261" s="25"/>
      <c r="AD2261" s="41"/>
      <c r="AE2261" s="41"/>
      <c r="AF2261" s="11"/>
      <c r="AH2261" s="1" t="str">
        <f>Table1[[#This Row],[html_tag]]&amp;Table1[[#This Row],[html_type]]&amp;Table1[[#This Row],[html_modifier]]</f>
        <v/>
      </c>
      <c r="AL2261" s="22" t="str">
        <f>IFERROR(_xlfn.XLOOKUP(Table1[[#This Row],[word]],Table57[English style name],Table57[Style type]),"")</f>
        <v/>
      </c>
      <c r="AM2261" s="20"/>
      <c r="AN2261" s="11"/>
      <c r="AQ2261" s="6" t="s">
        <v>2715</v>
      </c>
      <c r="AR2261" t="s">
        <v>2687</v>
      </c>
    </row>
    <row r="2262" spans="3:44">
      <c r="E2262" s="11"/>
      <c r="F22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2" s="13" t="s">
        <v>2992</v>
      </c>
      <c r="H2262" s="13" t="s">
        <v>1</v>
      </c>
      <c r="I2262" s="12" t="str">
        <f>Table1[[#This Row],[type]]</f>
        <v>paragraph</v>
      </c>
      <c r="J2262" s="62" t="str">
        <f>Table1[[#This Row],[Column42]]&amp;IF(Table1[[#This Row],[Column13]]="","",Table1[[#This Row],[Column13]])&amp;IF(Table1[[#This Row],[mod]]="","",Table1[[#This Row],[mod]])</f>
        <v>paragraph__subheader__link</v>
      </c>
      <c r="K22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262" t="s">
        <v>0</v>
      </c>
      <c r="M2262" t="s">
        <v>2686</v>
      </c>
      <c r="O2262" t="s">
        <v>477</v>
      </c>
      <c r="P2262" s="6"/>
      <c r="Q22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2" s="29"/>
      <c r="AC2262" s="25"/>
      <c r="AD2262" s="41"/>
      <c r="AE2262" s="41"/>
      <c r="AF2262" s="11"/>
      <c r="AH2262" s="1" t="str">
        <f>Table1[[#This Row],[html_tag]]&amp;Table1[[#This Row],[html_type]]&amp;Table1[[#This Row],[html_modifier]]</f>
        <v/>
      </c>
      <c r="AL2262" s="22" t="str">
        <f>IFERROR(_xlfn.XLOOKUP(Table1[[#This Row],[word]],Table57[English style name],Table57[Style type]),"")</f>
        <v/>
      </c>
      <c r="AM2262" s="20"/>
      <c r="AN2262" s="11"/>
      <c r="AQ2262" s="6" t="s">
        <v>2695</v>
      </c>
      <c r="AR2262" t="s">
        <v>2687</v>
      </c>
    </row>
    <row r="2263" spans="3:44">
      <c r="E2263" s="11"/>
      <c r="F22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3" s="13" t="s">
        <v>2992</v>
      </c>
      <c r="H2263" s="13" t="s">
        <v>1</v>
      </c>
      <c r="I2263" s="12" t="str">
        <f>Table1[[#This Row],[type]]</f>
        <v>paragraph</v>
      </c>
      <c r="J2263" s="62" t="str">
        <f>Table1[[#This Row],[Column42]]&amp;IF(Table1[[#This Row],[Column13]]="","",Table1[[#This Row],[Column13]])&amp;IF(Table1[[#This Row],[mod]]="","",Table1[[#This Row],[mod]])</f>
        <v>paragraph__subheader__link--active</v>
      </c>
      <c r="K22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263" t="s">
        <v>0</v>
      </c>
      <c r="M2263" t="s">
        <v>2686</v>
      </c>
      <c r="O2263" t="s">
        <v>477</v>
      </c>
      <c r="P2263" s="6"/>
      <c r="Q22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263" t="s">
        <v>350</v>
      </c>
      <c r="AB2263" s="29"/>
      <c r="AC2263" s="25"/>
      <c r="AD2263" s="41"/>
      <c r="AE2263" s="41"/>
      <c r="AF2263" s="11"/>
      <c r="AH2263" s="1" t="str">
        <f>Table1[[#This Row],[html_tag]]&amp;Table1[[#This Row],[html_type]]&amp;Table1[[#This Row],[html_modifier]]</f>
        <v>:active</v>
      </c>
      <c r="AK2263" t="s">
        <v>3015</v>
      </c>
      <c r="AL2263" s="22" t="str">
        <f>IFERROR(_xlfn.XLOOKUP(Table1[[#This Row],[word]],Table57[English style name],Table57[Style type]),"")</f>
        <v/>
      </c>
      <c r="AM2263" s="20"/>
      <c r="AN2263" s="11"/>
      <c r="AQ2263" s="6" t="s">
        <v>2696</v>
      </c>
      <c r="AR2263" t="s">
        <v>2687</v>
      </c>
    </row>
    <row r="2264" spans="3:44">
      <c r="E2264" s="11"/>
      <c r="F22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4" s="13" t="s">
        <v>2992</v>
      </c>
      <c r="H2264" s="13" t="s">
        <v>1</v>
      </c>
      <c r="I2264" s="12" t="str">
        <f>Table1[[#This Row],[type]]</f>
        <v>paragraph</v>
      </c>
      <c r="J2264" s="62" t="str">
        <f>Table1[[#This Row],[Column42]]&amp;IF(Table1[[#This Row],[Column13]]="","",Table1[[#This Row],[Column13]])&amp;IF(Table1[[#This Row],[mod]]="","",Table1[[#This Row],[mod]])</f>
        <v>paragraph__subheader__link--focus</v>
      </c>
      <c r="K22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264" t="s">
        <v>0</v>
      </c>
      <c r="M2264" t="s">
        <v>2686</v>
      </c>
      <c r="O2264" t="s">
        <v>477</v>
      </c>
      <c r="P2264" s="6" t="s">
        <v>2697</v>
      </c>
      <c r="Q22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2264" t="s">
        <v>3020</v>
      </c>
      <c r="AB2264" s="29"/>
      <c r="AC2264" s="25"/>
      <c r="AD2264" s="41"/>
      <c r="AE2264" s="41"/>
      <c r="AF2264" s="11"/>
      <c r="AH2264" s="1" t="str">
        <f>Table1[[#This Row],[html_tag]]&amp;Table1[[#This Row],[html_type]]&amp;Table1[[#This Row],[html_modifier]]</f>
        <v/>
      </c>
      <c r="AL2264" s="22" t="str">
        <f>IFERROR(_xlfn.XLOOKUP(Table1[[#This Row],[word]],Table57[English style name],Table57[Style type]),"")</f>
        <v/>
      </c>
      <c r="AM2264" s="20"/>
      <c r="AN2264" s="11"/>
      <c r="AQ2264" s="6" t="s">
        <v>2697</v>
      </c>
      <c r="AR2264" t="s">
        <v>2687</v>
      </c>
    </row>
    <row r="2265" spans="3:44">
      <c r="E2265" s="11"/>
      <c r="F22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5" s="13" t="s">
        <v>2992</v>
      </c>
      <c r="H2265" s="13" t="s">
        <v>1</v>
      </c>
      <c r="I2265" s="12" t="str">
        <f>Table1[[#This Row],[type]]</f>
        <v>paragraph</v>
      </c>
      <c r="J2265" s="62" t="str">
        <f>Table1[[#This Row],[Column42]]&amp;IF(Table1[[#This Row],[Column13]]="","",Table1[[#This Row],[Column13]])&amp;IF(Table1[[#This Row],[mod]]="","",Table1[[#This Row],[mod]])</f>
        <v>paragraph__subheader__link--hover</v>
      </c>
      <c r="K22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265" t="s">
        <v>0</v>
      </c>
      <c r="M2265" t="s">
        <v>2686</v>
      </c>
      <c r="O2265" t="s">
        <v>477</v>
      </c>
      <c r="P2265" s="6" t="s">
        <v>2698</v>
      </c>
      <c r="Q22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265" t="s">
        <v>3019</v>
      </c>
      <c r="AB2265" s="29"/>
      <c r="AC2265" s="25"/>
      <c r="AD2265" s="41"/>
      <c r="AE2265" s="41"/>
      <c r="AF2265" s="11"/>
      <c r="AH2265" s="1" t="str">
        <f>Table1[[#This Row],[html_tag]]&amp;Table1[[#This Row],[html_type]]&amp;Table1[[#This Row],[html_modifier]]</f>
        <v/>
      </c>
      <c r="AL2265" s="22" t="str">
        <f>IFERROR(_xlfn.XLOOKUP(Table1[[#This Row],[word]],Table57[English style name],Table57[Style type]),"")</f>
        <v/>
      </c>
      <c r="AM2265" s="20"/>
      <c r="AN2265" s="11"/>
      <c r="AQ2265" s="6" t="s">
        <v>2698</v>
      </c>
      <c r="AR2265" t="s">
        <v>2687</v>
      </c>
    </row>
    <row r="2266" spans="3:44">
      <c r="D2266" t="s">
        <v>3362</v>
      </c>
      <c r="E2266" s="11"/>
      <c r="F22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6" s="13"/>
      <c r="H2266" s="13"/>
      <c r="I2266" s="12" t="str">
        <f>Table1[[#This Row],[type]]</f>
        <v>paragraph</v>
      </c>
      <c r="J2266" s="62" t="str">
        <f>Table1[[#This Row],[Column42]]&amp;IF(Table1[[#This Row],[Column13]]="","",Table1[[#This Row],[Column13]])&amp;IF(Table1[[#This Row],[mod]]="","",Table1[[#This Row],[mod]])</f>
        <v>paragraph__subsection__heading</v>
      </c>
      <c r="K22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paragraph__subsection__heading</v>
      </c>
      <c r="L2266" t="s">
        <v>0</v>
      </c>
      <c r="M2266" t="s">
        <v>3393</v>
      </c>
      <c r="O2266" t="s">
        <v>100</v>
      </c>
      <c r="Q22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6" s="29"/>
      <c r="AC2266" s="25"/>
      <c r="AD2266" s="41"/>
      <c r="AE2266" s="41"/>
      <c r="AF2266" s="11" t="s">
        <v>1139</v>
      </c>
      <c r="AH2266" s="7" t="str">
        <f>Table1[[#This Row],[html_tag]]&amp;Table1[[#This Row],[html_type]]&amp;Table1[[#This Row],[html_modifier]]</f>
        <v/>
      </c>
      <c r="AL2266" s="23" t="str">
        <f>IFERROR(_xlfn.XLOOKUP(Table1[[#This Row],[word]],Table57[English style name],Table57[Style type]),"")</f>
        <v/>
      </c>
      <c r="AM2266" s="21"/>
      <c r="AN2266" s="11"/>
    </row>
    <row r="2267" spans="3:44">
      <c r="D2267" t="s">
        <v>3362</v>
      </c>
      <c r="E2267" s="11"/>
      <c r="F22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7" s="13"/>
      <c r="H2267" s="13"/>
      <c r="I2267" s="12" t="str">
        <f>Table1[[#This Row],[type]]</f>
        <v>paragraph</v>
      </c>
      <c r="J2267" s="62" t="str">
        <f>Table1[[#This Row],[Column42]]&amp;IF(Table1[[#This Row],[Column13]]="","",Table1[[#This Row],[Column13]])&amp;IF(Table1[[#This Row],[mod]]="","",Table1[[#This Row],[mod]])</f>
        <v>paragraph__subsubsection__heading</v>
      </c>
      <c r="K22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paragraph__subsubsection__heading</v>
      </c>
      <c r="L2267" t="s">
        <v>0</v>
      </c>
      <c r="M2267" t="s">
        <v>3392</v>
      </c>
      <c r="O2267" t="s">
        <v>100</v>
      </c>
      <c r="Q22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7" s="29"/>
      <c r="AC2267" s="25"/>
      <c r="AD2267" s="41"/>
      <c r="AE2267" s="41"/>
      <c r="AF2267" s="11" t="s">
        <v>1140</v>
      </c>
      <c r="AH2267" s="7" t="str">
        <f>Table1[[#This Row],[html_tag]]&amp;Table1[[#This Row],[html_type]]&amp;Table1[[#This Row],[html_modifier]]</f>
        <v/>
      </c>
      <c r="AL2267" s="23" t="str">
        <f>IFERROR(_xlfn.XLOOKUP(Table1[[#This Row],[word]],Table57[English style name],Table57[Style type]),"")</f>
        <v/>
      </c>
      <c r="AM2267" s="21"/>
      <c r="AN2267" s="11"/>
    </row>
    <row r="2268" spans="3:44">
      <c r="C2268">
        <v>1</v>
      </c>
      <c r="D2268" t="s">
        <v>3242</v>
      </c>
      <c r="E2268" s="11"/>
      <c r="F22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8" s="13"/>
      <c r="H2268" s="13"/>
      <c r="I2268" s="12" t="str">
        <f>Table1[[#This Row],[type]]</f>
        <v>paragraph</v>
      </c>
      <c r="J2268" s="62" t="str">
        <f>Table1[[#This Row],[Column42]]&amp;IF(Table1[[#This Row],[Column13]]="","",Table1[[#This Row],[Column13]])&amp;IF(Table1[[#This Row],[mod]]="","",Table1[[#This Row],[mod]])</f>
        <v>paragraph__subtitle</v>
      </c>
      <c r="K22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paragraph__subtitle</v>
      </c>
      <c r="L2268" t="s">
        <v>0</v>
      </c>
      <c r="O2268" t="s">
        <v>3359</v>
      </c>
      <c r="Q22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8" s="29"/>
      <c r="AC2268" s="25"/>
      <c r="AD2268" s="41"/>
      <c r="AE2268" s="41"/>
      <c r="AF2268" s="11" t="s">
        <v>1138</v>
      </c>
      <c r="AH2268" s="1" t="str">
        <f>Table1[[#This Row],[html_tag]]&amp;Table1[[#This Row],[html_type]]&amp;Table1[[#This Row],[html_modifier]]</f>
        <v/>
      </c>
      <c r="AL2268" s="22" t="str">
        <f>IFERROR(_xlfn.XLOOKUP(Table1[[#This Row],[word]],Table57[English style name],Table57[Style type]),"")</f>
        <v>Paragraph</v>
      </c>
      <c r="AM2268" s="20" t="s">
        <v>820</v>
      </c>
      <c r="AN2268" s="11"/>
    </row>
    <row r="2269" spans="3:44">
      <c r="D2269" t="s">
        <v>3375</v>
      </c>
      <c r="E2269" s="11" t="s">
        <v>3376</v>
      </c>
      <c r="F22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9" s="13"/>
      <c r="H2269" s="13"/>
      <c r="I2269" s="12" t="str">
        <f>Table1[[#This Row],[type]]</f>
        <v>paragraph</v>
      </c>
      <c r="J2269" s="62" t="str">
        <f>Table1[[#This Row],[Column42]]&amp;IF(Table1[[#This Row],[Column13]]="","",Table1[[#This Row],[Column13]])&amp;IF(Table1[[#This Row],[mod]]="","",Table1[[#This Row],[mod]])</f>
        <v>paragraph__table</v>
      </c>
      <c r="K22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paragraph__table</v>
      </c>
      <c r="L2269" t="s">
        <v>0</v>
      </c>
      <c r="M2269" t="s">
        <v>91</v>
      </c>
      <c r="P2269" t="s">
        <v>3300</v>
      </c>
      <c r="Q22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9" s="29"/>
      <c r="AC2269" s="25"/>
      <c r="AD2269" s="41"/>
      <c r="AE2269" s="41"/>
      <c r="AF2269" s="11"/>
      <c r="AH2269" s="7" t="str">
        <f>Table1[[#This Row],[html_tag]]&amp;Table1[[#This Row],[html_type]]&amp;Table1[[#This Row],[html_modifier]]</f>
        <v/>
      </c>
      <c r="AL2269" s="23" t="str">
        <f>IFERROR(_xlfn.XLOOKUP(Table1[[#This Row],[word]],Table57[English style name],Table57[Style type]),"")</f>
        <v/>
      </c>
      <c r="AM2269" s="21"/>
      <c r="AN2269" s="11"/>
    </row>
    <row r="2270" spans="3:44">
      <c r="E2270" s="11"/>
      <c r="F22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0" s="13" t="s">
        <v>2992</v>
      </c>
      <c r="H2270" s="13" t="s">
        <v>1</v>
      </c>
      <c r="I2270" s="12" t="str">
        <f>Table1[[#This Row],[type]]</f>
        <v>paragraph</v>
      </c>
      <c r="J2270" s="62" t="str">
        <f>Table1[[#This Row],[Column42]]&amp;IF(Table1[[#This Row],[Column13]]="","",Table1[[#This Row],[Column13]])&amp;IF(Table1[[#This Row],[mod]]="","",Table1[[#This Row],[mod]])</f>
        <v>paragraph__table</v>
      </c>
      <c r="K22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paragraph__table</v>
      </c>
      <c r="L2270" t="s">
        <v>0</v>
      </c>
      <c r="M2270" t="s">
        <v>91</v>
      </c>
      <c r="Q22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0" s="29"/>
      <c r="AC2270" s="25"/>
      <c r="AD2270" s="41"/>
      <c r="AE2270" s="41"/>
      <c r="AF2270" s="11"/>
      <c r="AH2270" s="1" t="str">
        <f>Table1[[#This Row],[html_tag]]&amp;Table1[[#This Row],[html_type]]&amp;Table1[[#This Row],[html_modifier]]</f>
        <v/>
      </c>
      <c r="AL2270" s="22" t="str">
        <f>IFERROR(_xlfn.XLOOKUP(Table1[[#This Row],[word]],Table57[English style name],Table57[Style type]),"")</f>
        <v/>
      </c>
      <c r="AM2270" s="20"/>
      <c r="AN2270" s="11"/>
      <c r="AO2270" t="s">
        <v>63</v>
      </c>
      <c r="AP2270" t="s">
        <v>64</v>
      </c>
      <c r="AQ2270" t="s">
        <v>62</v>
      </c>
    </row>
    <row r="2271" spans="3:44">
      <c r="C2271">
        <v>1</v>
      </c>
      <c r="D2271" t="s">
        <v>3242</v>
      </c>
      <c r="E2271" s="11"/>
      <c r="F22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1" s="13"/>
      <c r="H2271" s="13"/>
      <c r="I2271" s="12" t="str">
        <f>Table1[[#This Row],[type]]</f>
        <v>paragraph</v>
      </c>
      <c r="J2271" s="62" t="str">
        <f>Table1[[#This Row],[Column42]]&amp;IF(Table1[[#This Row],[Column13]]="","",Table1[[#This Row],[Column13]])&amp;IF(Table1[[#This Row],[mod]]="","",Table1[[#This Row],[mod]])</f>
        <v>paragraph__title</v>
      </c>
      <c r="K22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</v>
      </c>
      <c r="L2271" t="s">
        <v>0</v>
      </c>
      <c r="O2271" t="s">
        <v>333</v>
      </c>
      <c r="Q22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1" s="29"/>
      <c r="AC2271" s="25"/>
      <c r="AD2271" s="41"/>
      <c r="AE2271" s="41"/>
      <c r="AF2271" s="11" t="s">
        <v>1137</v>
      </c>
      <c r="AH2271" s="1" t="str">
        <f>Table1[[#This Row],[html_tag]]&amp;Table1[[#This Row],[html_type]]&amp;Table1[[#This Row],[html_modifier]]</f>
        <v/>
      </c>
      <c r="AL2271" s="22" t="str">
        <f>IFERROR(_xlfn.XLOOKUP(Table1[[#This Row],[word]],Table57[English style name],Table57[Style type]),"")</f>
        <v>Paragraph</v>
      </c>
      <c r="AM2271" s="20" t="s">
        <v>798</v>
      </c>
      <c r="AN2271" s="11"/>
    </row>
    <row r="2272" spans="3:44">
      <c r="D2272" t="s">
        <v>3299</v>
      </c>
      <c r="E2272" s="11"/>
      <c r="F22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2" s="13"/>
      <c r="H2272" s="13"/>
      <c r="I2272" s="12" t="str">
        <f>Table1[[#This Row],[type]]</f>
        <v>paragraph</v>
      </c>
      <c r="J2272" s="62" t="str">
        <f>Table1[[#This Row],[Column42]]&amp;IF(Table1[[#This Row],[Column13]]="","",Table1[[#This Row],[Column13]])&amp;IF(Table1[[#This Row],[mod]]="","",Table1[[#This Row],[mod]])</f>
        <v>paragraph__title_page__affiliation</v>
      </c>
      <c r="K22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paragraph__title_page__affiliation</v>
      </c>
      <c r="L2272" t="s">
        <v>0</v>
      </c>
      <c r="M2272" t="s">
        <v>3402</v>
      </c>
      <c r="O2272" t="s">
        <v>3404</v>
      </c>
      <c r="Q22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2" s="29"/>
      <c r="AC2272" s="25"/>
      <c r="AD2272" s="41"/>
      <c r="AE2272" s="41"/>
      <c r="AF2272" s="11"/>
      <c r="AH2272" s="7" t="str">
        <f>Table1[[#This Row],[html_tag]]&amp;Table1[[#This Row],[html_type]]&amp;Table1[[#This Row],[html_modifier]]</f>
        <v/>
      </c>
      <c r="AL2272" s="23" t="str">
        <f>IFERROR(_xlfn.XLOOKUP(Table1[[#This Row],[word]],Table57[English style name],Table57[Style type]),"")</f>
        <v/>
      </c>
      <c r="AM2272" s="21"/>
      <c r="AN2272" s="11"/>
    </row>
    <row r="2273" spans="3:40">
      <c r="D2273" t="s">
        <v>3299</v>
      </c>
      <c r="E2273" s="11"/>
      <c r="F22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3" s="13"/>
      <c r="H2273" s="13"/>
      <c r="I2273" s="12" t="str">
        <f>Table1[[#This Row],[type]]</f>
        <v>paragraph</v>
      </c>
      <c r="J2273" s="62" t="str">
        <f>Table1[[#This Row],[Column42]]&amp;IF(Table1[[#This Row],[Column13]]="","",Table1[[#This Row],[Column13]])&amp;IF(Table1[[#This Row],[mod]]="","",Table1[[#This Row],[mod]])</f>
        <v>paragraph__title_page__author</v>
      </c>
      <c r="K22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paragraph__title_page__author</v>
      </c>
      <c r="L2273" t="s">
        <v>0</v>
      </c>
      <c r="M2273" t="s">
        <v>3402</v>
      </c>
      <c r="O2273" t="s">
        <v>334</v>
      </c>
      <c r="Q22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3" s="29"/>
      <c r="AC2273" s="25"/>
      <c r="AD2273" s="41"/>
      <c r="AE2273" s="41"/>
      <c r="AF2273" s="11"/>
      <c r="AH2273" s="7" t="str">
        <f>Table1[[#This Row],[html_tag]]&amp;Table1[[#This Row],[html_type]]&amp;Table1[[#This Row],[html_modifier]]</f>
        <v/>
      </c>
      <c r="AL2273" s="23" t="str">
        <f>IFERROR(_xlfn.XLOOKUP(Table1[[#This Row],[word]],Table57[English style name],Table57[Style type]),"")</f>
        <v/>
      </c>
      <c r="AM2273" s="21"/>
      <c r="AN2273" s="11"/>
    </row>
    <row r="2274" spans="3:40">
      <c r="D2274" t="s">
        <v>3299</v>
      </c>
      <c r="E2274" s="11"/>
      <c r="F22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4" s="13"/>
      <c r="H2274" s="13"/>
      <c r="I2274" s="12" t="str">
        <f>Table1[[#This Row],[type]]</f>
        <v>paragraph</v>
      </c>
      <c r="J2274" s="62" t="str">
        <f>Table1[[#This Row],[Column42]]&amp;IF(Table1[[#This Row],[Column13]]="","",Table1[[#This Row],[Column13]])&amp;IF(Table1[[#This Row],[mod]]="","",Table1[[#This Row],[mod]])</f>
        <v>paragraph__title_page__Editor’s note</v>
      </c>
      <c r="K22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paragraph__title_page__Editor’s note</v>
      </c>
      <c r="L2274" t="s">
        <v>0</v>
      </c>
      <c r="M2274" t="s">
        <v>3402</v>
      </c>
      <c r="O2274" t="s">
        <v>3340</v>
      </c>
      <c r="Q22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4" s="29"/>
      <c r="AC2274" s="25"/>
      <c r="AD2274" s="41"/>
      <c r="AE2274" s="41"/>
      <c r="AF2274" s="11"/>
      <c r="AH2274" s="7" t="str">
        <f>Table1[[#This Row],[html_tag]]&amp;Table1[[#This Row],[html_type]]&amp;Table1[[#This Row],[html_modifier]]</f>
        <v/>
      </c>
      <c r="AL2274" s="23" t="str">
        <f>IFERROR(_xlfn.XLOOKUP(Table1[[#This Row],[word]],Table57[English style name],Table57[Style type]),"")</f>
        <v/>
      </c>
      <c r="AM2274" s="21"/>
      <c r="AN2274" s="11"/>
    </row>
    <row r="2275" spans="3:40">
      <c r="D2275" t="s">
        <v>3299</v>
      </c>
      <c r="E2275" s="11"/>
      <c r="F22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5" s="13"/>
      <c r="H2275" s="13"/>
      <c r="I2275" s="12" t="str">
        <f>Table1[[#This Row],[type]]</f>
        <v>paragraph</v>
      </c>
      <c r="J2275" s="62" t="str">
        <f>Table1[[#This Row],[Column42]]&amp;IF(Table1[[#This Row],[Column13]]="","",Table1[[#This Row],[Column13]])&amp;IF(Table1[[#This Row],[mod]]="","",Table1[[#This Row],[mod]])</f>
        <v>paragraph__title_page__subtitle</v>
      </c>
      <c r="K22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paragraph__title_page__subtitle</v>
      </c>
      <c r="L2275" t="s">
        <v>0</v>
      </c>
      <c r="M2275" t="s">
        <v>3402</v>
      </c>
      <c r="O2275" t="s">
        <v>3359</v>
      </c>
      <c r="Q22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5" s="29"/>
      <c r="AC2275" s="25"/>
      <c r="AD2275" s="41"/>
      <c r="AE2275" s="41"/>
      <c r="AF2275" s="11"/>
      <c r="AH2275" s="7" t="str">
        <f>Table1[[#This Row],[html_tag]]&amp;Table1[[#This Row],[html_type]]&amp;Table1[[#This Row],[html_modifier]]</f>
        <v/>
      </c>
      <c r="AL2275" s="23" t="str">
        <f>IFERROR(_xlfn.XLOOKUP(Table1[[#This Row],[word]],Table57[English style name],Table57[Style type]),"")</f>
        <v/>
      </c>
      <c r="AM2275" s="21"/>
      <c r="AN2275" s="11"/>
    </row>
    <row r="2276" spans="3:40">
      <c r="D2276" t="s">
        <v>3299</v>
      </c>
      <c r="E2276" s="11"/>
      <c r="F22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6" s="13"/>
      <c r="H2276" s="13"/>
      <c r="I2276" s="12" t="str">
        <f>Table1[[#This Row],[type]]</f>
        <v>paragraph</v>
      </c>
      <c r="J2276" s="62" t="str">
        <f>Table1[[#This Row],[Column42]]&amp;IF(Table1[[#This Row],[Column13]]="","",Table1[[#This Row],[Column13]])&amp;IF(Table1[[#This Row],[mod]]="","",Table1[[#This Row],[mod]])</f>
        <v>paragraph__title_page__title</v>
      </c>
      <c r="K22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paragraph__title_page__title</v>
      </c>
      <c r="L2276" t="s">
        <v>0</v>
      </c>
      <c r="M2276" t="s">
        <v>3402</v>
      </c>
      <c r="O2276" t="s">
        <v>333</v>
      </c>
      <c r="Q22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6" s="29"/>
      <c r="AC2276" s="25"/>
      <c r="AD2276" s="41"/>
      <c r="AE2276" s="41"/>
      <c r="AF2276" s="11"/>
      <c r="AH2276" s="7" t="str">
        <f>Table1[[#This Row],[html_tag]]&amp;Table1[[#This Row],[html_type]]&amp;Table1[[#This Row],[html_modifier]]</f>
        <v/>
      </c>
      <c r="AL2276" s="23" t="str">
        <f>IFERROR(_xlfn.XLOOKUP(Table1[[#This Row],[word]],Table57[English style name],Table57[Style type]),"")</f>
        <v/>
      </c>
      <c r="AM2276" s="21"/>
      <c r="AN2276" s="11"/>
    </row>
    <row r="2277" spans="3:40">
      <c r="D2277" t="s">
        <v>3299</v>
      </c>
      <c r="E2277" s="11"/>
      <c r="F22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7" s="13"/>
      <c r="H2277" s="13"/>
      <c r="I2277" s="12" t="str">
        <f>Table1[[#This Row],[type]]</f>
        <v>paragraph</v>
      </c>
      <c r="J2277" s="62" t="str">
        <f>Table1[[#This Row],[Column42]]&amp;IF(Table1[[#This Row],[Column13]]="","",Table1[[#This Row],[Column13]])&amp;IF(Table1[[#This Row],[mod]]="","",Table1[[#This Row],[mod]])</f>
        <v>paragraph__title_page__translator</v>
      </c>
      <c r="K22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paragraph__title_page__translator</v>
      </c>
      <c r="L2277" t="s">
        <v>0</v>
      </c>
      <c r="M2277" t="s">
        <v>3402</v>
      </c>
      <c r="O2277" t="s">
        <v>3403</v>
      </c>
      <c r="Q22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7" s="29"/>
      <c r="AC2277" s="25"/>
      <c r="AD2277" s="41"/>
      <c r="AE2277" s="41"/>
      <c r="AF2277" s="11"/>
      <c r="AH2277" s="7" t="str">
        <f>Table1[[#This Row],[html_tag]]&amp;Table1[[#This Row],[html_type]]&amp;Table1[[#This Row],[html_modifier]]</f>
        <v/>
      </c>
      <c r="AL2277" s="23" t="str">
        <f>IFERROR(_xlfn.XLOOKUP(Table1[[#This Row],[word]],Table57[English style name],Table57[Style type]),"")</f>
        <v/>
      </c>
      <c r="AM2277" s="21"/>
      <c r="AN2277" s="11"/>
    </row>
    <row r="2278" spans="3:40">
      <c r="C2278">
        <v>1</v>
      </c>
      <c r="D2278" t="s">
        <v>3375</v>
      </c>
      <c r="E2278" s="11" t="s">
        <v>3376</v>
      </c>
      <c r="F22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8" s="13"/>
      <c r="H2278" s="13"/>
      <c r="I2278" s="12" t="str">
        <f>Table1[[#This Row],[type]]</f>
        <v>paragraph</v>
      </c>
      <c r="J2278" s="62" t="str">
        <f>Table1[[#This Row],[Column42]]&amp;IF(Table1[[#This Row],[Column13]]="","",Table1[[#This Row],[Column13]])&amp;IF(Table1[[#This Row],[mod]]="","",Table1[[#This Row],[mod]])</f>
        <v>paragraph__toa__heading</v>
      </c>
      <c r="K22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paragraph__toa__heading</v>
      </c>
      <c r="L2278" t="s">
        <v>0</v>
      </c>
      <c r="M2278" t="s">
        <v>3380</v>
      </c>
      <c r="O2278" t="s">
        <v>100</v>
      </c>
      <c r="Q22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8" s="29"/>
      <c r="AC2278" s="25"/>
      <c r="AD2278" s="41"/>
      <c r="AE2278" s="41"/>
      <c r="AF2278" s="11" t="s">
        <v>1138</v>
      </c>
      <c r="AG2278" t="s">
        <v>3251</v>
      </c>
      <c r="AH2278" s="1" t="str">
        <f>Table1[[#This Row],[html_tag]]&amp;Table1[[#This Row],[html_type]]&amp;Table1[[#This Row],[html_modifier]]</f>
        <v/>
      </c>
      <c r="AL2278" s="22" t="str">
        <f>IFERROR(_xlfn.XLOOKUP(Table1[[#This Row],[word]],Table57[English style name],Table57[Style type]),"")</f>
        <v>Paragraph</v>
      </c>
      <c r="AM2278" s="20" t="s">
        <v>768</v>
      </c>
      <c r="AN2278" s="11"/>
    </row>
    <row r="2279" spans="3:40">
      <c r="D2279" t="s">
        <v>3375</v>
      </c>
      <c r="E2279" s="11" t="s">
        <v>3376</v>
      </c>
      <c r="F22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9" s="13"/>
      <c r="H2279" s="13"/>
      <c r="I2279" s="12" t="str">
        <f>Table1[[#This Row],[type]]</f>
        <v>paragraph</v>
      </c>
      <c r="J2279" s="62" t="str">
        <f>Table1[[#This Row],[Column42]]&amp;IF(Table1[[#This Row],[Column13]]="","",Table1[[#This Row],[Column13]])&amp;IF(Table1[[#This Row],[mod]]="","",Table1[[#This Row],[mod]])</f>
        <v>paragraph__toc</v>
      </c>
      <c r="K22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</v>
      </c>
      <c r="L2279" t="s">
        <v>0</v>
      </c>
      <c r="M2279" t="s">
        <v>2870</v>
      </c>
      <c r="Q22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9" s="29"/>
      <c r="AC2279" s="25"/>
      <c r="AD2279" s="41"/>
      <c r="AE2279" s="41"/>
      <c r="AF2279" s="11"/>
      <c r="AH2279" s="7" t="str">
        <f>Table1[[#This Row],[html_tag]]&amp;Table1[[#This Row],[html_type]]&amp;Table1[[#This Row],[html_modifier]]</f>
        <v/>
      </c>
      <c r="AL2279" s="23" t="str">
        <f>IFERROR(_xlfn.XLOOKUP(Table1[[#This Row],[word]],Table57[English style name],Table57[Style type]),"")</f>
        <v/>
      </c>
      <c r="AM2279" s="21"/>
      <c r="AN2279" s="11"/>
    </row>
    <row r="2280" spans="3:40">
      <c r="D2280" t="s">
        <v>3375</v>
      </c>
      <c r="E2280" s="11" t="s">
        <v>3376</v>
      </c>
      <c r="F22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0" s="13"/>
      <c r="H2280" s="13"/>
      <c r="I2280" s="12" t="str">
        <f>Table1[[#This Row],[type]]</f>
        <v>paragraph</v>
      </c>
      <c r="J2280" s="62" t="str">
        <f>Table1[[#This Row],[Column42]]&amp;IF(Table1[[#This Row],[Column13]]="","",Table1[[#This Row],[Column13]])&amp;IF(Table1[[#This Row],[mod]]="","",Table1[[#This Row],[mod]])</f>
        <v>paragraph__toc__entry</v>
      </c>
      <c r="K22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paragraph__toc__entry</v>
      </c>
      <c r="L2280" t="s">
        <v>0</v>
      </c>
      <c r="M2280" t="s">
        <v>2870</v>
      </c>
      <c r="O2280" t="s">
        <v>3374</v>
      </c>
      <c r="Q22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80" s="29"/>
      <c r="AC2280" s="25"/>
      <c r="AD2280" s="41"/>
      <c r="AE2280" s="41"/>
      <c r="AF2280" s="11"/>
      <c r="AH2280" s="7" t="str">
        <f>Table1[[#This Row],[html_tag]]&amp;Table1[[#This Row],[html_type]]&amp;Table1[[#This Row],[html_modifier]]</f>
        <v/>
      </c>
      <c r="AL2280" s="23" t="str">
        <f>IFERROR(_xlfn.XLOOKUP(Table1[[#This Row],[word]],Table57[English style name],Table57[Style type]),"")</f>
        <v/>
      </c>
      <c r="AM2280" s="21"/>
      <c r="AN2280" s="11"/>
    </row>
    <row r="2281" spans="3:40">
      <c r="D2281" t="s">
        <v>3375</v>
      </c>
      <c r="E2281" s="11" t="s">
        <v>3376</v>
      </c>
      <c r="F22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1" s="13"/>
      <c r="H2281" s="13"/>
      <c r="I2281" s="12" t="str">
        <f>Table1[[#This Row],[type]]</f>
        <v>paragraph</v>
      </c>
      <c r="J2281" s="62" t="str">
        <f>Table1[[#This Row],[Column42]]&amp;IF(Table1[[#This Row],[Column13]]="","",Table1[[#This Row],[Column13]])&amp;IF(Table1[[#This Row],[mod]]="","",Table1[[#This Row],[mod]])</f>
        <v>paragraph__toc__entry</v>
      </c>
      <c r="K22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paragraph__toc__entry</v>
      </c>
      <c r="L2281" t="s">
        <v>0</v>
      </c>
      <c r="M2281" t="s">
        <v>2870</v>
      </c>
      <c r="O2281" t="s">
        <v>3374</v>
      </c>
      <c r="Q22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81" s="29"/>
      <c r="AC2281" s="25"/>
      <c r="AD2281" s="41"/>
      <c r="AE2281" s="41"/>
      <c r="AF2281" s="11"/>
      <c r="AH2281" s="7" t="str">
        <f>Table1[[#This Row],[html_tag]]&amp;Table1[[#This Row],[html_type]]&amp;Table1[[#This Row],[html_modifier]]</f>
        <v/>
      </c>
      <c r="AL2281" s="23" t="str">
        <f>IFERROR(_xlfn.XLOOKUP(Table1[[#This Row],[word]],Table57[English style name],Table57[Style type]),"")</f>
        <v/>
      </c>
      <c r="AM2281" s="21"/>
      <c r="AN2281" s="11"/>
    </row>
    <row r="2282" spans="3:40">
      <c r="C2282">
        <v>1</v>
      </c>
      <c r="D2282" t="s">
        <v>3375</v>
      </c>
      <c r="E2282" s="11" t="s">
        <v>3376</v>
      </c>
      <c r="F22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2" s="13"/>
      <c r="H2282" s="13"/>
      <c r="I2282" s="12" t="str">
        <f>Table1[[#This Row],[type]]</f>
        <v>paragraph</v>
      </c>
      <c r="J2282" s="62" t="str">
        <f>Table1[[#This Row],[Column42]]&amp;IF(Table1[[#This Row],[Column13]]="","",Table1[[#This Row],[Column13]])&amp;IF(Table1[[#This Row],[mod]]="","",Table1[[#This Row],[mod]])</f>
        <v>paragraph__toc__heading</v>
      </c>
      <c r="K22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paragraph__toc__heading</v>
      </c>
      <c r="L2282" t="s">
        <v>0</v>
      </c>
      <c r="M2282" t="s">
        <v>2870</v>
      </c>
      <c r="O2282" t="s">
        <v>100</v>
      </c>
      <c r="Q22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82" s="29"/>
      <c r="AC2282" s="25"/>
      <c r="AD2282" s="41"/>
      <c r="AE2282" s="41"/>
      <c r="AF2282" s="11" t="s">
        <v>1138</v>
      </c>
      <c r="AG2282" t="s">
        <v>3251</v>
      </c>
      <c r="AH2282" s="1" t="str">
        <f>Table1[[#This Row],[html_tag]]&amp;Table1[[#This Row],[html_type]]&amp;Table1[[#This Row],[html_modifier]]</f>
        <v/>
      </c>
      <c r="AL2282" s="22" t="str">
        <f>IFERROR(_xlfn.XLOOKUP(Table1[[#This Row],[word]],Table57[English style name],Table57[Style type]),"")</f>
        <v>Paragraph</v>
      </c>
      <c r="AM2282" s="20" t="s">
        <v>868</v>
      </c>
      <c r="AN2282" s="11"/>
    </row>
    <row r="2283" spans="3:40">
      <c r="C2283">
        <v>1</v>
      </c>
      <c r="D2283" t="s">
        <v>3375</v>
      </c>
      <c r="E2283" s="11" t="s">
        <v>3376</v>
      </c>
      <c r="F22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3" s="13"/>
      <c r="H2283" s="13"/>
      <c r="I2283" s="12" t="str">
        <f>Table1[[#This Row],[type]]</f>
        <v>paragraph</v>
      </c>
      <c r="J2283" s="62" t="str">
        <f>Table1[[#This Row],[Column42]]&amp;IF(Table1[[#This Row],[Column13]]="","",Table1[[#This Row],[Column13]])&amp;IF(Table1[[#This Row],[mod]]="","",Table1[[#This Row],[mod]])</f>
        <v>paragraph__toc__level--1</v>
      </c>
      <c r="K22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3" t="s">
        <v>0</v>
      </c>
      <c r="M2283" t="s">
        <v>2870</v>
      </c>
      <c r="O2283" t="s">
        <v>3355</v>
      </c>
      <c r="Q22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283">
        <v>1</v>
      </c>
      <c r="AB2283" s="29"/>
      <c r="AC2283" s="25"/>
      <c r="AD2283" s="41"/>
      <c r="AE2283" s="41"/>
      <c r="AF2283" s="11" t="s">
        <v>211</v>
      </c>
      <c r="AG2283" t="s">
        <v>3269</v>
      </c>
      <c r="AH2283" s="1" t="str">
        <f>Table1[[#This Row],[html_tag]]&amp;Table1[[#This Row],[html_type]]&amp;Table1[[#This Row],[html_modifier]]</f>
        <v/>
      </c>
      <c r="AL2283" s="22" t="str">
        <f>IFERROR(_xlfn.XLOOKUP(Table1[[#This Row],[word]],Table57[English style name],Table57[Style type]),"")</f>
        <v>Paragraph</v>
      </c>
      <c r="AM2283" s="20" t="s">
        <v>725</v>
      </c>
      <c r="AN2283" s="11"/>
    </row>
    <row r="2284" spans="3:40">
      <c r="C2284">
        <v>1</v>
      </c>
      <c r="D2284" t="s">
        <v>3375</v>
      </c>
      <c r="E2284" s="11" t="s">
        <v>3376</v>
      </c>
      <c r="F22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4" s="13"/>
      <c r="H2284" s="13"/>
      <c r="I2284" s="12" t="str">
        <f>Table1[[#This Row],[type]]</f>
        <v>paragraph</v>
      </c>
      <c r="J2284" s="62" t="str">
        <f>Table1[[#This Row],[Column42]]&amp;IF(Table1[[#This Row],[Column13]]="","",Table1[[#This Row],[Column13]])&amp;IF(Table1[[#This Row],[mod]]="","",Table1[[#This Row],[mod]])</f>
        <v>paragraph__toc__level--2</v>
      </c>
      <c r="K22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4" t="s">
        <v>0</v>
      </c>
      <c r="M2284" t="s">
        <v>2870</v>
      </c>
      <c r="O2284" t="s">
        <v>3355</v>
      </c>
      <c r="Q22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284">
        <v>2</v>
      </c>
      <c r="AB2284" s="29"/>
      <c r="AC2284" s="25"/>
      <c r="AD2284" s="41"/>
      <c r="AE2284" s="41"/>
      <c r="AF2284" s="11" t="s">
        <v>211</v>
      </c>
      <c r="AG2284" t="s">
        <v>3269</v>
      </c>
      <c r="AH2284" s="1" t="str">
        <f>Table1[[#This Row],[html_tag]]&amp;Table1[[#This Row],[html_type]]&amp;Table1[[#This Row],[html_modifier]]</f>
        <v/>
      </c>
      <c r="AL2284" s="22" t="str">
        <f>IFERROR(_xlfn.XLOOKUP(Table1[[#This Row],[word]],Table57[English style name],Table57[Style type]),"")</f>
        <v>Paragraph</v>
      </c>
      <c r="AM2284" s="20" t="s">
        <v>727</v>
      </c>
      <c r="AN2284" s="11"/>
    </row>
    <row r="2285" spans="3:40">
      <c r="C2285">
        <v>1</v>
      </c>
      <c r="D2285" t="s">
        <v>3375</v>
      </c>
      <c r="E2285" s="11" t="s">
        <v>3376</v>
      </c>
      <c r="F22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5" s="13"/>
      <c r="H2285" s="13"/>
      <c r="I2285" s="12" t="str">
        <f>Table1[[#This Row],[type]]</f>
        <v>paragraph</v>
      </c>
      <c r="J2285" s="62" t="str">
        <f>Table1[[#This Row],[Column42]]&amp;IF(Table1[[#This Row],[Column13]]="","",Table1[[#This Row],[Column13]])&amp;IF(Table1[[#This Row],[mod]]="","",Table1[[#This Row],[mod]])</f>
        <v>paragraph__toc__level--3</v>
      </c>
      <c r="K22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5" t="s">
        <v>0</v>
      </c>
      <c r="M2285" t="s">
        <v>2870</v>
      </c>
      <c r="O2285" t="s">
        <v>3355</v>
      </c>
      <c r="Q22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285">
        <v>3</v>
      </c>
      <c r="AB2285" s="29"/>
      <c r="AC2285" s="25"/>
      <c r="AD2285" s="41"/>
      <c r="AE2285" s="41"/>
      <c r="AF2285" s="11" t="s">
        <v>211</v>
      </c>
      <c r="AG2285" t="s">
        <v>3269</v>
      </c>
      <c r="AH2285" s="1" t="str">
        <f>Table1[[#This Row],[html_tag]]&amp;Table1[[#This Row],[html_type]]&amp;Table1[[#This Row],[html_modifier]]</f>
        <v/>
      </c>
      <c r="AL2285" s="22" t="str">
        <f>IFERROR(_xlfn.XLOOKUP(Table1[[#This Row],[word]],Table57[English style name],Table57[Style type]),"")</f>
        <v>Paragraph</v>
      </c>
      <c r="AM2285" s="20" t="s">
        <v>729</v>
      </c>
      <c r="AN2285" s="11"/>
    </row>
    <row r="2286" spans="3:40">
      <c r="C2286">
        <v>1</v>
      </c>
      <c r="D2286" t="s">
        <v>3375</v>
      </c>
      <c r="E2286" s="11" t="s">
        <v>3376</v>
      </c>
      <c r="F22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6" s="13"/>
      <c r="H2286" s="13"/>
      <c r="I2286" s="12" t="str">
        <f>Table1[[#This Row],[type]]</f>
        <v>paragraph</v>
      </c>
      <c r="J2286" s="62" t="str">
        <f>Table1[[#This Row],[Column42]]&amp;IF(Table1[[#This Row],[Column13]]="","",Table1[[#This Row],[Column13]])&amp;IF(Table1[[#This Row],[mod]]="","",Table1[[#This Row],[mod]])</f>
        <v>paragraph__toc__level--4</v>
      </c>
      <c r="K22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6" t="s">
        <v>0</v>
      </c>
      <c r="M2286" t="s">
        <v>2870</v>
      </c>
      <c r="O2286" t="s">
        <v>3355</v>
      </c>
      <c r="Q22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286">
        <v>4</v>
      </c>
      <c r="AB2286" s="29"/>
      <c r="AC2286" s="25"/>
      <c r="AD2286" s="41"/>
      <c r="AE2286" s="41"/>
      <c r="AF2286" s="11" t="s">
        <v>211</v>
      </c>
      <c r="AG2286" t="s">
        <v>3269</v>
      </c>
      <c r="AH2286" s="1" t="str">
        <f>Table1[[#This Row],[html_tag]]&amp;Table1[[#This Row],[html_type]]&amp;Table1[[#This Row],[html_modifier]]</f>
        <v/>
      </c>
      <c r="AL2286" s="22" t="str">
        <f>IFERROR(_xlfn.XLOOKUP(Table1[[#This Row],[word]],Table57[English style name],Table57[Style type]),"")</f>
        <v>Paragraph</v>
      </c>
      <c r="AM2286" s="20" t="s">
        <v>731</v>
      </c>
      <c r="AN2286" s="11"/>
    </row>
    <row r="2287" spans="3:40">
      <c r="C2287">
        <v>1</v>
      </c>
      <c r="D2287" t="s">
        <v>3375</v>
      </c>
      <c r="E2287" s="11" t="s">
        <v>3376</v>
      </c>
      <c r="F22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7" s="13"/>
      <c r="H2287" s="13"/>
      <c r="I2287" s="12" t="str">
        <f>Table1[[#This Row],[type]]</f>
        <v>paragraph</v>
      </c>
      <c r="J2287" s="62" t="str">
        <f>Table1[[#This Row],[Column42]]&amp;IF(Table1[[#This Row],[Column13]]="","",Table1[[#This Row],[Column13]])&amp;IF(Table1[[#This Row],[mod]]="","",Table1[[#This Row],[mod]])</f>
        <v>paragraph__toc__level--5</v>
      </c>
      <c r="K22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7" t="s">
        <v>0</v>
      </c>
      <c r="M2287" t="s">
        <v>2870</v>
      </c>
      <c r="O2287" t="s">
        <v>3355</v>
      </c>
      <c r="Q22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287">
        <v>5</v>
      </c>
      <c r="AB2287" s="29"/>
      <c r="AC2287" s="25"/>
      <c r="AD2287" s="41"/>
      <c r="AE2287" s="41"/>
      <c r="AF2287" s="11" t="s">
        <v>211</v>
      </c>
      <c r="AG2287" t="s">
        <v>3269</v>
      </c>
      <c r="AH2287" s="1" t="str">
        <f>Table1[[#This Row],[html_tag]]&amp;Table1[[#This Row],[html_type]]&amp;Table1[[#This Row],[html_modifier]]</f>
        <v/>
      </c>
      <c r="AL2287" s="22" t="str">
        <f>IFERROR(_xlfn.XLOOKUP(Table1[[#This Row],[word]],Table57[English style name],Table57[Style type]),"")</f>
        <v>Paragraph</v>
      </c>
      <c r="AM2287" s="20" t="s">
        <v>733</v>
      </c>
      <c r="AN2287" s="11"/>
    </row>
    <row r="2288" spans="3:40">
      <c r="C2288">
        <v>1</v>
      </c>
      <c r="D2288" t="s">
        <v>3375</v>
      </c>
      <c r="E2288" s="11" t="s">
        <v>3376</v>
      </c>
      <c r="F22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8" s="13"/>
      <c r="H2288" s="13"/>
      <c r="I2288" s="12" t="str">
        <f>Table1[[#This Row],[type]]</f>
        <v>paragraph</v>
      </c>
      <c r="J2288" s="62" t="str">
        <f>Table1[[#This Row],[Column42]]&amp;IF(Table1[[#This Row],[Column13]]="","",Table1[[#This Row],[Column13]])&amp;IF(Table1[[#This Row],[mod]]="","",Table1[[#This Row],[mod]])</f>
        <v>paragraph__toc__level--6</v>
      </c>
      <c r="K22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8" t="s">
        <v>0</v>
      </c>
      <c r="M2288" t="s">
        <v>2870</v>
      </c>
      <c r="O2288" t="s">
        <v>3355</v>
      </c>
      <c r="Q22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</v>
      </c>
      <c r="AA2288">
        <v>6</v>
      </c>
      <c r="AB2288" s="29"/>
      <c r="AC2288" s="25"/>
      <c r="AD2288" s="41"/>
      <c r="AE2288" s="41"/>
      <c r="AF2288" s="11" t="s">
        <v>211</v>
      </c>
      <c r="AG2288" t="s">
        <v>3269</v>
      </c>
      <c r="AH2288" s="1" t="str">
        <f>Table1[[#This Row],[html_tag]]&amp;Table1[[#This Row],[html_type]]&amp;Table1[[#This Row],[html_modifier]]</f>
        <v/>
      </c>
      <c r="AL2288" s="22" t="str">
        <f>IFERROR(_xlfn.XLOOKUP(Table1[[#This Row],[word]],Table57[English style name],Table57[Style type]),"")</f>
        <v>Paragraph</v>
      </c>
      <c r="AM2288" s="20" t="s">
        <v>735</v>
      </c>
      <c r="AN2288" s="11"/>
    </row>
    <row r="2289" spans="3:44">
      <c r="C2289">
        <v>1</v>
      </c>
      <c r="D2289" t="s">
        <v>3375</v>
      </c>
      <c r="E2289" s="11" t="s">
        <v>3376</v>
      </c>
      <c r="F22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9" s="13"/>
      <c r="H2289" s="13"/>
      <c r="I2289" s="12" t="str">
        <f>Table1[[#This Row],[type]]</f>
        <v>paragraph</v>
      </c>
      <c r="J2289" s="62" t="str">
        <f>Table1[[#This Row],[Column42]]&amp;IF(Table1[[#This Row],[Column13]]="","",Table1[[#This Row],[Column13]])&amp;IF(Table1[[#This Row],[mod]]="","",Table1[[#This Row],[mod]])</f>
        <v>paragraph__toc__level--7</v>
      </c>
      <c r="K22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9" t="s">
        <v>0</v>
      </c>
      <c r="M2289" t="s">
        <v>2870</v>
      </c>
      <c r="O2289" t="s">
        <v>3355</v>
      </c>
      <c r="Q22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</v>
      </c>
      <c r="AA2289">
        <v>7</v>
      </c>
      <c r="AB2289" s="29"/>
      <c r="AC2289" s="25"/>
      <c r="AD2289" s="41"/>
      <c r="AE2289" s="41"/>
      <c r="AF2289" s="11" t="s">
        <v>211</v>
      </c>
      <c r="AG2289" t="s">
        <v>3269</v>
      </c>
      <c r="AH2289" s="1" t="str">
        <f>Table1[[#This Row],[html_tag]]&amp;Table1[[#This Row],[html_type]]&amp;Table1[[#This Row],[html_modifier]]</f>
        <v/>
      </c>
      <c r="AL2289" s="22" t="str">
        <f>IFERROR(_xlfn.XLOOKUP(Table1[[#This Row],[word]],Table57[English style name],Table57[Style type]),"")</f>
        <v>Paragraph</v>
      </c>
      <c r="AM2289" s="20" t="s">
        <v>737</v>
      </c>
      <c r="AN2289" s="11"/>
    </row>
    <row r="2290" spans="3:44">
      <c r="C2290">
        <v>1</v>
      </c>
      <c r="D2290" t="s">
        <v>3375</v>
      </c>
      <c r="E2290" s="11" t="s">
        <v>3376</v>
      </c>
      <c r="F22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0" s="13"/>
      <c r="H2290" s="13"/>
      <c r="I2290" s="12" t="str">
        <f>Table1[[#This Row],[type]]</f>
        <v>paragraph</v>
      </c>
      <c r="J2290" s="62" t="str">
        <f>Table1[[#This Row],[Column42]]&amp;IF(Table1[[#This Row],[Column13]]="","",Table1[[#This Row],[Column13]])&amp;IF(Table1[[#This Row],[mod]]="","",Table1[[#This Row],[mod]])</f>
        <v>paragraph__toc__level--8</v>
      </c>
      <c r="K22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90" t="s">
        <v>0</v>
      </c>
      <c r="M2290" t="s">
        <v>2870</v>
      </c>
      <c r="O2290" t="s">
        <v>3355</v>
      </c>
      <c r="Q22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</v>
      </c>
      <c r="AA2290">
        <v>8</v>
      </c>
      <c r="AB2290" s="29"/>
      <c r="AC2290" s="25"/>
      <c r="AD2290" s="41"/>
      <c r="AE2290" s="41"/>
      <c r="AF2290" s="11" t="s">
        <v>211</v>
      </c>
      <c r="AG2290" t="s">
        <v>3269</v>
      </c>
      <c r="AH2290" s="1" t="str">
        <f>Table1[[#This Row],[html_tag]]&amp;Table1[[#This Row],[html_type]]&amp;Table1[[#This Row],[html_modifier]]</f>
        <v/>
      </c>
      <c r="AL2290" s="22" t="str">
        <f>IFERROR(_xlfn.XLOOKUP(Table1[[#This Row],[word]],Table57[English style name],Table57[Style type]),"")</f>
        <v>Paragraph</v>
      </c>
      <c r="AM2290" s="20" t="s">
        <v>739</v>
      </c>
      <c r="AN2290" s="11"/>
    </row>
    <row r="2291" spans="3:44">
      <c r="C2291">
        <v>1</v>
      </c>
      <c r="D2291" t="s">
        <v>3375</v>
      </c>
      <c r="E2291" s="11" t="s">
        <v>3376</v>
      </c>
      <c r="F22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1" s="13"/>
      <c r="H2291" s="13"/>
      <c r="I2291" s="12" t="str">
        <f>Table1[[#This Row],[type]]</f>
        <v>paragraph</v>
      </c>
      <c r="J2291" s="62" t="str">
        <f>Table1[[#This Row],[Column42]]&amp;IF(Table1[[#This Row],[Column13]]="","",Table1[[#This Row],[Column13]])&amp;IF(Table1[[#This Row],[mod]]="","",Table1[[#This Row],[mod]])</f>
        <v>paragraph__toc__level--9</v>
      </c>
      <c r="K22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91" t="s">
        <v>0</v>
      </c>
      <c r="M2291" t="s">
        <v>2870</v>
      </c>
      <c r="O2291" t="s">
        <v>3355</v>
      </c>
      <c r="Q22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</v>
      </c>
      <c r="AA2291">
        <v>9</v>
      </c>
      <c r="AB2291" s="29"/>
      <c r="AC2291" s="25"/>
      <c r="AD2291" s="41"/>
      <c r="AE2291" s="41"/>
      <c r="AF2291" s="11" t="s">
        <v>211</v>
      </c>
      <c r="AG2291" t="s">
        <v>3269</v>
      </c>
      <c r="AH2291" s="1" t="str">
        <f>Table1[[#This Row],[html_tag]]&amp;Table1[[#This Row],[html_type]]&amp;Table1[[#This Row],[html_modifier]]</f>
        <v/>
      </c>
      <c r="AL2291" s="22" t="str">
        <f>IFERROR(_xlfn.XLOOKUP(Table1[[#This Row],[word]],Table57[English style name],Table57[Style type]),"")</f>
        <v>Paragraph</v>
      </c>
      <c r="AM2291" s="20" t="s">
        <v>741</v>
      </c>
      <c r="AN2291" s="11"/>
    </row>
    <row r="2292" spans="3:44">
      <c r="D2292" t="s">
        <v>3375</v>
      </c>
      <c r="E2292" s="11" t="s">
        <v>3376</v>
      </c>
      <c r="F22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2" s="13"/>
      <c r="H2292" s="13"/>
      <c r="I2292" s="12" t="str">
        <f>Table1[[#This Row],[type]]</f>
        <v>paragraph</v>
      </c>
      <c r="J2292" s="62" t="str">
        <f>Table1[[#This Row],[Column42]]&amp;IF(Table1[[#This Row],[Column13]]="","",Table1[[#This Row],[Column13]])&amp;IF(Table1[[#This Row],[mod]]="","",Table1[[#This Row],[mod]])</f>
        <v>paragraph__toc__part</v>
      </c>
      <c r="K22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paragraph__toc__part</v>
      </c>
      <c r="L2292" t="s">
        <v>0</v>
      </c>
      <c r="M2292" t="s">
        <v>2870</v>
      </c>
      <c r="O2292" t="s">
        <v>3401</v>
      </c>
      <c r="Q22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2" s="29"/>
      <c r="AC2292" s="25"/>
      <c r="AD2292" s="41"/>
      <c r="AE2292" s="41"/>
      <c r="AF2292" s="11"/>
      <c r="AH2292" s="7" t="str">
        <f>Table1[[#This Row],[html_tag]]&amp;Table1[[#This Row],[html_type]]&amp;Table1[[#This Row],[html_modifier]]</f>
        <v/>
      </c>
      <c r="AL2292" s="23" t="str">
        <f>IFERROR(_xlfn.XLOOKUP(Table1[[#This Row],[word]],Table57[English style name],Table57[Style type]),"")</f>
        <v/>
      </c>
      <c r="AM2292" s="21"/>
      <c r="AN2292" s="11"/>
    </row>
    <row r="2293" spans="3:44">
      <c r="D2293" t="s">
        <v>3375</v>
      </c>
      <c r="E2293" s="11" t="s">
        <v>3376</v>
      </c>
      <c r="F22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3" s="13"/>
      <c r="H2293" s="13"/>
      <c r="I2293" s="12" t="str">
        <f>Table1[[#This Row],[type]]</f>
        <v>paragraph</v>
      </c>
      <c r="J2293" s="62" t="str">
        <f>Table1[[#This Row],[Column42]]&amp;IF(Table1[[#This Row],[Column13]]="","",Table1[[#This Row],[Column13]])&amp;IF(Table1[[#This Row],[mod]]="","",Table1[[#This Row],[mod]])</f>
        <v>paragraph__toc__title</v>
      </c>
      <c r="K22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paragraph__toc__title</v>
      </c>
      <c r="L2293" t="s">
        <v>0</v>
      </c>
      <c r="M2293" t="s">
        <v>2870</v>
      </c>
      <c r="O2293" t="s">
        <v>333</v>
      </c>
      <c r="Q22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3" s="29"/>
      <c r="AC2293" s="25"/>
      <c r="AD2293" s="41"/>
      <c r="AE2293" s="41"/>
      <c r="AF2293" s="11"/>
      <c r="AH2293" s="7" t="str">
        <f>Table1[[#This Row],[html_tag]]&amp;Table1[[#This Row],[html_type]]&amp;Table1[[#This Row],[html_modifier]]</f>
        <v/>
      </c>
      <c r="AL2293" s="23" t="str">
        <f>IFERROR(_xlfn.XLOOKUP(Table1[[#This Row],[word]],Table57[English style name],Table57[Style type]),"")</f>
        <v/>
      </c>
      <c r="AM2293" s="21"/>
      <c r="AN2293" s="11"/>
    </row>
    <row r="2294" spans="3:44">
      <c r="C2294">
        <v>1</v>
      </c>
      <c r="D2294" t="s">
        <v>3375</v>
      </c>
      <c r="E2294" s="11" t="s">
        <v>3376</v>
      </c>
      <c r="F22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4" s="13"/>
      <c r="H2294" s="13"/>
      <c r="I2294" s="12" t="str">
        <f>Table1[[#This Row],[type]]</f>
        <v>paragraph</v>
      </c>
      <c r="J2294" s="62" t="str">
        <f>Table1[[#This Row],[Column42]]&amp;IF(Table1[[#This Row],[Column13]]="","",Table1[[#This Row],[Column13]])&amp;IF(Table1[[#This Row],[mod]]="","",Table1[[#This Row],[mod]])</f>
        <v>paragraph__tof</v>
      </c>
      <c r="K22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paragraph__tof</v>
      </c>
      <c r="L2294" t="s">
        <v>0</v>
      </c>
      <c r="M2294" t="s">
        <v>3398</v>
      </c>
      <c r="Q22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4" s="29"/>
      <c r="AC2294" s="25"/>
      <c r="AD2294" s="41"/>
      <c r="AE2294" s="41"/>
      <c r="AF2294" s="11" t="s">
        <v>264</v>
      </c>
      <c r="AG2294" t="s">
        <v>3263</v>
      </c>
      <c r="AH2294" s="1" t="str">
        <f>Table1[[#This Row],[html_tag]]&amp;Table1[[#This Row],[html_type]]&amp;Table1[[#This Row],[html_modifier]]</f>
        <v/>
      </c>
      <c r="AL2294" s="22" t="str">
        <f>IFERROR(_xlfn.XLOOKUP(Table1[[#This Row],[word]],Table57[English style name],Table57[Style type]),"")</f>
        <v>Paragraph</v>
      </c>
      <c r="AM2294" s="20" t="s">
        <v>756</v>
      </c>
      <c r="AN2294" s="11"/>
    </row>
    <row r="2295" spans="3:44">
      <c r="D2295" t="s">
        <v>3375</v>
      </c>
      <c r="E2295" s="11" t="s">
        <v>3376</v>
      </c>
      <c r="F22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5" s="13"/>
      <c r="H2295" s="13"/>
      <c r="I2295" s="12" t="str">
        <f>Table1[[#This Row],[type]]</f>
        <v>paragraph</v>
      </c>
      <c r="J2295" s="62" t="str">
        <f>Table1[[#This Row],[Column42]]&amp;IF(Table1[[#This Row],[Column13]]="","",Table1[[#This Row],[Column13]])&amp;IF(Table1[[#This Row],[mod]]="","",Table1[[#This Row],[mod]])</f>
        <v>paragraph__tof__entry</v>
      </c>
      <c r="K22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paragraph__tof__entry</v>
      </c>
      <c r="L2295" t="s">
        <v>0</v>
      </c>
      <c r="M2295" t="s">
        <v>3398</v>
      </c>
      <c r="O2295" t="s">
        <v>3374</v>
      </c>
      <c r="Q22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5" s="29"/>
      <c r="AC2295" s="25"/>
      <c r="AD2295" s="41"/>
      <c r="AE2295" s="41"/>
      <c r="AF2295" s="11"/>
      <c r="AH2295" s="7" t="str">
        <f>Table1[[#This Row],[html_tag]]&amp;Table1[[#This Row],[html_type]]&amp;Table1[[#This Row],[html_modifier]]</f>
        <v/>
      </c>
      <c r="AL2295" s="23" t="str">
        <f>IFERROR(_xlfn.XLOOKUP(Table1[[#This Row],[word]],Table57[English style name],Table57[Style type]),"")</f>
        <v/>
      </c>
      <c r="AM2295" s="21"/>
      <c r="AN2295" s="11"/>
    </row>
    <row r="2296" spans="3:44">
      <c r="D2296" t="s">
        <v>3375</v>
      </c>
      <c r="E2296" s="11" t="s">
        <v>3376</v>
      </c>
      <c r="F22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6" s="13"/>
      <c r="H2296" s="13"/>
      <c r="I2296" s="12" t="str">
        <f>Table1[[#This Row],[type]]</f>
        <v>paragraph</v>
      </c>
      <c r="J2296" s="62" t="str">
        <f>Table1[[#This Row],[Column42]]&amp;IF(Table1[[#This Row],[Column13]]="","",Table1[[#This Row],[Column13]])&amp;IF(Table1[[#This Row],[mod]]="","",Table1[[#This Row],[mod]])</f>
        <v>paragraph__tof__heading</v>
      </c>
      <c r="K22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paragraph__tof__heading</v>
      </c>
      <c r="L2296" t="s">
        <v>0</v>
      </c>
      <c r="M2296" t="s">
        <v>3398</v>
      </c>
      <c r="O2296" t="s">
        <v>100</v>
      </c>
      <c r="Q22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6" s="29"/>
      <c r="AC2296" s="25"/>
      <c r="AD2296" s="41"/>
      <c r="AE2296" s="41"/>
      <c r="AF2296" s="11" t="s">
        <v>1138</v>
      </c>
      <c r="AH2296" s="7" t="str">
        <f>Table1[[#This Row],[html_tag]]&amp;Table1[[#This Row],[html_type]]&amp;Table1[[#This Row],[html_modifier]]</f>
        <v/>
      </c>
      <c r="AL2296" s="23" t="str">
        <f>IFERROR(_xlfn.XLOOKUP(Table1[[#This Row],[word]],Table57[English style name],Table57[Style type]),"")</f>
        <v/>
      </c>
      <c r="AM2296" s="21"/>
      <c r="AN2296" s="11"/>
    </row>
    <row r="2297" spans="3:44">
      <c r="D2297" t="s">
        <v>3362</v>
      </c>
      <c r="E2297" s="11"/>
      <c r="F22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7" s="13"/>
      <c r="H2297" s="13"/>
      <c r="I2297" s="12" t="str">
        <f>Table1[[#This Row],[type]]</f>
        <v>paragraph</v>
      </c>
      <c r="J2297" s="62" t="str">
        <f>Table1[[#This Row],[Column42]]&amp;IF(Table1[[#This Row],[Column13]]="","",Table1[[#This Row],[Column13]])&amp;IF(Table1[[#This Row],[mod]]="","",Table1[[#This Row],[mod]])</f>
        <v>paragraph__transitional</v>
      </c>
      <c r="K22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paragraph__transitional</v>
      </c>
      <c r="L2297" t="s">
        <v>0</v>
      </c>
      <c r="M2297" t="s">
        <v>3436</v>
      </c>
      <c r="Q22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7" s="29"/>
      <c r="AC2297" s="25"/>
      <c r="AD2297" s="41"/>
      <c r="AE2297" s="41"/>
      <c r="AF2297" s="11"/>
      <c r="AH2297" s="7" t="str">
        <f>Table1[[#This Row],[html_tag]]&amp;Table1[[#This Row],[html_type]]&amp;Table1[[#This Row],[html_modifier]]</f>
        <v/>
      </c>
      <c r="AL2297" s="23" t="str">
        <f>IFERROR(_xlfn.XLOOKUP(Table1[[#This Row],[word]],Table57[English style name],Table57[Style type]),"")</f>
        <v/>
      </c>
      <c r="AM2297" s="21"/>
      <c r="AN2297" s="11"/>
    </row>
    <row r="2298" spans="3:44">
      <c r="D2298" t="s">
        <v>804</v>
      </c>
      <c r="E2298" s="11"/>
      <c r="F22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8" s="13"/>
      <c r="H2298" s="13"/>
      <c r="I2298" s="12" t="str">
        <f>Table1[[#This Row],[type]]</f>
        <v>paragraph</v>
      </c>
      <c r="J2298" s="62" t="str">
        <f>Table1[[#This Row],[Column42]]&amp;IF(Table1[[#This Row],[Column13]]="","",Table1[[#This Row],[Column13]])&amp;IF(Table1[[#This Row],[mod]]="","",Table1[[#This Row],[mod]])</f>
        <v>paragraph__transitional__body</v>
      </c>
      <c r="K22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paragraph__transitional__body</v>
      </c>
      <c r="L2298" t="s">
        <v>0</v>
      </c>
      <c r="M2298" t="s">
        <v>3436</v>
      </c>
      <c r="O2298" t="s">
        <v>337</v>
      </c>
      <c r="Q22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8" s="29"/>
      <c r="AC2298" s="25"/>
      <c r="AD2298" s="41"/>
      <c r="AE2298" s="41"/>
      <c r="AF2298" s="11" t="s">
        <v>239</v>
      </c>
      <c r="AH2298" s="7" t="str">
        <f>Table1[[#This Row],[html_tag]]&amp;Table1[[#This Row],[html_type]]&amp;Table1[[#This Row],[html_modifier]]</f>
        <v/>
      </c>
      <c r="AL2298" s="23" t="str">
        <f>IFERROR(_xlfn.XLOOKUP(Table1[[#This Row],[word]],Table57[English style name],Table57[Style type]),"")</f>
        <v/>
      </c>
      <c r="AM2298" s="21"/>
      <c r="AN2298" s="11"/>
    </row>
    <row r="2299" spans="3:44">
      <c r="D2299" t="s">
        <v>3348</v>
      </c>
      <c r="E2299" s="11"/>
      <c r="F22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9" s="13"/>
      <c r="H2299" s="13"/>
      <c r="I2299" s="12" t="str">
        <f>Table1[[#This Row],[type]]</f>
        <v>paragraph</v>
      </c>
      <c r="J2299" s="62" t="str">
        <f>Table1[[#This Row],[Column42]]&amp;IF(Table1[[#This Row],[Column13]]="","",Table1[[#This Row],[Column13]])&amp;IF(Table1[[#This Row],[mod]]="","",Table1[[#This Row],[mod]])</f>
        <v>paragraph__Update notice</v>
      </c>
      <c r="K22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paragraph__Update notice</v>
      </c>
      <c r="L2299" t="s">
        <v>0</v>
      </c>
      <c r="O2299" t="s">
        <v>3347</v>
      </c>
      <c r="P2299" t="s">
        <v>3347</v>
      </c>
      <c r="Q22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9" s="29"/>
      <c r="AC2299" s="25"/>
      <c r="AD2299" s="41"/>
      <c r="AE2299" s="41"/>
      <c r="AF2299" s="11"/>
      <c r="AH2299" s="7" t="str">
        <f>Table1[[#This Row],[html_tag]]&amp;Table1[[#This Row],[html_type]]&amp;Table1[[#This Row],[html_modifier]]</f>
        <v/>
      </c>
      <c r="AL2299" s="23" t="str">
        <f>IFERROR(_xlfn.XLOOKUP(Table1[[#This Row],[word]],Table57[English style name],Table57[Style type]),"")</f>
        <v/>
      </c>
      <c r="AM2299" s="21"/>
      <c r="AN2299" s="11"/>
    </row>
    <row r="2300" spans="3:44">
      <c r="D2300" t="s">
        <v>3348</v>
      </c>
      <c r="E2300" s="11"/>
      <c r="F23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0" s="13"/>
      <c r="H2300" s="13"/>
      <c r="I2300" s="12" t="str">
        <f>Table1[[#This Row],[type]]</f>
        <v>paragraph</v>
      </c>
      <c r="J2300" s="62" t="str">
        <f>Table1[[#This Row],[Column42]]&amp;IF(Table1[[#This Row],[Column13]]="","",Table1[[#This Row],[Column13]])&amp;IF(Table1[[#This Row],[mod]]="","",Table1[[#This Row],[mod]])</f>
        <v>paragraph__version_history</v>
      </c>
      <c r="K23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paragraph__version_history</v>
      </c>
      <c r="L2300" t="s">
        <v>0</v>
      </c>
      <c r="M2300" t="s">
        <v>3451</v>
      </c>
      <c r="Q23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0" s="29"/>
      <c r="AC2300" s="25"/>
      <c r="AD2300" s="41"/>
      <c r="AE2300" s="41"/>
      <c r="AF2300" s="11"/>
      <c r="AH2300" s="7" t="str">
        <f>Table1[[#This Row],[html_tag]]&amp;Table1[[#This Row],[html_type]]&amp;Table1[[#This Row],[html_modifier]]</f>
        <v/>
      </c>
      <c r="AL2300" s="23" t="str">
        <f>IFERROR(_xlfn.XLOOKUP(Table1[[#This Row],[word]],Table57[English style name],Table57[Style type]),"")</f>
        <v/>
      </c>
      <c r="AM2300" s="21"/>
      <c r="AN2300" s="11"/>
    </row>
    <row r="2301" spans="3:44">
      <c r="E2301" s="11"/>
      <c r="F23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1" s="13" t="s">
        <v>2992</v>
      </c>
      <c r="H2301" s="13" t="s">
        <v>1</v>
      </c>
      <c r="I2301" s="12" t="str">
        <f>Table1[[#This Row],[type]]</f>
        <v>paragraph</v>
      </c>
      <c r="J2301" s="62" t="str">
        <f>Table1[[#This Row],[Column42]]&amp;IF(Table1[[#This Row],[Column13]]="","",Table1[[#This Row],[Column13]])&amp;IF(Table1[[#This Row],[mod]]="","",Table1[[#This Row],[mod]])</f>
        <v>paragraph--base</v>
      </c>
      <c r="K23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2301" t="s">
        <v>0</v>
      </c>
      <c r="Q23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01" t="s">
        <v>338</v>
      </c>
      <c r="AB2301" s="29"/>
      <c r="AC2301" s="25"/>
      <c r="AD2301" s="41"/>
      <c r="AE2301" s="41"/>
      <c r="AF2301" s="11" t="s">
        <v>141</v>
      </c>
      <c r="AH2301" s="1" t="str">
        <f>Table1[[#This Row],[html_tag]]&amp;Table1[[#This Row],[html_type]]&amp;Table1[[#This Row],[html_modifier]]</f>
        <v/>
      </c>
      <c r="AL2301" s="22" t="str">
        <f>IFERROR(_xlfn.XLOOKUP(Table1[[#This Row],[word]],Table57[English style name],Table57[Style type]),"")</f>
        <v/>
      </c>
      <c r="AM2301" s="20"/>
      <c r="AN2301" s="11"/>
      <c r="AO2301" t="s">
        <v>57</v>
      </c>
      <c r="AP2301" t="s">
        <v>58</v>
      </c>
      <c r="AQ2301" t="s">
        <v>55</v>
      </c>
    </row>
    <row r="2302" spans="3:44">
      <c r="E2302" s="11"/>
      <c r="F23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2" s="13" t="s">
        <v>2992</v>
      </c>
      <c r="H2302" s="13" t="s">
        <v>1</v>
      </c>
      <c r="I2302" s="12" t="str">
        <f>Table1[[#This Row],[type]]</f>
        <v>paragraph</v>
      </c>
      <c r="J2302" s="62" t="str">
        <f>Table1[[#This Row],[Column42]]&amp;IF(Table1[[#This Row],[Column13]]="","",Table1[[#This Row],[Column13]])&amp;IF(Table1[[#This Row],[mod]]="","",Table1[[#This Row],[mod]])</f>
        <v>paragraph--default</v>
      </c>
      <c r="K23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2302" t="s">
        <v>0</v>
      </c>
      <c r="Q23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2302" t="s">
        <v>3004</v>
      </c>
      <c r="AB2302" s="29"/>
      <c r="AC2302" s="25"/>
      <c r="AD2302" s="41"/>
      <c r="AE2302" s="41"/>
      <c r="AF2302" s="11" t="s">
        <v>239</v>
      </c>
      <c r="AH2302" s="1" t="str">
        <f>Table1[[#This Row],[html_tag]]&amp;Table1[[#This Row],[html_type]]&amp;Table1[[#This Row],[html_modifier]]</f>
        <v/>
      </c>
      <c r="AL2302" s="22" t="str">
        <f>IFERROR(_xlfn.XLOOKUP(Table1[[#This Row],[word]],Table57[English style name],Table57[Style type]),"")</f>
        <v/>
      </c>
      <c r="AM2302" s="20"/>
      <c r="AN2302" s="11"/>
      <c r="AQ2302" s="6" t="s">
        <v>1498</v>
      </c>
      <c r="AR2302" t="s">
        <v>1497</v>
      </c>
    </row>
    <row r="2303" spans="3:44">
      <c r="E2303" s="11"/>
      <c r="F23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3" s="13" t="s">
        <v>2992</v>
      </c>
      <c r="H2303" s="13" t="s">
        <v>1</v>
      </c>
      <c r="I2303" s="12" t="str">
        <f>Table1[[#This Row],[type]]</f>
        <v>paragraph</v>
      </c>
      <c r="J2303" s="62" t="str">
        <f>Table1[[#This Row],[Column42]]&amp;IF(Table1[[#This Row],[Column13]]="","",Table1[[#This Row],[Column13]])&amp;IF(Table1[[#This Row],[mod]]="","",Table1[[#This Row],[mod]])</f>
        <v>paragraph--page footer</v>
      </c>
      <c r="K23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2303" t="s">
        <v>0</v>
      </c>
      <c r="N2303" s="4"/>
      <c r="P2303" s="4"/>
      <c r="Q23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footer</v>
      </c>
      <c r="R2303" s="4" t="s">
        <v>320</v>
      </c>
      <c r="S2303" s="4"/>
      <c r="U23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303" s="4"/>
      <c r="W2303" s="4"/>
      <c r="X2303" s="4"/>
      <c r="Z2303" s="4"/>
      <c r="AA2303" s="4"/>
      <c r="AB2303" s="47"/>
      <c r="AC2303" s="46"/>
      <c r="AD2303" s="44"/>
      <c r="AE2303" s="44"/>
      <c r="AF2303" s="11"/>
      <c r="AH2303" s="1" t="str">
        <f>Table1[[#This Row],[html_tag]]&amp;Table1[[#This Row],[html_type]]&amp;Table1[[#This Row],[html_modifier]]</f>
        <v/>
      </c>
      <c r="AL2303" s="22" t="str">
        <f>IFERROR(_xlfn.XLOOKUP(Table1[[#This Row],[word]],Table57[English style name],Table57[Style type]),"")</f>
        <v/>
      </c>
      <c r="AM2303" s="20"/>
      <c r="AN2303" s="11"/>
      <c r="AQ2303" s="4"/>
    </row>
    <row r="2304" spans="3:44">
      <c r="E2304" s="11"/>
      <c r="F23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4" s="13" t="s">
        <v>2992</v>
      </c>
      <c r="H2304" s="13" t="s">
        <v>1</v>
      </c>
      <c r="I2304" s="12" t="str">
        <f>Table1[[#This Row],[type]]</f>
        <v>paragraph</v>
      </c>
      <c r="J2304" s="62" t="str">
        <f>Table1[[#This Row],[Column42]]&amp;IF(Table1[[#This Row],[Column13]]="","",Table1[[#This Row],[Column13]])&amp;IF(Table1[[#This Row],[mod]]="","",Table1[[#This Row],[mod]])</f>
        <v>paragraph--page header</v>
      </c>
      <c r="K23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2304" t="s">
        <v>0</v>
      </c>
      <c r="N2304" s="4"/>
      <c r="P2304" s="4"/>
      <c r="Q23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header</v>
      </c>
      <c r="R2304" s="4" t="s">
        <v>319</v>
      </c>
      <c r="S2304" s="4"/>
      <c r="U23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304" s="4"/>
      <c r="W2304" s="4"/>
      <c r="X2304" s="4"/>
      <c r="Z2304" s="4"/>
      <c r="AA2304" s="4"/>
      <c r="AB2304" s="47"/>
      <c r="AC2304" s="46"/>
      <c r="AD2304" s="44"/>
      <c r="AE2304" s="44"/>
      <c r="AF2304" s="11"/>
      <c r="AH2304" s="1" t="str">
        <f>Table1[[#This Row],[html_tag]]&amp;Table1[[#This Row],[html_type]]&amp;Table1[[#This Row],[html_modifier]]</f>
        <v/>
      </c>
      <c r="AL2304" s="22" t="str">
        <f>IFERROR(_xlfn.XLOOKUP(Table1[[#This Row],[word]],Table57[English style name],Table57[Style type]),"")</f>
        <v/>
      </c>
      <c r="AM2304" s="20"/>
      <c r="AN2304" s="11"/>
      <c r="AQ2304" s="4"/>
    </row>
    <row r="2305" spans="5:44">
      <c r="E2305" s="11"/>
      <c r="F23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5" s="13" t="s">
        <v>2992</v>
      </c>
      <c r="H2305" s="13" t="s">
        <v>1</v>
      </c>
      <c r="I2305" s="12" t="str">
        <f>Table1[[#This Row],[type]]</f>
        <v>paragraph</v>
      </c>
      <c r="J2305" s="62" t="str">
        <f>Table1[[#This Row],[Column42]]&amp;IF(Table1[[#This Row],[Column13]]="","",Table1[[#This Row],[Column13]])&amp;IF(Table1[[#This Row],[mod]]="","",Table1[[#This Row],[mod]])</f>
        <v>paragraph--page number</v>
      </c>
      <c r="K23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2305" t="s">
        <v>0</v>
      </c>
      <c r="N2305" s="4"/>
      <c r="P2305" s="4"/>
      <c r="Q23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number</v>
      </c>
      <c r="R2305" s="4" t="s">
        <v>321</v>
      </c>
      <c r="S2305" s="4"/>
      <c r="U23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305" s="4"/>
      <c r="W2305" s="4"/>
      <c r="X2305" s="4"/>
      <c r="Z2305" s="4"/>
      <c r="AA2305" s="4"/>
      <c r="AB2305" s="47"/>
      <c r="AC2305" s="46"/>
      <c r="AD2305" s="44"/>
      <c r="AE2305" s="44"/>
      <c r="AF2305" s="11"/>
      <c r="AH2305" s="1" t="str">
        <f>Table1[[#This Row],[html_tag]]&amp;Table1[[#This Row],[html_type]]&amp;Table1[[#This Row],[html_modifier]]</f>
        <v/>
      </c>
      <c r="AL2305" s="22" t="str">
        <f>IFERROR(_xlfn.XLOOKUP(Table1[[#This Row],[word]],Table57[English style name],Table57[Style type]),"")</f>
        <v/>
      </c>
      <c r="AM2305" s="20"/>
      <c r="AN2305" s="11"/>
      <c r="AQ2305" s="4"/>
    </row>
    <row r="2306" spans="5:44">
      <c r="E2306" s="11"/>
      <c r="F23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06" s="13" t="s">
        <v>337</v>
      </c>
      <c r="H2306" s="13" t="s">
        <v>2987</v>
      </c>
      <c r="I2306" s="12" t="str">
        <f>Table1[[#This Row],[type]]</f>
        <v>placeholder</v>
      </c>
      <c r="J2306" s="62" t="str">
        <f>Table1[[#This Row],[Column42]]&amp;IF(Table1[[#This Row],[Column13]]="","",Table1[[#This Row],[Column13]])&amp;IF(Table1[[#This Row],[mod]]="","",Table1[[#This Row],[mod]])</f>
        <v>placeholder</v>
      </c>
      <c r="K23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06" t="s">
        <v>2244</v>
      </c>
      <c r="P2306" s="6" t="s">
        <v>2244</v>
      </c>
      <c r="Q23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6" s="29"/>
      <c r="AC2306" s="25"/>
      <c r="AD2306" s="41"/>
      <c r="AE2306" s="41"/>
      <c r="AF2306" s="11"/>
      <c r="AH2306" s="1" t="str">
        <f>Table1[[#This Row],[html_tag]]&amp;Table1[[#This Row],[html_type]]&amp;Table1[[#This Row],[html_modifier]]</f>
        <v/>
      </c>
      <c r="AL2306" s="22" t="str">
        <f>IFERROR(_xlfn.XLOOKUP(Table1[[#This Row],[word]],Table57[English style name],Table57[Style type]),"")</f>
        <v/>
      </c>
      <c r="AM2306" s="20"/>
      <c r="AN2306" s="11"/>
      <c r="AQ2306" s="6" t="s">
        <v>2244</v>
      </c>
      <c r="AR2306" t="s">
        <v>2245</v>
      </c>
    </row>
    <row r="2307" spans="5:44">
      <c r="E2307" s="11"/>
      <c r="F23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07" s="13" t="s">
        <v>337</v>
      </c>
      <c r="H2307" s="13" t="s">
        <v>2987</v>
      </c>
      <c r="I2307" s="12" t="str">
        <f>Table1[[#This Row],[type]]</f>
        <v>placeholder</v>
      </c>
      <c r="J2307" s="62" t="str">
        <f>Table1[[#This Row],[Column42]]&amp;IF(Table1[[#This Row],[Column13]]="","",Table1[[#This Row],[Column13]])&amp;IF(Table1[[#This Row],[mod]]="","",Table1[[#This Row],[mod]])</f>
        <v>placeholder</v>
      </c>
      <c r="K23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07" t="s">
        <v>2244</v>
      </c>
      <c r="P2307" s="6" t="s">
        <v>2248</v>
      </c>
      <c r="Q23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7" s="29"/>
      <c r="AC2307" s="25"/>
      <c r="AD2307" s="41"/>
      <c r="AE2307" s="41"/>
      <c r="AF2307" s="11"/>
      <c r="AH2307" s="1" t="str">
        <f>Table1[[#This Row],[html_tag]]&amp;Table1[[#This Row],[html_type]]&amp;Table1[[#This Row],[html_modifier]]</f>
        <v/>
      </c>
      <c r="AL2307" s="22" t="str">
        <f>IFERROR(_xlfn.XLOOKUP(Table1[[#This Row],[word]],Table57[English style name],Table57[Style type]),"")</f>
        <v/>
      </c>
      <c r="AM2307" s="20"/>
      <c r="AN2307" s="11"/>
      <c r="AQ2307" s="6" t="s">
        <v>2248</v>
      </c>
      <c r="AR2307" t="s">
        <v>2245</v>
      </c>
    </row>
    <row r="2308" spans="5:44">
      <c r="E2308" s="11"/>
      <c r="F23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08" s="13" t="s">
        <v>337</v>
      </c>
      <c r="H2308" s="13" t="s">
        <v>2987</v>
      </c>
      <c r="I2308" s="12" t="str">
        <f>Table1[[#This Row],[type]]</f>
        <v>placeholder</v>
      </c>
      <c r="J2308" s="62" t="str">
        <f>Table1[[#This Row],[Column42]]&amp;IF(Table1[[#This Row],[Column13]]="","",Table1[[#This Row],[Column13]])&amp;IF(Table1[[#This Row],[mod]]="","",Table1[[#This Row],[mod]])</f>
        <v>placeholder</v>
      </c>
      <c r="K23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08" t="s">
        <v>2244</v>
      </c>
      <c r="P2308" s="6" t="s">
        <v>2250</v>
      </c>
      <c r="Q23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8" s="29"/>
      <c r="AC2308" s="25"/>
      <c r="AD2308" s="41"/>
      <c r="AE2308" s="41"/>
      <c r="AF2308" s="11"/>
      <c r="AH2308" s="1" t="str">
        <f>Table1[[#This Row],[html_tag]]&amp;Table1[[#This Row],[html_type]]&amp;Table1[[#This Row],[html_modifier]]</f>
        <v/>
      </c>
      <c r="AL2308" s="22" t="str">
        <f>IFERROR(_xlfn.XLOOKUP(Table1[[#This Row],[word]],Table57[English style name],Table57[Style type]),"")</f>
        <v/>
      </c>
      <c r="AM2308" s="20"/>
      <c r="AN2308" s="11"/>
      <c r="AQ2308" s="6" t="s">
        <v>2250</v>
      </c>
      <c r="AR2308" t="s">
        <v>2245</v>
      </c>
    </row>
    <row r="2309" spans="5:44">
      <c r="E2309" s="11"/>
      <c r="F23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09" s="13" t="s">
        <v>337</v>
      </c>
      <c r="H2309" s="13" t="s">
        <v>2987</v>
      </c>
      <c r="I2309" s="12" t="str">
        <f>Table1[[#This Row],[type]]</f>
        <v>placeholder</v>
      </c>
      <c r="J2309" s="62" t="str">
        <f>Table1[[#This Row],[Column42]]&amp;IF(Table1[[#This Row],[Column13]]="","",Table1[[#This Row],[Column13]])&amp;IF(Table1[[#This Row],[mod]]="","",Table1[[#This Row],[mod]])</f>
        <v>placeholder</v>
      </c>
      <c r="K23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09" t="s">
        <v>2244</v>
      </c>
      <c r="P2309" s="6" t="s">
        <v>2251</v>
      </c>
      <c r="Q23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9" s="29"/>
      <c r="AC2309" s="25"/>
      <c r="AD2309" s="41"/>
      <c r="AE2309" s="41"/>
      <c r="AF2309" s="11"/>
      <c r="AH2309" s="1" t="str">
        <f>Table1[[#This Row],[html_tag]]&amp;Table1[[#This Row],[html_type]]&amp;Table1[[#This Row],[html_modifier]]</f>
        <v/>
      </c>
      <c r="AL2309" s="22" t="str">
        <f>IFERROR(_xlfn.XLOOKUP(Table1[[#This Row],[word]],Table57[English style name],Table57[Style type]),"")</f>
        <v/>
      </c>
      <c r="AM2309" s="20"/>
      <c r="AN2309" s="11"/>
      <c r="AQ2309" s="6" t="s">
        <v>2251</v>
      </c>
      <c r="AR2309" t="s">
        <v>2245</v>
      </c>
    </row>
    <row r="2310" spans="5:44">
      <c r="E2310" s="11"/>
      <c r="F23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0" s="13" t="s">
        <v>337</v>
      </c>
      <c r="H2310" s="13" t="s">
        <v>2987</v>
      </c>
      <c r="I2310" s="12" t="str">
        <f>Table1[[#This Row],[type]]</f>
        <v>placeholder</v>
      </c>
      <c r="J2310" s="62" t="str">
        <f>Table1[[#This Row],[Column42]]&amp;IF(Table1[[#This Row],[Column13]]="","",Table1[[#This Row],[Column13]])&amp;IF(Table1[[#This Row],[mod]]="","",Table1[[#This Row],[mod]])</f>
        <v>placeholder</v>
      </c>
      <c r="K23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0" t="s">
        <v>2244</v>
      </c>
      <c r="P2310" s="6" t="s">
        <v>2254</v>
      </c>
      <c r="Q23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0" s="29"/>
      <c r="AC2310" s="25"/>
      <c r="AD2310" s="41"/>
      <c r="AE2310" s="41"/>
      <c r="AF2310" s="11"/>
      <c r="AH2310" s="1" t="str">
        <f>Table1[[#This Row],[html_tag]]&amp;Table1[[#This Row],[html_type]]&amp;Table1[[#This Row],[html_modifier]]</f>
        <v/>
      </c>
      <c r="AL2310" s="22" t="str">
        <f>IFERROR(_xlfn.XLOOKUP(Table1[[#This Row],[word]],Table57[English style name],Table57[Style type]),"")</f>
        <v/>
      </c>
      <c r="AM2310" s="20"/>
      <c r="AN2310" s="11"/>
      <c r="AQ2310" s="6" t="s">
        <v>2254</v>
      </c>
      <c r="AR2310" t="s">
        <v>2245</v>
      </c>
    </row>
    <row r="2311" spans="5:44">
      <c r="E2311" s="11"/>
      <c r="F23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1" s="13" t="s">
        <v>337</v>
      </c>
      <c r="H2311" s="13" t="s">
        <v>2987</v>
      </c>
      <c r="I2311" s="12" t="str">
        <f>Table1[[#This Row],[type]]</f>
        <v>placeholder</v>
      </c>
      <c r="J2311" s="62" t="str">
        <f>Table1[[#This Row],[Column42]]&amp;IF(Table1[[#This Row],[Column13]]="","",Table1[[#This Row],[Column13]])&amp;IF(Table1[[#This Row],[mod]]="","",Table1[[#This Row],[mod]])</f>
        <v>placeholder</v>
      </c>
      <c r="K23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1" t="s">
        <v>2244</v>
      </c>
      <c r="P2311" s="6" t="s">
        <v>2256</v>
      </c>
      <c r="Q23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1" s="29"/>
      <c r="AC2311" s="25"/>
      <c r="AD2311" s="41"/>
      <c r="AE2311" s="41"/>
      <c r="AF2311" s="11"/>
      <c r="AH2311" s="1" t="str">
        <f>Table1[[#This Row],[html_tag]]&amp;Table1[[#This Row],[html_type]]&amp;Table1[[#This Row],[html_modifier]]</f>
        <v/>
      </c>
      <c r="AL2311" s="22" t="str">
        <f>IFERROR(_xlfn.XLOOKUP(Table1[[#This Row],[word]],Table57[English style name],Table57[Style type]),"")</f>
        <v/>
      </c>
      <c r="AM2311" s="20"/>
      <c r="AN2311" s="11"/>
      <c r="AQ2311" s="6" t="s">
        <v>2256</v>
      </c>
      <c r="AR2311" t="s">
        <v>2245</v>
      </c>
    </row>
    <row r="2312" spans="5:44">
      <c r="E2312" s="11"/>
      <c r="F23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2" s="13" t="s">
        <v>337</v>
      </c>
      <c r="H2312" s="13" t="s">
        <v>2987</v>
      </c>
      <c r="I2312" s="12" t="str">
        <f>Table1[[#This Row],[type]]</f>
        <v>placeholder</v>
      </c>
      <c r="J2312" s="62" t="str">
        <f>Table1[[#This Row],[Column42]]&amp;IF(Table1[[#This Row],[Column13]]="","",Table1[[#This Row],[Column13]])&amp;IF(Table1[[#This Row],[mod]]="","",Table1[[#This Row],[mod]])</f>
        <v>placeholder</v>
      </c>
      <c r="K23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2" t="s">
        <v>2244</v>
      </c>
      <c r="P2312" s="6" t="s">
        <v>2259</v>
      </c>
      <c r="Q23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2" s="29"/>
      <c r="AC2312" s="25"/>
      <c r="AD2312" s="41"/>
      <c r="AE2312" s="41"/>
      <c r="AF2312" s="11"/>
      <c r="AH2312" s="1" t="str">
        <f>Table1[[#This Row],[html_tag]]&amp;Table1[[#This Row],[html_type]]&amp;Table1[[#This Row],[html_modifier]]</f>
        <v/>
      </c>
      <c r="AL2312" s="22" t="str">
        <f>IFERROR(_xlfn.XLOOKUP(Table1[[#This Row],[word]],Table57[English style name],Table57[Style type]),"")</f>
        <v/>
      </c>
      <c r="AM2312" s="20"/>
      <c r="AN2312" s="11"/>
      <c r="AQ2312" s="6" t="s">
        <v>2259</v>
      </c>
      <c r="AR2312" t="s">
        <v>2245</v>
      </c>
    </row>
    <row r="2313" spans="5:44">
      <c r="E2313" s="11"/>
      <c r="F23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3" s="13" t="s">
        <v>337</v>
      </c>
      <c r="H2313" s="13" t="s">
        <v>2987</v>
      </c>
      <c r="I2313" s="12" t="str">
        <f>Table1[[#This Row],[type]]</f>
        <v>placeholder</v>
      </c>
      <c r="J2313" s="62" t="str">
        <f>Table1[[#This Row],[Column42]]&amp;IF(Table1[[#This Row],[Column13]]="","",Table1[[#This Row],[Column13]])&amp;IF(Table1[[#This Row],[mod]]="","",Table1[[#This Row],[mod]])</f>
        <v>placeholder</v>
      </c>
      <c r="K23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3" t="s">
        <v>2244</v>
      </c>
      <c r="P2313" s="6" t="s">
        <v>2260</v>
      </c>
      <c r="Q23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3" s="29"/>
      <c r="AC2313" s="25"/>
      <c r="AD2313" s="41"/>
      <c r="AE2313" s="41"/>
      <c r="AF2313" s="11"/>
      <c r="AH2313" s="1" t="str">
        <f>Table1[[#This Row],[html_tag]]&amp;Table1[[#This Row],[html_type]]&amp;Table1[[#This Row],[html_modifier]]</f>
        <v/>
      </c>
      <c r="AL2313" s="22" t="str">
        <f>IFERROR(_xlfn.XLOOKUP(Table1[[#This Row],[word]],Table57[English style name],Table57[Style type]),"")</f>
        <v/>
      </c>
      <c r="AM2313" s="20"/>
      <c r="AN2313" s="11"/>
      <c r="AQ2313" s="6" t="s">
        <v>2260</v>
      </c>
      <c r="AR2313" t="s">
        <v>2245</v>
      </c>
    </row>
    <row r="2314" spans="5:44">
      <c r="E2314" s="11"/>
      <c r="F23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4" s="13" t="s">
        <v>337</v>
      </c>
      <c r="H2314" s="13" t="s">
        <v>2987</v>
      </c>
      <c r="I2314" s="12" t="str">
        <f>Table1[[#This Row],[type]]</f>
        <v>placeholder</v>
      </c>
      <c r="J2314" s="62" t="str">
        <f>Table1[[#This Row],[Column42]]&amp;IF(Table1[[#This Row],[Column13]]="","",Table1[[#This Row],[Column13]])&amp;IF(Table1[[#This Row],[mod]]="","",Table1[[#This Row],[mod]])</f>
        <v>placeholder</v>
      </c>
      <c r="K23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4" t="s">
        <v>2244</v>
      </c>
      <c r="P2314" s="6" t="s">
        <v>2261</v>
      </c>
      <c r="Q23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4" s="29"/>
      <c r="AC2314" s="25"/>
      <c r="AD2314" s="41"/>
      <c r="AE2314" s="41"/>
      <c r="AF2314" s="11"/>
      <c r="AH2314" s="1" t="str">
        <f>Table1[[#This Row],[html_tag]]&amp;Table1[[#This Row],[html_type]]&amp;Table1[[#This Row],[html_modifier]]</f>
        <v/>
      </c>
      <c r="AL2314" s="22" t="str">
        <f>IFERROR(_xlfn.XLOOKUP(Table1[[#This Row],[word]],Table57[English style name],Table57[Style type]),"")</f>
        <v/>
      </c>
      <c r="AM2314" s="20"/>
      <c r="AN2314" s="11"/>
      <c r="AQ2314" s="6" t="s">
        <v>2261</v>
      </c>
      <c r="AR2314" t="s">
        <v>2245</v>
      </c>
    </row>
    <row r="2315" spans="5:44">
      <c r="E2315" s="11"/>
      <c r="F23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5" s="13" t="s">
        <v>337</v>
      </c>
      <c r="H2315" s="13" t="s">
        <v>2987</v>
      </c>
      <c r="I2315" s="12" t="str">
        <f>Table1[[#This Row],[type]]</f>
        <v>placeholder</v>
      </c>
      <c r="J2315" s="62" t="str">
        <f>Table1[[#This Row],[Column42]]&amp;IF(Table1[[#This Row],[Column13]]="","",Table1[[#This Row],[Column13]])&amp;IF(Table1[[#This Row],[mod]]="","",Table1[[#This Row],[mod]])</f>
        <v>placeholder</v>
      </c>
      <c r="K23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5" t="s">
        <v>2244</v>
      </c>
      <c r="P2315" s="6" t="s">
        <v>2262</v>
      </c>
      <c r="Q23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5" s="29"/>
      <c r="AC2315" s="25"/>
      <c r="AD2315" s="41"/>
      <c r="AE2315" s="41"/>
      <c r="AF2315" s="11"/>
      <c r="AH2315" s="1" t="str">
        <f>Table1[[#This Row],[html_tag]]&amp;Table1[[#This Row],[html_type]]&amp;Table1[[#This Row],[html_modifier]]</f>
        <v/>
      </c>
      <c r="AL2315" s="22" t="str">
        <f>IFERROR(_xlfn.XLOOKUP(Table1[[#This Row],[word]],Table57[English style name],Table57[Style type]),"")</f>
        <v/>
      </c>
      <c r="AM2315" s="20"/>
      <c r="AN2315" s="11"/>
      <c r="AQ2315" s="6" t="s">
        <v>2262</v>
      </c>
      <c r="AR2315" t="s">
        <v>2245</v>
      </c>
    </row>
    <row r="2316" spans="5:44">
      <c r="E2316" s="11"/>
      <c r="F23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6" s="13" t="s">
        <v>337</v>
      </c>
      <c r="H2316" s="13" t="s">
        <v>2987</v>
      </c>
      <c r="I2316" s="12" t="str">
        <f>Table1[[#This Row],[type]]</f>
        <v>placeholder</v>
      </c>
      <c r="J2316" s="62" t="str">
        <f>Table1[[#This Row],[Column42]]&amp;IF(Table1[[#This Row],[Column13]]="","",Table1[[#This Row],[Column13]])&amp;IF(Table1[[#This Row],[mod]]="","",Table1[[#This Row],[mod]])</f>
        <v>placeholder</v>
      </c>
      <c r="K23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6" t="s">
        <v>2244</v>
      </c>
      <c r="P2316" s="6" t="s">
        <v>2264</v>
      </c>
      <c r="Q23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6" s="29"/>
      <c r="AC2316" s="25"/>
      <c r="AD2316" s="41"/>
      <c r="AE2316" s="41"/>
      <c r="AF2316" s="11"/>
      <c r="AH2316" s="1" t="str">
        <f>Table1[[#This Row],[html_tag]]&amp;Table1[[#This Row],[html_type]]&amp;Table1[[#This Row],[html_modifier]]</f>
        <v/>
      </c>
      <c r="AL2316" s="22" t="str">
        <f>IFERROR(_xlfn.XLOOKUP(Table1[[#This Row],[word]],Table57[English style name],Table57[Style type]),"")</f>
        <v/>
      </c>
      <c r="AM2316" s="20"/>
      <c r="AN2316" s="11"/>
      <c r="AQ2316" s="6" t="s">
        <v>2264</v>
      </c>
      <c r="AR2316" t="s">
        <v>2245</v>
      </c>
    </row>
    <row r="2317" spans="5:44">
      <c r="E2317" s="11"/>
      <c r="F23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7" s="13" t="s">
        <v>337</v>
      </c>
      <c r="H2317" s="13" t="s">
        <v>2987</v>
      </c>
      <c r="I2317" s="12" t="str">
        <f>Table1[[#This Row],[type]]</f>
        <v>placeholder</v>
      </c>
      <c r="J2317" s="62" t="str">
        <f>Table1[[#This Row],[Column42]]&amp;IF(Table1[[#This Row],[Column13]]="","",Table1[[#This Row],[Column13]])&amp;IF(Table1[[#This Row],[mod]]="","",Table1[[#This Row],[mod]])</f>
        <v>placeholder--base</v>
      </c>
      <c r="K23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7" t="s">
        <v>2244</v>
      </c>
      <c r="P2317" s="6" t="s">
        <v>2246</v>
      </c>
      <c r="Q23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17" t="s">
        <v>338</v>
      </c>
      <c r="AB2317" s="29"/>
      <c r="AC2317" s="25"/>
      <c r="AD2317" s="41"/>
      <c r="AE2317" s="41"/>
      <c r="AF2317" s="11"/>
      <c r="AH2317" s="1" t="str">
        <f>Table1[[#This Row],[html_tag]]&amp;Table1[[#This Row],[html_type]]&amp;Table1[[#This Row],[html_modifier]]</f>
        <v/>
      </c>
      <c r="AL2317" s="22" t="str">
        <f>IFERROR(_xlfn.XLOOKUP(Table1[[#This Row],[word]],Table57[English style name],Table57[Style type]),"")</f>
        <v/>
      </c>
      <c r="AM2317" s="20"/>
      <c r="AN2317" s="11"/>
      <c r="AQ2317" s="6" t="s">
        <v>2246</v>
      </c>
      <c r="AR2317" t="s">
        <v>2247</v>
      </c>
    </row>
    <row r="2318" spans="5:44">
      <c r="E2318" s="11"/>
      <c r="F23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8" s="13" t="s">
        <v>337</v>
      </c>
      <c r="H2318" s="13" t="s">
        <v>2987</v>
      </c>
      <c r="I2318" s="12" t="str">
        <f>Table1[[#This Row],[type]]</f>
        <v>placeholder</v>
      </c>
      <c r="J2318" s="62" t="str">
        <f>Table1[[#This Row],[Column42]]&amp;IF(Table1[[#This Row],[Column13]]="","",Table1[[#This Row],[Column13]])&amp;IF(Table1[[#This Row],[mod]]="","",Table1[[#This Row],[mod]])</f>
        <v>placeholder--danger</v>
      </c>
      <c r="K23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8" t="s">
        <v>2244</v>
      </c>
      <c r="P2318" s="6" t="s">
        <v>2249</v>
      </c>
      <c r="Q23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2318" t="s">
        <v>3163</v>
      </c>
      <c r="AB2318" s="29"/>
      <c r="AC2318" s="25"/>
      <c r="AD2318" s="41"/>
      <c r="AE2318" s="41"/>
      <c r="AF2318" s="11"/>
      <c r="AH2318" s="1" t="str">
        <f>Table1[[#This Row],[html_tag]]&amp;Table1[[#This Row],[html_type]]&amp;Table1[[#This Row],[html_modifier]]</f>
        <v/>
      </c>
      <c r="AL2318" s="22" t="str">
        <f>IFERROR(_xlfn.XLOOKUP(Table1[[#This Row],[word]],Table57[English style name],Table57[Style type]),"")</f>
        <v/>
      </c>
      <c r="AM2318" s="20"/>
      <c r="AN2318" s="11"/>
      <c r="AQ2318" s="6" t="s">
        <v>2249</v>
      </c>
      <c r="AR2318" t="s">
        <v>2245</v>
      </c>
    </row>
    <row r="2319" spans="5:44">
      <c r="E2319" s="11"/>
      <c r="F23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9" s="13" t="s">
        <v>337</v>
      </c>
      <c r="H2319" s="13" t="s">
        <v>2987</v>
      </c>
      <c r="I2319" s="12" t="str">
        <f>Table1[[#This Row],[type]]</f>
        <v>placeholder</v>
      </c>
      <c r="J2319" s="62" t="str">
        <f>Table1[[#This Row],[Column42]]&amp;IF(Table1[[#This Row],[Column13]]="","",Table1[[#This Row],[Column13]])&amp;IF(Table1[[#This Row],[mod]]="","",Table1[[#This Row],[mod]])</f>
        <v>placeholder--info</v>
      </c>
      <c r="K23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9" t="s">
        <v>2244</v>
      </c>
      <c r="P2319" s="6" t="s">
        <v>2252</v>
      </c>
      <c r="Q23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319" t="s">
        <v>3119</v>
      </c>
      <c r="AB2319" s="29"/>
      <c r="AC2319" s="25"/>
      <c r="AD2319" s="41"/>
      <c r="AE2319" s="41"/>
      <c r="AF2319" s="11"/>
      <c r="AH2319" s="1" t="str">
        <f>Table1[[#This Row],[html_tag]]&amp;Table1[[#This Row],[html_type]]&amp;Table1[[#This Row],[html_modifier]]</f>
        <v/>
      </c>
      <c r="AL2319" s="22" t="str">
        <f>IFERROR(_xlfn.XLOOKUP(Table1[[#This Row],[word]],Table57[English style name],Table57[Style type]),"")</f>
        <v/>
      </c>
      <c r="AM2319" s="20"/>
      <c r="AN2319" s="11"/>
      <c r="AQ2319" s="6" t="s">
        <v>2252</v>
      </c>
      <c r="AR2319" t="s">
        <v>2245</v>
      </c>
    </row>
    <row r="2320" spans="5:44">
      <c r="E2320" s="11"/>
      <c r="F23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0" s="13" t="s">
        <v>337</v>
      </c>
      <c r="H2320" s="13" t="s">
        <v>2987</v>
      </c>
      <c r="I2320" s="12" t="str">
        <f>Table1[[#This Row],[type]]</f>
        <v>placeholder</v>
      </c>
      <c r="J2320" s="62" t="str">
        <f>Table1[[#This Row],[Column42]]&amp;IF(Table1[[#This Row],[Column13]]="","",Table1[[#This Row],[Column13]])&amp;IF(Table1[[#This Row],[mod]]="","",Table1[[#This Row],[mod]])</f>
        <v>placeholder--lg</v>
      </c>
      <c r="K23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0" t="s">
        <v>2244</v>
      </c>
      <c r="P2320" s="6" t="s">
        <v>2253</v>
      </c>
      <c r="Q23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320" t="s">
        <v>3114</v>
      </c>
      <c r="AB2320" s="29"/>
      <c r="AC2320" s="25"/>
      <c r="AD2320" s="41"/>
      <c r="AE2320" s="41"/>
      <c r="AF2320" s="11"/>
      <c r="AH2320" s="1" t="str">
        <f>Table1[[#This Row],[html_tag]]&amp;Table1[[#This Row],[html_type]]&amp;Table1[[#This Row],[html_modifier]]</f>
        <v/>
      </c>
      <c r="AL2320" s="22" t="str">
        <f>IFERROR(_xlfn.XLOOKUP(Table1[[#This Row],[word]],Table57[English style name],Table57[Style type]),"")</f>
        <v/>
      </c>
      <c r="AM2320" s="20"/>
      <c r="AN2320" s="11"/>
      <c r="AQ2320" s="6" t="s">
        <v>2253</v>
      </c>
      <c r="AR2320" t="s">
        <v>2247</v>
      </c>
    </row>
    <row r="2321" spans="5:44">
      <c r="E2321" s="11"/>
      <c r="F23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1" s="13" t="s">
        <v>337</v>
      </c>
      <c r="H2321" s="13" t="s">
        <v>2987</v>
      </c>
      <c r="I2321" s="12" t="str">
        <f>Table1[[#This Row],[type]]</f>
        <v>placeholder</v>
      </c>
      <c r="J2321" s="62" t="str">
        <f>Table1[[#This Row],[Column42]]&amp;IF(Table1[[#This Row],[Column13]]="","",Table1[[#This Row],[Column13]])&amp;IF(Table1[[#This Row],[mod]]="","",Table1[[#This Row],[mod]])</f>
        <v>placeholder--primary</v>
      </c>
      <c r="K23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1" t="s">
        <v>2244</v>
      </c>
      <c r="P2321" s="6" t="s">
        <v>2255</v>
      </c>
      <c r="Q23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2321" t="s">
        <v>3164</v>
      </c>
      <c r="AB2321" s="29"/>
      <c r="AC2321" s="25"/>
      <c r="AD2321" s="41"/>
      <c r="AE2321" s="41"/>
      <c r="AF2321" s="11"/>
      <c r="AH2321" s="1" t="str">
        <f>Table1[[#This Row],[html_tag]]&amp;Table1[[#This Row],[html_type]]&amp;Table1[[#This Row],[html_modifier]]</f>
        <v/>
      </c>
      <c r="AL2321" s="22" t="str">
        <f>IFERROR(_xlfn.XLOOKUP(Table1[[#This Row],[word]],Table57[English style name],Table57[Style type]),"")</f>
        <v/>
      </c>
      <c r="AM2321" s="20"/>
      <c r="AN2321" s="11"/>
      <c r="AQ2321" s="6" t="s">
        <v>2255</v>
      </c>
      <c r="AR2321" t="s">
        <v>2245</v>
      </c>
    </row>
    <row r="2322" spans="5:44">
      <c r="E2322" s="11"/>
      <c r="F23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2" s="13" t="s">
        <v>337</v>
      </c>
      <c r="H2322" s="13" t="s">
        <v>2987</v>
      </c>
      <c r="I2322" s="12" t="str">
        <f>Table1[[#This Row],[type]]</f>
        <v>placeholder</v>
      </c>
      <c r="J2322" s="62" t="str">
        <f>Table1[[#This Row],[Column42]]&amp;IF(Table1[[#This Row],[Column13]]="","",Table1[[#This Row],[Column13]])&amp;IF(Table1[[#This Row],[mod]]="","",Table1[[#This Row],[mod]])</f>
        <v>placeholder--sm</v>
      </c>
      <c r="K23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2" t="s">
        <v>2244</v>
      </c>
      <c r="P2322" s="6" t="s">
        <v>2257</v>
      </c>
      <c r="Q23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322" s="3" t="s">
        <v>3116</v>
      </c>
      <c r="AB2322" s="29"/>
      <c r="AC2322" s="25"/>
      <c r="AD2322" s="41"/>
      <c r="AE2322" s="41"/>
      <c r="AF2322" s="11"/>
      <c r="AH2322" s="1" t="str">
        <f>Table1[[#This Row],[html_tag]]&amp;Table1[[#This Row],[html_type]]&amp;Table1[[#This Row],[html_modifier]]</f>
        <v/>
      </c>
      <c r="AL2322" s="22" t="str">
        <f>IFERROR(_xlfn.XLOOKUP(Table1[[#This Row],[word]],Table57[English style name],Table57[Style type]),"")</f>
        <v/>
      </c>
      <c r="AM2322" s="20"/>
      <c r="AN2322" s="11"/>
      <c r="AQ2322" s="6" t="s">
        <v>2257</v>
      </c>
      <c r="AR2322" t="s">
        <v>2247</v>
      </c>
    </row>
    <row r="2323" spans="5:44">
      <c r="E2323" s="11"/>
      <c r="F23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3" s="13" t="s">
        <v>337</v>
      </c>
      <c r="H2323" s="13" t="s">
        <v>2987</v>
      </c>
      <c r="I2323" s="12" t="str">
        <f>Table1[[#This Row],[type]]</f>
        <v>placeholder</v>
      </c>
      <c r="J2323" s="62" t="str">
        <f>Table1[[#This Row],[Column42]]&amp;IF(Table1[[#This Row],[Column13]]="","",Table1[[#This Row],[Column13]])&amp;IF(Table1[[#This Row],[mod]]="","",Table1[[#This Row],[mod]])</f>
        <v>placeholder--success</v>
      </c>
      <c r="K23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3" t="s">
        <v>2244</v>
      </c>
      <c r="P2323" s="6" t="s">
        <v>2258</v>
      </c>
      <c r="Q23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323" t="s">
        <v>3120</v>
      </c>
      <c r="AB2323" s="29"/>
      <c r="AC2323" s="25"/>
      <c r="AD2323" s="41"/>
      <c r="AE2323" s="41"/>
      <c r="AF2323" s="11"/>
      <c r="AH2323" s="1" t="str">
        <f>Table1[[#This Row],[html_tag]]&amp;Table1[[#This Row],[html_type]]&amp;Table1[[#This Row],[html_modifier]]</f>
        <v/>
      </c>
      <c r="AL2323" s="22" t="str">
        <f>IFERROR(_xlfn.XLOOKUP(Table1[[#This Row],[word]],Table57[English style name],Table57[Style type]),"")</f>
        <v/>
      </c>
      <c r="AM2323" s="20"/>
      <c r="AN2323" s="11"/>
      <c r="AQ2323" s="6" t="s">
        <v>2258</v>
      </c>
      <c r="AR2323" t="s">
        <v>2245</v>
      </c>
    </row>
    <row r="2324" spans="5:44">
      <c r="E2324" s="11"/>
      <c r="F23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4" s="13" t="s">
        <v>337</v>
      </c>
      <c r="H2324" s="13" t="s">
        <v>2987</v>
      </c>
      <c r="I2324" s="12" t="str">
        <f>Table1[[#This Row],[type]]</f>
        <v>placeholder</v>
      </c>
      <c r="J2324" s="62" t="str">
        <f>Table1[[#This Row],[Column42]]&amp;IF(Table1[[#This Row],[Column13]]="","",Table1[[#This Row],[Column13]])&amp;IF(Table1[[#This Row],[mod]]="","",Table1[[#This Row],[mod]])</f>
        <v>placeholder--warning</v>
      </c>
      <c r="K23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4" t="s">
        <v>2244</v>
      </c>
      <c r="P2324" s="6" t="s">
        <v>2263</v>
      </c>
      <c r="Q23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324" t="s">
        <v>3121</v>
      </c>
      <c r="AB2324" s="29"/>
      <c r="AC2324" s="25"/>
      <c r="AD2324" s="41"/>
      <c r="AE2324" s="41"/>
      <c r="AF2324" s="11"/>
      <c r="AH2324" s="1" t="str">
        <f>Table1[[#This Row],[html_tag]]&amp;Table1[[#This Row],[html_type]]&amp;Table1[[#This Row],[html_modifier]]</f>
        <v/>
      </c>
      <c r="AL2324" s="22" t="str">
        <f>IFERROR(_xlfn.XLOOKUP(Table1[[#This Row],[word]],Table57[English style name],Table57[Style type]),"")</f>
        <v/>
      </c>
      <c r="AM2324" s="20"/>
      <c r="AN2324" s="11"/>
      <c r="AQ2324" s="6" t="s">
        <v>2263</v>
      </c>
      <c r="AR2324" t="s">
        <v>2245</v>
      </c>
    </row>
    <row r="2325" spans="5:44">
      <c r="E2325" s="11"/>
      <c r="F23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5" s="13" t="s">
        <v>337</v>
      </c>
      <c r="H2325" s="13" t="s">
        <v>2987</v>
      </c>
      <c r="I2325" s="12" t="str">
        <f>Table1[[#This Row],[type]]</f>
        <v>placeholder</v>
      </c>
      <c r="J2325" s="62" t="str">
        <f>Table1[[#This Row],[Column42]]&amp;IF(Table1[[#This Row],[Column13]]="","",Table1[[#This Row],[Column13]])&amp;IF(Table1[[#This Row],[mod]]="","",Table1[[#This Row],[mod]])</f>
        <v>placeholder--xs</v>
      </c>
      <c r="K23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5" t="s">
        <v>2244</v>
      </c>
      <c r="P2325" s="6" t="s">
        <v>2265</v>
      </c>
      <c r="Q23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325" t="s">
        <v>3127</v>
      </c>
      <c r="AB2325" s="29"/>
      <c r="AC2325" s="25"/>
      <c r="AD2325" s="41"/>
      <c r="AE2325" s="41"/>
      <c r="AF2325" s="11"/>
      <c r="AH2325" s="1" t="str">
        <f>Table1[[#This Row],[html_tag]]&amp;Table1[[#This Row],[html_type]]&amp;Table1[[#This Row],[html_modifier]]</f>
        <v/>
      </c>
      <c r="AL2325" s="22" t="str">
        <f>IFERROR(_xlfn.XLOOKUP(Table1[[#This Row],[word]],Table57[English style name],Table57[Style type]),"")</f>
        <v/>
      </c>
      <c r="AM2325" s="20"/>
      <c r="AN2325" s="11"/>
      <c r="AQ2325" s="6" t="s">
        <v>2265</v>
      </c>
      <c r="AR2325" t="s">
        <v>2247</v>
      </c>
    </row>
    <row r="2326" spans="5:44">
      <c r="E2326" s="11"/>
      <c r="F23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326" s="13" t="s">
        <v>2994</v>
      </c>
      <c r="H2326" s="13"/>
      <c r="I2326" s="12" t="str">
        <f>Table1[[#This Row],[type]]</f>
        <v>pointer_events</v>
      </c>
      <c r="J2326" s="62" t="str">
        <f>Table1[[#This Row],[Column42]]&amp;IF(Table1[[#This Row],[Column13]]="","",Table1[[#This Row],[Column13]])&amp;IF(Table1[[#This Row],[mod]]="","",Table1[[#This Row],[mod]])</f>
        <v>pointer_events--auto</v>
      </c>
      <c r="K23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pointer_events</v>
      </c>
      <c r="L2326" t="s">
        <v>10182</v>
      </c>
      <c r="Q2326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2326" t="s">
        <v>3202</v>
      </c>
      <c r="U23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26" s="29"/>
      <c r="AC2326" s="25" t="s">
        <v>5756</v>
      </c>
      <c r="AD2326" s="41"/>
      <c r="AE2326" s="41"/>
      <c r="AF2326" s="11"/>
      <c r="AH2326" s="1" t="str">
        <f>Table1[[#This Row],[html_tag]]&amp;Table1[[#This Row],[html_type]]&amp;Table1[[#This Row],[html_modifier]]</f>
        <v/>
      </c>
      <c r="AL2326" s="22" t="str">
        <f>IFERROR(_xlfn.XLOOKUP(Table1[[#This Row],[word]],Table57[English style name],Table57[Style type]),"")</f>
        <v/>
      </c>
      <c r="AM2326" s="20"/>
      <c r="AN2326" s="11"/>
      <c r="AQ2326" s="6" t="s">
        <v>2266</v>
      </c>
      <c r="AR2326" t="s">
        <v>2267</v>
      </c>
    </row>
    <row r="2327" spans="5:44">
      <c r="E2327" s="11"/>
      <c r="F23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327" s="13" t="s">
        <v>2994</v>
      </c>
      <c r="H2327" s="13"/>
      <c r="I2327" s="12" t="str">
        <f>Table1[[#This Row],[type]]</f>
        <v>pointer_events</v>
      </c>
      <c r="J2327" s="62" t="str">
        <f>Table1[[#This Row],[Column42]]&amp;IF(Table1[[#This Row],[Column13]]="","",Table1[[#This Row],[Column13]])&amp;IF(Table1[[#This Row],[mod]]="","",Table1[[#This Row],[mod]])</f>
        <v>pointer_events--none</v>
      </c>
      <c r="K23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pointer_events</v>
      </c>
      <c r="L2327" t="s">
        <v>10182</v>
      </c>
      <c r="Q2327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--none</v>
      </c>
      <c r="S2327" t="s">
        <v>3209</v>
      </c>
      <c r="U23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27" s="29"/>
      <c r="AC2327" s="25" t="s">
        <v>5769</v>
      </c>
      <c r="AD2327" s="41"/>
      <c r="AE2327" s="41"/>
      <c r="AF2327" s="11"/>
      <c r="AH2327" s="1" t="str">
        <f>Table1[[#This Row],[html_tag]]&amp;Table1[[#This Row],[html_type]]&amp;Table1[[#This Row],[html_modifier]]</f>
        <v/>
      </c>
      <c r="AL2327" s="22" t="str">
        <f>IFERROR(_xlfn.XLOOKUP(Table1[[#This Row],[word]],Table57[English style name],Table57[Style type]),"")</f>
        <v/>
      </c>
      <c r="AM2327" s="20"/>
      <c r="AN2327" s="11"/>
      <c r="AQ2327" s="6" t="s">
        <v>2268</v>
      </c>
      <c r="AR2327" t="s">
        <v>2267</v>
      </c>
    </row>
    <row r="2328" spans="5:44">
      <c r="E2328" s="11"/>
      <c r="F23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28" s="13" t="s">
        <v>337</v>
      </c>
      <c r="H2328" s="13" t="s">
        <v>2986</v>
      </c>
      <c r="I2328" s="12" t="str">
        <f>Table1[[#This Row],[type]]</f>
        <v>popover</v>
      </c>
      <c r="J2328" s="62" t="str">
        <f>Table1[[#This Row],[Column42]]&amp;IF(Table1[[#This Row],[Column13]]="","",Table1[[#This Row],[Column13]])&amp;IF(Table1[[#This Row],[mod]]="","",Table1[[#This Row],[mod]])</f>
        <v>popover</v>
      </c>
      <c r="K23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28" t="s">
        <v>3108</v>
      </c>
      <c r="P2328" s="6" t="s">
        <v>2269</v>
      </c>
      <c r="Q23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28" s="29"/>
      <c r="AC2328" s="25"/>
      <c r="AD2328" s="41"/>
      <c r="AE2328" s="41"/>
      <c r="AF2328" s="11"/>
      <c r="AH2328" s="1" t="str">
        <f>Table1[[#This Row],[html_tag]]&amp;Table1[[#This Row],[html_type]]&amp;Table1[[#This Row],[html_modifier]]</f>
        <v/>
      </c>
      <c r="AL2328" s="22" t="str">
        <f>IFERROR(_xlfn.XLOOKUP(Table1[[#This Row],[word]],Table57[English style name],Table57[Style type]),"")</f>
        <v/>
      </c>
      <c r="AM2328" s="20"/>
      <c r="AN2328" s="11"/>
      <c r="AQ2328" s="6" t="s">
        <v>2269</v>
      </c>
      <c r="AR2328" t="s">
        <v>2270</v>
      </c>
    </row>
    <row r="2329" spans="5:44">
      <c r="E2329" s="11"/>
      <c r="F23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29" s="13" t="s">
        <v>337</v>
      </c>
      <c r="H2329" s="13" t="s">
        <v>2986</v>
      </c>
      <c r="I2329" s="12" t="str">
        <f>Table1[[#This Row],[type]]</f>
        <v>popover</v>
      </c>
      <c r="J2329" s="62" t="str">
        <f>Table1[[#This Row],[Column42]]&amp;IF(Table1[[#This Row],[Column13]]="","",Table1[[#This Row],[Column13]])&amp;IF(Table1[[#This Row],[mod]]="","",Table1[[#This Row],[mod]])</f>
        <v>popover</v>
      </c>
      <c r="K23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29" t="s">
        <v>3108</v>
      </c>
      <c r="P2329" s="6" t="s">
        <v>2274</v>
      </c>
      <c r="Q23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29" s="29"/>
      <c r="AC2329" s="25"/>
      <c r="AD2329" s="41"/>
      <c r="AE2329" s="41"/>
      <c r="AF2329" s="11"/>
      <c r="AH2329" s="1" t="str">
        <f>Table1[[#This Row],[html_tag]]&amp;Table1[[#This Row],[html_type]]&amp;Table1[[#This Row],[html_modifier]]</f>
        <v/>
      </c>
      <c r="AL2329" s="22" t="str">
        <f>IFERROR(_xlfn.XLOOKUP(Table1[[#This Row],[word]],Table57[English style name],Table57[Style type]),"")</f>
        <v/>
      </c>
      <c r="AM2329" s="20"/>
      <c r="AN2329" s="11"/>
      <c r="AQ2329" s="6" t="s">
        <v>2274</v>
      </c>
      <c r="AR2329" t="s">
        <v>2270</v>
      </c>
    </row>
    <row r="2330" spans="5:44">
      <c r="E2330" s="11"/>
      <c r="F23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0" s="13" t="s">
        <v>337</v>
      </c>
      <c r="H2330" s="13" t="s">
        <v>2986</v>
      </c>
      <c r="I2330" s="12" t="str">
        <f>Table1[[#This Row],[type]]</f>
        <v>popover</v>
      </c>
      <c r="J2330" s="62" t="str">
        <f>Table1[[#This Row],[Column42]]&amp;IF(Table1[[#This Row],[Column13]]="","",Table1[[#This Row],[Column13]])&amp;IF(Table1[[#This Row],[mod]]="","",Table1[[#This Row],[mod]])</f>
        <v>popover</v>
      </c>
      <c r="K23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30" t="s">
        <v>3108</v>
      </c>
      <c r="P2330" s="6" t="s">
        <v>2277</v>
      </c>
      <c r="Q23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0" s="29"/>
      <c r="AC2330" s="25"/>
      <c r="AD2330" s="41"/>
      <c r="AE2330" s="41"/>
      <c r="AF2330" s="11"/>
      <c r="AH2330" s="1" t="str">
        <f>Table1[[#This Row],[html_tag]]&amp;Table1[[#This Row],[html_type]]&amp;Table1[[#This Row],[html_modifier]]</f>
        <v/>
      </c>
      <c r="AL2330" s="22" t="str">
        <f>IFERROR(_xlfn.XLOOKUP(Table1[[#This Row],[word]],Table57[English style name],Table57[Style type]),"")</f>
        <v/>
      </c>
      <c r="AM2330" s="20"/>
      <c r="AN2330" s="11"/>
      <c r="AQ2330" s="6" t="s">
        <v>2277</v>
      </c>
      <c r="AR2330" t="s">
        <v>2270</v>
      </c>
    </row>
    <row r="2331" spans="5:44">
      <c r="E2331" s="11"/>
      <c r="F23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1" s="13" t="s">
        <v>337</v>
      </c>
      <c r="H2331" s="13" t="s">
        <v>2986</v>
      </c>
      <c r="I2331" s="12" t="str">
        <f>Table1[[#This Row],[type]]</f>
        <v>popover</v>
      </c>
      <c r="J2331" s="62" t="str">
        <f>Table1[[#This Row],[Column42]]&amp;IF(Table1[[#This Row],[Column13]]="","",Table1[[#This Row],[Column13]])&amp;IF(Table1[[#This Row],[mod]]="","",Table1[[#This Row],[mod]])</f>
        <v>popover</v>
      </c>
      <c r="K23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31" t="s">
        <v>3108</v>
      </c>
      <c r="Q23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1" s="29"/>
      <c r="AC2331" s="25" t="s">
        <v>3626</v>
      </c>
      <c r="AD2331" s="41"/>
      <c r="AE2331" s="41"/>
      <c r="AF2331" s="11"/>
      <c r="AH2331" s="7" t="str">
        <f>Table1[[#This Row],[html_tag]]&amp;Table1[[#This Row],[html_type]]&amp;Table1[[#This Row],[html_modifier]]</f>
        <v/>
      </c>
      <c r="AL2331" s="23" t="str">
        <f>IFERROR(_xlfn.XLOOKUP(Table1[[#This Row],[word]],Table57[English style name],Table57[Style type]),"")</f>
        <v/>
      </c>
      <c r="AM2331" s="21"/>
      <c r="AN2331" s="11"/>
    </row>
    <row r="2332" spans="5:44">
      <c r="E2332" s="11"/>
      <c r="F23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2" s="13" t="s">
        <v>337</v>
      </c>
      <c r="H2332" s="13" t="s">
        <v>2986</v>
      </c>
      <c r="I2332" s="12" t="str">
        <f>Table1[[#This Row],[type]]</f>
        <v>popover</v>
      </c>
      <c r="J2332" s="62" t="str">
        <f>Table1[[#This Row],[Column42]]&amp;IF(Table1[[#This Row],[Column13]]="","",Table1[[#This Row],[Column13]])&amp;IF(Table1[[#This Row],[mod]]="","",Table1[[#This Row],[mod]])</f>
        <v>popover</v>
      </c>
      <c r="K23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32" t="s">
        <v>3108</v>
      </c>
      <c r="Q23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2" s="29"/>
      <c r="AC2332" s="25" t="s">
        <v>3627</v>
      </c>
      <c r="AD2332" s="41"/>
      <c r="AE2332" s="41"/>
      <c r="AF2332" s="11"/>
      <c r="AH2332" s="7" t="str">
        <f>Table1[[#This Row],[html_tag]]&amp;Table1[[#This Row],[html_type]]&amp;Table1[[#This Row],[html_modifier]]</f>
        <v/>
      </c>
      <c r="AL2332" s="23" t="str">
        <f>IFERROR(_xlfn.XLOOKUP(Table1[[#This Row],[word]],Table57[English style name],Table57[Style type]),"")</f>
        <v/>
      </c>
      <c r="AM2332" s="21"/>
      <c r="AN2332" s="11"/>
    </row>
    <row r="2333" spans="5:44">
      <c r="E2333" s="11"/>
      <c r="F23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3" s="13" t="s">
        <v>337</v>
      </c>
      <c r="H2333" s="13" t="s">
        <v>2986</v>
      </c>
      <c r="I2333" s="12" t="str">
        <f>Table1[[#This Row],[type]]</f>
        <v>popover</v>
      </c>
      <c r="J2333" s="62" t="str">
        <f>Table1[[#This Row],[Column42]]&amp;IF(Table1[[#This Row],[Column13]]="","",Table1[[#This Row],[Column13]])&amp;IF(Table1[[#This Row],[mod]]="","",Table1[[#This Row],[mod]])</f>
        <v>popover__body</v>
      </c>
      <c r="K23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popover__body</v>
      </c>
      <c r="L2333" t="s">
        <v>3108</v>
      </c>
      <c r="O2333" t="s">
        <v>337</v>
      </c>
      <c r="Q23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3" s="29"/>
      <c r="AC2333" s="25"/>
      <c r="AD2333" s="41"/>
      <c r="AE2333" s="41"/>
      <c r="AF2333" s="11"/>
      <c r="AH2333" s="1" t="str">
        <f>Table1[[#This Row],[html_tag]]&amp;Table1[[#This Row],[html_type]]&amp;Table1[[#This Row],[html_modifier]]</f>
        <v/>
      </c>
      <c r="AL2333" s="22" t="str">
        <f>IFERROR(_xlfn.XLOOKUP(Table1[[#This Row],[word]],Table57[English style name],Table57[Style type]),"")</f>
        <v/>
      </c>
      <c r="AM2333" s="20"/>
      <c r="AN2333" s="11"/>
      <c r="AQ2333" s="6" t="s">
        <v>2272</v>
      </c>
      <c r="AR2333" t="s">
        <v>2270</v>
      </c>
    </row>
    <row r="2334" spans="5:44">
      <c r="E2334" s="11"/>
      <c r="F23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4" s="13" t="s">
        <v>337</v>
      </c>
      <c r="H2334" s="13" t="s">
        <v>2986</v>
      </c>
      <c r="I2334" s="12" t="str">
        <f>Table1[[#This Row],[type]]</f>
        <v>popover</v>
      </c>
      <c r="J2334" s="62" t="str">
        <f>Table1[[#This Row],[Column42]]&amp;IF(Table1[[#This Row],[Column13]]="","",Table1[[#This Row],[Column13]])&amp;IF(Table1[[#This Row],[mod]]="","",Table1[[#This Row],[mod]])</f>
        <v>popover__bottom</v>
      </c>
      <c r="K23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popover__bottom</v>
      </c>
      <c r="L2334" t="s">
        <v>3108</v>
      </c>
      <c r="N2334" t="s">
        <v>3186</v>
      </c>
      <c r="P2334" s="6" t="s">
        <v>2273</v>
      </c>
      <c r="Q23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4" s="29"/>
      <c r="AC2334" s="25"/>
      <c r="AD2334" s="41"/>
      <c r="AE2334" s="41"/>
      <c r="AF2334" s="11"/>
      <c r="AH2334" s="1" t="str">
        <f>Table1[[#This Row],[html_tag]]&amp;Table1[[#This Row],[html_type]]&amp;Table1[[#This Row],[html_modifier]]</f>
        <v/>
      </c>
      <c r="AL2334" s="22" t="str">
        <f>IFERROR(_xlfn.XLOOKUP(Table1[[#This Row],[word]],Table57[English style name],Table57[Style type]),"")</f>
        <v/>
      </c>
      <c r="AM2334" s="20"/>
      <c r="AN2334" s="11"/>
      <c r="AQ2334" s="6" t="s">
        <v>2273</v>
      </c>
      <c r="AR2334" t="s">
        <v>2270</v>
      </c>
    </row>
    <row r="2335" spans="5:44">
      <c r="E2335" s="11"/>
      <c r="F23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5" s="13" t="s">
        <v>337</v>
      </c>
      <c r="H2335" s="13" t="s">
        <v>2986</v>
      </c>
      <c r="I2335" s="12" t="str">
        <f>Table1[[#This Row],[type]]</f>
        <v>popover</v>
      </c>
      <c r="J2335" s="62" t="str">
        <f>Table1[[#This Row],[Column42]]&amp;IF(Table1[[#This Row],[Column13]]="","",Table1[[#This Row],[Column13]])&amp;IF(Table1[[#This Row],[mod]]="","",Table1[[#This Row],[mod]])</f>
        <v>popover__end</v>
      </c>
      <c r="K23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popover__end</v>
      </c>
      <c r="L2335" t="s">
        <v>3108</v>
      </c>
      <c r="N2335" t="s">
        <v>3194</v>
      </c>
      <c r="P2335" s="6" t="s">
        <v>2275</v>
      </c>
      <c r="Q23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5" s="29"/>
      <c r="AC2335" s="25"/>
      <c r="AD2335" s="41"/>
      <c r="AE2335" s="41"/>
      <c r="AF2335" s="11"/>
      <c r="AH2335" s="1" t="str">
        <f>Table1[[#This Row],[html_tag]]&amp;Table1[[#This Row],[html_type]]&amp;Table1[[#This Row],[html_modifier]]</f>
        <v/>
      </c>
      <c r="AL2335" s="22" t="str">
        <f>IFERROR(_xlfn.XLOOKUP(Table1[[#This Row],[word]],Table57[English style name],Table57[Style type]),"")</f>
        <v/>
      </c>
      <c r="AM2335" s="20"/>
      <c r="AN2335" s="11"/>
      <c r="AQ2335" s="6" t="s">
        <v>2275</v>
      </c>
      <c r="AR2335" t="s">
        <v>2270</v>
      </c>
    </row>
    <row r="2336" spans="5:44">
      <c r="E2336" s="11"/>
      <c r="F23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6" s="13" t="s">
        <v>337</v>
      </c>
      <c r="H2336" s="13" t="s">
        <v>2986</v>
      </c>
      <c r="I2336" s="12" t="str">
        <f>Table1[[#This Row],[type]]</f>
        <v>popover</v>
      </c>
      <c r="J2336" s="62" t="str">
        <f>Table1[[#This Row],[Column42]]&amp;IF(Table1[[#This Row],[Column13]]="","",Table1[[#This Row],[Column13]])&amp;IF(Table1[[#This Row],[mod]]="","",Table1[[#This Row],[mod]])</f>
        <v>popover__header</v>
      </c>
      <c r="K23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popover__header</v>
      </c>
      <c r="L2336" t="s">
        <v>3108</v>
      </c>
      <c r="O2336" t="s">
        <v>465</v>
      </c>
      <c r="Q23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6" s="29"/>
      <c r="AC2336" s="25"/>
      <c r="AD2336" s="41"/>
      <c r="AE2336" s="41"/>
      <c r="AF2336" s="11"/>
      <c r="AH2336" s="1" t="str">
        <f>Table1[[#This Row],[html_tag]]&amp;Table1[[#This Row],[html_type]]&amp;Table1[[#This Row],[html_modifier]]</f>
        <v/>
      </c>
      <c r="AL2336" s="22" t="str">
        <f>IFERROR(_xlfn.XLOOKUP(Table1[[#This Row],[word]],Table57[English style name],Table57[Style type]),"")</f>
        <v/>
      </c>
      <c r="AM2336" s="20"/>
      <c r="AN2336" s="11"/>
      <c r="AQ2336" s="6" t="s">
        <v>2276</v>
      </c>
      <c r="AR2336" t="s">
        <v>2270</v>
      </c>
    </row>
    <row r="2337" spans="5:44">
      <c r="E2337" s="11"/>
      <c r="F23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7" s="13" t="s">
        <v>337</v>
      </c>
      <c r="H2337" s="13" t="s">
        <v>2986</v>
      </c>
      <c r="I2337" s="12" t="str">
        <f>Table1[[#This Row],[type]]</f>
        <v>popover</v>
      </c>
      <c r="J2337" s="62" t="str">
        <f>Table1[[#This Row],[Column42]]&amp;IF(Table1[[#This Row],[Column13]]="","",Table1[[#This Row],[Column13]])&amp;IF(Table1[[#This Row],[mod]]="","",Table1[[#This Row],[mod]])</f>
        <v>popover__start</v>
      </c>
      <c r="K23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popover__start</v>
      </c>
      <c r="L2337" t="s">
        <v>3108</v>
      </c>
      <c r="N2337" t="s">
        <v>3193</v>
      </c>
      <c r="P2337" s="6" t="s">
        <v>2278</v>
      </c>
      <c r="Q23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7" s="29"/>
      <c r="AC2337" s="25"/>
      <c r="AD2337" s="41"/>
      <c r="AE2337" s="41"/>
      <c r="AF2337" s="11"/>
      <c r="AH2337" s="1" t="str">
        <f>Table1[[#This Row],[html_tag]]&amp;Table1[[#This Row],[html_type]]&amp;Table1[[#This Row],[html_modifier]]</f>
        <v/>
      </c>
      <c r="AL2337" s="22" t="str">
        <f>IFERROR(_xlfn.XLOOKUP(Table1[[#This Row],[word]],Table57[English style name],Table57[Style type]),"")</f>
        <v/>
      </c>
      <c r="AM2337" s="20"/>
      <c r="AN2337" s="11"/>
      <c r="AQ2337" s="6" t="s">
        <v>2278</v>
      </c>
      <c r="AR2337" t="s">
        <v>2270</v>
      </c>
    </row>
    <row r="2338" spans="5:44">
      <c r="E2338" s="11"/>
      <c r="F23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8" s="13" t="s">
        <v>337</v>
      </c>
      <c r="H2338" s="13" t="s">
        <v>2986</v>
      </c>
      <c r="I2338" s="12" t="str">
        <f>Table1[[#This Row],[type]]</f>
        <v>popover</v>
      </c>
      <c r="J2338" s="62" t="str">
        <f>Table1[[#This Row],[Column42]]&amp;IF(Table1[[#This Row],[Column13]]="","",Table1[[#This Row],[Column13]])&amp;IF(Table1[[#This Row],[mod]]="","",Table1[[#This Row],[mod]])</f>
        <v>popover__top</v>
      </c>
      <c r="K23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popover__top</v>
      </c>
      <c r="L2338" t="s">
        <v>3108</v>
      </c>
      <c r="N2338" t="s">
        <v>3182</v>
      </c>
      <c r="P2338" s="6" t="s">
        <v>2279</v>
      </c>
      <c r="Q23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8" s="29"/>
      <c r="AC2338" s="25"/>
      <c r="AD2338" s="41"/>
      <c r="AE2338" s="41"/>
      <c r="AF2338" s="11"/>
      <c r="AH2338" s="1" t="str">
        <f>Table1[[#This Row],[html_tag]]&amp;Table1[[#This Row],[html_type]]&amp;Table1[[#This Row],[html_modifier]]</f>
        <v/>
      </c>
      <c r="AL2338" s="22" t="str">
        <f>IFERROR(_xlfn.XLOOKUP(Table1[[#This Row],[word]],Table57[English style name],Table57[Style type]),"")</f>
        <v/>
      </c>
      <c r="AM2338" s="20"/>
      <c r="AN2338" s="11"/>
      <c r="AQ2338" s="6" t="s">
        <v>2279</v>
      </c>
      <c r="AR2338" t="s">
        <v>2270</v>
      </c>
    </row>
    <row r="2339" spans="5:44">
      <c r="E2339" s="11"/>
      <c r="F23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9" s="13" t="s">
        <v>337</v>
      </c>
      <c r="H2339" s="13" t="s">
        <v>2986</v>
      </c>
      <c r="I2339" s="12" t="str">
        <f>Table1[[#This Row],[type]]</f>
        <v>popover</v>
      </c>
      <c r="J2339" s="62" t="str">
        <f>Table1[[#This Row],[Column42]]&amp;IF(Table1[[#This Row],[Column13]]="","",Table1[[#This Row],[Column13]])&amp;IF(Table1[[#This Row],[mod]]="","",Table1[[#This Row],[mod]])</f>
        <v>popover--base</v>
      </c>
      <c r="K23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39" t="s">
        <v>3108</v>
      </c>
      <c r="P2339" s="6" t="s">
        <v>2271</v>
      </c>
      <c r="Q23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39" t="s">
        <v>338</v>
      </c>
      <c r="AB2339" s="29"/>
      <c r="AC2339" s="25"/>
      <c r="AD2339" s="41"/>
      <c r="AE2339" s="41"/>
      <c r="AF2339" s="11"/>
      <c r="AH2339" s="1" t="str">
        <f>Table1[[#This Row],[html_tag]]&amp;Table1[[#This Row],[html_type]]&amp;Table1[[#This Row],[html_modifier]]</f>
        <v/>
      </c>
      <c r="AL2339" s="22" t="str">
        <f>IFERROR(_xlfn.XLOOKUP(Table1[[#This Row],[word]],Table57[English style name],Table57[Style type]),"")</f>
        <v/>
      </c>
      <c r="AM2339" s="20"/>
      <c r="AN2339" s="11"/>
      <c r="AQ2339" s="6" t="s">
        <v>2271</v>
      </c>
      <c r="AR2339" t="s">
        <v>2270</v>
      </c>
    </row>
    <row r="2340" spans="5:44">
      <c r="E2340" s="11"/>
      <c r="F23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0" s="13" t="s">
        <v>461</v>
      </c>
      <c r="H2340" s="13" t="s">
        <v>2991</v>
      </c>
      <c r="I2340" s="12" t="str">
        <f>Table1[[#This Row],[type]]</f>
        <v>position</v>
      </c>
      <c r="J2340" s="62" t="str">
        <f>Table1[[#This Row],[Column42]]&amp;IF(Table1[[#This Row],[Column13]]="","",Table1[[#This Row],[Column13]])&amp;IF(Table1[[#This Row],[mod]]="","",Table1[[#This Row],[mod]])</f>
        <v>position</v>
      </c>
      <c r="K23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</v>
      </c>
      <c r="L2340" t="s">
        <v>3158</v>
      </c>
      <c r="P2340" s="6" t="s">
        <v>1597</v>
      </c>
      <c r="Q23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0" s="29"/>
      <c r="AC2340" s="25"/>
      <c r="AD2340" s="41"/>
      <c r="AE2340" s="41"/>
      <c r="AF2340" s="11"/>
      <c r="AH2340" s="1" t="str">
        <f>Table1[[#This Row],[html_tag]]&amp;Table1[[#This Row],[html_type]]&amp;Table1[[#This Row],[html_modifier]]</f>
        <v/>
      </c>
      <c r="AL2340" s="22" t="str">
        <f>IFERROR(_xlfn.XLOOKUP(Table1[[#This Row],[word]],Table57[English style name],Table57[Style type]),"")</f>
        <v/>
      </c>
      <c r="AM2340" s="20"/>
      <c r="AN2340" s="11"/>
      <c r="AQ2340" s="6" t="s">
        <v>1597</v>
      </c>
      <c r="AR2340" t="s">
        <v>1598</v>
      </c>
    </row>
    <row r="2341" spans="5:44">
      <c r="E2341" s="11"/>
      <c r="F23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1" s="13" t="s">
        <v>461</v>
      </c>
      <c r="H2341" s="13" t="s">
        <v>2991</v>
      </c>
      <c r="I2341" s="12" t="str">
        <f>Table1[[#This Row],[type]]</f>
        <v>position</v>
      </c>
      <c r="J2341" s="62" t="str">
        <f>Table1[[#This Row],[Column42]]&amp;IF(Table1[[#This Row],[Column13]]="","",Table1[[#This Row],[Column13]])&amp;IF(Table1[[#This Row],[mod]]="","",Table1[[#This Row],[mod]])</f>
        <v>position</v>
      </c>
      <c r="K23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</v>
      </c>
      <c r="L2341" t="s">
        <v>3158</v>
      </c>
      <c r="P2341" s="6" t="s">
        <v>1599</v>
      </c>
      <c r="Q23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1" s="29"/>
      <c r="AC2341" s="25"/>
      <c r="AD2341" s="41"/>
      <c r="AE2341" s="41"/>
      <c r="AF2341" s="11"/>
      <c r="AH2341" s="1" t="str">
        <f>Table1[[#This Row],[html_tag]]&amp;Table1[[#This Row],[html_type]]&amp;Table1[[#This Row],[html_modifier]]</f>
        <v/>
      </c>
      <c r="AL2341" s="22" t="str">
        <f>IFERROR(_xlfn.XLOOKUP(Table1[[#This Row],[word]],Table57[English style name],Table57[Style type]),"")</f>
        <v/>
      </c>
      <c r="AM2341" s="20"/>
      <c r="AN2341" s="11"/>
      <c r="AQ2341" s="6" t="s">
        <v>1599</v>
      </c>
      <c r="AR2341" t="s">
        <v>1598</v>
      </c>
    </row>
    <row r="2342" spans="5:44">
      <c r="E2342" s="11"/>
      <c r="F23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2" s="13" t="s">
        <v>461</v>
      </c>
      <c r="H2342" s="13" t="s">
        <v>2991</v>
      </c>
      <c r="I2342" s="12" t="str">
        <f>Table1[[#This Row],[type]]</f>
        <v>position</v>
      </c>
      <c r="J2342" s="62" t="str">
        <f>Table1[[#This Row],[Column42]]&amp;IF(Table1[[#This Row],[Column13]]="","",Table1[[#This Row],[Column13]])&amp;IF(Table1[[#This Row],[mod]]="","",Table1[[#This Row],[mod]])</f>
        <v>position__bottom</v>
      </c>
      <c r="K23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position__bottom</v>
      </c>
      <c r="L2342" t="s">
        <v>3158</v>
      </c>
      <c r="N2342" t="s">
        <v>3186</v>
      </c>
      <c r="P2342" s="6" t="s">
        <v>2656</v>
      </c>
      <c r="Q23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2" s="29"/>
      <c r="AC2342" s="25"/>
      <c r="AD2342" s="41"/>
      <c r="AE2342" s="41"/>
      <c r="AF2342" s="11"/>
      <c r="AH2342" s="1" t="str">
        <f>Table1[[#This Row],[html_tag]]&amp;Table1[[#This Row],[html_type]]&amp;Table1[[#This Row],[html_modifier]]</f>
        <v/>
      </c>
      <c r="AL2342" s="22" t="str">
        <f>IFERROR(_xlfn.XLOOKUP(Table1[[#This Row],[word]],Table57[English style name],Table57[Style type]),"")</f>
        <v/>
      </c>
      <c r="AM2342" s="20"/>
      <c r="AN2342" s="11"/>
      <c r="AQ2342" s="6" t="s">
        <v>2656</v>
      </c>
      <c r="AR2342" t="s">
        <v>2655</v>
      </c>
    </row>
    <row r="2343" spans="5:44">
      <c r="E2343" s="11"/>
      <c r="F23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3" s="13" t="s">
        <v>461</v>
      </c>
      <c r="H2343" s="13" t="s">
        <v>2991</v>
      </c>
      <c r="I2343" s="12" t="str">
        <f>Table1[[#This Row],[type]]</f>
        <v>position</v>
      </c>
      <c r="J2343" s="62" t="str">
        <f>Table1[[#This Row],[Column42]]&amp;IF(Table1[[#This Row],[Column13]]="","",Table1[[#This Row],[Column13]])&amp;IF(Table1[[#This Row],[mod]]="","",Table1[[#This Row],[mod]])</f>
        <v>position__left</v>
      </c>
      <c r="K23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position__left</v>
      </c>
      <c r="L2343" t="s">
        <v>3158</v>
      </c>
      <c r="N2343" s="3" t="s">
        <v>616</v>
      </c>
      <c r="P2343" s="6" t="s">
        <v>2657</v>
      </c>
      <c r="Q23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3" s="29"/>
      <c r="AC2343" s="25"/>
      <c r="AD2343" s="41"/>
      <c r="AE2343" s="41"/>
      <c r="AF2343" s="11"/>
      <c r="AH2343" s="1" t="str">
        <f>Table1[[#This Row],[html_tag]]&amp;Table1[[#This Row],[html_type]]&amp;Table1[[#This Row],[html_modifier]]</f>
        <v/>
      </c>
      <c r="AL2343" s="22" t="str">
        <f>IFERROR(_xlfn.XLOOKUP(Table1[[#This Row],[word]],Table57[English style name],Table57[Style type]),"")</f>
        <v/>
      </c>
      <c r="AM2343" s="20"/>
      <c r="AN2343" s="11"/>
      <c r="AQ2343" s="6" t="s">
        <v>2657</v>
      </c>
      <c r="AR2343" t="s">
        <v>2655</v>
      </c>
    </row>
    <row r="2344" spans="5:44">
      <c r="E2344" s="11"/>
      <c r="F23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4" s="13" t="s">
        <v>461</v>
      </c>
      <c r="H2344" s="13" t="s">
        <v>2991</v>
      </c>
      <c r="I2344" s="12" t="str">
        <f>Table1[[#This Row],[type]]</f>
        <v>position</v>
      </c>
      <c r="J2344" s="62" t="str">
        <f>Table1[[#This Row],[Column42]]&amp;IF(Table1[[#This Row],[Column13]]="","",Table1[[#This Row],[Column13]])&amp;IF(Table1[[#This Row],[mod]]="","",Table1[[#This Row],[mod]])</f>
        <v>position__right</v>
      </c>
      <c r="K23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position__right</v>
      </c>
      <c r="L2344" t="s">
        <v>3158</v>
      </c>
      <c r="N2344" t="s">
        <v>617</v>
      </c>
      <c r="P2344" s="6" t="s">
        <v>2658</v>
      </c>
      <c r="Q23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4" s="29"/>
      <c r="AC2344" s="25"/>
      <c r="AD2344" s="41"/>
      <c r="AE2344" s="41"/>
      <c r="AF2344" s="11"/>
      <c r="AH2344" s="1" t="str">
        <f>Table1[[#This Row],[html_tag]]&amp;Table1[[#This Row],[html_type]]&amp;Table1[[#This Row],[html_modifier]]</f>
        <v/>
      </c>
      <c r="AL2344" s="22" t="str">
        <f>IFERROR(_xlfn.XLOOKUP(Table1[[#This Row],[word]],Table57[English style name],Table57[Style type]),"")</f>
        <v/>
      </c>
      <c r="AM2344" s="20"/>
      <c r="AN2344" s="11"/>
      <c r="AQ2344" s="6" t="s">
        <v>2658</v>
      </c>
      <c r="AR2344" t="s">
        <v>2655</v>
      </c>
    </row>
    <row r="2345" spans="5:44">
      <c r="E2345" s="11"/>
      <c r="F23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5" s="13" t="s">
        <v>461</v>
      </c>
      <c r="H2345" s="13" t="s">
        <v>2991</v>
      </c>
      <c r="I2345" s="12" t="str">
        <f>Table1[[#This Row],[type]]</f>
        <v>position</v>
      </c>
      <c r="J2345" s="62" t="str">
        <f>Table1[[#This Row],[Column42]]&amp;IF(Table1[[#This Row],[Column13]]="","",Table1[[#This Row],[Column13]])&amp;IF(Table1[[#This Row],[mod]]="","",Table1[[#This Row],[mod]])</f>
        <v>position__top</v>
      </c>
      <c r="K23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position__top</v>
      </c>
      <c r="L2345" t="s">
        <v>3158</v>
      </c>
      <c r="N2345" t="s">
        <v>3182</v>
      </c>
      <c r="P2345" s="6" t="s">
        <v>2659</v>
      </c>
      <c r="Q23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5" s="29"/>
      <c r="AC2345" s="25"/>
      <c r="AD2345" s="41"/>
      <c r="AE2345" s="41"/>
      <c r="AF2345" s="11"/>
      <c r="AH2345" s="1" t="str">
        <f>Table1[[#This Row],[html_tag]]&amp;Table1[[#This Row],[html_type]]&amp;Table1[[#This Row],[html_modifier]]</f>
        <v/>
      </c>
      <c r="AL2345" s="22" t="str">
        <f>IFERROR(_xlfn.XLOOKUP(Table1[[#This Row],[word]],Table57[English style name],Table57[Style type]),"")</f>
        <v/>
      </c>
      <c r="AM2345" s="20"/>
      <c r="AN2345" s="11"/>
      <c r="AQ2345" s="6" t="s">
        <v>2659</v>
      </c>
      <c r="AR2345" t="s">
        <v>2655</v>
      </c>
    </row>
    <row r="2346" spans="5:44">
      <c r="E2346" s="11"/>
      <c r="F23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6" s="13" t="s">
        <v>461</v>
      </c>
      <c r="H2346" s="13" t="s">
        <v>2991</v>
      </c>
      <c r="I2346" s="12" t="str">
        <f>Table1[[#This Row],[type]]</f>
        <v>position</v>
      </c>
      <c r="J2346" s="62" t="str">
        <f>Table1[[#This Row],[Column42]]&amp;IF(Table1[[#This Row],[Column13]]="","",Table1[[#This Row],[Column13]])&amp;IF(Table1[[#This Row],[mod]]="","",Table1[[#This Row],[mod]])</f>
        <v>position--base</v>
      </c>
      <c r="K23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</v>
      </c>
      <c r="L2346" t="s">
        <v>3158</v>
      </c>
      <c r="P2346" s="6" t="s">
        <v>2654</v>
      </c>
      <c r="Q23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46" t="s">
        <v>338</v>
      </c>
      <c r="AB2346" s="29"/>
      <c r="AC2346" s="25"/>
      <c r="AD2346" s="41"/>
      <c r="AE2346" s="41"/>
      <c r="AF2346" s="11"/>
      <c r="AH2346" s="1" t="str">
        <f>Table1[[#This Row],[html_tag]]&amp;Table1[[#This Row],[html_type]]&amp;Table1[[#This Row],[html_modifier]]</f>
        <v/>
      </c>
      <c r="AL2346" s="22" t="str">
        <f>IFERROR(_xlfn.XLOOKUP(Table1[[#This Row],[word]],Table57[English style name],Table57[Style type]),"")</f>
        <v/>
      </c>
      <c r="AM2346" s="20"/>
      <c r="AN2346" s="11"/>
      <c r="AQ2346" s="6" t="s">
        <v>2654</v>
      </c>
      <c r="AR2346" t="s">
        <v>2655</v>
      </c>
    </row>
    <row r="2347" spans="5:44">
      <c r="E2347" s="11"/>
      <c r="F23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47" s="13" t="s">
        <v>337</v>
      </c>
      <c r="H2347" s="13" t="s">
        <v>2987</v>
      </c>
      <c r="I2347" s="12" t="str">
        <f>Table1[[#This Row],[type]]</f>
        <v>preloader</v>
      </c>
      <c r="J2347" s="62" t="str">
        <f>Table1[[#This Row],[Column42]]&amp;IF(Table1[[#This Row],[Column13]]="","",Table1[[#This Row],[Column13]])&amp;IF(Table1[[#This Row],[mod]]="","",Table1[[#This Row],[mod]])</f>
        <v>preloader</v>
      </c>
      <c r="K23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47" t="s">
        <v>2284</v>
      </c>
      <c r="P2347" s="6" t="s">
        <v>2284</v>
      </c>
      <c r="Q23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7" s="29"/>
      <c r="AC2347" s="25"/>
      <c r="AD2347" s="41"/>
      <c r="AE2347" s="41"/>
      <c r="AF2347" s="11"/>
      <c r="AH2347" s="1" t="str">
        <f>Table1[[#This Row],[html_tag]]&amp;Table1[[#This Row],[html_type]]&amp;Table1[[#This Row],[html_modifier]]</f>
        <v/>
      </c>
      <c r="AL2347" s="22" t="str">
        <f>IFERROR(_xlfn.XLOOKUP(Table1[[#This Row],[word]],Table57[English style name],Table57[Style type]),"")</f>
        <v/>
      </c>
      <c r="AM2347" s="20"/>
      <c r="AN2347" s="11"/>
      <c r="AQ2347" s="6" t="s">
        <v>2284</v>
      </c>
      <c r="AR2347" t="s">
        <v>2285</v>
      </c>
    </row>
    <row r="2348" spans="5:44">
      <c r="E2348" s="11"/>
      <c r="F23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48" s="13" t="s">
        <v>337</v>
      </c>
      <c r="H2348" s="13" t="s">
        <v>2987</v>
      </c>
      <c r="I2348" s="12" t="str">
        <f>Table1[[#This Row],[type]]</f>
        <v>preloader</v>
      </c>
      <c r="J2348" s="62" t="str">
        <f>Table1[[#This Row],[Column42]]&amp;IF(Table1[[#This Row],[Column13]]="","",Table1[[#This Row],[Column13]])&amp;IF(Table1[[#This Row],[mod]]="","",Table1[[#This Row],[mod]])</f>
        <v>preloader</v>
      </c>
      <c r="K23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48" t="s">
        <v>2284</v>
      </c>
      <c r="P2348" s="6" t="s">
        <v>2286</v>
      </c>
      <c r="Q23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8" s="29"/>
      <c r="AC2348" s="25"/>
      <c r="AD2348" s="41"/>
      <c r="AE2348" s="41"/>
      <c r="AF2348" s="11"/>
      <c r="AH2348" s="1" t="str">
        <f>Table1[[#This Row],[html_tag]]&amp;Table1[[#This Row],[html_type]]&amp;Table1[[#This Row],[html_modifier]]</f>
        <v/>
      </c>
      <c r="AL2348" s="22" t="str">
        <f>IFERROR(_xlfn.XLOOKUP(Table1[[#This Row],[word]],Table57[English style name],Table57[Style type]),"")</f>
        <v/>
      </c>
      <c r="AM2348" s="20"/>
      <c r="AN2348" s="11"/>
      <c r="AQ2348" s="6" t="s">
        <v>2286</v>
      </c>
      <c r="AR2348" t="s">
        <v>2285</v>
      </c>
    </row>
    <row r="2349" spans="5:44">
      <c r="E2349" s="11"/>
      <c r="F23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49" s="13" t="s">
        <v>337</v>
      </c>
      <c r="H2349" s="13" t="s">
        <v>2987</v>
      </c>
      <c r="I2349" s="12" t="str">
        <f>Table1[[#This Row],[type]]</f>
        <v>preloader</v>
      </c>
      <c r="J2349" s="62" t="str">
        <f>Table1[[#This Row],[Column42]]&amp;IF(Table1[[#This Row],[Column13]]="","",Table1[[#This Row],[Column13]])&amp;IF(Table1[[#This Row],[mod]]="","",Table1[[#This Row],[mod]])</f>
        <v>preloader</v>
      </c>
      <c r="K23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49" t="s">
        <v>2284</v>
      </c>
      <c r="P2349" s="6" t="s">
        <v>2287</v>
      </c>
      <c r="Q23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9" s="29"/>
      <c r="AC2349" s="25"/>
      <c r="AD2349" s="41"/>
      <c r="AE2349" s="41"/>
      <c r="AF2349" s="11"/>
      <c r="AH2349" s="1" t="str">
        <f>Table1[[#This Row],[html_tag]]&amp;Table1[[#This Row],[html_type]]&amp;Table1[[#This Row],[html_modifier]]</f>
        <v/>
      </c>
      <c r="AL2349" s="22" t="str">
        <f>IFERROR(_xlfn.XLOOKUP(Table1[[#This Row],[word]],Table57[English style name],Table57[Style type]),"")</f>
        <v/>
      </c>
      <c r="AM2349" s="20"/>
      <c r="AN2349" s="11"/>
      <c r="AQ2349" s="6" t="s">
        <v>2287</v>
      </c>
      <c r="AR2349" t="s">
        <v>2288</v>
      </c>
    </row>
    <row r="2350" spans="5:44">
      <c r="E2350" s="11"/>
      <c r="F23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0" s="13" t="s">
        <v>337</v>
      </c>
      <c r="H2350" s="13" t="s">
        <v>2987</v>
      </c>
      <c r="I2350" s="12" t="str">
        <f>Table1[[#This Row],[type]]</f>
        <v>preloader</v>
      </c>
      <c r="J2350" s="62" t="str">
        <f>Table1[[#This Row],[Column42]]&amp;IF(Table1[[#This Row],[Column13]]="","",Table1[[#This Row],[Column13]])&amp;IF(Table1[[#This Row],[mod]]="","",Table1[[#This Row],[mod]])</f>
        <v>preloader</v>
      </c>
      <c r="K23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0" t="s">
        <v>2284</v>
      </c>
      <c r="P2350" s="6" t="s">
        <v>2289</v>
      </c>
      <c r="Q23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0" s="29"/>
      <c r="AC2350" s="25"/>
      <c r="AD2350" s="41"/>
      <c r="AE2350" s="41"/>
      <c r="AF2350" s="11"/>
      <c r="AH2350" s="1" t="str">
        <f>Table1[[#This Row],[html_tag]]&amp;Table1[[#This Row],[html_type]]&amp;Table1[[#This Row],[html_modifier]]</f>
        <v/>
      </c>
      <c r="AL2350" s="22" t="str">
        <f>IFERROR(_xlfn.XLOOKUP(Table1[[#This Row],[word]],Table57[English style name],Table57[Style type]),"")</f>
        <v/>
      </c>
      <c r="AM2350" s="20"/>
      <c r="AN2350" s="11"/>
      <c r="AQ2350" s="6" t="s">
        <v>2289</v>
      </c>
      <c r="AR2350" t="s">
        <v>2288</v>
      </c>
    </row>
    <row r="2351" spans="5:44">
      <c r="E2351" s="11"/>
      <c r="F23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1" s="13" t="s">
        <v>337</v>
      </c>
      <c r="H2351" s="13" t="s">
        <v>2987</v>
      </c>
      <c r="I2351" s="12" t="str">
        <f>Table1[[#This Row],[type]]</f>
        <v>preloader</v>
      </c>
      <c r="J2351" s="62" t="str">
        <f>Table1[[#This Row],[Column42]]&amp;IF(Table1[[#This Row],[Column13]]="","",Table1[[#This Row],[Column13]])&amp;IF(Table1[[#This Row],[mod]]="","",Table1[[#This Row],[mod]])</f>
        <v>preloader</v>
      </c>
      <c r="K23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1" t="s">
        <v>2284</v>
      </c>
      <c r="P2351" s="6" t="s">
        <v>2290</v>
      </c>
      <c r="Q23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1" s="29"/>
      <c r="AC2351" s="25"/>
      <c r="AD2351" s="41"/>
      <c r="AE2351" s="41"/>
      <c r="AF2351" s="11"/>
      <c r="AH2351" s="1" t="str">
        <f>Table1[[#This Row],[html_tag]]&amp;Table1[[#This Row],[html_type]]&amp;Table1[[#This Row],[html_modifier]]</f>
        <v/>
      </c>
      <c r="AL2351" s="22" t="str">
        <f>IFERROR(_xlfn.XLOOKUP(Table1[[#This Row],[word]],Table57[English style name],Table57[Style type]),"")</f>
        <v/>
      </c>
      <c r="AM2351" s="20"/>
      <c r="AN2351" s="11"/>
      <c r="AQ2351" s="6" t="s">
        <v>2290</v>
      </c>
      <c r="AR2351" t="s">
        <v>2288</v>
      </c>
    </row>
    <row r="2352" spans="5:44">
      <c r="E2352" s="11"/>
      <c r="F23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2" s="13" t="s">
        <v>337</v>
      </c>
      <c r="H2352" s="13" t="s">
        <v>2987</v>
      </c>
      <c r="I2352" s="12" t="str">
        <f>Table1[[#This Row],[type]]</f>
        <v>preloader</v>
      </c>
      <c r="J2352" s="62" t="str">
        <f>Table1[[#This Row],[Column42]]&amp;IF(Table1[[#This Row],[Column13]]="","",Table1[[#This Row],[Column13]])&amp;IF(Table1[[#This Row],[mod]]="","",Table1[[#This Row],[mod]])</f>
        <v>preloader</v>
      </c>
      <c r="K23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2" t="s">
        <v>2284</v>
      </c>
      <c r="P2352" s="6" t="s">
        <v>2291</v>
      </c>
      <c r="Q23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2" s="29"/>
      <c r="AC2352" s="25"/>
      <c r="AD2352" s="41"/>
      <c r="AE2352" s="41"/>
      <c r="AF2352" s="11"/>
      <c r="AH2352" s="1" t="str">
        <f>Table1[[#This Row],[html_tag]]&amp;Table1[[#This Row],[html_type]]&amp;Table1[[#This Row],[html_modifier]]</f>
        <v/>
      </c>
      <c r="AL2352" s="22" t="str">
        <f>IFERROR(_xlfn.XLOOKUP(Table1[[#This Row],[word]],Table57[English style name],Table57[Style type]),"")</f>
        <v/>
      </c>
      <c r="AM2352" s="20"/>
      <c r="AN2352" s="11"/>
      <c r="AQ2352" s="6" t="s">
        <v>2291</v>
      </c>
      <c r="AR2352" t="s">
        <v>2288</v>
      </c>
    </row>
    <row r="2353" spans="5:44">
      <c r="E2353" s="11"/>
      <c r="F23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3" s="13" t="s">
        <v>337</v>
      </c>
      <c r="H2353" s="13" t="s">
        <v>2987</v>
      </c>
      <c r="I2353" s="12" t="str">
        <f>Table1[[#This Row],[type]]</f>
        <v>preloader</v>
      </c>
      <c r="J2353" s="62" t="str">
        <f>Table1[[#This Row],[Column42]]&amp;IF(Table1[[#This Row],[Column13]]="","",Table1[[#This Row],[Column13]])&amp;IF(Table1[[#This Row],[mod]]="","",Table1[[#This Row],[mod]])</f>
        <v>preloader</v>
      </c>
      <c r="K23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3" t="s">
        <v>2284</v>
      </c>
      <c r="P2353" s="6" t="s">
        <v>2292</v>
      </c>
      <c r="Q23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3" s="29"/>
      <c r="AC2353" s="25"/>
      <c r="AD2353" s="41"/>
      <c r="AE2353" s="41"/>
      <c r="AF2353" s="11"/>
      <c r="AH2353" s="1" t="str">
        <f>Table1[[#This Row],[html_tag]]&amp;Table1[[#This Row],[html_type]]&amp;Table1[[#This Row],[html_modifier]]</f>
        <v/>
      </c>
      <c r="AL2353" s="22" t="str">
        <f>IFERROR(_xlfn.XLOOKUP(Table1[[#This Row],[word]],Table57[English style name],Table57[Style type]),"")</f>
        <v/>
      </c>
      <c r="AM2353" s="20"/>
      <c r="AN2353" s="11"/>
      <c r="AQ2353" s="6" t="s">
        <v>2292</v>
      </c>
      <c r="AR2353" t="s">
        <v>2288</v>
      </c>
    </row>
    <row r="2354" spans="5:44">
      <c r="E2354" s="11"/>
      <c r="F23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4" s="13" t="s">
        <v>337</v>
      </c>
      <c r="H2354" s="13" t="s">
        <v>2987</v>
      </c>
      <c r="I2354" s="12" t="str">
        <f>Table1[[#This Row],[type]]</f>
        <v>preloader</v>
      </c>
      <c r="J2354" s="62" t="str">
        <f>Table1[[#This Row],[Column42]]&amp;IF(Table1[[#This Row],[Column13]]="","",Table1[[#This Row],[Column13]])&amp;IF(Table1[[#This Row],[mod]]="","",Table1[[#This Row],[mod]])</f>
        <v>preloader</v>
      </c>
      <c r="K23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4" t="s">
        <v>2284</v>
      </c>
      <c r="P2354" s="6" t="s">
        <v>2293</v>
      </c>
      <c r="Q23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4" s="29"/>
      <c r="AC2354" s="25"/>
      <c r="AD2354" s="41"/>
      <c r="AE2354" s="41"/>
      <c r="AF2354" s="11"/>
      <c r="AH2354" s="1" t="str">
        <f>Table1[[#This Row],[html_tag]]&amp;Table1[[#This Row],[html_type]]&amp;Table1[[#This Row],[html_modifier]]</f>
        <v/>
      </c>
      <c r="AL2354" s="22" t="str">
        <f>IFERROR(_xlfn.XLOOKUP(Table1[[#This Row],[word]],Table57[English style name],Table57[Style type]),"")</f>
        <v/>
      </c>
      <c r="AM2354" s="20"/>
      <c r="AN2354" s="11"/>
      <c r="AQ2354" s="6" t="s">
        <v>2293</v>
      </c>
      <c r="AR2354" t="s">
        <v>2288</v>
      </c>
    </row>
    <row r="2355" spans="5:44">
      <c r="E2355" s="11"/>
      <c r="F23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5" s="13" t="s">
        <v>337</v>
      </c>
      <c r="H2355" s="13" t="s">
        <v>2987</v>
      </c>
      <c r="I2355" s="12" t="str">
        <f>Table1[[#This Row],[type]]</f>
        <v>preloader</v>
      </c>
      <c r="J2355" s="62" t="str">
        <f>Table1[[#This Row],[Column42]]&amp;IF(Table1[[#This Row],[Column13]]="","",Table1[[#This Row],[Column13]])&amp;IF(Table1[[#This Row],[mod]]="","",Table1[[#This Row],[mod]])</f>
        <v>preloader</v>
      </c>
      <c r="K23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5" t="s">
        <v>2284</v>
      </c>
      <c r="P2355" s="6" t="s">
        <v>2294</v>
      </c>
      <c r="Q23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5" s="29"/>
      <c r="AC2355" s="25"/>
      <c r="AD2355" s="41"/>
      <c r="AE2355" s="41"/>
      <c r="AF2355" s="11"/>
      <c r="AH2355" s="1" t="str">
        <f>Table1[[#This Row],[html_tag]]&amp;Table1[[#This Row],[html_type]]&amp;Table1[[#This Row],[html_modifier]]</f>
        <v/>
      </c>
      <c r="AL2355" s="22" t="str">
        <f>IFERROR(_xlfn.XLOOKUP(Table1[[#This Row],[word]],Table57[English style name],Table57[Style type]),"")</f>
        <v/>
      </c>
      <c r="AM2355" s="20"/>
      <c r="AN2355" s="11"/>
      <c r="AQ2355" s="6" t="s">
        <v>2294</v>
      </c>
      <c r="AR2355" t="s">
        <v>2288</v>
      </c>
    </row>
    <row r="2356" spans="5:44">
      <c r="E2356" s="11"/>
      <c r="F23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6" s="13" t="s">
        <v>337</v>
      </c>
      <c r="H2356" s="13" t="s">
        <v>2987</v>
      </c>
      <c r="I2356" s="12" t="str">
        <f>Table1[[#This Row],[type]]</f>
        <v>preloader</v>
      </c>
      <c r="J2356" s="62" t="str">
        <f>Table1[[#This Row],[Column42]]&amp;IF(Table1[[#This Row],[Column13]]="","",Table1[[#This Row],[Column13]])&amp;IF(Table1[[#This Row],[mod]]="","",Table1[[#This Row],[mod]])</f>
        <v>preloader</v>
      </c>
      <c r="K23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6" t="s">
        <v>2284</v>
      </c>
      <c r="P2356" s="6" t="s">
        <v>2295</v>
      </c>
      <c r="Q23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6" s="29"/>
      <c r="AC2356" s="25"/>
      <c r="AD2356" s="41"/>
      <c r="AE2356" s="41"/>
      <c r="AF2356" s="11"/>
      <c r="AH2356" s="1" t="str">
        <f>Table1[[#This Row],[html_tag]]&amp;Table1[[#This Row],[html_type]]&amp;Table1[[#This Row],[html_modifier]]</f>
        <v/>
      </c>
      <c r="AL2356" s="22" t="str">
        <f>IFERROR(_xlfn.XLOOKUP(Table1[[#This Row],[word]],Table57[English style name],Table57[Style type]),"")</f>
        <v/>
      </c>
      <c r="AM2356" s="20"/>
      <c r="AN2356" s="11"/>
      <c r="AQ2356" s="6" t="s">
        <v>2295</v>
      </c>
      <c r="AR2356" t="s">
        <v>2296</v>
      </c>
    </row>
    <row r="2357" spans="5:44">
      <c r="E2357" s="11"/>
      <c r="F23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57" s="13" t="s">
        <v>337</v>
      </c>
      <c r="H2357" s="13" t="s">
        <v>2987</v>
      </c>
      <c r="I2357" s="12" t="str">
        <f>Table1[[#This Row],[type]]</f>
        <v>preview</v>
      </c>
      <c r="J2357" s="62" t="str">
        <f>Table1[[#This Row],[Column42]]&amp;IF(Table1[[#This Row],[Column13]]="","",Table1[[#This Row],[Column13]])&amp;IF(Table1[[#This Row],[mod]]="","",Table1[[#This Row],[mod]])</f>
        <v>preview</v>
      </c>
      <c r="K23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57" t="s">
        <v>3149</v>
      </c>
      <c r="P2357" s="6" t="s">
        <v>2299</v>
      </c>
      <c r="Q23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7" s="29"/>
      <c r="AC2357" s="25"/>
      <c r="AD2357" s="41"/>
      <c r="AE2357" s="41"/>
      <c r="AF2357" s="11"/>
      <c r="AH2357" s="1" t="str">
        <f>Table1[[#This Row],[html_tag]]&amp;Table1[[#This Row],[html_type]]&amp;Table1[[#This Row],[html_modifier]]</f>
        <v/>
      </c>
      <c r="AL2357" s="22" t="str">
        <f>IFERROR(_xlfn.XLOOKUP(Table1[[#This Row],[word]],Table57[English style name],Table57[Style type]),"")</f>
        <v/>
      </c>
      <c r="AM2357" s="20"/>
      <c r="AN2357" s="11"/>
      <c r="AQ2357" s="6" t="s">
        <v>2299</v>
      </c>
      <c r="AR2357" t="s">
        <v>2298</v>
      </c>
    </row>
    <row r="2358" spans="5:44">
      <c r="E2358" s="11"/>
      <c r="F23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58" s="13" t="s">
        <v>337</v>
      </c>
      <c r="H2358" s="13" t="s">
        <v>2987</v>
      </c>
      <c r="I2358" s="12" t="str">
        <f>Table1[[#This Row],[type]]</f>
        <v>preview</v>
      </c>
      <c r="J2358" s="62" t="str">
        <f>Table1[[#This Row],[Column42]]&amp;IF(Table1[[#This Row],[Column13]]="","",Table1[[#This Row],[Column13]])&amp;IF(Table1[[#This Row],[mod]]="","",Table1[[#This Row],[mod]])</f>
        <v>preview</v>
      </c>
      <c r="K23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58" t="s">
        <v>3149</v>
      </c>
      <c r="P2358" s="6" t="s">
        <v>2304</v>
      </c>
      <c r="Q23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8" s="29"/>
      <c r="AC2358" s="25"/>
      <c r="AD2358" s="41"/>
      <c r="AE2358" s="41"/>
      <c r="AF2358" s="11"/>
      <c r="AH2358" s="1" t="str">
        <f>Table1[[#This Row],[html_tag]]&amp;Table1[[#This Row],[html_type]]&amp;Table1[[#This Row],[html_modifier]]</f>
        <v/>
      </c>
      <c r="AL2358" s="22" t="str">
        <f>IFERROR(_xlfn.XLOOKUP(Table1[[#This Row],[word]],Table57[English style name],Table57[Style type]),"")</f>
        <v/>
      </c>
      <c r="AM2358" s="20"/>
      <c r="AN2358" s="11"/>
      <c r="AQ2358" s="6" t="s">
        <v>2304</v>
      </c>
      <c r="AR2358" t="s">
        <v>2298</v>
      </c>
    </row>
    <row r="2359" spans="5:44">
      <c r="E2359" s="11"/>
      <c r="F23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59" s="13" t="s">
        <v>337</v>
      </c>
      <c r="H2359" s="13" t="s">
        <v>2987</v>
      </c>
      <c r="I2359" s="12" t="str">
        <f>Table1[[#This Row],[type]]</f>
        <v>preview</v>
      </c>
      <c r="J2359" s="62" t="str">
        <f>Table1[[#This Row],[Column42]]&amp;IF(Table1[[#This Row],[Column13]]="","",Table1[[#This Row],[Column13]])&amp;IF(Table1[[#This Row],[mod]]="","",Table1[[#This Row],[mod]])</f>
        <v>preview</v>
      </c>
      <c r="K23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59" t="s">
        <v>3149</v>
      </c>
      <c r="P2359" s="6" t="s">
        <v>2305</v>
      </c>
      <c r="Q23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9" s="29"/>
      <c r="AC2359" s="25"/>
      <c r="AD2359" s="41"/>
      <c r="AE2359" s="41"/>
      <c r="AF2359" s="11"/>
      <c r="AH2359" s="1" t="str">
        <f>Table1[[#This Row],[html_tag]]&amp;Table1[[#This Row],[html_type]]&amp;Table1[[#This Row],[html_modifier]]</f>
        <v/>
      </c>
      <c r="AL2359" s="22" t="str">
        <f>IFERROR(_xlfn.XLOOKUP(Table1[[#This Row],[word]],Table57[English style name],Table57[Style type]),"")</f>
        <v/>
      </c>
      <c r="AM2359" s="20"/>
      <c r="AN2359" s="11"/>
      <c r="AQ2359" s="6" t="s">
        <v>2305</v>
      </c>
      <c r="AR2359" t="s">
        <v>2298</v>
      </c>
    </row>
    <row r="2360" spans="5:44">
      <c r="E2360" s="11"/>
      <c r="F23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0" s="13" t="s">
        <v>337</v>
      </c>
      <c r="H2360" s="13" t="s">
        <v>2987</v>
      </c>
      <c r="I2360" s="12" t="str">
        <f>Table1[[#This Row],[type]]</f>
        <v>preview</v>
      </c>
      <c r="J2360" s="62" t="str">
        <f>Table1[[#This Row],[Column42]]&amp;IF(Table1[[#This Row],[Column13]]="","",Table1[[#This Row],[Column13]])&amp;IF(Table1[[#This Row],[mod]]="","",Table1[[#This Row],[mod]])</f>
        <v>preview</v>
      </c>
      <c r="K23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0" t="s">
        <v>3149</v>
      </c>
      <c r="P2360" s="6" t="s">
        <v>2306</v>
      </c>
      <c r="Q23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0" s="29"/>
      <c r="AC2360" s="25"/>
      <c r="AD2360" s="41"/>
      <c r="AE2360" s="41"/>
      <c r="AF2360" s="11"/>
      <c r="AH2360" s="1" t="str">
        <f>Table1[[#This Row],[html_tag]]&amp;Table1[[#This Row],[html_type]]&amp;Table1[[#This Row],[html_modifier]]</f>
        <v/>
      </c>
      <c r="AL2360" s="22" t="str">
        <f>IFERROR(_xlfn.XLOOKUP(Table1[[#This Row],[word]],Table57[English style name],Table57[Style type]),"")</f>
        <v/>
      </c>
      <c r="AM2360" s="20"/>
      <c r="AN2360" s="11"/>
      <c r="AQ2360" s="6" t="s">
        <v>2306</v>
      </c>
      <c r="AR2360" t="s">
        <v>2298</v>
      </c>
    </row>
    <row r="2361" spans="5:44">
      <c r="E2361" s="11"/>
      <c r="F23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1" s="13" t="s">
        <v>337</v>
      </c>
      <c r="H2361" s="13" t="s">
        <v>2987</v>
      </c>
      <c r="I2361" s="12" t="str">
        <f>Table1[[#This Row],[type]]</f>
        <v>preview</v>
      </c>
      <c r="J2361" s="62" t="str">
        <f>Table1[[#This Row],[Column42]]&amp;IF(Table1[[#This Row],[Column13]]="","",Table1[[#This Row],[Column13]])&amp;IF(Table1[[#This Row],[mod]]="","",Table1[[#This Row],[mod]])</f>
        <v>preview</v>
      </c>
      <c r="K23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1" t="s">
        <v>3149</v>
      </c>
      <c r="P2361" s="6" t="s">
        <v>2309</v>
      </c>
      <c r="Q23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1" s="29"/>
      <c r="AC2361" s="25"/>
      <c r="AD2361" s="41"/>
      <c r="AE2361" s="41"/>
      <c r="AF2361" s="11"/>
      <c r="AH2361" s="1" t="str">
        <f>Table1[[#This Row],[html_tag]]&amp;Table1[[#This Row],[html_type]]&amp;Table1[[#This Row],[html_modifier]]</f>
        <v/>
      </c>
      <c r="AL2361" s="22" t="str">
        <f>IFERROR(_xlfn.XLOOKUP(Table1[[#This Row],[word]],Table57[English style name],Table57[Style type]),"")</f>
        <v/>
      </c>
      <c r="AM2361" s="20"/>
      <c r="AN2361" s="11"/>
      <c r="AQ2361" s="6" t="s">
        <v>2309</v>
      </c>
      <c r="AR2361" t="s">
        <v>2298</v>
      </c>
    </row>
    <row r="2362" spans="5:44">
      <c r="E2362" s="11"/>
      <c r="F23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2" s="13" t="s">
        <v>337</v>
      </c>
      <c r="H2362" s="13" t="s">
        <v>2987</v>
      </c>
      <c r="I2362" s="12" t="str">
        <f>Table1[[#This Row],[type]]</f>
        <v>preview</v>
      </c>
      <c r="J2362" s="62" t="str">
        <f>Table1[[#This Row],[Column42]]&amp;IF(Table1[[#This Row],[Column13]]="","",Table1[[#This Row],[Column13]])&amp;IF(Table1[[#This Row],[mod]]="","",Table1[[#This Row],[mod]])</f>
        <v>preview</v>
      </c>
      <c r="K23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2" t="s">
        <v>3149</v>
      </c>
      <c r="P2362" s="6" t="s">
        <v>2310</v>
      </c>
      <c r="Q23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2" s="29"/>
      <c r="AC2362" s="25"/>
      <c r="AD2362" s="41"/>
      <c r="AE2362" s="41"/>
      <c r="AF2362" s="11"/>
      <c r="AH2362" s="1" t="str">
        <f>Table1[[#This Row],[html_tag]]&amp;Table1[[#This Row],[html_type]]&amp;Table1[[#This Row],[html_modifier]]</f>
        <v/>
      </c>
      <c r="AL2362" s="22" t="str">
        <f>IFERROR(_xlfn.XLOOKUP(Table1[[#This Row],[word]],Table57[English style name],Table57[Style type]),"")</f>
        <v/>
      </c>
      <c r="AM2362" s="20"/>
      <c r="AN2362" s="11"/>
      <c r="AQ2362" s="6" t="s">
        <v>2310</v>
      </c>
      <c r="AR2362" t="s">
        <v>2298</v>
      </c>
    </row>
    <row r="2363" spans="5:44">
      <c r="E2363" s="11"/>
      <c r="F23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3" s="13" t="s">
        <v>337</v>
      </c>
      <c r="H2363" s="13" t="s">
        <v>2987</v>
      </c>
      <c r="I2363" s="12" t="str">
        <f>Table1[[#This Row],[type]]</f>
        <v>preview</v>
      </c>
      <c r="J2363" s="62" t="str">
        <f>Table1[[#This Row],[Column42]]&amp;IF(Table1[[#This Row],[Column13]]="","",Table1[[#This Row],[Column13]])&amp;IF(Table1[[#This Row],[mod]]="","",Table1[[#This Row],[mod]])</f>
        <v>preview</v>
      </c>
      <c r="K23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3" t="s">
        <v>3149</v>
      </c>
      <c r="P2363" s="6" t="s">
        <v>2311</v>
      </c>
      <c r="Q23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3" s="29"/>
      <c r="AC2363" s="25"/>
      <c r="AD2363" s="41"/>
      <c r="AE2363" s="41"/>
      <c r="AF2363" s="11"/>
      <c r="AH2363" s="1" t="str">
        <f>Table1[[#This Row],[html_tag]]&amp;Table1[[#This Row],[html_type]]&amp;Table1[[#This Row],[html_modifier]]</f>
        <v/>
      </c>
      <c r="AL2363" s="22" t="str">
        <f>IFERROR(_xlfn.XLOOKUP(Table1[[#This Row],[word]],Table57[English style name],Table57[Style type]),"")</f>
        <v/>
      </c>
      <c r="AM2363" s="20"/>
      <c r="AN2363" s="11"/>
      <c r="AQ2363" s="6" t="s">
        <v>2311</v>
      </c>
      <c r="AR2363" t="s">
        <v>2298</v>
      </c>
    </row>
    <row r="2364" spans="5:44">
      <c r="E2364" s="11"/>
      <c r="F23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4" s="13" t="s">
        <v>337</v>
      </c>
      <c r="H2364" s="13" t="s">
        <v>2987</v>
      </c>
      <c r="I2364" s="12" t="str">
        <f>Table1[[#This Row],[type]]</f>
        <v>preview</v>
      </c>
      <c r="J2364" s="62" t="str">
        <f>Table1[[#This Row],[Column42]]&amp;IF(Table1[[#This Row],[Column13]]="","",Table1[[#This Row],[Column13]])&amp;IF(Table1[[#This Row],[mod]]="","",Table1[[#This Row],[mod]])</f>
        <v>preview</v>
      </c>
      <c r="K23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4" t="s">
        <v>3149</v>
      </c>
      <c r="P2364" s="6" t="s">
        <v>2312</v>
      </c>
      <c r="Q23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4" s="29"/>
      <c r="AC2364" s="25"/>
      <c r="AD2364" s="41"/>
      <c r="AE2364" s="41"/>
      <c r="AF2364" s="11"/>
      <c r="AH2364" s="1" t="str">
        <f>Table1[[#This Row],[html_tag]]&amp;Table1[[#This Row],[html_type]]&amp;Table1[[#This Row],[html_modifier]]</f>
        <v/>
      </c>
      <c r="AL2364" s="22" t="str">
        <f>IFERROR(_xlfn.XLOOKUP(Table1[[#This Row],[word]],Table57[English style name],Table57[Style type]),"")</f>
        <v/>
      </c>
      <c r="AM2364" s="20"/>
      <c r="AN2364" s="11"/>
      <c r="AQ2364" s="6" t="s">
        <v>2312</v>
      </c>
      <c r="AR2364" t="s">
        <v>2298</v>
      </c>
    </row>
    <row r="2365" spans="5:44">
      <c r="E2365" s="11"/>
      <c r="F23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5" s="13" t="s">
        <v>337</v>
      </c>
      <c r="H2365" s="13" t="s">
        <v>2987</v>
      </c>
      <c r="I2365" s="12" t="str">
        <f>Table1[[#This Row],[type]]</f>
        <v>preview</v>
      </c>
      <c r="J2365" s="62" t="str">
        <f>Table1[[#This Row],[Column42]]&amp;IF(Table1[[#This Row],[Column13]]="","",Table1[[#This Row],[Column13]])&amp;IF(Table1[[#This Row],[mod]]="","",Table1[[#This Row],[mod]])</f>
        <v>preview</v>
      </c>
      <c r="K23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5" t="s">
        <v>3149</v>
      </c>
      <c r="P2365" s="6" t="s">
        <v>2313</v>
      </c>
      <c r="Q23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5" s="29"/>
      <c r="AC2365" s="25"/>
      <c r="AD2365" s="41"/>
      <c r="AE2365" s="41"/>
      <c r="AF2365" s="11"/>
      <c r="AH2365" s="1" t="str">
        <f>Table1[[#This Row],[html_tag]]&amp;Table1[[#This Row],[html_type]]&amp;Table1[[#This Row],[html_modifier]]</f>
        <v/>
      </c>
      <c r="AL2365" s="22" t="str">
        <f>IFERROR(_xlfn.XLOOKUP(Table1[[#This Row],[word]],Table57[English style name],Table57[Style type]),"")</f>
        <v/>
      </c>
      <c r="AM2365" s="20"/>
      <c r="AN2365" s="11"/>
      <c r="AQ2365" s="6" t="s">
        <v>2313</v>
      </c>
      <c r="AR2365" t="s">
        <v>2298</v>
      </c>
    </row>
    <row r="2366" spans="5:44">
      <c r="E2366" s="11"/>
      <c r="F23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6" s="13" t="s">
        <v>337</v>
      </c>
      <c r="H2366" s="13" t="s">
        <v>2987</v>
      </c>
      <c r="I2366" s="12" t="str">
        <f>Table1[[#This Row],[type]]</f>
        <v>preview</v>
      </c>
      <c r="J2366" s="62" t="str">
        <f>Table1[[#This Row],[Column42]]&amp;IF(Table1[[#This Row],[Column13]]="","",Table1[[#This Row],[Column13]])&amp;IF(Table1[[#This Row],[mod]]="","",Table1[[#This Row],[mod]])</f>
        <v>preview--horizontal</v>
      </c>
      <c r="K23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6" t="s">
        <v>3149</v>
      </c>
      <c r="P2366" s="6" t="s">
        <v>2300</v>
      </c>
      <c r="Q23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366" t="s">
        <v>3205</v>
      </c>
      <c r="AB2366" s="29"/>
      <c r="AC2366" s="25"/>
      <c r="AD2366" s="41"/>
      <c r="AE2366" s="41"/>
      <c r="AF2366" s="11"/>
      <c r="AH2366" s="1" t="str">
        <f>Table1[[#This Row],[html_tag]]&amp;Table1[[#This Row],[html_type]]&amp;Table1[[#This Row],[html_modifier]]</f>
        <v/>
      </c>
      <c r="AL2366" s="22" t="str">
        <f>IFERROR(_xlfn.XLOOKUP(Table1[[#This Row],[word]],Table57[English style name],Table57[Style type]),"")</f>
        <v/>
      </c>
      <c r="AM2366" s="20"/>
      <c r="AN2366" s="11"/>
      <c r="AQ2366" s="6" t="s">
        <v>2300</v>
      </c>
      <c r="AR2366" t="s">
        <v>2298</v>
      </c>
    </row>
    <row r="2367" spans="5:44">
      <c r="E2367" s="11"/>
      <c r="F23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7" s="13" t="s">
        <v>337</v>
      </c>
      <c r="H2367" s="13" t="s">
        <v>2987</v>
      </c>
      <c r="I2367" s="12" t="str">
        <f>Table1[[#This Row],[type]]</f>
        <v>preview</v>
      </c>
      <c r="J2367" s="62" t="str">
        <f>Table1[[#This Row],[Column42]]&amp;IF(Table1[[#This Row],[Column13]]="","",Table1[[#This Row],[Column13]])&amp;IF(Table1[[#This Row],[mod]]="","",Table1[[#This Row],[mod]])</f>
        <v>preview--horizontal</v>
      </c>
      <c r="K23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7" t="s">
        <v>3149</v>
      </c>
      <c r="P2367" s="6" t="s">
        <v>2301</v>
      </c>
      <c r="Q23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367" t="s">
        <v>3205</v>
      </c>
      <c r="AB2367" s="29"/>
      <c r="AC2367" s="25"/>
      <c r="AD2367" s="41"/>
      <c r="AE2367" s="41"/>
      <c r="AF2367" s="11"/>
      <c r="AH2367" s="1" t="str">
        <f>Table1[[#This Row],[html_tag]]&amp;Table1[[#This Row],[html_type]]&amp;Table1[[#This Row],[html_modifier]]</f>
        <v/>
      </c>
      <c r="AL2367" s="22" t="str">
        <f>IFERROR(_xlfn.XLOOKUP(Table1[[#This Row],[word]],Table57[English style name],Table57[Style type]),"")</f>
        <v/>
      </c>
      <c r="AM2367" s="20"/>
      <c r="AN2367" s="11"/>
      <c r="AQ2367" s="6" t="s">
        <v>2301</v>
      </c>
      <c r="AR2367" t="s">
        <v>2298</v>
      </c>
    </row>
    <row r="2368" spans="5:44">
      <c r="E2368" s="11"/>
      <c r="F23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8" s="13" t="s">
        <v>337</v>
      </c>
      <c r="H2368" s="13" t="s">
        <v>2987</v>
      </c>
      <c r="I2368" s="12" t="str">
        <f>Table1[[#This Row],[type]]</f>
        <v>preview</v>
      </c>
      <c r="J2368" s="62" t="str">
        <f>Table1[[#This Row],[Column42]]&amp;IF(Table1[[#This Row],[Column13]]="","",Table1[[#This Row],[Column13]])&amp;IF(Table1[[#This Row],[mod]]="","",Table1[[#This Row],[mod]])</f>
        <v>preview--horizontal</v>
      </c>
      <c r="K23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8" t="s">
        <v>3149</v>
      </c>
      <c r="P2368" s="6" t="s">
        <v>2302</v>
      </c>
      <c r="Q23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368" t="s">
        <v>3205</v>
      </c>
      <c r="AB2368" s="29"/>
      <c r="AC2368" s="25"/>
      <c r="AD2368" s="41"/>
      <c r="AE2368" s="41"/>
      <c r="AF2368" s="11"/>
      <c r="AH2368" s="1" t="str">
        <f>Table1[[#This Row],[html_tag]]&amp;Table1[[#This Row],[html_type]]&amp;Table1[[#This Row],[html_modifier]]</f>
        <v/>
      </c>
      <c r="AL2368" s="22" t="str">
        <f>IFERROR(_xlfn.XLOOKUP(Table1[[#This Row],[word]],Table57[English style name],Table57[Style type]),"")</f>
        <v/>
      </c>
      <c r="AM2368" s="20"/>
      <c r="AN2368" s="11"/>
      <c r="AQ2368" s="6" t="s">
        <v>2302</v>
      </c>
      <c r="AR2368" t="s">
        <v>2298</v>
      </c>
    </row>
    <row r="2369" spans="5:44">
      <c r="E2369" s="11"/>
      <c r="F23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9" s="13" t="s">
        <v>337</v>
      </c>
      <c r="H2369" s="13" t="s">
        <v>2987</v>
      </c>
      <c r="I2369" s="12" t="str">
        <f>Table1[[#This Row],[type]]</f>
        <v>preview</v>
      </c>
      <c r="J2369" s="62" t="str">
        <f>Table1[[#This Row],[Column42]]&amp;IF(Table1[[#This Row],[Column13]]="","",Table1[[#This Row],[Column13]])&amp;IF(Table1[[#This Row],[mod]]="","",Table1[[#This Row],[mod]])</f>
        <v>preview--info</v>
      </c>
      <c r="K23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9" t="s">
        <v>3149</v>
      </c>
      <c r="P2369" s="6" t="s">
        <v>2307</v>
      </c>
      <c r="Q23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369" t="s">
        <v>3119</v>
      </c>
      <c r="AB2369" s="29"/>
      <c r="AC2369" s="25"/>
      <c r="AD2369" s="41"/>
      <c r="AE2369" s="41"/>
      <c r="AF2369" s="11"/>
      <c r="AH2369" s="1" t="str">
        <f>Table1[[#This Row],[html_tag]]&amp;Table1[[#This Row],[html_type]]&amp;Table1[[#This Row],[html_modifier]]</f>
        <v/>
      </c>
      <c r="AL2369" s="22" t="str">
        <f>IFERROR(_xlfn.XLOOKUP(Table1[[#This Row],[word]],Table57[English style name],Table57[Style type]),"")</f>
        <v/>
      </c>
      <c r="AM2369" s="20"/>
      <c r="AN2369" s="11"/>
      <c r="AQ2369" s="6" t="s">
        <v>2307</v>
      </c>
      <c r="AR2369" t="s">
        <v>2298</v>
      </c>
    </row>
    <row r="2370" spans="5:44">
      <c r="E2370" s="11"/>
      <c r="F23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70" s="13" t="s">
        <v>337</v>
      </c>
      <c r="H2370" s="13" t="s">
        <v>2987</v>
      </c>
      <c r="I2370" s="12" t="str">
        <f>Table1[[#This Row],[type]]</f>
        <v>preview</v>
      </c>
      <c r="J2370" s="62" t="str">
        <f>Table1[[#This Row],[Column42]]&amp;IF(Table1[[#This Row],[Column13]]="","",Table1[[#This Row],[Column13]])&amp;IF(Table1[[#This Row],[mod]]="","",Table1[[#This Row],[mod]])</f>
        <v>preview--info</v>
      </c>
      <c r="K23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70" t="s">
        <v>3149</v>
      </c>
      <c r="P2370" s="6" t="s">
        <v>2308</v>
      </c>
      <c r="Q23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370" t="s">
        <v>3119</v>
      </c>
      <c r="AB2370" s="29"/>
      <c r="AC2370" s="25"/>
      <c r="AD2370" s="41"/>
      <c r="AE2370" s="41"/>
      <c r="AF2370" s="11"/>
      <c r="AH2370" s="1" t="str">
        <f>Table1[[#This Row],[html_tag]]&amp;Table1[[#This Row],[html_type]]&amp;Table1[[#This Row],[html_modifier]]</f>
        <v/>
      </c>
      <c r="AL2370" s="22" t="str">
        <f>IFERROR(_xlfn.XLOOKUP(Table1[[#This Row],[word]],Table57[English style name],Table57[Style type]),"")</f>
        <v/>
      </c>
      <c r="AM2370" s="20"/>
      <c r="AN2370" s="11"/>
      <c r="AQ2370" s="6" t="s">
        <v>2308</v>
      </c>
      <c r="AR2370" t="s">
        <v>2298</v>
      </c>
    </row>
    <row r="2371" spans="5:44">
      <c r="E2371" s="11"/>
      <c r="F23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71" s="13" t="s">
        <v>337</v>
      </c>
      <c r="H2371" s="13" t="s">
        <v>2987</v>
      </c>
      <c r="I2371" s="12" t="str">
        <f>Table1[[#This Row],[type]]</f>
        <v>preview</v>
      </c>
      <c r="J2371" s="62" t="str">
        <f>Table1[[#This Row],[Column42]]&amp;IF(Table1[[#This Row],[Column13]]="","",Table1[[#This Row],[Column13]])&amp;IF(Table1[[#This Row],[mod]]="","",Table1[[#This Row],[mod]])</f>
        <v>preview--vertical</v>
      </c>
      <c r="K23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71" t="s">
        <v>3149</v>
      </c>
      <c r="P2371" s="6" t="s">
        <v>2303</v>
      </c>
      <c r="Q23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371" t="s">
        <v>2943</v>
      </c>
      <c r="AB2371" s="29"/>
      <c r="AC2371" s="25"/>
      <c r="AD2371" s="41"/>
      <c r="AE2371" s="41"/>
      <c r="AF2371" s="11"/>
      <c r="AH2371" s="1" t="str">
        <f>Table1[[#This Row],[html_tag]]&amp;Table1[[#This Row],[html_type]]&amp;Table1[[#This Row],[html_modifier]]</f>
        <v/>
      </c>
      <c r="AL2371" s="22" t="str">
        <f>IFERROR(_xlfn.XLOOKUP(Table1[[#This Row],[word]],Table57[English style name],Table57[Style type]),"")</f>
        <v/>
      </c>
      <c r="AM2371" s="20"/>
      <c r="AN2371" s="11"/>
      <c r="AQ2371" s="6" t="s">
        <v>2303</v>
      </c>
      <c r="AR2371" t="s">
        <v>2298</v>
      </c>
    </row>
    <row r="2372" spans="5:44">
      <c r="E2372" s="11"/>
      <c r="F23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2" s="13" t="s">
        <v>337</v>
      </c>
      <c r="H2372" s="13" t="s">
        <v>2986</v>
      </c>
      <c r="I2372" s="12" t="str">
        <f>Table1[[#This Row],[type]]</f>
        <v>progress</v>
      </c>
      <c r="J2372" s="62" t="str">
        <f>Table1[[#This Row],[Column42]]&amp;IF(Table1[[#This Row],[Column13]]="","",Table1[[#This Row],[Column13]])&amp;IF(Table1[[#This Row],[mod]]="","",Table1[[#This Row],[mod]])</f>
        <v>progress</v>
      </c>
      <c r="K23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72" t="s">
        <v>573</v>
      </c>
      <c r="Q23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72" s="29"/>
      <c r="AC2372" s="25" t="s">
        <v>3629</v>
      </c>
      <c r="AD2372" s="41" t="s">
        <v>3629</v>
      </c>
      <c r="AE2372" s="41"/>
      <c r="AF2372" s="11" t="s">
        <v>247</v>
      </c>
      <c r="AH2372" s="1" t="str">
        <f>Table1[[#This Row],[html_tag]]&amp;Table1[[#This Row],[html_type]]&amp;Table1[[#This Row],[html_modifier]]</f>
        <v>&lt;progress&gt;</v>
      </c>
      <c r="AI2372" t="s">
        <v>247</v>
      </c>
      <c r="AL2372" s="22" t="str">
        <f>IFERROR(_xlfn.XLOOKUP(Table1[[#This Row],[word]],Table57[English style name],Table57[Style type]),"")</f>
        <v/>
      </c>
      <c r="AM2372" s="20"/>
      <c r="AN2372" s="11"/>
      <c r="AQ2372" s="6" t="s">
        <v>573</v>
      </c>
      <c r="AR2372" t="s">
        <v>2625</v>
      </c>
    </row>
    <row r="2373" spans="5:44">
      <c r="E2373" s="11"/>
      <c r="F23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3" s="13" t="s">
        <v>337</v>
      </c>
      <c r="H2373" s="13" t="s">
        <v>2986</v>
      </c>
      <c r="I2373" s="12" t="str">
        <f>Table1[[#This Row],[type]]</f>
        <v>progress</v>
      </c>
      <c r="J2373" s="62" t="str">
        <f>Table1[[#This Row],[Column42]]&amp;IF(Table1[[#This Row],[Column13]]="","",Table1[[#This Row],[Column13]])&amp;IF(Table1[[#This Row],[mod]]="","",Table1[[#This Row],[mod]])</f>
        <v>progress__bar</v>
      </c>
      <c r="K23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3" t="s">
        <v>573</v>
      </c>
      <c r="M2373" t="s">
        <v>3102</v>
      </c>
      <c r="Q23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73" s="29"/>
      <c r="AC2373" s="25" t="s">
        <v>3630</v>
      </c>
      <c r="AD2373" s="41"/>
      <c r="AE2373" s="41"/>
      <c r="AF2373" s="11" t="s">
        <v>247</v>
      </c>
      <c r="AH2373" s="1" t="str">
        <f>Table1[[#This Row],[html_tag]]&amp;Table1[[#This Row],[html_type]]&amp;Table1[[#This Row],[html_modifier]]</f>
        <v/>
      </c>
      <c r="AL2373" s="22" t="str">
        <f>IFERROR(_xlfn.XLOOKUP(Table1[[#This Row],[word]],Table57[English style name],Table57[Style type]),"")</f>
        <v/>
      </c>
      <c r="AM2373" s="20"/>
      <c r="AN2373" s="11"/>
      <c r="AQ2373" s="6" t="s">
        <v>2637</v>
      </c>
      <c r="AR2373" t="s">
        <v>2625</v>
      </c>
    </row>
    <row r="2374" spans="5:44">
      <c r="E2374" s="11"/>
      <c r="F23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4" s="13" t="s">
        <v>337</v>
      </c>
      <c r="H2374" s="13" t="s">
        <v>2986</v>
      </c>
      <c r="I2374" s="12" t="str">
        <f>Table1[[#This Row],[type]]</f>
        <v>progress</v>
      </c>
      <c r="J2374" s="62" t="str">
        <f>Table1[[#This Row],[Column42]]&amp;IF(Table1[[#This Row],[Column13]]="","",Table1[[#This Row],[Column13]])&amp;IF(Table1[[#This Row],[mod]]="","",Table1[[#This Row],[mod]])</f>
        <v>progress__bar</v>
      </c>
      <c r="K23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4" t="s">
        <v>573</v>
      </c>
      <c r="M2374" t="s">
        <v>3102</v>
      </c>
      <c r="Q23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74" s="29"/>
      <c r="AC2374" s="25" t="s">
        <v>3631</v>
      </c>
      <c r="AD2374" s="41"/>
      <c r="AE2374" s="41"/>
      <c r="AF2374" s="11" t="s">
        <v>247</v>
      </c>
      <c r="AH2374" s="7" t="str">
        <f>Table1[[#This Row],[html_tag]]&amp;Table1[[#This Row],[html_type]]&amp;Table1[[#This Row],[html_modifier]]</f>
        <v/>
      </c>
      <c r="AL2374" s="23" t="str">
        <f>IFERROR(_xlfn.XLOOKUP(Table1[[#This Row],[word]],Table57[English style name],Table57[Style type]),"")</f>
        <v/>
      </c>
      <c r="AM2374" s="21"/>
      <c r="AN2374" s="11"/>
    </row>
    <row r="2375" spans="5:44">
      <c r="E2375" s="11"/>
      <c r="F23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5" s="13" t="s">
        <v>337</v>
      </c>
      <c r="H2375" s="13" t="s">
        <v>2986</v>
      </c>
      <c r="I2375" s="12" t="str">
        <f>Table1[[#This Row],[type]]</f>
        <v>progress</v>
      </c>
      <c r="J2375" s="62" t="str">
        <f>Table1[[#This Row],[Column42]]&amp;IF(Table1[[#This Row],[Column13]]="","",Table1[[#This Row],[Column13]])&amp;IF(Table1[[#This Row],[mod]]="","",Table1[[#This Row],[mod]])</f>
        <v>progress__bar</v>
      </c>
      <c r="K23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5" t="s">
        <v>573</v>
      </c>
      <c r="M2375" t="s">
        <v>3102</v>
      </c>
      <c r="Q23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75" s="29"/>
      <c r="AC2375" s="25" t="s">
        <v>3632</v>
      </c>
      <c r="AD2375" s="41"/>
      <c r="AE2375" s="41"/>
      <c r="AF2375" s="11" t="s">
        <v>247</v>
      </c>
      <c r="AH2375" s="7" t="str">
        <f>Table1[[#This Row],[html_tag]]&amp;Table1[[#This Row],[html_type]]&amp;Table1[[#This Row],[html_modifier]]</f>
        <v/>
      </c>
      <c r="AL2375" s="23" t="str">
        <f>IFERROR(_xlfn.XLOOKUP(Table1[[#This Row],[word]],Table57[English style name],Table57[Style type]),"")</f>
        <v/>
      </c>
      <c r="AM2375" s="21"/>
      <c r="AN2375" s="11"/>
    </row>
    <row r="2376" spans="5:44">
      <c r="E2376" s="11"/>
      <c r="F23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6" s="13" t="s">
        <v>337</v>
      </c>
      <c r="H2376" s="13" t="s">
        <v>2986</v>
      </c>
      <c r="I2376" s="12" t="str">
        <f>Table1[[#This Row],[type]]</f>
        <v>progress</v>
      </c>
      <c r="J2376" s="62" t="str">
        <f>Table1[[#This Row],[Column42]]&amp;IF(Table1[[#This Row],[Column13]]="","",Table1[[#This Row],[Column13]])&amp;IF(Table1[[#This Row],[mod]]="","",Table1[[#This Row],[mod]])</f>
        <v>progress__bar--error</v>
      </c>
      <c r="K23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6" t="s">
        <v>573</v>
      </c>
      <c r="M2376" t="s">
        <v>3102</v>
      </c>
      <c r="Q23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376" t="s">
        <v>3117</v>
      </c>
      <c r="AB2376" s="29"/>
      <c r="AC2376" s="25"/>
      <c r="AD2376" s="41" t="s">
        <v>7087</v>
      </c>
      <c r="AE2376" s="41"/>
      <c r="AF2376" s="11" t="s">
        <v>247</v>
      </c>
      <c r="AH2376" s="1" t="str">
        <f>Table1[[#This Row],[html_tag]]&amp;Table1[[#This Row],[html_type]]&amp;Table1[[#This Row],[html_modifier]]</f>
        <v/>
      </c>
      <c r="AL2376" s="22" t="str">
        <f>IFERROR(_xlfn.XLOOKUP(Table1[[#This Row],[word]],Table57[English style name],Table57[Style type]),"")</f>
        <v/>
      </c>
      <c r="AM2376" s="20"/>
      <c r="AN2376" s="11"/>
      <c r="AQ2376" s="6" t="s">
        <v>2631</v>
      </c>
      <c r="AR2376" t="s">
        <v>2625</v>
      </c>
    </row>
    <row r="2377" spans="5:44">
      <c r="E2377" s="11"/>
      <c r="F23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7" s="13" t="s">
        <v>337</v>
      </c>
      <c r="H2377" s="13" t="s">
        <v>2986</v>
      </c>
      <c r="I2377" s="12" t="str">
        <f>Table1[[#This Row],[type]]</f>
        <v>progress</v>
      </c>
      <c r="J2377" s="62" t="str">
        <f>Table1[[#This Row],[Column42]]&amp;IF(Table1[[#This Row],[Column13]]="","",Table1[[#This Row],[Column13]])&amp;IF(Table1[[#This Row],[mod]]="","",Table1[[#This Row],[mod]])</f>
        <v>progress__bar--info</v>
      </c>
      <c r="K23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7" t="s">
        <v>573</v>
      </c>
      <c r="M2377" t="s">
        <v>3102</v>
      </c>
      <c r="Q23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377" t="s">
        <v>3119</v>
      </c>
      <c r="AB2377" s="29"/>
      <c r="AC2377" s="25"/>
      <c r="AD2377" s="41" t="s">
        <v>7084</v>
      </c>
      <c r="AE2377" s="41"/>
      <c r="AF2377" s="11" t="s">
        <v>247</v>
      </c>
      <c r="AH2377" s="1" t="str">
        <f>Table1[[#This Row],[html_tag]]&amp;Table1[[#This Row],[html_type]]&amp;Table1[[#This Row],[html_modifier]]</f>
        <v/>
      </c>
      <c r="AL2377" s="22" t="str">
        <f>IFERROR(_xlfn.XLOOKUP(Table1[[#This Row],[word]],Table57[English style name],Table57[Style type]),"")</f>
        <v/>
      </c>
      <c r="AM2377" s="20"/>
      <c r="AN2377" s="11"/>
      <c r="AQ2377" s="6" t="s">
        <v>2632</v>
      </c>
      <c r="AR2377" t="s">
        <v>2625</v>
      </c>
    </row>
    <row r="2378" spans="5:44">
      <c r="E2378" s="11"/>
      <c r="F23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8" s="13" t="s">
        <v>337</v>
      </c>
      <c r="H2378" s="13" t="s">
        <v>2986</v>
      </c>
      <c r="I2378" s="12" t="str">
        <f>Table1[[#This Row],[type]]</f>
        <v>progress</v>
      </c>
      <c r="J2378" s="62" t="str">
        <f>Table1[[#This Row],[Column42]]&amp;IF(Table1[[#This Row],[Column13]]="","",Table1[[#This Row],[Column13]])&amp;IF(Table1[[#This Row],[mod]]="","",Table1[[#This Row],[mod]])</f>
        <v>progress__bar--primary</v>
      </c>
      <c r="K23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8" t="s">
        <v>573</v>
      </c>
      <c r="M2378" t="s">
        <v>3102</v>
      </c>
      <c r="Q23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378" t="s">
        <v>3164</v>
      </c>
      <c r="AB2378" s="29"/>
      <c r="AC2378" s="25"/>
      <c r="AD2378" s="41" t="s">
        <v>7081</v>
      </c>
      <c r="AE2378" s="41"/>
      <c r="AF2378" s="11" t="s">
        <v>247</v>
      </c>
      <c r="AH2378" s="1" t="str">
        <f>Table1[[#This Row],[html_tag]]&amp;Table1[[#This Row],[html_type]]&amp;Table1[[#This Row],[html_modifier]]</f>
        <v/>
      </c>
      <c r="AL2378" s="22" t="str">
        <f>IFERROR(_xlfn.XLOOKUP(Table1[[#This Row],[word]],Table57[English style name],Table57[Style type]),"")</f>
        <v/>
      </c>
      <c r="AM2378" s="20"/>
      <c r="AN2378" s="11"/>
      <c r="AQ2378" s="6" t="s">
        <v>2633</v>
      </c>
      <c r="AR2378" t="s">
        <v>2625</v>
      </c>
    </row>
    <row r="2379" spans="5:44">
      <c r="E2379" s="11"/>
      <c r="F23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9" s="13" t="s">
        <v>337</v>
      </c>
      <c r="H2379" s="13" t="s">
        <v>2986</v>
      </c>
      <c r="I2379" s="12" t="str">
        <f>Table1[[#This Row],[type]]</f>
        <v>progress</v>
      </c>
      <c r="J2379" s="62" t="str">
        <f>Table1[[#This Row],[Column42]]&amp;IF(Table1[[#This Row],[Column13]]="","",Table1[[#This Row],[Column13]])&amp;IF(Table1[[#This Row],[mod]]="","",Table1[[#This Row],[mod]])</f>
        <v>progress__bar--secondary</v>
      </c>
      <c r="K23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9" t="s">
        <v>573</v>
      </c>
      <c r="M2379" t="s">
        <v>3102</v>
      </c>
      <c r="Q23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379" t="s">
        <v>3502</v>
      </c>
      <c r="AB2379" s="29"/>
      <c r="AC2379" s="25"/>
      <c r="AD2379" s="41" t="s">
        <v>7082</v>
      </c>
      <c r="AE2379" s="41"/>
      <c r="AF2379" s="11" t="s">
        <v>247</v>
      </c>
      <c r="AH2379" s="1" t="str">
        <f>Table1[[#This Row],[html_tag]]&amp;Table1[[#This Row],[html_type]]&amp;Table1[[#This Row],[html_modifier]]</f>
        <v/>
      </c>
      <c r="AL2379" s="22" t="str">
        <f>IFERROR(_xlfn.XLOOKUP(Table1[[#This Row],[word]],Table57[English style name],Table57[Style type]),"")</f>
        <v/>
      </c>
      <c r="AM2379" s="20"/>
      <c r="AN2379" s="11"/>
      <c r="AQ2379" s="6" t="s">
        <v>2634</v>
      </c>
      <c r="AR2379" t="s">
        <v>2625</v>
      </c>
    </row>
    <row r="2380" spans="5:44">
      <c r="E2380" s="11"/>
      <c r="F23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0" s="13" t="s">
        <v>337</v>
      </c>
      <c r="H2380" s="13" t="s">
        <v>2986</v>
      </c>
      <c r="I2380" s="12" t="str">
        <f>Table1[[#This Row],[type]]</f>
        <v>progress</v>
      </c>
      <c r="J2380" s="62" t="str">
        <f>Table1[[#This Row],[Column42]]&amp;IF(Table1[[#This Row],[Column13]]="","",Table1[[#This Row],[Column13]])&amp;IF(Table1[[#This Row],[mod]]="","",Table1[[#This Row],[mod]])</f>
        <v>progress__bar--striped</v>
      </c>
      <c r="K23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80" t="s">
        <v>573</v>
      </c>
      <c r="M2380" t="s">
        <v>3102</v>
      </c>
      <c r="Q23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--striped</v>
      </c>
      <c r="W2380" t="s">
        <v>3637</v>
      </c>
      <c r="AB2380" s="29"/>
      <c r="AC2380" s="25" t="s">
        <v>3636</v>
      </c>
      <c r="AD2380" s="41"/>
      <c r="AE2380" s="41"/>
      <c r="AF2380" s="11" t="s">
        <v>247</v>
      </c>
      <c r="AH2380" s="7" t="str">
        <f>Table1[[#This Row],[html_tag]]&amp;Table1[[#This Row],[html_type]]&amp;Table1[[#This Row],[html_modifier]]</f>
        <v/>
      </c>
      <c r="AL2380" s="23" t="str">
        <f>IFERROR(_xlfn.XLOOKUP(Table1[[#This Row],[word]],Table57[English style name],Table57[Style type]),"")</f>
        <v/>
      </c>
      <c r="AM2380" s="21"/>
      <c r="AN2380" s="11"/>
    </row>
    <row r="2381" spans="5:44">
      <c r="E2381" s="11"/>
      <c r="F23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1" s="13" t="s">
        <v>337</v>
      </c>
      <c r="H2381" s="13" t="s">
        <v>2986</v>
      </c>
      <c r="I2381" s="12" t="str">
        <f>Table1[[#This Row],[type]]</f>
        <v>progress</v>
      </c>
      <c r="J2381" s="62" t="str">
        <f>Table1[[#This Row],[Column42]]&amp;IF(Table1[[#This Row],[Column13]]="","",Table1[[#This Row],[Column13]])&amp;IF(Table1[[#This Row],[mod]]="","",Table1[[#This Row],[mod]])</f>
        <v>progress__bar--success</v>
      </c>
      <c r="K23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81" t="s">
        <v>573</v>
      </c>
      <c r="M2381" t="s">
        <v>3102</v>
      </c>
      <c r="Q23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381" t="s">
        <v>3120</v>
      </c>
      <c r="AB2381" s="29"/>
      <c r="AC2381" s="25"/>
      <c r="AD2381" s="41" t="s">
        <v>7085</v>
      </c>
      <c r="AE2381" s="41"/>
      <c r="AF2381" s="11" t="s">
        <v>247</v>
      </c>
      <c r="AH2381" s="1" t="str">
        <f>Table1[[#This Row],[html_tag]]&amp;Table1[[#This Row],[html_type]]&amp;Table1[[#This Row],[html_modifier]]</f>
        <v/>
      </c>
      <c r="AL2381" s="22" t="str">
        <f>IFERROR(_xlfn.XLOOKUP(Table1[[#This Row],[word]],Table57[English style name],Table57[Style type]),"")</f>
        <v/>
      </c>
      <c r="AM2381" s="20"/>
      <c r="AN2381" s="11"/>
      <c r="AQ2381" s="6" t="s">
        <v>2635</v>
      </c>
      <c r="AR2381" t="s">
        <v>2625</v>
      </c>
    </row>
    <row r="2382" spans="5:44">
      <c r="E2382" s="11"/>
      <c r="F23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2" s="13" t="s">
        <v>337</v>
      </c>
      <c r="H2382" s="13" t="s">
        <v>2986</v>
      </c>
      <c r="I2382" s="12" t="str">
        <f>Table1[[#This Row],[type]]</f>
        <v>progress</v>
      </c>
      <c r="J2382" s="62" t="str">
        <f>Table1[[#This Row],[Column42]]&amp;IF(Table1[[#This Row],[Column13]]="","",Table1[[#This Row],[Column13]])&amp;IF(Table1[[#This Row],[mod]]="","",Table1[[#This Row],[mod]])</f>
        <v>progress__bar--warning</v>
      </c>
      <c r="K23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82" t="s">
        <v>573</v>
      </c>
      <c r="M2382" t="s">
        <v>3102</v>
      </c>
      <c r="Q23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382" t="s">
        <v>3121</v>
      </c>
      <c r="AB2382" s="29"/>
      <c r="AC2382" s="25"/>
      <c r="AD2382" s="41" t="s">
        <v>7086</v>
      </c>
      <c r="AE2382" s="41"/>
      <c r="AF2382" s="11" t="s">
        <v>247</v>
      </c>
      <c r="AH2382" s="1" t="str">
        <f>Table1[[#This Row],[html_tag]]&amp;Table1[[#This Row],[html_type]]&amp;Table1[[#This Row],[html_modifier]]</f>
        <v/>
      </c>
      <c r="AL2382" s="22" t="str">
        <f>IFERROR(_xlfn.XLOOKUP(Table1[[#This Row],[word]],Table57[English style name],Table57[Style type]),"")</f>
        <v/>
      </c>
      <c r="AM2382" s="20"/>
      <c r="AN2382" s="11"/>
      <c r="AQ2382" s="6" t="s">
        <v>2636</v>
      </c>
      <c r="AR2382" t="s">
        <v>2625</v>
      </c>
    </row>
    <row r="2383" spans="5:44">
      <c r="E2383" s="11"/>
      <c r="F23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3" s="13" t="s">
        <v>337</v>
      </c>
      <c r="H2383" s="13" t="s">
        <v>2986</v>
      </c>
      <c r="I2383" s="12" t="str">
        <f>Table1[[#This Row],[type]]</f>
        <v>progress</v>
      </c>
      <c r="J2383" s="62" t="str">
        <f>Table1[[#This Row],[Column42]]&amp;IF(Table1[[#This Row],[Column13]]="","",Table1[[#This Row],[Column13]])&amp;IF(Table1[[#This Row],[mod]]="","",Table1[[#This Row],[mod]])</f>
        <v>progress__label</v>
      </c>
      <c r="K23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progress__label</v>
      </c>
      <c r="L2383" t="s">
        <v>573</v>
      </c>
      <c r="M2383" t="s">
        <v>554</v>
      </c>
      <c r="Q23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83" s="29"/>
      <c r="AC2383" s="25" t="s">
        <v>3633</v>
      </c>
      <c r="AD2383" s="41"/>
      <c r="AE2383" s="41"/>
      <c r="AF2383" s="11" t="s">
        <v>247</v>
      </c>
      <c r="AH2383" s="1" t="str">
        <f>Table1[[#This Row],[html_tag]]&amp;Table1[[#This Row],[html_type]]&amp;Table1[[#This Row],[html_modifier]]</f>
        <v/>
      </c>
      <c r="AL2383" s="22" t="str">
        <f>IFERROR(_xlfn.XLOOKUP(Table1[[#This Row],[word]],Table57[English style name],Table57[Style type]),"")</f>
        <v/>
      </c>
      <c r="AM2383" s="20"/>
      <c r="AN2383" s="11"/>
      <c r="AQ2383" s="6" t="s">
        <v>2627</v>
      </c>
      <c r="AR2383" t="s">
        <v>2625</v>
      </c>
    </row>
    <row r="2384" spans="5:44">
      <c r="E2384" s="11"/>
      <c r="F23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4" s="13" t="s">
        <v>337</v>
      </c>
      <c r="H2384" s="13" t="s">
        <v>2986</v>
      </c>
      <c r="I2384" s="12" t="str">
        <f>Table1[[#This Row],[type]]</f>
        <v>progress</v>
      </c>
      <c r="J2384" s="62" t="str">
        <f>Table1[[#This Row],[Column42]]&amp;IF(Table1[[#This Row],[Column13]]="","",Table1[[#This Row],[Column13]])&amp;IF(Table1[[#This Row],[mod]]="","",Table1[[#This Row],[mod]])</f>
        <v>progress__multiple</v>
      </c>
      <c r="K23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progress__multiple</v>
      </c>
      <c r="L2384" t="s">
        <v>573</v>
      </c>
      <c r="M2384" t="s">
        <v>3639</v>
      </c>
      <c r="Q23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84" s="29"/>
      <c r="AC2384" s="25" t="s">
        <v>3628</v>
      </c>
      <c r="AD2384" s="41"/>
      <c r="AE2384" s="41"/>
      <c r="AF2384" s="11" t="s">
        <v>247</v>
      </c>
      <c r="AH2384" s="7" t="str">
        <f>Table1[[#This Row],[html_tag]]&amp;Table1[[#This Row],[html_type]]&amp;Table1[[#This Row],[html_modifier]]</f>
        <v/>
      </c>
      <c r="AL2384" s="23" t="str">
        <f>IFERROR(_xlfn.XLOOKUP(Table1[[#This Row],[word]],Table57[English style name],Table57[Style type]),"")</f>
        <v/>
      </c>
      <c r="AM2384" s="21"/>
      <c r="AN2384" s="11"/>
    </row>
    <row r="2385" spans="5:44">
      <c r="E2385" s="11"/>
      <c r="F23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385" s="13"/>
      <c r="H2385" s="13"/>
      <c r="I2385" s="12" t="str">
        <f>Table1[[#This Row],[type]]</f>
        <v>progress</v>
      </c>
      <c r="J2385" s="62" t="str">
        <f>Table1[[#This Row],[Column42]]&amp;IF(Table1[[#This Row],[Column13]]="","",Table1[[#This Row],[Column13]])&amp;IF(Table1[[#This Row],[mod]]="","",Table1[[#This Row],[mod]])</f>
        <v>progress__radial</v>
      </c>
      <c r="K23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progress__radial</v>
      </c>
      <c r="L2385" t="s">
        <v>573</v>
      </c>
      <c r="M2385" t="s">
        <v>7092</v>
      </c>
      <c r="Q23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85" s="29"/>
      <c r="AC2385" s="25"/>
      <c r="AD2385" s="41" t="s">
        <v>7091</v>
      </c>
      <c r="AE2385" s="41"/>
      <c r="AF2385" s="11"/>
      <c r="AH2385" s="7" t="str">
        <f>Table1[[#This Row],[html_tag]]&amp;Table1[[#This Row],[html_type]]&amp;Table1[[#This Row],[html_modifier]]</f>
        <v/>
      </c>
      <c r="AL2385" s="23" t="str">
        <f>IFERROR(_xlfn.XLOOKUP(Table1[[#This Row],[word]],Table57[English style name],Table57[Style type]),"")</f>
        <v/>
      </c>
      <c r="AM2385" s="21"/>
      <c r="AN2385" s="11"/>
    </row>
    <row r="2386" spans="5:44">
      <c r="E2386" s="11"/>
      <c r="F23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386" s="13"/>
      <c r="H2386" s="13"/>
      <c r="I2386" s="12" t="str">
        <f>Table1[[#This Row],[type]]</f>
        <v>progress</v>
      </c>
      <c r="J2386" s="62" t="str">
        <f>Table1[[#This Row],[Column42]]&amp;IF(Table1[[#This Row],[Column13]]="","",Table1[[#This Row],[Column13]])&amp;IF(Table1[[#This Row],[mod]]="","",Table1[[#This Row],[mod]])</f>
        <v>progress--accent</v>
      </c>
      <c r="K23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86" t="s">
        <v>573</v>
      </c>
      <c r="Q23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2386" t="s">
        <v>7394</v>
      </c>
      <c r="AB2386" s="29"/>
      <c r="AC2386" s="25"/>
      <c r="AD2386" s="41" t="s">
        <v>7083</v>
      </c>
      <c r="AE2386" s="41"/>
      <c r="AF2386" s="11"/>
      <c r="AH2386" s="7" t="str">
        <f>Table1[[#This Row],[html_tag]]&amp;Table1[[#This Row],[html_type]]&amp;Table1[[#This Row],[html_modifier]]</f>
        <v/>
      </c>
      <c r="AL2386" s="23" t="str">
        <f>IFERROR(_xlfn.XLOOKUP(Table1[[#This Row],[word]],Table57[English style name],Table57[Style type]),"")</f>
        <v/>
      </c>
      <c r="AM2386" s="21"/>
      <c r="AN2386" s="11"/>
    </row>
    <row r="2387" spans="5:44">
      <c r="E2387" s="11"/>
      <c r="F23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7" s="13" t="s">
        <v>337</v>
      </c>
      <c r="H2387" s="13" t="s">
        <v>2986</v>
      </c>
      <c r="I2387" s="12" t="str">
        <f>Table1[[#This Row],[type]]</f>
        <v>progress</v>
      </c>
      <c r="J2387" s="62" t="str">
        <f>Table1[[#This Row],[Column42]]&amp;IF(Table1[[#This Row],[Column13]]="","",Table1[[#This Row],[Column13]])&amp;IF(Table1[[#This Row],[mod]]="","",Table1[[#This Row],[mod]])</f>
        <v>progress--animated</v>
      </c>
      <c r="K23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87" t="s">
        <v>573</v>
      </c>
      <c r="Q23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--animated</v>
      </c>
      <c r="W2387" t="s">
        <v>3638</v>
      </c>
      <c r="AB2387" s="29"/>
      <c r="AC2387" s="25" t="s">
        <v>3634</v>
      </c>
      <c r="AD2387" s="41"/>
      <c r="AE2387" s="41"/>
      <c r="AF2387" s="11" t="s">
        <v>247</v>
      </c>
      <c r="AH2387" s="1" t="str">
        <f>Table1[[#This Row],[html_tag]]&amp;Table1[[#This Row],[html_type]]&amp;Table1[[#This Row],[html_modifier]]</f>
        <v/>
      </c>
      <c r="AL2387" s="22" t="str">
        <f>IFERROR(_xlfn.XLOOKUP(Table1[[#This Row],[word]],Table57[English style name],Table57[Style type]),"")</f>
        <v/>
      </c>
      <c r="AM2387" s="20"/>
      <c r="AN2387" s="11"/>
      <c r="AQ2387" s="6" t="s">
        <v>2626</v>
      </c>
      <c r="AR2387" t="s">
        <v>2625</v>
      </c>
    </row>
    <row r="2388" spans="5:44">
      <c r="E2388" s="11"/>
      <c r="F23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8" s="13" t="s">
        <v>337</v>
      </c>
      <c r="H2388" s="13" t="s">
        <v>2986</v>
      </c>
      <c r="I2388" s="12" t="str">
        <f>Table1[[#This Row],[type]]</f>
        <v>progress</v>
      </c>
      <c r="J2388" s="62" t="str">
        <f>Table1[[#This Row],[Column42]]&amp;IF(Table1[[#This Row],[Column13]]="","",Table1[[#This Row],[Column13]])&amp;IF(Table1[[#This Row],[mod]]="","",Table1[[#This Row],[mod]])</f>
        <v>progress--base</v>
      </c>
      <c r="K23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88" t="s">
        <v>573</v>
      </c>
      <c r="Q23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88" t="s">
        <v>338</v>
      </c>
      <c r="AB2388" s="29"/>
      <c r="AC2388" s="25"/>
      <c r="AD2388" s="41"/>
      <c r="AE2388" s="41"/>
      <c r="AF2388" s="11" t="s">
        <v>247</v>
      </c>
      <c r="AH2388" s="1" t="str">
        <f>Table1[[#This Row],[html_tag]]&amp;Table1[[#This Row],[html_type]]&amp;Table1[[#This Row],[html_modifier]]</f>
        <v/>
      </c>
      <c r="AL2388" s="22" t="str">
        <f>IFERROR(_xlfn.XLOOKUP(Table1[[#This Row],[word]],Table57[English style name],Table57[Style type]),"")</f>
        <v/>
      </c>
      <c r="AM2388" s="20"/>
      <c r="AN2388" s="11"/>
      <c r="AQ2388" s="6" t="s">
        <v>2638</v>
      </c>
      <c r="AR2388" t="s">
        <v>2625</v>
      </c>
    </row>
    <row r="2389" spans="5:44">
      <c r="E2389" s="11"/>
      <c r="F23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9" s="13" t="s">
        <v>337</v>
      </c>
      <c r="H2389" s="13" t="s">
        <v>2986</v>
      </c>
      <c r="I2389" s="12" t="str">
        <f>Table1[[#This Row],[type]]</f>
        <v>progress</v>
      </c>
      <c r="J2389" s="62" t="str">
        <f>Table1[[#This Row],[Column42]]&amp;IF(Table1[[#This Row],[Column13]]="","",Table1[[#This Row],[Column13]])&amp;IF(Table1[[#This Row],[mod]]="","",Table1[[#This Row],[mod]])</f>
        <v>progress--lg</v>
      </c>
      <c r="K23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89" t="s">
        <v>573</v>
      </c>
      <c r="Q23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389" t="s">
        <v>3114</v>
      </c>
      <c r="AB2389" s="29"/>
      <c r="AC2389" s="25"/>
      <c r="AD2389" s="41"/>
      <c r="AE2389" s="41"/>
      <c r="AF2389" s="11" t="s">
        <v>247</v>
      </c>
      <c r="AH2389" s="1" t="str">
        <f>Table1[[#This Row],[html_tag]]&amp;Table1[[#This Row],[html_type]]&amp;Table1[[#This Row],[html_modifier]]</f>
        <v/>
      </c>
      <c r="AL2389" s="22" t="str">
        <f>IFERROR(_xlfn.XLOOKUP(Table1[[#This Row],[word]],Table57[English style name],Table57[Style type]),"")</f>
        <v/>
      </c>
      <c r="AM2389" s="20"/>
      <c r="AN2389" s="11"/>
      <c r="AQ2389" s="6" t="s">
        <v>2628</v>
      </c>
      <c r="AR2389" t="s">
        <v>2625</v>
      </c>
    </row>
    <row r="2390" spans="5:44">
      <c r="E2390" s="11"/>
      <c r="F23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390" s="13"/>
      <c r="H2390" s="13"/>
      <c r="I2390" s="12" t="str">
        <f>Table1[[#This Row],[type]]</f>
        <v>progress</v>
      </c>
      <c r="J2390" s="62" t="str">
        <f>Table1[[#This Row],[Column42]]&amp;IF(Table1[[#This Row],[Column13]]="","",Table1[[#This Row],[Column13]])&amp;IF(Table1[[#This Row],[mod]]="","",Table1[[#This Row],[mod]])</f>
        <v>progress--neutral</v>
      </c>
      <c r="K23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90" t="s">
        <v>573</v>
      </c>
      <c r="Q23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390" t="s">
        <v>7393</v>
      </c>
      <c r="AB2390" s="29"/>
      <c r="AC2390" s="25"/>
      <c r="AD2390" s="41" t="s">
        <v>7080</v>
      </c>
      <c r="AE2390" s="41"/>
      <c r="AF2390" s="11"/>
      <c r="AH2390" s="7" t="str">
        <f>Table1[[#This Row],[html_tag]]&amp;Table1[[#This Row],[html_type]]&amp;Table1[[#This Row],[html_modifier]]</f>
        <v/>
      </c>
      <c r="AL2390" s="23" t="str">
        <f>IFERROR(_xlfn.XLOOKUP(Table1[[#This Row],[word]],Table57[English style name],Table57[Style type]),"")</f>
        <v/>
      </c>
      <c r="AM2390" s="21"/>
      <c r="AN2390" s="11"/>
    </row>
    <row r="2391" spans="5:44">
      <c r="E2391" s="11"/>
      <c r="F23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91" s="13" t="s">
        <v>337</v>
      </c>
      <c r="H2391" s="13" t="s">
        <v>2986</v>
      </c>
      <c r="I2391" s="12" t="str">
        <f>Table1[[#This Row],[type]]</f>
        <v>progress</v>
      </c>
      <c r="J2391" s="62" t="str">
        <f>Table1[[#This Row],[Column42]]&amp;IF(Table1[[#This Row],[Column13]]="","",Table1[[#This Row],[Column13]])&amp;IF(Table1[[#This Row],[mod]]="","",Table1[[#This Row],[mod]])</f>
        <v>progress--sm</v>
      </c>
      <c r="K23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91" t="s">
        <v>573</v>
      </c>
      <c r="Q23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391" s="3" t="s">
        <v>3116</v>
      </c>
      <c r="AB2391" s="29"/>
      <c r="AC2391" s="25"/>
      <c r="AD2391" s="41"/>
      <c r="AE2391" s="41"/>
      <c r="AF2391" s="11" t="s">
        <v>247</v>
      </c>
      <c r="AH2391" s="1" t="str">
        <f>Table1[[#This Row],[html_tag]]&amp;Table1[[#This Row],[html_type]]&amp;Table1[[#This Row],[html_modifier]]</f>
        <v/>
      </c>
      <c r="AL2391" s="22" t="str">
        <f>IFERROR(_xlfn.XLOOKUP(Table1[[#This Row],[word]],Table57[English style name],Table57[Style type]),"")</f>
        <v/>
      </c>
      <c r="AM2391" s="20"/>
      <c r="AN2391" s="11"/>
      <c r="AQ2391" s="6" t="s">
        <v>2629</v>
      </c>
      <c r="AR2391" t="s">
        <v>2625</v>
      </c>
    </row>
    <row r="2392" spans="5:44">
      <c r="E2392" s="11"/>
      <c r="F23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92" s="13" t="s">
        <v>337</v>
      </c>
      <c r="H2392" s="13" t="s">
        <v>2986</v>
      </c>
      <c r="I2392" s="12" t="str">
        <f>Table1[[#This Row],[type]]</f>
        <v>progress</v>
      </c>
      <c r="J2392" s="62" t="str">
        <f>Table1[[#This Row],[Column42]]&amp;IF(Table1[[#This Row],[Column13]]="","",Table1[[#This Row],[Column13]])&amp;IF(Table1[[#This Row],[mod]]="","",Table1[[#This Row],[mod]])</f>
        <v>progress--striped</v>
      </c>
      <c r="K23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92" t="s">
        <v>573</v>
      </c>
      <c r="Q23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--striped</v>
      </c>
      <c r="W2392" t="s">
        <v>3637</v>
      </c>
      <c r="AB2392" s="29"/>
      <c r="AC2392" s="25" t="s">
        <v>3635</v>
      </c>
      <c r="AD2392" s="41"/>
      <c r="AE2392" s="41"/>
      <c r="AF2392" s="11" t="s">
        <v>247</v>
      </c>
      <c r="AH2392" s="1" t="str">
        <f>Table1[[#This Row],[html_tag]]&amp;Table1[[#This Row],[html_type]]&amp;Table1[[#This Row],[html_modifier]]</f>
        <v/>
      </c>
      <c r="AL2392" s="22" t="str">
        <f>IFERROR(_xlfn.XLOOKUP(Table1[[#This Row],[word]],Table57[English style name],Table57[Style type]),"")</f>
        <v/>
      </c>
      <c r="AM2392" s="20"/>
      <c r="AN2392" s="11"/>
      <c r="AQ2392" s="6" t="s">
        <v>2630</v>
      </c>
      <c r="AR2392" t="s">
        <v>2625</v>
      </c>
    </row>
    <row r="2393" spans="5:44">
      <c r="E2393" s="11"/>
      <c r="F23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3" s="13" t="s">
        <v>337</v>
      </c>
      <c r="H2393" s="13" t="s">
        <v>2988</v>
      </c>
      <c r="I2393" s="12" t="str">
        <f>Table1[[#This Row],[type]]</f>
        <v>rail</v>
      </c>
      <c r="J2393" s="62" t="str">
        <f>Table1[[#This Row],[Column42]]&amp;IF(Table1[[#This Row],[Column13]]="","",Table1[[#This Row],[Column13]])&amp;IF(Table1[[#This Row],[mod]]="","",Table1[[#This Row],[mod]])</f>
        <v>rail</v>
      </c>
      <c r="K23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393" t="s">
        <v>3148</v>
      </c>
      <c r="P2393" s="6" t="s">
        <v>2351</v>
      </c>
      <c r="Q23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93" s="29"/>
      <c r="AC2393" s="25"/>
      <c r="AD2393" s="41"/>
      <c r="AE2393" s="41"/>
      <c r="AF2393" s="11"/>
      <c r="AH2393" s="1" t="str">
        <f>Table1[[#This Row],[html_tag]]&amp;Table1[[#This Row],[html_type]]&amp;Table1[[#This Row],[html_modifier]]</f>
        <v/>
      </c>
      <c r="AL2393" s="22" t="str">
        <f>IFERROR(_xlfn.XLOOKUP(Table1[[#This Row],[word]],Table57[English style name],Table57[Style type]),"")</f>
        <v/>
      </c>
      <c r="AM2393" s="20"/>
      <c r="AN2393" s="11"/>
      <c r="AQ2393" s="6" t="s">
        <v>2351</v>
      </c>
      <c r="AR2393" t="s">
        <v>2348</v>
      </c>
    </row>
    <row r="2394" spans="5:44">
      <c r="E2394" s="11"/>
      <c r="F23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4" s="13" t="s">
        <v>337</v>
      </c>
      <c r="H2394" s="13" t="s">
        <v>2988</v>
      </c>
      <c r="I2394" s="12" t="str">
        <f>Table1[[#This Row],[type]]</f>
        <v>rail</v>
      </c>
      <c r="J2394" s="62" t="str">
        <f>Table1[[#This Row],[Column42]]&amp;IF(Table1[[#This Row],[Column13]]="","",Table1[[#This Row],[Column13]])&amp;IF(Table1[[#This Row],[mod]]="","",Table1[[#This Row],[mod]])</f>
        <v>rail__bottom</v>
      </c>
      <c r="K23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rail__bottom</v>
      </c>
      <c r="L2394" t="s">
        <v>3148</v>
      </c>
      <c r="N2394" t="s">
        <v>3186</v>
      </c>
      <c r="P2394" s="6" t="s">
        <v>2349</v>
      </c>
      <c r="Q23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94" s="29"/>
      <c r="AC2394" s="25"/>
      <c r="AD2394" s="41"/>
      <c r="AE2394" s="41"/>
      <c r="AF2394" s="11"/>
      <c r="AH2394" s="1" t="str">
        <f>Table1[[#This Row],[html_tag]]&amp;Table1[[#This Row],[html_type]]&amp;Table1[[#This Row],[html_modifier]]</f>
        <v/>
      </c>
      <c r="AL2394" s="22" t="str">
        <f>IFERROR(_xlfn.XLOOKUP(Table1[[#This Row],[word]],Table57[English style name],Table57[Style type]),"")</f>
        <v/>
      </c>
      <c r="AM2394" s="20"/>
      <c r="AN2394" s="11"/>
      <c r="AQ2394" s="6" t="s">
        <v>2349</v>
      </c>
      <c r="AR2394" t="s">
        <v>2348</v>
      </c>
    </row>
    <row r="2395" spans="5:44">
      <c r="E2395" s="11"/>
      <c r="F23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5" s="13" t="s">
        <v>337</v>
      </c>
      <c r="H2395" s="13" t="s">
        <v>2988</v>
      </c>
      <c r="I2395" s="12" t="str">
        <f>Table1[[#This Row],[type]]</f>
        <v>rail</v>
      </c>
      <c r="J2395" s="62" t="str">
        <f>Table1[[#This Row],[Column42]]&amp;IF(Table1[[#This Row],[Column13]]="","",Table1[[#This Row],[Column13]])&amp;IF(Table1[[#This Row],[mod]]="","",Table1[[#This Row],[mod]])</f>
        <v>rail__top</v>
      </c>
      <c r="K23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rail__top</v>
      </c>
      <c r="L2395" t="s">
        <v>3148</v>
      </c>
      <c r="N2395" t="s">
        <v>3182</v>
      </c>
      <c r="P2395" s="6" t="s">
        <v>2352</v>
      </c>
      <c r="Q23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95" s="29"/>
      <c r="AC2395" s="25"/>
      <c r="AD2395" s="41"/>
      <c r="AE2395" s="41"/>
      <c r="AF2395" s="11"/>
      <c r="AH2395" s="1" t="str">
        <f>Table1[[#This Row],[html_tag]]&amp;Table1[[#This Row],[html_type]]&amp;Table1[[#This Row],[html_modifier]]</f>
        <v/>
      </c>
      <c r="AL2395" s="22" t="str">
        <f>IFERROR(_xlfn.XLOOKUP(Table1[[#This Row],[word]],Table57[English style name],Table57[Style type]),"")</f>
        <v/>
      </c>
      <c r="AM2395" s="20"/>
      <c r="AN2395" s="11"/>
      <c r="AQ2395" s="6" t="s">
        <v>2352</v>
      </c>
      <c r="AR2395" t="s">
        <v>2348</v>
      </c>
    </row>
    <row r="2396" spans="5:44">
      <c r="E2396" s="11"/>
      <c r="F23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6" s="13" t="s">
        <v>337</v>
      </c>
      <c r="H2396" s="13" t="s">
        <v>2988</v>
      </c>
      <c r="I2396" s="12" t="str">
        <f>Table1[[#This Row],[type]]</f>
        <v>rail</v>
      </c>
      <c r="J2396" s="62" t="str">
        <f>Table1[[#This Row],[Column42]]&amp;IF(Table1[[#This Row],[Column13]]="","",Table1[[#This Row],[Column13]])&amp;IF(Table1[[#This Row],[mod]]="","",Table1[[#This Row],[mod]])</f>
        <v>rail--base</v>
      </c>
      <c r="K23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396" t="s">
        <v>3148</v>
      </c>
      <c r="P2396" s="6" t="s">
        <v>2354</v>
      </c>
      <c r="Q23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96" t="s">
        <v>338</v>
      </c>
      <c r="AB2396" s="29"/>
      <c r="AC2396" s="25"/>
      <c r="AD2396" s="41"/>
      <c r="AE2396" s="41"/>
      <c r="AF2396" s="11"/>
      <c r="AH2396" s="1" t="str">
        <f>Table1[[#This Row],[html_tag]]&amp;Table1[[#This Row],[html_type]]&amp;Table1[[#This Row],[html_modifier]]</f>
        <v/>
      </c>
      <c r="AL2396" s="22" t="str">
        <f>IFERROR(_xlfn.XLOOKUP(Table1[[#This Row],[word]],Table57[English style name],Table57[Style type]),"")</f>
        <v/>
      </c>
      <c r="AM2396" s="20"/>
      <c r="AN2396" s="11"/>
      <c r="AQ2396" s="6" t="s">
        <v>2354</v>
      </c>
      <c r="AR2396" t="s">
        <v>2348</v>
      </c>
    </row>
    <row r="2397" spans="5:44">
      <c r="E2397" s="11"/>
      <c r="F23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7" s="13" t="s">
        <v>337</v>
      </c>
      <c r="H2397" s="13" t="s">
        <v>2988</v>
      </c>
      <c r="I2397" s="12" t="str">
        <f>Table1[[#This Row],[type]]</f>
        <v>rail</v>
      </c>
      <c r="J2397" s="62" t="str">
        <f>Table1[[#This Row],[Column42]]&amp;IF(Table1[[#This Row],[Column13]]="","",Table1[[#This Row],[Column13]])&amp;IF(Table1[[#This Row],[mod]]="","",Table1[[#This Row],[mod]])</f>
        <v>rail--base</v>
      </c>
      <c r="K23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397" t="s">
        <v>3148</v>
      </c>
      <c r="P2397" s="6" t="s">
        <v>2347</v>
      </c>
      <c r="Q23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97" t="s">
        <v>338</v>
      </c>
      <c r="AB2397" s="29"/>
      <c r="AC2397" s="25"/>
      <c r="AD2397" s="41"/>
      <c r="AE2397" s="41"/>
      <c r="AF2397" s="11"/>
      <c r="AH2397" s="1" t="str">
        <f>Table1[[#This Row],[html_tag]]&amp;Table1[[#This Row],[html_type]]&amp;Table1[[#This Row],[html_modifier]]</f>
        <v/>
      </c>
      <c r="AL2397" s="22" t="str">
        <f>IFERROR(_xlfn.XLOOKUP(Table1[[#This Row],[word]],Table57[English style name],Table57[Style type]),"")</f>
        <v/>
      </c>
      <c r="AM2397" s="20"/>
      <c r="AN2397" s="11"/>
      <c r="AQ2397" s="6" t="s">
        <v>2347</v>
      </c>
      <c r="AR2397" t="s">
        <v>2348</v>
      </c>
    </row>
    <row r="2398" spans="5:44">
      <c r="E2398" s="11"/>
      <c r="F23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8" s="13" t="s">
        <v>337</v>
      </c>
      <c r="H2398" s="13" t="s">
        <v>2988</v>
      </c>
      <c r="I2398" s="12" t="str">
        <f>Table1[[#This Row],[type]]</f>
        <v>rail</v>
      </c>
      <c r="J2398" s="62" t="str">
        <f>Table1[[#This Row],[Column42]]&amp;IF(Table1[[#This Row],[Column13]]="","",Table1[[#This Row],[Column13]])&amp;IF(Table1[[#This Row],[mod]]="","",Table1[[#This Row],[mod]])</f>
        <v>rail--horizontal</v>
      </c>
      <c r="K23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398" t="s">
        <v>3148</v>
      </c>
      <c r="P2398" s="6" t="s">
        <v>2350</v>
      </c>
      <c r="Q23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398" t="s">
        <v>3205</v>
      </c>
      <c r="AB2398" s="29"/>
      <c r="AC2398" s="25"/>
      <c r="AD2398" s="41"/>
      <c r="AE2398" s="41"/>
      <c r="AF2398" s="11"/>
      <c r="AH2398" s="1" t="str">
        <f>Table1[[#This Row],[html_tag]]&amp;Table1[[#This Row],[html_type]]&amp;Table1[[#This Row],[html_modifier]]</f>
        <v/>
      </c>
      <c r="AL2398" s="22" t="str">
        <f>IFERROR(_xlfn.XLOOKUP(Table1[[#This Row],[word]],Table57[English style name],Table57[Style type]),"")</f>
        <v/>
      </c>
      <c r="AM2398" s="20"/>
      <c r="AN2398" s="11"/>
      <c r="AQ2398" s="6" t="s">
        <v>2350</v>
      </c>
      <c r="AR2398" t="s">
        <v>2348</v>
      </c>
    </row>
    <row r="2399" spans="5:44">
      <c r="E2399" s="11"/>
      <c r="F23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9" s="13" t="s">
        <v>337</v>
      </c>
      <c r="H2399" s="13" t="s">
        <v>2988</v>
      </c>
      <c r="I2399" s="12" t="str">
        <f>Table1[[#This Row],[type]]</f>
        <v>rail</v>
      </c>
      <c r="J2399" s="62" t="str">
        <f>Table1[[#This Row],[Column42]]&amp;IF(Table1[[#This Row],[Column13]]="","",Table1[[#This Row],[Column13]])&amp;IF(Table1[[#This Row],[mod]]="","",Table1[[#This Row],[mod]])</f>
        <v>rail--vertical</v>
      </c>
      <c r="K23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399" t="s">
        <v>3148</v>
      </c>
      <c r="P2399" s="6" t="s">
        <v>2353</v>
      </c>
      <c r="Q23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399" t="s">
        <v>2943</v>
      </c>
      <c r="AB2399" s="29"/>
      <c r="AC2399" s="25"/>
      <c r="AD2399" s="41"/>
      <c r="AE2399" s="41"/>
      <c r="AF2399" s="11"/>
      <c r="AH2399" s="1" t="str">
        <f>Table1[[#This Row],[html_tag]]&amp;Table1[[#This Row],[html_type]]&amp;Table1[[#This Row],[html_modifier]]</f>
        <v/>
      </c>
      <c r="AL2399" s="22" t="str">
        <f>IFERROR(_xlfn.XLOOKUP(Table1[[#This Row],[word]],Table57[English style name],Table57[Style type]),"")</f>
        <v/>
      </c>
      <c r="AM2399" s="20"/>
      <c r="AN2399" s="11"/>
      <c r="AQ2399" s="6" t="s">
        <v>2353</v>
      </c>
      <c r="AR2399" t="s">
        <v>2348</v>
      </c>
    </row>
    <row r="2400" spans="5:44">
      <c r="E2400" s="11"/>
      <c r="F24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0" s="13" t="s">
        <v>2994</v>
      </c>
      <c r="H2400" s="13"/>
      <c r="I2400" s="12" t="str">
        <f>Table1[[#This Row],[type]]</f>
        <v>ratio</v>
      </c>
      <c r="J2400" s="62" t="str">
        <f>Table1[[#This Row],[Column42]]&amp;IF(Table1[[#This Row],[Column13]]="","",Table1[[#This Row],[Column13]])&amp;IF(Table1[[#This Row],[mod]]="","",Table1[[#This Row],[mod]])</f>
        <v>ratio</v>
      </c>
      <c r="K24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0" t="s">
        <v>2355</v>
      </c>
      <c r="P2400" s="6" t="s">
        <v>2355</v>
      </c>
      <c r="Q24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0" s="29"/>
      <c r="AC2400" s="25"/>
      <c r="AD2400" s="41"/>
      <c r="AE2400" s="41"/>
      <c r="AF2400" s="11"/>
      <c r="AH2400" s="1" t="str">
        <f>Table1[[#This Row],[html_tag]]&amp;Table1[[#This Row],[html_type]]&amp;Table1[[#This Row],[html_modifier]]</f>
        <v/>
      </c>
      <c r="AL2400" s="22" t="str">
        <f>IFERROR(_xlfn.XLOOKUP(Table1[[#This Row],[word]],Table57[English style name],Table57[Style type]),"")</f>
        <v/>
      </c>
      <c r="AM2400" s="20"/>
      <c r="AN2400" s="11"/>
      <c r="AQ2400" s="6" t="s">
        <v>2355</v>
      </c>
      <c r="AR2400" t="s">
        <v>2356</v>
      </c>
    </row>
    <row r="2401" spans="5:44">
      <c r="E2401" s="11"/>
      <c r="F24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1" s="13" t="s">
        <v>2994</v>
      </c>
      <c r="H2401" s="13"/>
      <c r="I2401" s="12" t="str">
        <f>Table1[[#This Row],[type]]</f>
        <v>ratio</v>
      </c>
      <c r="J2401" s="62" t="str">
        <f>Table1[[#This Row],[Column42]]&amp;IF(Table1[[#This Row],[Column13]]="","",Table1[[#This Row],[Column13]])&amp;IF(Table1[[#This Row],[mod]]="","",Table1[[#This Row],[mod]])</f>
        <v>ratio</v>
      </c>
      <c r="K24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1" t="s">
        <v>2355</v>
      </c>
      <c r="P2401" s="6" t="s">
        <v>2357</v>
      </c>
      <c r="Q24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1" s="29"/>
      <c r="AC2401" s="25"/>
      <c r="AD2401" s="41"/>
      <c r="AE2401" s="41"/>
      <c r="AF2401" s="11"/>
      <c r="AH2401" s="1" t="str">
        <f>Table1[[#This Row],[html_tag]]&amp;Table1[[#This Row],[html_type]]&amp;Table1[[#This Row],[html_modifier]]</f>
        <v/>
      </c>
      <c r="AL2401" s="22" t="str">
        <f>IFERROR(_xlfn.XLOOKUP(Table1[[#This Row],[word]],Table57[English style name],Table57[Style type]),"")</f>
        <v/>
      </c>
      <c r="AM2401" s="20"/>
      <c r="AN2401" s="11"/>
      <c r="AQ2401" s="6" t="s">
        <v>2357</v>
      </c>
      <c r="AR2401" t="s">
        <v>2356</v>
      </c>
    </row>
    <row r="2402" spans="5:44">
      <c r="E2402" s="11"/>
      <c r="F24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2" s="13" t="s">
        <v>2994</v>
      </c>
      <c r="H2402" s="13"/>
      <c r="I2402" s="12" t="str">
        <f>Table1[[#This Row],[type]]</f>
        <v>ratio</v>
      </c>
      <c r="J2402" s="62" t="str">
        <f>Table1[[#This Row],[Column42]]&amp;IF(Table1[[#This Row],[Column13]]="","",Table1[[#This Row],[Column13]])&amp;IF(Table1[[#This Row],[mod]]="","",Table1[[#This Row],[mod]])</f>
        <v>ratio</v>
      </c>
      <c r="K24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2" t="s">
        <v>2355</v>
      </c>
      <c r="P2402" s="6" t="s">
        <v>2358</v>
      </c>
      <c r="Q24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2" s="29"/>
      <c r="AC2402" s="25"/>
      <c r="AD2402" s="41"/>
      <c r="AE2402" s="41"/>
      <c r="AF2402" s="11"/>
      <c r="AH2402" s="1" t="str">
        <f>Table1[[#This Row],[html_tag]]&amp;Table1[[#This Row],[html_type]]&amp;Table1[[#This Row],[html_modifier]]</f>
        <v/>
      </c>
      <c r="AL2402" s="22" t="str">
        <f>IFERROR(_xlfn.XLOOKUP(Table1[[#This Row],[word]],Table57[English style name],Table57[Style type]),"")</f>
        <v/>
      </c>
      <c r="AM2402" s="20"/>
      <c r="AN2402" s="11"/>
      <c r="AQ2402" s="6" t="s">
        <v>2358</v>
      </c>
      <c r="AR2402" t="s">
        <v>2356</v>
      </c>
    </row>
    <row r="2403" spans="5:44">
      <c r="E2403" s="11"/>
      <c r="F24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3" s="13" t="s">
        <v>2994</v>
      </c>
      <c r="H2403" s="13"/>
      <c r="I2403" s="12" t="str">
        <f>Table1[[#This Row],[type]]</f>
        <v>ratio</v>
      </c>
      <c r="J2403" s="62" t="str">
        <f>Table1[[#This Row],[Column42]]&amp;IF(Table1[[#This Row],[Column13]]="","",Table1[[#This Row],[Column13]])&amp;IF(Table1[[#This Row],[mod]]="","",Table1[[#This Row],[mod]])</f>
        <v>ratio</v>
      </c>
      <c r="K24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3" t="s">
        <v>2355</v>
      </c>
      <c r="P2403" s="6" t="s">
        <v>2359</v>
      </c>
      <c r="Q24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3" s="29"/>
      <c r="AC2403" s="25"/>
      <c r="AD2403" s="41"/>
      <c r="AE2403" s="41"/>
      <c r="AF2403" s="11"/>
      <c r="AH2403" s="1" t="str">
        <f>Table1[[#This Row],[html_tag]]&amp;Table1[[#This Row],[html_type]]&amp;Table1[[#This Row],[html_modifier]]</f>
        <v/>
      </c>
      <c r="AL2403" s="22" t="str">
        <f>IFERROR(_xlfn.XLOOKUP(Table1[[#This Row],[word]],Table57[English style name],Table57[Style type]),"")</f>
        <v/>
      </c>
      <c r="AM2403" s="20"/>
      <c r="AN2403" s="11"/>
      <c r="AQ2403" s="6" t="s">
        <v>2359</v>
      </c>
      <c r="AR2403" t="s">
        <v>2356</v>
      </c>
    </row>
    <row r="2404" spans="5:44">
      <c r="E2404" s="11"/>
      <c r="F24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4" s="13" t="s">
        <v>2994</v>
      </c>
      <c r="H2404" s="13"/>
      <c r="I2404" s="12" t="str">
        <f>Table1[[#This Row],[type]]</f>
        <v>ratio</v>
      </c>
      <c r="J2404" s="62" t="str">
        <f>Table1[[#This Row],[Column42]]&amp;IF(Table1[[#This Row],[Column13]]="","",Table1[[#This Row],[Column13]])&amp;IF(Table1[[#This Row],[mod]]="","",Table1[[#This Row],[mod]])</f>
        <v>ratio</v>
      </c>
      <c r="K24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4" t="s">
        <v>2355</v>
      </c>
      <c r="P2404" s="6" t="s">
        <v>2360</v>
      </c>
      <c r="Q24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4" s="29"/>
      <c r="AC2404" s="25"/>
      <c r="AD2404" s="41"/>
      <c r="AE2404" s="41"/>
      <c r="AF2404" s="11"/>
      <c r="AH2404" s="1" t="str">
        <f>Table1[[#This Row],[html_tag]]&amp;Table1[[#This Row],[html_type]]&amp;Table1[[#This Row],[html_modifier]]</f>
        <v/>
      </c>
      <c r="AL2404" s="22" t="str">
        <f>IFERROR(_xlfn.XLOOKUP(Table1[[#This Row],[word]],Table57[English style name],Table57[Style type]),"")</f>
        <v/>
      </c>
      <c r="AM2404" s="20"/>
      <c r="AN2404" s="11"/>
      <c r="AQ2404" s="6" t="s">
        <v>2360</v>
      </c>
      <c r="AR2404" t="s">
        <v>2356</v>
      </c>
    </row>
    <row r="2405" spans="5:44">
      <c r="E2405" s="11"/>
      <c r="F24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5" s="13" t="s">
        <v>2994</v>
      </c>
      <c r="H2405" s="13"/>
      <c r="I2405" s="12" t="str">
        <f>Table1[[#This Row],[type]]</f>
        <v>ratio</v>
      </c>
      <c r="J2405" s="62" t="str">
        <f>Table1[[#This Row],[Column42]]&amp;IF(Table1[[#This Row],[Column13]]="","",Table1[[#This Row],[Column13]])&amp;IF(Table1[[#This Row],[mod]]="","",Table1[[#This Row],[mod]])</f>
        <v>ratio</v>
      </c>
      <c r="K24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5" t="s">
        <v>2355</v>
      </c>
      <c r="P2405" s="6" t="s">
        <v>2361</v>
      </c>
      <c r="Q24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5" s="29"/>
      <c r="AC2405" s="25"/>
      <c r="AD2405" s="41"/>
      <c r="AE2405" s="41"/>
      <c r="AF2405" s="11"/>
      <c r="AH2405" s="1" t="str">
        <f>Table1[[#This Row],[html_tag]]&amp;Table1[[#This Row],[html_type]]&amp;Table1[[#This Row],[html_modifier]]</f>
        <v/>
      </c>
      <c r="AL2405" s="22" t="str">
        <f>IFERROR(_xlfn.XLOOKUP(Table1[[#This Row],[word]],Table57[English style name],Table57[Style type]),"")</f>
        <v/>
      </c>
      <c r="AM2405" s="20"/>
      <c r="AN2405" s="11"/>
      <c r="AQ2405" s="6" t="s">
        <v>2361</v>
      </c>
      <c r="AR2405" t="s">
        <v>2356</v>
      </c>
    </row>
    <row r="2406" spans="5:44">
      <c r="E2406" s="11"/>
      <c r="F24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06" s="13"/>
      <c r="H2406" s="13"/>
      <c r="I2406" s="12" t="str">
        <f>Table1[[#This Row],[type]]</f>
        <v>ribbon</v>
      </c>
      <c r="J2406" s="62" t="str">
        <f>Table1[[#This Row],[Column42]]&amp;IF(Table1[[#This Row],[Column13]]="","",Table1[[#This Row],[Column13]])&amp;IF(Table1[[#This Row],[mod]]="","",Table1[[#This Row],[mod]])</f>
        <v>ribbon</v>
      </c>
      <c r="K24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06" t="s">
        <v>3139</v>
      </c>
      <c r="Q24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6" s="29"/>
      <c r="AC2406" s="25"/>
      <c r="AD2406" s="41" t="s">
        <v>4393</v>
      </c>
      <c r="AE2406" s="41"/>
      <c r="AF2406" s="11"/>
      <c r="AH2406" s="7" t="str">
        <f>Table1[[#This Row],[html_tag]]&amp;Table1[[#This Row],[html_type]]&amp;Table1[[#This Row],[html_modifier]]</f>
        <v/>
      </c>
      <c r="AL2406" s="23" t="str">
        <f>IFERROR(_xlfn.XLOOKUP(Table1[[#This Row],[word]],Table57[English style name],Table57[Style type]),"")</f>
        <v/>
      </c>
      <c r="AM2406" s="21"/>
      <c r="AN2406" s="11"/>
    </row>
    <row r="2407" spans="5:44">
      <c r="E2407" s="11"/>
      <c r="F24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407" s="13" t="s">
        <v>337</v>
      </c>
      <c r="H2407" s="13" t="s">
        <v>2987</v>
      </c>
      <c r="I2407" s="12" t="str">
        <f>Table1[[#This Row],[type]]</f>
        <v>ribbon</v>
      </c>
      <c r="J2407" s="62" t="str">
        <f>Table1[[#This Row],[Column42]]&amp;IF(Table1[[#This Row],[Column13]]="","",Table1[[#This Row],[Column13]])&amp;IF(Table1[[#This Row],[mod]]="","",Table1[[#This Row],[mod]])</f>
        <v>ribbon</v>
      </c>
      <c r="K24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07" t="s">
        <v>3139</v>
      </c>
      <c r="P2407" s="6" t="s">
        <v>1451</v>
      </c>
      <c r="Q24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7" s="29"/>
      <c r="AC2407" s="25"/>
      <c r="AD2407" s="41"/>
      <c r="AE2407" s="41"/>
      <c r="AF2407" s="11"/>
      <c r="AH2407" s="1" t="str">
        <f>Table1[[#This Row],[html_tag]]&amp;Table1[[#This Row],[html_type]]&amp;Table1[[#This Row],[html_modifier]]</f>
        <v/>
      </c>
      <c r="AL2407" s="22" t="str">
        <f>IFERROR(_xlfn.XLOOKUP(Table1[[#This Row],[word]],Table57[English style name],Table57[Style type]),"")</f>
        <v/>
      </c>
      <c r="AM2407" s="20"/>
      <c r="AN2407" s="11"/>
      <c r="AQ2407" s="6" t="s">
        <v>1451</v>
      </c>
      <c r="AR2407" t="s">
        <v>1445</v>
      </c>
    </row>
    <row r="2408" spans="5:44">
      <c r="E2408" s="11"/>
      <c r="F24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408" s="13" t="s">
        <v>337</v>
      </c>
      <c r="H2408" s="13" t="s">
        <v>2987</v>
      </c>
      <c r="I2408" s="12" t="str">
        <f>Table1[[#This Row],[type]]</f>
        <v>ribbon</v>
      </c>
      <c r="J2408" s="62" t="str">
        <f>Table1[[#This Row],[Column42]]&amp;IF(Table1[[#This Row],[Column13]]="","",Table1[[#This Row],[Column13]])&amp;IF(Table1[[#This Row],[mod]]="","",Table1[[#This Row],[mod]])</f>
        <v>ribbon</v>
      </c>
      <c r="K24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08" t="s">
        <v>3139</v>
      </c>
      <c r="P2408" s="6" t="s">
        <v>1452</v>
      </c>
      <c r="Q24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8" s="29"/>
      <c r="AC2408" s="25"/>
      <c r="AD2408" s="41"/>
      <c r="AE2408" s="41"/>
      <c r="AF2408" s="11"/>
      <c r="AH2408" s="1" t="str">
        <f>Table1[[#This Row],[html_tag]]&amp;Table1[[#This Row],[html_type]]&amp;Table1[[#This Row],[html_modifier]]</f>
        <v/>
      </c>
      <c r="AL2408" s="22" t="str">
        <f>IFERROR(_xlfn.XLOOKUP(Table1[[#This Row],[word]],Table57[English style name],Table57[Style type]),"")</f>
        <v/>
      </c>
      <c r="AM2408" s="20"/>
      <c r="AN2408" s="11"/>
      <c r="AQ2408" s="6" t="s">
        <v>1452</v>
      </c>
      <c r="AR2408" t="s">
        <v>1445</v>
      </c>
    </row>
    <row r="2409" spans="5:44">
      <c r="E2409" s="11"/>
      <c r="F24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409" s="13" t="s">
        <v>337</v>
      </c>
      <c r="H2409" s="13" t="s">
        <v>2987</v>
      </c>
      <c r="I2409" s="12" t="str">
        <f>Table1[[#This Row],[type]]</f>
        <v>ribbon</v>
      </c>
      <c r="J2409" s="62" t="str">
        <f>Table1[[#This Row],[Column42]]&amp;IF(Table1[[#This Row],[Column13]]="","",Table1[[#This Row],[Column13]])&amp;IF(Table1[[#This Row],[mod]]="","",Table1[[#This Row],[mod]])</f>
        <v>ribbon</v>
      </c>
      <c r="K24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09" t="s">
        <v>3139</v>
      </c>
      <c r="P2409" s="6" t="s">
        <v>1453</v>
      </c>
      <c r="Q24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9" s="29"/>
      <c r="AC2409" s="25"/>
      <c r="AD2409" s="41"/>
      <c r="AE2409" s="41"/>
      <c r="AF2409" s="11"/>
      <c r="AH2409" s="1" t="str">
        <f>Table1[[#This Row],[html_tag]]&amp;Table1[[#This Row],[html_type]]&amp;Table1[[#This Row],[html_modifier]]</f>
        <v/>
      </c>
      <c r="AL2409" s="22" t="str">
        <f>IFERROR(_xlfn.XLOOKUP(Table1[[#This Row],[word]],Table57[English style name],Table57[Style type]),"")</f>
        <v/>
      </c>
      <c r="AM2409" s="20"/>
      <c r="AN2409" s="11"/>
      <c r="AQ2409" s="6" t="s">
        <v>1453</v>
      </c>
      <c r="AR2409" t="s">
        <v>1445</v>
      </c>
    </row>
    <row r="2410" spans="5:44">
      <c r="E2410" s="11"/>
      <c r="F24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0" s="13" t="s">
        <v>337</v>
      </c>
      <c r="H2410" s="13" t="s">
        <v>2988</v>
      </c>
      <c r="I2410" s="12" t="str">
        <f>Table1[[#This Row],[type]]</f>
        <v>ribbon</v>
      </c>
      <c r="J2410" s="62" t="str">
        <f>Table1[[#This Row],[Column42]]&amp;IF(Table1[[#This Row],[Column13]]="","",Table1[[#This Row],[Column13]])&amp;IF(Table1[[#This Row],[mod]]="","",Table1[[#This Row],[mod]])</f>
        <v>ribbon</v>
      </c>
      <c r="K24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0" t="s">
        <v>3139</v>
      </c>
      <c r="P2410" s="6" t="s">
        <v>2392</v>
      </c>
      <c r="Q24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0" s="29"/>
      <c r="AC2410" s="25"/>
      <c r="AD2410" s="41"/>
      <c r="AE2410" s="41"/>
      <c r="AF2410" s="11"/>
      <c r="AH2410" s="1" t="str">
        <f>Table1[[#This Row],[html_tag]]&amp;Table1[[#This Row],[html_type]]&amp;Table1[[#This Row],[html_modifier]]</f>
        <v/>
      </c>
      <c r="AL2410" s="22" t="str">
        <f>IFERROR(_xlfn.XLOOKUP(Table1[[#This Row],[word]],Table57[English style name],Table57[Style type]),"")</f>
        <v/>
      </c>
      <c r="AM2410" s="20"/>
      <c r="AN2410" s="11"/>
      <c r="AQ2410" s="6" t="s">
        <v>2392</v>
      </c>
      <c r="AR2410" t="s">
        <v>2390</v>
      </c>
    </row>
    <row r="2411" spans="5:44">
      <c r="E2411" s="11"/>
      <c r="F24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1" s="13" t="s">
        <v>337</v>
      </c>
      <c r="H2411" s="13" t="s">
        <v>2988</v>
      </c>
      <c r="I2411" s="12" t="str">
        <f>Table1[[#This Row],[type]]</f>
        <v>ribbon</v>
      </c>
      <c r="J2411" s="62" t="str">
        <f>Table1[[#This Row],[Column42]]&amp;IF(Table1[[#This Row],[Column13]]="","",Table1[[#This Row],[Column13]])&amp;IF(Table1[[#This Row],[mod]]="","",Table1[[#This Row],[mod]])</f>
        <v>ribbon</v>
      </c>
      <c r="K24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1" t="s">
        <v>3139</v>
      </c>
      <c r="P2411" s="6" t="s">
        <v>2393</v>
      </c>
      <c r="Q24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1" s="29"/>
      <c r="AC2411" s="25"/>
      <c r="AD2411" s="41"/>
      <c r="AE2411" s="41"/>
      <c r="AF2411" s="11"/>
      <c r="AH2411" s="1" t="str">
        <f>Table1[[#This Row],[html_tag]]&amp;Table1[[#This Row],[html_type]]&amp;Table1[[#This Row],[html_modifier]]</f>
        <v/>
      </c>
      <c r="AJ2411" s="76"/>
      <c r="AL2411" s="22" t="str">
        <f>IFERROR(_xlfn.XLOOKUP(Table1[[#This Row],[word]],Table57[English style name],Table57[Style type]),"")</f>
        <v/>
      </c>
      <c r="AM2411" s="20"/>
      <c r="AN2411" s="11"/>
      <c r="AQ2411" s="6" t="s">
        <v>2393</v>
      </c>
      <c r="AR2411" t="s">
        <v>2390</v>
      </c>
    </row>
    <row r="2412" spans="5:44">
      <c r="E2412" s="11"/>
      <c r="F24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2" s="13" t="s">
        <v>337</v>
      </c>
      <c r="H2412" s="13" t="s">
        <v>2988</v>
      </c>
      <c r="I2412" s="12" t="str">
        <f>Table1[[#This Row],[type]]</f>
        <v>ribbon</v>
      </c>
      <c r="J2412" s="62" t="str">
        <f>Table1[[#This Row],[Column42]]&amp;IF(Table1[[#This Row],[Column13]]="","",Table1[[#This Row],[Column13]])&amp;IF(Table1[[#This Row],[mod]]="","",Table1[[#This Row],[mod]])</f>
        <v>ribbon</v>
      </c>
      <c r="K24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2" t="s">
        <v>3139</v>
      </c>
      <c r="P2412" s="6" t="s">
        <v>2398</v>
      </c>
      <c r="Q24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2" s="29"/>
      <c r="AC2412" s="25"/>
      <c r="AD2412" s="41"/>
      <c r="AE2412" s="41"/>
      <c r="AF2412" s="11"/>
      <c r="AH2412" s="1" t="str">
        <f>Table1[[#This Row],[html_tag]]&amp;Table1[[#This Row],[html_type]]&amp;Table1[[#This Row],[html_modifier]]</f>
        <v/>
      </c>
      <c r="AJ2412" s="76"/>
      <c r="AL2412" s="22" t="str">
        <f>IFERROR(_xlfn.XLOOKUP(Table1[[#This Row],[word]],Table57[English style name],Table57[Style type]),"")</f>
        <v/>
      </c>
      <c r="AM2412" s="20"/>
      <c r="AN2412" s="11"/>
      <c r="AQ2412" s="6" t="s">
        <v>2398</v>
      </c>
      <c r="AR2412" t="s">
        <v>2390</v>
      </c>
    </row>
    <row r="2413" spans="5:44">
      <c r="E2413" s="11"/>
      <c r="F24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3" s="13" t="s">
        <v>337</v>
      </c>
      <c r="H2413" s="13" t="s">
        <v>2988</v>
      </c>
      <c r="I2413" s="12" t="str">
        <f>Table1[[#This Row],[type]]</f>
        <v>ribbon</v>
      </c>
      <c r="J2413" s="62" t="str">
        <f>Table1[[#This Row],[Column42]]&amp;IF(Table1[[#This Row],[Column13]]="","",Table1[[#This Row],[Column13]])&amp;IF(Table1[[#This Row],[mod]]="","",Table1[[#This Row],[mod]])</f>
        <v>ribbon</v>
      </c>
      <c r="K24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3" t="s">
        <v>3139</v>
      </c>
      <c r="P2413" s="6" t="s">
        <v>2400</v>
      </c>
      <c r="Q24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3" s="29"/>
      <c r="AC2413" s="25"/>
      <c r="AD2413" s="41"/>
      <c r="AE2413" s="41"/>
      <c r="AF2413" s="11"/>
      <c r="AH2413" s="1" t="str">
        <f>Table1[[#This Row],[html_tag]]&amp;Table1[[#This Row],[html_type]]&amp;Table1[[#This Row],[html_modifier]]</f>
        <v/>
      </c>
      <c r="AJ2413" s="76"/>
      <c r="AL2413" s="22" t="str">
        <f>IFERROR(_xlfn.XLOOKUP(Table1[[#This Row],[word]],Table57[English style name],Table57[Style type]),"")</f>
        <v/>
      </c>
      <c r="AM2413" s="20"/>
      <c r="AN2413" s="11"/>
      <c r="AQ2413" s="6" t="s">
        <v>2400</v>
      </c>
      <c r="AR2413" t="s">
        <v>2390</v>
      </c>
    </row>
    <row r="2414" spans="5:44">
      <c r="E2414" s="11"/>
      <c r="F24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4" s="13" t="s">
        <v>337</v>
      </c>
      <c r="H2414" s="13" t="s">
        <v>2988</v>
      </c>
      <c r="I2414" s="12" t="str">
        <f>Table1[[#This Row],[type]]</f>
        <v>ribbon</v>
      </c>
      <c r="J2414" s="62" t="str">
        <f>Table1[[#This Row],[Column42]]&amp;IF(Table1[[#This Row],[Column13]]="","",Table1[[#This Row],[Column13]])&amp;IF(Table1[[#This Row],[mod]]="","",Table1[[#This Row],[mod]])</f>
        <v>ribbon</v>
      </c>
      <c r="K24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4" t="s">
        <v>3139</v>
      </c>
      <c r="P2414" s="6" t="s">
        <v>2401</v>
      </c>
      <c r="Q24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4" s="29"/>
      <c r="AC2414" s="25"/>
      <c r="AD2414" s="41"/>
      <c r="AE2414" s="41"/>
      <c r="AF2414" s="11"/>
      <c r="AH2414" s="1" t="str">
        <f>Table1[[#This Row],[html_tag]]&amp;Table1[[#This Row],[html_type]]&amp;Table1[[#This Row],[html_modifier]]</f>
        <v/>
      </c>
      <c r="AJ2414" s="76"/>
      <c r="AL2414" s="22" t="str">
        <f>IFERROR(_xlfn.XLOOKUP(Table1[[#This Row],[word]],Table57[English style name],Table57[Style type]),"")</f>
        <v/>
      </c>
      <c r="AM2414" s="20"/>
      <c r="AN2414" s="11"/>
      <c r="AQ2414" s="6" t="s">
        <v>2401</v>
      </c>
      <c r="AR2414" t="s">
        <v>2390</v>
      </c>
    </row>
    <row r="2415" spans="5:44">
      <c r="E2415" s="11"/>
      <c r="F24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5" s="13" t="s">
        <v>337</v>
      </c>
      <c r="H2415" s="13" t="s">
        <v>2988</v>
      </c>
      <c r="I2415" s="12" t="str">
        <f>Table1[[#This Row],[type]]</f>
        <v>ribbon</v>
      </c>
      <c r="J2415" s="62" t="str">
        <f>Table1[[#This Row],[Column42]]&amp;IF(Table1[[#This Row],[Column13]]="","",Table1[[#This Row],[Column13]])&amp;IF(Table1[[#This Row],[mod]]="","",Table1[[#This Row],[mod]])</f>
        <v>ribbon</v>
      </c>
      <c r="K24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5" t="s">
        <v>3139</v>
      </c>
      <c r="P2415" s="6" t="s">
        <v>2403</v>
      </c>
      <c r="Q24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5" s="29"/>
      <c r="AC2415" s="25"/>
      <c r="AD2415" s="41"/>
      <c r="AE2415" s="41"/>
      <c r="AF2415" s="11"/>
      <c r="AH2415" s="1" t="str">
        <f>Table1[[#This Row],[html_tag]]&amp;Table1[[#This Row],[html_type]]&amp;Table1[[#This Row],[html_modifier]]</f>
        <v/>
      </c>
      <c r="AJ2415" s="76"/>
      <c r="AL2415" s="22" t="str">
        <f>IFERROR(_xlfn.XLOOKUP(Table1[[#This Row],[word]],Table57[English style name],Table57[Style type]),"")</f>
        <v/>
      </c>
      <c r="AM2415" s="20"/>
      <c r="AN2415" s="11"/>
      <c r="AQ2415" s="6" t="s">
        <v>2403</v>
      </c>
      <c r="AR2415" t="s">
        <v>2390</v>
      </c>
    </row>
    <row r="2416" spans="5:44">
      <c r="E2416" s="11"/>
      <c r="F24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6" s="13" t="s">
        <v>337</v>
      </c>
      <c r="H2416" s="13" t="s">
        <v>2988</v>
      </c>
      <c r="I2416" s="12" t="str">
        <f>Table1[[#This Row],[type]]</f>
        <v>ribbon</v>
      </c>
      <c r="J2416" s="62" t="str">
        <f>Table1[[#This Row],[Column42]]&amp;IF(Table1[[#This Row],[Column13]]="","",Table1[[#This Row],[Column13]])&amp;IF(Table1[[#This Row],[mod]]="","",Table1[[#This Row],[mod]])</f>
        <v>ribbon</v>
      </c>
      <c r="K24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6" t="s">
        <v>3139</v>
      </c>
      <c r="P2416" s="6" t="s">
        <v>2370</v>
      </c>
      <c r="Q24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6" s="29"/>
      <c r="AC2416" s="25"/>
      <c r="AD2416" s="41"/>
      <c r="AE2416" s="41"/>
      <c r="AF2416" s="11"/>
      <c r="AH2416" s="1" t="str">
        <f>Table1[[#This Row],[html_tag]]&amp;Table1[[#This Row],[html_type]]&amp;Table1[[#This Row],[html_modifier]]</f>
        <v/>
      </c>
      <c r="AJ2416" s="76"/>
      <c r="AL2416" s="22" t="str">
        <f>IFERROR(_xlfn.XLOOKUP(Table1[[#This Row],[word]],Table57[English style name],Table57[Style type]),"")</f>
        <v/>
      </c>
      <c r="AM2416" s="20"/>
      <c r="AN2416" s="11"/>
      <c r="AQ2416" s="6" t="s">
        <v>2370</v>
      </c>
      <c r="AR2416" t="s">
        <v>2368</v>
      </c>
    </row>
    <row r="2417" spans="5:40">
      <c r="E2417" s="11"/>
      <c r="F24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17" s="13"/>
      <c r="H2417" s="13"/>
      <c r="I2417" s="12" t="str">
        <f>Table1[[#This Row],[type]]</f>
        <v>ribbon</v>
      </c>
      <c r="J2417" s="62" t="str">
        <f>Table1[[#This Row],[Column42]]&amp;IF(Table1[[#This Row],[Column13]]="","",Table1[[#This Row],[Column13]])&amp;IF(Table1[[#This Row],[mod]]="","",Table1[[#This Row],[mod]])</f>
        <v>ribbon</v>
      </c>
      <c r="K24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7" t="s">
        <v>3139</v>
      </c>
      <c r="Q24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7" s="29" t="s">
        <v>4392</v>
      </c>
      <c r="AC2417" s="25"/>
      <c r="AD2417" s="41"/>
      <c r="AE2417" s="41"/>
      <c r="AF2417" s="11"/>
      <c r="AH2417" s="7" t="str">
        <f>Table1[[#This Row],[html_tag]]&amp;Table1[[#This Row],[html_type]]&amp;Table1[[#This Row],[html_modifier]]</f>
        <v/>
      </c>
      <c r="AL2417" s="23" t="str">
        <f>IFERROR(_xlfn.XLOOKUP(Table1[[#This Row],[word]],Table57[English style name],Table57[Style type]),"")</f>
        <v/>
      </c>
      <c r="AM2417" s="21"/>
      <c r="AN2417" s="11"/>
    </row>
    <row r="2418" spans="5:40">
      <c r="E2418" s="11"/>
      <c r="F24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18" s="13"/>
      <c r="H2418" s="13"/>
      <c r="I2418" s="12" t="str">
        <f>Table1[[#This Row],[type]]</f>
        <v>ribbon</v>
      </c>
      <c r="J2418" s="62" t="str">
        <f>Table1[[#This Row],[Column42]]&amp;IF(Table1[[#This Row],[Column13]]="","",Table1[[#This Row],[Column13]])&amp;IF(Table1[[#This Row],[mod]]="","",Table1[[#This Row],[mod]])</f>
        <v>ribbon</v>
      </c>
      <c r="K24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8" t="s">
        <v>3139</v>
      </c>
      <c r="Q24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8" s="29" t="s">
        <v>4393</v>
      </c>
      <c r="AC2418" s="25"/>
      <c r="AD2418" s="41"/>
      <c r="AE2418" s="41"/>
      <c r="AF2418" s="11"/>
      <c r="AH2418" s="7" t="str">
        <f>Table1[[#This Row],[html_tag]]&amp;Table1[[#This Row],[html_type]]&amp;Table1[[#This Row],[html_modifier]]</f>
        <v/>
      </c>
      <c r="AL2418" s="23" t="str">
        <f>IFERROR(_xlfn.XLOOKUP(Table1[[#This Row],[word]],Table57[English style name],Table57[Style type]),"")</f>
        <v/>
      </c>
      <c r="AM2418" s="21"/>
      <c r="AN2418" s="11"/>
    </row>
    <row r="2419" spans="5:40">
      <c r="E2419" s="11"/>
      <c r="F24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19" s="13"/>
      <c r="H2419" s="13"/>
      <c r="I2419" s="12" t="str">
        <f>Table1[[#This Row],[type]]</f>
        <v>ribbon</v>
      </c>
      <c r="J2419" s="62" t="str">
        <f>Table1[[#This Row],[Column42]]&amp;IF(Table1[[#This Row],[Column13]]="","",Table1[[#This Row],[Column13]])&amp;IF(Table1[[#This Row],[mod]]="","",Table1[[#This Row],[mod]])</f>
        <v>ribbon</v>
      </c>
      <c r="K24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9" t="s">
        <v>3139</v>
      </c>
      <c r="Q24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9" s="29" t="s">
        <v>4394</v>
      </c>
      <c r="AC2419" s="25"/>
      <c r="AD2419" s="41"/>
      <c r="AE2419" s="41"/>
      <c r="AF2419" s="11"/>
      <c r="AH2419" s="7" t="str">
        <f>Table1[[#This Row],[html_tag]]&amp;Table1[[#This Row],[html_type]]&amp;Table1[[#This Row],[html_modifier]]</f>
        <v/>
      </c>
      <c r="AL2419" s="23" t="str">
        <f>IFERROR(_xlfn.XLOOKUP(Table1[[#This Row],[word]],Table57[English style name],Table57[Style type]),"")</f>
        <v/>
      </c>
      <c r="AM2419" s="21"/>
      <c r="AN2419" s="11"/>
    </row>
    <row r="2420" spans="5:40">
      <c r="E2420" s="11"/>
      <c r="F24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0" s="13"/>
      <c r="H2420" s="13"/>
      <c r="I2420" s="12" t="str">
        <f>Table1[[#This Row],[type]]</f>
        <v>ribbon</v>
      </c>
      <c r="J2420" s="62" t="str">
        <f>Table1[[#This Row],[Column42]]&amp;IF(Table1[[#This Row],[Column13]]="","",Table1[[#This Row],[Column13]])&amp;IF(Table1[[#This Row],[mod]]="","",Table1[[#This Row],[mod]])</f>
        <v>ribbon</v>
      </c>
      <c r="K24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0" t="s">
        <v>3139</v>
      </c>
      <c r="Q24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0" s="29" t="s">
        <v>4395</v>
      </c>
      <c r="AC2420" s="25"/>
      <c r="AD2420" s="41"/>
      <c r="AE2420" s="41"/>
      <c r="AF2420" s="11"/>
      <c r="AH2420" s="7" t="str">
        <f>Table1[[#This Row],[html_tag]]&amp;Table1[[#This Row],[html_type]]&amp;Table1[[#This Row],[html_modifier]]</f>
        <v/>
      </c>
      <c r="AL2420" s="23" t="str">
        <f>IFERROR(_xlfn.XLOOKUP(Table1[[#This Row],[word]],Table57[English style name],Table57[Style type]),"")</f>
        <v/>
      </c>
      <c r="AM2420" s="21"/>
      <c r="AN2420" s="11"/>
    </row>
    <row r="2421" spans="5:40">
      <c r="E2421" s="11"/>
      <c r="F24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1" s="13"/>
      <c r="H2421" s="13"/>
      <c r="I2421" s="12" t="str">
        <f>Table1[[#This Row],[type]]</f>
        <v>ribbon</v>
      </c>
      <c r="J2421" s="62" t="str">
        <f>Table1[[#This Row],[Column42]]&amp;IF(Table1[[#This Row],[Column13]]="","",Table1[[#This Row],[Column13]])&amp;IF(Table1[[#This Row],[mod]]="","",Table1[[#This Row],[mod]])</f>
        <v>ribbon</v>
      </c>
      <c r="K24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1" t="s">
        <v>3139</v>
      </c>
      <c r="Q24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1" s="29" t="s">
        <v>4396</v>
      </c>
      <c r="AC2421" s="25"/>
      <c r="AD2421" s="41"/>
      <c r="AE2421" s="41"/>
      <c r="AF2421" s="11"/>
      <c r="AH2421" s="7" t="str">
        <f>Table1[[#This Row],[html_tag]]&amp;Table1[[#This Row],[html_type]]&amp;Table1[[#This Row],[html_modifier]]</f>
        <v/>
      </c>
      <c r="AL2421" s="23" t="str">
        <f>IFERROR(_xlfn.XLOOKUP(Table1[[#This Row],[word]],Table57[English style name],Table57[Style type]),"")</f>
        <v/>
      </c>
      <c r="AM2421" s="21"/>
      <c r="AN2421" s="11"/>
    </row>
    <row r="2422" spans="5:40">
      <c r="E2422" s="11"/>
      <c r="F24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2" s="13"/>
      <c r="H2422" s="13"/>
      <c r="I2422" s="12" t="str">
        <f>Table1[[#This Row],[type]]</f>
        <v>ribbon</v>
      </c>
      <c r="J2422" s="62" t="str">
        <f>Table1[[#This Row],[Column42]]&amp;IF(Table1[[#This Row],[Column13]]="","",Table1[[#This Row],[Column13]])&amp;IF(Table1[[#This Row],[mod]]="","",Table1[[#This Row],[mod]])</f>
        <v>ribbon</v>
      </c>
      <c r="K24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2" t="s">
        <v>3139</v>
      </c>
      <c r="Q24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2" s="29" t="s">
        <v>4397</v>
      </c>
      <c r="AC2422" s="25"/>
      <c r="AD2422" s="41"/>
      <c r="AE2422" s="41"/>
      <c r="AF2422" s="11"/>
      <c r="AH2422" s="7" t="str">
        <f>Table1[[#This Row],[html_tag]]&amp;Table1[[#This Row],[html_type]]&amp;Table1[[#This Row],[html_modifier]]</f>
        <v/>
      </c>
      <c r="AJ2422" s="76"/>
      <c r="AL2422" s="23" t="str">
        <f>IFERROR(_xlfn.XLOOKUP(Table1[[#This Row],[word]],Table57[English style name],Table57[Style type]),"")</f>
        <v/>
      </c>
      <c r="AM2422" s="21"/>
      <c r="AN2422" s="11"/>
    </row>
    <row r="2423" spans="5:40">
      <c r="E2423" s="11"/>
      <c r="F24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3" s="13"/>
      <c r="H2423" s="13"/>
      <c r="I2423" s="12" t="str">
        <f>Table1[[#This Row],[type]]</f>
        <v>ribbon</v>
      </c>
      <c r="J2423" s="62" t="str">
        <f>Table1[[#This Row],[Column42]]&amp;IF(Table1[[#This Row],[Column13]]="","",Table1[[#This Row],[Column13]])&amp;IF(Table1[[#This Row],[mod]]="","",Table1[[#This Row],[mod]])</f>
        <v>ribbon</v>
      </c>
      <c r="K24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3" t="s">
        <v>3139</v>
      </c>
      <c r="Q24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3" s="29" t="s">
        <v>4398</v>
      </c>
      <c r="AC2423" s="25"/>
      <c r="AD2423" s="41"/>
      <c r="AE2423" s="41"/>
      <c r="AF2423" s="11"/>
      <c r="AH2423" s="7" t="str">
        <f>Table1[[#This Row],[html_tag]]&amp;Table1[[#This Row],[html_type]]&amp;Table1[[#This Row],[html_modifier]]</f>
        <v/>
      </c>
      <c r="AJ2423" s="76"/>
      <c r="AL2423" s="23" t="str">
        <f>IFERROR(_xlfn.XLOOKUP(Table1[[#This Row],[word]],Table57[English style name],Table57[Style type]),"")</f>
        <v/>
      </c>
      <c r="AM2423" s="21"/>
      <c r="AN2423" s="11"/>
    </row>
    <row r="2424" spans="5:40">
      <c r="E2424" s="11"/>
      <c r="F24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4" s="13"/>
      <c r="H2424" s="13"/>
      <c r="I2424" s="12" t="str">
        <f>Table1[[#This Row],[type]]</f>
        <v>ribbon</v>
      </c>
      <c r="J2424" s="62" t="str">
        <f>Table1[[#This Row],[Column42]]&amp;IF(Table1[[#This Row],[Column13]]="","",Table1[[#This Row],[Column13]])&amp;IF(Table1[[#This Row],[mod]]="","",Table1[[#This Row],[mod]])</f>
        <v>ribbon</v>
      </c>
      <c r="K24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4" t="s">
        <v>3139</v>
      </c>
      <c r="Q24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4" s="29" t="s">
        <v>4399</v>
      </c>
      <c r="AC2424" s="25"/>
      <c r="AD2424" s="41"/>
      <c r="AE2424" s="41"/>
      <c r="AF2424" s="11"/>
      <c r="AH2424" s="7" t="str">
        <f>Table1[[#This Row],[html_tag]]&amp;Table1[[#This Row],[html_type]]&amp;Table1[[#This Row],[html_modifier]]</f>
        <v/>
      </c>
      <c r="AJ2424" s="76"/>
      <c r="AL2424" s="23" t="str">
        <f>IFERROR(_xlfn.XLOOKUP(Table1[[#This Row],[word]],Table57[English style name],Table57[Style type]),"")</f>
        <v/>
      </c>
      <c r="AM2424" s="21"/>
      <c r="AN2424" s="11"/>
    </row>
    <row r="2425" spans="5:40">
      <c r="E2425" s="11"/>
      <c r="F24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5" s="13"/>
      <c r="H2425" s="13"/>
      <c r="I2425" s="12" t="str">
        <f>Table1[[#This Row],[type]]</f>
        <v>ribbon</v>
      </c>
      <c r="J2425" s="62" t="str">
        <f>Table1[[#This Row],[Column42]]&amp;IF(Table1[[#This Row],[Column13]]="","",Table1[[#This Row],[Column13]])&amp;IF(Table1[[#This Row],[mod]]="","",Table1[[#This Row],[mod]])</f>
        <v>ribbon</v>
      </c>
      <c r="K24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5" t="s">
        <v>3139</v>
      </c>
      <c r="Q24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5" s="29" t="s">
        <v>4400</v>
      </c>
      <c r="AC2425" s="25"/>
      <c r="AD2425" s="41"/>
      <c r="AE2425" s="41"/>
      <c r="AF2425" s="11"/>
      <c r="AH2425" s="7" t="str">
        <f>Table1[[#This Row],[html_tag]]&amp;Table1[[#This Row],[html_type]]&amp;Table1[[#This Row],[html_modifier]]</f>
        <v/>
      </c>
      <c r="AJ2425" s="76"/>
      <c r="AL2425" s="23" t="str">
        <f>IFERROR(_xlfn.XLOOKUP(Table1[[#This Row],[word]],Table57[English style name],Table57[Style type]),"")</f>
        <v/>
      </c>
      <c r="AM2425" s="21"/>
      <c r="AN2425" s="11"/>
    </row>
    <row r="2426" spans="5:40">
      <c r="E2426" s="11"/>
      <c r="F24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6" s="13"/>
      <c r="H2426" s="13"/>
      <c r="I2426" s="12" t="str">
        <f>Table1[[#This Row],[type]]</f>
        <v>ribbon</v>
      </c>
      <c r="J2426" s="62" t="str">
        <f>Table1[[#This Row],[Column42]]&amp;IF(Table1[[#This Row],[Column13]]="","",Table1[[#This Row],[Column13]])&amp;IF(Table1[[#This Row],[mod]]="","",Table1[[#This Row],[mod]])</f>
        <v>ribbon</v>
      </c>
      <c r="K24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6" t="s">
        <v>3139</v>
      </c>
      <c r="Q24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6" s="29" t="s">
        <v>4401</v>
      </c>
      <c r="AC2426" s="25"/>
      <c r="AD2426" s="41"/>
      <c r="AE2426" s="41"/>
      <c r="AF2426" s="11"/>
      <c r="AH2426" s="7" t="str">
        <f>Table1[[#This Row],[html_tag]]&amp;Table1[[#This Row],[html_type]]&amp;Table1[[#This Row],[html_modifier]]</f>
        <v/>
      </c>
      <c r="AJ2426" s="76"/>
      <c r="AL2426" s="23" t="str">
        <f>IFERROR(_xlfn.XLOOKUP(Table1[[#This Row],[word]],Table57[English style name],Table57[Style type]),"")</f>
        <v/>
      </c>
      <c r="AM2426" s="21"/>
      <c r="AN2426" s="11"/>
    </row>
    <row r="2427" spans="5:40">
      <c r="E2427" s="11"/>
      <c r="F24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7" s="13"/>
      <c r="H2427" s="13"/>
      <c r="I2427" s="12" t="str">
        <f>Table1[[#This Row],[type]]</f>
        <v>ribbon</v>
      </c>
      <c r="J2427" s="62" t="str">
        <f>Table1[[#This Row],[Column42]]&amp;IF(Table1[[#This Row],[Column13]]="","",Table1[[#This Row],[Column13]])&amp;IF(Table1[[#This Row],[mod]]="","",Table1[[#This Row],[mod]])</f>
        <v>ribbon</v>
      </c>
      <c r="K24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7" t="s">
        <v>3139</v>
      </c>
      <c r="Q24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7" s="29" t="s">
        <v>4402</v>
      </c>
      <c r="AC2427" s="25"/>
      <c r="AD2427" s="41"/>
      <c r="AE2427" s="41"/>
      <c r="AF2427" s="11"/>
      <c r="AH2427" s="7" t="str">
        <f>Table1[[#This Row],[html_tag]]&amp;Table1[[#This Row],[html_type]]&amp;Table1[[#This Row],[html_modifier]]</f>
        <v/>
      </c>
      <c r="AJ2427" s="76"/>
      <c r="AL2427" s="23" t="str">
        <f>IFERROR(_xlfn.XLOOKUP(Table1[[#This Row],[word]],Table57[English style name],Table57[Style type]),"")</f>
        <v/>
      </c>
      <c r="AM2427" s="21"/>
      <c r="AN2427" s="11"/>
    </row>
    <row r="2428" spans="5:40">
      <c r="E2428" s="11"/>
      <c r="F24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8" s="13"/>
      <c r="H2428" s="13"/>
      <c r="I2428" s="12" t="str">
        <f>Table1[[#This Row],[type]]</f>
        <v>ribbon</v>
      </c>
      <c r="J2428" s="62" t="str">
        <f>Table1[[#This Row],[Column42]]&amp;IF(Table1[[#This Row],[Column13]]="","",Table1[[#This Row],[Column13]])&amp;IF(Table1[[#This Row],[mod]]="","",Table1[[#This Row],[mod]])</f>
        <v>ribbon</v>
      </c>
      <c r="K24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8" t="s">
        <v>3139</v>
      </c>
      <c r="Q24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8" s="29" t="s">
        <v>4403</v>
      </c>
      <c r="AC2428" s="25"/>
      <c r="AD2428" s="41"/>
      <c r="AE2428" s="41"/>
      <c r="AF2428" s="11"/>
      <c r="AH2428" s="7" t="str">
        <f>Table1[[#This Row],[html_tag]]&amp;Table1[[#This Row],[html_type]]&amp;Table1[[#This Row],[html_modifier]]</f>
        <v/>
      </c>
      <c r="AJ2428" s="76"/>
      <c r="AL2428" s="23" t="str">
        <f>IFERROR(_xlfn.XLOOKUP(Table1[[#This Row],[word]],Table57[English style name],Table57[Style type]),"")</f>
        <v/>
      </c>
      <c r="AM2428" s="21"/>
      <c r="AN2428" s="11"/>
    </row>
    <row r="2429" spans="5:40">
      <c r="E2429" s="11"/>
      <c r="F24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9" s="13"/>
      <c r="H2429" s="13"/>
      <c r="I2429" s="12" t="str">
        <f>Table1[[#This Row],[type]]</f>
        <v>ribbon</v>
      </c>
      <c r="J2429" s="62" t="str">
        <f>Table1[[#This Row],[Column42]]&amp;IF(Table1[[#This Row],[Column13]]="","",Table1[[#This Row],[Column13]])&amp;IF(Table1[[#This Row],[mod]]="","",Table1[[#This Row],[mod]])</f>
        <v>ribbon</v>
      </c>
      <c r="K24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9" t="s">
        <v>3139</v>
      </c>
      <c r="Q24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9" s="29" t="s">
        <v>4404</v>
      </c>
      <c r="AC2429" s="25"/>
      <c r="AD2429" s="41"/>
      <c r="AE2429" s="41"/>
      <c r="AF2429" s="11"/>
      <c r="AH2429" s="7" t="str">
        <f>Table1[[#This Row],[html_tag]]&amp;Table1[[#This Row],[html_type]]&amp;Table1[[#This Row],[html_modifier]]</f>
        <v/>
      </c>
      <c r="AJ2429" s="76"/>
      <c r="AL2429" s="23" t="str">
        <f>IFERROR(_xlfn.XLOOKUP(Table1[[#This Row],[word]],Table57[English style name],Table57[Style type]),"")</f>
        <v/>
      </c>
      <c r="AM2429" s="21"/>
      <c r="AN2429" s="11"/>
    </row>
    <row r="2430" spans="5:40">
      <c r="E2430" s="11"/>
      <c r="F24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0" s="13"/>
      <c r="H2430" s="13"/>
      <c r="I2430" s="12" t="str">
        <f>Table1[[#This Row],[type]]</f>
        <v>ribbon</v>
      </c>
      <c r="J2430" s="62" t="str">
        <f>Table1[[#This Row],[Column42]]&amp;IF(Table1[[#This Row],[Column13]]="","",Table1[[#This Row],[Column13]])&amp;IF(Table1[[#This Row],[mod]]="","",Table1[[#This Row],[mod]])</f>
        <v>ribbon</v>
      </c>
      <c r="K24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0" t="s">
        <v>3139</v>
      </c>
      <c r="Q24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0" s="29" t="s">
        <v>4405</v>
      </c>
      <c r="AC2430" s="25"/>
      <c r="AD2430" s="41"/>
      <c r="AE2430" s="41"/>
      <c r="AF2430" s="11"/>
      <c r="AH2430" s="7" t="str">
        <f>Table1[[#This Row],[html_tag]]&amp;Table1[[#This Row],[html_type]]&amp;Table1[[#This Row],[html_modifier]]</f>
        <v/>
      </c>
      <c r="AJ2430" s="76"/>
      <c r="AL2430" s="23" t="str">
        <f>IFERROR(_xlfn.XLOOKUP(Table1[[#This Row],[word]],Table57[English style name],Table57[Style type]),"")</f>
        <v/>
      </c>
      <c r="AM2430" s="21"/>
      <c r="AN2430" s="11"/>
    </row>
    <row r="2431" spans="5:40">
      <c r="E2431" s="11"/>
      <c r="F24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1" s="13"/>
      <c r="H2431" s="13"/>
      <c r="I2431" s="12" t="str">
        <f>Table1[[#This Row],[type]]</f>
        <v>ribbon</v>
      </c>
      <c r="J2431" s="62" t="str">
        <f>Table1[[#This Row],[Column42]]&amp;IF(Table1[[#This Row],[Column13]]="","",Table1[[#This Row],[Column13]])&amp;IF(Table1[[#This Row],[mod]]="","",Table1[[#This Row],[mod]])</f>
        <v>ribbon</v>
      </c>
      <c r="K24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1" t="s">
        <v>3139</v>
      </c>
      <c r="Q24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1" s="29" t="s">
        <v>4406</v>
      </c>
      <c r="AC2431" s="25"/>
      <c r="AD2431" s="41"/>
      <c r="AE2431" s="41"/>
      <c r="AF2431" s="11"/>
      <c r="AH2431" s="7" t="str">
        <f>Table1[[#This Row],[html_tag]]&amp;Table1[[#This Row],[html_type]]&amp;Table1[[#This Row],[html_modifier]]</f>
        <v/>
      </c>
      <c r="AJ2431" s="76"/>
      <c r="AL2431" s="23" t="str">
        <f>IFERROR(_xlfn.XLOOKUP(Table1[[#This Row],[word]],Table57[English style name],Table57[Style type]),"")</f>
        <v/>
      </c>
      <c r="AM2431" s="21"/>
      <c r="AN2431" s="11"/>
    </row>
    <row r="2432" spans="5:40">
      <c r="E2432" s="11"/>
      <c r="F24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2" s="13"/>
      <c r="H2432" s="13"/>
      <c r="I2432" s="12" t="str">
        <f>Table1[[#This Row],[type]]</f>
        <v>ribbon</v>
      </c>
      <c r="J2432" s="62" t="str">
        <f>Table1[[#This Row],[Column42]]&amp;IF(Table1[[#This Row],[Column13]]="","",Table1[[#This Row],[Column13]])&amp;IF(Table1[[#This Row],[mod]]="","",Table1[[#This Row],[mod]])</f>
        <v>ribbon</v>
      </c>
      <c r="K24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2" t="s">
        <v>3139</v>
      </c>
      <c r="Q24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2" s="29" t="s">
        <v>4407</v>
      </c>
      <c r="AC2432" s="25"/>
      <c r="AD2432" s="41"/>
      <c r="AE2432" s="41"/>
      <c r="AF2432" s="11"/>
      <c r="AH2432" s="7" t="str">
        <f>Table1[[#This Row],[html_tag]]&amp;Table1[[#This Row],[html_type]]&amp;Table1[[#This Row],[html_modifier]]</f>
        <v/>
      </c>
      <c r="AJ2432" s="76"/>
      <c r="AL2432" s="23" t="str">
        <f>IFERROR(_xlfn.XLOOKUP(Table1[[#This Row],[word]],Table57[English style name],Table57[Style type]),"")</f>
        <v/>
      </c>
      <c r="AM2432" s="21"/>
      <c r="AN2432" s="11"/>
    </row>
    <row r="2433" spans="5:44">
      <c r="E2433" s="11"/>
      <c r="F24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3" s="13"/>
      <c r="H2433" s="13"/>
      <c r="I2433" s="12" t="str">
        <f>Table1[[#This Row],[type]]</f>
        <v>ribbon</v>
      </c>
      <c r="J2433" s="62" t="str">
        <f>Table1[[#This Row],[Column42]]&amp;IF(Table1[[#This Row],[Column13]]="","",Table1[[#This Row],[Column13]])&amp;IF(Table1[[#This Row],[mod]]="","",Table1[[#This Row],[mod]])</f>
        <v>ribbon</v>
      </c>
      <c r="K24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3" t="s">
        <v>3139</v>
      </c>
      <c r="Q24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3" s="29" t="s">
        <v>4408</v>
      </c>
      <c r="AC2433" s="25"/>
      <c r="AD2433" s="41"/>
      <c r="AE2433" s="41"/>
      <c r="AF2433" s="11"/>
      <c r="AH2433" s="7" t="str">
        <f>Table1[[#This Row],[html_tag]]&amp;Table1[[#This Row],[html_type]]&amp;Table1[[#This Row],[html_modifier]]</f>
        <v/>
      </c>
      <c r="AJ2433" s="76"/>
      <c r="AL2433" s="23" t="str">
        <f>IFERROR(_xlfn.XLOOKUP(Table1[[#This Row],[word]],Table57[English style name],Table57[Style type]),"")</f>
        <v/>
      </c>
      <c r="AM2433" s="21"/>
      <c r="AN2433" s="11"/>
    </row>
    <row r="2434" spans="5:44">
      <c r="E2434" s="11"/>
      <c r="F24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4" s="13"/>
      <c r="H2434" s="13"/>
      <c r="I2434" s="12" t="str">
        <f>Table1[[#This Row],[type]]</f>
        <v>ribbon</v>
      </c>
      <c r="J2434" s="62" t="str">
        <f>Table1[[#This Row],[Column42]]&amp;IF(Table1[[#This Row],[Column13]]="","",Table1[[#This Row],[Column13]])&amp;IF(Table1[[#This Row],[mod]]="","",Table1[[#This Row],[mod]])</f>
        <v>ribbon</v>
      </c>
      <c r="K24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4" t="s">
        <v>3139</v>
      </c>
      <c r="Q24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4" s="29" t="s">
        <v>4409</v>
      </c>
      <c r="AC2434" s="25"/>
      <c r="AD2434" s="41"/>
      <c r="AE2434" s="41"/>
      <c r="AF2434" s="11"/>
      <c r="AH2434" s="7" t="str">
        <f>Table1[[#This Row],[html_tag]]&amp;Table1[[#This Row],[html_type]]&amp;Table1[[#This Row],[html_modifier]]</f>
        <v/>
      </c>
      <c r="AJ2434" s="76"/>
      <c r="AL2434" s="23" t="str">
        <f>IFERROR(_xlfn.XLOOKUP(Table1[[#This Row],[word]],Table57[English style name],Table57[Style type]),"")</f>
        <v/>
      </c>
      <c r="AM2434" s="21"/>
      <c r="AN2434" s="11"/>
    </row>
    <row r="2435" spans="5:44">
      <c r="E2435" s="11"/>
      <c r="F24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5" s="13"/>
      <c r="H2435" s="13"/>
      <c r="I2435" s="12" t="str">
        <f>Table1[[#This Row],[type]]</f>
        <v>ribbon</v>
      </c>
      <c r="J2435" s="62" t="str">
        <f>Table1[[#This Row],[Column42]]&amp;IF(Table1[[#This Row],[Column13]]="","",Table1[[#This Row],[Column13]])&amp;IF(Table1[[#This Row],[mod]]="","",Table1[[#This Row],[mod]])</f>
        <v>ribbon</v>
      </c>
      <c r="K24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5" t="s">
        <v>3139</v>
      </c>
      <c r="Q24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5" s="29" t="s">
        <v>4410</v>
      </c>
      <c r="AC2435" s="25"/>
      <c r="AD2435" s="41"/>
      <c r="AE2435" s="41"/>
      <c r="AF2435" s="11"/>
      <c r="AH2435" s="7" t="str">
        <f>Table1[[#This Row],[html_tag]]&amp;Table1[[#This Row],[html_type]]&amp;Table1[[#This Row],[html_modifier]]</f>
        <v/>
      </c>
      <c r="AJ2435" s="76"/>
      <c r="AL2435" s="23" t="str">
        <f>IFERROR(_xlfn.XLOOKUP(Table1[[#This Row],[word]],Table57[English style name],Table57[Style type]),"")</f>
        <v/>
      </c>
      <c r="AM2435" s="21"/>
      <c r="AN2435" s="11"/>
    </row>
    <row r="2436" spans="5:44">
      <c r="E2436" s="11"/>
      <c r="F24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6" s="13"/>
      <c r="H2436" s="13"/>
      <c r="I2436" s="12" t="str">
        <f>Table1[[#This Row],[type]]</f>
        <v>ribbon</v>
      </c>
      <c r="J2436" s="62" t="str">
        <f>Table1[[#This Row],[Column42]]&amp;IF(Table1[[#This Row],[Column13]]="","",Table1[[#This Row],[Column13]])&amp;IF(Table1[[#This Row],[mod]]="","",Table1[[#This Row],[mod]])</f>
        <v>ribbon</v>
      </c>
      <c r="K24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6" t="s">
        <v>3139</v>
      </c>
      <c r="Q24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6" s="29" t="s">
        <v>4411</v>
      </c>
      <c r="AC2436" s="25"/>
      <c r="AD2436" s="41"/>
      <c r="AE2436" s="41"/>
      <c r="AF2436" s="11"/>
      <c r="AH2436" s="7" t="str">
        <f>Table1[[#This Row],[html_tag]]&amp;Table1[[#This Row],[html_type]]&amp;Table1[[#This Row],[html_modifier]]</f>
        <v/>
      </c>
      <c r="AJ2436" s="76"/>
      <c r="AL2436" s="23" t="str">
        <f>IFERROR(_xlfn.XLOOKUP(Table1[[#This Row],[word]],Table57[English style name],Table57[Style type]),"")</f>
        <v/>
      </c>
      <c r="AM2436" s="21"/>
      <c r="AN2436" s="11"/>
    </row>
    <row r="2437" spans="5:44">
      <c r="E2437" s="11"/>
      <c r="F24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7" s="13"/>
      <c r="H2437" s="13"/>
      <c r="I2437" s="12" t="str">
        <f>Table1[[#This Row],[type]]</f>
        <v>ribbon</v>
      </c>
      <c r="J2437" s="62" t="str">
        <f>Table1[[#This Row],[Column42]]&amp;IF(Table1[[#This Row],[Column13]]="","",Table1[[#This Row],[Column13]])&amp;IF(Table1[[#This Row],[mod]]="","",Table1[[#This Row],[mod]])</f>
        <v>ribbon</v>
      </c>
      <c r="K24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7" t="s">
        <v>3139</v>
      </c>
      <c r="Q24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7" s="29" t="s">
        <v>4412</v>
      </c>
      <c r="AC2437" s="25"/>
      <c r="AD2437" s="41"/>
      <c r="AE2437" s="41"/>
      <c r="AF2437" s="11"/>
      <c r="AH2437" s="7" t="str">
        <f>Table1[[#This Row],[html_tag]]&amp;Table1[[#This Row],[html_type]]&amp;Table1[[#This Row],[html_modifier]]</f>
        <v/>
      </c>
      <c r="AL2437" s="23" t="str">
        <f>IFERROR(_xlfn.XLOOKUP(Table1[[#This Row],[word]],Table57[English style name],Table57[Style type]),"")</f>
        <v/>
      </c>
      <c r="AM2437" s="21"/>
      <c r="AN2437" s="11"/>
    </row>
    <row r="2438" spans="5:44">
      <c r="E2438" s="11"/>
      <c r="F24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8" s="13"/>
      <c r="H2438" s="13"/>
      <c r="I2438" s="12" t="str">
        <f>Table1[[#This Row],[type]]</f>
        <v>ribbon</v>
      </c>
      <c r="J2438" s="62" t="str">
        <f>Table1[[#This Row],[Column42]]&amp;IF(Table1[[#This Row],[Column13]]="","",Table1[[#This Row],[Column13]])&amp;IF(Table1[[#This Row],[mod]]="","",Table1[[#This Row],[mod]])</f>
        <v>ribbon</v>
      </c>
      <c r="K24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8" t="s">
        <v>3139</v>
      </c>
      <c r="Q24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8" s="29" t="s">
        <v>4413</v>
      </c>
      <c r="AC2438" s="25"/>
      <c r="AD2438" s="41"/>
      <c r="AE2438" s="41"/>
      <c r="AF2438" s="11"/>
      <c r="AH2438" s="7" t="str">
        <f>Table1[[#This Row],[html_tag]]&amp;Table1[[#This Row],[html_type]]&amp;Table1[[#This Row],[html_modifier]]</f>
        <v/>
      </c>
      <c r="AL2438" s="23" t="str">
        <f>IFERROR(_xlfn.XLOOKUP(Table1[[#This Row],[word]],Table57[English style name],Table57[Style type]),"")</f>
        <v/>
      </c>
      <c r="AM2438" s="21"/>
      <c r="AN2438" s="11"/>
    </row>
    <row r="2439" spans="5:44">
      <c r="E2439" s="11"/>
      <c r="F24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9" s="13"/>
      <c r="H2439" s="13"/>
      <c r="I2439" s="12" t="str">
        <f>Table1[[#This Row],[type]]</f>
        <v>ribbon</v>
      </c>
      <c r="J2439" s="62" t="str">
        <f>Table1[[#This Row],[Column42]]&amp;IF(Table1[[#This Row],[Column13]]="","",Table1[[#This Row],[Column13]])&amp;IF(Table1[[#This Row],[mod]]="","",Table1[[#This Row],[mod]])</f>
        <v>ribbon</v>
      </c>
      <c r="K24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9" t="s">
        <v>3139</v>
      </c>
      <c r="Q24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9" s="29" t="s">
        <v>4414</v>
      </c>
      <c r="AC2439" s="25"/>
      <c r="AD2439" s="41"/>
      <c r="AE2439" s="41"/>
      <c r="AF2439" s="11"/>
      <c r="AH2439" s="7" t="str">
        <f>Table1[[#This Row],[html_tag]]&amp;Table1[[#This Row],[html_type]]&amp;Table1[[#This Row],[html_modifier]]</f>
        <v/>
      </c>
      <c r="AL2439" s="23" t="str">
        <f>IFERROR(_xlfn.XLOOKUP(Table1[[#This Row],[word]],Table57[English style name],Table57[Style type]),"")</f>
        <v/>
      </c>
      <c r="AM2439" s="21"/>
      <c r="AN2439" s="11"/>
    </row>
    <row r="2440" spans="5:44">
      <c r="E2440" s="11"/>
      <c r="F24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40" s="13"/>
      <c r="H2440" s="13"/>
      <c r="I2440" s="12" t="str">
        <f>Table1[[#This Row],[type]]</f>
        <v>ribbon</v>
      </c>
      <c r="J2440" s="62" t="str">
        <f>Table1[[#This Row],[Column42]]&amp;IF(Table1[[#This Row],[Column13]]="","",Table1[[#This Row],[Column13]])&amp;IF(Table1[[#This Row],[mod]]="","",Table1[[#This Row],[mod]])</f>
        <v>ribbon</v>
      </c>
      <c r="K24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40" t="s">
        <v>3139</v>
      </c>
      <c r="Q24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0" s="29" t="s">
        <v>4415</v>
      </c>
      <c r="AC2440" s="25"/>
      <c r="AD2440" s="41"/>
      <c r="AE2440" s="41"/>
      <c r="AF2440" s="11"/>
      <c r="AH2440" s="7" t="str">
        <f>Table1[[#This Row],[html_tag]]&amp;Table1[[#This Row],[html_type]]&amp;Table1[[#This Row],[html_modifier]]</f>
        <v/>
      </c>
      <c r="AL2440" s="23" t="str">
        <f>IFERROR(_xlfn.XLOOKUP(Table1[[#This Row],[word]],Table57[English style name],Table57[Style type]),"")</f>
        <v/>
      </c>
      <c r="AM2440" s="21"/>
      <c r="AN2440" s="11"/>
    </row>
    <row r="2441" spans="5:44">
      <c r="E2441" s="11"/>
      <c r="F24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1" s="13" t="s">
        <v>337</v>
      </c>
      <c r="H2441" s="13" t="s">
        <v>2988</v>
      </c>
      <c r="I2441" s="12" t="str">
        <f>Table1[[#This Row],[type]]</f>
        <v>ribbon</v>
      </c>
      <c r="J2441" s="62" t="str">
        <f>Table1[[#This Row],[Column42]]&amp;IF(Table1[[#This Row],[Column13]]="","",Table1[[#This Row],[Column13]])&amp;IF(Table1[[#This Row],[mod]]="","",Table1[[#This Row],[mod]])</f>
        <v>ribbon__bottom</v>
      </c>
      <c r="K24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ribbon__bottom</v>
      </c>
      <c r="L2441" t="s">
        <v>3139</v>
      </c>
      <c r="N2441" t="s">
        <v>3186</v>
      </c>
      <c r="P2441" s="6" t="s">
        <v>2367</v>
      </c>
      <c r="Q24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1" s="29"/>
      <c r="AC2441" s="25"/>
      <c r="AD2441" s="41"/>
      <c r="AE2441" s="41"/>
      <c r="AF2441" s="11"/>
      <c r="AH2441" s="1" t="str">
        <f>Table1[[#This Row],[html_tag]]&amp;Table1[[#This Row],[html_type]]&amp;Table1[[#This Row],[html_modifier]]</f>
        <v/>
      </c>
      <c r="AL2441" s="22" t="str">
        <f>IFERROR(_xlfn.XLOOKUP(Table1[[#This Row],[word]],Table57[English style name],Table57[Style type]),"")</f>
        <v/>
      </c>
      <c r="AM2441" s="20"/>
      <c r="AN2441" s="11"/>
      <c r="AQ2441" s="6" t="s">
        <v>2367</v>
      </c>
      <c r="AR2441" t="s">
        <v>2368</v>
      </c>
    </row>
    <row r="2442" spans="5:44">
      <c r="E2442" s="11"/>
      <c r="F24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2" s="13" t="s">
        <v>337</v>
      </c>
      <c r="H2442" s="13" t="s">
        <v>2988</v>
      </c>
      <c r="I2442" s="12" t="str">
        <f>Table1[[#This Row],[type]]</f>
        <v>ribbon</v>
      </c>
      <c r="J2442" s="62" t="str">
        <f>Table1[[#This Row],[Column42]]&amp;IF(Table1[[#This Row],[Column13]]="","",Table1[[#This Row],[Column13]])&amp;IF(Table1[[#This Row],[mod]]="","",Table1[[#This Row],[mod]])</f>
        <v>ribbon__button</v>
      </c>
      <c r="K24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ribbon__button</v>
      </c>
      <c r="L2442" t="s">
        <v>3139</v>
      </c>
      <c r="M2442" t="s">
        <v>414</v>
      </c>
      <c r="P2442" s="6" t="s">
        <v>2376</v>
      </c>
      <c r="Q24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2" s="29"/>
      <c r="AC2442" s="25"/>
      <c r="AD2442" s="41"/>
      <c r="AE2442" s="41"/>
      <c r="AF2442" s="11"/>
      <c r="AH2442" s="1" t="str">
        <f>Table1[[#This Row],[html_tag]]&amp;Table1[[#This Row],[html_type]]&amp;Table1[[#This Row],[html_modifier]]</f>
        <v/>
      </c>
      <c r="AL2442" s="22" t="str">
        <f>IFERROR(_xlfn.XLOOKUP(Table1[[#This Row],[word]],Table57[English style name],Table57[Style type]),"")</f>
        <v/>
      </c>
      <c r="AM2442" s="20"/>
      <c r="AN2442" s="11"/>
      <c r="AQ2442" s="6" t="s">
        <v>2376</v>
      </c>
      <c r="AR2442" t="s">
        <v>2377</v>
      </c>
    </row>
    <row r="2443" spans="5:44">
      <c r="E2443" s="11"/>
      <c r="F24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43" s="13"/>
      <c r="H2443" s="13"/>
      <c r="I2443" s="12" t="str">
        <f>Table1[[#This Row],[type]]</f>
        <v>ribbon</v>
      </c>
      <c r="J2443" s="62" t="str">
        <f>Table1[[#This Row],[Column42]]&amp;IF(Table1[[#This Row],[Column13]]="","",Table1[[#This Row],[Column13]])&amp;IF(Table1[[#This Row],[mod]]="","",Table1[[#This Row],[mod]])</f>
        <v>ribbon__center</v>
      </c>
      <c r="K24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ribbon__center</v>
      </c>
      <c r="L2443" t="s">
        <v>3139</v>
      </c>
      <c r="N2443" t="s">
        <v>425</v>
      </c>
      <c r="Q24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3" s="29"/>
      <c r="AC2443" s="25"/>
      <c r="AD2443" s="41" t="s">
        <v>7070</v>
      </c>
      <c r="AE2443" s="41"/>
      <c r="AF2443" s="11"/>
      <c r="AH2443" s="7" t="str">
        <f>Table1[[#This Row],[html_tag]]&amp;Table1[[#This Row],[html_type]]&amp;Table1[[#This Row],[html_modifier]]</f>
        <v/>
      </c>
      <c r="AL2443" s="23" t="str">
        <f>IFERROR(_xlfn.XLOOKUP(Table1[[#This Row],[word]],Table57[English style name],Table57[Style type]),"")</f>
        <v/>
      </c>
      <c r="AM2443" s="21"/>
      <c r="AN2443" s="11"/>
    </row>
    <row r="2444" spans="5:44">
      <c r="E2444" s="11"/>
      <c r="F24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4" s="13" t="s">
        <v>337</v>
      </c>
      <c r="H2444" s="13" t="s">
        <v>2988</v>
      </c>
      <c r="I2444" s="12" t="str">
        <f>Table1[[#This Row],[type]]</f>
        <v>ribbon</v>
      </c>
      <c r="J2444" s="62" t="str">
        <f>Table1[[#This Row],[Column42]]&amp;IF(Table1[[#This Row],[Column13]]="","",Table1[[#This Row],[Column13]])&amp;IF(Table1[[#This Row],[mod]]="","",Table1[[#This Row],[mod]])</f>
        <v>ribbon__center</v>
      </c>
      <c r="K24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ribbon__center</v>
      </c>
      <c r="L2444" t="s">
        <v>3139</v>
      </c>
      <c r="N2444" t="s">
        <v>425</v>
      </c>
      <c r="P2444" s="6" t="s">
        <v>2394</v>
      </c>
      <c r="Q24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4" s="29"/>
      <c r="AC2444" s="25"/>
      <c r="AD2444" s="41"/>
      <c r="AE2444" s="41"/>
      <c r="AF2444" s="11"/>
      <c r="AH2444" s="1" t="str">
        <f>Table1[[#This Row],[html_tag]]&amp;Table1[[#This Row],[html_type]]&amp;Table1[[#This Row],[html_modifier]]</f>
        <v/>
      </c>
      <c r="AL2444" s="22" t="str">
        <f>IFERROR(_xlfn.XLOOKUP(Table1[[#This Row],[word]],Table57[English style name],Table57[Style type]),"")</f>
        <v/>
      </c>
      <c r="AM2444" s="20"/>
      <c r="AN2444" s="11"/>
      <c r="AQ2444" s="6" t="s">
        <v>2394</v>
      </c>
      <c r="AR2444" t="s">
        <v>2390</v>
      </c>
    </row>
    <row r="2445" spans="5:44">
      <c r="E2445" s="11"/>
      <c r="F24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45" s="13"/>
      <c r="H2445" s="13"/>
      <c r="I2445" s="12" t="str">
        <f>Table1[[#This Row],[type]]</f>
        <v>ribbon</v>
      </c>
      <c r="J2445" s="62" t="str">
        <f>Table1[[#This Row],[Column42]]&amp;IF(Table1[[#This Row],[Column13]]="","",Table1[[#This Row],[Column13]])&amp;IF(Table1[[#This Row],[mod]]="","",Table1[[#This Row],[mod]])</f>
        <v>ribbon__end</v>
      </c>
      <c r="K24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ribbon__end</v>
      </c>
      <c r="L2445" t="s">
        <v>3139</v>
      </c>
      <c r="N2445" t="s">
        <v>3194</v>
      </c>
      <c r="Q24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5" s="29"/>
      <c r="AC2445" s="25"/>
      <c r="AD2445" s="41" t="s">
        <v>4398</v>
      </c>
      <c r="AE2445" s="41"/>
      <c r="AF2445" s="11"/>
      <c r="AH2445" s="7" t="str">
        <f>Table1[[#This Row],[html_tag]]&amp;Table1[[#This Row],[html_type]]&amp;Table1[[#This Row],[html_modifier]]</f>
        <v/>
      </c>
      <c r="AL2445" s="23" t="str">
        <f>IFERROR(_xlfn.XLOOKUP(Table1[[#This Row],[word]],Table57[English style name],Table57[Style type]),"")</f>
        <v/>
      </c>
      <c r="AM2445" s="21"/>
      <c r="AN2445" s="11"/>
    </row>
    <row r="2446" spans="5:44">
      <c r="E2446" s="11"/>
      <c r="F24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6" s="13" t="s">
        <v>337</v>
      </c>
      <c r="H2446" s="13" t="s">
        <v>2988</v>
      </c>
      <c r="I2446" s="12" t="str">
        <f>Table1[[#This Row],[type]]</f>
        <v>ribbon</v>
      </c>
      <c r="J2446" s="62" t="str">
        <f>Table1[[#This Row],[Column42]]&amp;IF(Table1[[#This Row],[Column13]]="","",Table1[[#This Row],[Column13]])&amp;IF(Table1[[#This Row],[mod]]="","",Table1[[#This Row],[mod]])</f>
        <v>ribbon__left</v>
      </c>
      <c r="K24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ribbon__left</v>
      </c>
      <c r="L2446" t="s">
        <v>3139</v>
      </c>
      <c r="N2446" s="3" t="s">
        <v>616</v>
      </c>
      <c r="P2446" s="6" t="s">
        <v>2395</v>
      </c>
      <c r="Q24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6" s="29"/>
      <c r="AC2446" s="25"/>
      <c r="AD2446" s="41"/>
      <c r="AE2446" s="41"/>
      <c r="AF2446" s="11"/>
      <c r="AH2446" s="1" t="str">
        <f>Table1[[#This Row],[html_tag]]&amp;Table1[[#This Row],[html_type]]&amp;Table1[[#This Row],[html_modifier]]</f>
        <v/>
      </c>
      <c r="AL2446" s="22" t="str">
        <f>IFERROR(_xlfn.XLOOKUP(Table1[[#This Row],[word]],Table57[English style name],Table57[Style type]),"")</f>
        <v/>
      </c>
      <c r="AM2446" s="20"/>
      <c r="AN2446" s="11"/>
      <c r="AQ2446" s="6" t="s">
        <v>2395</v>
      </c>
      <c r="AR2446" t="s">
        <v>2390</v>
      </c>
    </row>
    <row r="2447" spans="5:44">
      <c r="E2447" s="11"/>
      <c r="F24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7" s="13" t="s">
        <v>337</v>
      </c>
      <c r="H2447" s="13" t="s">
        <v>2988</v>
      </c>
      <c r="I2447" s="12" t="str">
        <f>Table1[[#This Row],[type]]</f>
        <v>ribbon</v>
      </c>
      <c r="J2447" s="62" t="str">
        <f>Table1[[#This Row],[Column42]]&amp;IF(Table1[[#This Row],[Column13]]="","",Table1[[#This Row],[Column13]])&amp;IF(Table1[[#This Row],[mod]]="","",Table1[[#This Row],[mod]])</f>
        <v>ribbon__left</v>
      </c>
      <c r="K24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ribbon__left</v>
      </c>
      <c r="L2447" t="s">
        <v>3139</v>
      </c>
      <c r="N2447" s="3" t="s">
        <v>616</v>
      </c>
      <c r="P2447" s="6" t="s">
        <v>2371</v>
      </c>
      <c r="Q24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7" s="29"/>
      <c r="AC2447" s="25"/>
      <c r="AD2447" s="41"/>
      <c r="AE2447" s="41"/>
      <c r="AF2447" s="11"/>
      <c r="AH2447" s="1" t="str">
        <f>Table1[[#This Row],[html_tag]]&amp;Table1[[#This Row],[html_type]]&amp;Table1[[#This Row],[html_modifier]]</f>
        <v/>
      </c>
      <c r="AL2447" s="22" t="str">
        <f>IFERROR(_xlfn.XLOOKUP(Table1[[#This Row],[word]],Table57[English style name],Table57[Style type]),"")</f>
        <v/>
      </c>
      <c r="AM2447" s="20"/>
      <c r="AN2447" s="11"/>
      <c r="AQ2447" s="6" t="s">
        <v>2371</v>
      </c>
      <c r="AR2447" t="s">
        <v>2368</v>
      </c>
    </row>
    <row r="2448" spans="5:44">
      <c r="E2448" s="11"/>
      <c r="F24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8" s="13" t="s">
        <v>337</v>
      </c>
      <c r="H2448" s="13" t="s">
        <v>2988</v>
      </c>
      <c r="I2448" s="12" t="str">
        <f>Table1[[#This Row],[type]]</f>
        <v>ribbon</v>
      </c>
      <c r="J2448" s="62" t="str">
        <f>Table1[[#This Row],[Column42]]&amp;IF(Table1[[#This Row],[Column13]]="","",Table1[[#This Row],[Column13]])&amp;IF(Table1[[#This Row],[mod]]="","",Table1[[#This Row],[mod]])</f>
        <v>ribbon__menu</v>
      </c>
      <c r="K24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ribbon__menu</v>
      </c>
      <c r="L2448" t="s">
        <v>3139</v>
      </c>
      <c r="M2448" t="s">
        <v>562</v>
      </c>
      <c r="P2448" s="6" t="s">
        <v>2381</v>
      </c>
      <c r="Q24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8" s="29"/>
      <c r="AC2448" s="25"/>
      <c r="AD2448" s="41"/>
      <c r="AE2448" s="41"/>
      <c r="AF2448" s="11"/>
      <c r="AH2448" s="1" t="str">
        <f>Table1[[#This Row],[html_tag]]&amp;Table1[[#This Row],[html_type]]&amp;Table1[[#This Row],[html_modifier]]</f>
        <v/>
      </c>
      <c r="AL2448" s="22" t="str">
        <f>IFERROR(_xlfn.XLOOKUP(Table1[[#This Row],[word]],Table57[English style name],Table57[Style type]),"")</f>
        <v/>
      </c>
      <c r="AM2448" s="20"/>
      <c r="AN2448" s="11"/>
      <c r="AQ2448" s="6" t="s">
        <v>2381</v>
      </c>
      <c r="AR2448" t="s">
        <v>2379</v>
      </c>
    </row>
    <row r="2449" spans="5:44">
      <c r="E2449" s="11"/>
      <c r="F24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9" s="13" t="s">
        <v>337</v>
      </c>
      <c r="H2449" s="13" t="s">
        <v>2988</v>
      </c>
      <c r="I2449" s="12" t="str">
        <f>Table1[[#This Row],[type]]</f>
        <v>ribbon</v>
      </c>
      <c r="J2449" s="62" t="str">
        <f>Table1[[#This Row],[Column42]]&amp;IF(Table1[[#This Row],[Column13]]="","",Table1[[#This Row],[Column13]])&amp;IF(Table1[[#This Row],[mod]]="","",Table1[[#This Row],[mod]])</f>
        <v>ribbon__menu</v>
      </c>
      <c r="K24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ribbon__menu</v>
      </c>
      <c r="L2449" t="s">
        <v>3139</v>
      </c>
      <c r="M2449" t="s">
        <v>562</v>
      </c>
      <c r="P2449" s="6" t="s">
        <v>2380</v>
      </c>
      <c r="Q24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9" s="29"/>
      <c r="AC2449" s="25"/>
      <c r="AD2449" s="41"/>
      <c r="AE2449" s="41"/>
      <c r="AF2449" s="11"/>
      <c r="AH2449" s="1" t="str">
        <f>Table1[[#This Row],[html_tag]]&amp;Table1[[#This Row],[html_type]]&amp;Table1[[#This Row],[html_modifier]]</f>
        <v/>
      </c>
      <c r="AL2449" s="22" t="str">
        <f>IFERROR(_xlfn.XLOOKUP(Table1[[#This Row],[word]],Table57[English style name],Table57[Style type]),"")</f>
        <v/>
      </c>
      <c r="AM2449" s="20"/>
      <c r="AN2449" s="11"/>
      <c r="AQ2449" s="6" t="s">
        <v>2380</v>
      </c>
      <c r="AR2449" t="s">
        <v>2379</v>
      </c>
    </row>
    <row r="2450" spans="5:44">
      <c r="E2450" s="11"/>
      <c r="F24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0" s="13" t="s">
        <v>337</v>
      </c>
      <c r="H2450" s="13" t="s">
        <v>2988</v>
      </c>
      <c r="I2450" s="12" t="str">
        <f>Table1[[#This Row],[type]]</f>
        <v>ribbon</v>
      </c>
      <c r="J2450" s="62" t="str">
        <f>Table1[[#This Row],[Column42]]&amp;IF(Table1[[#This Row],[Column13]]="","",Table1[[#This Row],[Column13]])&amp;IF(Table1[[#This Row],[mod]]="","",Table1[[#This Row],[mod]])</f>
        <v>ribbon__nav</v>
      </c>
      <c r="K24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0" t="s">
        <v>3139</v>
      </c>
      <c r="M2450" t="s">
        <v>485</v>
      </c>
      <c r="P2450" s="6" t="s">
        <v>2382</v>
      </c>
      <c r="Q24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0" s="29"/>
      <c r="AC2450" s="25"/>
      <c r="AD2450" s="41"/>
      <c r="AE2450" s="41"/>
      <c r="AF2450" s="11"/>
      <c r="AH2450" s="1" t="str">
        <f>Table1[[#This Row],[html_tag]]&amp;Table1[[#This Row],[html_type]]&amp;Table1[[#This Row],[html_modifier]]</f>
        <v/>
      </c>
      <c r="AL2450" s="22" t="str">
        <f>IFERROR(_xlfn.XLOOKUP(Table1[[#This Row],[word]],Table57[English style name],Table57[Style type]),"")</f>
        <v/>
      </c>
      <c r="AM2450" s="20"/>
      <c r="AN2450" s="11"/>
      <c r="AQ2450" s="6" t="s">
        <v>2382</v>
      </c>
      <c r="AR2450" t="s">
        <v>2383</v>
      </c>
    </row>
    <row r="2451" spans="5:44">
      <c r="E2451" s="11"/>
      <c r="F24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1" s="13" t="s">
        <v>337</v>
      </c>
      <c r="H2451" s="13" t="s">
        <v>2988</v>
      </c>
      <c r="I2451" s="12" t="str">
        <f>Table1[[#This Row],[type]]</f>
        <v>ribbon</v>
      </c>
      <c r="J2451" s="62" t="str">
        <f>Table1[[#This Row],[Column42]]&amp;IF(Table1[[#This Row],[Column13]]="","",Table1[[#This Row],[Column13]])&amp;IF(Table1[[#This Row],[mod]]="","",Table1[[#This Row],[mod]])</f>
        <v>ribbon__nav</v>
      </c>
      <c r="K24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1" t="s">
        <v>3139</v>
      </c>
      <c r="M2451" t="s">
        <v>485</v>
      </c>
      <c r="P2451" s="6" t="s">
        <v>2384</v>
      </c>
      <c r="Q24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1" s="29"/>
      <c r="AC2451" s="25"/>
      <c r="AD2451" s="41"/>
      <c r="AE2451" s="41"/>
      <c r="AF2451" s="11"/>
      <c r="AH2451" s="1" t="str">
        <f>Table1[[#This Row],[html_tag]]&amp;Table1[[#This Row],[html_type]]&amp;Table1[[#This Row],[html_modifier]]</f>
        <v/>
      </c>
      <c r="AL2451" s="22" t="str">
        <f>IFERROR(_xlfn.XLOOKUP(Table1[[#This Row],[word]],Table57[English style name],Table57[Style type]),"")</f>
        <v/>
      </c>
      <c r="AM2451" s="20"/>
      <c r="AN2451" s="11"/>
      <c r="AQ2451" s="6" t="s">
        <v>2384</v>
      </c>
      <c r="AR2451" t="s">
        <v>2383</v>
      </c>
    </row>
    <row r="2452" spans="5:44">
      <c r="E2452" s="11"/>
      <c r="F24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2" s="13" t="s">
        <v>337</v>
      </c>
      <c r="H2452" s="13" t="s">
        <v>2988</v>
      </c>
      <c r="I2452" s="12" t="str">
        <f>Table1[[#This Row],[type]]</f>
        <v>ribbon</v>
      </c>
      <c r="J2452" s="62" t="str">
        <f>Table1[[#This Row],[Column42]]&amp;IF(Table1[[#This Row],[Column13]]="","",Table1[[#This Row],[Column13]])&amp;IF(Table1[[#This Row],[mod]]="","",Table1[[#This Row],[mod]])</f>
        <v>ribbon__nav</v>
      </c>
      <c r="K24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2" t="s">
        <v>3139</v>
      </c>
      <c r="M2452" t="s">
        <v>485</v>
      </c>
      <c r="P2452" s="6" t="s">
        <v>2385</v>
      </c>
      <c r="Q24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2" s="29"/>
      <c r="AC2452" s="25"/>
      <c r="AD2452" s="41"/>
      <c r="AE2452" s="41"/>
      <c r="AF2452" s="11"/>
      <c r="AH2452" s="1" t="str">
        <f>Table1[[#This Row],[html_tag]]&amp;Table1[[#This Row],[html_type]]&amp;Table1[[#This Row],[html_modifier]]</f>
        <v/>
      </c>
      <c r="AL2452" s="22" t="str">
        <f>IFERROR(_xlfn.XLOOKUP(Table1[[#This Row],[word]],Table57[English style name],Table57[Style type]),"")</f>
        <v/>
      </c>
      <c r="AM2452" s="20"/>
      <c r="AN2452" s="11"/>
      <c r="AQ2452" s="6" t="s">
        <v>2385</v>
      </c>
      <c r="AR2452" t="s">
        <v>2383</v>
      </c>
    </row>
    <row r="2453" spans="5:44">
      <c r="E2453" s="11"/>
      <c r="F24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3" s="13" t="s">
        <v>337</v>
      </c>
      <c r="H2453" s="13" t="s">
        <v>2988</v>
      </c>
      <c r="I2453" s="12" t="str">
        <f>Table1[[#This Row],[type]]</f>
        <v>ribbon</v>
      </c>
      <c r="J2453" s="62" t="str">
        <f>Table1[[#This Row],[Column42]]&amp;IF(Table1[[#This Row],[Column13]]="","",Table1[[#This Row],[Column13]])&amp;IF(Table1[[#This Row],[mod]]="","",Table1[[#This Row],[mod]])</f>
        <v>ribbon__nav</v>
      </c>
      <c r="K24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3" t="s">
        <v>3139</v>
      </c>
      <c r="M2453" t="s">
        <v>485</v>
      </c>
      <c r="P2453" s="6" t="s">
        <v>2387</v>
      </c>
      <c r="Q24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3" s="29"/>
      <c r="AC2453" s="25"/>
      <c r="AD2453" s="41"/>
      <c r="AE2453" s="41"/>
      <c r="AF2453" s="11"/>
      <c r="AH2453" s="1" t="str">
        <f>Table1[[#This Row],[html_tag]]&amp;Table1[[#This Row],[html_type]]&amp;Table1[[#This Row],[html_modifier]]</f>
        <v/>
      </c>
      <c r="AL2453" s="22" t="str">
        <f>IFERROR(_xlfn.XLOOKUP(Table1[[#This Row],[word]],Table57[English style name],Table57[Style type]),"")</f>
        <v/>
      </c>
      <c r="AM2453" s="20"/>
      <c r="AN2453" s="11"/>
      <c r="AQ2453" s="6" t="s">
        <v>2387</v>
      </c>
      <c r="AR2453" t="s">
        <v>2383</v>
      </c>
    </row>
    <row r="2454" spans="5:44">
      <c r="E2454" s="11"/>
      <c r="F24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4" s="13" t="s">
        <v>337</v>
      </c>
      <c r="H2454" s="13" t="s">
        <v>2988</v>
      </c>
      <c r="I2454" s="12" t="str">
        <f>Table1[[#This Row],[type]]</f>
        <v>ribbon</v>
      </c>
      <c r="J2454" s="62" t="str">
        <f>Table1[[#This Row],[Column42]]&amp;IF(Table1[[#This Row],[Column13]]="","",Table1[[#This Row],[Column13]])&amp;IF(Table1[[#This Row],[mod]]="","",Table1[[#This Row],[mod]])</f>
        <v>ribbon__nav</v>
      </c>
      <c r="K24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4" t="s">
        <v>3139</v>
      </c>
      <c r="M2454" t="s">
        <v>485</v>
      </c>
      <c r="P2454" s="6" t="s">
        <v>2386</v>
      </c>
      <c r="Q24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4" s="29"/>
      <c r="AC2454" s="25"/>
      <c r="AD2454" s="41"/>
      <c r="AE2454" s="41"/>
      <c r="AF2454" s="11"/>
      <c r="AH2454" s="1" t="str">
        <f>Table1[[#This Row],[html_tag]]&amp;Table1[[#This Row],[html_type]]&amp;Table1[[#This Row],[html_modifier]]</f>
        <v/>
      </c>
      <c r="AL2454" s="22" t="str">
        <f>IFERROR(_xlfn.XLOOKUP(Table1[[#This Row],[word]],Table57[English style name],Table57[Style type]),"")</f>
        <v/>
      </c>
      <c r="AM2454" s="20"/>
      <c r="AN2454" s="11"/>
      <c r="AQ2454" s="6" t="s">
        <v>2386</v>
      </c>
      <c r="AR2454" t="s">
        <v>2383</v>
      </c>
    </row>
    <row r="2455" spans="5:44">
      <c r="E2455" s="11"/>
      <c r="F24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5" s="13" t="s">
        <v>337</v>
      </c>
      <c r="H2455" s="13" t="s">
        <v>2988</v>
      </c>
      <c r="I2455" s="12" t="str">
        <f>Table1[[#This Row],[type]]</f>
        <v>ribbon</v>
      </c>
      <c r="J2455" s="62" t="str">
        <f>Table1[[#This Row],[Column42]]&amp;IF(Table1[[#This Row],[Column13]]="","",Table1[[#This Row],[Column13]])&amp;IF(Table1[[#This Row],[mod]]="","",Table1[[#This Row],[mod]])</f>
        <v>ribbon__nav</v>
      </c>
      <c r="K24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5" t="s">
        <v>3139</v>
      </c>
      <c r="M2455" t="s">
        <v>485</v>
      </c>
      <c r="P2455" s="6" t="s">
        <v>2388</v>
      </c>
      <c r="Q24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5" s="29"/>
      <c r="AC2455" s="25"/>
      <c r="AD2455" s="41"/>
      <c r="AE2455" s="41"/>
      <c r="AF2455" s="11"/>
      <c r="AH2455" s="1" t="str">
        <f>Table1[[#This Row],[html_tag]]&amp;Table1[[#This Row],[html_type]]&amp;Table1[[#This Row],[html_modifier]]</f>
        <v/>
      </c>
      <c r="AL2455" s="22" t="str">
        <f>IFERROR(_xlfn.XLOOKUP(Table1[[#This Row],[word]],Table57[English style name],Table57[Style type]),"")</f>
        <v/>
      </c>
      <c r="AM2455" s="20"/>
      <c r="AN2455" s="11"/>
      <c r="AQ2455" s="6" t="s">
        <v>2388</v>
      </c>
      <c r="AR2455" t="s">
        <v>2383</v>
      </c>
    </row>
    <row r="2456" spans="5:44">
      <c r="E2456" s="11"/>
      <c r="F24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6" s="13" t="s">
        <v>337</v>
      </c>
      <c r="H2456" s="13" t="s">
        <v>2988</v>
      </c>
      <c r="I2456" s="12" t="str">
        <f>Table1[[#This Row],[type]]</f>
        <v>ribbon</v>
      </c>
      <c r="J2456" s="62" t="str">
        <f>Table1[[#This Row],[Column42]]&amp;IF(Table1[[#This Row],[Column13]]="","",Table1[[#This Row],[Column13]])&amp;IF(Table1[[#This Row],[mod]]="","",Table1[[#This Row],[mod]])</f>
        <v>ribbon__panel__header</v>
      </c>
      <c r="K24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ribbon__panel__header</v>
      </c>
      <c r="L2456" t="s">
        <v>3139</v>
      </c>
      <c r="M2456" t="s">
        <v>3411</v>
      </c>
      <c r="O2456" t="s">
        <v>465</v>
      </c>
      <c r="Q24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6" s="29"/>
      <c r="AC2456" s="25"/>
      <c r="AD2456" s="41"/>
      <c r="AE2456" s="41"/>
      <c r="AF2456" s="11"/>
      <c r="AH2456" s="1" t="str">
        <f>Table1[[#This Row],[html_tag]]&amp;Table1[[#This Row],[html_type]]&amp;Table1[[#This Row],[html_modifier]]</f>
        <v/>
      </c>
      <c r="AL2456" s="22" t="str">
        <f>IFERROR(_xlfn.XLOOKUP(Table1[[#This Row],[word]],Table57[English style name],Table57[Style type]),"")</f>
        <v/>
      </c>
      <c r="AM2456" s="20"/>
      <c r="AN2456" s="11"/>
      <c r="AQ2456" s="6" t="s">
        <v>2402</v>
      </c>
      <c r="AR2456" t="s">
        <v>2390</v>
      </c>
    </row>
    <row r="2457" spans="5:44">
      <c r="E2457" s="11"/>
      <c r="F24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7" s="13" t="s">
        <v>337</v>
      </c>
      <c r="H2457" s="13" t="s">
        <v>2988</v>
      </c>
      <c r="I2457" s="12" t="str">
        <f>Table1[[#This Row],[type]]</f>
        <v>ribbon</v>
      </c>
      <c r="J2457" s="62" t="str">
        <f>Table1[[#This Row],[Column42]]&amp;IF(Table1[[#This Row],[Column13]]="","",Table1[[#This Row],[Column13]])&amp;IF(Table1[[#This Row],[mod]]="","",Table1[[#This Row],[mod]])</f>
        <v>ribbon__panel__header</v>
      </c>
      <c r="K24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ribbon__panel__header</v>
      </c>
      <c r="L2457" t="s">
        <v>3139</v>
      </c>
      <c r="M2457" t="s">
        <v>3411</v>
      </c>
      <c r="O2457" t="s">
        <v>465</v>
      </c>
      <c r="Q24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7" s="29"/>
      <c r="AC2457" s="25"/>
      <c r="AD2457" s="41"/>
      <c r="AE2457" s="41"/>
      <c r="AF2457" s="11"/>
      <c r="AH2457" s="1" t="str">
        <f>Table1[[#This Row],[html_tag]]&amp;Table1[[#This Row],[html_type]]&amp;Table1[[#This Row],[html_modifier]]</f>
        <v/>
      </c>
      <c r="AL2457" s="22" t="str">
        <f>IFERROR(_xlfn.XLOOKUP(Table1[[#This Row],[word]],Table57[English style name],Table57[Style type]),"")</f>
        <v/>
      </c>
      <c r="AM2457" s="20"/>
      <c r="AN2457" s="11"/>
      <c r="AQ2457" s="6" t="s">
        <v>2397</v>
      </c>
      <c r="AR2457" t="s">
        <v>2390</v>
      </c>
    </row>
    <row r="2458" spans="5:44">
      <c r="E2458" s="11"/>
      <c r="F24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8" s="13" t="s">
        <v>337</v>
      </c>
      <c r="H2458" s="13" t="s">
        <v>2988</v>
      </c>
      <c r="I2458" s="12" t="str">
        <f>Table1[[#This Row],[type]]</f>
        <v>ribbon</v>
      </c>
      <c r="J2458" s="62" t="str">
        <f>Table1[[#This Row],[Column42]]&amp;IF(Table1[[#This Row],[Column13]]="","",Table1[[#This Row],[Column13]])&amp;IF(Table1[[#This Row],[mod]]="","",Table1[[#This Row],[mod]])</f>
        <v>ribbon__right</v>
      </c>
      <c r="K24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ribbon__right</v>
      </c>
      <c r="L2458" t="s">
        <v>3139</v>
      </c>
      <c r="N2458" t="s">
        <v>617</v>
      </c>
      <c r="P2458" s="6" t="s">
        <v>2396</v>
      </c>
      <c r="Q24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8" s="29"/>
      <c r="AC2458" s="25"/>
      <c r="AD2458" s="41"/>
      <c r="AE2458" s="41"/>
      <c r="AF2458" s="11"/>
      <c r="AH2458" s="1" t="str">
        <f>Table1[[#This Row],[html_tag]]&amp;Table1[[#This Row],[html_type]]&amp;Table1[[#This Row],[html_modifier]]</f>
        <v/>
      </c>
      <c r="AL2458" s="22" t="str">
        <f>IFERROR(_xlfn.XLOOKUP(Table1[[#This Row],[word]],Table57[English style name],Table57[Style type]),"")</f>
        <v/>
      </c>
      <c r="AM2458" s="20"/>
      <c r="AN2458" s="11"/>
      <c r="AQ2458" s="6" t="s">
        <v>2396</v>
      </c>
      <c r="AR2458" t="s">
        <v>2390</v>
      </c>
    </row>
    <row r="2459" spans="5:44">
      <c r="E2459" s="11"/>
      <c r="F24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9" s="13" t="s">
        <v>337</v>
      </c>
      <c r="H2459" s="13" t="s">
        <v>2988</v>
      </c>
      <c r="I2459" s="12" t="str">
        <f>Table1[[#This Row],[type]]</f>
        <v>ribbon</v>
      </c>
      <c r="J2459" s="62" t="str">
        <f>Table1[[#This Row],[Column42]]&amp;IF(Table1[[#This Row],[Column13]]="","",Table1[[#This Row],[Column13]])&amp;IF(Table1[[#This Row],[mod]]="","",Table1[[#This Row],[mod]])</f>
        <v>ribbon__right</v>
      </c>
      <c r="K24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ribbon__right</v>
      </c>
      <c r="L2459" t="s">
        <v>3139</v>
      </c>
      <c r="N2459" t="s">
        <v>617</v>
      </c>
      <c r="P2459" s="6" t="s">
        <v>2372</v>
      </c>
      <c r="Q24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9" s="29"/>
      <c r="AC2459" s="25"/>
      <c r="AD2459" s="41"/>
      <c r="AE2459" s="41"/>
      <c r="AF2459" s="11"/>
      <c r="AH2459" s="1" t="str">
        <f>Table1[[#This Row],[html_tag]]&amp;Table1[[#This Row],[html_type]]&amp;Table1[[#This Row],[html_modifier]]</f>
        <v/>
      </c>
      <c r="AL2459" s="22" t="str">
        <f>IFERROR(_xlfn.XLOOKUP(Table1[[#This Row],[word]],Table57[English style name],Table57[Style type]),"")</f>
        <v/>
      </c>
      <c r="AM2459" s="20"/>
      <c r="AN2459" s="11"/>
      <c r="AQ2459" s="6" t="s">
        <v>2372</v>
      </c>
      <c r="AR2459" t="s">
        <v>2368</v>
      </c>
    </row>
    <row r="2460" spans="5:44">
      <c r="E2460" s="11"/>
      <c r="F24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0" s="13" t="s">
        <v>337</v>
      </c>
      <c r="H2460" s="13" t="s">
        <v>2988</v>
      </c>
      <c r="I2460" s="12" t="str">
        <f>Table1[[#This Row],[type]]</f>
        <v>ribbon</v>
      </c>
      <c r="J2460" s="62" t="str">
        <f>Table1[[#This Row],[Column42]]&amp;IF(Table1[[#This Row],[Column13]]="","",Table1[[#This Row],[Column13]])&amp;IF(Table1[[#This Row],[mod]]="","",Table1[[#This Row],[mod]])</f>
        <v>ribbon__search</v>
      </c>
      <c r="K24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ribbon__search</v>
      </c>
      <c r="L2460" t="s">
        <v>3139</v>
      </c>
      <c r="M2460" t="s">
        <v>581</v>
      </c>
      <c r="Q24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60" s="29"/>
      <c r="AC2460" s="25"/>
      <c r="AD2460" s="41"/>
      <c r="AE2460" s="41"/>
      <c r="AF2460" s="11"/>
      <c r="AH2460" s="1" t="str">
        <f>Table1[[#This Row],[html_tag]]&amp;Table1[[#This Row],[html_type]]&amp;Table1[[#This Row],[html_modifier]]</f>
        <v/>
      </c>
      <c r="AL2460" s="22" t="str">
        <f>IFERROR(_xlfn.XLOOKUP(Table1[[#This Row],[word]],Table57[English style name],Table57[Style type]),"")</f>
        <v/>
      </c>
      <c r="AM2460" s="20"/>
      <c r="AN2460" s="11"/>
      <c r="AQ2460" s="14" t="s">
        <v>2404</v>
      </c>
      <c r="AR2460" t="s">
        <v>2405</v>
      </c>
    </row>
    <row r="2461" spans="5:44">
      <c r="E2461" s="11"/>
      <c r="F24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1" s="13" t="s">
        <v>337</v>
      </c>
      <c r="H2461" s="13" t="s">
        <v>2988</v>
      </c>
      <c r="I2461" s="12" t="str">
        <f>Table1[[#This Row],[type]]</f>
        <v>ribbon</v>
      </c>
      <c r="J2461" s="62" t="str">
        <f>Table1[[#This Row],[Column42]]&amp;IF(Table1[[#This Row],[Column13]]="","",Table1[[#This Row],[Column13]])&amp;IF(Table1[[#This Row],[mod]]="","",Table1[[#This Row],[mod]])</f>
        <v>ribbon__search</v>
      </c>
      <c r="K24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ribbon__search</v>
      </c>
      <c r="L2461" t="s">
        <v>3139</v>
      </c>
      <c r="M2461" t="s">
        <v>581</v>
      </c>
      <c r="Q24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61" s="29"/>
      <c r="AC2461" s="25"/>
      <c r="AD2461" s="41"/>
      <c r="AE2461" s="41"/>
      <c r="AF2461" s="11"/>
      <c r="AH2461" s="1" t="str">
        <f>Table1[[#This Row],[html_tag]]&amp;Table1[[#This Row],[html_type]]&amp;Table1[[#This Row],[html_modifier]]</f>
        <v/>
      </c>
      <c r="AL2461" s="22" t="str">
        <f>IFERROR(_xlfn.XLOOKUP(Table1[[#This Row],[word]],Table57[English style name],Table57[Style type]),"")</f>
        <v/>
      </c>
      <c r="AM2461" s="20"/>
      <c r="AN2461" s="11"/>
      <c r="AQ2461" s="14" t="s">
        <v>2406</v>
      </c>
      <c r="AR2461" t="s">
        <v>2405</v>
      </c>
    </row>
    <row r="2462" spans="5:44">
      <c r="E2462" s="11"/>
      <c r="F24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2" s="13" t="s">
        <v>337</v>
      </c>
      <c r="H2462" s="13" t="s">
        <v>2988</v>
      </c>
      <c r="I2462" s="12" t="str">
        <f>Table1[[#This Row],[type]]</f>
        <v>ribbon</v>
      </c>
      <c r="J2462" s="62" t="str">
        <f>Table1[[#This Row],[Column42]]&amp;IF(Table1[[#This Row],[Column13]]="","",Table1[[#This Row],[Column13]])&amp;IF(Table1[[#This Row],[mod]]="","",Table1[[#This Row],[mod]])</f>
        <v>ribbon__slot__bottom--vertical</v>
      </c>
      <c r="K24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ribbon__slot__bottom</v>
      </c>
      <c r="L2462" t="s">
        <v>3139</v>
      </c>
      <c r="M2462" t="s">
        <v>3212</v>
      </c>
      <c r="N2462" t="s">
        <v>3186</v>
      </c>
      <c r="P2462" s="14" t="s">
        <v>2414</v>
      </c>
      <c r="Q24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462" t="s">
        <v>2943</v>
      </c>
      <c r="AB2462" s="29"/>
      <c r="AC2462" s="25"/>
      <c r="AD2462" s="41"/>
      <c r="AE2462" s="41"/>
      <c r="AF2462" s="11"/>
      <c r="AH2462" s="1" t="str">
        <f>Table1[[#This Row],[html_tag]]&amp;Table1[[#This Row],[html_type]]&amp;Table1[[#This Row],[html_modifier]]</f>
        <v/>
      </c>
      <c r="AL2462" s="22" t="str">
        <f>IFERROR(_xlfn.XLOOKUP(Table1[[#This Row],[word]],Table57[English style name],Table57[Style type]),"")</f>
        <v/>
      </c>
      <c r="AM2462" s="20"/>
      <c r="AN2462" s="11"/>
      <c r="AQ2462" s="14" t="s">
        <v>2414</v>
      </c>
      <c r="AR2462" t="s">
        <v>2408</v>
      </c>
    </row>
    <row r="2463" spans="5:44">
      <c r="E2463" s="11"/>
      <c r="F24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3" s="13" t="s">
        <v>337</v>
      </c>
      <c r="H2463" s="13" t="s">
        <v>2988</v>
      </c>
      <c r="I2463" s="12" t="str">
        <f>Table1[[#This Row],[type]]</f>
        <v>ribbon</v>
      </c>
      <c r="J2463" s="62" t="str">
        <f>Table1[[#This Row],[Column42]]&amp;IF(Table1[[#This Row],[Column13]]="","",Table1[[#This Row],[Column13]])&amp;IF(Table1[[#This Row],[mod]]="","",Table1[[#This Row],[mod]])</f>
        <v>ribbon__slot__center--horizontal</v>
      </c>
      <c r="K24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ribbon__slot__center</v>
      </c>
      <c r="L2463" t="s">
        <v>3139</v>
      </c>
      <c r="M2463" t="s">
        <v>3212</v>
      </c>
      <c r="N2463" t="s">
        <v>425</v>
      </c>
      <c r="P2463" s="14" t="s">
        <v>2410</v>
      </c>
      <c r="Q24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63" t="s">
        <v>3205</v>
      </c>
      <c r="AB2463" s="29"/>
      <c r="AC2463" s="25"/>
      <c r="AD2463" s="41"/>
      <c r="AE2463" s="41"/>
      <c r="AF2463" s="11"/>
      <c r="AH2463" s="1" t="str">
        <f>Table1[[#This Row],[html_tag]]&amp;Table1[[#This Row],[html_type]]&amp;Table1[[#This Row],[html_modifier]]</f>
        <v/>
      </c>
      <c r="AL2463" s="22" t="str">
        <f>IFERROR(_xlfn.XLOOKUP(Table1[[#This Row],[word]],Table57[English style name],Table57[Style type]),"")</f>
        <v/>
      </c>
      <c r="AM2463" s="20"/>
      <c r="AN2463" s="11"/>
      <c r="AQ2463" s="14" t="s">
        <v>2410</v>
      </c>
      <c r="AR2463" t="s">
        <v>2408</v>
      </c>
    </row>
    <row r="2464" spans="5:44">
      <c r="E2464" s="11"/>
      <c r="F24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4" s="13" t="s">
        <v>337</v>
      </c>
      <c r="H2464" s="13" t="s">
        <v>2988</v>
      </c>
      <c r="I2464" s="12" t="str">
        <f>Table1[[#This Row],[type]]</f>
        <v>ribbon</v>
      </c>
      <c r="J2464" s="62" t="str">
        <f>Table1[[#This Row],[Column42]]&amp;IF(Table1[[#This Row],[Column13]]="","",Table1[[#This Row],[Column13]])&amp;IF(Table1[[#This Row],[mod]]="","",Table1[[#This Row],[mod]])</f>
        <v>ribbon__slot__center--vertical</v>
      </c>
      <c r="K24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ribbon__slot__center</v>
      </c>
      <c r="L2464" t="s">
        <v>3139</v>
      </c>
      <c r="M2464" t="s">
        <v>3212</v>
      </c>
      <c r="N2464" t="s">
        <v>425</v>
      </c>
      <c r="P2464" s="14" t="s">
        <v>2415</v>
      </c>
      <c r="Q24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464" t="s">
        <v>2943</v>
      </c>
      <c r="AB2464" s="29"/>
      <c r="AC2464" s="25"/>
      <c r="AD2464" s="41"/>
      <c r="AE2464" s="41"/>
      <c r="AF2464" s="11"/>
      <c r="AH2464" s="1" t="str">
        <f>Table1[[#This Row],[html_tag]]&amp;Table1[[#This Row],[html_type]]&amp;Table1[[#This Row],[html_modifier]]</f>
        <v/>
      </c>
      <c r="AL2464" s="22" t="str">
        <f>IFERROR(_xlfn.XLOOKUP(Table1[[#This Row],[word]],Table57[English style name],Table57[Style type]),"")</f>
        <v/>
      </c>
      <c r="AM2464" s="20"/>
      <c r="AN2464" s="11"/>
      <c r="AQ2464" s="14" t="s">
        <v>2415</v>
      </c>
      <c r="AR2464" t="s">
        <v>2408</v>
      </c>
    </row>
    <row r="2465" spans="5:44">
      <c r="E2465" s="11"/>
      <c r="F24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5" s="13" t="s">
        <v>337</v>
      </c>
      <c r="H2465" s="13" t="s">
        <v>2988</v>
      </c>
      <c r="I2465" s="12" t="str">
        <f>Table1[[#This Row],[type]]</f>
        <v>ribbon</v>
      </c>
      <c r="J2465" s="62" t="str">
        <f>Table1[[#This Row],[Column42]]&amp;IF(Table1[[#This Row],[Column13]]="","",Table1[[#This Row],[Column13]])&amp;IF(Table1[[#This Row],[mod]]="","",Table1[[#This Row],[mod]])</f>
        <v>ribbon__slot__left--horizontal</v>
      </c>
      <c r="K24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ribbon__slot__left</v>
      </c>
      <c r="L2465" t="s">
        <v>3139</v>
      </c>
      <c r="M2465" t="s">
        <v>3212</v>
      </c>
      <c r="N2465" s="3" t="s">
        <v>616</v>
      </c>
      <c r="P2465" s="14" t="s">
        <v>2411</v>
      </c>
      <c r="Q24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65" t="s">
        <v>3205</v>
      </c>
      <c r="AB2465" s="29"/>
      <c r="AC2465" s="25"/>
      <c r="AD2465" s="41"/>
      <c r="AE2465" s="41"/>
      <c r="AF2465" s="11"/>
      <c r="AH2465" s="1" t="str">
        <f>Table1[[#This Row],[html_tag]]&amp;Table1[[#This Row],[html_type]]&amp;Table1[[#This Row],[html_modifier]]</f>
        <v/>
      </c>
      <c r="AL2465" s="22" t="str">
        <f>IFERROR(_xlfn.XLOOKUP(Table1[[#This Row],[word]],Table57[English style name],Table57[Style type]),"")</f>
        <v/>
      </c>
      <c r="AM2465" s="20"/>
      <c r="AN2465" s="11"/>
      <c r="AQ2465" s="14" t="s">
        <v>2411</v>
      </c>
      <c r="AR2465" t="s">
        <v>2408</v>
      </c>
    </row>
    <row r="2466" spans="5:44">
      <c r="E2466" s="11"/>
      <c r="F24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6" s="13" t="s">
        <v>337</v>
      </c>
      <c r="H2466" s="13" t="s">
        <v>2988</v>
      </c>
      <c r="I2466" s="12" t="str">
        <f>Table1[[#This Row],[type]]</f>
        <v>ribbon</v>
      </c>
      <c r="J2466" s="62" t="str">
        <f>Table1[[#This Row],[Column42]]&amp;IF(Table1[[#This Row],[Column13]]="","",Table1[[#This Row],[Column13]])&amp;IF(Table1[[#This Row],[mod]]="","",Table1[[#This Row],[mod]])</f>
        <v>ribbon__slot__right--horizontal</v>
      </c>
      <c r="K24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ribbon__slot__right</v>
      </c>
      <c r="L2466" t="s">
        <v>3139</v>
      </c>
      <c r="M2466" t="s">
        <v>3212</v>
      </c>
      <c r="N2466" t="s">
        <v>617</v>
      </c>
      <c r="P2466" s="14" t="s">
        <v>2412</v>
      </c>
      <c r="Q24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66" t="s">
        <v>3205</v>
      </c>
      <c r="AB2466" s="29"/>
      <c r="AC2466" s="25"/>
      <c r="AD2466" s="41"/>
      <c r="AE2466" s="41"/>
      <c r="AF2466" s="11"/>
      <c r="AH2466" s="1" t="str">
        <f>Table1[[#This Row],[html_tag]]&amp;Table1[[#This Row],[html_type]]&amp;Table1[[#This Row],[html_modifier]]</f>
        <v/>
      </c>
      <c r="AL2466" s="22" t="str">
        <f>IFERROR(_xlfn.XLOOKUP(Table1[[#This Row],[word]],Table57[English style name],Table57[Style type]),"")</f>
        <v/>
      </c>
      <c r="AM2466" s="20"/>
      <c r="AN2466" s="11"/>
      <c r="AQ2466" s="14" t="s">
        <v>2412</v>
      </c>
      <c r="AR2466" t="s">
        <v>2408</v>
      </c>
    </row>
    <row r="2467" spans="5:44">
      <c r="E2467" s="11"/>
      <c r="F24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7" s="13" t="s">
        <v>337</v>
      </c>
      <c r="H2467" s="13" t="s">
        <v>2988</v>
      </c>
      <c r="I2467" s="12" t="str">
        <f>Table1[[#This Row],[type]]</f>
        <v>ribbon</v>
      </c>
      <c r="J2467" s="62" t="str">
        <f>Table1[[#This Row],[Column42]]&amp;IF(Table1[[#This Row],[Column13]]="","",Table1[[#This Row],[Column13]])&amp;IF(Table1[[#This Row],[mod]]="","",Table1[[#This Row],[mod]])</f>
        <v>ribbon__slot__top--vertical</v>
      </c>
      <c r="K24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ribbon__slot__top</v>
      </c>
      <c r="L2467" t="s">
        <v>3139</v>
      </c>
      <c r="M2467" t="s">
        <v>3212</v>
      </c>
      <c r="N2467" t="s">
        <v>3182</v>
      </c>
      <c r="P2467" s="14" t="s">
        <v>2416</v>
      </c>
      <c r="Q24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467" t="s">
        <v>2943</v>
      </c>
      <c r="AB2467" s="29"/>
      <c r="AC2467" s="25"/>
      <c r="AD2467" s="41"/>
      <c r="AE2467" s="41"/>
      <c r="AF2467" s="11"/>
      <c r="AH2467" s="1" t="str">
        <f>Table1[[#This Row],[html_tag]]&amp;Table1[[#This Row],[html_type]]&amp;Table1[[#This Row],[html_modifier]]</f>
        <v/>
      </c>
      <c r="AL2467" s="22" t="str">
        <f>IFERROR(_xlfn.XLOOKUP(Table1[[#This Row],[word]],Table57[English style name],Table57[Style type]),"")</f>
        <v/>
      </c>
      <c r="AM2467" s="20"/>
      <c r="AN2467" s="11"/>
      <c r="AQ2467" s="14" t="s">
        <v>2416</v>
      </c>
      <c r="AR2467" t="s">
        <v>2408</v>
      </c>
    </row>
    <row r="2468" spans="5:44">
      <c r="E2468" s="11"/>
      <c r="F24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8" s="13" t="s">
        <v>337</v>
      </c>
      <c r="H2468" s="13" t="s">
        <v>2988</v>
      </c>
      <c r="I2468" s="12" t="str">
        <f>Table1[[#This Row],[type]]</f>
        <v>ribbon</v>
      </c>
      <c r="J2468" s="62" t="str">
        <f>Table1[[#This Row],[Column42]]&amp;IF(Table1[[#This Row],[Column13]]="","",Table1[[#This Row],[Column13]])&amp;IF(Table1[[#This Row],[mod]]="","",Table1[[#This Row],[mod]])</f>
        <v>ribbon__slot--base</v>
      </c>
      <c r="K24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</v>
      </c>
      <c r="L2468" t="s">
        <v>3139</v>
      </c>
      <c r="M2468" t="s">
        <v>3212</v>
      </c>
      <c r="P2468" s="14" t="s">
        <v>2407</v>
      </c>
      <c r="Q24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68" t="s">
        <v>338</v>
      </c>
      <c r="AB2468" s="29"/>
      <c r="AC2468" s="25"/>
      <c r="AD2468" s="41"/>
      <c r="AE2468" s="41"/>
      <c r="AF2468" s="11"/>
      <c r="AH2468" s="1" t="str">
        <f>Table1[[#This Row],[html_tag]]&amp;Table1[[#This Row],[html_type]]&amp;Table1[[#This Row],[html_modifier]]</f>
        <v/>
      </c>
      <c r="AL2468" s="22" t="str">
        <f>IFERROR(_xlfn.XLOOKUP(Table1[[#This Row],[word]],Table57[English style name],Table57[Style type]),"")</f>
        <v/>
      </c>
      <c r="AM2468" s="20"/>
      <c r="AN2468" s="11"/>
      <c r="AQ2468" s="14" t="s">
        <v>2407</v>
      </c>
      <c r="AR2468" t="s">
        <v>2408</v>
      </c>
    </row>
    <row r="2469" spans="5:44">
      <c r="E2469" s="11"/>
      <c r="F24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9" s="13" t="s">
        <v>337</v>
      </c>
      <c r="H2469" s="13" t="s">
        <v>2988</v>
      </c>
      <c r="I2469" s="12" t="str">
        <f>Table1[[#This Row],[type]]</f>
        <v>ribbon</v>
      </c>
      <c r="J2469" s="62" t="str">
        <f>Table1[[#This Row],[Column42]]&amp;IF(Table1[[#This Row],[Column13]]="","",Table1[[#This Row],[Column13]])&amp;IF(Table1[[#This Row],[mod]]="","",Table1[[#This Row],[mod]])</f>
        <v>ribbon__slot--horizontal</v>
      </c>
      <c r="K24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</v>
      </c>
      <c r="L2469" t="s">
        <v>3139</v>
      </c>
      <c r="M2469" t="s">
        <v>3212</v>
      </c>
      <c r="P2469" s="14" t="s">
        <v>2409</v>
      </c>
      <c r="Q24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69" t="s">
        <v>3205</v>
      </c>
      <c r="AB2469" s="29"/>
      <c r="AC2469" s="25"/>
      <c r="AD2469" s="41"/>
      <c r="AE2469" s="41"/>
      <c r="AF2469" s="11"/>
      <c r="AH2469" s="1" t="str">
        <f>Table1[[#This Row],[html_tag]]&amp;Table1[[#This Row],[html_type]]&amp;Table1[[#This Row],[html_modifier]]</f>
        <v/>
      </c>
      <c r="AL2469" s="22" t="str">
        <f>IFERROR(_xlfn.XLOOKUP(Table1[[#This Row],[word]],Table57[English style name],Table57[Style type]),"")</f>
        <v/>
      </c>
      <c r="AM2469" s="20"/>
      <c r="AN2469" s="11"/>
      <c r="AQ2469" s="14" t="s">
        <v>2409</v>
      </c>
      <c r="AR2469" t="s">
        <v>2408</v>
      </c>
    </row>
    <row r="2470" spans="5:44">
      <c r="E2470" s="11"/>
      <c r="F24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0" s="13" t="s">
        <v>337</v>
      </c>
      <c r="H2470" s="13" t="s">
        <v>2988</v>
      </c>
      <c r="I2470" s="12" t="str">
        <f>Table1[[#This Row],[type]]</f>
        <v>ribbon</v>
      </c>
      <c r="J2470" s="62" t="str">
        <f>Table1[[#This Row],[Column42]]&amp;IF(Table1[[#This Row],[Column13]]="","",Table1[[#This Row],[Column13]])&amp;IF(Table1[[#This Row],[mod]]="","",Table1[[#This Row],[mod]])</f>
        <v>ribbon__slot--vertical</v>
      </c>
      <c r="K24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</v>
      </c>
      <c r="L2470" t="s">
        <v>3139</v>
      </c>
      <c r="M2470" t="s">
        <v>3212</v>
      </c>
      <c r="P2470" s="14" t="s">
        <v>2413</v>
      </c>
      <c r="Q24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470" t="s">
        <v>2943</v>
      </c>
      <c r="AB2470" s="29"/>
      <c r="AC2470" s="25"/>
      <c r="AD2470" s="41"/>
      <c r="AE2470" s="41"/>
      <c r="AF2470" s="11"/>
      <c r="AH2470" s="1" t="str">
        <f>Table1[[#This Row],[html_tag]]&amp;Table1[[#This Row],[html_type]]&amp;Table1[[#This Row],[html_modifier]]</f>
        <v/>
      </c>
      <c r="AL2470" s="22" t="str">
        <f>IFERROR(_xlfn.XLOOKUP(Table1[[#This Row],[word]],Table57[English style name],Table57[Style type]),"")</f>
        <v/>
      </c>
      <c r="AM2470" s="20"/>
      <c r="AN2470" s="11"/>
      <c r="AQ2470" s="14" t="s">
        <v>2413</v>
      </c>
      <c r="AR2470" t="s">
        <v>2408</v>
      </c>
    </row>
    <row r="2471" spans="5:44">
      <c r="E2471" s="11"/>
      <c r="F24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71" s="13"/>
      <c r="H2471" s="13"/>
      <c r="I2471" s="12" t="str">
        <f>Table1[[#This Row],[type]]</f>
        <v>ribbon</v>
      </c>
      <c r="J2471" s="62" t="str">
        <f>Table1[[#This Row],[Column42]]&amp;IF(Table1[[#This Row],[Column13]]="","",Table1[[#This Row],[Column13]])&amp;IF(Table1[[#This Row],[mod]]="","",Table1[[#This Row],[mod]])</f>
        <v>ribbon__start</v>
      </c>
      <c r="K24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ribbon__start</v>
      </c>
      <c r="L2471" t="s">
        <v>3139</v>
      </c>
      <c r="N2471" t="s">
        <v>3193</v>
      </c>
      <c r="Q24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1" s="29"/>
      <c r="AC2471" s="25"/>
      <c r="AD2471" s="41" t="s">
        <v>4402</v>
      </c>
      <c r="AE2471" s="41"/>
      <c r="AF2471" s="11"/>
      <c r="AH2471" s="7" t="str">
        <f>Table1[[#This Row],[html_tag]]&amp;Table1[[#This Row],[html_type]]&amp;Table1[[#This Row],[html_modifier]]</f>
        <v/>
      </c>
      <c r="AL2471" s="23" t="str">
        <f>IFERROR(_xlfn.XLOOKUP(Table1[[#This Row],[word]],Table57[English style name],Table57[Style type]),"")</f>
        <v/>
      </c>
      <c r="AM2471" s="21"/>
      <c r="AN2471" s="11"/>
    </row>
    <row r="2472" spans="5:44">
      <c r="E2472" s="11"/>
      <c r="F24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2" s="13" t="s">
        <v>337</v>
      </c>
      <c r="H2472" s="13" t="s">
        <v>2988</v>
      </c>
      <c r="I2472" s="12" t="str">
        <f>Table1[[#This Row],[type]]</f>
        <v>ribbon</v>
      </c>
      <c r="J2472" s="62" t="str">
        <f>Table1[[#This Row],[Column42]]&amp;IF(Table1[[#This Row],[Column13]]="","",Table1[[#This Row],[Column13]])&amp;IF(Table1[[#This Row],[mod]]="","",Table1[[#This Row],[mod]])</f>
        <v>ribbon__title</v>
      </c>
      <c r="K24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</v>
      </c>
      <c r="L2472" t="s">
        <v>3139</v>
      </c>
      <c r="M2472" t="s">
        <v>333</v>
      </c>
      <c r="P2472" s="6"/>
      <c r="Q24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2" s="29"/>
      <c r="AC2472" s="25"/>
      <c r="AD2472" s="41"/>
      <c r="AE2472" s="41"/>
      <c r="AF2472" s="11"/>
      <c r="AH2472" s="1" t="str">
        <f>Table1[[#This Row],[html_tag]]&amp;Table1[[#This Row],[html_type]]&amp;Table1[[#This Row],[html_modifier]]</f>
        <v/>
      </c>
      <c r="AL2472" s="22" t="str">
        <f>IFERROR(_xlfn.XLOOKUP(Table1[[#This Row],[word]],Table57[English style name],Table57[Style type]),"")</f>
        <v/>
      </c>
      <c r="AM2472" s="20"/>
      <c r="AN2472" s="11"/>
      <c r="AQ2472" s="6" t="s">
        <v>2420</v>
      </c>
      <c r="AR2472" t="s">
        <v>2418</v>
      </c>
    </row>
    <row r="2473" spans="5:44">
      <c r="E2473" s="11"/>
      <c r="F24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3" s="13" t="s">
        <v>337</v>
      </c>
      <c r="H2473" s="13" t="s">
        <v>2988</v>
      </c>
      <c r="I2473" s="12" t="str">
        <f>Table1[[#This Row],[type]]</f>
        <v>ribbon</v>
      </c>
      <c r="J2473" s="62" t="str">
        <f>Table1[[#This Row],[Column42]]&amp;IF(Table1[[#This Row],[Column13]]="","",Table1[[#This Row],[Column13]])&amp;IF(Table1[[#This Row],[mod]]="","",Table1[[#This Row],[mod]])</f>
        <v>ribbon__title</v>
      </c>
      <c r="K24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</v>
      </c>
      <c r="L2473" t="s">
        <v>3139</v>
      </c>
      <c r="M2473" t="s">
        <v>333</v>
      </c>
      <c r="P2473" s="6"/>
      <c r="Q24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3" s="29"/>
      <c r="AC2473" s="25"/>
      <c r="AD2473" s="41"/>
      <c r="AE2473" s="41"/>
      <c r="AF2473" s="11"/>
      <c r="AH2473" s="1" t="str">
        <f>Table1[[#This Row],[html_tag]]&amp;Table1[[#This Row],[html_type]]&amp;Table1[[#This Row],[html_modifier]]</f>
        <v/>
      </c>
      <c r="AL2473" s="22" t="str">
        <f>IFERROR(_xlfn.XLOOKUP(Table1[[#This Row],[word]],Table57[English style name],Table57[Style type]),"")</f>
        <v/>
      </c>
      <c r="AM2473" s="20"/>
      <c r="AN2473" s="11"/>
      <c r="AQ2473" s="6" t="s">
        <v>2419</v>
      </c>
      <c r="AR2473" t="s">
        <v>2418</v>
      </c>
    </row>
    <row r="2474" spans="5:44">
      <c r="E2474" s="11"/>
      <c r="F24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4" s="13" t="s">
        <v>337</v>
      </c>
      <c r="H2474" s="13" t="s">
        <v>2988</v>
      </c>
      <c r="I2474" s="12" t="str">
        <f>Table1[[#This Row],[type]]</f>
        <v>ribbon</v>
      </c>
      <c r="J2474" s="62" t="str">
        <f>Table1[[#This Row],[Column42]]&amp;IF(Table1[[#This Row],[Column13]]="","",Table1[[#This Row],[Column13]])&amp;IF(Table1[[#This Row],[mod]]="","",Table1[[#This Row],[mod]])</f>
        <v>ribbon__title</v>
      </c>
      <c r="K24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</v>
      </c>
      <c r="L2474" t="s">
        <v>3139</v>
      </c>
      <c r="M2474" t="s">
        <v>333</v>
      </c>
      <c r="P2474" s="6"/>
      <c r="Q24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4" s="29"/>
      <c r="AC2474" s="25"/>
      <c r="AD2474" s="41"/>
      <c r="AE2474" s="41"/>
      <c r="AF2474" s="11"/>
      <c r="AH2474" s="1" t="str">
        <f>Table1[[#This Row],[html_tag]]&amp;Table1[[#This Row],[html_type]]&amp;Table1[[#This Row],[html_modifier]]</f>
        <v/>
      </c>
      <c r="AL2474" s="22" t="str">
        <f>IFERROR(_xlfn.XLOOKUP(Table1[[#This Row],[word]],Table57[English style name],Table57[Style type]),"")</f>
        <v/>
      </c>
      <c r="AM2474" s="20"/>
      <c r="AN2474" s="11"/>
      <c r="AQ2474" s="6" t="s">
        <v>2417</v>
      </c>
      <c r="AR2474" t="s">
        <v>2418</v>
      </c>
    </row>
    <row r="2475" spans="5:44">
      <c r="E2475" s="11"/>
      <c r="F24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5" s="13" t="s">
        <v>337</v>
      </c>
      <c r="H2475" s="13" t="s">
        <v>2988</v>
      </c>
      <c r="I2475" s="12" t="str">
        <f>Table1[[#This Row],[type]]</f>
        <v>ribbon</v>
      </c>
      <c r="J2475" s="62" t="str">
        <f>Table1[[#This Row],[Column42]]&amp;IF(Table1[[#This Row],[Column13]]="","",Table1[[#This Row],[Column13]])&amp;IF(Table1[[#This Row],[mod]]="","",Table1[[#This Row],[mod]])</f>
        <v>ribbon__title__icon</v>
      </c>
      <c r="K24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ribbon__title__icon</v>
      </c>
      <c r="L2475" t="s">
        <v>3139</v>
      </c>
      <c r="M2475" t="s">
        <v>333</v>
      </c>
      <c r="O2475" t="s">
        <v>3101</v>
      </c>
      <c r="P2475" s="6"/>
      <c r="Q24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5" s="29"/>
      <c r="AC2475" s="25"/>
      <c r="AD2475" s="41"/>
      <c r="AE2475" s="41"/>
      <c r="AF2475" s="11"/>
      <c r="AH2475" s="1" t="str">
        <f>Table1[[#This Row],[html_tag]]&amp;Table1[[#This Row],[html_type]]&amp;Table1[[#This Row],[html_modifier]]</f>
        <v/>
      </c>
      <c r="AL2475" s="22" t="str">
        <f>IFERROR(_xlfn.XLOOKUP(Table1[[#This Row],[word]],Table57[English style name],Table57[Style type]),"")</f>
        <v/>
      </c>
      <c r="AM2475" s="20"/>
      <c r="AN2475" s="11"/>
      <c r="AQ2475" s="6" t="s">
        <v>2421</v>
      </c>
      <c r="AR2475" t="s">
        <v>2418</v>
      </c>
    </row>
    <row r="2476" spans="5:44">
      <c r="E2476" s="11"/>
      <c r="F24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6" s="13" t="s">
        <v>337</v>
      </c>
      <c r="H2476" s="13" t="s">
        <v>2988</v>
      </c>
      <c r="I2476" s="12" t="str">
        <f>Table1[[#This Row],[type]]</f>
        <v>ribbon</v>
      </c>
      <c r="J2476" s="62" t="str">
        <f>Table1[[#This Row],[Column42]]&amp;IF(Table1[[#This Row],[Column13]]="","",Table1[[#This Row],[Column13]])&amp;IF(Table1[[#This Row],[mod]]="","",Table1[[#This Row],[mod]])</f>
        <v>ribbon__title__text</v>
      </c>
      <c r="K24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ribbon__title__text</v>
      </c>
      <c r="L2476" t="s">
        <v>3139</v>
      </c>
      <c r="M2476" t="s">
        <v>333</v>
      </c>
      <c r="O2476" t="s">
        <v>403</v>
      </c>
      <c r="P2476" s="6"/>
      <c r="Q24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6" s="29"/>
      <c r="AC2476" s="25"/>
      <c r="AD2476" s="41"/>
      <c r="AE2476" s="41"/>
      <c r="AF2476" s="11"/>
      <c r="AH2476" s="1" t="str">
        <f>Table1[[#This Row],[html_tag]]&amp;Table1[[#This Row],[html_type]]&amp;Table1[[#This Row],[html_modifier]]</f>
        <v/>
      </c>
      <c r="AL2476" s="22" t="str">
        <f>IFERROR(_xlfn.XLOOKUP(Table1[[#This Row],[word]],Table57[English style name],Table57[Style type]),"")</f>
        <v/>
      </c>
      <c r="AM2476" s="20"/>
      <c r="AN2476" s="11"/>
      <c r="AQ2476" s="6" t="s">
        <v>2422</v>
      </c>
      <c r="AR2476" t="s">
        <v>2418</v>
      </c>
    </row>
    <row r="2477" spans="5:44">
      <c r="E2477" s="11"/>
      <c r="F24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7" s="13" t="s">
        <v>337</v>
      </c>
      <c r="H2477" s="13" t="s">
        <v>2988</v>
      </c>
      <c r="I2477" s="12" t="str">
        <f>Table1[[#This Row],[type]]</f>
        <v>ribbon</v>
      </c>
      <c r="J2477" s="62" t="str">
        <f>Table1[[#This Row],[Column42]]&amp;IF(Table1[[#This Row],[Column13]]="","",Table1[[#This Row],[Column13]])&amp;IF(Table1[[#This Row],[mod]]="","",Table1[[#This Row],[mod]])</f>
        <v>ribbon__top</v>
      </c>
      <c r="K24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ribbon__top</v>
      </c>
      <c r="L2477" t="s">
        <v>3139</v>
      </c>
      <c r="N2477" t="s">
        <v>3182</v>
      </c>
      <c r="P2477" s="6" t="s">
        <v>2373</v>
      </c>
      <c r="Q24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7" s="29"/>
      <c r="AC2477" s="25"/>
      <c r="AD2477" s="41"/>
      <c r="AE2477" s="41"/>
      <c r="AF2477" s="11"/>
      <c r="AH2477" s="1" t="str">
        <f>Table1[[#This Row],[html_tag]]&amp;Table1[[#This Row],[html_type]]&amp;Table1[[#This Row],[html_modifier]]</f>
        <v/>
      </c>
      <c r="AL2477" s="22" t="str">
        <f>IFERROR(_xlfn.XLOOKUP(Table1[[#This Row],[word]],Table57[English style name],Table57[Style type]),"")</f>
        <v/>
      </c>
      <c r="AM2477" s="20"/>
      <c r="AN2477" s="11"/>
      <c r="AQ2477" s="6" t="s">
        <v>2373</v>
      </c>
      <c r="AR2477" t="s">
        <v>2368</v>
      </c>
    </row>
    <row r="2478" spans="5:44">
      <c r="E2478" s="11"/>
      <c r="F24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8" s="13" t="s">
        <v>337</v>
      </c>
      <c r="H2478" s="13" t="s">
        <v>2988</v>
      </c>
      <c r="I2478" s="12" t="str">
        <f>Table1[[#This Row],[type]]</f>
        <v>ribbon</v>
      </c>
      <c r="J2478" s="62" t="str">
        <f>Table1[[#This Row],[Column42]]&amp;IF(Table1[[#This Row],[Column13]]="","",Table1[[#This Row],[Column13]])&amp;IF(Table1[[#This Row],[mod]]="","",Table1[[#This Row],[mod]])</f>
        <v>ribbon--base</v>
      </c>
      <c r="K24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78" t="s">
        <v>3139</v>
      </c>
      <c r="P2478" s="6" t="s">
        <v>2375</v>
      </c>
      <c r="Q24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78" t="s">
        <v>338</v>
      </c>
      <c r="AB2478" s="29"/>
      <c r="AC2478" s="25"/>
      <c r="AD2478" s="41"/>
      <c r="AE2478" s="41"/>
      <c r="AF2478" s="11"/>
      <c r="AH2478" s="1" t="str">
        <f>Table1[[#This Row],[html_tag]]&amp;Table1[[#This Row],[html_type]]&amp;Table1[[#This Row],[html_modifier]]</f>
        <v/>
      </c>
      <c r="AL2478" s="22" t="str">
        <f>IFERROR(_xlfn.XLOOKUP(Table1[[#This Row],[word]],Table57[English style name],Table57[Style type]),"")</f>
        <v/>
      </c>
      <c r="AM2478" s="20"/>
      <c r="AN2478" s="11"/>
      <c r="AQ2478" s="6" t="s">
        <v>2375</v>
      </c>
      <c r="AR2478" t="s">
        <v>2368</v>
      </c>
    </row>
    <row r="2479" spans="5:44">
      <c r="E2479" s="11"/>
      <c r="F24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9" s="13" t="s">
        <v>337</v>
      </c>
      <c r="H2479" s="13" t="s">
        <v>2988</v>
      </c>
      <c r="I2479" s="12" t="str">
        <f>Table1[[#This Row],[type]]</f>
        <v>ribbon</v>
      </c>
      <c r="J2479" s="62" t="str">
        <f>Table1[[#This Row],[Column42]]&amp;IF(Table1[[#This Row],[Column13]]="","",Table1[[#This Row],[Column13]])&amp;IF(Table1[[#This Row],[mod]]="","",Table1[[#This Row],[mod]])</f>
        <v>ribbon--base</v>
      </c>
      <c r="K24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79" t="s">
        <v>3139</v>
      </c>
      <c r="P2479" s="6" t="s">
        <v>2399</v>
      </c>
      <c r="Q24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79" t="s">
        <v>338</v>
      </c>
      <c r="AB2479" s="29"/>
      <c r="AC2479" s="25"/>
      <c r="AD2479" s="41"/>
      <c r="AE2479" s="41"/>
      <c r="AF2479" s="11"/>
      <c r="AH2479" s="1" t="str">
        <f>Table1[[#This Row],[html_tag]]&amp;Table1[[#This Row],[html_type]]&amp;Table1[[#This Row],[html_modifier]]</f>
        <v/>
      </c>
      <c r="AL2479" s="22" t="str">
        <f>IFERROR(_xlfn.XLOOKUP(Table1[[#This Row],[word]],Table57[English style name],Table57[Style type]),"")</f>
        <v/>
      </c>
      <c r="AM2479" s="20"/>
      <c r="AN2479" s="11"/>
      <c r="AQ2479" s="6" t="s">
        <v>2399</v>
      </c>
      <c r="AR2479" t="s">
        <v>2390</v>
      </c>
    </row>
    <row r="2480" spans="5:44">
      <c r="E2480" s="11"/>
      <c r="F24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80" s="13" t="s">
        <v>337</v>
      </c>
      <c r="H2480" s="13" t="s">
        <v>2988</v>
      </c>
      <c r="I2480" s="12" t="str">
        <f>Table1[[#This Row],[type]]</f>
        <v>ribbon</v>
      </c>
      <c r="J2480" s="62" t="str">
        <f>Table1[[#This Row],[Column42]]&amp;IF(Table1[[#This Row],[Column13]]="","",Table1[[#This Row],[Column13]])&amp;IF(Table1[[#This Row],[mod]]="","",Table1[[#This Row],[mod]])</f>
        <v>ribbon--horizontal</v>
      </c>
      <c r="K24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80" t="s">
        <v>3139</v>
      </c>
      <c r="P2480" s="6" t="s">
        <v>2369</v>
      </c>
      <c r="Q24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80" t="s">
        <v>3205</v>
      </c>
      <c r="AB2480" s="29"/>
      <c r="AC2480" s="25"/>
      <c r="AD2480" s="41"/>
      <c r="AE2480" s="41"/>
      <c r="AF2480" s="11"/>
      <c r="AH2480" s="1" t="str">
        <f>Table1[[#This Row],[html_tag]]&amp;Table1[[#This Row],[html_type]]&amp;Table1[[#This Row],[html_modifier]]</f>
        <v/>
      </c>
      <c r="AL2480" s="22" t="str">
        <f>IFERROR(_xlfn.XLOOKUP(Table1[[#This Row],[word]],Table57[English style name],Table57[Style type]),"")</f>
        <v/>
      </c>
      <c r="AM2480" s="20"/>
      <c r="AN2480" s="11"/>
      <c r="AQ2480" s="6" t="s">
        <v>2369</v>
      </c>
      <c r="AR2480" t="s">
        <v>2368</v>
      </c>
    </row>
    <row r="2481" spans="5:44">
      <c r="E2481" s="11"/>
      <c r="F24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81" s="13" t="s">
        <v>337</v>
      </c>
      <c r="H2481" s="13" t="s">
        <v>2988</v>
      </c>
      <c r="I2481" s="12" t="str">
        <f>Table1[[#This Row],[type]]</f>
        <v>ribbon</v>
      </c>
      <c r="J2481" s="62" t="str">
        <f>Table1[[#This Row],[Column42]]&amp;IF(Table1[[#This Row],[Column13]]="","",Table1[[#This Row],[Column13]])&amp;IF(Table1[[#This Row],[mod]]="","",Table1[[#This Row],[mod]])</f>
        <v>ribbon--vertical</v>
      </c>
      <c r="K24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81" t="s">
        <v>3139</v>
      </c>
      <c r="P2481" s="6" t="s">
        <v>2374</v>
      </c>
      <c r="Q24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481" t="s">
        <v>2943</v>
      </c>
      <c r="AB2481" s="29"/>
      <c r="AC2481" s="25"/>
      <c r="AD2481" s="41"/>
      <c r="AE2481" s="41"/>
      <c r="AF2481" s="11"/>
      <c r="AH2481" s="1" t="str">
        <f>Table1[[#This Row],[html_tag]]&amp;Table1[[#This Row],[html_type]]&amp;Table1[[#This Row],[html_modifier]]</f>
        <v/>
      </c>
      <c r="AL2481" s="22" t="str">
        <f>IFERROR(_xlfn.XLOOKUP(Table1[[#This Row],[word]],Table57[English style name],Table57[Style type]),"")</f>
        <v/>
      </c>
      <c r="AM2481" s="20"/>
      <c r="AN2481" s="11"/>
      <c r="AQ2481" s="6" t="s">
        <v>2374</v>
      </c>
      <c r="AR2481" t="s">
        <v>2368</v>
      </c>
    </row>
    <row r="2482" spans="5:44">
      <c r="E2482" s="11"/>
      <c r="F24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2" s="13" t="s">
        <v>2992</v>
      </c>
      <c r="H2482" s="13" t="s">
        <v>2993</v>
      </c>
      <c r="I2482" s="12" t="str">
        <f>Table1[[#This Row],[type]]</f>
        <v>rule</v>
      </c>
      <c r="J2482" s="62" t="str">
        <f>Table1[[#This Row],[Column42]]&amp;IF(Table1[[#This Row],[Column13]]="","",Table1[[#This Row],[Column13]])&amp;IF(Table1[[#This Row],[mod]]="","",Table1[[#This Row],[mod]])</f>
        <v>rule</v>
      </c>
      <c r="K24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2" t="s">
        <v>3137</v>
      </c>
      <c r="P2482" s="6" t="s">
        <v>2425</v>
      </c>
      <c r="Q24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2" s="29"/>
      <c r="AC2482" s="25"/>
      <c r="AD2482" s="41"/>
      <c r="AE2482" s="41"/>
      <c r="AF2482" s="11"/>
      <c r="AH2482" s="1" t="str">
        <f>Table1[[#This Row],[html_tag]]&amp;Table1[[#This Row],[html_type]]&amp;Table1[[#This Row],[html_modifier]]</f>
        <v/>
      </c>
      <c r="AL2482" s="22" t="str">
        <f>IFERROR(_xlfn.XLOOKUP(Table1[[#This Row],[word]],Table57[English style name],Table57[Style type]),"")</f>
        <v/>
      </c>
      <c r="AM2482" s="20"/>
      <c r="AN2482" s="11"/>
      <c r="AQ2482" s="6" t="s">
        <v>2425</v>
      </c>
      <c r="AR2482" t="s">
        <v>2424</v>
      </c>
    </row>
    <row r="2483" spans="5:44">
      <c r="E2483" s="11"/>
      <c r="F24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3" s="13" t="s">
        <v>2992</v>
      </c>
      <c r="H2483" s="13" t="s">
        <v>2993</v>
      </c>
      <c r="I2483" s="12" t="str">
        <f>Table1[[#This Row],[type]]</f>
        <v>rule</v>
      </c>
      <c r="J2483" s="62" t="str">
        <f>Table1[[#This Row],[Column42]]&amp;IF(Table1[[#This Row],[Column13]]="","",Table1[[#This Row],[Column13]])&amp;IF(Table1[[#This Row],[mod]]="","",Table1[[#This Row],[mod]])</f>
        <v>rule</v>
      </c>
      <c r="K24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3" t="s">
        <v>3137</v>
      </c>
      <c r="P2483" s="6" t="s">
        <v>2426</v>
      </c>
      <c r="Q24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3" s="29"/>
      <c r="AC2483" s="25"/>
      <c r="AD2483" s="41"/>
      <c r="AE2483" s="41"/>
      <c r="AF2483" s="11"/>
      <c r="AH2483" s="1" t="str">
        <f>Table1[[#This Row],[html_tag]]&amp;Table1[[#This Row],[html_type]]&amp;Table1[[#This Row],[html_modifier]]</f>
        <v/>
      </c>
      <c r="AL2483" s="22" t="str">
        <f>IFERROR(_xlfn.XLOOKUP(Table1[[#This Row],[word]],Table57[English style name],Table57[Style type]),"")</f>
        <v/>
      </c>
      <c r="AM2483" s="20"/>
      <c r="AN2483" s="11"/>
      <c r="AQ2483" s="6" t="s">
        <v>2426</v>
      </c>
      <c r="AR2483" t="s">
        <v>2424</v>
      </c>
    </row>
    <row r="2484" spans="5:44">
      <c r="E2484" s="11"/>
      <c r="F24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4" s="13" t="s">
        <v>2992</v>
      </c>
      <c r="H2484" s="13" t="s">
        <v>2993</v>
      </c>
      <c r="I2484" s="12" t="str">
        <f>Table1[[#This Row],[type]]</f>
        <v>rule</v>
      </c>
      <c r="J2484" s="62" t="str">
        <f>Table1[[#This Row],[Column42]]&amp;IF(Table1[[#This Row],[Column13]]="","",Table1[[#This Row],[Column13]])&amp;IF(Table1[[#This Row],[mod]]="","",Table1[[#This Row],[mod]])</f>
        <v>rule</v>
      </c>
      <c r="K24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4" t="s">
        <v>3137</v>
      </c>
      <c r="P2484" s="6" t="s">
        <v>2428</v>
      </c>
      <c r="Q24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4" s="29"/>
      <c r="AC2484" s="25"/>
      <c r="AD2484" s="41"/>
      <c r="AE2484" s="41"/>
      <c r="AF2484" s="11"/>
      <c r="AH2484" s="1" t="str">
        <f>Table1[[#This Row],[html_tag]]&amp;Table1[[#This Row],[html_type]]&amp;Table1[[#This Row],[html_modifier]]</f>
        <v/>
      </c>
      <c r="AL2484" s="22" t="str">
        <f>IFERROR(_xlfn.XLOOKUP(Table1[[#This Row],[word]],Table57[English style name],Table57[Style type]),"")</f>
        <v/>
      </c>
      <c r="AM2484" s="20"/>
      <c r="AN2484" s="11"/>
      <c r="AQ2484" s="6" t="s">
        <v>2428</v>
      </c>
      <c r="AR2484" t="s">
        <v>2424</v>
      </c>
    </row>
    <row r="2485" spans="5:44">
      <c r="E2485" s="11"/>
      <c r="F24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5" s="13" t="s">
        <v>2992</v>
      </c>
      <c r="H2485" s="13" t="s">
        <v>2993</v>
      </c>
      <c r="I2485" s="12" t="str">
        <f>Table1[[#This Row],[type]]</f>
        <v>rule</v>
      </c>
      <c r="J2485" s="62" t="str">
        <f>Table1[[#This Row],[Column42]]&amp;IF(Table1[[#This Row],[Column13]]="","",Table1[[#This Row],[Column13]])&amp;IF(Table1[[#This Row],[mod]]="","",Table1[[#This Row],[mod]])</f>
        <v>rule</v>
      </c>
      <c r="K24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5" t="s">
        <v>3137</v>
      </c>
      <c r="P2485" s="6" t="s">
        <v>2429</v>
      </c>
      <c r="Q24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5" s="29"/>
      <c r="AC2485" s="25"/>
      <c r="AD2485" s="41"/>
      <c r="AE2485" s="41"/>
      <c r="AF2485" s="11"/>
      <c r="AH2485" s="1" t="str">
        <f>Table1[[#This Row],[html_tag]]&amp;Table1[[#This Row],[html_type]]&amp;Table1[[#This Row],[html_modifier]]</f>
        <v/>
      </c>
      <c r="AL2485" s="22" t="str">
        <f>IFERROR(_xlfn.XLOOKUP(Table1[[#This Row],[word]],Table57[English style name],Table57[Style type]),"")</f>
        <v/>
      </c>
      <c r="AM2485" s="20"/>
      <c r="AN2485" s="11"/>
      <c r="AQ2485" s="6" t="s">
        <v>2429</v>
      </c>
      <c r="AR2485" t="s">
        <v>2424</v>
      </c>
    </row>
    <row r="2486" spans="5:44">
      <c r="E2486" s="11"/>
      <c r="F24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6" s="13" t="s">
        <v>2992</v>
      </c>
      <c r="H2486" s="13" t="s">
        <v>2993</v>
      </c>
      <c r="I2486" s="12" t="str">
        <f>Table1[[#This Row],[type]]</f>
        <v>rule</v>
      </c>
      <c r="J2486" s="62" t="str">
        <f>Table1[[#This Row],[Column42]]&amp;IF(Table1[[#This Row],[Column13]]="","",Table1[[#This Row],[Column13]])&amp;IF(Table1[[#This Row],[mod]]="","",Table1[[#This Row],[mod]])</f>
        <v>rule</v>
      </c>
      <c r="K24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6" t="s">
        <v>3137</v>
      </c>
      <c r="P2486" s="6" t="s">
        <v>2430</v>
      </c>
      <c r="Q24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6" s="29"/>
      <c r="AC2486" s="25"/>
      <c r="AD2486" s="41"/>
      <c r="AE2486" s="41"/>
      <c r="AF2486" s="11"/>
      <c r="AH2486" s="1" t="str">
        <f>Table1[[#This Row],[html_tag]]&amp;Table1[[#This Row],[html_type]]&amp;Table1[[#This Row],[html_modifier]]</f>
        <v/>
      </c>
      <c r="AL2486" s="22" t="str">
        <f>IFERROR(_xlfn.XLOOKUP(Table1[[#This Row],[word]],Table57[English style name],Table57[Style type]),"")</f>
        <v/>
      </c>
      <c r="AM2486" s="20"/>
      <c r="AN2486" s="11"/>
      <c r="AQ2486" s="6" t="s">
        <v>2430</v>
      </c>
      <c r="AR2486" t="s">
        <v>2424</v>
      </c>
    </row>
    <row r="2487" spans="5:44">
      <c r="E2487" s="11"/>
      <c r="F24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7" s="13" t="s">
        <v>2992</v>
      </c>
      <c r="H2487" s="13" t="s">
        <v>2993</v>
      </c>
      <c r="I2487" s="12" t="str">
        <f>Table1[[#This Row],[type]]</f>
        <v>rule</v>
      </c>
      <c r="J2487" s="62" t="str">
        <f>Table1[[#This Row],[Column42]]&amp;IF(Table1[[#This Row],[Column13]]="","",Table1[[#This Row],[Column13]])&amp;IF(Table1[[#This Row],[mod]]="","",Table1[[#This Row],[mod]])</f>
        <v>rule</v>
      </c>
      <c r="K24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7" t="s">
        <v>3137</v>
      </c>
      <c r="P2487" s="6" t="s">
        <v>2431</v>
      </c>
      <c r="Q24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7" s="29"/>
      <c r="AC2487" s="25"/>
      <c r="AD2487" s="41"/>
      <c r="AE2487" s="41"/>
      <c r="AF2487" s="11"/>
      <c r="AH2487" s="1" t="str">
        <f>Table1[[#This Row],[html_tag]]&amp;Table1[[#This Row],[html_type]]&amp;Table1[[#This Row],[html_modifier]]</f>
        <v/>
      </c>
      <c r="AL2487" s="22" t="str">
        <f>IFERROR(_xlfn.XLOOKUP(Table1[[#This Row],[word]],Table57[English style name],Table57[Style type]),"")</f>
        <v/>
      </c>
      <c r="AM2487" s="20"/>
      <c r="AN2487" s="11"/>
      <c r="AQ2487" s="6" t="s">
        <v>2431</v>
      </c>
      <c r="AR2487" t="s">
        <v>2424</v>
      </c>
    </row>
    <row r="2488" spans="5:44">
      <c r="E2488" s="11"/>
      <c r="F24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8" s="13" t="s">
        <v>2992</v>
      </c>
      <c r="H2488" s="13" t="s">
        <v>2993</v>
      </c>
      <c r="I2488" s="12" t="str">
        <f>Table1[[#This Row],[type]]</f>
        <v>rule</v>
      </c>
      <c r="J2488" s="62" t="str">
        <f>Table1[[#This Row],[Column42]]&amp;IF(Table1[[#This Row],[Column13]]="","",Table1[[#This Row],[Column13]])&amp;IF(Table1[[#This Row],[mod]]="","",Table1[[#This Row],[mod]])</f>
        <v>rule</v>
      </c>
      <c r="K24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8" t="s">
        <v>3137</v>
      </c>
      <c r="P2488" s="6" t="s">
        <v>2432</v>
      </c>
      <c r="Q24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8" s="29"/>
      <c r="AC2488" s="25"/>
      <c r="AD2488" s="41"/>
      <c r="AE2488" s="41"/>
      <c r="AF2488" s="11"/>
      <c r="AH2488" s="1" t="str">
        <f>Table1[[#This Row],[html_tag]]&amp;Table1[[#This Row],[html_type]]&amp;Table1[[#This Row],[html_modifier]]</f>
        <v/>
      </c>
      <c r="AL2488" s="22" t="str">
        <f>IFERROR(_xlfn.XLOOKUP(Table1[[#This Row],[word]],Table57[English style name],Table57[Style type]),"")</f>
        <v/>
      </c>
      <c r="AM2488" s="20"/>
      <c r="AN2488" s="11"/>
      <c r="AQ2488" s="6" t="s">
        <v>2432</v>
      </c>
      <c r="AR2488" t="s">
        <v>2424</v>
      </c>
    </row>
    <row r="2489" spans="5:44">
      <c r="E2489" s="11"/>
      <c r="F24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9" s="13" t="s">
        <v>2992</v>
      </c>
      <c r="H2489" s="13" t="s">
        <v>2993</v>
      </c>
      <c r="I2489" s="12" t="str">
        <f>Table1[[#This Row],[type]]</f>
        <v>rule</v>
      </c>
      <c r="J2489" s="62" t="str">
        <f>Table1[[#This Row],[Column42]]&amp;IF(Table1[[#This Row],[Column13]]="","",Table1[[#This Row],[Column13]])&amp;IF(Table1[[#This Row],[mod]]="","",Table1[[#This Row],[mod]])</f>
        <v>rule</v>
      </c>
      <c r="K24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9" t="s">
        <v>3137</v>
      </c>
      <c r="P2489" s="6" t="s">
        <v>2433</v>
      </c>
      <c r="Q24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9" s="29"/>
      <c r="AC2489" s="25"/>
      <c r="AD2489" s="41"/>
      <c r="AE2489" s="41"/>
      <c r="AF2489" s="11"/>
      <c r="AH2489" s="1" t="str">
        <f>Table1[[#This Row],[html_tag]]&amp;Table1[[#This Row],[html_type]]&amp;Table1[[#This Row],[html_modifier]]</f>
        <v/>
      </c>
      <c r="AL2489" s="22" t="str">
        <f>IFERROR(_xlfn.XLOOKUP(Table1[[#This Row],[word]],Table57[English style name],Table57[Style type]),"")</f>
        <v/>
      </c>
      <c r="AM2489" s="20"/>
      <c r="AN2489" s="11"/>
      <c r="AQ2489" s="6" t="s">
        <v>2433</v>
      </c>
      <c r="AR2489" t="s">
        <v>2424</v>
      </c>
    </row>
    <row r="2490" spans="5:44">
      <c r="E2490" s="11"/>
      <c r="F24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0" s="13" t="s">
        <v>2992</v>
      </c>
      <c r="H2490" s="13" t="s">
        <v>2993</v>
      </c>
      <c r="I2490" s="12" t="str">
        <f>Table1[[#This Row],[type]]</f>
        <v>rule</v>
      </c>
      <c r="J2490" s="62" t="str">
        <f>Table1[[#This Row],[Column42]]&amp;IF(Table1[[#This Row],[Column13]]="","",Table1[[#This Row],[Column13]])&amp;IF(Table1[[#This Row],[mod]]="","",Table1[[#This Row],[mod]])</f>
        <v>rule</v>
      </c>
      <c r="K24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0" t="s">
        <v>3137</v>
      </c>
      <c r="P2490" s="6" t="s">
        <v>2434</v>
      </c>
      <c r="Q24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0" s="29"/>
      <c r="AC2490" s="25"/>
      <c r="AD2490" s="41"/>
      <c r="AE2490" s="41"/>
      <c r="AF2490" s="11"/>
      <c r="AH2490" s="1" t="str">
        <f>Table1[[#This Row],[html_tag]]&amp;Table1[[#This Row],[html_type]]&amp;Table1[[#This Row],[html_modifier]]</f>
        <v/>
      </c>
      <c r="AL2490" s="22" t="str">
        <f>IFERROR(_xlfn.XLOOKUP(Table1[[#This Row],[word]],Table57[English style name],Table57[Style type]),"")</f>
        <v/>
      </c>
      <c r="AM2490" s="20"/>
      <c r="AN2490" s="11"/>
      <c r="AQ2490" s="6" t="s">
        <v>2434</v>
      </c>
      <c r="AR2490" t="s">
        <v>2424</v>
      </c>
    </row>
    <row r="2491" spans="5:44">
      <c r="E2491" s="11"/>
      <c r="F24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1" s="13" t="s">
        <v>2992</v>
      </c>
      <c r="H2491" s="13" t="s">
        <v>2993</v>
      </c>
      <c r="I2491" s="12" t="str">
        <f>Table1[[#This Row],[type]]</f>
        <v>rule</v>
      </c>
      <c r="J2491" s="62" t="str">
        <f>Table1[[#This Row],[Column42]]&amp;IF(Table1[[#This Row],[Column13]]="","",Table1[[#This Row],[Column13]])&amp;IF(Table1[[#This Row],[mod]]="","",Table1[[#This Row],[mod]])</f>
        <v>rule</v>
      </c>
      <c r="K24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1" t="s">
        <v>3137</v>
      </c>
      <c r="P2491" s="6" t="s">
        <v>2435</v>
      </c>
      <c r="Q24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1" s="29"/>
      <c r="AC2491" s="25"/>
      <c r="AD2491" s="41"/>
      <c r="AE2491" s="41"/>
      <c r="AF2491" s="11"/>
      <c r="AH2491" s="1" t="str">
        <f>Table1[[#This Row],[html_tag]]&amp;Table1[[#This Row],[html_type]]&amp;Table1[[#This Row],[html_modifier]]</f>
        <v/>
      </c>
      <c r="AL2491" s="22" t="str">
        <f>IFERROR(_xlfn.XLOOKUP(Table1[[#This Row],[word]],Table57[English style name],Table57[Style type]),"")</f>
        <v/>
      </c>
      <c r="AM2491" s="20"/>
      <c r="AN2491" s="11"/>
      <c r="AQ2491" s="6" t="s">
        <v>2435</v>
      </c>
      <c r="AR2491" t="s">
        <v>2424</v>
      </c>
    </row>
    <row r="2492" spans="5:44">
      <c r="E2492" s="11"/>
      <c r="F24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2" s="13" t="s">
        <v>2992</v>
      </c>
      <c r="H2492" s="13" t="s">
        <v>2993</v>
      </c>
      <c r="I2492" s="12" t="str">
        <f>Table1[[#This Row],[type]]</f>
        <v>rule</v>
      </c>
      <c r="J2492" s="62" t="str">
        <f>Table1[[#This Row],[Column42]]&amp;IF(Table1[[#This Row],[Column13]]="","",Table1[[#This Row],[Column13]])&amp;IF(Table1[[#This Row],[mod]]="","",Table1[[#This Row],[mod]])</f>
        <v>rule</v>
      </c>
      <c r="K24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2" t="s">
        <v>3137</v>
      </c>
      <c r="P2492" s="6" t="s">
        <v>2436</v>
      </c>
      <c r="Q24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2" s="29"/>
      <c r="AC2492" s="25"/>
      <c r="AD2492" s="41"/>
      <c r="AE2492" s="41"/>
      <c r="AF2492" s="11"/>
      <c r="AH2492" s="1" t="str">
        <f>Table1[[#This Row],[html_tag]]&amp;Table1[[#This Row],[html_type]]&amp;Table1[[#This Row],[html_modifier]]</f>
        <v/>
      </c>
      <c r="AL2492" s="22" t="str">
        <f>IFERROR(_xlfn.XLOOKUP(Table1[[#This Row],[word]],Table57[English style name],Table57[Style type]),"")</f>
        <v/>
      </c>
      <c r="AM2492" s="20"/>
      <c r="AN2492" s="11"/>
      <c r="AQ2492" s="6" t="s">
        <v>2436</v>
      </c>
      <c r="AR2492" t="s">
        <v>2424</v>
      </c>
    </row>
    <row r="2493" spans="5:44">
      <c r="E2493" s="11"/>
      <c r="F24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3" s="13" t="s">
        <v>2992</v>
      </c>
      <c r="H2493" s="13" t="s">
        <v>2993</v>
      </c>
      <c r="I2493" s="12" t="str">
        <f>Table1[[#This Row],[type]]</f>
        <v>rule</v>
      </c>
      <c r="J2493" s="62" t="str">
        <f>Table1[[#This Row],[Column42]]&amp;IF(Table1[[#This Row],[Column13]]="","",Table1[[#This Row],[Column13]])&amp;IF(Table1[[#This Row],[mod]]="","",Table1[[#This Row],[mod]])</f>
        <v>rule</v>
      </c>
      <c r="K24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3" t="s">
        <v>3137</v>
      </c>
      <c r="P2493" s="6" t="s">
        <v>2437</v>
      </c>
      <c r="Q24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3" s="29"/>
      <c r="AC2493" s="25"/>
      <c r="AD2493" s="41"/>
      <c r="AE2493" s="41"/>
      <c r="AF2493" s="11"/>
      <c r="AH2493" s="1" t="str">
        <f>Table1[[#This Row],[html_tag]]&amp;Table1[[#This Row],[html_type]]&amp;Table1[[#This Row],[html_modifier]]</f>
        <v/>
      </c>
      <c r="AL2493" s="22" t="str">
        <f>IFERROR(_xlfn.XLOOKUP(Table1[[#This Row],[word]],Table57[English style name],Table57[Style type]),"")</f>
        <v/>
      </c>
      <c r="AM2493" s="20"/>
      <c r="AN2493" s="11"/>
      <c r="AQ2493" s="6" t="s">
        <v>2437</v>
      </c>
      <c r="AR2493" t="s">
        <v>2424</v>
      </c>
    </row>
    <row r="2494" spans="5:44">
      <c r="E2494" s="11"/>
      <c r="F24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4" s="13" t="s">
        <v>2992</v>
      </c>
      <c r="H2494" s="13" t="s">
        <v>2993</v>
      </c>
      <c r="I2494" s="12" t="str">
        <f>Table1[[#This Row],[type]]</f>
        <v>rule</v>
      </c>
      <c r="J2494" s="62" t="str">
        <f>Table1[[#This Row],[Column42]]&amp;IF(Table1[[#This Row],[Column13]]="","",Table1[[#This Row],[Column13]])&amp;IF(Table1[[#This Row],[mod]]="","",Table1[[#This Row],[mod]])</f>
        <v>rule</v>
      </c>
      <c r="K24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4" t="s">
        <v>3137</v>
      </c>
      <c r="P2494" s="6" t="s">
        <v>2438</v>
      </c>
      <c r="Q24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4" s="29"/>
      <c r="AC2494" s="25"/>
      <c r="AD2494" s="41"/>
      <c r="AE2494" s="41"/>
      <c r="AF2494" s="11"/>
      <c r="AH2494" s="1" t="str">
        <f>Table1[[#This Row],[html_tag]]&amp;Table1[[#This Row],[html_type]]&amp;Table1[[#This Row],[html_modifier]]</f>
        <v/>
      </c>
      <c r="AL2494" s="22" t="str">
        <f>IFERROR(_xlfn.XLOOKUP(Table1[[#This Row],[word]],Table57[English style name],Table57[Style type]),"")</f>
        <v/>
      </c>
      <c r="AM2494" s="20"/>
      <c r="AN2494" s="11"/>
      <c r="AQ2494" s="6" t="s">
        <v>2438</v>
      </c>
      <c r="AR2494" t="s">
        <v>2424</v>
      </c>
    </row>
    <row r="2495" spans="5:44">
      <c r="E2495" s="11"/>
      <c r="F24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5" s="13" t="s">
        <v>2992</v>
      </c>
      <c r="H2495" s="13" t="s">
        <v>2993</v>
      </c>
      <c r="I2495" s="12" t="str">
        <f>Table1[[#This Row],[type]]</f>
        <v>rule</v>
      </c>
      <c r="J2495" s="62" t="str">
        <f>Table1[[#This Row],[Column42]]&amp;IF(Table1[[#This Row],[Column13]]="","",Table1[[#This Row],[Column13]])&amp;IF(Table1[[#This Row],[mod]]="","",Table1[[#This Row],[mod]])</f>
        <v>rule</v>
      </c>
      <c r="K24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5" t="s">
        <v>3137</v>
      </c>
      <c r="P2495" s="6" t="s">
        <v>2439</v>
      </c>
      <c r="Q24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5" s="29"/>
      <c r="AC2495" s="25"/>
      <c r="AD2495" s="41"/>
      <c r="AE2495" s="41"/>
      <c r="AF2495" s="11"/>
      <c r="AH2495" s="1" t="str">
        <f>Table1[[#This Row],[html_tag]]&amp;Table1[[#This Row],[html_type]]&amp;Table1[[#This Row],[html_modifier]]</f>
        <v/>
      </c>
      <c r="AL2495" s="22" t="str">
        <f>IFERROR(_xlfn.XLOOKUP(Table1[[#This Row],[word]],Table57[English style name],Table57[Style type]),"")</f>
        <v/>
      </c>
      <c r="AM2495" s="20"/>
      <c r="AN2495" s="11"/>
      <c r="AQ2495" s="6" t="s">
        <v>2439</v>
      </c>
      <c r="AR2495" t="s">
        <v>2424</v>
      </c>
    </row>
    <row r="2496" spans="5:44">
      <c r="E2496" s="11"/>
      <c r="F24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6" s="13" t="s">
        <v>2992</v>
      </c>
      <c r="H2496" s="13" t="s">
        <v>2993</v>
      </c>
      <c r="I2496" s="12" t="str">
        <f>Table1[[#This Row],[type]]</f>
        <v>rule</v>
      </c>
      <c r="J2496" s="62" t="str">
        <f>Table1[[#This Row],[Column42]]&amp;IF(Table1[[#This Row],[Column13]]="","",Table1[[#This Row],[Column13]])&amp;IF(Table1[[#This Row],[mod]]="","",Table1[[#This Row],[mod]])</f>
        <v>rule</v>
      </c>
      <c r="K24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6" t="s">
        <v>3137</v>
      </c>
      <c r="P2496" s="6" t="s">
        <v>2440</v>
      </c>
      <c r="Q24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6" s="29"/>
      <c r="AC2496" s="25"/>
      <c r="AD2496" s="41"/>
      <c r="AE2496" s="41"/>
      <c r="AF2496" s="11"/>
      <c r="AH2496" s="1" t="str">
        <f>Table1[[#This Row],[html_tag]]&amp;Table1[[#This Row],[html_type]]&amp;Table1[[#This Row],[html_modifier]]</f>
        <v/>
      </c>
      <c r="AL2496" s="22" t="str">
        <f>IFERROR(_xlfn.XLOOKUP(Table1[[#This Row],[word]],Table57[English style name],Table57[Style type]),"")</f>
        <v/>
      </c>
      <c r="AM2496" s="20"/>
      <c r="AN2496" s="11"/>
      <c r="AQ2496" s="6" t="s">
        <v>2440</v>
      </c>
      <c r="AR2496" t="s">
        <v>2424</v>
      </c>
    </row>
    <row r="2497" spans="5:44">
      <c r="E2497" s="11"/>
      <c r="F24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rule.scss</v>
      </c>
      <c r="G2497" s="13"/>
      <c r="H2497" s="13"/>
      <c r="I2497" s="12" t="str">
        <f>Table1[[#This Row],[type]]</f>
        <v>rule</v>
      </c>
      <c r="J2497" s="62" t="str">
        <f>Table1[[#This Row],[Column42]]&amp;IF(Table1[[#This Row],[Column13]]="","",Table1[[#This Row],[Column13]])&amp;IF(Table1[[#This Row],[mod]]="","",Table1[[#This Row],[mod]])</f>
        <v>rule__&lt;hr&gt;</v>
      </c>
      <c r="K24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rule__&lt;hr&gt;</v>
      </c>
      <c r="L2497" t="s">
        <v>3137</v>
      </c>
      <c r="O2497" t="s">
        <v>194</v>
      </c>
      <c r="Q24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7" s="29"/>
      <c r="AC2497" s="25"/>
      <c r="AD2497" s="41"/>
      <c r="AE2497" s="41"/>
      <c r="AF2497" s="11" t="s">
        <v>194</v>
      </c>
      <c r="AH2497" s="1" t="str">
        <f>Table1[[#This Row],[html_tag]]&amp;Table1[[#This Row],[html_type]]&amp;Table1[[#This Row],[html_modifier]]</f>
        <v>&lt;hr&gt;</v>
      </c>
      <c r="AI2497" t="s">
        <v>194</v>
      </c>
      <c r="AL2497" s="22" t="str">
        <f>IFERROR(_xlfn.XLOOKUP(Table1[[#This Row],[word]],Table57[English style name],Table57[Style type]),"")</f>
        <v/>
      </c>
      <c r="AM2497" s="20"/>
      <c r="AN2497" s="11"/>
    </row>
    <row r="2498" spans="5:44">
      <c r="E2498" s="11"/>
      <c r="F24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8" s="13" t="s">
        <v>2992</v>
      </c>
      <c r="H2498" s="13" t="s">
        <v>2993</v>
      </c>
      <c r="I2498" s="12" t="str">
        <f>Table1[[#This Row],[type]]</f>
        <v>rule</v>
      </c>
      <c r="J2498" s="62" t="str">
        <f>Table1[[#This Row],[Column42]]&amp;IF(Table1[[#This Row],[Column13]]="","",Table1[[#This Row],[Column13]])&amp;IF(Table1[[#This Row],[mod]]="","",Table1[[#This Row],[mod]])</f>
        <v>rule--base</v>
      </c>
      <c r="K24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8" t="s">
        <v>3137</v>
      </c>
      <c r="P2498" s="6" t="s">
        <v>2427</v>
      </c>
      <c r="Q24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98" t="s">
        <v>338</v>
      </c>
      <c r="AB2498" s="29"/>
      <c r="AC2498" s="25"/>
      <c r="AD2498" s="41"/>
      <c r="AE2498" s="41"/>
      <c r="AF2498" s="11"/>
      <c r="AH2498" s="1" t="str">
        <f>Table1[[#This Row],[html_tag]]&amp;Table1[[#This Row],[html_type]]&amp;Table1[[#This Row],[html_modifier]]</f>
        <v/>
      </c>
      <c r="AL2498" s="22" t="str">
        <f>IFERROR(_xlfn.XLOOKUP(Table1[[#This Row],[word]],Table57[English style name],Table57[Style type]),"")</f>
        <v/>
      </c>
      <c r="AM2498" s="20"/>
      <c r="AN2498" s="11"/>
      <c r="AQ2498" s="6" t="s">
        <v>2427</v>
      </c>
      <c r="AR2498" t="s">
        <v>2424</v>
      </c>
    </row>
    <row r="2499" spans="5:44">
      <c r="E2499" s="11"/>
      <c r="F24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499" s="13" t="s">
        <v>337</v>
      </c>
      <c r="H2499" s="13" t="s">
        <v>2987</v>
      </c>
      <c r="I2499" s="12" t="str">
        <f>Table1[[#This Row],[type]]</f>
        <v>scroll</v>
      </c>
      <c r="J2499" s="62" t="str">
        <f>Table1[[#This Row],[Column42]]&amp;IF(Table1[[#This Row],[Column13]]="","",Table1[[#This Row],[Column13]])&amp;IF(Table1[[#This Row],[mod]]="","",Table1[[#This Row],[mod]])</f>
        <v>scroll</v>
      </c>
      <c r="K24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499" t="s">
        <v>3147</v>
      </c>
      <c r="P2499" s="6" t="s">
        <v>2457</v>
      </c>
      <c r="Q24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9" s="29"/>
      <c r="AC2499" s="25"/>
      <c r="AD2499" s="41"/>
      <c r="AE2499" s="41"/>
      <c r="AF2499" s="11"/>
      <c r="AH2499" s="1" t="str">
        <f>Table1[[#This Row],[html_tag]]&amp;Table1[[#This Row],[html_type]]&amp;Table1[[#This Row],[html_modifier]]</f>
        <v/>
      </c>
      <c r="AL2499" s="22" t="str">
        <f>IFERROR(_xlfn.XLOOKUP(Table1[[#This Row],[word]],Table57[English style name],Table57[Style type]),"")</f>
        <v/>
      </c>
      <c r="AM2499" s="20"/>
      <c r="AN2499" s="11"/>
      <c r="AQ2499" s="6" t="s">
        <v>2457</v>
      </c>
      <c r="AR2499" t="s">
        <v>2458</v>
      </c>
    </row>
    <row r="2500" spans="5:44">
      <c r="E2500" s="11"/>
      <c r="F25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0" s="13" t="s">
        <v>337</v>
      </c>
      <c r="H2500" s="13" t="s">
        <v>2987</v>
      </c>
      <c r="I2500" s="12" t="str">
        <f>Table1[[#This Row],[type]]</f>
        <v>scroll</v>
      </c>
      <c r="J2500" s="62" t="str">
        <f>Table1[[#This Row],[Column42]]&amp;IF(Table1[[#This Row],[Column13]]="","",Table1[[#This Row],[Column13]])&amp;IF(Table1[[#This Row],[mod]]="","",Table1[[#This Row],[mod]])</f>
        <v>scroll</v>
      </c>
      <c r="K25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0" t="s">
        <v>3147</v>
      </c>
      <c r="P2500" s="6" t="s">
        <v>2459</v>
      </c>
      <c r="Q25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0" s="29"/>
      <c r="AC2500" s="25"/>
      <c r="AD2500" s="41"/>
      <c r="AE2500" s="41"/>
      <c r="AF2500" s="11"/>
      <c r="AH2500" s="1" t="str">
        <f>Table1[[#This Row],[html_tag]]&amp;Table1[[#This Row],[html_type]]&amp;Table1[[#This Row],[html_modifier]]</f>
        <v/>
      </c>
      <c r="AL2500" s="22" t="str">
        <f>IFERROR(_xlfn.XLOOKUP(Table1[[#This Row],[word]],Table57[English style name],Table57[Style type]),"")</f>
        <v/>
      </c>
      <c r="AM2500" s="20"/>
      <c r="AN2500" s="11"/>
      <c r="AQ2500" s="6" t="s">
        <v>2459</v>
      </c>
      <c r="AR2500" t="s">
        <v>2458</v>
      </c>
    </row>
    <row r="2501" spans="5:44">
      <c r="E2501" s="11"/>
      <c r="F25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1" s="13" t="s">
        <v>337</v>
      </c>
      <c r="H2501" s="13" t="s">
        <v>2987</v>
      </c>
      <c r="I2501" s="12" t="str">
        <f>Table1[[#This Row],[type]]</f>
        <v>scroll</v>
      </c>
      <c r="J2501" s="62" t="str">
        <f>Table1[[#This Row],[Column42]]&amp;IF(Table1[[#This Row],[Column13]]="","",Table1[[#This Row],[Column13]])&amp;IF(Table1[[#This Row],[mod]]="","",Table1[[#This Row],[mod]])</f>
        <v>scroll</v>
      </c>
      <c r="K25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1" t="s">
        <v>3147</v>
      </c>
      <c r="P2501" s="6" t="s">
        <v>2460</v>
      </c>
      <c r="Q25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1" s="29"/>
      <c r="AC2501" s="25"/>
      <c r="AD2501" s="41"/>
      <c r="AE2501" s="41"/>
      <c r="AF2501" s="11"/>
      <c r="AH2501" s="1" t="str">
        <f>Table1[[#This Row],[html_tag]]&amp;Table1[[#This Row],[html_type]]&amp;Table1[[#This Row],[html_modifier]]</f>
        <v/>
      </c>
      <c r="AL2501" s="22" t="str">
        <f>IFERROR(_xlfn.XLOOKUP(Table1[[#This Row],[word]],Table57[English style name],Table57[Style type]),"")</f>
        <v/>
      </c>
      <c r="AM2501" s="20"/>
      <c r="AN2501" s="11"/>
      <c r="AQ2501" s="6" t="s">
        <v>2460</v>
      </c>
      <c r="AR2501" t="s">
        <v>2458</v>
      </c>
    </row>
    <row r="2502" spans="5:44">
      <c r="E2502" s="11"/>
      <c r="F25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2" s="13" t="s">
        <v>337</v>
      </c>
      <c r="H2502" s="13" t="s">
        <v>2987</v>
      </c>
      <c r="I2502" s="12" t="str">
        <f>Table1[[#This Row],[type]]</f>
        <v>scroll</v>
      </c>
      <c r="J2502" s="62" t="str">
        <f>Table1[[#This Row],[Column42]]&amp;IF(Table1[[#This Row],[Column13]]="","",Table1[[#This Row],[Column13]])&amp;IF(Table1[[#This Row],[mod]]="","",Table1[[#This Row],[mod]])</f>
        <v>scroll</v>
      </c>
      <c r="K25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2" t="s">
        <v>3147</v>
      </c>
      <c r="P2502" s="6" t="s">
        <v>2462</v>
      </c>
      <c r="Q25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2" s="29"/>
      <c r="AC2502" s="25"/>
      <c r="AD2502" s="41"/>
      <c r="AE2502" s="41"/>
      <c r="AF2502" s="11"/>
      <c r="AH2502" s="1" t="str">
        <f>Table1[[#This Row],[html_tag]]&amp;Table1[[#This Row],[html_type]]&amp;Table1[[#This Row],[html_modifier]]</f>
        <v/>
      </c>
      <c r="AL2502" s="22" t="str">
        <f>IFERROR(_xlfn.XLOOKUP(Table1[[#This Row],[word]],Table57[English style name],Table57[Style type]),"")</f>
        <v/>
      </c>
      <c r="AM2502" s="20"/>
      <c r="AN2502" s="11"/>
      <c r="AQ2502" s="6" t="s">
        <v>2462</v>
      </c>
      <c r="AR2502" t="s">
        <v>2458</v>
      </c>
    </row>
    <row r="2503" spans="5:44">
      <c r="E2503" s="11"/>
      <c r="F25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3" s="13" t="s">
        <v>337</v>
      </c>
      <c r="H2503" s="13" t="s">
        <v>2987</v>
      </c>
      <c r="I2503" s="12" t="str">
        <f>Table1[[#This Row],[type]]</f>
        <v>scroll</v>
      </c>
      <c r="J2503" s="62" t="str">
        <f>Table1[[#This Row],[Column42]]&amp;IF(Table1[[#This Row],[Column13]]="","",Table1[[#This Row],[Column13]])&amp;IF(Table1[[#This Row],[mod]]="","",Table1[[#This Row],[mod]])</f>
        <v>scroll</v>
      </c>
      <c r="K25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3" t="s">
        <v>3147</v>
      </c>
      <c r="P2503" s="6" t="s">
        <v>2463</v>
      </c>
      <c r="Q25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3" s="29"/>
      <c r="AC2503" s="25"/>
      <c r="AD2503" s="41"/>
      <c r="AE2503" s="41"/>
      <c r="AF2503" s="11"/>
      <c r="AH2503" s="1" t="str">
        <f>Table1[[#This Row],[html_tag]]&amp;Table1[[#This Row],[html_type]]&amp;Table1[[#This Row],[html_modifier]]</f>
        <v/>
      </c>
      <c r="AL2503" s="22" t="str">
        <f>IFERROR(_xlfn.XLOOKUP(Table1[[#This Row],[word]],Table57[English style name],Table57[Style type]),"")</f>
        <v/>
      </c>
      <c r="AM2503" s="20"/>
      <c r="AN2503" s="11"/>
      <c r="AQ2503" s="6" t="s">
        <v>2463</v>
      </c>
      <c r="AR2503" t="s">
        <v>2458</v>
      </c>
    </row>
    <row r="2504" spans="5:44">
      <c r="E2504" s="11"/>
      <c r="F25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4" s="13" t="s">
        <v>337</v>
      </c>
      <c r="H2504" s="13" t="s">
        <v>2987</v>
      </c>
      <c r="I2504" s="12" t="str">
        <f>Table1[[#This Row],[type]]</f>
        <v>scroll</v>
      </c>
      <c r="J2504" s="62" t="str">
        <f>Table1[[#This Row],[Column42]]&amp;IF(Table1[[#This Row],[Column13]]="","",Table1[[#This Row],[Column13]])&amp;IF(Table1[[#This Row],[mod]]="","",Table1[[#This Row],[mod]])</f>
        <v>scroll</v>
      </c>
      <c r="K25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4" t="s">
        <v>3147</v>
      </c>
      <c r="P2504" s="6" t="s">
        <v>2464</v>
      </c>
      <c r="Q25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4" s="29"/>
      <c r="AC2504" s="25"/>
      <c r="AD2504" s="41"/>
      <c r="AE2504" s="41"/>
      <c r="AF2504" s="11"/>
      <c r="AH2504" s="1" t="str">
        <f>Table1[[#This Row],[html_tag]]&amp;Table1[[#This Row],[html_type]]&amp;Table1[[#This Row],[html_modifier]]</f>
        <v/>
      </c>
      <c r="AL2504" s="22" t="str">
        <f>IFERROR(_xlfn.XLOOKUP(Table1[[#This Row],[word]],Table57[English style name],Table57[Style type]),"")</f>
        <v/>
      </c>
      <c r="AM2504" s="20"/>
      <c r="AN2504" s="11"/>
      <c r="AQ2504" s="6" t="s">
        <v>2464</v>
      </c>
      <c r="AR2504" t="s">
        <v>2458</v>
      </c>
    </row>
    <row r="2505" spans="5:44">
      <c r="E2505" s="11"/>
      <c r="F25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5" s="13" t="s">
        <v>337</v>
      </c>
      <c r="H2505" s="13" t="s">
        <v>2987</v>
      </c>
      <c r="I2505" s="12" t="str">
        <f>Table1[[#This Row],[type]]</f>
        <v>scroll</v>
      </c>
      <c r="J2505" s="62" t="str">
        <f>Table1[[#This Row],[Column42]]&amp;IF(Table1[[#This Row],[Column13]]="","",Table1[[#This Row],[Column13]])&amp;IF(Table1[[#This Row],[mod]]="","",Table1[[#This Row],[mod]])</f>
        <v>scroll</v>
      </c>
      <c r="K25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5" t="s">
        <v>3147</v>
      </c>
      <c r="P2505" s="6" t="s">
        <v>2465</v>
      </c>
      <c r="Q25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5" s="29"/>
      <c r="AC2505" s="25"/>
      <c r="AD2505" s="41"/>
      <c r="AE2505" s="41"/>
      <c r="AF2505" s="11"/>
      <c r="AH2505" s="1" t="str">
        <f>Table1[[#This Row],[html_tag]]&amp;Table1[[#This Row],[html_type]]&amp;Table1[[#This Row],[html_modifier]]</f>
        <v/>
      </c>
      <c r="AL2505" s="22" t="str">
        <f>IFERROR(_xlfn.XLOOKUP(Table1[[#This Row],[word]],Table57[English style name],Table57[Style type]),"")</f>
        <v/>
      </c>
      <c r="AM2505" s="20"/>
      <c r="AN2505" s="11"/>
      <c r="AQ2505" s="6" t="s">
        <v>2465</v>
      </c>
      <c r="AR2505" t="s">
        <v>2458</v>
      </c>
    </row>
    <row r="2506" spans="5:44">
      <c r="E2506" s="11"/>
      <c r="F25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6" s="13" t="s">
        <v>337</v>
      </c>
      <c r="H2506" s="13" t="s">
        <v>2987</v>
      </c>
      <c r="I2506" s="12" t="str">
        <f>Table1[[#This Row],[type]]</f>
        <v>scroll</v>
      </c>
      <c r="J2506" s="62" t="str">
        <f>Table1[[#This Row],[Column42]]&amp;IF(Table1[[#This Row],[Column13]]="","",Table1[[#This Row],[Column13]])&amp;IF(Table1[[#This Row],[mod]]="","",Table1[[#This Row],[mod]])</f>
        <v>scroll--container</v>
      </c>
      <c r="K25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6" t="s">
        <v>3147</v>
      </c>
      <c r="P2506" s="6" t="s">
        <v>2461</v>
      </c>
      <c r="Q25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2506" t="s">
        <v>3445</v>
      </c>
      <c r="AB2506" s="29"/>
      <c r="AC2506" s="25"/>
      <c r="AD2506" s="41"/>
      <c r="AE2506" s="41"/>
      <c r="AF2506" s="11"/>
      <c r="AH2506" s="1" t="str">
        <f>Table1[[#This Row],[html_tag]]&amp;Table1[[#This Row],[html_type]]&amp;Table1[[#This Row],[html_modifier]]</f>
        <v/>
      </c>
      <c r="AL2506" s="22" t="str">
        <f>IFERROR(_xlfn.XLOOKUP(Table1[[#This Row],[word]],Table57[English style name],Table57[Style type]),"")</f>
        <v/>
      </c>
      <c r="AM2506" s="20"/>
      <c r="AN2506" s="11"/>
      <c r="AQ2506" s="6" t="s">
        <v>2461</v>
      </c>
      <c r="AR2506" t="s">
        <v>2458</v>
      </c>
    </row>
    <row r="2507" spans="5:44">
      <c r="E2507" s="11"/>
      <c r="F25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search.scss</v>
      </c>
      <c r="G2507" s="13"/>
      <c r="H2507" s="13"/>
      <c r="I2507" s="12" t="str">
        <f>Table1[[#This Row],[type]]</f>
        <v>search</v>
      </c>
      <c r="J2507" s="62" t="str">
        <f>Table1[[#This Row],[Column42]]&amp;IF(Table1[[#This Row],[Column13]]="","",Table1[[#This Row],[Column13]])&amp;IF(Table1[[#This Row],[mod]]="","",Table1[[#This Row],[mod]])</f>
        <v>search</v>
      </c>
      <c r="K25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search</v>
      </c>
      <c r="L2507" t="s">
        <v>581</v>
      </c>
      <c r="Q2507" s="17"/>
      <c r="U2507" s="10"/>
      <c r="AB2507" s="29"/>
      <c r="AC2507" s="25"/>
      <c r="AD2507" s="41"/>
      <c r="AE2507" s="41"/>
      <c r="AF2507" s="11"/>
      <c r="AH2507" s="1"/>
      <c r="AI2507" t="s">
        <v>262</v>
      </c>
      <c r="AL2507" s="22"/>
      <c r="AM2507" s="20"/>
      <c r="AN2507" s="11"/>
    </row>
    <row r="2508" spans="5:44">
      <c r="E2508" s="11"/>
      <c r="F25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08" s="13" t="s">
        <v>2992</v>
      </c>
      <c r="H2508" s="13" t="s">
        <v>2993</v>
      </c>
      <c r="I2508" s="12" t="str">
        <f>Table1[[#This Row],[type]]</f>
        <v>separator</v>
      </c>
      <c r="J2508" s="62" t="str">
        <f>Table1[[#This Row],[Column42]]&amp;IF(Table1[[#This Row],[Column13]]="","",Table1[[#This Row],[Column13]])&amp;IF(Table1[[#This Row],[mod]]="","",Table1[[#This Row],[mod]])</f>
        <v>separator</v>
      </c>
      <c r="K25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08" t="s">
        <v>3140</v>
      </c>
      <c r="P2508" s="6" t="s">
        <v>2453</v>
      </c>
      <c r="Q25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8" s="29"/>
      <c r="AC2508" s="25"/>
      <c r="AD2508" s="41"/>
      <c r="AE2508" s="41"/>
      <c r="AF2508" s="11"/>
      <c r="AH2508" s="1" t="str">
        <f>Table1[[#This Row],[html_tag]]&amp;Table1[[#This Row],[html_type]]&amp;Table1[[#This Row],[html_modifier]]</f>
        <v/>
      </c>
      <c r="AL2508" s="22" t="str">
        <f>IFERROR(_xlfn.XLOOKUP(Table1[[#This Row],[word]],Table57[English style name],Table57[Style type]),"")</f>
        <v/>
      </c>
      <c r="AM2508" s="20"/>
      <c r="AN2508" s="11"/>
      <c r="AQ2508" s="6" t="s">
        <v>2453</v>
      </c>
      <c r="AR2508" t="s">
        <v>2424</v>
      </c>
    </row>
    <row r="2509" spans="5:44">
      <c r="E2509" s="11"/>
      <c r="F25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09" s="13" t="s">
        <v>2992</v>
      </c>
      <c r="H2509" s="13" t="s">
        <v>2993</v>
      </c>
      <c r="I2509" s="12" t="str">
        <f>Table1[[#This Row],[type]]</f>
        <v>separator</v>
      </c>
      <c r="J2509" s="62" t="str">
        <f>Table1[[#This Row],[Column42]]&amp;IF(Table1[[#This Row],[Column13]]="","",Table1[[#This Row],[Column13]])&amp;IF(Table1[[#This Row],[mod]]="","",Table1[[#This Row],[mod]])</f>
        <v>separator--horizontal</v>
      </c>
      <c r="K25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09" t="s">
        <v>3140</v>
      </c>
      <c r="P2509" s="6" t="s">
        <v>2443</v>
      </c>
      <c r="Q25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09" t="s">
        <v>3205</v>
      </c>
      <c r="AB2509" s="29"/>
      <c r="AC2509" s="25"/>
      <c r="AD2509" s="41"/>
      <c r="AE2509" s="41"/>
      <c r="AF2509" s="11"/>
      <c r="AH2509" s="1" t="str">
        <f>Table1[[#This Row],[html_tag]]&amp;Table1[[#This Row],[html_type]]&amp;Table1[[#This Row],[html_modifier]]</f>
        <v/>
      </c>
      <c r="AL2509" s="22" t="str">
        <f>IFERROR(_xlfn.XLOOKUP(Table1[[#This Row],[word]],Table57[English style name],Table57[Style type]),"")</f>
        <v/>
      </c>
      <c r="AM2509" s="20"/>
      <c r="AN2509" s="11"/>
      <c r="AQ2509" s="6" t="s">
        <v>2443</v>
      </c>
      <c r="AR2509" t="s">
        <v>2424</v>
      </c>
    </row>
    <row r="2510" spans="5:44">
      <c r="E2510" s="11"/>
      <c r="F25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0" s="13" t="s">
        <v>2992</v>
      </c>
      <c r="H2510" s="13" t="s">
        <v>2993</v>
      </c>
      <c r="I2510" s="12" t="str">
        <f>Table1[[#This Row],[type]]</f>
        <v>separator</v>
      </c>
      <c r="J2510" s="62" t="str">
        <f>Table1[[#This Row],[Column42]]&amp;IF(Table1[[#This Row],[Column13]]="","",Table1[[#This Row],[Column13]])&amp;IF(Table1[[#This Row],[mod]]="","",Table1[[#This Row],[mod]])</f>
        <v>separator--horizontal</v>
      </c>
      <c r="K25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0" t="s">
        <v>3140</v>
      </c>
      <c r="P2510" s="6" t="s">
        <v>2444</v>
      </c>
      <c r="Q25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10" t="s">
        <v>3205</v>
      </c>
      <c r="AB2510" s="29"/>
      <c r="AC2510" s="25"/>
      <c r="AD2510" s="41"/>
      <c r="AE2510" s="41"/>
      <c r="AF2510" s="11"/>
      <c r="AH2510" s="1" t="str">
        <f>Table1[[#This Row],[html_tag]]&amp;Table1[[#This Row],[html_type]]&amp;Table1[[#This Row],[html_modifier]]</f>
        <v/>
      </c>
      <c r="AL2510" s="22" t="str">
        <f>IFERROR(_xlfn.XLOOKUP(Table1[[#This Row],[word]],Table57[English style name],Table57[Style type]),"")</f>
        <v/>
      </c>
      <c r="AM2510" s="20"/>
      <c r="AN2510" s="11"/>
      <c r="AQ2510" s="6" t="s">
        <v>2444</v>
      </c>
      <c r="AR2510" t="s">
        <v>2424</v>
      </c>
    </row>
    <row r="2511" spans="5:44">
      <c r="E2511" s="11"/>
      <c r="F25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1" s="13" t="s">
        <v>2992</v>
      </c>
      <c r="H2511" s="13" t="s">
        <v>2993</v>
      </c>
      <c r="I2511" s="12" t="str">
        <f>Table1[[#This Row],[type]]</f>
        <v>separator</v>
      </c>
      <c r="J2511" s="62" t="str">
        <f>Table1[[#This Row],[Column42]]&amp;IF(Table1[[#This Row],[Column13]]="","",Table1[[#This Row],[Column13]])&amp;IF(Table1[[#This Row],[mod]]="","",Table1[[#This Row],[mod]])</f>
        <v>separator--horizontal</v>
      </c>
      <c r="K25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1" t="s">
        <v>3140</v>
      </c>
      <c r="P2511" s="6" t="s">
        <v>2445</v>
      </c>
      <c r="Q25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11" t="s">
        <v>3205</v>
      </c>
      <c r="AB2511" s="29"/>
      <c r="AC2511" s="25"/>
      <c r="AD2511" s="41"/>
      <c r="AE2511" s="41"/>
      <c r="AF2511" s="11"/>
      <c r="AH2511" s="1" t="str">
        <f>Table1[[#This Row],[html_tag]]&amp;Table1[[#This Row],[html_type]]&amp;Table1[[#This Row],[html_modifier]]</f>
        <v/>
      </c>
      <c r="AL2511" s="22" t="str">
        <f>IFERROR(_xlfn.XLOOKUP(Table1[[#This Row],[word]],Table57[English style name],Table57[Style type]),"")</f>
        <v/>
      </c>
      <c r="AM2511" s="20"/>
      <c r="AN2511" s="11"/>
      <c r="AQ2511" s="6" t="s">
        <v>2445</v>
      </c>
      <c r="AR2511" t="s">
        <v>2424</v>
      </c>
    </row>
    <row r="2512" spans="5:44">
      <c r="E2512" s="11"/>
      <c r="F25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2" s="13" t="s">
        <v>2992</v>
      </c>
      <c r="H2512" s="13" t="s">
        <v>2993</v>
      </c>
      <c r="I2512" s="12" t="str">
        <f>Table1[[#This Row],[type]]</f>
        <v>separator</v>
      </c>
      <c r="J2512" s="62" t="str">
        <f>Table1[[#This Row],[Column42]]&amp;IF(Table1[[#This Row],[Column13]]="","",Table1[[#This Row],[Column13]])&amp;IF(Table1[[#This Row],[mod]]="","",Table1[[#This Row],[mod]])</f>
        <v>separator--horizontal</v>
      </c>
      <c r="K25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2" t="s">
        <v>3140</v>
      </c>
      <c r="P2512" s="6" t="s">
        <v>2446</v>
      </c>
      <c r="Q25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12" t="s">
        <v>3205</v>
      </c>
      <c r="AB2512" s="29"/>
      <c r="AC2512" s="25"/>
      <c r="AD2512" s="41"/>
      <c r="AE2512" s="41"/>
      <c r="AF2512" s="11"/>
      <c r="AH2512" s="1" t="str">
        <f>Table1[[#This Row],[html_tag]]&amp;Table1[[#This Row],[html_type]]&amp;Table1[[#This Row],[html_modifier]]</f>
        <v/>
      </c>
      <c r="AL2512" s="22" t="str">
        <f>IFERROR(_xlfn.XLOOKUP(Table1[[#This Row],[word]],Table57[English style name],Table57[Style type]),"")</f>
        <v/>
      </c>
      <c r="AM2512" s="20"/>
      <c r="AN2512" s="11"/>
      <c r="AQ2512" s="6" t="s">
        <v>2446</v>
      </c>
      <c r="AR2512" t="s">
        <v>2424</v>
      </c>
    </row>
    <row r="2513" spans="5:44">
      <c r="E2513" s="11"/>
      <c r="F25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3" s="13" t="s">
        <v>2992</v>
      </c>
      <c r="H2513" s="13" t="s">
        <v>2993</v>
      </c>
      <c r="I2513" s="12" t="str">
        <f>Table1[[#This Row],[type]]</f>
        <v>separator</v>
      </c>
      <c r="J2513" s="62" t="str">
        <f>Table1[[#This Row],[Column42]]&amp;IF(Table1[[#This Row],[Column13]]="","",Table1[[#This Row],[Column13]])&amp;IF(Table1[[#This Row],[mod]]="","",Table1[[#This Row],[mod]])</f>
        <v>separator--horizontal</v>
      </c>
      <c r="K25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3" t="s">
        <v>3140</v>
      </c>
      <c r="P2513" s="6" t="s">
        <v>2447</v>
      </c>
      <c r="Q25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13" t="s">
        <v>3205</v>
      </c>
      <c r="AB2513" s="29"/>
      <c r="AC2513" s="25"/>
      <c r="AD2513" s="41"/>
      <c r="AE2513" s="41"/>
      <c r="AF2513" s="11"/>
      <c r="AH2513" s="1" t="str">
        <f>Table1[[#This Row],[html_tag]]&amp;Table1[[#This Row],[html_type]]&amp;Table1[[#This Row],[html_modifier]]</f>
        <v/>
      </c>
      <c r="AL2513" s="22" t="str">
        <f>IFERROR(_xlfn.XLOOKUP(Table1[[#This Row],[word]],Table57[English style name],Table57[Style type]),"")</f>
        <v/>
      </c>
      <c r="AM2513" s="20"/>
      <c r="AN2513" s="11"/>
      <c r="AQ2513" s="6" t="s">
        <v>2447</v>
      </c>
      <c r="AR2513" t="s">
        <v>2424</v>
      </c>
    </row>
    <row r="2514" spans="5:44">
      <c r="E2514" s="11"/>
      <c r="F25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4" s="13" t="s">
        <v>2992</v>
      </c>
      <c r="H2514" s="13" t="s">
        <v>2993</v>
      </c>
      <c r="I2514" s="12" t="str">
        <f>Table1[[#This Row],[type]]</f>
        <v>separator</v>
      </c>
      <c r="J2514" s="62" t="str">
        <f>Table1[[#This Row],[Column42]]&amp;IF(Table1[[#This Row],[Column13]]="","",Table1[[#This Row],[Column13]])&amp;IF(Table1[[#This Row],[mod]]="","",Table1[[#This Row],[mod]])</f>
        <v>separator--sm</v>
      </c>
      <c r="K25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4" t="s">
        <v>3140</v>
      </c>
      <c r="P2514" s="6" t="s">
        <v>2454</v>
      </c>
      <c r="Q25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14" s="3" t="s">
        <v>3116</v>
      </c>
      <c r="AB2514" s="29"/>
      <c r="AC2514" s="25"/>
      <c r="AD2514" s="41"/>
      <c r="AE2514" s="41"/>
      <c r="AF2514" s="11"/>
      <c r="AH2514" s="1" t="str">
        <f>Table1[[#This Row],[html_tag]]&amp;Table1[[#This Row],[html_type]]&amp;Table1[[#This Row],[html_modifier]]</f>
        <v/>
      </c>
      <c r="AL2514" s="22" t="str">
        <f>IFERROR(_xlfn.XLOOKUP(Table1[[#This Row],[word]],Table57[English style name],Table57[Style type]),"")</f>
        <v/>
      </c>
      <c r="AM2514" s="20"/>
      <c r="AN2514" s="11"/>
      <c r="AQ2514" s="6" t="s">
        <v>2454</v>
      </c>
      <c r="AR2514" t="s">
        <v>2424</v>
      </c>
    </row>
    <row r="2515" spans="5:44">
      <c r="E2515" s="11"/>
      <c r="F25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5" s="13" t="s">
        <v>2992</v>
      </c>
      <c r="H2515" s="13" t="s">
        <v>2993</v>
      </c>
      <c r="I2515" s="12" t="str">
        <f>Table1[[#This Row],[type]]</f>
        <v>separator</v>
      </c>
      <c r="J2515" s="62" t="str">
        <f>Table1[[#This Row],[Column42]]&amp;IF(Table1[[#This Row],[Column13]]="","",Table1[[#This Row],[Column13]])&amp;IF(Table1[[#This Row],[mod]]="","",Table1[[#This Row],[mod]])</f>
        <v>separator--sm</v>
      </c>
      <c r="K25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5" t="s">
        <v>3140</v>
      </c>
      <c r="P2515" s="6" t="s">
        <v>2455</v>
      </c>
      <c r="Q25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15" s="3" t="s">
        <v>3116</v>
      </c>
      <c r="AB2515" s="29"/>
      <c r="AC2515" s="25"/>
      <c r="AD2515" s="41"/>
      <c r="AE2515" s="41"/>
      <c r="AF2515" s="11"/>
      <c r="AH2515" s="1" t="str">
        <f>Table1[[#This Row],[html_tag]]&amp;Table1[[#This Row],[html_type]]&amp;Table1[[#This Row],[html_modifier]]</f>
        <v/>
      </c>
      <c r="AL2515" s="22" t="str">
        <f>IFERROR(_xlfn.XLOOKUP(Table1[[#This Row],[word]],Table57[English style name],Table57[Style type]),"")</f>
        <v/>
      </c>
      <c r="AM2515" s="20"/>
      <c r="AN2515" s="11"/>
      <c r="AQ2515" s="6" t="s">
        <v>2455</v>
      </c>
      <c r="AR2515" t="s">
        <v>2424</v>
      </c>
    </row>
    <row r="2516" spans="5:44">
      <c r="E2516" s="11"/>
      <c r="F25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6" s="13" t="s">
        <v>2992</v>
      </c>
      <c r="H2516" s="13" t="s">
        <v>2993</v>
      </c>
      <c r="I2516" s="12" t="str">
        <f>Table1[[#This Row],[type]]</f>
        <v>separator</v>
      </c>
      <c r="J2516" s="62" t="str">
        <f>Table1[[#This Row],[Column42]]&amp;IF(Table1[[#This Row],[Column13]]="","",Table1[[#This Row],[Column13]])&amp;IF(Table1[[#This Row],[mod]]="","",Table1[[#This Row],[mod]])</f>
        <v>separator--sm</v>
      </c>
      <c r="K25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6" t="s">
        <v>3140</v>
      </c>
      <c r="P2516" s="6" t="s">
        <v>2456</v>
      </c>
      <c r="Q25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16" s="3" t="s">
        <v>3116</v>
      </c>
      <c r="AB2516" s="29"/>
      <c r="AC2516" s="25"/>
      <c r="AD2516" s="41"/>
      <c r="AE2516" s="41"/>
      <c r="AF2516" s="11"/>
      <c r="AH2516" s="1" t="str">
        <f>Table1[[#This Row],[html_tag]]&amp;Table1[[#This Row],[html_type]]&amp;Table1[[#This Row],[html_modifier]]</f>
        <v/>
      </c>
      <c r="AL2516" s="22" t="str">
        <f>IFERROR(_xlfn.XLOOKUP(Table1[[#This Row],[word]],Table57[English style name],Table57[Style type]),"")</f>
        <v/>
      </c>
      <c r="AM2516" s="20"/>
      <c r="AN2516" s="11"/>
      <c r="AQ2516" s="6" t="s">
        <v>2456</v>
      </c>
      <c r="AR2516" t="s">
        <v>2424</v>
      </c>
    </row>
    <row r="2517" spans="5:44">
      <c r="E2517" s="11"/>
      <c r="F25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7" s="13" t="s">
        <v>2992</v>
      </c>
      <c r="H2517" s="13" t="s">
        <v>2993</v>
      </c>
      <c r="I2517" s="12" t="str">
        <f>Table1[[#This Row],[type]]</f>
        <v>separator</v>
      </c>
      <c r="J2517" s="62" t="str">
        <f>Table1[[#This Row],[Column42]]&amp;IF(Table1[[#This Row],[Column13]]="","",Table1[[#This Row],[Column13]])&amp;IF(Table1[[#This Row],[mod]]="","",Table1[[#This Row],[mod]])</f>
        <v>separator--vertical--lg</v>
      </c>
      <c r="K25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7" t="s">
        <v>3140</v>
      </c>
      <c r="P2517" s="6" t="s">
        <v>2451</v>
      </c>
      <c r="Q25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--vertical--lg</v>
      </c>
      <c r="X2517" t="s">
        <v>2943</v>
      </c>
      <c r="AA2517" t="s">
        <v>3114</v>
      </c>
      <c r="AB2517" s="29"/>
      <c r="AC2517" s="25"/>
      <c r="AD2517" s="41"/>
      <c r="AE2517" s="41"/>
      <c r="AF2517" s="11"/>
      <c r="AH2517" s="1" t="str">
        <f>Table1[[#This Row],[html_tag]]&amp;Table1[[#This Row],[html_type]]&amp;Table1[[#This Row],[html_modifier]]</f>
        <v/>
      </c>
      <c r="AL2517" s="22" t="str">
        <f>IFERROR(_xlfn.XLOOKUP(Table1[[#This Row],[word]],Table57[English style name],Table57[Style type]),"")</f>
        <v/>
      </c>
      <c r="AM2517" s="20"/>
      <c r="AN2517" s="11"/>
      <c r="AQ2517" s="6" t="s">
        <v>2451</v>
      </c>
      <c r="AR2517" t="s">
        <v>2424</v>
      </c>
    </row>
    <row r="2518" spans="5:44">
      <c r="E2518" s="11"/>
      <c r="F25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8" s="13" t="s">
        <v>2992</v>
      </c>
      <c r="H2518" s="13" t="s">
        <v>2993</v>
      </c>
      <c r="I2518" s="12" t="str">
        <f>Table1[[#This Row],[type]]</f>
        <v>separator</v>
      </c>
      <c r="J2518" s="62" t="str">
        <f>Table1[[#This Row],[Column42]]&amp;IF(Table1[[#This Row],[Column13]]="","",Table1[[#This Row],[Column13]])&amp;IF(Table1[[#This Row],[mod]]="","",Table1[[#This Row],[mod]])</f>
        <v>separator--vertical--lg</v>
      </c>
      <c r="K25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8" t="s">
        <v>3140</v>
      </c>
      <c r="P2518" s="6" t="s">
        <v>2452</v>
      </c>
      <c r="Q25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--vertical--lg</v>
      </c>
      <c r="X2518" t="s">
        <v>2943</v>
      </c>
      <c r="AA2518" t="s">
        <v>3114</v>
      </c>
      <c r="AB2518" s="29"/>
      <c r="AC2518" s="25"/>
      <c r="AD2518" s="41"/>
      <c r="AE2518" s="41"/>
      <c r="AF2518" s="11"/>
      <c r="AH2518" s="1" t="str">
        <f>Table1[[#This Row],[html_tag]]&amp;Table1[[#This Row],[html_type]]&amp;Table1[[#This Row],[html_modifier]]</f>
        <v/>
      </c>
      <c r="AL2518" s="22" t="str">
        <f>IFERROR(_xlfn.XLOOKUP(Table1[[#This Row],[word]],Table57[English style name],Table57[Style type]),"")</f>
        <v/>
      </c>
      <c r="AM2518" s="20"/>
      <c r="AN2518" s="11"/>
      <c r="AQ2518" s="6" t="s">
        <v>2452</v>
      </c>
      <c r="AR2518" t="s">
        <v>2424</v>
      </c>
    </row>
    <row r="2519" spans="5:44">
      <c r="E2519" s="11"/>
      <c r="F25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9" s="13" t="s">
        <v>2992</v>
      </c>
      <c r="H2519" s="13" t="s">
        <v>2993</v>
      </c>
      <c r="I2519" s="12" t="str">
        <f>Table1[[#This Row],[type]]</f>
        <v>separator</v>
      </c>
      <c r="J2519" s="62" t="str">
        <f>Table1[[#This Row],[Column42]]&amp;IF(Table1[[#This Row],[Column13]]="","",Table1[[#This Row],[Column13]])&amp;IF(Table1[[#This Row],[mod]]="","",Table1[[#This Row],[mod]])</f>
        <v>separator--vertical--xl</v>
      </c>
      <c r="K25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9" t="s">
        <v>3140</v>
      </c>
      <c r="P2519" s="6" t="s">
        <v>2448</v>
      </c>
      <c r="Q25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--vertical--xl</v>
      </c>
      <c r="X2519" t="s">
        <v>2943</v>
      </c>
      <c r="AA2519" t="s">
        <v>3126</v>
      </c>
      <c r="AB2519" s="29"/>
      <c r="AC2519" s="25"/>
      <c r="AD2519" s="41"/>
      <c r="AE2519" s="41"/>
      <c r="AF2519" s="11"/>
      <c r="AH2519" s="1" t="str">
        <f>Table1[[#This Row],[html_tag]]&amp;Table1[[#This Row],[html_type]]&amp;Table1[[#This Row],[html_modifier]]</f>
        <v/>
      </c>
      <c r="AL2519" s="22" t="str">
        <f>IFERROR(_xlfn.XLOOKUP(Table1[[#This Row],[word]],Table57[English style name],Table57[Style type]),"")</f>
        <v/>
      </c>
      <c r="AM2519" s="20"/>
      <c r="AN2519" s="11"/>
      <c r="AQ2519" s="6" t="s">
        <v>2448</v>
      </c>
      <c r="AR2519" t="s">
        <v>2424</v>
      </c>
    </row>
    <row r="2520" spans="5:44">
      <c r="E2520" s="11"/>
      <c r="F25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20" s="13" t="s">
        <v>2992</v>
      </c>
      <c r="H2520" s="13" t="s">
        <v>2993</v>
      </c>
      <c r="I2520" s="12" t="str">
        <f>Table1[[#This Row],[type]]</f>
        <v>separator</v>
      </c>
      <c r="J2520" s="62" t="str">
        <f>Table1[[#This Row],[Column42]]&amp;IF(Table1[[#This Row],[Column13]]="","",Table1[[#This Row],[Column13]])&amp;IF(Table1[[#This Row],[mod]]="","",Table1[[#This Row],[mod]])</f>
        <v>separator--vertical--xl</v>
      </c>
      <c r="K25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20" t="s">
        <v>3140</v>
      </c>
      <c r="P2520" s="6" t="s">
        <v>2449</v>
      </c>
      <c r="Q25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--vertical--xl</v>
      </c>
      <c r="X2520" t="s">
        <v>2943</v>
      </c>
      <c r="AA2520" t="s">
        <v>3126</v>
      </c>
      <c r="AB2520" s="29"/>
      <c r="AC2520" s="25"/>
      <c r="AD2520" s="41"/>
      <c r="AE2520" s="41"/>
      <c r="AF2520" s="11"/>
      <c r="AH2520" s="1" t="str">
        <f>Table1[[#This Row],[html_tag]]&amp;Table1[[#This Row],[html_type]]&amp;Table1[[#This Row],[html_modifier]]</f>
        <v/>
      </c>
      <c r="AL2520" s="22" t="str">
        <f>IFERROR(_xlfn.XLOOKUP(Table1[[#This Row],[word]],Table57[English style name],Table57[Style type]),"")</f>
        <v/>
      </c>
      <c r="AM2520" s="20"/>
      <c r="AN2520" s="11"/>
      <c r="AQ2520" s="6" t="s">
        <v>2449</v>
      </c>
      <c r="AR2520" t="s">
        <v>2424</v>
      </c>
    </row>
    <row r="2521" spans="5:44">
      <c r="E2521" s="11"/>
      <c r="F25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21" s="13" t="s">
        <v>2992</v>
      </c>
      <c r="H2521" s="13" t="s">
        <v>2993</v>
      </c>
      <c r="I2521" s="12" t="str">
        <f>Table1[[#This Row],[type]]</f>
        <v>separator</v>
      </c>
      <c r="J2521" s="62" t="str">
        <f>Table1[[#This Row],[Column42]]&amp;IF(Table1[[#This Row],[Column13]]="","",Table1[[#This Row],[Column13]])&amp;IF(Table1[[#This Row],[mod]]="","",Table1[[#This Row],[mod]])</f>
        <v>separator--xs</v>
      </c>
      <c r="K25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21" t="s">
        <v>3140</v>
      </c>
      <c r="P2521" s="6" t="s">
        <v>2450</v>
      </c>
      <c r="Q25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521" t="s">
        <v>3127</v>
      </c>
      <c r="AB2521" s="29"/>
      <c r="AC2521" s="25"/>
      <c r="AD2521" s="41"/>
      <c r="AE2521" s="41"/>
      <c r="AF2521" s="11"/>
      <c r="AH2521" s="1" t="str">
        <f>Table1[[#This Row],[html_tag]]&amp;Table1[[#This Row],[html_type]]&amp;Table1[[#This Row],[html_modifier]]</f>
        <v/>
      </c>
      <c r="AL2521" s="22" t="str">
        <f>IFERROR(_xlfn.XLOOKUP(Table1[[#This Row],[word]],Table57[English style name],Table57[Style type]),"")</f>
        <v/>
      </c>
      <c r="AM2521" s="20"/>
      <c r="AN2521" s="11"/>
      <c r="AQ2521" s="6" t="s">
        <v>2450</v>
      </c>
      <c r="AR2521" t="s">
        <v>2424</v>
      </c>
    </row>
    <row r="2522" spans="5:44">
      <c r="E2522" s="11"/>
      <c r="F25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2" s="13" t="s">
        <v>2992</v>
      </c>
      <c r="H2522" s="13" t="s">
        <v>84</v>
      </c>
      <c r="I2522" s="12" t="str">
        <f>Table1[[#This Row],[type]]</f>
        <v>shadow</v>
      </c>
      <c r="J2522" s="62" t="str">
        <f>Table1[[#This Row],[Column42]]&amp;IF(Table1[[#This Row],[Column13]]="","",Table1[[#This Row],[Column13]])&amp;IF(Table1[[#This Row],[mod]]="","",Table1[[#This Row],[mod]])</f>
        <v>shadow__bottom</v>
      </c>
      <c r="K25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shadow__bottom</v>
      </c>
      <c r="L2522" t="s">
        <v>3141</v>
      </c>
      <c r="N2522" t="s">
        <v>3186</v>
      </c>
      <c r="P2522" s="6" t="s">
        <v>2672</v>
      </c>
      <c r="Q25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2" s="29"/>
      <c r="AC2522" s="25"/>
      <c r="AD2522" s="41"/>
      <c r="AE2522" s="41"/>
      <c r="AF2522" s="11"/>
      <c r="AH2522" s="1" t="str">
        <f>Table1[[#This Row],[html_tag]]&amp;Table1[[#This Row],[html_type]]&amp;Table1[[#This Row],[html_modifier]]</f>
        <v/>
      </c>
      <c r="AL2522" s="22" t="str">
        <f>IFERROR(_xlfn.XLOOKUP(Table1[[#This Row],[word]],Table57[English style name],Table57[Style type]),"")</f>
        <v/>
      </c>
      <c r="AM2522" s="20"/>
      <c r="AN2522" s="11"/>
      <c r="AQ2522" s="6" t="s">
        <v>2672</v>
      </c>
      <c r="AR2522" t="s">
        <v>2671</v>
      </c>
    </row>
    <row r="2523" spans="5:44">
      <c r="E2523" s="11"/>
      <c r="F25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3" s="13" t="s">
        <v>2992</v>
      </c>
      <c r="H2523" s="13" t="s">
        <v>84</v>
      </c>
      <c r="I2523" s="12" t="str">
        <f>Table1[[#This Row],[type]]</f>
        <v>shadow</v>
      </c>
      <c r="J2523" s="62" t="str">
        <f>Table1[[#This Row],[Column42]]&amp;IF(Table1[[#This Row],[Column13]]="","",Table1[[#This Row],[Column13]])&amp;IF(Table1[[#This Row],[mod]]="","",Table1[[#This Row],[mod]])</f>
        <v>shadow__left</v>
      </c>
      <c r="K25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shadow__left</v>
      </c>
      <c r="L2523" t="s">
        <v>3141</v>
      </c>
      <c r="N2523" s="3" t="s">
        <v>616</v>
      </c>
      <c r="P2523" s="6" t="s">
        <v>2674</v>
      </c>
      <c r="Q25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3" s="29"/>
      <c r="AC2523" s="25"/>
      <c r="AD2523" s="41"/>
      <c r="AE2523" s="41"/>
      <c r="AF2523" s="11"/>
      <c r="AH2523" s="1" t="str">
        <f>Table1[[#This Row],[html_tag]]&amp;Table1[[#This Row],[html_type]]&amp;Table1[[#This Row],[html_modifier]]</f>
        <v/>
      </c>
      <c r="AL2523" s="22" t="str">
        <f>IFERROR(_xlfn.XLOOKUP(Table1[[#This Row],[word]],Table57[English style name],Table57[Style type]),"")</f>
        <v/>
      </c>
      <c r="AM2523" s="20"/>
      <c r="AN2523" s="11"/>
      <c r="AQ2523" s="6" t="s">
        <v>2674</v>
      </c>
      <c r="AR2523" t="s">
        <v>2671</v>
      </c>
    </row>
    <row r="2524" spans="5:44">
      <c r="E2524" s="11"/>
      <c r="F25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4" s="13" t="s">
        <v>2992</v>
      </c>
      <c r="H2524" s="13" t="s">
        <v>84</v>
      </c>
      <c r="I2524" s="12" t="str">
        <f>Table1[[#This Row],[type]]</f>
        <v>shadow</v>
      </c>
      <c r="J2524" s="62" t="str">
        <f>Table1[[#This Row],[Column42]]&amp;IF(Table1[[#This Row],[Column13]]="","",Table1[[#This Row],[Column13]])&amp;IF(Table1[[#This Row],[mod]]="","",Table1[[#This Row],[mod]])</f>
        <v>shadow__right</v>
      </c>
      <c r="K25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shadow__right</v>
      </c>
      <c r="L2524" t="s">
        <v>3141</v>
      </c>
      <c r="N2524" t="s">
        <v>617</v>
      </c>
      <c r="P2524" s="6" t="s">
        <v>2678</v>
      </c>
      <c r="Q25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4" s="29"/>
      <c r="AC2524" s="25"/>
      <c r="AD2524" s="41"/>
      <c r="AE2524" s="41"/>
      <c r="AF2524" s="11"/>
      <c r="AH2524" s="1" t="str">
        <f>Table1[[#This Row],[html_tag]]&amp;Table1[[#This Row],[html_type]]&amp;Table1[[#This Row],[html_modifier]]</f>
        <v/>
      </c>
      <c r="AL2524" s="22" t="str">
        <f>IFERROR(_xlfn.XLOOKUP(Table1[[#This Row],[word]],Table57[English style name],Table57[Style type]),"")</f>
        <v/>
      </c>
      <c r="AM2524" s="20"/>
      <c r="AN2524" s="11"/>
      <c r="AQ2524" s="6" t="s">
        <v>2678</v>
      </c>
      <c r="AR2524" t="s">
        <v>2671</v>
      </c>
    </row>
    <row r="2525" spans="5:44">
      <c r="E2525" s="11"/>
      <c r="F25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5" s="13" t="s">
        <v>2992</v>
      </c>
      <c r="H2525" s="13" t="s">
        <v>84</v>
      </c>
      <c r="I2525" s="12" t="str">
        <f>Table1[[#This Row],[type]]</f>
        <v>shadow</v>
      </c>
      <c r="J2525" s="62" t="str">
        <f>Table1[[#This Row],[Column42]]&amp;IF(Table1[[#This Row],[Column13]]="","",Table1[[#This Row],[Column13]])&amp;IF(Table1[[#This Row],[mod]]="","",Table1[[#This Row],[mod]])</f>
        <v>shadow__top</v>
      </c>
      <c r="K25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shadow__top</v>
      </c>
      <c r="L2525" t="s">
        <v>3141</v>
      </c>
      <c r="N2525" t="s">
        <v>3182</v>
      </c>
      <c r="P2525" s="6" t="s">
        <v>2680</v>
      </c>
      <c r="Q25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5" s="29"/>
      <c r="AC2525" s="25"/>
      <c r="AD2525" s="41"/>
      <c r="AE2525" s="41"/>
      <c r="AF2525" s="11"/>
      <c r="AH2525" s="1" t="str">
        <f>Table1[[#This Row],[html_tag]]&amp;Table1[[#This Row],[html_type]]&amp;Table1[[#This Row],[html_modifier]]</f>
        <v/>
      </c>
      <c r="AL2525" s="22" t="str">
        <f>IFERROR(_xlfn.XLOOKUP(Table1[[#This Row],[word]],Table57[English style name],Table57[Style type]),"")</f>
        <v/>
      </c>
      <c r="AM2525" s="20"/>
      <c r="AN2525" s="11"/>
      <c r="AQ2525" s="6" t="s">
        <v>2680</v>
      </c>
      <c r="AR2525" t="s">
        <v>2671</v>
      </c>
    </row>
    <row r="2526" spans="5:44">
      <c r="E2526" s="11"/>
      <c r="F25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6" s="13" t="s">
        <v>2992</v>
      </c>
      <c r="H2526" s="13" t="s">
        <v>84</v>
      </c>
      <c r="I2526" s="12" t="str">
        <f>Table1[[#This Row],[type]]</f>
        <v>shadow</v>
      </c>
      <c r="J2526" s="62" t="str">
        <f>Table1[[#This Row],[Column42]]&amp;IF(Table1[[#This Row],[Column13]]="","",Table1[[#This Row],[Column13]])&amp;IF(Table1[[#This Row],[mod]]="","",Table1[[#This Row],[mod]])</f>
        <v>shadow--2xl</v>
      </c>
      <c r="K25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26" t="s">
        <v>3141</v>
      </c>
      <c r="P2526" s="6" t="s">
        <v>2670</v>
      </c>
      <c r="Q25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--2xl</v>
      </c>
      <c r="AA2526" t="s">
        <v>3161</v>
      </c>
      <c r="AB2526" s="29"/>
      <c r="AC2526" s="25"/>
      <c r="AD2526" s="41"/>
      <c r="AE2526" s="41"/>
      <c r="AF2526" s="11"/>
      <c r="AH2526" s="1" t="str">
        <f>Table1[[#This Row],[html_tag]]&amp;Table1[[#This Row],[html_type]]&amp;Table1[[#This Row],[html_modifier]]</f>
        <v/>
      </c>
      <c r="AL2526" s="22" t="str">
        <f>IFERROR(_xlfn.XLOOKUP(Table1[[#This Row],[word]],Table57[English style name],Table57[Style type]),"")</f>
        <v/>
      </c>
      <c r="AM2526" s="20"/>
      <c r="AN2526" s="11"/>
      <c r="AQ2526" s="6" t="s">
        <v>2670</v>
      </c>
      <c r="AR2526" t="s">
        <v>2671</v>
      </c>
    </row>
    <row r="2527" spans="5:44">
      <c r="E2527" s="11"/>
      <c r="F25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7" s="13" t="s">
        <v>2992</v>
      </c>
      <c r="H2527" s="13" t="s">
        <v>84</v>
      </c>
      <c r="I2527" s="12" t="str">
        <f>Table1[[#This Row],[type]]</f>
        <v>shadow</v>
      </c>
      <c r="J2527" s="62" t="str">
        <f>Table1[[#This Row],[Column42]]&amp;IF(Table1[[#This Row],[Column13]]="","",Table1[[#This Row],[Column13]])&amp;IF(Table1[[#This Row],[mod]]="","",Table1[[#This Row],[mod]])</f>
        <v>shadow--inset</v>
      </c>
      <c r="K25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27" t="s">
        <v>3141</v>
      </c>
      <c r="P2527" s="6" t="s">
        <v>2673</v>
      </c>
      <c r="Q25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--inset</v>
      </c>
      <c r="S2527" t="s">
        <v>3711</v>
      </c>
      <c r="U25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7" s="29"/>
      <c r="AC2527" s="25"/>
      <c r="AD2527" s="41"/>
      <c r="AE2527" s="41"/>
      <c r="AF2527" s="11"/>
      <c r="AH2527" s="1" t="str">
        <f>Table1[[#This Row],[html_tag]]&amp;Table1[[#This Row],[html_type]]&amp;Table1[[#This Row],[html_modifier]]</f>
        <v/>
      </c>
      <c r="AL2527" s="22" t="str">
        <f>IFERROR(_xlfn.XLOOKUP(Table1[[#This Row],[word]],Table57[English style name],Table57[Style type]),"")</f>
        <v/>
      </c>
      <c r="AM2527" s="20"/>
      <c r="AN2527" s="11"/>
      <c r="AQ2527" s="6" t="s">
        <v>2673</v>
      </c>
      <c r="AR2527" t="s">
        <v>2671</v>
      </c>
    </row>
    <row r="2528" spans="5:44">
      <c r="E2528" s="11"/>
      <c r="F25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8" s="13" t="s">
        <v>2992</v>
      </c>
      <c r="H2528" s="13" t="s">
        <v>84</v>
      </c>
      <c r="I2528" s="12" t="str">
        <f>Table1[[#This Row],[type]]</f>
        <v>shadow</v>
      </c>
      <c r="J2528" s="62" t="str">
        <f>Table1[[#This Row],[Column42]]&amp;IF(Table1[[#This Row],[Column13]]="","",Table1[[#This Row],[Column13]])&amp;IF(Table1[[#This Row],[mod]]="","",Table1[[#This Row],[mod]])</f>
        <v>shadow--lg</v>
      </c>
      <c r="K25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28" t="s">
        <v>3141</v>
      </c>
      <c r="P2528" s="6" t="s">
        <v>2675</v>
      </c>
      <c r="Q25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528" t="s">
        <v>3114</v>
      </c>
      <c r="AB2528" s="29"/>
      <c r="AC2528" s="25" t="s">
        <v>5995</v>
      </c>
      <c r="AD2528" s="41"/>
      <c r="AE2528" s="41"/>
      <c r="AF2528" s="11"/>
      <c r="AH2528" s="1" t="str">
        <f>Table1[[#This Row],[html_tag]]&amp;Table1[[#This Row],[html_type]]&amp;Table1[[#This Row],[html_modifier]]</f>
        <v/>
      </c>
      <c r="AL2528" s="22" t="str">
        <f>IFERROR(_xlfn.XLOOKUP(Table1[[#This Row],[word]],Table57[English style name],Table57[Style type]),"")</f>
        <v/>
      </c>
      <c r="AM2528" s="20"/>
      <c r="AN2528" s="11"/>
      <c r="AQ2528" s="6" t="s">
        <v>2675</v>
      </c>
      <c r="AR2528" t="s">
        <v>2671</v>
      </c>
    </row>
    <row r="2529" spans="5:44">
      <c r="E2529" s="11"/>
      <c r="F25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9" s="13" t="s">
        <v>2992</v>
      </c>
      <c r="H2529" s="13" t="s">
        <v>84</v>
      </c>
      <c r="I2529" s="12" t="str">
        <f>Table1[[#This Row],[type]]</f>
        <v>shadow</v>
      </c>
      <c r="J2529" s="62" t="str">
        <f>Table1[[#This Row],[Column42]]&amp;IF(Table1[[#This Row],[Column13]]="","",Table1[[#This Row],[Column13]])&amp;IF(Table1[[#This Row],[mod]]="","",Table1[[#This Row],[mod]])</f>
        <v>shadow--md</v>
      </c>
      <c r="K25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29" t="s">
        <v>3141</v>
      </c>
      <c r="P2529" s="6" t="s">
        <v>2676</v>
      </c>
      <c r="Q25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529" t="s">
        <v>3115</v>
      </c>
      <c r="AB2529" s="29"/>
      <c r="AC2529" s="25" t="s">
        <v>5994</v>
      </c>
      <c r="AD2529" s="41"/>
      <c r="AE2529" s="41"/>
      <c r="AF2529" s="11"/>
      <c r="AH2529" s="1" t="str">
        <f>Table1[[#This Row],[html_tag]]&amp;Table1[[#This Row],[html_type]]&amp;Table1[[#This Row],[html_modifier]]</f>
        <v/>
      </c>
      <c r="AL2529" s="22" t="str">
        <f>IFERROR(_xlfn.XLOOKUP(Table1[[#This Row],[word]],Table57[English style name],Table57[Style type]),"")</f>
        <v/>
      </c>
      <c r="AM2529" s="20"/>
      <c r="AN2529" s="11"/>
      <c r="AQ2529" s="6" t="s">
        <v>2676</v>
      </c>
      <c r="AR2529" t="s">
        <v>2671</v>
      </c>
    </row>
    <row r="2530" spans="5:44">
      <c r="E2530" s="11"/>
      <c r="F25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30" s="13" t="s">
        <v>2992</v>
      </c>
      <c r="H2530" s="13" t="s">
        <v>84</v>
      </c>
      <c r="I2530" s="12" t="str">
        <f>Table1[[#This Row],[type]]</f>
        <v>shadow</v>
      </c>
      <c r="J2530" s="62" t="str">
        <f>Table1[[#This Row],[Column42]]&amp;IF(Table1[[#This Row],[Column13]]="","",Table1[[#This Row],[Column13]])&amp;IF(Table1[[#This Row],[mod]]="","",Table1[[#This Row],[mod]])</f>
        <v>shadow--none</v>
      </c>
      <c r="K25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30" t="s">
        <v>3141</v>
      </c>
      <c r="P2530" s="6" t="s">
        <v>2677</v>
      </c>
      <c r="Q25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--none</v>
      </c>
      <c r="S2530" t="s">
        <v>3209</v>
      </c>
      <c r="U25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0" s="29"/>
      <c r="AC2530" s="25" t="s">
        <v>5996</v>
      </c>
      <c r="AD2530" s="41"/>
      <c r="AE2530" s="41"/>
      <c r="AF2530" s="11"/>
      <c r="AH2530" s="1" t="str">
        <f>Table1[[#This Row],[html_tag]]&amp;Table1[[#This Row],[html_type]]&amp;Table1[[#This Row],[html_modifier]]</f>
        <v/>
      </c>
      <c r="AL2530" s="22" t="str">
        <f>IFERROR(_xlfn.XLOOKUP(Table1[[#This Row],[word]],Table57[English style name],Table57[Style type]),"")</f>
        <v/>
      </c>
      <c r="AM2530" s="20"/>
      <c r="AN2530" s="11"/>
      <c r="AQ2530" s="6" t="s">
        <v>2677</v>
      </c>
      <c r="AR2530" t="s">
        <v>2671</v>
      </c>
    </row>
    <row r="2531" spans="5:44">
      <c r="E2531" s="11"/>
      <c r="F25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31" s="13" t="s">
        <v>2992</v>
      </c>
      <c r="H2531" s="13" t="s">
        <v>84</v>
      </c>
      <c r="I2531" s="12" t="str">
        <f>Table1[[#This Row],[type]]</f>
        <v>shadow</v>
      </c>
      <c r="J2531" s="62" t="str">
        <f>Table1[[#This Row],[Column42]]&amp;IF(Table1[[#This Row],[Column13]]="","",Table1[[#This Row],[Column13]])&amp;IF(Table1[[#This Row],[mod]]="","",Table1[[#This Row],[mod]])</f>
        <v>shadow--sm</v>
      </c>
      <c r="K25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31" t="s">
        <v>3141</v>
      </c>
      <c r="P2531" s="6" t="s">
        <v>2679</v>
      </c>
      <c r="Q25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31" s="3" t="s">
        <v>3116</v>
      </c>
      <c r="AB2531" s="29"/>
      <c r="AC2531" s="25" t="s">
        <v>5997</v>
      </c>
      <c r="AD2531" s="41"/>
      <c r="AE2531" s="41"/>
      <c r="AF2531" s="11"/>
      <c r="AH2531" s="1" t="str">
        <f>Table1[[#This Row],[html_tag]]&amp;Table1[[#This Row],[html_type]]&amp;Table1[[#This Row],[html_modifier]]</f>
        <v/>
      </c>
      <c r="AL2531" s="22" t="str">
        <f>IFERROR(_xlfn.XLOOKUP(Table1[[#This Row],[word]],Table57[English style name],Table57[Style type]),"")</f>
        <v/>
      </c>
      <c r="AM2531" s="20"/>
      <c r="AN2531" s="11"/>
      <c r="AQ2531" s="6" t="s">
        <v>2679</v>
      </c>
      <c r="AR2531" t="s">
        <v>2671</v>
      </c>
    </row>
    <row r="2532" spans="5:44">
      <c r="E2532" s="11"/>
      <c r="F25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32" s="13" t="s">
        <v>2992</v>
      </c>
      <c r="H2532" s="13" t="s">
        <v>84</v>
      </c>
      <c r="I2532" s="12" t="str">
        <f>Table1[[#This Row],[type]]</f>
        <v>shadow</v>
      </c>
      <c r="J2532" s="62" t="str">
        <f>Table1[[#This Row],[Column42]]&amp;IF(Table1[[#This Row],[Column13]]="","",Table1[[#This Row],[Column13]])&amp;IF(Table1[[#This Row],[mod]]="","",Table1[[#This Row],[mod]])</f>
        <v>shadow--xl</v>
      </c>
      <c r="K25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32" t="s">
        <v>3141</v>
      </c>
      <c r="P2532" s="6" t="s">
        <v>2681</v>
      </c>
      <c r="Q25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532" s="3" t="s">
        <v>3126</v>
      </c>
      <c r="AB2532" s="29"/>
      <c r="AC2532" s="25"/>
      <c r="AD2532" s="41"/>
      <c r="AE2532" s="41"/>
      <c r="AF2532" s="11"/>
      <c r="AH2532" s="1" t="str">
        <f>Table1[[#This Row],[html_tag]]&amp;Table1[[#This Row],[html_type]]&amp;Table1[[#This Row],[html_modifier]]</f>
        <v/>
      </c>
      <c r="AL2532" s="22" t="str">
        <f>IFERROR(_xlfn.XLOOKUP(Table1[[#This Row],[word]],Table57[English style name],Table57[Style type]),"")</f>
        <v/>
      </c>
      <c r="AM2532" s="20"/>
      <c r="AN2532" s="11"/>
      <c r="AQ2532" s="6" t="s">
        <v>2681</v>
      </c>
      <c r="AR2532" t="s">
        <v>2671</v>
      </c>
    </row>
    <row r="2533" spans="5:44">
      <c r="E2533" s="11"/>
      <c r="F25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3" s="13" t="s">
        <v>461</v>
      </c>
      <c r="H2533" s="13" t="s">
        <v>2990</v>
      </c>
      <c r="I2533" s="12" t="str">
        <f>Table1[[#This Row],[type]]</f>
        <v>sidebar</v>
      </c>
      <c r="J2533" s="62" t="str">
        <f>Table1[[#This Row],[Column42]]&amp;IF(Table1[[#This Row],[Column13]]="","",Table1[[#This Row],[Column13]])&amp;IF(Table1[[#This Row],[mod]]="","",Table1[[#This Row],[mod]])</f>
        <v>sidebar</v>
      </c>
      <c r="K25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3" t="s">
        <v>3146</v>
      </c>
      <c r="P2533" s="6" t="s">
        <v>2532</v>
      </c>
      <c r="Q25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3" s="29"/>
      <c r="AC2533" s="25"/>
      <c r="AD2533" s="41"/>
      <c r="AE2533" s="41"/>
      <c r="AF2533" s="11"/>
      <c r="AH2533" s="1" t="str">
        <f>Table1[[#This Row],[html_tag]]&amp;Table1[[#This Row],[html_type]]&amp;Table1[[#This Row],[html_modifier]]</f>
        <v/>
      </c>
      <c r="AL2533" s="22" t="str">
        <f>IFERROR(_xlfn.XLOOKUP(Table1[[#This Row],[word]],Table57[English style name],Table57[Style type]),"")</f>
        <v/>
      </c>
      <c r="AM2533" s="20"/>
      <c r="AN2533" s="11"/>
      <c r="AQ2533" s="6" t="s">
        <v>2532</v>
      </c>
      <c r="AR2533" t="s">
        <v>2533</v>
      </c>
    </row>
    <row r="2534" spans="5:44">
      <c r="E2534" s="11"/>
      <c r="F25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4" s="13" t="s">
        <v>461</v>
      </c>
      <c r="H2534" s="13" t="s">
        <v>2990</v>
      </c>
      <c r="I2534" s="12" t="str">
        <f>Table1[[#This Row],[type]]</f>
        <v>sidebar</v>
      </c>
      <c r="J2534" s="62" t="str">
        <f>Table1[[#This Row],[Column42]]&amp;IF(Table1[[#This Row],[Column13]]="","",Table1[[#This Row],[Column13]])&amp;IF(Table1[[#This Row],[mod]]="","",Table1[[#This Row],[mod]])</f>
        <v>sidebar</v>
      </c>
      <c r="K25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4" t="s">
        <v>3146</v>
      </c>
      <c r="P2534" s="6" t="s">
        <v>2535</v>
      </c>
      <c r="Q25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4" s="29"/>
      <c r="AC2534" s="25"/>
      <c r="AD2534" s="41"/>
      <c r="AE2534" s="41"/>
      <c r="AF2534" s="11"/>
      <c r="AH2534" s="1" t="str">
        <f>Table1[[#This Row],[html_tag]]&amp;Table1[[#This Row],[html_type]]&amp;Table1[[#This Row],[html_modifier]]</f>
        <v/>
      </c>
      <c r="AL2534" s="22" t="str">
        <f>IFERROR(_xlfn.XLOOKUP(Table1[[#This Row],[word]],Table57[English style name],Table57[Style type]),"")</f>
        <v/>
      </c>
      <c r="AM2534" s="20"/>
      <c r="AN2534" s="11"/>
      <c r="AQ2534" s="6" t="s">
        <v>2535</v>
      </c>
      <c r="AR2534" t="s">
        <v>2533</v>
      </c>
    </row>
    <row r="2535" spans="5:44">
      <c r="E2535" s="11"/>
      <c r="F25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5" s="13" t="s">
        <v>461</v>
      </c>
      <c r="H2535" s="13" t="s">
        <v>2990</v>
      </c>
      <c r="I2535" s="12" t="str">
        <f>Table1[[#This Row],[type]]</f>
        <v>sidebar</v>
      </c>
      <c r="J2535" s="62" t="str">
        <f>Table1[[#This Row],[Column42]]&amp;IF(Table1[[#This Row],[Column13]]="","",Table1[[#This Row],[Column13]])&amp;IF(Table1[[#This Row],[mod]]="","",Table1[[#This Row],[mod]])</f>
        <v>sidebar</v>
      </c>
      <c r="K25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5" t="s">
        <v>3146</v>
      </c>
      <c r="P2535" s="6" t="s">
        <v>2538</v>
      </c>
      <c r="Q25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5" s="29"/>
      <c r="AC2535" s="25"/>
      <c r="AD2535" s="41"/>
      <c r="AE2535" s="41"/>
      <c r="AF2535" s="11"/>
      <c r="AH2535" s="1" t="str">
        <f>Table1[[#This Row],[html_tag]]&amp;Table1[[#This Row],[html_type]]&amp;Table1[[#This Row],[html_modifier]]</f>
        <v/>
      </c>
      <c r="AL2535" s="22" t="str">
        <f>IFERROR(_xlfn.XLOOKUP(Table1[[#This Row],[word]],Table57[English style name],Table57[Style type]),"")</f>
        <v/>
      </c>
      <c r="AM2535" s="20"/>
      <c r="AN2535" s="11"/>
      <c r="AQ2535" s="6" t="s">
        <v>2538</v>
      </c>
      <c r="AR2535" t="s">
        <v>2533</v>
      </c>
    </row>
    <row r="2536" spans="5:44">
      <c r="E2536" s="11"/>
      <c r="F25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6" s="13" t="s">
        <v>461</v>
      </c>
      <c r="H2536" s="13" t="s">
        <v>2990</v>
      </c>
      <c r="I2536" s="12" t="str">
        <f>Table1[[#This Row],[type]]</f>
        <v>sidebar</v>
      </c>
      <c r="J2536" s="62" t="str">
        <f>Table1[[#This Row],[Column42]]&amp;IF(Table1[[#This Row],[Column13]]="","",Table1[[#This Row],[Column13]])&amp;IF(Table1[[#This Row],[mod]]="","",Table1[[#This Row],[mod]])</f>
        <v>sidebar</v>
      </c>
      <c r="K25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6" t="s">
        <v>3146</v>
      </c>
      <c r="P2536" s="6" t="s">
        <v>2534</v>
      </c>
      <c r="Q25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6" s="29"/>
      <c r="AC2536" s="25"/>
      <c r="AD2536" s="41"/>
      <c r="AE2536" s="41"/>
      <c r="AF2536" s="11"/>
      <c r="AH2536" s="1" t="str">
        <f>Table1[[#This Row],[html_tag]]&amp;Table1[[#This Row],[html_type]]&amp;Table1[[#This Row],[html_modifier]]</f>
        <v/>
      </c>
      <c r="AL2536" s="22" t="str">
        <f>IFERROR(_xlfn.XLOOKUP(Table1[[#This Row],[word]],Table57[English style name],Table57[Style type]),"")</f>
        <v/>
      </c>
      <c r="AM2536" s="20"/>
      <c r="AN2536" s="11"/>
      <c r="AQ2536" s="6" t="s">
        <v>2534</v>
      </c>
      <c r="AR2536" t="s">
        <v>2533</v>
      </c>
    </row>
    <row r="2537" spans="5:44">
      <c r="E2537" s="11"/>
      <c r="F25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7" s="13" t="s">
        <v>461</v>
      </c>
      <c r="H2537" s="13" t="s">
        <v>2990</v>
      </c>
      <c r="I2537" s="12" t="str">
        <f>Table1[[#This Row],[type]]</f>
        <v>sidebar</v>
      </c>
      <c r="J2537" s="62" t="str">
        <f>Table1[[#This Row],[Column42]]&amp;IF(Table1[[#This Row],[Column13]]="","",Table1[[#This Row],[Column13]])&amp;IF(Table1[[#This Row],[mod]]="","",Table1[[#This Row],[mod]])</f>
        <v>sidebar</v>
      </c>
      <c r="K25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7" t="s">
        <v>3146</v>
      </c>
      <c r="P2537" s="6" t="s">
        <v>2539</v>
      </c>
      <c r="Q25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7" s="29"/>
      <c r="AC2537" s="25"/>
      <c r="AD2537" s="41"/>
      <c r="AE2537" s="41"/>
      <c r="AF2537" s="11"/>
      <c r="AH2537" s="1" t="str">
        <f>Table1[[#This Row],[html_tag]]&amp;Table1[[#This Row],[html_type]]&amp;Table1[[#This Row],[html_modifier]]</f>
        <v/>
      </c>
      <c r="AL2537" s="22" t="str">
        <f>IFERROR(_xlfn.XLOOKUP(Table1[[#This Row],[word]],Table57[English style name],Table57[Style type]),"")</f>
        <v/>
      </c>
      <c r="AM2537" s="20"/>
      <c r="AN2537" s="11"/>
      <c r="AQ2537" s="6" t="s">
        <v>2539</v>
      </c>
      <c r="AR2537" t="s">
        <v>2533</v>
      </c>
    </row>
    <row r="2538" spans="5:44">
      <c r="E2538" s="11"/>
      <c r="F25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538" s="13" t="s">
        <v>337</v>
      </c>
      <c r="H2538" s="13" t="s">
        <v>2988</v>
      </c>
      <c r="I2538" s="12" t="str">
        <f>Table1[[#This Row],[type]]</f>
        <v>sidebar</v>
      </c>
      <c r="J2538" s="62" t="str">
        <f>Table1[[#This Row],[Column42]]&amp;IF(Table1[[#This Row],[Column13]]="","",Table1[[#This Row],[Column13]])&amp;IF(Table1[[#This Row],[mod]]="","",Table1[[#This Row],[mod]])</f>
        <v>sidebar</v>
      </c>
      <c r="K25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8" t="s">
        <v>3146</v>
      </c>
      <c r="P2538" s="6" t="s">
        <v>2530</v>
      </c>
      <c r="Q25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8" s="29"/>
      <c r="AC2538" s="25"/>
      <c r="AD2538" s="41"/>
      <c r="AE2538" s="41"/>
      <c r="AF2538" s="11"/>
      <c r="AH2538" s="1" t="str">
        <f>Table1[[#This Row],[html_tag]]&amp;Table1[[#This Row],[html_type]]&amp;Table1[[#This Row],[html_modifier]]</f>
        <v/>
      </c>
      <c r="AL2538" s="22" t="str">
        <f>IFERROR(_xlfn.XLOOKUP(Table1[[#This Row],[word]],Table57[English style name],Table57[Style type]),"")</f>
        <v/>
      </c>
      <c r="AM2538" s="20"/>
      <c r="AN2538" s="11"/>
      <c r="AQ2538" s="6" t="s">
        <v>2530</v>
      </c>
      <c r="AR2538" t="s">
        <v>2527</v>
      </c>
    </row>
    <row r="2539" spans="5:44">
      <c r="E2539" s="11"/>
      <c r="F25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9" s="13" t="s">
        <v>461</v>
      </c>
      <c r="H2539" s="13" t="s">
        <v>2990</v>
      </c>
      <c r="I2539" s="12" t="str">
        <f>Table1[[#This Row],[type]]</f>
        <v>sidebar</v>
      </c>
      <c r="J2539" s="62" t="str">
        <f>Table1[[#This Row],[Column42]]&amp;IF(Table1[[#This Row],[Column13]]="","",Table1[[#This Row],[Column13]])&amp;IF(Table1[[#This Row],[mod]]="","",Table1[[#This Row],[mod]])</f>
        <v>sidebar</v>
      </c>
      <c r="K25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9" t="s">
        <v>3146</v>
      </c>
      <c r="P2539" s="6" t="s">
        <v>2540</v>
      </c>
      <c r="Q25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9" s="29"/>
      <c r="AC2539" s="25"/>
      <c r="AD2539" s="41"/>
      <c r="AE2539" s="41"/>
      <c r="AF2539" s="11"/>
      <c r="AH2539" s="1" t="str">
        <f>Table1[[#This Row],[html_tag]]&amp;Table1[[#This Row],[html_type]]&amp;Table1[[#This Row],[html_modifier]]</f>
        <v/>
      </c>
      <c r="AL2539" s="22" t="str">
        <f>IFERROR(_xlfn.XLOOKUP(Table1[[#This Row],[word]],Table57[English style name],Table57[Style type]),"")</f>
        <v/>
      </c>
      <c r="AM2539" s="20"/>
      <c r="AN2539" s="11"/>
      <c r="AQ2539" s="6" t="s">
        <v>2540</v>
      </c>
      <c r="AR2539" t="s">
        <v>2533</v>
      </c>
    </row>
    <row r="2540" spans="5:44">
      <c r="E2540" s="11"/>
      <c r="F25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0" s="13" t="s">
        <v>461</v>
      </c>
      <c r="H2540" s="13" t="s">
        <v>2990</v>
      </c>
      <c r="I2540" s="12" t="str">
        <f>Table1[[#This Row],[type]]</f>
        <v>sidebar</v>
      </c>
      <c r="J2540" s="62" t="str">
        <f>Table1[[#This Row],[Column42]]&amp;IF(Table1[[#This Row],[Column13]]="","",Table1[[#This Row],[Column13]])&amp;IF(Table1[[#This Row],[mod]]="","",Table1[[#This Row],[mod]])</f>
        <v>sidebar</v>
      </c>
      <c r="K25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0" t="s">
        <v>3146</v>
      </c>
      <c r="P2540" s="6" t="s">
        <v>2541</v>
      </c>
      <c r="Q25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0" s="29"/>
      <c r="AC2540" s="25"/>
      <c r="AD2540" s="41"/>
      <c r="AE2540" s="41"/>
      <c r="AF2540" s="11"/>
      <c r="AH2540" s="1" t="str">
        <f>Table1[[#This Row],[html_tag]]&amp;Table1[[#This Row],[html_type]]&amp;Table1[[#This Row],[html_modifier]]</f>
        <v/>
      </c>
      <c r="AL2540" s="22" t="str">
        <f>IFERROR(_xlfn.XLOOKUP(Table1[[#This Row],[word]],Table57[English style name],Table57[Style type]),"")</f>
        <v/>
      </c>
      <c r="AM2540" s="20"/>
      <c r="AN2540" s="11"/>
      <c r="AQ2540" s="6" t="s">
        <v>2541</v>
      </c>
      <c r="AR2540" t="s">
        <v>2533</v>
      </c>
    </row>
    <row r="2541" spans="5:44">
      <c r="E2541" s="11"/>
      <c r="F25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1" s="13" t="s">
        <v>461</v>
      </c>
      <c r="H2541" s="13" t="s">
        <v>2990</v>
      </c>
      <c r="I2541" s="12" t="str">
        <f>Table1[[#This Row],[type]]</f>
        <v>sidebar</v>
      </c>
      <c r="J2541" s="62" t="str">
        <f>Table1[[#This Row],[Column42]]&amp;IF(Table1[[#This Row],[Column13]]="","",Table1[[#This Row],[Column13]])&amp;IF(Table1[[#This Row],[mod]]="","",Table1[[#This Row],[mod]])</f>
        <v>sidebar</v>
      </c>
      <c r="K25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1" t="s">
        <v>3146</v>
      </c>
      <c r="P2541" s="6" t="s">
        <v>2542</v>
      </c>
      <c r="Q25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1" s="29"/>
      <c r="AC2541" s="25"/>
      <c r="AD2541" s="41"/>
      <c r="AE2541" s="41"/>
      <c r="AF2541" s="11"/>
      <c r="AH2541" s="1" t="str">
        <f>Table1[[#This Row],[html_tag]]&amp;Table1[[#This Row],[html_type]]&amp;Table1[[#This Row],[html_modifier]]</f>
        <v/>
      </c>
      <c r="AL2541" s="22" t="str">
        <f>IFERROR(_xlfn.XLOOKUP(Table1[[#This Row],[word]],Table57[English style name],Table57[Style type]),"")</f>
        <v/>
      </c>
      <c r="AM2541" s="20"/>
      <c r="AN2541" s="11"/>
      <c r="AQ2541" s="6" t="s">
        <v>2542</v>
      </c>
      <c r="AR2541" t="s">
        <v>2533</v>
      </c>
    </row>
    <row r="2542" spans="5:44">
      <c r="E2542" s="11"/>
      <c r="F25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542" s="13" t="s">
        <v>337</v>
      </c>
      <c r="H2542" s="13" t="s">
        <v>2988</v>
      </c>
      <c r="I2542" s="12" t="str">
        <f>Table1[[#This Row],[type]]</f>
        <v>sidebar</v>
      </c>
      <c r="J2542" s="62" t="str">
        <f>Table1[[#This Row],[Column42]]&amp;IF(Table1[[#This Row],[Column13]]="","",Table1[[#This Row],[Column13]])&amp;IF(Table1[[#This Row],[mod]]="","",Table1[[#This Row],[mod]])</f>
        <v>sidebar</v>
      </c>
      <c r="K25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2" t="s">
        <v>3146</v>
      </c>
      <c r="P2542" s="6" t="s">
        <v>2531</v>
      </c>
      <c r="Q25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2" s="29"/>
      <c r="AC2542" s="25"/>
      <c r="AD2542" s="41"/>
      <c r="AE2542" s="41"/>
      <c r="AF2542" s="11"/>
      <c r="AH2542" s="1" t="str">
        <f>Table1[[#This Row],[html_tag]]&amp;Table1[[#This Row],[html_type]]&amp;Table1[[#This Row],[html_modifier]]</f>
        <v/>
      </c>
      <c r="AL2542" s="22" t="str">
        <f>IFERROR(_xlfn.XLOOKUP(Table1[[#This Row],[word]],Table57[English style name],Table57[Style type]),"")</f>
        <v/>
      </c>
      <c r="AM2542" s="20"/>
      <c r="AN2542" s="11"/>
      <c r="AQ2542" s="6" t="s">
        <v>2531</v>
      </c>
      <c r="AR2542" t="s">
        <v>2527</v>
      </c>
    </row>
    <row r="2543" spans="5:44">
      <c r="E2543" s="11"/>
      <c r="F25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3" s="13" t="s">
        <v>461</v>
      </c>
      <c r="H2543" s="13" t="s">
        <v>2990</v>
      </c>
      <c r="I2543" s="12" t="str">
        <f>Table1[[#This Row],[type]]</f>
        <v>sidebar</v>
      </c>
      <c r="J2543" s="62" t="str">
        <f>Table1[[#This Row],[Column42]]&amp;IF(Table1[[#This Row],[Column13]]="","",Table1[[#This Row],[Column13]])&amp;IF(Table1[[#This Row],[mod]]="","",Table1[[#This Row],[mod]])</f>
        <v>sidebar</v>
      </c>
      <c r="K25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3" t="s">
        <v>3146</v>
      </c>
      <c r="P2543" s="6" t="s">
        <v>2543</v>
      </c>
      <c r="Q25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3" s="29"/>
      <c r="AC2543" s="25"/>
      <c r="AD2543" s="41"/>
      <c r="AE2543" s="41"/>
      <c r="AF2543" s="11"/>
      <c r="AH2543" s="1" t="str">
        <f>Table1[[#This Row],[html_tag]]&amp;Table1[[#This Row],[html_type]]&amp;Table1[[#This Row],[html_modifier]]</f>
        <v/>
      </c>
      <c r="AL2543" s="22" t="str">
        <f>IFERROR(_xlfn.XLOOKUP(Table1[[#This Row],[word]],Table57[English style name],Table57[Style type]),"")</f>
        <v/>
      </c>
      <c r="AM2543" s="20"/>
      <c r="AN2543" s="11"/>
      <c r="AQ2543" s="6" t="s">
        <v>2543</v>
      </c>
      <c r="AR2543" t="s">
        <v>2533</v>
      </c>
    </row>
    <row r="2544" spans="5:44">
      <c r="E2544" s="11"/>
      <c r="F25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4" s="13" t="s">
        <v>461</v>
      </c>
      <c r="H2544" s="13" t="s">
        <v>2990</v>
      </c>
      <c r="I2544" s="12" t="str">
        <f>Table1[[#This Row],[type]]</f>
        <v>sidebar</v>
      </c>
      <c r="J2544" s="62" t="str">
        <f>Table1[[#This Row],[Column42]]&amp;IF(Table1[[#This Row],[Column13]]="","",Table1[[#This Row],[Column13]])&amp;IF(Table1[[#This Row],[mod]]="","",Table1[[#This Row],[mod]])</f>
        <v>sidebar</v>
      </c>
      <c r="K25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4" t="s">
        <v>3146</v>
      </c>
      <c r="P2544" s="6" t="s">
        <v>2544</v>
      </c>
      <c r="Q25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4" s="29"/>
      <c r="AC2544" s="25"/>
      <c r="AD2544" s="41"/>
      <c r="AE2544" s="41"/>
      <c r="AF2544" s="11"/>
      <c r="AH2544" s="1" t="str">
        <f>Table1[[#This Row],[html_tag]]&amp;Table1[[#This Row],[html_type]]&amp;Table1[[#This Row],[html_modifier]]</f>
        <v/>
      </c>
      <c r="AL2544" s="22" t="str">
        <f>IFERROR(_xlfn.XLOOKUP(Table1[[#This Row],[word]],Table57[English style name],Table57[Style type]),"")</f>
        <v/>
      </c>
      <c r="AM2544" s="20"/>
      <c r="AN2544" s="11"/>
      <c r="AQ2544" s="6" t="s">
        <v>2544</v>
      </c>
      <c r="AR2544" t="s">
        <v>2533</v>
      </c>
    </row>
    <row r="2545" spans="5:44">
      <c r="E2545" s="11"/>
      <c r="F25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5" s="13" t="s">
        <v>461</v>
      </c>
      <c r="H2545" s="13" t="s">
        <v>2990</v>
      </c>
      <c r="I2545" s="12" t="str">
        <f>Table1[[#This Row],[type]]</f>
        <v>sidebar</v>
      </c>
      <c r="J2545" s="62" t="str">
        <f>Table1[[#This Row],[Column42]]&amp;IF(Table1[[#This Row],[Column13]]="","",Table1[[#This Row],[Column13]])&amp;IF(Table1[[#This Row],[mod]]="","",Table1[[#This Row],[mod]])</f>
        <v>sidebar</v>
      </c>
      <c r="K25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5" t="s">
        <v>3146</v>
      </c>
      <c r="P2545" s="6" t="s">
        <v>2547</v>
      </c>
      <c r="Q25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5" s="29"/>
      <c r="AC2545" s="25"/>
      <c r="AD2545" s="41"/>
      <c r="AE2545" s="41"/>
      <c r="AF2545" s="11"/>
      <c r="AH2545" s="1" t="str">
        <f>Table1[[#This Row],[html_tag]]&amp;Table1[[#This Row],[html_type]]&amp;Table1[[#This Row],[html_modifier]]</f>
        <v/>
      </c>
      <c r="AL2545" s="22" t="str">
        <f>IFERROR(_xlfn.XLOOKUP(Table1[[#This Row],[word]],Table57[English style name],Table57[Style type]),"")</f>
        <v/>
      </c>
      <c r="AM2545" s="20"/>
      <c r="AN2545" s="11"/>
      <c r="AQ2545" s="6" t="s">
        <v>2547</v>
      </c>
      <c r="AR2545" t="s">
        <v>2533</v>
      </c>
    </row>
    <row r="2546" spans="5:44">
      <c r="E2546" s="11"/>
      <c r="F25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6" s="13" t="s">
        <v>461</v>
      </c>
      <c r="H2546" s="13" t="s">
        <v>2990</v>
      </c>
      <c r="I2546" s="12" t="str">
        <f>Table1[[#This Row],[type]]</f>
        <v>sidebar</v>
      </c>
      <c r="J2546" s="62" t="str">
        <f>Table1[[#This Row],[Column42]]&amp;IF(Table1[[#This Row],[Column13]]="","",Table1[[#This Row],[Column13]])&amp;IF(Table1[[#This Row],[mod]]="","",Table1[[#This Row],[mod]])</f>
        <v>sidebar</v>
      </c>
      <c r="K25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6" t="s">
        <v>3146</v>
      </c>
      <c r="P2546" s="6" t="s">
        <v>2548</v>
      </c>
      <c r="Q25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6" s="29"/>
      <c r="AC2546" s="25"/>
      <c r="AD2546" s="41"/>
      <c r="AE2546" s="41"/>
      <c r="AF2546" s="11"/>
      <c r="AH2546" s="1" t="str">
        <f>Table1[[#This Row],[html_tag]]&amp;Table1[[#This Row],[html_type]]&amp;Table1[[#This Row],[html_modifier]]</f>
        <v/>
      </c>
      <c r="AL2546" s="22" t="str">
        <f>IFERROR(_xlfn.XLOOKUP(Table1[[#This Row],[word]],Table57[English style name],Table57[Style type]),"")</f>
        <v/>
      </c>
      <c r="AM2546" s="20"/>
      <c r="AN2546" s="11"/>
      <c r="AQ2546" s="6" t="s">
        <v>2548</v>
      </c>
      <c r="AR2546" t="s">
        <v>2533</v>
      </c>
    </row>
    <row r="2547" spans="5:44">
      <c r="E2547" s="11"/>
      <c r="F25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7" s="13" t="s">
        <v>461</v>
      </c>
      <c r="H2547" s="13" t="s">
        <v>2990</v>
      </c>
      <c r="I2547" s="12" t="str">
        <f>Table1[[#This Row],[type]]</f>
        <v>sidebar</v>
      </c>
      <c r="J2547" s="62" t="str">
        <f>Table1[[#This Row],[Column42]]&amp;IF(Table1[[#This Row],[Column13]]="","",Table1[[#This Row],[Column13]])&amp;IF(Table1[[#This Row],[mod]]="","",Table1[[#This Row],[mod]])</f>
        <v>sidebar__accordion__header</v>
      </c>
      <c r="K25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sidebar__accordion__header</v>
      </c>
      <c r="L2547" t="s">
        <v>3146</v>
      </c>
      <c r="M2547" t="s">
        <v>3103</v>
      </c>
      <c r="O2547" t="s">
        <v>465</v>
      </c>
      <c r="Q25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7" s="29"/>
      <c r="AC2547" s="25"/>
      <c r="AD2547" s="41"/>
      <c r="AE2547" s="41"/>
      <c r="AF2547" s="11"/>
      <c r="AH2547" s="1" t="str">
        <f>Table1[[#This Row],[html_tag]]&amp;Table1[[#This Row],[html_type]]&amp;Table1[[#This Row],[html_modifier]]</f>
        <v/>
      </c>
      <c r="AL2547" s="22" t="str">
        <f>IFERROR(_xlfn.XLOOKUP(Table1[[#This Row],[word]],Table57[English style name],Table57[Style type]),"")</f>
        <v/>
      </c>
      <c r="AM2547" s="20"/>
      <c r="AN2547" s="11"/>
      <c r="AQ2547" s="6" t="s">
        <v>2536</v>
      </c>
      <c r="AR2547" t="s">
        <v>2533</v>
      </c>
    </row>
    <row r="2548" spans="5:44">
      <c r="E2548" s="11"/>
      <c r="F25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8" s="13" t="s">
        <v>461</v>
      </c>
      <c r="H2548" s="13" t="s">
        <v>2990</v>
      </c>
      <c r="I2548" s="12" t="str">
        <f>Table1[[#This Row],[type]]</f>
        <v>sidebar</v>
      </c>
      <c r="J2548" s="62" t="str">
        <f>Table1[[#This Row],[Column42]]&amp;IF(Table1[[#This Row],[Column13]]="","",Table1[[#This Row],[Column13]])&amp;IF(Table1[[#This Row],[mod]]="","",Table1[[#This Row],[mod]])</f>
        <v>sidebar__accordion__header--nested</v>
      </c>
      <c r="K25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sidebar__accordion__header</v>
      </c>
      <c r="L2548" t="s">
        <v>3146</v>
      </c>
      <c r="M2548" t="s">
        <v>3103</v>
      </c>
      <c r="O2548" t="s">
        <v>465</v>
      </c>
      <c r="Q25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--nested</v>
      </c>
      <c r="R2548" t="s">
        <v>3412</v>
      </c>
      <c r="U25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8" s="29"/>
      <c r="AC2548" s="25"/>
      <c r="AD2548" s="41"/>
      <c r="AE2548" s="41"/>
      <c r="AF2548" s="11"/>
      <c r="AH2548" s="1" t="str">
        <f>Table1[[#This Row],[html_tag]]&amp;Table1[[#This Row],[html_type]]&amp;Table1[[#This Row],[html_modifier]]</f>
        <v/>
      </c>
      <c r="AL2548" s="22" t="str">
        <f>IFERROR(_xlfn.XLOOKUP(Table1[[#This Row],[word]],Table57[English style name],Table57[Style type]),"")</f>
        <v/>
      </c>
      <c r="AM2548" s="20"/>
      <c r="AN2548" s="11"/>
      <c r="AQ2548" s="6" t="s">
        <v>2537</v>
      </c>
      <c r="AR2548" t="s">
        <v>2533</v>
      </c>
    </row>
    <row r="2549" spans="5:44">
      <c r="E2549" s="11"/>
      <c r="F25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549" s="13" t="s">
        <v>337</v>
      </c>
      <c r="H2549" s="13" t="s">
        <v>2988</v>
      </c>
      <c r="I2549" s="12" t="str">
        <f>Table1[[#This Row],[type]]</f>
        <v>sidebar</v>
      </c>
      <c r="J2549" s="62" t="str">
        <f>Table1[[#This Row],[Column42]]&amp;IF(Table1[[#This Row],[Column13]]="","",Table1[[#This Row],[Column13]])&amp;IF(Table1[[#This Row],[mod]]="","",Table1[[#This Row],[mod]])</f>
        <v>sidebar__left</v>
      </c>
      <c r="K25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sidebar__left</v>
      </c>
      <c r="L2549" t="s">
        <v>3146</v>
      </c>
      <c r="N2549" s="3" t="s">
        <v>616</v>
      </c>
      <c r="P2549" s="6" t="s">
        <v>2528</v>
      </c>
      <c r="Q25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9" s="29"/>
      <c r="AC2549" s="25"/>
      <c r="AD2549" s="41"/>
      <c r="AE2549" s="41"/>
      <c r="AF2549" s="11"/>
      <c r="AH2549" s="1" t="str">
        <f>Table1[[#This Row],[html_tag]]&amp;Table1[[#This Row],[html_type]]&amp;Table1[[#This Row],[html_modifier]]</f>
        <v/>
      </c>
      <c r="AL2549" s="22" t="str">
        <f>IFERROR(_xlfn.XLOOKUP(Table1[[#This Row],[word]],Table57[English style name],Table57[Style type]),"")</f>
        <v/>
      </c>
      <c r="AM2549" s="20"/>
      <c r="AN2549" s="11"/>
      <c r="AQ2549" s="6" t="s">
        <v>2528</v>
      </c>
      <c r="AR2549" t="s">
        <v>2527</v>
      </c>
    </row>
    <row r="2550" spans="5:44">
      <c r="E2550" s="11"/>
      <c r="F25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550" s="13" t="s">
        <v>337</v>
      </c>
      <c r="H2550" s="13" t="s">
        <v>2988</v>
      </c>
      <c r="I2550" s="12" t="str">
        <f>Table1[[#This Row],[type]]</f>
        <v>sidebar</v>
      </c>
      <c r="J2550" s="62" t="str">
        <f>Table1[[#This Row],[Column42]]&amp;IF(Table1[[#This Row],[Column13]]="","",Table1[[#This Row],[Column13]])&amp;IF(Table1[[#This Row],[mod]]="","",Table1[[#This Row],[mod]])</f>
        <v>sidebar__right</v>
      </c>
      <c r="K25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sidebar__right</v>
      </c>
      <c r="L2550" t="s">
        <v>3146</v>
      </c>
      <c r="N2550" t="s">
        <v>617</v>
      </c>
      <c r="P2550" s="6" t="s">
        <v>2529</v>
      </c>
      <c r="Q25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0" s="29"/>
      <c r="AC2550" s="25"/>
      <c r="AD2550" s="41"/>
      <c r="AE2550" s="41"/>
      <c r="AF2550" s="11"/>
      <c r="AH2550" s="1" t="str">
        <f>Table1[[#This Row],[html_tag]]&amp;Table1[[#This Row],[html_type]]&amp;Table1[[#This Row],[html_modifier]]</f>
        <v/>
      </c>
      <c r="AL2550" s="22" t="str">
        <f>IFERROR(_xlfn.XLOOKUP(Table1[[#This Row],[word]],Table57[English style name],Table57[Style type]),"")</f>
        <v/>
      </c>
      <c r="AM2550" s="20"/>
      <c r="AN2550" s="11"/>
      <c r="AQ2550" s="6" t="s">
        <v>2529</v>
      </c>
      <c r="AR2550" t="s">
        <v>2527</v>
      </c>
    </row>
    <row r="2551" spans="5:44">
      <c r="E2551" s="11"/>
      <c r="F25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51" s="13" t="s">
        <v>461</v>
      </c>
      <c r="H2551" s="13" t="s">
        <v>2990</v>
      </c>
      <c r="I2551" s="12" t="str">
        <f>Table1[[#This Row],[type]]</f>
        <v>sidebar</v>
      </c>
      <c r="J2551" s="62" t="str">
        <f>Table1[[#This Row],[Column42]]&amp;IF(Table1[[#This Row],[Column13]]="","",Table1[[#This Row],[Column13]])&amp;IF(Table1[[#This Row],[mod]]="","",Table1[[#This Row],[mod]])</f>
        <v>sidebar__section__header</v>
      </c>
      <c r="K25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sidebar__section__header</v>
      </c>
      <c r="L2551" t="s">
        <v>3146</v>
      </c>
      <c r="M2551" t="s">
        <v>493</v>
      </c>
      <c r="O2551" t="s">
        <v>465</v>
      </c>
      <c r="Q25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1" s="29"/>
      <c r="AC2551" s="25"/>
      <c r="AD2551" s="41"/>
      <c r="AE2551" s="41"/>
      <c r="AF2551" s="11"/>
      <c r="AH2551" s="1" t="str">
        <f>Table1[[#This Row],[html_tag]]&amp;Table1[[#This Row],[html_type]]&amp;Table1[[#This Row],[html_modifier]]</f>
        <v/>
      </c>
      <c r="AL2551" s="22" t="str">
        <f>IFERROR(_xlfn.XLOOKUP(Table1[[#This Row],[word]],Table57[English style name],Table57[Style type]),"")</f>
        <v/>
      </c>
      <c r="AM2551" s="20"/>
      <c r="AN2551" s="11"/>
      <c r="AQ2551" s="6" t="s">
        <v>2545</v>
      </c>
      <c r="AR2551" t="s">
        <v>2533</v>
      </c>
    </row>
    <row r="2552" spans="5:44">
      <c r="E2552" s="11"/>
      <c r="F25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52" s="13" t="s">
        <v>461</v>
      </c>
      <c r="H2552" s="13" t="s">
        <v>2990</v>
      </c>
      <c r="I2552" s="12" t="str">
        <f>Table1[[#This Row],[type]]</f>
        <v>sidebar</v>
      </c>
      <c r="J2552" s="62" t="str">
        <f>Table1[[#This Row],[Column42]]&amp;IF(Table1[[#This Row],[Column13]]="","",Table1[[#This Row],[Column13]])&amp;IF(Table1[[#This Row],[mod]]="","",Table1[[#This Row],[mod]])</f>
        <v>sidebar__subsection__header</v>
      </c>
      <c r="K25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sidebar__subsection__header</v>
      </c>
      <c r="L2552" t="s">
        <v>3146</v>
      </c>
      <c r="M2552" t="s">
        <v>3393</v>
      </c>
      <c r="O2552" t="s">
        <v>465</v>
      </c>
      <c r="Q25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2" s="29"/>
      <c r="AC2552" s="25"/>
      <c r="AD2552" s="41"/>
      <c r="AE2552" s="41"/>
      <c r="AF2552" s="11"/>
      <c r="AH2552" s="1" t="str">
        <f>Table1[[#This Row],[html_tag]]&amp;Table1[[#This Row],[html_type]]&amp;Table1[[#This Row],[html_modifier]]</f>
        <v/>
      </c>
      <c r="AL2552" s="22" t="str">
        <f>IFERROR(_xlfn.XLOOKUP(Table1[[#This Row],[word]],Table57[English style name],Table57[Style type]),"")</f>
        <v/>
      </c>
      <c r="AM2552" s="20"/>
      <c r="AN2552" s="11"/>
      <c r="AQ2552" s="6" t="s">
        <v>2546</v>
      </c>
      <c r="AR2552" t="s">
        <v>2533</v>
      </c>
    </row>
    <row r="2553" spans="5:44">
      <c r="E2553" s="11"/>
      <c r="F25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553" s="13" t="s">
        <v>337</v>
      </c>
      <c r="H2553" s="13" t="s">
        <v>2988</v>
      </c>
      <c r="I2553" s="12" t="str">
        <f>Table1[[#This Row],[type]]</f>
        <v>sidebar</v>
      </c>
      <c r="J2553" s="62" t="str">
        <f>Table1[[#This Row],[Column42]]&amp;IF(Table1[[#This Row],[Column13]]="","",Table1[[#This Row],[Column13]])&amp;IF(Table1[[#This Row],[mod]]="","",Table1[[#This Row],[mod]])</f>
        <v>sidebar--base</v>
      </c>
      <c r="K25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53" t="s">
        <v>3146</v>
      </c>
      <c r="P2553" s="6" t="s">
        <v>2526</v>
      </c>
      <c r="Q25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553" t="s">
        <v>338</v>
      </c>
      <c r="AB2553" s="29"/>
      <c r="AC2553" s="25"/>
      <c r="AD2553" s="41"/>
      <c r="AE2553" s="41"/>
      <c r="AF2553" s="11"/>
      <c r="AH2553" s="1" t="str">
        <f>Table1[[#This Row],[html_tag]]&amp;Table1[[#This Row],[html_type]]&amp;Table1[[#This Row],[html_modifier]]</f>
        <v/>
      </c>
      <c r="AL2553" s="22" t="str">
        <f>IFERROR(_xlfn.XLOOKUP(Table1[[#This Row],[word]],Table57[English style name],Table57[Style type]),"")</f>
        <v/>
      </c>
      <c r="AM2553" s="20"/>
      <c r="AN2553" s="11"/>
      <c r="AQ2553" s="6" t="s">
        <v>2526</v>
      </c>
      <c r="AR2553" t="s">
        <v>2527</v>
      </c>
    </row>
    <row r="2554" spans="5:44">
      <c r="E2554" s="11"/>
      <c r="F25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554" s="13"/>
      <c r="H2554" s="13"/>
      <c r="I2554" s="12" t="str">
        <f>Table1[[#This Row],[type]]</f>
        <v>skeleton</v>
      </c>
      <c r="J2554" s="62" t="str">
        <f>Table1[[#This Row],[Column42]]&amp;IF(Table1[[#This Row],[Column13]]="","",Table1[[#This Row],[Column13]])&amp;IF(Table1[[#This Row],[mod]]="","",Table1[[#This Row],[mod]])</f>
        <v>skeleton</v>
      </c>
      <c r="K25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skeleton</v>
      </c>
      <c r="L2554" t="s">
        <v>7200</v>
      </c>
      <c r="Q25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4" s="29"/>
      <c r="AC2554" s="25"/>
      <c r="AD2554" s="41" t="s">
        <v>7206</v>
      </c>
      <c r="AE2554" s="41"/>
      <c r="AF2554" s="11"/>
      <c r="AH2554" s="7" t="str">
        <f>Table1[[#This Row],[html_tag]]&amp;Table1[[#This Row],[html_type]]&amp;Table1[[#This Row],[html_modifier]]</f>
        <v/>
      </c>
      <c r="AL2554" s="23" t="str">
        <f>IFERROR(_xlfn.XLOOKUP(Table1[[#This Row],[word]],Table57[English style name],Table57[Style type]),"")</f>
        <v/>
      </c>
      <c r="AM2554" s="21"/>
      <c r="AN2554" s="11"/>
    </row>
    <row r="2555" spans="5:44">
      <c r="E2555" s="11"/>
      <c r="F25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555" s="13"/>
      <c r="H2555" s="13"/>
      <c r="I2555" s="12" t="str">
        <f>Table1[[#This Row],[type]]</f>
        <v>skeleton</v>
      </c>
      <c r="J2555" s="62" t="str">
        <f>Table1[[#This Row],[Column42]]&amp;IF(Table1[[#This Row],[Column13]]="","",Table1[[#This Row],[Column13]])&amp;IF(Table1[[#This Row],[mod]]="","",Table1[[#This Row],[mod]])</f>
        <v>skeleton</v>
      </c>
      <c r="K25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skeleton</v>
      </c>
      <c r="L2555" t="s">
        <v>7200</v>
      </c>
      <c r="Q25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5" s="29"/>
      <c r="AC2555" s="25"/>
      <c r="AD2555" s="41" t="s">
        <v>7205</v>
      </c>
      <c r="AE2555" s="41"/>
      <c r="AF2555" s="11"/>
      <c r="AH2555" s="7" t="str">
        <f>Table1[[#This Row],[html_tag]]&amp;Table1[[#This Row],[html_type]]&amp;Table1[[#This Row],[html_modifier]]</f>
        <v/>
      </c>
      <c r="AL2555" s="23" t="str">
        <f>IFERROR(_xlfn.XLOOKUP(Table1[[#This Row],[word]],Table57[English style name],Table57[Style type]),"")</f>
        <v/>
      </c>
      <c r="AM2555" s="21"/>
      <c r="AN2555" s="11"/>
    </row>
    <row r="2556" spans="5:44">
      <c r="E2556" s="11"/>
      <c r="F25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56" s="13" t="s">
        <v>337</v>
      </c>
      <c r="H2556" s="13" t="s">
        <v>2986</v>
      </c>
      <c r="I2556" s="12" t="str">
        <f>Table1[[#This Row],[type]]</f>
        <v>spacer</v>
      </c>
      <c r="J2556" s="62" t="str">
        <f>Table1[[#This Row],[Column42]]&amp;IF(Table1[[#This Row],[Column13]]="","",Table1[[#This Row],[Column13]])&amp;IF(Table1[[#This Row],[mod]]="","",Table1[[#This Row],[mod]])</f>
        <v>spacer</v>
      </c>
      <c r="K25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56" t="s">
        <v>3159</v>
      </c>
      <c r="P2556" s="6" t="s">
        <v>2584</v>
      </c>
      <c r="Q25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6" s="29"/>
      <c r="AC2556" s="25"/>
      <c r="AD2556" s="41"/>
      <c r="AE2556" s="41"/>
      <c r="AF2556" s="11"/>
      <c r="AH2556" s="1" t="str">
        <f>Table1[[#This Row],[html_tag]]&amp;Table1[[#This Row],[html_type]]&amp;Table1[[#This Row],[html_modifier]]</f>
        <v/>
      </c>
      <c r="AL2556" s="22" t="str">
        <f>IFERROR(_xlfn.XLOOKUP(Table1[[#This Row],[word]],Table57[English style name],Table57[Style type]),"")</f>
        <v/>
      </c>
      <c r="AM2556" s="20"/>
      <c r="AN2556" s="11"/>
      <c r="AQ2556" s="6" t="s">
        <v>2584</v>
      </c>
      <c r="AR2556" t="s">
        <v>2585</v>
      </c>
    </row>
    <row r="2557" spans="5:44">
      <c r="E2557" s="11"/>
      <c r="F25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57" s="13" t="s">
        <v>337</v>
      </c>
      <c r="H2557" s="13" t="s">
        <v>2986</v>
      </c>
      <c r="I2557" s="12" t="str">
        <f>Table1[[#This Row],[type]]</f>
        <v>spacer</v>
      </c>
      <c r="J2557" s="62" t="str">
        <f>Table1[[#This Row],[Column42]]&amp;IF(Table1[[#This Row],[Column13]]="","",Table1[[#This Row],[Column13]])&amp;IF(Table1[[#This Row],[mod]]="","",Table1[[#This Row],[mod]])</f>
        <v>spacer</v>
      </c>
      <c r="K25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57" t="s">
        <v>3159</v>
      </c>
      <c r="P2557" s="6" t="s">
        <v>2587</v>
      </c>
      <c r="Q25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7" s="29"/>
      <c r="AC2557" s="25"/>
      <c r="AD2557" s="41"/>
      <c r="AE2557" s="41"/>
      <c r="AF2557" s="11"/>
      <c r="AH2557" s="1" t="str">
        <f>Table1[[#This Row],[html_tag]]&amp;Table1[[#This Row],[html_type]]&amp;Table1[[#This Row],[html_modifier]]</f>
        <v/>
      </c>
      <c r="AL2557" s="22" t="str">
        <f>IFERROR(_xlfn.XLOOKUP(Table1[[#This Row],[word]],Table57[English style name],Table57[Style type]),"")</f>
        <v/>
      </c>
      <c r="AM2557" s="20"/>
      <c r="AN2557" s="11"/>
      <c r="AQ2557" s="6" t="s">
        <v>2587</v>
      </c>
      <c r="AR2557" t="s">
        <v>2585</v>
      </c>
    </row>
    <row r="2558" spans="5:44">
      <c r="E2558" s="11"/>
      <c r="F25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58" s="13" t="s">
        <v>337</v>
      </c>
      <c r="H2558" s="13" t="s">
        <v>2986</v>
      </c>
      <c r="I2558" s="12" t="str">
        <f>Table1[[#This Row],[type]]</f>
        <v>spacer</v>
      </c>
      <c r="J2558" s="62" t="str">
        <f>Table1[[#This Row],[Column42]]&amp;IF(Table1[[#This Row],[Column13]]="","",Table1[[#This Row],[Column13]])&amp;IF(Table1[[#This Row],[mod]]="","",Table1[[#This Row],[mod]])</f>
        <v>spacer--default--horizontal</v>
      </c>
      <c r="K25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58" t="s">
        <v>3159</v>
      </c>
      <c r="Q25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--default--horizontal</v>
      </c>
      <c r="V2558" t="s">
        <v>3004</v>
      </c>
      <c r="X2558" t="s">
        <v>3205</v>
      </c>
      <c r="AB2558" s="29"/>
      <c r="AC2558" s="25"/>
      <c r="AD2558" s="41"/>
      <c r="AE2558" s="41"/>
      <c r="AF2558" s="11" t="s">
        <v>270</v>
      </c>
      <c r="AH2558" s="1" t="str">
        <f>Table1[[#This Row],[html_tag]]&amp;Table1[[#This Row],[html_type]]&amp;Table1[[#This Row],[html_modifier]]</f>
        <v/>
      </c>
      <c r="AL2558" s="22" t="str">
        <f>IFERROR(_xlfn.XLOOKUP(Table1[[#This Row],[word]],Table57[English style name],Table57[Style type]),"")</f>
        <v/>
      </c>
      <c r="AM2558" s="20"/>
      <c r="AN2558" s="11"/>
      <c r="AQ2558" s="6" t="s">
        <v>2591</v>
      </c>
      <c r="AR2558" t="s">
        <v>2585</v>
      </c>
    </row>
    <row r="2559" spans="5:44">
      <c r="E2559" s="11"/>
      <c r="F25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59" s="13" t="s">
        <v>337</v>
      </c>
      <c r="H2559" s="13" t="s">
        <v>2986</v>
      </c>
      <c r="I2559" s="12" t="str">
        <f>Table1[[#This Row],[type]]</f>
        <v>spacer</v>
      </c>
      <c r="J2559" s="62" t="str">
        <f>Table1[[#This Row],[Column42]]&amp;IF(Table1[[#This Row],[Column13]]="","",Table1[[#This Row],[Column13]])&amp;IF(Table1[[#This Row],[mod]]="","",Table1[[#This Row],[mod]])</f>
        <v>spacer--default--vertical</v>
      </c>
      <c r="K25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59" t="s">
        <v>3159</v>
      </c>
      <c r="Q25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--default--vertical</v>
      </c>
      <c r="V2559" t="s">
        <v>3004</v>
      </c>
      <c r="X2559" t="s">
        <v>2943</v>
      </c>
      <c r="AB2559" s="29"/>
      <c r="AC2559" s="25"/>
      <c r="AD2559" s="41"/>
      <c r="AE2559" s="41"/>
      <c r="AF2559" s="11" t="s">
        <v>270</v>
      </c>
      <c r="AH2559" s="1" t="str">
        <f>Table1[[#This Row],[html_tag]]&amp;Table1[[#This Row],[html_type]]&amp;Table1[[#This Row],[html_modifier]]</f>
        <v/>
      </c>
      <c r="AL2559" s="22" t="str">
        <f>IFERROR(_xlfn.XLOOKUP(Table1[[#This Row],[word]],Table57[English style name],Table57[Style type]),"")</f>
        <v/>
      </c>
      <c r="AM2559" s="20"/>
      <c r="AN2559" s="11"/>
      <c r="AQ2559" s="6" t="s">
        <v>2600</v>
      </c>
      <c r="AR2559" t="s">
        <v>2585</v>
      </c>
    </row>
    <row r="2560" spans="5:44">
      <c r="E2560" s="11"/>
      <c r="F25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0" s="13" t="s">
        <v>337</v>
      </c>
      <c r="H2560" s="13" t="s">
        <v>2986</v>
      </c>
      <c r="I2560" s="12" t="str">
        <f>Table1[[#This Row],[type]]</f>
        <v>spacer</v>
      </c>
      <c r="J2560" s="62" t="str">
        <f>Table1[[#This Row],[Column42]]&amp;IF(Table1[[#This Row],[Column13]]="","",Table1[[#This Row],[Column13]])&amp;IF(Table1[[#This Row],[mod]]="","",Table1[[#This Row],[mod]])</f>
        <v>spacer--horizontal</v>
      </c>
      <c r="K25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0" t="s">
        <v>3159</v>
      </c>
      <c r="P2560" s="6" t="s">
        <v>2588</v>
      </c>
      <c r="Q25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60" t="s">
        <v>3205</v>
      </c>
      <c r="AB2560" s="29"/>
      <c r="AC2560" s="25"/>
      <c r="AD2560" s="41"/>
      <c r="AE2560" s="41"/>
      <c r="AF2560" s="11"/>
      <c r="AH2560" s="1" t="str">
        <f>Table1[[#This Row],[html_tag]]&amp;Table1[[#This Row],[html_type]]&amp;Table1[[#This Row],[html_modifier]]</f>
        <v/>
      </c>
      <c r="AL2560" s="22" t="str">
        <f>IFERROR(_xlfn.XLOOKUP(Table1[[#This Row],[word]],Table57[English style name],Table57[Style type]),"")</f>
        <v/>
      </c>
      <c r="AM2560" s="20"/>
      <c r="AN2560" s="11"/>
      <c r="AQ2560" s="6" t="s">
        <v>2588</v>
      </c>
      <c r="AR2560" t="s">
        <v>2585</v>
      </c>
    </row>
    <row r="2561" spans="5:44">
      <c r="E2561" s="11"/>
      <c r="F25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1" s="13" t="s">
        <v>337</v>
      </c>
      <c r="H2561" s="13" t="s">
        <v>2986</v>
      </c>
      <c r="I2561" s="12" t="str">
        <f>Table1[[#This Row],[type]]</f>
        <v>spacer</v>
      </c>
      <c r="J2561" s="62" t="str">
        <f>Table1[[#This Row],[Column42]]&amp;IF(Table1[[#This Row],[Column13]]="","",Table1[[#This Row],[Column13]])&amp;IF(Table1[[#This Row],[mod]]="","",Table1[[#This Row],[mod]])</f>
        <v>spacer--horizontal--2xl</v>
      </c>
      <c r="K25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1" t="s">
        <v>3159</v>
      </c>
      <c r="P2561" s="6" t="s">
        <v>2589</v>
      </c>
      <c r="Q25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--horizontal--2xl</v>
      </c>
      <c r="X2561" t="s">
        <v>3205</v>
      </c>
      <c r="AA2561" t="s">
        <v>3161</v>
      </c>
      <c r="AB2561" s="29"/>
      <c r="AC2561" s="25"/>
      <c r="AD2561" s="41"/>
      <c r="AE2561" s="41"/>
      <c r="AF2561" s="11"/>
      <c r="AH2561" s="1" t="str">
        <f>Table1[[#This Row],[html_tag]]&amp;Table1[[#This Row],[html_type]]&amp;Table1[[#This Row],[html_modifier]]</f>
        <v/>
      </c>
      <c r="AL2561" s="22" t="str">
        <f>IFERROR(_xlfn.XLOOKUP(Table1[[#This Row],[word]],Table57[English style name],Table57[Style type]),"")</f>
        <v/>
      </c>
      <c r="AM2561" s="20"/>
      <c r="AN2561" s="11"/>
      <c r="AQ2561" s="6" t="s">
        <v>2589</v>
      </c>
      <c r="AR2561" t="s">
        <v>2585</v>
      </c>
    </row>
    <row r="2562" spans="5:44">
      <c r="E2562" s="11"/>
      <c r="F25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2" s="13" t="s">
        <v>337</v>
      </c>
      <c r="H2562" s="13" t="s">
        <v>2986</v>
      </c>
      <c r="I2562" s="12" t="str">
        <f>Table1[[#This Row],[type]]</f>
        <v>spacer</v>
      </c>
      <c r="J2562" s="62" t="str">
        <f>Table1[[#This Row],[Column42]]&amp;IF(Table1[[#This Row],[Column13]]="","",Table1[[#This Row],[Column13]])&amp;IF(Table1[[#This Row],[mod]]="","",Table1[[#This Row],[mod]])</f>
        <v>spacer--horizontal--3xl</v>
      </c>
      <c r="K25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2" t="s">
        <v>3159</v>
      </c>
      <c r="P2562" s="6" t="s">
        <v>2590</v>
      </c>
      <c r="Q25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--horizontal--3xl</v>
      </c>
      <c r="X2562" t="s">
        <v>3205</v>
      </c>
      <c r="AA2562" t="s">
        <v>3162</v>
      </c>
      <c r="AB2562" s="29"/>
      <c r="AC2562" s="25"/>
      <c r="AD2562" s="41"/>
      <c r="AE2562" s="41"/>
      <c r="AF2562" s="11"/>
      <c r="AH2562" s="1" t="str">
        <f>Table1[[#This Row],[html_tag]]&amp;Table1[[#This Row],[html_type]]&amp;Table1[[#This Row],[html_modifier]]</f>
        <v/>
      </c>
      <c r="AL2562" s="22" t="str">
        <f>IFERROR(_xlfn.XLOOKUP(Table1[[#This Row],[word]],Table57[English style name],Table57[Style type]),"")</f>
        <v/>
      </c>
      <c r="AM2562" s="20"/>
      <c r="AN2562" s="11"/>
      <c r="AQ2562" s="6" t="s">
        <v>2590</v>
      </c>
      <c r="AR2562" t="s">
        <v>2585</v>
      </c>
    </row>
    <row r="2563" spans="5:44">
      <c r="E2563" s="11"/>
      <c r="F25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3" s="13" t="s">
        <v>337</v>
      </c>
      <c r="H2563" s="13" t="s">
        <v>2986</v>
      </c>
      <c r="I2563" s="12" t="str">
        <f>Table1[[#This Row],[type]]</f>
        <v>spacer</v>
      </c>
      <c r="J2563" s="62" t="str">
        <f>Table1[[#This Row],[Column42]]&amp;IF(Table1[[#This Row],[Column13]]="","",Table1[[#This Row],[Column13]])&amp;IF(Table1[[#This Row],[mod]]="","",Table1[[#This Row],[mod]])</f>
        <v>spacer--horizontal--lg</v>
      </c>
      <c r="K25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3" t="s">
        <v>3159</v>
      </c>
      <c r="P2563" s="6" t="s">
        <v>2592</v>
      </c>
      <c r="Q25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--horizontal--lg</v>
      </c>
      <c r="X2563" t="s">
        <v>3205</v>
      </c>
      <c r="AA2563" t="s">
        <v>3114</v>
      </c>
      <c r="AB2563" s="29"/>
      <c r="AC2563" s="25"/>
      <c r="AD2563" s="41"/>
      <c r="AE2563" s="41"/>
      <c r="AF2563" s="11"/>
      <c r="AH2563" s="1" t="str">
        <f>Table1[[#This Row],[html_tag]]&amp;Table1[[#This Row],[html_type]]&amp;Table1[[#This Row],[html_modifier]]</f>
        <v/>
      </c>
      <c r="AL2563" s="22" t="str">
        <f>IFERROR(_xlfn.XLOOKUP(Table1[[#This Row],[word]],Table57[English style name],Table57[Style type]),"")</f>
        <v/>
      </c>
      <c r="AM2563" s="20"/>
      <c r="AN2563" s="11"/>
      <c r="AQ2563" s="6" t="s">
        <v>2592</v>
      </c>
      <c r="AR2563" t="s">
        <v>2585</v>
      </c>
    </row>
    <row r="2564" spans="5:44">
      <c r="E2564" s="11"/>
      <c r="F25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4" s="13" t="s">
        <v>337</v>
      </c>
      <c r="H2564" s="13" t="s">
        <v>2986</v>
      </c>
      <c r="I2564" s="12" t="str">
        <f>Table1[[#This Row],[type]]</f>
        <v>spacer</v>
      </c>
      <c r="J2564" s="62" t="str">
        <f>Table1[[#This Row],[Column42]]&amp;IF(Table1[[#This Row],[Column13]]="","",Table1[[#This Row],[Column13]])&amp;IF(Table1[[#This Row],[mod]]="","",Table1[[#This Row],[mod]])</f>
        <v>spacer--horizontal--md</v>
      </c>
      <c r="K25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4" t="s">
        <v>3159</v>
      </c>
      <c r="P2564" s="6" t="s">
        <v>2593</v>
      </c>
      <c r="Q25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--horizontal--md</v>
      </c>
      <c r="X2564" t="s">
        <v>3205</v>
      </c>
      <c r="AA2564" t="s">
        <v>3115</v>
      </c>
      <c r="AB2564" s="29"/>
      <c r="AC2564" s="25"/>
      <c r="AD2564" s="41"/>
      <c r="AE2564" s="41"/>
      <c r="AF2564" s="11"/>
      <c r="AH2564" s="1" t="str">
        <f>Table1[[#This Row],[html_tag]]&amp;Table1[[#This Row],[html_type]]&amp;Table1[[#This Row],[html_modifier]]</f>
        <v/>
      </c>
      <c r="AL2564" s="22" t="str">
        <f>IFERROR(_xlfn.XLOOKUP(Table1[[#This Row],[word]],Table57[English style name],Table57[Style type]),"")</f>
        <v/>
      </c>
      <c r="AM2564" s="20"/>
      <c r="AN2564" s="11"/>
      <c r="AQ2564" s="6" t="s">
        <v>2593</v>
      </c>
      <c r="AR2564" t="s">
        <v>2585</v>
      </c>
    </row>
    <row r="2565" spans="5:44">
      <c r="E2565" s="11"/>
      <c r="F25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5" s="13" t="s">
        <v>337</v>
      </c>
      <c r="H2565" s="13" t="s">
        <v>2986</v>
      </c>
      <c r="I2565" s="12" t="str">
        <f>Table1[[#This Row],[type]]</f>
        <v>spacer</v>
      </c>
      <c r="J2565" s="62" t="str">
        <f>Table1[[#This Row],[Column42]]&amp;IF(Table1[[#This Row],[Column13]]="","",Table1[[#This Row],[Column13]])&amp;IF(Table1[[#This Row],[mod]]="","",Table1[[#This Row],[mod]])</f>
        <v>spacer--horizontal--sm</v>
      </c>
      <c r="K25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5" t="s">
        <v>3159</v>
      </c>
      <c r="P2565" s="6" t="s">
        <v>2594</v>
      </c>
      <c r="Q25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--horizontal--sm</v>
      </c>
      <c r="X2565" t="s">
        <v>3205</v>
      </c>
      <c r="AA2565" s="3" t="s">
        <v>3116</v>
      </c>
      <c r="AB2565" s="29"/>
      <c r="AC2565" s="25"/>
      <c r="AD2565" s="41"/>
      <c r="AE2565" s="41"/>
      <c r="AF2565" s="11"/>
      <c r="AH2565" s="1" t="str">
        <f>Table1[[#This Row],[html_tag]]&amp;Table1[[#This Row],[html_type]]&amp;Table1[[#This Row],[html_modifier]]</f>
        <v/>
      </c>
      <c r="AL2565" s="22" t="str">
        <f>IFERROR(_xlfn.XLOOKUP(Table1[[#This Row],[word]],Table57[English style name],Table57[Style type]),"")</f>
        <v/>
      </c>
      <c r="AM2565" s="20"/>
      <c r="AN2565" s="11"/>
      <c r="AQ2565" s="6" t="s">
        <v>2594</v>
      </c>
      <c r="AR2565" t="s">
        <v>2585</v>
      </c>
    </row>
    <row r="2566" spans="5:44">
      <c r="E2566" s="11"/>
      <c r="F25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6" s="13" t="s">
        <v>337</v>
      </c>
      <c r="H2566" s="13" t="s">
        <v>2986</v>
      </c>
      <c r="I2566" s="12" t="str">
        <f>Table1[[#This Row],[type]]</f>
        <v>spacer</v>
      </c>
      <c r="J2566" s="62" t="str">
        <f>Table1[[#This Row],[Column42]]&amp;IF(Table1[[#This Row],[Column13]]="","",Table1[[#This Row],[Column13]])&amp;IF(Table1[[#This Row],[mod]]="","",Table1[[#This Row],[mod]])</f>
        <v>spacer--horizontal--xl</v>
      </c>
      <c r="K25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6" t="s">
        <v>3159</v>
      </c>
      <c r="P2566" s="6" t="s">
        <v>2595</v>
      </c>
      <c r="Q25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--horizontal--xl</v>
      </c>
      <c r="X2566" t="s">
        <v>3205</v>
      </c>
      <c r="AA2566" s="3" t="s">
        <v>3126</v>
      </c>
      <c r="AB2566" s="29"/>
      <c r="AC2566" s="25"/>
      <c r="AD2566" s="41"/>
      <c r="AE2566" s="41"/>
      <c r="AF2566" s="11"/>
      <c r="AH2566" s="1" t="str">
        <f>Table1[[#This Row],[html_tag]]&amp;Table1[[#This Row],[html_type]]&amp;Table1[[#This Row],[html_modifier]]</f>
        <v/>
      </c>
      <c r="AL2566" s="22" t="str">
        <f>IFERROR(_xlfn.XLOOKUP(Table1[[#This Row],[word]],Table57[English style name],Table57[Style type]),"")</f>
        <v/>
      </c>
      <c r="AM2566" s="20"/>
      <c r="AN2566" s="11"/>
      <c r="AQ2566" s="6" t="s">
        <v>2595</v>
      </c>
      <c r="AR2566" t="s">
        <v>2585</v>
      </c>
    </row>
    <row r="2567" spans="5:44">
      <c r="E2567" s="11"/>
      <c r="F25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7" s="13" t="s">
        <v>337</v>
      </c>
      <c r="H2567" s="13" t="s">
        <v>2986</v>
      </c>
      <c r="I2567" s="12" t="str">
        <f>Table1[[#This Row],[type]]</f>
        <v>spacer</v>
      </c>
      <c r="J2567" s="62" t="str">
        <f>Table1[[#This Row],[Column42]]&amp;IF(Table1[[#This Row],[Column13]]="","",Table1[[#This Row],[Column13]])&amp;IF(Table1[[#This Row],[mod]]="","",Table1[[#This Row],[mod]])</f>
        <v>spacer--horizontal--xs</v>
      </c>
      <c r="K25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7" t="s">
        <v>3159</v>
      </c>
      <c r="P2567" s="6" t="s">
        <v>2596</v>
      </c>
      <c r="Q25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--horizontal--xs</v>
      </c>
      <c r="X2567" t="s">
        <v>3205</v>
      </c>
      <c r="AA2567" t="s">
        <v>3127</v>
      </c>
      <c r="AB2567" s="29"/>
      <c r="AC2567" s="25"/>
      <c r="AD2567" s="41"/>
      <c r="AE2567" s="41"/>
      <c r="AF2567" s="11"/>
      <c r="AH2567" s="1" t="str">
        <f>Table1[[#This Row],[html_tag]]&amp;Table1[[#This Row],[html_type]]&amp;Table1[[#This Row],[html_modifier]]</f>
        <v/>
      </c>
      <c r="AL2567" s="22" t="str">
        <f>IFERROR(_xlfn.XLOOKUP(Table1[[#This Row],[word]],Table57[English style name],Table57[Style type]),"")</f>
        <v/>
      </c>
      <c r="AM2567" s="20"/>
      <c r="AN2567" s="11"/>
      <c r="AQ2567" s="6" t="s">
        <v>2596</v>
      </c>
      <c r="AR2567" t="s">
        <v>2585</v>
      </c>
    </row>
    <row r="2568" spans="5:44">
      <c r="E2568" s="11"/>
      <c r="F25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8" s="13" t="s">
        <v>337</v>
      </c>
      <c r="H2568" s="13" t="s">
        <v>2986</v>
      </c>
      <c r="I2568" s="12" t="str">
        <f>Table1[[#This Row],[type]]</f>
        <v>spacer</v>
      </c>
      <c r="J2568" s="62" t="str">
        <f>Table1[[#This Row],[Column42]]&amp;IF(Table1[[#This Row],[Column13]]="","",Table1[[#This Row],[Column13]])&amp;IF(Table1[[#This Row],[mod]]="","",Table1[[#This Row],[mod]])</f>
        <v>spacer--vertical</v>
      </c>
      <c r="K25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8" t="s">
        <v>3159</v>
      </c>
      <c r="P2568" s="6" t="s">
        <v>2586</v>
      </c>
      <c r="Q25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568" t="s">
        <v>2943</v>
      </c>
      <c r="AB2568" s="29"/>
      <c r="AC2568" s="25"/>
      <c r="AD2568" s="41"/>
      <c r="AE2568" s="41"/>
      <c r="AF2568" s="11"/>
      <c r="AH2568" s="1" t="str">
        <f>Table1[[#This Row],[html_tag]]&amp;Table1[[#This Row],[html_type]]&amp;Table1[[#This Row],[html_modifier]]</f>
        <v/>
      </c>
      <c r="AL2568" s="22" t="str">
        <f>IFERROR(_xlfn.XLOOKUP(Table1[[#This Row],[word]],Table57[English style name],Table57[Style type]),"")</f>
        <v/>
      </c>
      <c r="AM2568" s="20"/>
      <c r="AN2568" s="11"/>
      <c r="AQ2568" s="6" t="s">
        <v>2586</v>
      </c>
      <c r="AR2568" t="s">
        <v>2585</v>
      </c>
    </row>
    <row r="2569" spans="5:44">
      <c r="E2569" s="11"/>
      <c r="F25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9" s="13" t="s">
        <v>337</v>
      </c>
      <c r="H2569" s="13" t="s">
        <v>2986</v>
      </c>
      <c r="I2569" s="12" t="str">
        <f>Table1[[#This Row],[type]]</f>
        <v>spacer</v>
      </c>
      <c r="J2569" s="62" t="str">
        <f>Table1[[#This Row],[Column42]]&amp;IF(Table1[[#This Row],[Column13]]="","",Table1[[#This Row],[Column13]])&amp;IF(Table1[[#This Row],[mod]]="","",Table1[[#This Row],[mod]])</f>
        <v>spacer--vertical</v>
      </c>
      <c r="K25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9" t="s">
        <v>3159</v>
      </c>
      <c r="P2569" s="6" t="s">
        <v>2597</v>
      </c>
      <c r="Q25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569" t="s">
        <v>2943</v>
      </c>
      <c r="AB2569" s="29"/>
      <c r="AC2569" s="25"/>
      <c r="AD2569" s="41"/>
      <c r="AE2569" s="41"/>
      <c r="AF2569" s="11"/>
      <c r="AH2569" s="1" t="str">
        <f>Table1[[#This Row],[html_tag]]&amp;Table1[[#This Row],[html_type]]&amp;Table1[[#This Row],[html_modifier]]</f>
        <v/>
      </c>
      <c r="AL2569" s="22" t="str">
        <f>IFERROR(_xlfn.XLOOKUP(Table1[[#This Row],[word]],Table57[English style name],Table57[Style type]),"")</f>
        <v/>
      </c>
      <c r="AM2569" s="20"/>
      <c r="AN2569" s="11"/>
      <c r="AQ2569" s="6" t="s">
        <v>2597</v>
      </c>
      <c r="AR2569" t="s">
        <v>2585</v>
      </c>
    </row>
    <row r="2570" spans="5:44">
      <c r="E2570" s="11"/>
      <c r="F25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0" s="13" t="s">
        <v>337</v>
      </c>
      <c r="H2570" s="13" t="s">
        <v>2986</v>
      </c>
      <c r="I2570" s="12" t="str">
        <f>Table1[[#This Row],[type]]</f>
        <v>spacer</v>
      </c>
      <c r="J2570" s="62" t="str">
        <f>Table1[[#This Row],[Column42]]&amp;IF(Table1[[#This Row],[Column13]]="","",Table1[[#This Row],[Column13]])&amp;IF(Table1[[#This Row],[mod]]="","",Table1[[#This Row],[mod]])</f>
        <v>spacer--vertical--2xl</v>
      </c>
      <c r="K25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0" t="s">
        <v>3159</v>
      </c>
      <c r="P2570" s="6" t="s">
        <v>2598</v>
      </c>
      <c r="Q25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--vertical--2xl</v>
      </c>
      <c r="X2570" t="s">
        <v>2943</v>
      </c>
      <c r="AA2570" t="s">
        <v>3161</v>
      </c>
      <c r="AB2570" s="29"/>
      <c r="AC2570" s="25"/>
      <c r="AD2570" s="41"/>
      <c r="AE2570" s="41"/>
      <c r="AF2570" s="11"/>
      <c r="AH2570" s="1" t="str">
        <f>Table1[[#This Row],[html_tag]]&amp;Table1[[#This Row],[html_type]]&amp;Table1[[#This Row],[html_modifier]]</f>
        <v/>
      </c>
      <c r="AL2570" s="22" t="str">
        <f>IFERROR(_xlfn.XLOOKUP(Table1[[#This Row],[word]],Table57[English style name],Table57[Style type]),"")</f>
        <v/>
      </c>
      <c r="AM2570" s="20"/>
      <c r="AN2570" s="11"/>
      <c r="AQ2570" s="6" t="s">
        <v>2598</v>
      </c>
      <c r="AR2570" t="s">
        <v>2585</v>
      </c>
    </row>
    <row r="2571" spans="5:44">
      <c r="E2571" s="11"/>
      <c r="F25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1" s="13" t="s">
        <v>337</v>
      </c>
      <c r="H2571" s="13" t="s">
        <v>2986</v>
      </c>
      <c r="I2571" s="12" t="str">
        <f>Table1[[#This Row],[type]]</f>
        <v>spacer</v>
      </c>
      <c r="J2571" s="62" t="str">
        <f>Table1[[#This Row],[Column42]]&amp;IF(Table1[[#This Row],[Column13]]="","",Table1[[#This Row],[Column13]])&amp;IF(Table1[[#This Row],[mod]]="","",Table1[[#This Row],[mod]])</f>
        <v>spacer--vertical--3xl</v>
      </c>
      <c r="K25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1" t="s">
        <v>3159</v>
      </c>
      <c r="P2571" s="6" t="s">
        <v>2599</v>
      </c>
      <c r="Q25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--vertical--3xl</v>
      </c>
      <c r="X2571" t="s">
        <v>2943</v>
      </c>
      <c r="AA2571" t="s">
        <v>3162</v>
      </c>
      <c r="AB2571" s="29"/>
      <c r="AC2571" s="25"/>
      <c r="AD2571" s="41"/>
      <c r="AE2571" s="41"/>
      <c r="AF2571" s="11"/>
      <c r="AH2571" s="1" t="str">
        <f>Table1[[#This Row],[html_tag]]&amp;Table1[[#This Row],[html_type]]&amp;Table1[[#This Row],[html_modifier]]</f>
        <v/>
      </c>
      <c r="AL2571" s="22" t="str">
        <f>IFERROR(_xlfn.XLOOKUP(Table1[[#This Row],[word]],Table57[English style name],Table57[Style type]),"")</f>
        <v/>
      </c>
      <c r="AM2571" s="20"/>
      <c r="AN2571" s="11"/>
      <c r="AQ2571" s="6" t="s">
        <v>2599</v>
      </c>
      <c r="AR2571" t="s">
        <v>2585</v>
      </c>
    </row>
    <row r="2572" spans="5:44">
      <c r="E2572" s="11"/>
      <c r="F25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2" s="13" t="s">
        <v>337</v>
      </c>
      <c r="H2572" s="13" t="s">
        <v>2986</v>
      </c>
      <c r="I2572" s="12" t="str">
        <f>Table1[[#This Row],[type]]</f>
        <v>spacer</v>
      </c>
      <c r="J2572" s="62" t="str">
        <f>Table1[[#This Row],[Column42]]&amp;IF(Table1[[#This Row],[Column13]]="","",Table1[[#This Row],[Column13]])&amp;IF(Table1[[#This Row],[mod]]="","",Table1[[#This Row],[mod]])</f>
        <v>spacer--vertical--lg</v>
      </c>
      <c r="K25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2" t="s">
        <v>3159</v>
      </c>
      <c r="P2572" s="6" t="s">
        <v>2601</v>
      </c>
      <c r="Q25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--vertical--lg</v>
      </c>
      <c r="X2572" t="s">
        <v>2943</v>
      </c>
      <c r="AA2572" t="s">
        <v>3114</v>
      </c>
      <c r="AB2572" s="29"/>
      <c r="AC2572" s="25"/>
      <c r="AD2572" s="41"/>
      <c r="AE2572" s="41"/>
      <c r="AF2572" s="11"/>
      <c r="AH2572" s="1" t="str">
        <f>Table1[[#This Row],[html_tag]]&amp;Table1[[#This Row],[html_type]]&amp;Table1[[#This Row],[html_modifier]]</f>
        <v/>
      </c>
      <c r="AL2572" s="22" t="str">
        <f>IFERROR(_xlfn.XLOOKUP(Table1[[#This Row],[word]],Table57[English style name],Table57[Style type]),"")</f>
        <v/>
      </c>
      <c r="AM2572" s="20"/>
      <c r="AN2572" s="11"/>
      <c r="AQ2572" s="6" t="s">
        <v>2601</v>
      </c>
      <c r="AR2572" t="s">
        <v>2585</v>
      </c>
    </row>
    <row r="2573" spans="5:44">
      <c r="E2573" s="11"/>
      <c r="F25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3" s="13" t="s">
        <v>337</v>
      </c>
      <c r="H2573" s="13" t="s">
        <v>2986</v>
      </c>
      <c r="I2573" s="12" t="str">
        <f>Table1[[#This Row],[type]]</f>
        <v>spacer</v>
      </c>
      <c r="J2573" s="62" t="str">
        <f>Table1[[#This Row],[Column42]]&amp;IF(Table1[[#This Row],[Column13]]="","",Table1[[#This Row],[Column13]])&amp;IF(Table1[[#This Row],[mod]]="","",Table1[[#This Row],[mod]])</f>
        <v>spacer--vertical--md</v>
      </c>
      <c r="K25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3" t="s">
        <v>3159</v>
      </c>
      <c r="P2573" s="6" t="s">
        <v>2602</v>
      </c>
      <c r="Q25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--vertical--md</v>
      </c>
      <c r="X2573" t="s">
        <v>2943</v>
      </c>
      <c r="AA2573" t="s">
        <v>3115</v>
      </c>
      <c r="AB2573" s="29"/>
      <c r="AC2573" s="25"/>
      <c r="AD2573" s="41"/>
      <c r="AE2573" s="41"/>
      <c r="AF2573" s="11"/>
      <c r="AH2573" s="1" t="str">
        <f>Table1[[#This Row],[html_tag]]&amp;Table1[[#This Row],[html_type]]&amp;Table1[[#This Row],[html_modifier]]</f>
        <v/>
      </c>
      <c r="AL2573" s="22" t="str">
        <f>IFERROR(_xlfn.XLOOKUP(Table1[[#This Row],[word]],Table57[English style name],Table57[Style type]),"")</f>
        <v/>
      </c>
      <c r="AM2573" s="20"/>
      <c r="AN2573" s="11"/>
      <c r="AQ2573" s="6" t="s">
        <v>2602</v>
      </c>
      <c r="AR2573" t="s">
        <v>2585</v>
      </c>
    </row>
    <row r="2574" spans="5:44">
      <c r="E2574" s="11"/>
      <c r="F25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4" s="13" t="s">
        <v>337</v>
      </c>
      <c r="H2574" s="13" t="s">
        <v>2986</v>
      </c>
      <c r="I2574" s="12" t="str">
        <f>Table1[[#This Row],[type]]</f>
        <v>spacer</v>
      </c>
      <c r="J2574" s="62" t="str">
        <f>Table1[[#This Row],[Column42]]&amp;IF(Table1[[#This Row],[Column13]]="","",Table1[[#This Row],[Column13]])&amp;IF(Table1[[#This Row],[mod]]="","",Table1[[#This Row],[mod]])</f>
        <v>spacer--vertical--sm</v>
      </c>
      <c r="K25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4" t="s">
        <v>3159</v>
      </c>
      <c r="P2574" s="6" t="s">
        <v>2603</v>
      </c>
      <c r="Q25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--vertical--sm</v>
      </c>
      <c r="X2574" t="s">
        <v>2943</v>
      </c>
      <c r="AA2574" s="3" t="s">
        <v>3116</v>
      </c>
      <c r="AB2574" s="29"/>
      <c r="AC2574" s="25"/>
      <c r="AD2574" s="41"/>
      <c r="AE2574" s="41"/>
      <c r="AF2574" s="11"/>
      <c r="AH2574" s="1" t="str">
        <f>Table1[[#This Row],[html_tag]]&amp;Table1[[#This Row],[html_type]]&amp;Table1[[#This Row],[html_modifier]]</f>
        <v/>
      </c>
      <c r="AL2574" s="22" t="str">
        <f>IFERROR(_xlfn.XLOOKUP(Table1[[#This Row],[word]],Table57[English style name],Table57[Style type]),"")</f>
        <v/>
      </c>
      <c r="AM2574" s="20"/>
      <c r="AN2574" s="11"/>
      <c r="AQ2574" s="6" t="s">
        <v>2603</v>
      </c>
      <c r="AR2574" t="s">
        <v>2585</v>
      </c>
    </row>
    <row r="2575" spans="5:44">
      <c r="E2575" s="11"/>
      <c r="F25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5" s="13" t="s">
        <v>337</v>
      </c>
      <c r="H2575" s="13" t="s">
        <v>2986</v>
      </c>
      <c r="I2575" s="12" t="str">
        <f>Table1[[#This Row],[type]]</f>
        <v>spacer</v>
      </c>
      <c r="J2575" s="62" t="str">
        <f>Table1[[#This Row],[Column42]]&amp;IF(Table1[[#This Row],[Column13]]="","",Table1[[#This Row],[Column13]])&amp;IF(Table1[[#This Row],[mod]]="","",Table1[[#This Row],[mod]])</f>
        <v>spacer--vertical--xl</v>
      </c>
      <c r="K25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5" t="s">
        <v>3159</v>
      </c>
      <c r="P2575" s="6" t="s">
        <v>2604</v>
      </c>
      <c r="Q25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--vertical--xl</v>
      </c>
      <c r="X2575" t="s">
        <v>2943</v>
      </c>
      <c r="AA2575" s="3" t="s">
        <v>3126</v>
      </c>
      <c r="AB2575" s="29"/>
      <c r="AC2575" s="25"/>
      <c r="AD2575" s="41"/>
      <c r="AE2575" s="41"/>
      <c r="AF2575" s="11"/>
      <c r="AH2575" s="1" t="str">
        <f>Table1[[#This Row],[html_tag]]&amp;Table1[[#This Row],[html_type]]&amp;Table1[[#This Row],[html_modifier]]</f>
        <v/>
      </c>
      <c r="AL2575" s="22" t="str">
        <f>IFERROR(_xlfn.XLOOKUP(Table1[[#This Row],[word]],Table57[English style name],Table57[Style type]),"")</f>
        <v/>
      </c>
      <c r="AM2575" s="20"/>
      <c r="AN2575" s="11"/>
      <c r="AQ2575" s="6" t="s">
        <v>2604</v>
      </c>
      <c r="AR2575" t="s">
        <v>2585</v>
      </c>
    </row>
    <row r="2576" spans="5:44">
      <c r="E2576" s="11"/>
      <c r="F25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6" s="13" t="s">
        <v>337</v>
      </c>
      <c r="H2576" s="13" t="s">
        <v>2986</v>
      </c>
      <c r="I2576" s="12" t="str">
        <f>Table1[[#This Row],[type]]</f>
        <v>spacer</v>
      </c>
      <c r="J2576" s="62" t="str">
        <f>Table1[[#This Row],[Column42]]&amp;IF(Table1[[#This Row],[Column13]]="","",Table1[[#This Row],[Column13]])&amp;IF(Table1[[#This Row],[mod]]="","",Table1[[#This Row],[mod]])</f>
        <v>spacer--vertical--xs</v>
      </c>
      <c r="K25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6" t="s">
        <v>3159</v>
      </c>
      <c r="P2576" s="6" t="s">
        <v>2605</v>
      </c>
      <c r="Q25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--vertical--xs</v>
      </c>
      <c r="X2576" t="s">
        <v>2943</v>
      </c>
      <c r="AA2576" t="s">
        <v>3127</v>
      </c>
      <c r="AB2576" s="29"/>
      <c r="AC2576" s="25"/>
      <c r="AD2576" s="41"/>
      <c r="AE2576" s="41"/>
      <c r="AF2576" s="11"/>
      <c r="AH2576" s="1" t="str">
        <f>Table1[[#This Row],[html_tag]]&amp;Table1[[#This Row],[html_type]]&amp;Table1[[#This Row],[html_modifier]]</f>
        <v/>
      </c>
      <c r="AL2576" s="22" t="str">
        <f>IFERROR(_xlfn.XLOOKUP(Table1[[#This Row],[word]],Table57[English style name],Table57[Style type]),"")</f>
        <v/>
      </c>
      <c r="AM2576" s="20"/>
      <c r="AN2576" s="11"/>
      <c r="AQ2576" s="6" t="s">
        <v>2605</v>
      </c>
      <c r="AR2576" t="s">
        <v>2585</v>
      </c>
    </row>
    <row r="2577" spans="5:44">
      <c r="E2577" s="11"/>
      <c r="F25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77" s="13"/>
      <c r="H2577" s="13"/>
      <c r="I2577" s="12" t="str">
        <f>Table1[[#This Row],[type]]</f>
        <v>spinner</v>
      </c>
      <c r="J2577" s="62" t="str">
        <f>Table1[[#This Row],[Column42]]&amp;IF(Table1[[#This Row],[Column13]]="","",Table1[[#This Row],[Column13]])&amp;IF(Table1[[#This Row],[mod]]="","",Table1[[#This Row],[mod]])</f>
        <v>spinner</v>
      </c>
      <c r="K25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77" t="s">
        <v>2639</v>
      </c>
      <c r="Q25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77" s="29"/>
      <c r="AC2577" s="25"/>
      <c r="AD2577" s="41" t="s">
        <v>6926</v>
      </c>
      <c r="AE2577" s="41"/>
      <c r="AF2577" s="11"/>
      <c r="AH2577" s="7" t="str">
        <f>Table1[[#This Row],[html_tag]]&amp;Table1[[#This Row],[html_type]]&amp;Table1[[#This Row],[html_modifier]]</f>
        <v/>
      </c>
      <c r="AL2577" s="23" t="str">
        <f>IFERROR(_xlfn.XLOOKUP(Table1[[#This Row],[word]],Table57[English style name],Table57[Style type]),"")</f>
        <v/>
      </c>
      <c r="AM2577" s="21"/>
      <c r="AN2577" s="11"/>
    </row>
    <row r="2578" spans="5:44">
      <c r="E2578" s="11"/>
      <c r="F25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78" s="13"/>
      <c r="H2578" s="13"/>
      <c r="I2578" s="12" t="str">
        <f>Table1[[#This Row],[type]]</f>
        <v>spinner</v>
      </c>
      <c r="J2578" s="62" t="str">
        <f>Table1[[#This Row],[Column42]]&amp;IF(Table1[[#This Row],[Column13]]="","",Table1[[#This Row],[Column13]])&amp;IF(Table1[[#This Row],[mod]]="","",Table1[[#This Row],[mod]])</f>
        <v>spinner</v>
      </c>
      <c r="K25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78" t="s">
        <v>2639</v>
      </c>
      <c r="Q25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78" s="29"/>
      <c r="AC2578" s="25"/>
      <c r="AD2578" s="41" t="s">
        <v>6928</v>
      </c>
      <c r="AE2578" s="41"/>
      <c r="AF2578" s="11"/>
      <c r="AH2578" s="7" t="str">
        <f>Table1[[#This Row],[html_tag]]&amp;Table1[[#This Row],[html_type]]&amp;Table1[[#This Row],[html_modifier]]</f>
        <v/>
      </c>
      <c r="AL2578" s="23" t="str">
        <f>IFERROR(_xlfn.XLOOKUP(Table1[[#This Row],[word]],Table57[English style name],Table57[Style type]),"")</f>
        <v/>
      </c>
      <c r="AM2578" s="21"/>
      <c r="AN2578" s="11"/>
    </row>
    <row r="2579" spans="5:44">
      <c r="E2579" s="11"/>
      <c r="F25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79" s="13"/>
      <c r="H2579" s="13"/>
      <c r="I2579" s="12" t="str">
        <f>Table1[[#This Row],[type]]</f>
        <v>spinner</v>
      </c>
      <c r="J2579" s="62" t="str">
        <f>Table1[[#This Row],[Column42]]&amp;IF(Table1[[#This Row],[Column13]]="","",Table1[[#This Row],[Column13]])&amp;IF(Table1[[#This Row],[mod]]="","",Table1[[#This Row],[mod]])</f>
        <v>spinner</v>
      </c>
      <c r="K25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79" t="s">
        <v>2639</v>
      </c>
      <c r="Q25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79" s="29"/>
      <c r="AC2579" s="25"/>
      <c r="AD2579" s="41" t="s">
        <v>6931</v>
      </c>
      <c r="AE2579" s="41"/>
      <c r="AF2579" s="11"/>
      <c r="AH2579" s="7" t="str">
        <f>Table1[[#This Row],[html_tag]]&amp;Table1[[#This Row],[html_type]]&amp;Table1[[#This Row],[html_modifier]]</f>
        <v/>
      </c>
      <c r="AL2579" s="23" t="str">
        <f>IFERROR(_xlfn.XLOOKUP(Table1[[#This Row],[word]],Table57[English style name],Table57[Style type]),"")</f>
        <v/>
      </c>
      <c r="AM2579" s="21"/>
      <c r="AN2579" s="11"/>
    </row>
    <row r="2580" spans="5:44">
      <c r="E2580" s="11"/>
      <c r="F25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80" s="13"/>
      <c r="H2580" s="13"/>
      <c r="I2580" s="12" t="str">
        <f>Table1[[#This Row],[type]]</f>
        <v>spinner</v>
      </c>
      <c r="J2580" s="62" t="str">
        <f>Table1[[#This Row],[Column42]]&amp;IF(Table1[[#This Row],[Column13]]="","",Table1[[#This Row],[Column13]])&amp;IF(Table1[[#This Row],[mod]]="","",Table1[[#This Row],[mod]])</f>
        <v>spinner</v>
      </c>
      <c r="K25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0" t="s">
        <v>2639</v>
      </c>
      <c r="Q25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0" s="29"/>
      <c r="AC2580" s="25"/>
      <c r="AD2580" s="41" t="s">
        <v>6927</v>
      </c>
      <c r="AE2580" s="41"/>
      <c r="AF2580" s="11"/>
      <c r="AH2580" s="7" t="str">
        <f>Table1[[#This Row],[html_tag]]&amp;Table1[[#This Row],[html_type]]&amp;Table1[[#This Row],[html_modifier]]</f>
        <v/>
      </c>
      <c r="AL2580" s="23" t="str">
        <f>IFERROR(_xlfn.XLOOKUP(Table1[[#This Row],[word]],Table57[English style name],Table57[Style type]),"")</f>
        <v/>
      </c>
      <c r="AM2580" s="21"/>
      <c r="AN2580" s="11"/>
    </row>
    <row r="2581" spans="5:44">
      <c r="E2581" s="11"/>
      <c r="F25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81" s="13"/>
      <c r="H2581" s="13"/>
      <c r="I2581" s="12" t="str">
        <f>Table1[[#This Row],[type]]</f>
        <v>spinner</v>
      </c>
      <c r="J2581" s="62" t="str">
        <f>Table1[[#This Row],[Column42]]&amp;IF(Table1[[#This Row],[Column13]]="","",Table1[[#This Row],[Column13]])&amp;IF(Table1[[#This Row],[mod]]="","",Table1[[#This Row],[mod]])</f>
        <v>spinner</v>
      </c>
      <c r="K25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1" t="s">
        <v>2639</v>
      </c>
      <c r="Q25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1" s="29"/>
      <c r="AC2581" s="25"/>
      <c r="AD2581" s="41" t="s">
        <v>6930</v>
      </c>
      <c r="AE2581" s="41"/>
      <c r="AF2581" s="11"/>
      <c r="AH2581" s="7" t="str">
        <f>Table1[[#This Row],[html_tag]]&amp;Table1[[#This Row],[html_type]]&amp;Table1[[#This Row],[html_modifier]]</f>
        <v/>
      </c>
      <c r="AL2581" s="23" t="str">
        <f>IFERROR(_xlfn.XLOOKUP(Table1[[#This Row],[word]],Table57[English style name],Table57[Style type]),"")</f>
        <v/>
      </c>
      <c r="AM2581" s="21"/>
      <c r="AN2581" s="11"/>
    </row>
    <row r="2582" spans="5:44">
      <c r="E2582" s="11"/>
      <c r="F25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82" s="13"/>
      <c r="H2582" s="13"/>
      <c r="I2582" s="12" t="str">
        <f>Table1[[#This Row],[type]]</f>
        <v>spinner</v>
      </c>
      <c r="J2582" s="62" t="str">
        <f>Table1[[#This Row],[Column42]]&amp;IF(Table1[[#This Row],[Column13]]="","",Table1[[#This Row],[Column13]])&amp;IF(Table1[[#This Row],[mod]]="","",Table1[[#This Row],[mod]])</f>
        <v>spinner</v>
      </c>
      <c r="K25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2" t="s">
        <v>2639</v>
      </c>
      <c r="Q25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2" s="29"/>
      <c r="AC2582" s="25"/>
      <c r="AD2582" s="41" t="s">
        <v>6929</v>
      </c>
      <c r="AE2582" s="41"/>
      <c r="AF2582" s="11"/>
      <c r="AH2582" s="7" t="str">
        <f>Table1[[#This Row],[html_tag]]&amp;Table1[[#This Row],[html_type]]&amp;Table1[[#This Row],[html_modifier]]</f>
        <v/>
      </c>
      <c r="AL2582" s="23" t="str">
        <f>IFERROR(_xlfn.XLOOKUP(Table1[[#This Row],[word]],Table57[English style name],Table57[Style type]),"")</f>
        <v/>
      </c>
      <c r="AM2582" s="21"/>
      <c r="AN2582" s="11"/>
    </row>
    <row r="2583" spans="5:44">
      <c r="E2583" s="11"/>
      <c r="F25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83" s="13"/>
      <c r="H2583" s="13"/>
      <c r="I2583" s="12" t="str">
        <f>Table1[[#This Row],[type]]</f>
        <v>spinner</v>
      </c>
      <c r="J2583" s="62" t="str">
        <f>Table1[[#This Row],[Column42]]&amp;IF(Table1[[#This Row],[Column13]]="","",Table1[[#This Row],[Column13]])&amp;IF(Table1[[#This Row],[mod]]="","",Table1[[#This Row],[mod]])</f>
        <v>spinner</v>
      </c>
      <c r="K25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3" t="s">
        <v>2639</v>
      </c>
      <c r="Q25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3" s="29"/>
      <c r="AC2583" s="25"/>
      <c r="AD2583" s="41" t="s">
        <v>6925</v>
      </c>
      <c r="AE2583" s="41"/>
      <c r="AF2583" s="11"/>
      <c r="AH2583" s="7" t="str">
        <f>Table1[[#This Row],[html_tag]]&amp;Table1[[#This Row],[html_type]]&amp;Table1[[#This Row],[html_modifier]]</f>
        <v/>
      </c>
      <c r="AL2583" s="23" t="str">
        <f>IFERROR(_xlfn.XLOOKUP(Table1[[#This Row],[word]],Table57[English style name],Table57[Style type]),"")</f>
        <v/>
      </c>
      <c r="AM2583" s="21"/>
      <c r="AN2583" s="11"/>
    </row>
    <row r="2584" spans="5:44">
      <c r="E2584" s="11"/>
      <c r="F25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4" s="13" t="s">
        <v>337</v>
      </c>
      <c r="H2584" s="13" t="s">
        <v>2986</v>
      </c>
      <c r="I2584" s="12" t="str">
        <f>Table1[[#This Row],[type]]</f>
        <v>spinner</v>
      </c>
      <c r="J2584" s="62" t="str">
        <f>Table1[[#This Row],[Column42]]&amp;IF(Table1[[#This Row],[Column13]]="","",Table1[[#This Row],[Column13]])&amp;IF(Table1[[#This Row],[mod]]="","",Table1[[#This Row],[mod]])</f>
        <v>spinner</v>
      </c>
      <c r="K25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4" t="s">
        <v>2639</v>
      </c>
      <c r="P2584" s="6" t="s">
        <v>2639</v>
      </c>
      <c r="Q25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4" s="29"/>
      <c r="AC2584" s="25"/>
      <c r="AD2584" s="41"/>
      <c r="AE2584" s="41"/>
      <c r="AF2584" s="11"/>
      <c r="AH2584" s="1" t="str">
        <f>Table1[[#This Row],[html_tag]]&amp;Table1[[#This Row],[html_type]]&amp;Table1[[#This Row],[html_modifier]]</f>
        <v/>
      </c>
      <c r="AL2584" s="22" t="str">
        <f>IFERROR(_xlfn.XLOOKUP(Table1[[#This Row],[word]],Table57[English style name],Table57[Style type]),"")</f>
        <v/>
      </c>
      <c r="AM2584" s="20"/>
      <c r="AN2584" s="11"/>
      <c r="AQ2584" s="6" t="s">
        <v>2639</v>
      </c>
      <c r="AR2584" t="s">
        <v>2640</v>
      </c>
    </row>
    <row r="2585" spans="5:44">
      <c r="E2585" s="11"/>
      <c r="F25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5" s="13" t="s">
        <v>337</v>
      </c>
      <c r="H2585" s="13" t="s">
        <v>2986</v>
      </c>
      <c r="I2585" s="12" t="str">
        <f>Table1[[#This Row],[type]]</f>
        <v>spinner</v>
      </c>
      <c r="J2585" s="62" t="str">
        <f>Table1[[#This Row],[Column42]]&amp;IF(Table1[[#This Row],[Column13]]="","",Table1[[#This Row],[Column13]])&amp;IF(Table1[[#This Row],[mod]]="","",Table1[[#This Row],[mod]])</f>
        <v>spinner</v>
      </c>
      <c r="K25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5" t="s">
        <v>2639</v>
      </c>
      <c r="Q25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5" s="29"/>
      <c r="AC2585" s="25"/>
      <c r="AD2585" s="41"/>
      <c r="AE2585" s="41"/>
      <c r="AF2585" s="11"/>
      <c r="AH2585" s="7" t="str">
        <f>Table1[[#This Row],[html_tag]]&amp;Table1[[#This Row],[html_type]]&amp;Table1[[#This Row],[html_modifier]]</f>
        <v/>
      </c>
      <c r="AL2585" s="23" t="str">
        <f>IFERROR(_xlfn.XLOOKUP(Table1[[#This Row],[word]],Table57[English style name],Table57[Style type]),"")</f>
        <v/>
      </c>
      <c r="AM2585" s="21"/>
      <c r="AN2585" s="11"/>
    </row>
    <row r="2586" spans="5:44">
      <c r="E2586" s="11"/>
      <c r="F25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6" s="13" t="s">
        <v>337</v>
      </c>
      <c r="H2586" s="13" t="s">
        <v>2986</v>
      </c>
      <c r="I2586" s="12" t="str">
        <f>Table1[[#This Row],[type]]</f>
        <v>spinner</v>
      </c>
      <c r="J2586" s="62" t="str">
        <f>Table1[[#This Row],[Column42]]&amp;IF(Table1[[#This Row],[Column13]]="","",Table1[[#This Row],[Column13]])&amp;IF(Table1[[#This Row],[mod]]="","",Table1[[#This Row],[mod]])</f>
        <v>spinner__border</v>
      </c>
      <c r="K25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spinner__border</v>
      </c>
      <c r="L2586" t="s">
        <v>2639</v>
      </c>
      <c r="M2586" t="s">
        <v>3125</v>
      </c>
      <c r="Q25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6" s="29"/>
      <c r="AC2586" s="25" t="s">
        <v>3717</v>
      </c>
      <c r="AD2586" s="41"/>
      <c r="AE2586" s="41"/>
      <c r="AF2586" s="11"/>
      <c r="AH2586" s="7" t="str">
        <f>Table1[[#This Row],[html_tag]]&amp;Table1[[#This Row],[html_type]]&amp;Table1[[#This Row],[html_modifier]]</f>
        <v/>
      </c>
      <c r="AL2586" s="23" t="str">
        <f>IFERROR(_xlfn.XLOOKUP(Table1[[#This Row],[word]],Table57[English style name],Table57[Style type]),"")</f>
        <v/>
      </c>
      <c r="AM2586" s="21"/>
      <c r="AN2586" s="11"/>
    </row>
    <row r="2587" spans="5:44">
      <c r="E2587" s="11"/>
      <c r="F25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7" s="13" t="s">
        <v>337</v>
      </c>
      <c r="H2587" s="13" t="s">
        <v>2986</v>
      </c>
      <c r="I2587" s="12" t="str">
        <f>Table1[[#This Row],[type]]</f>
        <v>spinner</v>
      </c>
      <c r="J2587" s="62" t="str">
        <f>Table1[[#This Row],[Column42]]&amp;IF(Table1[[#This Row],[Column13]]="","",Table1[[#This Row],[Column13]])&amp;IF(Table1[[#This Row],[mod]]="","",Table1[[#This Row],[mod]])</f>
        <v>spinner__border</v>
      </c>
      <c r="K25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spinner__border</v>
      </c>
      <c r="L2587" t="s">
        <v>2639</v>
      </c>
      <c r="M2587" t="s">
        <v>3125</v>
      </c>
      <c r="Q25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7" s="29"/>
      <c r="AC2587" s="25" t="s">
        <v>3718</v>
      </c>
      <c r="AD2587" s="41"/>
      <c r="AE2587" s="41"/>
      <c r="AF2587" s="11"/>
      <c r="AH2587" s="7" t="str">
        <f>Table1[[#This Row],[html_tag]]&amp;Table1[[#This Row],[html_type]]&amp;Table1[[#This Row],[html_modifier]]</f>
        <v/>
      </c>
      <c r="AL2587" s="23" t="str">
        <f>IFERROR(_xlfn.XLOOKUP(Table1[[#This Row],[word]],Table57[English style name],Table57[Style type]),"")</f>
        <v/>
      </c>
      <c r="AM2587" s="21"/>
      <c r="AN2587" s="11"/>
    </row>
    <row r="2588" spans="5:44">
      <c r="E2588" s="11"/>
      <c r="F25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8" s="13" t="s">
        <v>337</v>
      </c>
      <c r="H2588" s="13" t="s">
        <v>2986</v>
      </c>
      <c r="I2588" s="12" t="str">
        <f>Table1[[#This Row],[type]]</f>
        <v>spinner</v>
      </c>
      <c r="J2588" s="62" t="str">
        <f>Table1[[#This Row],[Column42]]&amp;IF(Table1[[#This Row],[Column13]]="","",Table1[[#This Row],[Column13]])&amp;IF(Table1[[#This Row],[mod]]="","",Table1[[#This Row],[mod]])</f>
        <v>spinner__border--sm</v>
      </c>
      <c r="K25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spinner__border</v>
      </c>
      <c r="L2588" t="s">
        <v>2639</v>
      </c>
      <c r="M2588" t="s">
        <v>3125</v>
      </c>
      <c r="Q25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88" t="s">
        <v>3116</v>
      </c>
      <c r="AB2588" s="29"/>
      <c r="AC2588" s="25" t="s">
        <v>3719</v>
      </c>
      <c r="AD2588" s="41"/>
      <c r="AE2588" s="41"/>
      <c r="AF2588" s="11"/>
      <c r="AH2588" s="7" t="str">
        <f>Table1[[#This Row],[html_tag]]&amp;Table1[[#This Row],[html_type]]&amp;Table1[[#This Row],[html_modifier]]</f>
        <v/>
      </c>
      <c r="AL2588" s="23" t="str">
        <f>IFERROR(_xlfn.XLOOKUP(Table1[[#This Row],[word]],Table57[English style name],Table57[Style type]),"")</f>
        <v/>
      </c>
      <c r="AM2588" s="21"/>
      <c r="AN2588" s="11"/>
    </row>
    <row r="2589" spans="5:44">
      <c r="E2589" s="11"/>
      <c r="F25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9" s="13" t="s">
        <v>337</v>
      </c>
      <c r="H2589" s="13" t="s">
        <v>2986</v>
      </c>
      <c r="I2589" s="12" t="str">
        <f>Table1[[#This Row],[type]]</f>
        <v>spinner</v>
      </c>
      <c r="J2589" s="62" t="str">
        <f>Table1[[#This Row],[Column42]]&amp;IF(Table1[[#This Row],[Column13]]="","",Table1[[#This Row],[Column13]])&amp;IF(Table1[[#This Row],[mod]]="","",Table1[[#This Row],[mod]])</f>
        <v>spinner__grow</v>
      </c>
      <c r="K25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spinner__grow</v>
      </c>
      <c r="L2589" t="s">
        <v>2639</v>
      </c>
      <c r="M2589" t="s">
        <v>3723</v>
      </c>
      <c r="P2589" s="6" t="s">
        <v>2653</v>
      </c>
      <c r="Q25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9" s="29"/>
      <c r="AC2589" s="25" t="s">
        <v>3720</v>
      </c>
      <c r="AD2589" s="41"/>
      <c r="AE2589" s="41"/>
      <c r="AF2589" s="11"/>
      <c r="AH2589" s="1" t="str">
        <f>Table1[[#This Row],[html_tag]]&amp;Table1[[#This Row],[html_type]]&amp;Table1[[#This Row],[html_modifier]]</f>
        <v/>
      </c>
      <c r="AL2589" s="22" t="str">
        <f>IFERROR(_xlfn.XLOOKUP(Table1[[#This Row],[word]],Table57[English style name],Table57[Style type]),"")</f>
        <v/>
      </c>
      <c r="AM2589" s="20"/>
      <c r="AN2589" s="11"/>
      <c r="AQ2589" s="6" t="s">
        <v>2653</v>
      </c>
      <c r="AR2589" t="s">
        <v>2640</v>
      </c>
    </row>
    <row r="2590" spans="5:44">
      <c r="E2590" s="11"/>
      <c r="F25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0" s="13" t="s">
        <v>337</v>
      </c>
      <c r="H2590" s="13" t="s">
        <v>2986</v>
      </c>
      <c r="I2590" s="12" t="str">
        <f>Table1[[#This Row],[type]]</f>
        <v>spinner</v>
      </c>
      <c r="J2590" s="62" t="str">
        <f>Table1[[#This Row],[Column42]]&amp;IF(Table1[[#This Row],[Column13]]="","",Table1[[#This Row],[Column13]])&amp;IF(Table1[[#This Row],[mod]]="","",Table1[[#This Row],[mod]])</f>
        <v>spinner__grow</v>
      </c>
      <c r="K25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spinner__grow</v>
      </c>
      <c r="L2590" t="s">
        <v>2639</v>
      </c>
      <c r="M2590" t="s">
        <v>3723</v>
      </c>
      <c r="Q25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90" s="29"/>
      <c r="AC2590" s="25" t="s">
        <v>3721</v>
      </c>
      <c r="AD2590" s="41"/>
      <c r="AE2590" s="41"/>
      <c r="AF2590" s="11"/>
      <c r="AH2590" s="7" t="str">
        <f>Table1[[#This Row],[html_tag]]&amp;Table1[[#This Row],[html_type]]&amp;Table1[[#This Row],[html_modifier]]</f>
        <v/>
      </c>
      <c r="AL2590" s="23" t="str">
        <f>IFERROR(_xlfn.XLOOKUP(Table1[[#This Row],[word]],Table57[English style name],Table57[Style type]),"")</f>
        <v/>
      </c>
      <c r="AM2590" s="21"/>
      <c r="AN2590" s="11"/>
    </row>
    <row r="2591" spans="5:44">
      <c r="E2591" s="11"/>
      <c r="F25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1" s="13" t="s">
        <v>337</v>
      </c>
      <c r="H2591" s="13" t="s">
        <v>2986</v>
      </c>
      <c r="I2591" s="12" t="str">
        <f>Table1[[#This Row],[type]]</f>
        <v>spinner</v>
      </c>
      <c r="J2591" s="62" t="str">
        <f>Table1[[#This Row],[Column42]]&amp;IF(Table1[[#This Row],[Column13]]="","",Table1[[#This Row],[Column13]])&amp;IF(Table1[[#This Row],[mod]]="","",Table1[[#This Row],[mod]])</f>
        <v>spinner__grow--sm</v>
      </c>
      <c r="K25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spinner__grow</v>
      </c>
      <c r="L2591" t="s">
        <v>2639</v>
      </c>
      <c r="M2591" t="s">
        <v>3723</v>
      </c>
      <c r="Q25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91" t="s">
        <v>3116</v>
      </c>
      <c r="AB2591" s="29"/>
      <c r="AC2591" s="25" t="s">
        <v>3722</v>
      </c>
      <c r="AD2591" s="41"/>
      <c r="AE2591" s="41"/>
      <c r="AF2591" s="11"/>
      <c r="AH2591" s="7" t="str">
        <f>Table1[[#This Row],[html_tag]]&amp;Table1[[#This Row],[html_type]]&amp;Table1[[#This Row],[html_modifier]]</f>
        <v/>
      </c>
      <c r="AL2591" s="23" t="str">
        <f>IFERROR(_xlfn.XLOOKUP(Table1[[#This Row],[word]],Table57[English style name],Table57[Style type]),"")</f>
        <v/>
      </c>
      <c r="AM2591" s="21"/>
      <c r="AN2591" s="11"/>
    </row>
    <row r="2592" spans="5:44">
      <c r="E2592" s="11"/>
      <c r="F25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2" s="13" t="s">
        <v>337</v>
      </c>
      <c r="H2592" s="13" t="s">
        <v>2986</v>
      </c>
      <c r="I2592" s="12" t="str">
        <f>Table1[[#This Row],[type]]</f>
        <v>spinner</v>
      </c>
      <c r="J2592" s="62" t="str">
        <f>Table1[[#This Row],[Column42]]&amp;IF(Table1[[#This Row],[Column13]]="","",Table1[[#This Row],[Column13]])&amp;IF(Table1[[#This Row],[mod]]="","",Table1[[#This Row],[mod]])</f>
        <v>spinner--base</v>
      </c>
      <c r="K25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2" t="s">
        <v>2639</v>
      </c>
      <c r="P2592" s="6"/>
      <c r="Q25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592" t="s">
        <v>338</v>
      </c>
      <c r="AB2592" s="29"/>
      <c r="AC2592" s="25"/>
      <c r="AD2592" s="41"/>
      <c r="AE2592" s="41"/>
      <c r="AF2592" s="11"/>
      <c r="AH2592" s="1" t="str">
        <f>Table1[[#This Row],[html_tag]]&amp;Table1[[#This Row],[html_type]]&amp;Table1[[#This Row],[html_modifier]]</f>
        <v/>
      </c>
      <c r="AL2592" s="22" t="str">
        <f>IFERROR(_xlfn.XLOOKUP(Table1[[#This Row],[word]],Table57[English style name],Table57[Style type]),"")</f>
        <v/>
      </c>
      <c r="AM2592" s="20"/>
      <c r="AN2592" s="11"/>
      <c r="AQ2592" s="6" t="s">
        <v>2641</v>
      </c>
      <c r="AR2592" t="s">
        <v>2640</v>
      </c>
    </row>
    <row r="2593" spans="5:44">
      <c r="E2593" s="11"/>
      <c r="F25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3" s="13" t="s">
        <v>337</v>
      </c>
      <c r="H2593" s="13" t="s">
        <v>2986</v>
      </c>
      <c r="I2593" s="12" t="str">
        <f>Table1[[#This Row],[type]]</f>
        <v>spinner</v>
      </c>
      <c r="J2593" s="62" t="str">
        <f>Table1[[#This Row],[Column42]]&amp;IF(Table1[[#This Row],[Column13]]="","",Table1[[#This Row],[Column13]])&amp;IF(Table1[[#This Row],[mod]]="","",Table1[[#This Row],[mod]])</f>
        <v>spinner--danger</v>
      </c>
      <c r="K25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3" t="s">
        <v>2639</v>
      </c>
      <c r="P2593" s="6"/>
      <c r="Q25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2593" t="s">
        <v>3163</v>
      </c>
      <c r="AB2593" s="29"/>
      <c r="AC2593" s="25"/>
      <c r="AD2593" s="41"/>
      <c r="AE2593" s="41"/>
      <c r="AF2593" s="11"/>
      <c r="AH2593" s="1" t="str">
        <f>Table1[[#This Row],[html_tag]]&amp;Table1[[#This Row],[html_type]]&amp;Table1[[#This Row],[html_modifier]]</f>
        <v/>
      </c>
      <c r="AL2593" s="22" t="str">
        <f>IFERROR(_xlfn.XLOOKUP(Table1[[#This Row],[word]],Table57[English style name],Table57[Style type]),"")</f>
        <v/>
      </c>
      <c r="AM2593" s="20"/>
      <c r="AN2593" s="11"/>
      <c r="AQ2593" s="6" t="s">
        <v>2642</v>
      </c>
      <c r="AR2593" t="s">
        <v>2640</v>
      </c>
    </row>
    <row r="2594" spans="5:44">
      <c r="E2594" s="11"/>
      <c r="F25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4" s="13" t="s">
        <v>337</v>
      </c>
      <c r="H2594" s="13" t="s">
        <v>2986</v>
      </c>
      <c r="I2594" s="12" t="str">
        <f>Table1[[#This Row],[type]]</f>
        <v>spinner</v>
      </c>
      <c r="J2594" s="62" t="str">
        <f>Table1[[#This Row],[Column42]]&amp;IF(Table1[[#This Row],[Column13]]="","",Table1[[#This Row],[Column13]])&amp;IF(Table1[[#This Row],[mod]]="","",Table1[[#This Row],[mod]])</f>
        <v>spinner--dark</v>
      </c>
      <c r="K25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4" t="s">
        <v>2639</v>
      </c>
      <c r="P2594" s="6" t="s">
        <v>2643</v>
      </c>
      <c r="Q25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V2594" t="s">
        <v>3501</v>
      </c>
      <c r="AB2594" s="29"/>
      <c r="AC2594" s="25"/>
      <c r="AD2594" s="41"/>
      <c r="AE2594" s="41"/>
      <c r="AF2594" s="11"/>
      <c r="AH2594" s="1" t="str">
        <f>Table1[[#This Row],[html_tag]]&amp;Table1[[#This Row],[html_type]]&amp;Table1[[#This Row],[html_modifier]]</f>
        <v/>
      </c>
      <c r="AL2594" s="22" t="str">
        <f>IFERROR(_xlfn.XLOOKUP(Table1[[#This Row],[word]],Table57[English style name],Table57[Style type]),"")</f>
        <v/>
      </c>
      <c r="AM2594" s="20"/>
      <c r="AN2594" s="11"/>
      <c r="AQ2594" s="6" t="s">
        <v>2643</v>
      </c>
      <c r="AR2594" t="s">
        <v>2640</v>
      </c>
    </row>
    <row r="2595" spans="5:44">
      <c r="E2595" s="11"/>
      <c r="F25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5" s="13" t="s">
        <v>337</v>
      </c>
      <c r="H2595" s="13" t="s">
        <v>2986</v>
      </c>
      <c r="I2595" s="12" t="str">
        <f>Table1[[#This Row],[type]]</f>
        <v>spinner</v>
      </c>
      <c r="J2595" s="62" t="str">
        <f>Table1[[#This Row],[Column42]]&amp;IF(Table1[[#This Row],[Column13]]="","",Table1[[#This Row],[Column13]])&amp;IF(Table1[[#This Row],[mod]]="","",Table1[[#This Row],[mod]])</f>
        <v>spinner--info</v>
      </c>
      <c r="K25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5" t="s">
        <v>2639</v>
      </c>
      <c r="P2595" s="6"/>
      <c r="Q25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595" t="s">
        <v>3119</v>
      </c>
      <c r="AB2595" s="29"/>
      <c r="AC2595" s="25"/>
      <c r="AD2595" s="41"/>
      <c r="AE2595" s="41"/>
      <c r="AF2595" s="11"/>
      <c r="AH2595" s="1" t="str">
        <f>Table1[[#This Row],[html_tag]]&amp;Table1[[#This Row],[html_type]]&amp;Table1[[#This Row],[html_modifier]]</f>
        <v/>
      </c>
      <c r="AL2595" s="22" t="str">
        <f>IFERROR(_xlfn.XLOOKUP(Table1[[#This Row],[word]],Table57[English style name],Table57[Style type]),"")</f>
        <v/>
      </c>
      <c r="AM2595" s="20"/>
      <c r="AN2595" s="11"/>
      <c r="AQ2595" s="6" t="s">
        <v>2644</v>
      </c>
      <c r="AR2595" t="s">
        <v>2640</v>
      </c>
    </row>
    <row r="2596" spans="5:44">
      <c r="E2596" s="11"/>
      <c r="F25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96" s="13"/>
      <c r="H2596" s="13"/>
      <c r="I2596" s="12" t="str">
        <f>Table1[[#This Row],[type]]</f>
        <v>spinner</v>
      </c>
      <c r="J2596" s="62" t="str">
        <f>Table1[[#This Row],[Column42]]&amp;IF(Table1[[#This Row],[Column13]]="","",Table1[[#This Row],[Column13]])&amp;IF(Table1[[#This Row],[mod]]="","",Table1[[#This Row],[mod]])</f>
        <v>spinner--lg</v>
      </c>
      <c r="K25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6" t="s">
        <v>2639</v>
      </c>
      <c r="Q25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596" t="s">
        <v>3114</v>
      </c>
      <c r="AB2596" s="29"/>
      <c r="AC2596" s="25"/>
      <c r="AD2596" s="41" t="s">
        <v>6935</v>
      </c>
      <c r="AE2596" s="41"/>
      <c r="AF2596" s="11"/>
      <c r="AH2596" s="7" t="str">
        <f>Table1[[#This Row],[html_tag]]&amp;Table1[[#This Row],[html_type]]&amp;Table1[[#This Row],[html_modifier]]</f>
        <v/>
      </c>
      <c r="AL2596" s="23" t="str">
        <f>IFERROR(_xlfn.XLOOKUP(Table1[[#This Row],[word]],Table57[English style name],Table57[Style type]),"")</f>
        <v/>
      </c>
      <c r="AM2596" s="21"/>
      <c r="AN2596" s="11"/>
    </row>
    <row r="2597" spans="5:44">
      <c r="E2597" s="11"/>
      <c r="F25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7" s="13" t="s">
        <v>337</v>
      </c>
      <c r="H2597" s="13" t="s">
        <v>2986</v>
      </c>
      <c r="I2597" s="12" t="str">
        <f>Table1[[#This Row],[type]]</f>
        <v>spinner</v>
      </c>
      <c r="J2597" s="62" t="str">
        <f>Table1[[#This Row],[Column42]]&amp;IF(Table1[[#This Row],[Column13]]="","",Table1[[#This Row],[Column13]])&amp;IF(Table1[[#This Row],[mod]]="","",Table1[[#This Row],[mod]])</f>
        <v>spinner--lg</v>
      </c>
      <c r="K25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7" t="s">
        <v>2639</v>
      </c>
      <c r="P2597" s="6"/>
      <c r="Q25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597" t="s">
        <v>3114</v>
      </c>
      <c r="AB2597" s="29"/>
      <c r="AC2597" s="25"/>
      <c r="AD2597" s="41"/>
      <c r="AE2597" s="41"/>
      <c r="AF2597" s="11"/>
      <c r="AH2597" s="1" t="str">
        <f>Table1[[#This Row],[html_tag]]&amp;Table1[[#This Row],[html_type]]&amp;Table1[[#This Row],[html_modifier]]</f>
        <v/>
      </c>
      <c r="AL2597" s="22" t="str">
        <f>IFERROR(_xlfn.XLOOKUP(Table1[[#This Row],[word]],Table57[English style name],Table57[Style type]),"")</f>
        <v/>
      </c>
      <c r="AM2597" s="20"/>
      <c r="AN2597" s="11"/>
      <c r="AQ2597" s="6" t="s">
        <v>2645</v>
      </c>
      <c r="AR2597" t="s">
        <v>2640</v>
      </c>
    </row>
    <row r="2598" spans="5:44">
      <c r="E2598" s="11"/>
      <c r="F25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8" s="13" t="s">
        <v>337</v>
      </c>
      <c r="H2598" s="13" t="s">
        <v>2986</v>
      </c>
      <c r="I2598" s="12" t="str">
        <f>Table1[[#This Row],[type]]</f>
        <v>spinner</v>
      </c>
      <c r="J2598" s="62" t="str">
        <f>Table1[[#This Row],[Column42]]&amp;IF(Table1[[#This Row],[Column13]]="","",Table1[[#This Row],[Column13]])&amp;IF(Table1[[#This Row],[mod]]="","",Table1[[#This Row],[mod]])</f>
        <v>spinner--light</v>
      </c>
      <c r="K25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8" t="s">
        <v>2639</v>
      </c>
      <c r="P2598" s="6" t="s">
        <v>2646</v>
      </c>
      <c r="Q25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V2598" t="s">
        <v>3503</v>
      </c>
      <c r="AB2598" s="29"/>
      <c r="AC2598" s="25"/>
      <c r="AD2598" s="41"/>
      <c r="AE2598" s="41"/>
      <c r="AF2598" s="11"/>
      <c r="AH2598" s="1" t="str">
        <f>Table1[[#This Row],[html_tag]]&amp;Table1[[#This Row],[html_type]]&amp;Table1[[#This Row],[html_modifier]]</f>
        <v/>
      </c>
      <c r="AL2598" s="22" t="str">
        <f>IFERROR(_xlfn.XLOOKUP(Table1[[#This Row],[word]],Table57[English style name],Table57[Style type]),"")</f>
        <v/>
      </c>
      <c r="AM2598" s="20"/>
      <c r="AN2598" s="11"/>
      <c r="AQ2598" s="6" t="s">
        <v>2646</v>
      </c>
      <c r="AR2598" t="s">
        <v>2640</v>
      </c>
    </row>
    <row r="2599" spans="5:44">
      <c r="E2599" s="11"/>
      <c r="F25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99" s="13"/>
      <c r="H2599" s="13"/>
      <c r="I2599" s="12" t="str">
        <f>Table1[[#This Row],[type]]</f>
        <v>spinner</v>
      </c>
      <c r="J2599" s="62" t="str">
        <f>Table1[[#This Row],[Column42]]&amp;IF(Table1[[#This Row],[Column13]]="","",Table1[[#This Row],[Column13]])&amp;IF(Table1[[#This Row],[mod]]="","",Table1[[#This Row],[mod]])</f>
        <v>spinner--md</v>
      </c>
      <c r="K25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9" t="s">
        <v>2639</v>
      </c>
      <c r="Q25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599" t="s">
        <v>3115</v>
      </c>
      <c r="AB2599" s="29"/>
      <c r="AC2599" s="25"/>
      <c r="AD2599" s="41" t="s">
        <v>6934</v>
      </c>
      <c r="AE2599" s="41"/>
      <c r="AF2599" s="11"/>
      <c r="AH2599" s="7" t="str">
        <f>Table1[[#This Row],[html_tag]]&amp;Table1[[#This Row],[html_type]]&amp;Table1[[#This Row],[html_modifier]]</f>
        <v/>
      </c>
      <c r="AL2599" s="23" t="str">
        <f>IFERROR(_xlfn.XLOOKUP(Table1[[#This Row],[word]],Table57[English style name],Table57[Style type]),"")</f>
        <v/>
      </c>
      <c r="AM2599" s="21"/>
      <c r="AN2599" s="11"/>
    </row>
    <row r="2600" spans="5:44">
      <c r="E2600" s="11"/>
      <c r="F26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0" s="13" t="s">
        <v>337</v>
      </c>
      <c r="H2600" s="13" t="s">
        <v>2986</v>
      </c>
      <c r="I2600" s="12" t="str">
        <f>Table1[[#This Row],[type]]</f>
        <v>spinner</v>
      </c>
      <c r="J2600" s="62" t="str">
        <f>Table1[[#This Row],[Column42]]&amp;IF(Table1[[#This Row],[Column13]]="","",Table1[[#This Row],[Column13]])&amp;IF(Table1[[#This Row],[mod]]="","",Table1[[#This Row],[mod]])</f>
        <v>spinner--md</v>
      </c>
      <c r="K26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0" t="s">
        <v>2639</v>
      </c>
      <c r="P2600" s="6"/>
      <c r="Q26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600" t="s">
        <v>3115</v>
      </c>
      <c r="AB2600" s="29"/>
      <c r="AC2600" s="25"/>
      <c r="AD2600" s="41"/>
      <c r="AE2600" s="41"/>
      <c r="AF2600" s="11"/>
      <c r="AH2600" s="1" t="str">
        <f>Table1[[#This Row],[html_tag]]&amp;Table1[[#This Row],[html_type]]&amp;Table1[[#This Row],[html_modifier]]</f>
        <v/>
      </c>
      <c r="AL2600" s="22" t="str">
        <f>IFERROR(_xlfn.XLOOKUP(Table1[[#This Row],[word]],Table57[English style name],Table57[Style type]),"")</f>
        <v/>
      </c>
      <c r="AM2600" s="20"/>
      <c r="AN2600" s="11"/>
      <c r="AQ2600" s="6" t="s">
        <v>2647</v>
      </c>
      <c r="AR2600" t="s">
        <v>2640</v>
      </c>
    </row>
    <row r="2601" spans="5:44">
      <c r="E2601" s="11"/>
      <c r="F26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1" s="13" t="s">
        <v>337</v>
      </c>
      <c r="H2601" s="13" t="s">
        <v>2986</v>
      </c>
      <c r="I2601" s="12" t="str">
        <f>Table1[[#This Row],[type]]</f>
        <v>spinner</v>
      </c>
      <c r="J2601" s="62" t="str">
        <f>Table1[[#This Row],[Column42]]&amp;IF(Table1[[#This Row],[Column13]]="","",Table1[[#This Row],[Column13]])&amp;IF(Table1[[#This Row],[mod]]="","",Table1[[#This Row],[mod]])</f>
        <v>spinner--primary</v>
      </c>
      <c r="K26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1" t="s">
        <v>2639</v>
      </c>
      <c r="P2601" s="6"/>
      <c r="Q26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2601" t="s">
        <v>3164</v>
      </c>
      <c r="AB2601" s="29"/>
      <c r="AC2601" s="25"/>
      <c r="AD2601" s="41"/>
      <c r="AE2601" s="41"/>
      <c r="AF2601" s="11"/>
      <c r="AH2601" s="1" t="str">
        <f>Table1[[#This Row],[html_tag]]&amp;Table1[[#This Row],[html_type]]&amp;Table1[[#This Row],[html_modifier]]</f>
        <v/>
      </c>
      <c r="AL2601" s="22" t="str">
        <f>IFERROR(_xlfn.XLOOKUP(Table1[[#This Row],[word]],Table57[English style name],Table57[Style type]),"")</f>
        <v/>
      </c>
      <c r="AM2601" s="20"/>
      <c r="AN2601" s="11"/>
      <c r="AQ2601" s="6" t="s">
        <v>2648</v>
      </c>
      <c r="AR2601" t="s">
        <v>2640</v>
      </c>
    </row>
    <row r="2602" spans="5:44">
      <c r="E2602" s="11"/>
      <c r="F26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2" s="13" t="s">
        <v>337</v>
      </c>
      <c r="H2602" s="13" t="s">
        <v>2986</v>
      </c>
      <c r="I2602" s="12" t="str">
        <f>Table1[[#This Row],[type]]</f>
        <v>spinner</v>
      </c>
      <c r="J2602" s="62" t="str">
        <f>Table1[[#This Row],[Column42]]&amp;IF(Table1[[#This Row],[Column13]]="","",Table1[[#This Row],[Column13]])&amp;IF(Table1[[#This Row],[mod]]="","",Table1[[#This Row],[mod]])</f>
        <v>spinner--secondary</v>
      </c>
      <c r="K26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2" t="s">
        <v>2639</v>
      </c>
      <c r="P2602" s="6"/>
      <c r="Q26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V2602" t="s">
        <v>3502</v>
      </c>
      <c r="AB2602" s="29"/>
      <c r="AC2602" s="25"/>
      <c r="AD2602" s="41"/>
      <c r="AE2602" s="41"/>
      <c r="AF2602" s="11"/>
      <c r="AH2602" s="1" t="str">
        <f>Table1[[#This Row],[html_tag]]&amp;Table1[[#This Row],[html_type]]&amp;Table1[[#This Row],[html_modifier]]</f>
        <v/>
      </c>
      <c r="AL2602" s="22" t="str">
        <f>IFERROR(_xlfn.XLOOKUP(Table1[[#This Row],[word]],Table57[English style name],Table57[Style type]),"")</f>
        <v/>
      </c>
      <c r="AM2602" s="20"/>
      <c r="AN2602" s="11"/>
      <c r="AQ2602" s="6" t="s">
        <v>2649</v>
      </c>
      <c r="AR2602" t="s">
        <v>2640</v>
      </c>
    </row>
    <row r="2603" spans="5:44">
      <c r="E2603" s="11"/>
      <c r="F26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603" s="13"/>
      <c r="H2603" s="13"/>
      <c r="I2603" s="12" t="str">
        <f>Table1[[#This Row],[type]]</f>
        <v>spinner</v>
      </c>
      <c r="J2603" s="62" t="str">
        <f>Table1[[#This Row],[Column42]]&amp;IF(Table1[[#This Row],[Column13]]="","",Table1[[#This Row],[Column13]])&amp;IF(Table1[[#This Row],[mod]]="","",Table1[[#This Row],[mod]])</f>
        <v>spinner--sm</v>
      </c>
      <c r="K26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3" t="s">
        <v>2639</v>
      </c>
      <c r="Q26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603" t="s">
        <v>3116</v>
      </c>
      <c r="AB2603" s="29"/>
      <c r="AC2603" s="25"/>
      <c r="AD2603" s="41" t="s">
        <v>6933</v>
      </c>
      <c r="AE2603" s="41"/>
      <c r="AF2603" s="11"/>
      <c r="AH2603" s="7" t="str">
        <f>Table1[[#This Row],[html_tag]]&amp;Table1[[#This Row],[html_type]]&amp;Table1[[#This Row],[html_modifier]]</f>
        <v/>
      </c>
      <c r="AL2603" s="23" t="str">
        <f>IFERROR(_xlfn.XLOOKUP(Table1[[#This Row],[word]],Table57[English style name],Table57[Style type]),"")</f>
        <v/>
      </c>
      <c r="AM2603" s="21"/>
      <c r="AN2603" s="11"/>
    </row>
    <row r="2604" spans="5:44">
      <c r="E2604" s="11"/>
      <c r="F26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4" s="13" t="s">
        <v>337</v>
      </c>
      <c r="H2604" s="13" t="s">
        <v>2986</v>
      </c>
      <c r="I2604" s="12" t="str">
        <f>Table1[[#This Row],[type]]</f>
        <v>spinner</v>
      </c>
      <c r="J2604" s="62" t="str">
        <f>Table1[[#This Row],[Column42]]&amp;IF(Table1[[#This Row],[Column13]]="","",Table1[[#This Row],[Column13]])&amp;IF(Table1[[#This Row],[mod]]="","",Table1[[#This Row],[mod]])</f>
        <v>spinner--sm</v>
      </c>
      <c r="K26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4" t="s">
        <v>2639</v>
      </c>
      <c r="P2604" s="6"/>
      <c r="Q26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604" s="3" t="s">
        <v>3116</v>
      </c>
      <c r="AB2604" s="29"/>
      <c r="AC2604" s="25"/>
      <c r="AD2604" s="41"/>
      <c r="AE2604" s="41"/>
      <c r="AF2604" s="11"/>
      <c r="AH2604" s="1" t="str">
        <f>Table1[[#This Row],[html_tag]]&amp;Table1[[#This Row],[html_type]]&amp;Table1[[#This Row],[html_modifier]]</f>
        <v/>
      </c>
      <c r="AL2604" s="22" t="str">
        <f>IFERROR(_xlfn.XLOOKUP(Table1[[#This Row],[word]],Table57[English style name],Table57[Style type]),"")</f>
        <v/>
      </c>
      <c r="AM2604" s="20"/>
      <c r="AN2604" s="11"/>
      <c r="AQ2604" s="6" t="s">
        <v>2650</v>
      </c>
      <c r="AR2604" t="s">
        <v>2640</v>
      </c>
    </row>
    <row r="2605" spans="5:44">
      <c r="E2605" s="11"/>
      <c r="F26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5" s="13" t="s">
        <v>337</v>
      </c>
      <c r="H2605" s="13" t="s">
        <v>2986</v>
      </c>
      <c r="I2605" s="12" t="str">
        <f>Table1[[#This Row],[type]]</f>
        <v>spinner</v>
      </c>
      <c r="J2605" s="62" t="str">
        <f>Table1[[#This Row],[Column42]]&amp;IF(Table1[[#This Row],[Column13]]="","",Table1[[#This Row],[Column13]])&amp;IF(Table1[[#This Row],[mod]]="","",Table1[[#This Row],[mod]])</f>
        <v>spinner--success</v>
      </c>
      <c r="K26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5" t="s">
        <v>2639</v>
      </c>
      <c r="P2605" s="6"/>
      <c r="Q26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605" t="s">
        <v>3120</v>
      </c>
      <c r="AB2605" s="29"/>
      <c r="AC2605" s="25"/>
      <c r="AD2605" s="41"/>
      <c r="AE2605" s="41"/>
      <c r="AF2605" s="11"/>
      <c r="AH2605" s="1" t="str">
        <f>Table1[[#This Row],[html_tag]]&amp;Table1[[#This Row],[html_type]]&amp;Table1[[#This Row],[html_modifier]]</f>
        <v/>
      </c>
      <c r="AL2605" s="22" t="str">
        <f>IFERROR(_xlfn.XLOOKUP(Table1[[#This Row],[word]],Table57[English style name],Table57[Style type]),"")</f>
        <v/>
      </c>
      <c r="AM2605" s="20"/>
      <c r="AN2605" s="11"/>
      <c r="AQ2605" s="6" t="s">
        <v>2651</v>
      </c>
      <c r="AR2605" t="s">
        <v>2640</v>
      </c>
    </row>
    <row r="2606" spans="5:44">
      <c r="E2606" s="11"/>
      <c r="F26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6" s="13" t="s">
        <v>337</v>
      </c>
      <c r="H2606" s="13" t="s">
        <v>2986</v>
      </c>
      <c r="I2606" s="12" t="str">
        <f>Table1[[#This Row],[type]]</f>
        <v>spinner</v>
      </c>
      <c r="J2606" s="62" t="str">
        <f>Table1[[#This Row],[Column42]]&amp;IF(Table1[[#This Row],[Column13]]="","",Table1[[#This Row],[Column13]])&amp;IF(Table1[[#This Row],[mod]]="","",Table1[[#This Row],[mod]])</f>
        <v>spinner--warning</v>
      </c>
      <c r="K26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6" t="s">
        <v>2639</v>
      </c>
      <c r="P2606" s="6"/>
      <c r="Q26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606" t="s">
        <v>3121</v>
      </c>
      <c r="AB2606" s="29"/>
      <c r="AC2606" s="25"/>
      <c r="AD2606" s="41"/>
      <c r="AE2606" s="41"/>
      <c r="AF2606" s="11"/>
      <c r="AH2606" s="1" t="str">
        <f>Table1[[#This Row],[html_tag]]&amp;Table1[[#This Row],[html_type]]&amp;Table1[[#This Row],[html_modifier]]</f>
        <v/>
      </c>
      <c r="AL2606" s="22" t="str">
        <f>IFERROR(_xlfn.XLOOKUP(Table1[[#This Row],[word]],Table57[English style name],Table57[Style type]),"")</f>
        <v/>
      </c>
      <c r="AM2606" s="20"/>
      <c r="AN2606" s="11"/>
      <c r="AQ2606" s="6" t="s">
        <v>2652</v>
      </c>
      <c r="AR2606" t="s">
        <v>2640</v>
      </c>
    </row>
    <row r="2607" spans="5:44">
      <c r="E2607" s="11"/>
      <c r="F26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607" s="13"/>
      <c r="H2607" s="13"/>
      <c r="I2607" s="12" t="str">
        <f>Table1[[#This Row],[type]]</f>
        <v>spinner</v>
      </c>
      <c r="J2607" s="62" t="str">
        <f>Table1[[#This Row],[Column42]]&amp;IF(Table1[[#This Row],[Column13]]="","",Table1[[#This Row],[Column13]])&amp;IF(Table1[[#This Row],[mod]]="","",Table1[[#This Row],[mod]])</f>
        <v>spinner--xl</v>
      </c>
      <c r="K26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7" t="s">
        <v>2639</v>
      </c>
      <c r="Q26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607" t="s">
        <v>3126</v>
      </c>
      <c r="AB2607" s="29"/>
      <c r="AC2607" s="25"/>
      <c r="AD2607" s="41" t="s">
        <v>6936</v>
      </c>
      <c r="AE2607" s="41"/>
      <c r="AF2607" s="11"/>
      <c r="AH2607" s="7" t="str">
        <f>Table1[[#This Row],[html_tag]]&amp;Table1[[#This Row],[html_type]]&amp;Table1[[#This Row],[html_modifier]]</f>
        <v/>
      </c>
      <c r="AL2607" s="23" t="str">
        <f>IFERROR(_xlfn.XLOOKUP(Table1[[#This Row],[word]],Table57[English style name],Table57[Style type]),"")</f>
        <v/>
      </c>
      <c r="AM2607" s="21"/>
      <c r="AN2607" s="11"/>
    </row>
    <row r="2608" spans="5:44">
      <c r="E2608" s="11"/>
      <c r="F26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608" s="13"/>
      <c r="H2608" s="13"/>
      <c r="I2608" s="12" t="str">
        <f>Table1[[#This Row],[type]]</f>
        <v>spinner</v>
      </c>
      <c r="J2608" s="62" t="str">
        <f>Table1[[#This Row],[Column42]]&amp;IF(Table1[[#This Row],[Column13]]="","",Table1[[#This Row],[Column13]])&amp;IF(Table1[[#This Row],[mod]]="","",Table1[[#This Row],[mod]])</f>
        <v>spinner--xs</v>
      </c>
      <c r="K26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8" t="s">
        <v>2639</v>
      </c>
      <c r="Q26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608" t="s">
        <v>3127</v>
      </c>
      <c r="AB2608" s="29"/>
      <c r="AC2608" s="25"/>
      <c r="AD2608" s="41" t="s">
        <v>6932</v>
      </c>
      <c r="AE2608" s="41"/>
      <c r="AF2608" s="11"/>
      <c r="AH2608" s="7" t="str">
        <f>Table1[[#This Row],[html_tag]]&amp;Table1[[#This Row],[html_type]]&amp;Table1[[#This Row],[html_modifier]]</f>
        <v/>
      </c>
      <c r="AL2608" s="23" t="str">
        <f>IFERROR(_xlfn.XLOOKUP(Table1[[#This Row],[word]],Table57[English style name],Table57[Style type]),"")</f>
        <v/>
      </c>
      <c r="AM2608" s="21"/>
      <c r="AN2608" s="11"/>
    </row>
    <row r="2609" spans="1:47">
      <c r="A2609" s="68"/>
      <c r="B2609" s="68"/>
      <c r="C2609" s="68"/>
      <c r="D2609" s="69"/>
      <c r="E2609" s="70"/>
      <c r="F2609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2609" s="13" t="s">
        <v>461</v>
      </c>
      <c r="H2609" s="13" t="s">
        <v>2991</v>
      </c>
      <c r="I2609" s="13" t="s">
        <v>3009</v>
      </c>
      <c r="J2609" s="72" t="str">
        <f>Table1[[#This Row],[Column42]]&amp;IF(Table1[[#This Row],[Column13]]="","",Table1[[#This Row],[Column13]])&amp;IF(Table1[[#This Row],[mod]]="","",Table1[[#This Row],[mod]])</f>
        <v>sr-only</v>
      </c>
      <c r="K2609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sr-only</v>
      </c>
      <c r="L2609" s="64" t="s">
        <v>10181</v>
      </c>
      <c r="Q2609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9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09" s="29"/>
      <c r="AC2609" s="25" t="s">
        <v>9748</v>
      </c>
      <c r="AD2609" s="41"/>
      <c r="AE2609" s="41"/>
      <c r="AF2609" s="11"/>
      <c r="AH2609" s="75" t="str">
        <f>Table1[[#This Row],[html_tag]]&amp;Table1[[#This Row],[html_type]]&amp;Table1[[#This Row],[html_modifier]]</f>
        <v/>
      </c>
      <c r="AL2609" s="23" t="str">
        <f>IFERROR(_xlfn.XLOOKUP(Table1[[#This Row],[word]],Table57[English style name],Table57[Style type]),"")</f>
        <v/>
      </c>
      <c r="AM2609" s="21"/>
      <c r="AN2609" s="70"/>
      <c r="AO2609" s="67"/>
      <c r="AP2609" s="67"/>
      <c r="AQ2609" s="67"/>
      <c r="AR2609" s="67"/>
      <c r="AS2609" s="67"/>
      <c r="AT2609" s="67"/>
      <c r="AU2609" s="67"/>
    </row>
    <row r="2610" spans="1:47">
      <c r="A2610" s="68"/>
      <c r="B2610" s="68"/>
      <c r="C2610" s="68"/>
      <c r="D2610" s="69"/>
      <c r="E2610" s="70"/>
      <c r="F2610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2610" s="13" t="s">
        <v>461</v>
      </c>
      <c r="H2610" s="13" t="s">
        <v>2991</v>
      </c>
      <c r="I2610" s="13" t="s">
        <v>3009</v>
      </c>
      <c r="J2610" s="72" t="str">
        <f>Table1[[#This Row],[Column42]]&amp;IF(Table1[[#This Row],[Column13]]="","",Table1[[#This Row],[Column13]])&amp;IF(Table1[[#This Row],[mod]]="","",Table1[[#This Row],[mod]])</f>
        <v>sr-only--focusable</v>
      </c>
      <c r="K2610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sr-only</v>
      </c>
      <c r="L2610" s="64" t="s">
        <v>10181</v>
      </c>
      <c r="Q2610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--focusable</v>
      </c>
      <c r="S2610" t="s">
        <v>10180</v>
      </c>
      <c r="U2610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0" s="29"/>
      <c r="AC2610" s="25" t="s">
        <v>10173</v>
      </c>
      <c r="AD2610" s="41"/>
      <c r="AE2610" s="41"/>
      <c r="AF2610" s="11"/>
      <c r="AH2610" s="75" t="str">
        <f>Table1[[#This Row],[html_tag]]&amp;Table1[[#This Row],[html_type]]&amp;Table1[[#This Row],[html_modifier]]</f>
        <v/>
      </c>
      <c r="AL2610" s="23" t="str">
        <f>IFERROR(_xlfn.XLOOKUP(Table1[[#This Row],[word]],Table57[English style name],Table57[Style type]),"")</f>
        <v/>
      </c>
      <c r="AM2610" s="21"/>
      <c r="AN2610" s="70"/>
      <c r="AO2610" s="67"/>
      <c r="AP2610" s="67"/>
      <c r="AQ2610" s="67"/>
      <c r="AR2610" s="67"/>
      <c r="AS2610" s="67"/>
      <c r="AT2610" s="67"/>
      <c r="AU2610" s="67"/>
    </row>
    <row r="2611" spans="1:47">
      <c r="E2611" s="11"/>
      <c r="F26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611" s="13"/>
      <c r="H2611" s="13"/>
      <c r="I2611" s="12" t="str">
        <f>Table1[[#This Row],[type]]</f>
        <v>stack</v>
      </c>
      <c r="J2611" s="62" t="str">
        <f>Table1[[#This Row],[Column42]]&amp;IF(Table1[[#This Row],[Column13]]="","",Table1[[#This Row],[Column13]])&amp;IF(Table1[[#This Row],[mod]]="","",Table1[[#This Row],[mod]])</f>
        <v>stack</v>
      </c>
      <c r="K26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611" t="s">
        <v>3160</v>
      </c>
      <c r="Q26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1" s="29"/>
      <c r="AC2611" s="25"/>
      <c r="AD2611" s="41" t="s">
        <v>7217</v>
      </c>
      <c r="AE2611" s="41"/>
      <c r="AF2611" s="11"/>
      <c r="AH2611" s="7" t="str">
        <f>Table1[[#This Row],[html_tag]]&amp;Table1[[#This Row],[html_type]]&amp;Table1[[#This Row],[html_modifier]]</f>
        <v/>
      </c>
      <c r="AL2611" s="23" t="str">
        <f>IFERROR(_xlfn.XLOOKUP(Table1[[#This Row],[word]],Table57[English style name],Table57[Style type]),"")</f>
        <v/>
      </c>
      <c r="AM2611" s="21"/>
      <c r="AN2611" s="11"/>
    </row>
    <row r="2612" spans="1:47">
      <c r="E2612" s="11"/>
      <c r="F26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612" s="13"/>
      <c r="H2612" s="13"/>
      <c r="I2612" s="12" t="str">
        <f>Table1[[#This Row],[type]]</f>
        <v>stack</v>
      </c>
      <c r="J2612" s="62" t="str">
        <f>Table1[[#This Row],[Column42]]&amp;IF(Table1[[#This Row],[Column13]]="","",Table1[[#This Row],[Column13]])&amp;IF(Table1[[#This Row],[mod]]="","",Table1[[#This Row],[mod]])</f>
        <v>stack__bottom</v>
      </c>
      <c r="K26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stack__bottom</v>
      </c>
      <c r="L2612" t="s">
        <v>3160</v>
      </c>
      <c r="N2612" t="s">
        <v>3186</v>
      </c>
      <c r="Q26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2" s="29"/>
      <c r="AC2612" s="25"/>
      <c r="AD2612" s="41" t="s">
        <v>7219</v>
      </c>
      <c r="AE2612" s="41"/>
      <c r="AF2612" s="11"/>
      <c r="AH2612" s="7" t="str">
        <f>Table1[[#This Row],[html_tag]]&amp;Table1[[#This Row],[html_type]]&amp;Table1[[#This Row],[html_modifier]]</f>
        <v/>
      </c>
      <c r="AL2612" s="23" t="str">
        <f>IFERROR(_xlfn.XLOOKUP(Table1[[#This Row],[word]],Table57[English style name],Table57[Style type]),"")</f>
        <v/>
      </c>
      <c r="AM2612" s="21"/>
      <c r="AN2612" s="11"/>
    </row>
    <row r="2613" spans="1:47">
      <c r="E2613" s="11"/>
      <c r="F26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613" s="13"/>
      <c r="H2613" s="13"/>
      <c r="I2613" s="12" t="str">
        <f>Table1[[#This Row],[type]]</f>
        <v>stack</v>
      </c>
      <c r="J2613" s="62" t="str">
        <f>Table1[[#This Row],[Column42]]&amp;IF(Table1[[#This Row],[Column13]]="","",Table1[[#This Row],[Column13]])&amp;IF(Table1[[#This Row],[mod]]="","",Table1[[#This Row],[mod]])</f>
        <v>stack__end</v>
      </c>
      <c r="K26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stack__end</v>
      </c>
      <c r="L2613" t="s">
        <v>3160</v>
      </c>
      <c r="N2613" t="s">
        <v>3194</v>
      </c>
      <c r="Q26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3" s="29"/>
      <c r="AC2613" s="25"/>
      <c r="AD2613" s="41" t="s">
        <v>7221</v>
      </c>
      <c r="AE2613" s="41"/>
      <c r="AF2613" s="11"/>
      <c r="AH2613" s="7" t="str">
        <f>Table1[[#This Row],[html_tag]]&amp;Table1[[#This Row],[html_type]]&amp;Table1[[#This Row],[html_modifier]]</f>
        <v/>
      </c>
      <c r="AL2613" s="23" t="str">
        <f>IFERROR(_xlfn.XLOOKUP(Table1[[#This Row],[word]],Table57[English style name],Table57[Style type]),"")</f>
        <v/>
      </c>
      <c r="AM2613" s="21"/>
      <c r="AN2613" s="11"/>
    </row>
    <row r="2614" spans="1:47">
      <c r="E2614" s="11"/>
      <c r="F26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614" s="13"/>
      <c r="H2614" s="13"/>
      <c r="I2614" s="12" t="str">
        <f>Table1[[#This Row],[type]]</f>
        <v>stack</v>
      </c>
      <c r="J2614" s="62" t="str">
        <f>Table1[[#This Row],[Column42]]&amp;IF(Table1[[#This Row],[Column13]]="","",Table1[[#This Row],[Column13]])&amp;IF(Table1[[#This Row],[mod]]="","",Table1[[#This Row],[mod]])</f>
        <v>stack__start</v>
      </c>
      <c r="K26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stack__start</v>
      </c>
      <c r="L2614" t="s">
        <v>3160</v>
      </c>
      <c r="N2614" t="s">
        <v>3193</v>
      </c>
      <c r="Q26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4" s="29"/>
      <c r="AC2614" s="25"/>
      <c r="AD2614" s="41" t="s">
        <v>7220</v>
      </c>
      <c r="AE2614" s="41"/>
      <c r="AF2614" s="11"/>
      <c r="AH2614" s="7" t="str">
        <f>Table1[[#This Row],[html_tag]]&amp;Table1[[#This Row],[html_type]]&amp;Table1[[#This Row],[html_modifier]]</f>
        <v/>
      </c>
      <c r="AL2614" s="23" t="str">
        <f>IFERROR(_xlfn.XLOOKUP(Table1[[#This Row],[word]],Table57[English style name],Table57[Style type]),"")</f>
        <v/>
      </c>
      <c r="AM2614" s="21"/>
      <c r="AN2614" s="11"/>
    </row>
    <row r="2615" spans="1:47">
      <c r="E2615" s="11"/>
      <c r="F26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615" s="13"/>
      <c r="H2615" s="13"/>
      <c r="I2615" s="12" t="str">
        <f>Table1[[#This Row],[type]]</f>
        <v>stack</v>
      </c>
      <c r="J2615" s="62" t="str">
        <f>Table1[[#This Row],[Column42]]&amp;IF(Table1[[#This Row],[Column13]]="","",Table1[[#This Row],[Column13]])&amp;IF(Table1[[#This Row],[mod]]="","",Table1[[#This Row],[mod]])</f>
        <v>stack__top</v>
      </c>
      <c r="K26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stack__top</v>
      </c>
      <c r="L2615" t="s">
        <v>3160</v>
      </c>
      <c r="N2615" t="s">
        <v>3182</v>
      </c>
      <c r="Q26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5" s="29"/>
      <c r="AC2615" s="25"/>
      <c r="AD2615" s="41" t="s">
        <v>7218</v>
      </c>
      <c r="AE2615" s="41"/>
      <c r="AF2615" s="11"/>
      <c r="AH2615" s="7" t="str">
        <f>Table1[[#This Row],[html_tag]]&amp;Table1[[#This Row],[html_type]]&amp;Table1[[#This Row],[html_modifier]]</f>
        <v/>
      </c>
      <c r="AL2615" s="23" t="str">
        <f>IFERROR(_xlfn.XLOOKUP(Table1[[#This Row],[word]],Table57[English style name],Table57[Style type]),"")</f>
        <v/>
      </c>
      <c r="AM2615" s="21"/>
      <c r="AN2615" s="11"/>
    </row>
    <row r="2616" spans="1:47">
      <c r="E2616" s="11"/>
      <c r="F26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616" s="13" t="s">
        <v>461</v>
      </c>
      <c r="H2616" s="13" t="s">
        <v>2991</v>
      </c>
      <c r="I2616" s="12" t="str">
        <f>Table1[[#This Row],[type]]</f>
        <v>stack</v>
      </c>
      <c r="J2616" s="62" t="str">
        <f>Table1[[#This Row],[Column42]]&amp;IF(Table1[[#This Row],[Column13]]="","",Table1[[#This Row],[Column13]])&amp;IF(Table1[[#This Row],[mod]]="","",Table1[[#This Row],[mod]])</f>
        <v>stack--gap--horizontal</v>
      </c>
      <c r="K26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616" t="s">
        <v>3160</v>
      </c>
      <c r="Q26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--gap</v>
      </c>
      <c r="S2616" t="s">
        <v>1820</v>
      </c>
      <c r="U26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16" t="s">
        <v>3205</v>
      </c>
      <c r="AB2616" s="29"/>
      <c r="AC2616" s="25"/>
      <c r="AD2616" s="41"/>
      <c r="AE2616" s="41"/>
      <c r="AF2616" s="11"/>
      <c r="AH2616" s="1" t="str">
        <f>Table1[[#This Row],[html_tag]]&amp;Table1[[#This Row],[html_type]]&amp;Table1[[#This Row],[html_modifier]]</f>
        <v/>
      </c>
      <c r="AL2616" s="22" t="str">
        <f>IFERROR(_xlfn.XLOOKUP(Table1[[#This Row],[word]],Table57[English style name],Table57[Style type]),"")</f>
        <v/>
      </c>
      <c r="AM2616" s="20"/>
      <c r="AN2616" s="11"/>
      <c r="AQ2616" s="6" t="s">
        <v>2622</v>
      </c>
      <c r="AR2616" t="s">
        <v>2621</v>
      </c>
    </row>
    <row r="2617" spans="1:47">
      <c r="E2617" s="11"/>
      <c r="F26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617" s="13" t="s">
        <v>461</v>
      </c>
      <c r="H2617" s="13" t="s">
        <v>2991</v>
      </c>
      <c r="I2617" s="12" t="str">
        <f>Table1[[#This Row],[type]]</f>
        <v>stack</v>
      </c>
      <c r="J2617" s="62" t="str">
        <f>Table1[[#This Row],[Column42]]&amp;IF(Table1[[#This Row],[Column13]]="","",Table1[[#This Row],[Column13]])&amp;IF(Table1[[#This Row],[mod]]="","",Table1[[#This Row],[mod]])</f>
        <v>stack--gap--vertical</v>
      </c>
      <c r="K26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617" t="s">
        <v>3160</v>
      </c>
      <c r="Q26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--gap</v>
      </c>
      <c r="S2617" t="s">
        <v>1820</v>
      </c>
      <c r="U26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17" t="s">
        <v>2943</v>
      </c>
      <c r="AB2617" s="29"/>
      <c r="AC2617" s="25"/>
      <c r="AD2617" s="41"/>
      <c r="AE2617" s="41"/>
      <c r="AF2617" s="11"/>
      <c r="AH2617" s="1" t="str">
        <f>Table1[[#This Row],[html_tag]]&amp;Table1[[#This Row],[html_type]]&amp;Table1[[#This Row],[html_modifier]]</f>
        <v/>
      </c>
      <c r="AL2617" s="22" t="str">
        <f>IFERROR(_xlfn.XLOOKUP(Table1[[#This Row],[word]],Table57[English style name],Table57[Style type]),"")</f>
        <v/>
      </c>
      <c r="AM2617" s="20"/>
      <c r="AN2617" s="11"/>
      <c r="AQ2617" s="6" t="s">
        <v>2624</v>
      </c>
      <c r="AR2617" t="s">
        <v>2621</v>
      </c>
    </row>
    <row r="2618" spans="1:47">
      <c r="E2618" s="11"/>
      <c r="F26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618" s="13" t="s">
        <v>461</v>
      </c>
      <c r="H2618" s="13" t="s">
        <v>2991</v>
      </c>
      <c r="I2618" s="12" t="str">
        <f>Table1[[#This Row],[type]]</f>
        <v>stack</v>
      </c>
      <c r="J2618" s="62" t="str">
        <f>Table1[[#This Row],[Column42]]&amp;IF(Table1[[#This Row],[Column13]]="","",Table1[[#This Row],[Column13]])&amp;IF(Table1[[#This Row],[mod]]="","",Table1[[#This Row],[mod]])</f>
        <v>stack--horizontal</v>
      </c>
      <c r="K26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618" t="s">
        <v>3160</v>
      </c>
      <c r="Q26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18" t="s">
        <v>3205</v>
      </c>
      <c r="AB2618" s="29"/>
      <c r="AC2618" s="25"/>
      <c r="AD2618" s="41"/>
      <c r="AE2618" s="41"/>
      <c r="AF2618" s="11"/>
      <c r="AH2618" s="1" t="str">
        <f>Table1[[#This Row],[html_tag]]&amp;Table1[[#This Row],[html_type]]&amp;Table1[[#This Row],[html_modifier]]</f>
        <v/>
      </c>
      <c r="AL2618" s="22" t="str">
        <f>IFERROR(_xlfn.XLOOKUP(Table1[[#This Row],[word]],Table57[English style name],Table57[Style type]),"")</f>
        <v/>
      </c>
      <c r="AM2618" s="20"/>
      <c r="AN2618" s="11"/>
      <c r="AQ2618" s="6" t="s">
        <v>2620</v>
      </c>
      <c r="AR2618" t="s">
        <v>2621</v>
      </c>
    </row>
    <row r="2619" spans="1:47">
      <c r="E2619" s="11"/>
      <c r="F26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619" s="13" t="s">
        <v>461</v>
      </c>
      <c r="H2619" s="13" t="s">
        <v>2991</v>
      </c>
      <c r="I2619" s="12" t="str">
        <f>Table1[[#This Row],[type]]</f>
        <v>stack</v>
      </c>
      <c r="J2619" s="62" t="str">
        <f>Table1[[#This Row],[Column42]]&amp;IF(Table1[[#This Row],[Column13]]="","",Table1[[#This Row],[Column13]])&amp;IF(Table1[[#This Row],[mod]]="","",Table1[[#This Row],[mod]])</f>
        <v>stack--vertical</v>
      </c>
      <c r="K26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619" t="s">
        <v>3160</v>
      </c>
      <c r="Q26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19" t="s">
        <v>2943</v>
      </c>
      <c r="AB2619" s="29"/>
      <c r="AC2619" s="25"/>
      <c r="AD2619" s="41"/>
      <c r="AE2619" s="41"/>
      <c r="AF2619" s="11"/>
      <c r="AH2619" s="1" t="str">
        <f>Table1[[#This Row],[html_tag]]&amp;Table1[[#This Row],[html_type]]&amp;Table1[[#This Row],[html_modifier]]</f>
        <v/>
      </c>
      <c r="AL2619" s="22" t="str">
        <f>IFERROR(_xlfn.XLOOKUP(Table1[[#This Row],[word]],Table57[English style name],Table57[Style type]),"")</f>
        <v/>
      </c>
      <c r="AM2619" s="20"/>
      <c r="AN2619" s="11"/>
      <c r="AQ2619" s="6" t="s">
        <v>2623</v>
      </c>
      <c r="AR2619" t="s">
        <v>2621</v>
      </c>
    </row>
    <row r="2620" spans="1:47">
      <c r="E2620" s="11"/>
      <c r="F26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0" s="13"/>
      <c r="H2620" s="13"/>
      <c r="I2620" s="12" t="str">
        <f>Table1[[#This Row],[type]]</f>
        <v>stats</v>
      </c>
      <c r="J2620" s="62" t="str">
        <f>Table1[[#This Row],[Column42]]&amp;IF(Table1[[#This Row],[Column13]]="","",Table1[[#This Row],[Column13]])&amp;IF(Table1[[#This Row],[mod]]="","",Table1[[#This Row],[mod]])</f>
        <v>stats</v>
      </c>
      <c r="K26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</v>
      </c>
      <c r="L2620" t="s">
        <v>7222</v>
      </c>
      <c r="Q26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0" s="29"/>
      <c r="AC2620" s="25"/>
      <c r="AD2620" s="41" t="s">
        <v>7240</v>
      </c>
      <c r="AE2620" s="41"/>
      <c r="AF2620" s="11" t="s">
        <v>264</v>
      </c>
      <c r="AH2620" s="7" t="str">
        <f>Table1[[#This Row],[html_tag]]&amp;Table1[[#This Row],[html_type]]&amp;Table1[[#This Row],[html_modifier]]</f>
        <v/>
      </c>
      <c r="AL2620" s="23" t="str">
        <f>IFERROR(_xlfn.XLOOKUP(Table1[[#This Row],[word]],Table57[English style name],Table57[Style type]),"")</f>
        <v/>
      </c>
      <c r="AM2620" s="21"/>
      <c r="AN2620" s="11"/>
    </row>
    <row r="2621" spans="1:47">
      <c r="E2621" s="11"/>
      <c r="F26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1" s="13"/>
      <c r="H2621" s="13"/>
      <c r="I2621" s="12" t="str">
        <f>Table1[[#This Row],[type]]</f>
        <v>stats</v>
      </c>
      <c r="J2621" s="62" t="str">
        <f>Table1[[#This Row],[Column42]]&amp;IF(Table1[[#This Row],[Column13]]="","",Table1[[#This Row],[Column13]])&amp;IF(Table1[[#This Row],[mod]]="","",Table1[[#This Row],[mod]])</f>
        <v>stats__stat</v>
      </c>
      <c r="K26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621" t="s">
        <v>7222</v>
      </c>
      <c r="M2621" t="s">
        <v>7224</v>
      </c>
      <c r="Q26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1" s="29"/>
      <c r="AC2621" s="25"/>
      <c r="AD2621" s="41" t="s">
        <v>7241</v>
      </c>
      <c r="AE2621" s="41"/>
      <c r="AF2621" s="11" t="s">
        <v>168</v>
      </c>
      <c r="AH2621" s="7" t="str">
        <f>Table1[[#This Row],[html_tag]]&amp;Table1[[#This Row],[html_type]]&amp;Table1[[#This Row],[html_modifier]]</f>
        <v/>
      </c>
      <c r="AL2621" s="23" t="str">
        <f>IFERROR(_xlfn.XLOOKUP(Table1[[#This Row],[word]],Table57[English style name],Table57[Style type]),"")</f>
        <v/>
      </c>
      <c r="AM2621" s="21"/>
      <c r="AN2621" s="11"/>
    </row>
    <row r="2622" spans="1:47">
      <c r="E2622" s="11"/>
      <c r="F26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2" s="13"/>
      <c r="H2622" s="13"/>
      <c r="I2622" s="12" t="str">
        <f>Table1[[#This Row],[type]]</f>
        <v>stats</v>
      </c>
      <c r="J2622" s="62" t="str">
        <f>Table1[[#This Row],[Column42]]&amp;IF(Table1[[#This Row],[Column13]]="","",Table1[[#This Row],[Column13]])&amp;IF(Table1[[#This Row],[mod]]="","",Table1[[#This Row],[mod]])</f>
        <v>stats__stat__label</v>
      </c>
      <c r="K26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stats__stat__label</v>
      </c>
      <c r="L2622" t="s">
        <v>7222</v>
      </c>
      <c r="M2622" t="s">
        <v>7224</v>
      </c>
      <c r="N2622" t="s">
        <v>554</v>
      </c>
      <c r="Q26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2" s="29"/>
      <c r="AC2622" s="25"/>
      <c r="AD2622" s="41" t="s">
        <v>7242</v>
      </c>
      <c r="AE2622" s="41"/>
      <c r="AF2622" s="11" t="s">
        <v>170</v>
      </c>
      <c r="AH2622" s="7" t="str">
        <f>Table1[[#This Row],[html_tag]]&amp;Table1[[#This Row],[html_type]]&amp;Table1[[#This Row],[html_modifier]]</f>
        <v/>
      </c>
      <c r="AL2622" s="23" t="str">
        <f>IFERROR(_xlfn.XLOOKUP(Table1[[#This Row],[word]],Table57[English style name],Table57[Style type]),"")</f>
        <v/>
      </c>
      <c r="AM2622" s="21"/>
      <c r="AN2622" s="11"/>
    </row>
    <row r="2623" spans="1:47">
      <c r="E2623" s="11"/>
      <c r="F26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3" s="13"/>
      <c r="H2623" s="13"/>
      <c r="I2623" s="12" t="str">
        <f>Table1[[#This Row],[type]]</f>
        <v>stats</v>
      </c>
      <c r="J2623" s="62" t="str">
        <f>Table1[[#This Row],[Column42]]&amp;IF(Table1[[#This Row],[Column13]]="","",Table1[[#This Row],[Column13]])&amp;IF(Table1[[#This Row],[mod]]="","",Table1[[#This Row],[mod]])</f>
        <v>stats__stat__value</v>
      </c>
      <c r="K26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</v>
      </c>
      <c r="L2623" t="s">
        <v>7222</v>
      </c>
      <c r="M2623" t="s">
        <v>7224</v>
      </c>
      <c r="N2623" t="s">
        <v>10233</v>
      </c>
      <c r="Q26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3" s="29"/>
      <c r="AC2623" s="25"/>
      <c r="AD2623" s="41" t="s">
        <v>7243</v>
      </c>
      <c r="AE2623" s="41"/>
      <c r="AF2623" s="11" t="s">
        <v>155</v>
      </c>
      <c r="AH2623" s="7" t="str">
        <f>Table1[[#This Row],[html_tag]]&amp;Table1[[#This Row],[html_type]]&amp;Table1[[#This Row],[html_modifier]]</f>
        <v/>
      </c>
      <c r="AL2623" s="23" t="str">
        <f>IFERROR(_xlfn.XLOOKUP(Table1[[#This Row],[word]],Table57[English style name],Table57[Style type]),"")</f>
        <v/>
      </c>
      <c r="AM2623" s="21"/>
      <c r="AN2623" s="11"/>
    </row>
    <row r="2624" spans="1:47">
      <c r="E2624" s="11"/>
      <c r="F26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4" s="13"/>
      <c r="H2624" s="13"/>
      <c r="I2624" s="77" t="str">
        <f>Table1[[#This Row],[type]]</f>
        <v>stats</v>
      </c>
      <c r="J2624" s="62" t="str">
        <f>Table1[[#This Row],[Column42]]&amp;IF(Table1[[#This Row],[Column13]]="","",Table1[[#This Row],[Column13]])&amp;IF(Table1[[#This Row],[mod]]="","",Table1[[#This Row],[mod]])</f>
        <v>stats__stat__value__actions</v>
      </c>
      <c r="K26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stats__stat__value__actions</v>
      </c>
      <c r="L2624" t="s">
        <v>7222</v>
      </c>
      <c r="M2624" t="s">
        <v>7224</v>
      </c>
      <c r="N2624" t="s">
        <v>10233</v>
      </c>
      <c r="O2624" t="s">
        <v>10214</v>
      </c>
      <c r="Q26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4" s="29"/>
      <c r="AC2624" s="25"/>
      <c r="AD2624" s="41" t="s">
        <v>7246</v>
      </c>
      <c r="AE2624" s="41"/>
      <c r="AF2624" s="11" t="s">
        <v>270</v>
      </c>
      <c r="AH2624" s="7" t="str">
        <f>Table1[[#This Row],[html_tag]]&amp;Table1[[#This Row],[html_type]]&amp;Table1[[#This Row],[html_modifier]]</f>
        <v/>
      </c>
      <c r="AL2624" s="23" t="str">
        <f>IFERROR(_xlfn.XLOOKUP(Table1[[#This Row],[word]],Table57[English style name],Table57[Style type]),"")</f>
        <v/>
      </c>
      <c r="AM2624" s="21"/>
      <c r="AN2624" s="11"/>
    </row>
    <row r="2625" spans="1:47">
      <c r="E2625" s="11"/>
      <c r="F26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5" s="13"/>
      <c r="H2625" s="13"/>
      <c r="I2625" s="77" t="str">
        <f>Table1[[#This Row],[type]]</f>
        <v>stats</v>
      </c>
      <c r="J2625" s="62" t="str">
        <f>Table1[[#This Row],[Column42]]&amp;IF(Table1[[#This Row],[Column13]]="","",Table1[[#This Row],[Column13]])&amp;IF(Table1[[#This Row],[mod]]="","",Table1[[#This Row],[mod]])</f>
        <v>stats__stat__value__description</v>
      </c>
      <c r="K26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stats__stat__value__description</v>
      </c>
      <c r="L2625" t="s">
        <v>7222</v>
      </c>
      <c r="M2625" t="s">
        <v>7224</v>
      </c>
      <c r="N2625" t="s">
        <v>10233</v>
      </c>
      <c r="O2625" t="s">
        <v>347</v>
      </c>
      <c r="Q26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5" s="29"/>
      <c r="AC2625" s="25"/>
      <c r="AD2625" s="41" t="s">
        <v>7244</v>
      </c>
      <c r="AE2625" s="41"/>
      <c r="AF2625" s="11" t="s">
        <v>270</v>
      </c>
      <c r="AH2625" s="7" t="str">
        <f>Table1[[#This Row],[html_tag]]&amp;Table1[[#This Row],[html_type]]&amp;Table1[[#This Row],[html_modifier]]</f>
        <v/>
      </c>
      <c r="AL2625" s="23" t="str">
        <f>IFERROR(_xlfn.XLOOKUP(Table1[[#This Row],[word]],Table57[English style name],Table57[Style type]),"")</f>
        <v/>
      </c>
      <c r="AM2625" s="21"/>
      <c r="AN2625" s="11"/>
    </row>
    <row r="2626" spans="1:47">
      <c r="E2626" s="11"/>
      <c r="F26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6" s="13"/>
      <c r="H2626" s="13"/>
      <c r="I2626" s="77" t="str">
        <f>Table1[[#This Row],[type]]</f>
        <v>stats</v>
      </c>
      <c r="J2626" s="62" t="str">
        <f>Table1[[#This Row],[Column42]]&amp;IF(Table1[[#This Row],[Column13]]="","",Table1[[#This Row],[Column13]])&amp;IF(Table1[[#This Row],[mod]]="","",Table1[[#This Row],[mod]])</f>
        <v>stats__stat__value__figure</v>
      </c>
      <c r="K26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stats__stat__value__figure</v>
      </c>
      <c r="L2626" t="s">
        <v>7222</v>
      </c>
      <c r="M2626" t="s">
        <v>7224</v>
      </c>
      <c r="N2626" t="s">
        <v>10233</v>
      </c>
      <c r="O2626" t="s">
        <v>343</v>
      </c>
      <c r="Q26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6" s="29"/>
      <c r="AC2626" s="25"/>
      <c r="AD2626" s="41" t="s">
        <v>7245</v>
      </c>
      <c r="AE2626" s="41"/>
      <c r="AF2626" s="11" t="s">
        <v>201</v>
      </c>
      <c r="AH2626" s="7" t="str">
        <f>Table1[[#This Row],[html_tag]]&amp;Table1[[#This Row],[html_type]]&amp;Table1[[#This Row],[html_modifier]]</f>
        <v/>
      </c>
      <c r="AL2626" s="23" t="str">
        <f>IFERROR(_xlfn.XLOOKUP(Table1[[#This Row],[word]],Table57[English style name],Table57[Style type]),"")</f>
        <v/>
      </c>
      <c r="AM2626" s="21"/>
      <c r="AN2626" s="11"/>
    </row>
    <row r="2627" spans="1:47">
      <c r="A2627" s="68"/>
      <c r="B2627" s="68"/>
      <c r="C2627" s="68"/>
      <c r="D2627" s="69"/>
      <c r="E2627" s="70"/>
      <c r="F2627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7" s="13"/>
      <c r="H2627" s="13"/>
      <c r="I2627" s="85" t="str">
        <f>Table1[[#This Row],[type]]</f>
        <v>stats</v>
      </c>
      <c r="J2627" s="72" t="str">
        <f>Table1[[#This Row],[Column42]]&amp;IF(Table1[[#This Row],[Column13]]="","",Table1[[#This Row],[Column13]])&amp;IF(Table1[[#This Row],[mod]]="","",Table1[[#This Row],[mod]])</f>
        <v>stats__stat__value__unit</v>
      </c>
      <c r="K2627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stats__stat__value__unit</v>
      </c>
      <c r="L2627" t="s">
        <v>7222</v>
      </c>
      <c r="M2627" t="s">
        <v>7224</v>
      </c>
      <c r="N2627" t="s">
        <v>10233</v>
      </c>
      <c r="O2627" t="s">
        <v>10234</v>
      </c>
      <c r="Q2627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7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7" s="29"/>
      <c r="AC2627" s="25"/>
      <c r="AD2627" s="41"/>
      <c r="AE2627" s="41"/>
      <c r="AF2627" s="11" t="s">
        <v>270</v>
      </c>
      <c r="AH2627" s="75" t="str">
        <f>Table1[[#This Row],[html_tag]]&amp;Table1[[#This Row],[html_type]]&amp;Table1[[#This Row],[html_modifier]]</f>
        <v/>
      </c>
      <c r="AL2627" s="23" t="str">
        <f>IFERROR(_xlfn.XLOOKUP(Table1[[#This Row],[word]],Table57[English style name],Table57[Style type]),"")</f>
        <v/>
      </c>
      <c r="AM2627" s="21"/>
      <c r="AN2627" s="70"/>
      <c r="AO2627" s="67"/>
      <c r="AP2627" s="67"/>
      <c r="AQ2627" s="67"/>
      <c r="AR2627" s="67"/>
      <c r="AS2627" s="67"/>
      <c r="AT2627" s="67"/>
      <c r="AU2627" s="67"/>
    </row>
    <row r="2628" spans="1:47">
      <c r="A2628" s="68"/>
      <c r="B2628" s="68"/>
      <c r="C2628" s="68"/>
      <c r="D2628" s="69"/>
      <c r="E2628" s="70"/>
      <c r="F2628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8" s="13"/>
      <c r="H2628" s="13"/>
      <c r="I2628" s="85" t="str">
        <f>Table1[[#This Row],[type]]</f>
        <v>stats</v>
      </c>
      <c r="J2628" s="72" t="str">
        <f>Table1[[#This Row],[Column42]]&amp;IF(Table1[[#This Row],[Column13]]="","",Table1[[#This Row],[Column13]])&amp;IF(Table1[[#This Row],[mod]]="","",Table1[[#This Row],[mod]])</f>
        <v>stats__stat--negative</v>
      </c>
      <c r="K2628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628" t="s">
        <v>7222</v>
      </c>
      <c r="M2628" t="s">
        <v>7224</v>
      </c>
      <c r="Q2628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--negative</v>
      </c>
      <c r="S2628" t="s">
        <v>10236</v>
      </c>
      <c r="U2628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8" s="29"/>
      <c r="AC2628" s="25"/>
      <c r="AD2628" s="41"/>
      <c r="AE2628" s="41"/>
      <c r="AF2628" s="11" t="s">
        <v>168</v>
      </c>
      <c r="AH2628" s="75" t="str">
        <f>Table1[[#This Row],[html_tag]]&amp;Table1[[#This Row],[html_type]]&amp;Table1[[#This Row],[html_modifier]]</f>
        <v/>
      </c>
      <c r="AL2628" s="23" t="str">
        <f>IFERROR(_xlfn.XLOOKUP(Table1[[#This Row],[word]],Table57[English style name],Table57[Style type]),"")</f>
        <v/>
      </c>
      <c r="AM2628" s="21"/>
      <c r="AN2628" s="70"/>
      <c r="AO2628" s="67"/>
      <c r="AP2628" s="67"/>
      <c r="AQ2628" s="67"/>
      <c r="AR2628" s="67"/>
      <c r="AS2628" s="67"/>
      <c r="AT2628" s="67"/>
      <c r="AU2628" s="67"/>
    </row>
    <row r="2629" spans="1:47">
      <c r="A2629" s="68"/>
      <c r="B2629" s="68"/>
      <c r="C2629" s="68"/>
      <c r="D2629" s="69"/>
      <c r="E2629" s="70"/>
      <c r="F2629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9" s="13"/>
      <c r="H2629" s="13"/>
      <c r="I2629" s="85" t="str">
        <f>Table1[[#This Row],[type]]</f>
        <v>stats</v>
      </c>
      <c r="J2629" s="72" t="str">
        <f>Table1[[#This Row],[Column42]]&amp;IF(Table1[[#This Row],[Column13]]="","",Table1[[#This Row],[Column13]])&amp;IF(Table1[[#This Row],[mod]]="","",Table1[[#This Row],[mod]])</f>
        <v>stats__stat--neutral</v>
      </c>
      <c r="K2629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629" t="s">
        <v>7222</v>
      </c>
      <c r="M2629" t="s">
        <v>7224</v>
      </c>
      <c r="Q2629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--neutral</v>
      </c>
      <c r="S2629" t="s">
        <v>7393</v>
      </c>
      <c r="U2629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9" s="29"/>
      <c r="AC2629" s="25"/>
      <c r="AD2629" s="41"/>
      <c r="AE2629" s="41"/>
      <c r="AF2629" s="11" t="s">
        <v>168</v>
      </c>
      <c r="AH2629" s="75" t="str">
        <f>Table1[[#This Row],[html_tag]]&amp;Table1[[#This Row],[html_type]]&amp;Table1[[#This Row],[html_modifier]]</f>
        <v/>
      </c>
      <c r="AL2629" s="23" t="str">
        <f>IFERROR(_xlfn.XLOOKUP(Table1[[#This Row],[word]],Table57[English style name],Table57[Style type]),"")</f>
        <v/>
      </c>
      <c r="AM2629" s="21"/>
      <c r="AN2629" s="70"/>
      <c r="AO2629" s="67"/>
      <c r="AP2629" s="67"/>
      <c r="AQ2629" s="67"/>
      <c r="AR2629" s="67"/>
      <c r="AS2629" s="67"/>
      <c r="AT2629" s="67"/>
      <c r="AU2629" s="67"/>
    </row>
    <row r="2630" spans="1:47">
      <c r="A2630" s="68"/>
      <c r="B2630" s="68"/>
      <c r="C2630" s="68"/>
      <c r="D2630" s="69"/>
      <c r="E2630" s="70"/>
      <c r="F2630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30" s="13"/>
      <c r="H2630" s="13"/>
      <c r="I2630" s="85" t="str">
        <f>Table1[[#This Row],[type]]</f>
        <v>stats</v>
      </c>
      <c r="J2630" s="72" t="str">
        <f>Table1[[#This Row],[Column42]]&amp;IF(Table1[[#This Row],[Column13]]="","",Table1[[#This Row],[Column13]])&amp;IF(Table1[[#This Row],[mod]]="","",Table1[[#This Row],[mod]])</f>
        <v>stats__stat--positive</v>
      </c>
      <c r="K2630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630" t="s">
        <v>7222</v>
      </c>
      <c r="M2630" t="s">
        <v>7224</v>
      </c>
      <c r="Q2630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--positive</v>
      </c>
      <c r="S2630" t="s">
        <v>10235</v>
      </c>
      <c r="U2630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30" s="29"/>
      <c r="AC2630" s="25"/>
      <c r="AD2630" s="41"/>
      <c r="AE2630" s="41"/>
      <c r="AF2630" s="11" t="s">
        <v>168</v>
      </c>
      <c r="AH2630" s="75" t="str">
        <f>Table1[[#This Row],[html_tag]]&amp;Table1[[#This Row],[html_type]]&amp;Table1[[#This Row],[html_modifier]]</f>
        <v/>
      </c>
      <c r="AL2630" s="23" t="str">
        <f>IFERROR(_xlfn.XLOOKUP(Table1[[#This Row],[word]],Table57[English style name],Table57[Style type]),"")</f>
        <v/>
      </c>
      <c r="AM2630" s="21"/>
      <c r="AN2630" s="70"/>
      <c r="AO2630" s="67"/>
      <c r="AP2630" s="67"/>
      <c r="AQ2630" s="67"/>
      <c r="AR2630" s="67"/>
      <c r="AS2630" s="67"/>
      <c r="AT2630" s="67"/>
      <c r="AU2630" s="67"/>
    </row>
    <row r="2631" spans="1:47">
      <c r="E2631" s="11"/>
      <c r="F26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31" s="13"/>
      <c r="H2631" s="13"/>
      <c r="I2631" s="77" t="str">
        <f>Table1[[#This Row],[type]]</f>
        <v>stats</v>
      </c>
      <c r="J2631" s="62" t="str">
        <f>Table1[[#This Row],[Column42]]&amp;IF(Table1[[#This Row],[Column13]]="","",Table1[[#This Row],[Column13]])&amp;IF(Table1[[#This Row],[mod]]="","",Table1[[#This Row],[mod]])</f>
        <v>stats--horizontal</v>
      </c>
      <c r="K26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</v>
      </c>
      <c r="L2631" t="s">
        <v>7222</v>
      </c>
      <c r="Q26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31" t="s">
        <v>3205</v>
      </c>
      <c r="AB2631" s="29"/>
      <c r="AC2631" s="25"/>
      <c r="AD2631" s="41" t="s">
        <v>7247</v>
      </c>
      <c r="AE2631" s="41"/>
      <c r="AF2631" s="11" t="s">
        <v>264</v>
      </c>
      <c r="AH2631" s="7" t="str">
        <f>Table1[[#This Row],[html_tag]]&amp;Table1[[#This Row],[html_type]]&amp;Table1[[#This Row],[html_modifier]]</f>
        <v/>
      </c>
      <c r="AL2631" s="23" t="str">
        <f>IFERROR(_xlfn.XLOOKUP(Table1[[#This Row],[word]],Table57[English style name],Table57[Style type]),"")</f>
        <v/>
      </c>
      <c r="AM2631" s="21"/>
      <c r="AN2631" s="11"/>
    </row>
    <row r="2632" spans="1:47">
      <c r="E2632" s="11"/>
      <c r="F26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32" s="13"/>
      <c r="H2632" s="13"/>
      <c r="I2632" s="77" t="str">
        <f>Table1[[#This Row],[type]]</f>
        <v>stats</v>
      </c>
      <c r="J2632" s="62" t="str">
        <f>Table1[[#This Row],[Column42]]&amp;IF(Table1[[#This Row],[Column13]]="","",Table1[[#This Row],[Column13]])&amp;IF(Table1[[#This Row],[mod]]="","",Table1[[#This Row],[mod]])</f>
        <v>stats--vertical</v>
      </c>
      <c r="K26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</v>
      </c>
      <c r="L2632" t="s">
        <v>7222</v>
      </c>
      <c r="Q26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32" t="s">
        <v>2943</v>
      </c>
      <c r="AB2632" s="29"/>
      <c r="AC2632" s="25"/>
      <c r="AD2632" s="41" t="s">
        <v>7248</v>
      </c>
      <c r="AE2632" s="41"/>
      <c r="AF2632" s="11" t="s">
        <v>264</v>
      </c>
      <c r="AH2632" s="7" t="str">
        <f>Table1[[#This Row],[html_tag]]&amp;Table1[[#This Row],[html_type]]&amp;Table1[[#This Row],[html_modifier]]</f>
        <v/>
      </c>
      <c r="AL2632" s="23" t="str">
        <f>IFERROR(_xlfn.XLOOKUP(Table1[[#This Row],[word]],Table57[English style name],Table57[Style type]),"")</f>
        <v/>
      </c>
      <c r="AM2632" s="21"/>
      <c r="AN2632" s="11"/>
    </row>
    <row r="2633" spans="1:47">
      <c r="E2633" s="11"/>
      <c r="F26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3" s="13"/>
      <c r="H2633" s="13"/>
      <c r="I2633" s="12" t="str">
        <f>Table1[[#This Row],[type]]</f>
        <v>status</v>
      </c>
      <c r="J2633" s="62" t="str">
        <f>Table1[[#This Row],[Column42]]&amp;IF(Table1[[#This Row],[Column13]]="","",Table1[[#This Row],[Column13]])&amp;IF(Table1[[#This Row],[mod]]="","",Table1[[#This Row],[mod]])</f>
        <v>status</v>
      </c>
      <c r="K26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3" t="s">
        <v>346</v>
      </c>
      <c r="Q26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33" s="29"/>
      <c r="AC2633" s="25"/>
      <c r="AD2633" s="41" t="s">
        <v>7265</v>
      </c>
      <c r="AE2633" s="41"/>
      <c r="AF2633" s="11"/>
      <c r="AH2633" s="7" t="str">
        <f>Table1[[#This Row],[html_tag]]&amp;Table1[[#This Row],[html_type]]&amp;Table1[[#This Row],[html_modifier]]</f>
        <v/>
      </c>
      <c r="AL2633" s="23" t="str">
        <f>IFERROR(_xlfn.XLOOKUP(Table1[[#This Row],[word]],Table57[English style name],Table57[Style type]),"")</f>
        <v/>
      </c>
      <c r="AM2633" s="21"/>
      <c r="AN2633" s="11"/>
    </row>
    <row r="2634" spans="1:47">
      <c r="E2634" s="11"/>
      <c r="F26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4" s="13"/>
      <c r="H2634" s="13"/>
      <c r="I2634" s="12" t="str">
        <f>Table1[[#This Row],[type]]</f>
        <v>status</v>
      </c>
      <c r="J2634" s="62" t="str">
        <f>Table1[[#This Row],[Column42]]&amp;IF(Table1[[#This Row],[Column13]]="","",Table1[[#This Row],[Column13]])&amp;IF(Table1[[#This Row],[mod]]="","",Table1[[#This Row],[mod]])</f>
        <v>status--accent</v>
      </c>
      <c r="K26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4" t="s">
        <v>346</v>
      </c>
      <c r="Q26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2634" t="s">
        <v>7394</v>
      </c>
      <c r="AB2634" s="29"/>
      <c r="AC2634" s="25"/>
      <c r="AD2634" s="41" t="s">
        <v>7269</v>
      </c>
      <c r="AE2634" s="41"/>
      <c r="AF2634" s="11"/>
      <c r="AH2634" s="7" t="str">
        <f>Table1[[#This Row],[html_tag]]&amp;Table1[[#This Row],[html_type]]&amp;Table1[[#This Row],[html_modifier]]</f>
        <v/>
      </c>
      <c r="AL2634" s="23" t="str">
        <f>IFERROR(_xlfn.XLOOKUP(Table1[[#This Row],[word]],Table57[English style name],Table57[Style type]),"")</f>
        <v/>
      </c>
      <c r="AM2634" s="21"/>
      <c r="AN2634" s="11"/>
    </row>
    <row r="2635" spans="1:47">
      <c r="E2635" s="11"/>
      <c r="F26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5" s="13"/>
      <c r="H2635" s="13"/>
      <c r="I2635" s="12" t="str">
        <f>Table1[[#This Row],[type]]</f>
        <v>status</v>
      </c>
      <c r="J2635" s="62" t="str">
        <f>Table1[[#This Row],[Column42]]&amp;IF(Table1[[#This Row],[Column13]]="","",Table1[[#This Row],[Column13]])&amp;IF(Table1[[#This Row],[mod]]="","",Table1[[#This Row],[mod]])</f>
        <v>status--error</v>
      </c>
      <c r="K26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5" t="s">
        <v>346</v>
      </c>
      <c r="Q26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635" t="s">
        <v>3117</v>
      </c>
      <c r="AB2635" s="29"/>
      <c r="AC2635" s="25"/>
      <c r="AD2635" s="41" t="s">
        <v>7273</v>
      </c>
      <c r="AE2635" s="41"/>
      <c r="AF2635" s="11"/>
      <c r="AH2635" s="7" t="str">
        <f>Table1[[#This Row],[html_tag]]&amp;Table1[[#This Row],[html_type]]&amp;Table1[[#This Row],[html_modifier]]</f>
        <v/>
      </c>
      <c r="AL2635" s="23" t="str">
        <f>IFERROR(_xlfn.XLOOKUP(Table1[[#This Row],[word]],Table57[English style name],Table57[Style type]),"")</f>
        <v/>
      </c>
      <c r="AM2635" s="21"/>
      <c r="AN2635" s="11"/>
    </row>
    <row r="2636" spans="1:47">
      <c r="E2636" s="11"/>
      <c r="F26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6" s="13"/>
      <c r="H2636" s="13"/>
      <c r="I2636" s="12" t="str">
        <f>Table1[[#This Row],[type]]</f>
        <v>status</v>
      </c>
      <c r="J2636" s="62" t="str">
        <f>Table1[[#This Row],[Column42]]&amp;IF(Table1[[#This Row],[Column13]]="","",Table1[[#This Row],[Column13]])&amp;IF(Table1[[#This Row],[mod]]="","",Table1[[#This Row],[mod]])</f>
        <v>status--info</v>
      </c>
      <c r="K26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6" t="s">
        <v>346</v>
      </c>
      <c r="Q26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636" t="s">
        <v>3119</v>
      </c>
      <c r="AB2636" s="29"/>
      <c r="AC2636" s="25"/>
      <c r="AD2636" s="41" t="s">
        <v>7270</v>
      </c>
      <c r="AE2636" s="41"/>
      <c r="AF2636" s="11"/>
      <c r="AH2636" s="7" t="str">
        <f>Table1[[#This Row],[html_tag]]&amp;Table1[[#This Row],[html_type]]&amp;Table1[[#This Row],[html_modifier]]</f>
        <v/>
      </c>
      <c r="AL2636" s="23" t="str">
        <f>IFERROR(_xlfn.XLOOKUP(Table1[[#This Row],[word]],Table57[English style name],Table57[Style type]),"")</f>
        <v/>
      </c>
      <c r="AM2636" s="21"/>
      <c r="AN2636" s="11"/>
    </row>
    <row r="2637" spans="1:47">
      <c r="E2637" s="11"/>
      <c r="F26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7" s="13"/>
      <c r="H2637" s="13"/>
      <c r="I2637" s="12" t="str">
        <f>Table1[[#This Row],[type]]</f>
        <v>status</v>
      </c>
      <c r="J2637" s="62" t="str">
        <f>Table1[[#This Row],[Column42]]&amp;IF(Table1[[#This Row],[Column13]]="","",Table1[[#This Row],[Column13]])&amp;IF(Table1[[#This Row],[mod]]="","",Table1[[#This Row],[mod]])</f>
        <v>status--lg</v>
      </c>
      <c r="K26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7" t="s">
        <v>346</v>
      </c>
      <c r="Q26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637" t="s">
        <v>3114</v>
      </c>
      <c r="AB2637" s="29"/>
      <c r="AC2637" s="25"/>
      <c r="AD2637" s="41" t="s">
        <v>7277</v>
      </c>
      <c r="AE2637" s="41"/>
      <c r="AF2637" s="11"/>
      <c r="AH2637" s="7" t="str">
        <f>Table1[[#This Row],[html_tag]]&amp;Table1[[#This Row],[html_type]]&amp;Table1[[#This Row],[html_modifier]]</f>
        <v/>
      </c>
      <c r="AL2637" s="23" t="str">
        <f>IFERROR(_xlfn.XLOOKUP(Table1[[#This Row],[word]],Table57[English style name],Table57[Style type]),"")</f>
        <v/>
      </c>
      <c r="AM2637" s="21"/>
      <c r="AN2637" s="11"/>
    </row>
    <row r="2638" spans="1:47">
      <c r="E2638" s="11"/>
      <c r="F26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8" s="13"/>
      <c r="H2638" s="13"/>
      <c r="I2638" s="12" t="str">
        <f>Table1[[#This Row],[type]]</f>
        <v>status</v>
      </c>
      <c r="J2638" s="62" t="str">
        <f>Table1[[#This Row],[Column42]]&amp;IF(Table1[[#This Row],[Column13]]="","",Table1[[#This Row],[Column13]])&amp;IF(Table1[[#This Row],[mod]]="","",Table1[[#This Row],[mod]])</f>
        <v>status--md</v>
      </c>
      <c r="K26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8" t="s">
        <v>346</v>
      </c>
      <c r="Q26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638" t="s">
        <v>3115</v>
      </c>
      <c r="AB2638" s="29"/>
      <c r="AC2638" s="25"/>
      <c r="AD2638" s="41" t="s">
        <v>7276</v>
      </c>
      <c r="AE2638" s="41"/>
      <c r="AF2638" s="11"/>
      <c r="AH2638" s="7" t="str">
        <f>Table1[[#This Row],[html_tag]]&amp;Table1[[#This Row],[html_type]]&amp;Table1[[#This Row],[html_modifier]]</f>
        <v/>
      </c>
      <c r="AL2638" s="23" t="str">
        <f>IFERROR(_xlfn.XLOOKUP(Table1[[#This Row],[word]],Table57[English style name],Table57[Style type]),"")</f>
        <v/>
      </c>
      <c r="AM2638" s="21"/>
      <c r="AN2638" s="11"/>
    </row>
    <row r="2639" spans="1:47">
      <c r="E2639" s="11"/>
      <c r="F26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9" s="13"/>
      <c r="H2639" s="13"/>
      <c r="I2639" s="12" t="str">
        <f>Table1[[#This Row],[type]]</f>
        <v>status</v>
      </c>
      <c r="J2639" s="62" t="str">
        <f>Table1[[#This Row],[Column42]]&amp;IF(Table1[[#This Row],[Column13]]="","",Table1[[#This Row],[Column13]])&amp;IF(Table1[[#This Row],[mod]]="","",Table1[[#This Row],[mod]])</f>
        <v>status--neutral</v>
      </c>
      <c r="K26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9" t="s">
        <v>346</v>
      </c>
      <c r="Q26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639" t="s">
        <v>7393</v>
      </c>
      <c r="AB2639" s="29"/>
      <c r="AC2639" s="25"/>
      <c r="AD2639" s="41" t="s">
        <v>7266</v>
      </c>
      <c r="AE2639" s="41"/>
      <c r="AF2639" s="11"/>
      <c r="AH2639" s="7" t="str">
        <f>Table1[[#This Row],[html_tag]]&amp;Table1[[#This Row],[html_type]]&amp;Table1[[#This Row],[html_modifier]]</f>
        <v/>
      </c>
      <c r="AL2639" s="23" t="str">
        <f>IFERROR(_xlfn.XLOOKUP(Table1[[#This Row],[word]],Table57[English style name],Table57[Style type]),"")</f>
        <v/>
      </c>
      <c r="AM2639" s="21"/>
      <c r="AN2639" s="11"/>
    </row>
    <row r="2640" spans="1:47">
      <c r="E2640" s="11"/>
      <c r="F26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0" s="13"/>
      <c r="H2640" s="13"/>
      <c r="I2640" s="12" t="str">
        <f>Table1[[#This Row],[type]]</f>
        <v>status</v>
      </c>
      <c r="J2640" s="62" t="str">
        <f>Table1[[#This Row],[Column42]]&amp;IF(Table1[[#This Row],[Column13]]="","",Table1[[#This Row],[Column13]])&amp;IF(Table1[[#This Row],[mod]]="","",Table1[[#This Row],[mod]])</f>
        <v>status--primary</v>
      </c>
      <c r="K26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0" t="s">
        <v>346</v>
      </c>
      <c r="Q26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640" t="s">
        <v>3164</v>
      </c>
      <c r="AB2640" s="29"/>
      <c r="AC2640" s="25"/>
      <c r="AD2640" s="41" t="s">
        <v>7267</v>
      </c>
      <c r="AE2640" s="41"/>
      <c r="AF2640" s="11"/>
      <c r="AH2640" s="7" t="str">
        <f>Table1[[#This Row],[html_tag]]&amp;Table1[[#This Row],[html_type]]&amp;Table1[[#This Row],[html_modifier]]</f>
        <v/>
      </c>
      <c r="AL2640" s="23" t="str">
        <f>IFERROR(_xlfn.XLOOKUP(Table1[[#This Row],[word]],Table57[English style name],Table57[Style type]),"")</f>
        <v/>
      </c>
      <c r="AM2640" s="21"/>
      <c r="AN2640" s="11"/>
    </row>
    <row r="2641" spans="5:40">
      <c r="E2641" s="11"/>
      <c r="F26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1" s="13"/>
      <c r="H2641" s="13"/>
      <c r="I2641" s="12" t="str">
        <f>Table1[[#This Row],[type]]</f>
        <v>status</v>
      </c>
      <c r="J2641" s="62" t="str">
        <f>Table1[[#This Row],[Column42]]&amp;IF(Table1[[#This Row],[Column13]]="","",Table1[[#This Row],[Column13]])&amp;IF(Table1[[#This Row],[mod]]="","",Table1[[#This Row],[mod]])</f>
        <v>status--secondary</v>
      </c>
      <c r="K26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1" t="s">
        <v>346</v>
      </c>
      <c r="Q26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641" t="s">
        <v>3502</v>
      </c>
      <c r="AB2641" s="29"/>
      <c r="AC2641" s="25"/>
      <c r="AD2641" s="41" t="s">
        <v>7268</v>
      </c>
      <c r="AE2641" s="41"/>
      <c r="AF2641" s="11"/>
      <c r="AH2641" s="7" t="str">
        <f>Table1[[#This Row],[html_tag]]&amp;Table1[[#This Row],[html_type]]&amp;Table1[[#This Row],[html_modifier]]</f>
        <v/>
      </c>
      <c r="AL2641" s="23" t="str">
        <f>IFERROR(_xlfn.XLOOKUP(Table1[[#This Row],[word]],Table57[English style name],Table57[Style type]),"")</f>
        <v/>
      </c>
      <c r="AM2641" s="21"/>
      <c r="AN2641" s="11"/>
    </row>
    <row r="2642" spans="5:40">
      <c r="E2642" s="11"/>
      <c r="F26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2" s="13"/>
      <c r="H2642" s="13"/>
      <c r="I2642" s="12" t="str">
        <f>Table1[[#This Row],[type]]</f>
        <v>status</v>
      </c>
      <c r="J2642" s="62" t="str">
        <f>Table1[[#This Row],[Column42]]&amp;IF(Table1[[#This Row],[Column13]]="","",Table1[[#This Row],[Column13]])&amp;IF(Table1[[#This Row],[mod]]="","",Table1[[#This Row],[mod]])</f>
        <v>status--sm</v>
      </c>
      <c r="K26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2" t="s">
        <v>346</v>
      </c>
      <c r="Q26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642" t="s">
        <v>3116</v>
      </c>
      <c r="AB2642" s="29"/>
      <c r="AC2642" s="25"/>
      <c r="AD2642" s="41" t="s">
        <v>7275</v>
      </c>
      <c r="AE2642" s="41"/>
      <c r="AF2642" s="11"/>
      <c r="AH2642" s="7" t="str">
        <f>Table1[[#This Row],[html_tag]]&amp;Table1[[#This Row],[html_type]]&amp;Table1[[#This Row],[html_modifier]]</f>
        <v/>
      </c>
      <c r="AL2642" s="23" t="str">
        <f>IFERROR(_xlfn.XLOOKUP(Table1[[#This Row],[word]],Table57[English style name],Table57[Style type]),"")</f>
        <v/>
      </c>
      <c r="AM2642" s="21"/>
      <c r="AN2642" s="11"/>
    </row>
    <row r="2643" spans="5:40">
      <c r="E2643" s="11"/>
      <c r="F26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3" s="13"/>
      <c r="H2643" s="13"/>
      <c r="I2643" s="12" t="str">
        <f>Table1[[#This Row],[type]]</f>
        <v>status</v>
      </c>
      <c r="J2643" s="62" t="str">
        <f>Table1[[#This Row],[Column42]]&amp;IF(Table1[[#This Row],[Column13]]="","",Table1[[#This Row],[Column13]])&amp;IF(Table1[[#This Row],[mod]]="","",Table1[[#This Row],[mod]])</f>
        <v>status--success</v>
      </c>
      <c r="K26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3" t="s">
        <v>346</v>
      </c>
      <c r="Q26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643" t="s">
        <v>3120</v>
      </c>
      <c r="AB2643" s="29"/>
      <c r="AC2643" s="25"/>
      <c r="AD2643" s="41" t="s">
        <v>7271</v>
      </c>
      <c r="AE2643" s="41"/>
      <c r="AF2643" s="11"/>
      <c r="AH2643" s="7" t="str">
        <f>Table1[[#This Row],[html_tag]]&amp;Table1[[#This Row],[html_type]]&amp;Table1[[#This Row],[html_modifier]]</f>
        <v/>
      </c>
      <c r="AL2643" s="23" t="str">
        <f>IFERROR(_xlfn.XLOOKUP(Table1[[#This Row],[word]],Table57[English style name],Table57[Style type]),"")</f>
        <v/>
      </c>
      <c r="AM2643" s="21"/>
      <c r="AN2643" s="11"/>
    </row>
    <row r="2644" spans="5:40">
      <c r="E2644" s="11"/>
      <c r="F26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4" s="13"/>
      <c r="H2644" s="13"/>
      <c r="I2644" s="12" t="str">
        <f>Table1[[#This Row],[type]]</f>
        <v>status</v>
      </c>
      <c r="J2644" s="62" t="str">
        <f>Table1[[#This Row],[Column42]]&amp;IF(Table1[[#This Row],[Column13]]="","",Table1[[#This Row],[Column13]])&amp;IF(Table1[[#This Row],[mod]]="","",Table1[[#This Row],[mod]])</f>
        <v>status--warning</v>
      </c>
      <c r="K26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4" t="s">
        <v>346</v>
      </c>
      <c r="Q26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644" t="s">
        <v>3121</v>
      </c>
      <c r="AB2644" s="29"/>
      <c r="AC2644" s="25"/>
      <c r="AD2644" s="41" t="s">
        <v>7272</v>
      </c>
      <c r="AE2644" s="41"/>
      <c r="AF2644" s="11"/>
      <c r="AH2644" s="7" t="str">
        <f>Table1[[#This Row],[html_tag]]&amp;Table1[[#This Row],[html_type]]&amp;Table1[[#This Row],[html_modifier]]</f>
        <v/>
      </c>
      <c r="AL2644" s="23" t="str">
        <f>IFERROR(_xlfn.XLOOKUP(Table1[[#This Row],[word]],Table57[English style name],Table57[Style type]),"")</f>
        <v/>
      </c>
      <c r="AM2644" s="21"/>
      <c r="AN2644" s="11"/>
    </row>
    <row r="2645" spans="5:40">
      <c r="E2645" s="11"/>
      <c r="F26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5" s="13"/>
      <c r="H2645" s="13"/>
      <c r="I2645" s="12" t="str">
        <f>Table1[[#This Row],[type]]</f>
        <v>status</v>
      </c>
      <c r="J2645" s="62" t="str">
        <f>Table1[[#This Row],[Column42]]&amp;IF(Table1[[#This Row],[Column13]]="","",Table1[[#This Row],[Column13]])&amp;IF(Table1[[#This Row],[mod]]="","",Table1[[#This Row],[mod]])</f>
        <v>status--xl</v>
      </c>
      <c r="K26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5" t="s">
        <v>346</v>
      </c>
      <c r="Q26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645" t="s">
        <v>3126</v>
      </c>
      <c r="AB2645" s="29"/>
      <c r="AC2645" s="25"/>
      <c r="AD2645" s="41" t="s">
        <v>7278</v>
      </c>
      <c r="AE2645" s="41"/>
      <c r="AF2645" s="11"/>
      <c r="AH2645" s="7" t="str">
        <f>Table1[[#This Row],[html_tag]]&amp;Table1[[#This Row],[html_type]]&amp;Table1[[#This Row],[html_modifier]]</f>
        <v/>
      </c>
      <c r="AL2645" s="23" t="str">
        <f>IFERROR(_xlfn.XLOOKUP(Table1[[#This Row],[word]],Table57[English style name],Table57[Style type]),"")</f>
        <v/>
      </c>
      <c r="AM2645" s="21"/>
      <c r="AN2645" s="11"/>
    </row>
    <row r="2646" spans="5:40">
      <c r="E2646" s="11"/>
      <c r="F26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6" s="13"/>
      <c r="H2646" s="13"/>
      <c r="I2646" s="12" t="str">
        <f>Table1[[#This Row],[type]]</f>
        <v>status</v>
      </c>
      <c r="J2646" s="62" t="str">
        <f>Table1[[#This Row],[Column42]]&amp;IF(Table1[[#This Row],[Column13]]="","",Table1[[#This Row],[Column13]])&amp;IF(Table1[[#This Row],[mod]]="","",Table1[[#This Row],[mod]])</f>
        <v>status--xs</v>
      </c>
      <c r="K26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6" t="s">
        <v>346</v>
      </c>
      <c r="Q26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646" t="s">
        <v>3127</v>
      </c>
      <c r="AB2646" s="29"/>
      <c r="AC2646" s="25"/>
      <c r="AD2646" s="41" t="s">
        <v>7274</v>
      </c>
      <c r="AE2646" s="41"/>
      <c r="AF2646" s="11"/>
      <c r="AH2646" s="7" t="str">
        <f>Table1[[#This Row],[html_tag]]&amp;Table1[[#This Row],[html_type]]&amp;Table1[[#This Row],[html_modifier]]</f>
        <v/>
      </c>
      <c r="AL2646" s="23" t="str">
        <f>IFERROR(_xlfn.XLOOKUP(Table1[[#This Row],[word]],Table57[English style name],Table57[Style type]),"")</f>
        <v/>
      </c>
      <c r="AM2646" s="21"/>
      <c r="AN2646" s="11"/>
    </row>
    <row r="2647" spans="5:40">
      <c r="E2647" s="11"/>
      <c r="F26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47" s="13"/>
      <c r="H2647" s="13"/>
      <c r="I2647" s="12" t="str">
        <f>Table1[[#This Row],[type]]</f>
        <v>steps</v>
      </c>
      <c r="J2647" s="62" t="str">
        <f>Table1[[#This Row],[Column42]]&amp;IF(Table1[[#This Row],[Column13]]="","",Table1[[#This Row],[Column13]])&amp;IF(Table1[[#This Row],[mod]]="","",Table1[[#This Row],[mod]])</f>
        <v>steps</v>
      </c>
      <c r="K26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47" t="s">
        <v>7279</v>
      </c>
      <c r="Q26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47" s="29"/>
      <c r="AC2647" s="25"/>
      <c r="AD2647" s="41" t="s">
        <v>7298</v>
      </c>
      <c r="AE2647" s="41"/>
      <c r="AF2647" s="11"/>
      <c r="AH2647" s="7" t="str">
        <f>Table1[[#This Row],[html_tag]]&amp;Table1[[#This Row],[html_type]]&amp;Table1[[#This Row],[html_modifier]]</f>
        <v/>
      </c>
      <c r="AL2647" s="23" t="str">
        <f>IFERROR(_xlfn.XLOOKUP(Table1[[#This Row],[word]],Table57[English style name],Table57[Style type]),"")</f>
        <v/>
      </c>
      <c r="AM2647" s="21"/>
      <c r="AN2647" s="11"/>
    </row>
    <row r="2648" spans="5:40">
      <c r="E2648" s="11"/>
      <c r="F26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48" s="13"/>
      <c r="H2648" s="13"/>
      <c r="I2648" s="12" t="str">
        <f>Table1[[#This Row],[type]]</f>
        <v>steps</v>
      </c>
      <c r="J2648" s="62" t="str">
        <f>Table1[[#This Row],[Column42]]&amp;IF(Table1[[#This Row],[Column13]]="","",Table1[[#This Row],[Column13]])&amp;IF(Table1[[#This Row],[mod]]="","",Table1[[#This Row],[mod]])</f>
        <v>steps</v>
      </c>
      <c r="K26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48" t="s">
        <v>7279</v>
      </c>
      <c r="Q26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48" s="29"/>
      <c r="AC2648" s="25"/>
      <c r="AD2648" s="41" t="s">
        <v>7300</v>
      </c>
      <c r="AE2648" s="41"/>
      <c r="AF2648" s="11"/>
      <c r="AH2648" s="7" t="str">
        <f>Table1[[#This Row],[html_tag]]&amp;Table1[[#This Row],[html_type]]&amp;Table1[[#This Row],[html_modifier]]</f>
        <v/>
      </c>
      <c r="AL2648" s="23" t="str">
        <f>IFERROR(_xlfn.XLOOKUP(Table1[[#This Row],[word]],Table57[English style name],Table57[Style type]),"")</f>
        <v/>
      </c>
      <c r="AM2648" s="21"/>
      <c r="AN2648" s="11"/>
    </row>
    <row r="2649" spans="5:40">
      <c r="E2649" s="11"/>
      <c r="F26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49" s="13"/>
      <c r="H2649" s="13"/>
      <c r="I2649" s="12" t="str">
        <f>Table1[[#This Row],[type]]</f>
        <v>steps</v>
      </c>
      <c r="J2649" s="62" t="str">
        <f>Table1[[#This Row],[Column42]]&amp;IF(Table1[[#This Row],[Column13]]="","",Table1[[#This Row],[Column13]])&amp;IF(Table1[[#This Row],[mod]]="","",Table1[[#This Row],[mod]])</f>
        <v>steps</v>
      </c>
      <c r="K26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49" t="s">
        <v>7279</v>
      </c>
      <c r="Q26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49" s="29"/>
      <c r="AC2649" s="25"/>
      <c r="AD2649" s="41" t="s">
        <v>7299</v>
      </c>
      <c r="AE2649" s="41"/>
      <c r="AF2649" s="11"/>
      <c r="AH2649" s="7" t="str">
        <f>Table1[[#This Row],[html_tag]]&amp;Table1[[#This Row],[html_type]]&amp;Table1[[#This Row],[html_modifier]]</f>
        <v/>
      </c>
      <c r="AL2649" s="23" t="str">
        <f>IFERROR(_xlfn.XLOOKUP(Table1[[#This Row],[word]],Table57[English style name],Table57[Style type]),"")</f>
        <v/>
      </c>
      <c r="AM2649" s="21"/>
      <c r="AN2649" s="11"/>
    </row>
    <row r="2650" spans="5:40">
      <c r="E2650" s="11"/>
      <c r="F26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0" s="13"/>
      <c r="H2650" s="13"/>
      <c r="I2650" s="12" t="str">
        <f>Table1[[#This Row],[type]]</f>
        <v>steps</v>
      </c>
      <c r="J2650" s="62" t="str">
        <f>Table1[[#This Row],[Column42]]&amp;IF(Table1[[#This Row],[Column13]]="","",Table1[[#This Row],[Column13]])&amp;IF(Table1[[#This Row],[mod]]="","",Table1[[#This Row],[mod]])</f>
        <v>steps--accent</v>
      </c>
      <c r="K26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0" t="s">
        <v>7279</v>
      </c>
      <c r="Q26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2650" t="s">
        <v>7394</v>
      </c>
      <c r="AB2650" s="29"/>
      <c r="AC2650" s="25"/>
      <c r="AD2650" s="41" t="s">
        <v>7304</v>
      </c>
      <c r="AE2650" s="41"/>
      <c r="AF2650" s="11"/>
      <c r="AH2650" s="7" t="str">
        <f>Table1[[#This Row],[html_tag]]&amp;Table1[[#This Row],[html_type]]&amp;Table1[[#This Row],[html_modifier]]</f>
        <v/>
      </c>
      <c r="AL2650" s="23" t="str">
        <f>IFERROR(_xlfn.XLOOKUP(Table1[[#This Row],[word]],Table57[English style name],Table57[Style type]),"")</f>
        <v/>
      </c>
      <c r="AM2650" s="21"/>
      <c r="AN2650" s="11"/>
    </row>
    <row r="2651" spans="5:40">
      <c r="E2651" s="11"/>
      <c r="F26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1" s="13"/>
      <c r="H2651" s="13"/>
      <c r="I2651" s="12" t="str">
        <f>Table1[[#This Row],[type]]</f>
        <v>steps</v>
      </c>
      <c r="J2651" s="62" t="str">
        <f>Table1[[#This Row],[Column42]]&amp;IF(Table1[[#This Row],[Column13]]="","",Table1[[#This Row],[Column13]])&amp;IF(Table1[[#This Row],[mod]]="","",Table1[[#This Row],[mod]])</f>
        <v>steps--error</v>
      </c>
      <c r="K26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1" t="s">
        <v>7279</v>
      </c>
      <c r="Q26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651" t="s">
        <v>3117</v>
      </c>
      <c r="AB2651" s="29"/>
      <c r="AC2651" s="25"/>
      <c r="AD2651" s="41" t="s">
        <v>7308</v>
      </c>
      <c r="AE2651" s="41"/>
      <c r="AF2651" s="11"/>
      <c r="AH2651" s="7" t="str">
        <f>Table1[[#This Row],[html_tag]]&amp;Table1[[#This Row],[html_type]]&amp;Table1[[#This Row],[html_modifier]]</f>
        <v/>
      </c>
      <c r="AL2651" s="23" t="str">
        <f>IFERROR(_xlfn.XLOOKUP(Table1[[#This Row],[word]],Table57[English style name],Table57[Style type]),"")</f>
        <v/>
      </c>
      <c r="AM2651" s="21"/>
      <c r="AN2651" s="11"/>
    </row>
    <row r="2652" spans="5:40">
      <c r="E2652" s="11"/>
      <c r="F26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2" s="13"/>
      <c r="H2652" s="13"/>
      <c r="I2652" s="12" t="str">
        <f>Table1[[#This Row],[type]]</f>
        <v>steps</v>
      </c>
      <c r="J2652" s="62" t="str">
        <f>Table1[[#This Row],[Column42]]&amp;IF(Table1[[#This Row],[Column13]]="","",Table1[[#This Row],[Column13]])&amp;IF(Table1[[#This Row],[mod]]="","",Table1[[#This Row],[mod]])</f>
        <v>steps--horizontal</v>
      </c>
      <c r="K26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2" t="s">
        <v>7279</v>
      </c>
      <c r="Q26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52" t="s">
        <v>3205</v>
      </c>
      <c r="AB2652" s="29"/>
      <c r="AC2652" s="25"/>
      <c r="AD2652" s="41" t="s">
        <v>7310</v>
      </c>
      <c r="AE2652" s="41"/>
      <c r="AF2652" s="11"/>
      <c r="AH2652" s="7" t="str">
        <f>Table1[[#This Row],[html_tag]]&amp;Table1[[#This Row],[html_type]]&amp;Table1[[#This Row],[html_modifier]]</f>
        <v/>
      </c>
      <c r="AL2652" s="23" t="str">
        <f>IFERROR(_xlfn.XLOOKUP(Table1[[#This Row],[word]],Table57[English style name],Table57[Style type]),"")</f>
        <v/>
      </c>
      <c r="AM2652" s="21"/>
      <c r="AN2652" s="11"/>
    </row>
    <row r="2653" spans="5:40">
      <c r="E2653" s="11"/>
      <c r="F26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3" s="13"/>
      <c r="H2653" s="13"/>
      <c r="I2653" s="12" t="str">
        <f>Table1[[#This Row],[type]]</f>
        <v>steps</v>
      </c>
      <c r="J2653" s="62" t="str">
        <f>Table1[[#This Row],[Column42]]&amp;IF(Table1[[#This Row],[Column13]]="","",Table1[[#This Row],[Column13]])&amp;IF(Table1[[#This Row],[mod]]="","",Table1[[#This Row],[mod]])</f>
        <v>steps--info</v>
      </c>
      <c r="K26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3" t="s">
        <v>7279</v>
      </c>
      <c r="Q26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653" t="s">
        <v>3119</v>
      </c>
      <c r="AB2653" s="29"/>
      <c r="AC2653" s="25"/>
      <c r="AD2653" s="41" t="s">
        <v>7305</v>
      </c>
      <c r="AE2653" s="41"/>
      <c r="AF2653" s="11"/>
      <c r="AH2653" s="7" t="str">
        <f>Table1[[#This Row],[html_tag]]&amp;Table1[[#This Row],[html_type]]&amp;Table1[[#This Row],[html_modifier]]</f>
        <v/>
      </c>
      <c r="AL2653" s="23" t="str">
        <f>IFERROR(_xlfn.XLOOKUP(Table1[[#This Row],[word]],Table57[English style name],Table57[Style type]),"")</f>
        <v/>
      </c>
      <c r="AM2653" s="21"/>
      <c r="AN2653" s="11"/>
    </row>
    <row r="2654" spans="5:40">
      <c r="E2654" s="11"/>
      <c r="F26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4" s="13"/>
      <c r="H2654" s="13"/>
      <c r="I2654" s="12" t="str">
        <f>Table1[[#This Row],[type]]</f>
        <v>steps</v>
      </c>
      <c r="J2654" s="62" t="str">
        <f>Table1[[#This Row],[Column42]]&amp;IF(Table1[[#This Row],[Column13]]="","",Table1[[#This Row],[Column13]])&amp;IF(Table1[[#This Row],[mod]]="","",Table1[[#This Row],[mod]])</f>
        <v>steps--neutral</v>
      </c>
      <c r="K26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4" t="s">
        <v>7279</v>
      </c>
      <c r="Q26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654" t="s">
        <v>7393</v>
      </c>
      <c r="AB2654" s="29"/>
      <c r="AC2654" s="25"/>
      <c r="AD2654" s="41" t="s">
        <v>7301</v>
      </c>
      <c r="AE2654" s="41"/>
      <c r="AF2654" s="11"/>
      <c r="AH2654" s="7" t="str">
        <f>Table1[[#This Row],[html_tag]]&amp;Table1[[#This Row],[html_type]]&amp;Table1[[#This Row],[html_modifier]]</f>
        <v/>
      </c>
      <c r="AL2654" s="23" t="str">
        <f>IFERROR(_xlfn.XLOOKUP(Table1[[#This Row],[word]],Table57[English style name],Table57[Style type]),"")</f>
        <v/>
      </c>
      <c r="AM2654" s="21"/>
      <c r="AN2654" s="11"/>
    </row>
    <row r="2655" spans="5:40">
      <c r="E2655" s="11"/>
      <c r="F26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5" s="13"/>
      <c r="H2655" s="13"/>
      <c r="I2655" s="12" t="str">
        <f>Table1[[#This Row],[type]]</f>
        <v>steps</v>
      </c>
      <c r="J2655" s="62" t="str">
        <f>Table1[[#This Row],[Column42]]&amp;IF(Table1[[#This Row],[Column13]]="","",Table1[[#This Row],[Column13]])&amp;IF(Table1[[#This Row],[mod]]="","",Table1[[#This Row],[mod]])</f>
        <v>steps--primary</v>
      </c>
      <c r="K26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5" t="s">
        <v>7279</v>
      </c>
      <c r="Q26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655" t="s">
        <v>3164</v>
      </c>
      <c r="AB2655" s="29"/>
      <c r="AC2655" s="25"/>
      <c r="AD2655" s="41" t="s">
        <v>7302</v>
      </c>
      <c r="AE2655" s="41"/>
      <c r="AF2655" s="11"/>
      <c r="AH2655" s="7" t="str">
        <f>Table1[[#This Row],[html_tag]]&amp;Table1[[#This Row],[html_type]]&amp;Table1[[#This Row],[html_modifier]]</f>
        <v/>
      </c>
      <c r="AL2655" s="23" t="str">
        <f>IFERROR(_xlfn.XLOOKUP(Table1[[#This Row],[word]],Table57[English style name],Table57[Style type]),"")</f>
        <v/>
      </c>
      <c r="AM2655" s="21"/>
      <c r="AN2655" s="11"/>
    </row>
    <row r="2656" spans="5:40">
      <c r="E2656" s="11"/>
      <c r="F26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6" s="13"/>
      <c r="H2656" s="13"/>
      <c r="I2656" s="12" t="str">
        <f>Table1[[#This Row],[type]]</f>
        <v>steps</v>
      </c>
      <c r="J2656" s="62" t="str">
        <f>Table1[[#This Row],[Column42]]&amp;IF(Table1[[#This Row],[Column13]]="","",Table1[[#This Row],[Column13]])&amp;IF(Table1[[#This Row],[mod]]="","",Table1[[#This Row],[mod]])</f>
        <v>steps--secondary</v>
      </c>
      <c r="K26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6" t="s">
        <v>7279</v>
      </c>
      <c r="Q26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656" t="s">
        <v>3502</v>
      </c>
      <c r="AB2656" s="29"/>
      <c r="AC2656" s="25"/>
      <c r="AD2656" s="41" t="s">
        <v>7303</v>
      </c>
      <c r="AE2656" s="41"/>
      <c r="AF2656" s="11"/>
      <c r="AH2656" s="7" t="str">
        <f>Table1[[#This Row],[html_tag]]&amp;Table1[[#This Row],[html_type]]&amp;Table1[[#This Row],[html_modifier]]</f>
        <v/>
      </c>
      <c r="AL2656" s="23" t="str">
        <f>IFERROR(_xlfn.XLOOKUP(Table1[[#This Row],[word]],Table57[English style name],Table57[Style type]),"")</f>
        <v/>
      </c>
      <c r="AM2656" s="21"/>
      <c r="AN2656" s="11"/>
    </row>
    <row r="2657" spans="5:44">
      <c r="E2657" s="11"/>
      <c r="F26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7" s="13"/>
      <c r="H2657" s="13"/>
      <c r="I2657" s="12" t="str">
        <f>Table1[[#This Row],[type]]</f>
        <v>steps</v>
      </c>
      <c r="J2657" s="62" t="str">
        <f>Table1[[#This Row],[Column42]]&amp;IF(Table1[[#This Row],[Column13]]="","",Table1[[#This Row],[Column13]])&amp;IF(Table1[[#This Row],[mod]]="","",Table1[[#This Row],[mod]])</f>
        <v>steps--success</v>
      </c>
      <c r="K26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7" t="s">
        <v>7279</v>
      </c>
      <c r="Q26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657" t="s">
        <v>3120</v>
      </c>
      <c r="AB2657" s="29"/>
      <c r="AC2657" s="25"/>
      <c r="AD2657" s="41" t="s">
        <v>7306</v>
      </c>
      <c r="AE2657" s="41"/>
      <c r="AF2657" s="11"/>
      <c r="AH2657" s="7" t="str">
        <f>Table1[[#This Row],[html_tag]]&amp;Table1[[#This Row],[html_type]]&amp;Table1[[#This Row],[html_modifier]]</f>
        <v/>
      </c>
      <c r="AL2657" s="23" t="str">
        <f>IFERROR(_xlfn.XLOOKUP(Table1[[#This Row],[word]],Table57[English style name],Table57[Style type]),"")</f>
        <v/>
      </c>
      <c r="AM2657" s="21"/>
      <c r="AN2657" s="11"/>
    </row>
    <row r="2658" spans="5:44">
      <c r="E2658" s="11"/>
      <c r="F26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8" s="13"/>
      <c r="H2658" s="13"/>
      <c r="I2658" s="12" t="str">
        <f>Table1[[#This Row],[type]]</f>
        <v>steps</v>
      </c>
      <c r="J2658" s="62" t="str">
        <f>Table1[[#This Row],[Column42]]&amp;IF(Table1[[#This Row],[Column13]]="","",Table1[[#This Row],[Column13]])&amp;IF(Table1[[#This Row],[mod]]="","",Table1[[#This Row],[mod]])</f>
        <v>steps--vertical</v>
      </c>
      <c r="K26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8" t="s">
        <v>7279</v>
      </c>
      <c r="Q26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58" t="s">
        <v>2943</v>
      </c>
      <c r="AB2658" s="29"/>
      <c r="AC2658" s="25"/>
      <c r="AD2658" s="41" t="s">
        <v>7309</v>
      </c>
      <c r="AE2658" s="41"/>
      <c r="AF2658" s="11"/>
      <c r="AH2658" s="7" t="str">
        <f>Table1[[#This Row],[html_tag]]&amp;Table1[[#This Row],[html_type]]&amp;Table1[[#This Row],[html_modifier]]</f>
        <v/>
      </c>
      <c r="AL2658" s="23" t="str">
        <f>IFERROR(_xlfn.XLOOKUP(Table1[[#This Row],[word]],Table57[English style name],Table57[Style type]),"")</f>
        <v/>
      </c>
      <c r="AM2658" s="21"/>
      <c r="AN2658" s="11"/>
    </row>
    <row r="2659" spans="5:44">
      <c r="E2659" s="11"/>
      <c r="F26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9" s="13"/>
      <c r="H2659" s="13"/>
      <c r="I2659" s="12" t="str">
        <f>Table1[[#This Row],[type]]</f>
        <v>steps</v>
      </c>
      <c r="J2659" s="62" t="str">
        <f>Table1[[#This Row],[Column42]]&amp;IF(Table1[[#This Row],[Column13]]="","",Table1[[#This Row],[Column13]])&amp;IF(Table1[[#This Row],[mod]]="","",Table1[[#This Row],[mod]])</f>
        <v>steps--warning</v>
      </c>
      <c r="K26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9" t="s">
        <v>7279</v>
      </c>
      <c r="Q26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659" t="s">
        <v>3121</v>
      </c>
      <c r="AB2659" s="29"/>
      <c r="AC2659" s="25"/>
      <c r="AD2659" s="41" t="s">
        <v>7307</v>
      </c>
      <c r="AE2659" s="41"/>
      <c r="AF2659" s="11"/>
      <c r="AH2659" s="7" t="str">
        <f>Table1[[#This Row],[html_tag]]&amp;Table1[[#This Row],[html_type]]&amp;Table1[[#This Row],[html_modifier]]</f>
        <v/>
      </c>
      <c r="AL2659" s="23" t="str">
        <f>IFERROR(_xlfn.XLOOKUP(Table1[[#This Row],[word]],Table57[English style name],Table57[Style type]),"")</f>
        <v/>
      </c>
      <c r="AM2659" s="21"/>
      <c r="AN2659" s="11"/>
    </row>
    <row r="2660" spans="5:44">
      <c r="E2660" s="11"/>
      <c r="F26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660" s="13" t="s">
        <v>337</v>
      </c>
      <c r="H2660" s="13" t="s">
        <v>2987</v>
      </c>
      <c r="I2660" s="12" t="str">
        <f>Table1[[#This Row],[type]]</f>
        <v>summary</v>
      </c>
      <c r="J2660" s="62" t="str">
        <f>Table1[[#This Row],[Column42]]&amp;IF(Table1[[#This Row],[Column13]]="","",Table1[[#This Row],[Column13]])&amp;IF(Table1[[#This Row],[mod]]="","",Table1[[#This Row],[mod]])</f>
        <v>summary</v>
      </c>
      <c r="K26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660" t="s">
        <v>589</v>
      </c>
      <c r="P2660" s="6" t="s">
        <v>2725</v>
      </c>
      <c r="Q26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0" s="29"/>
      <c r="AC2660" s="25"/>
      <c r="AD2660" s="41"/>
      <c r="AE2660" s="41"/>
      <c r="AF2660" s="11"/>
      <c r="AH2660" s="1" t="str">
        <f>Table1[[#This Row],[html_tag]]&amp;Table1[[#This Row],[html_type]]&amp;Table1[[#This Row],[html_modifier]]</f>
        <v/>
      </c>
      <c r="AL2660" s="22" t="str">
        <f>IFERROR(_xlfn.XLOOKUP(Table1[[#This Row],[word]],Table57[English style name],Table57[Style type]),"")</f>
        <v/>
      </c>
      <c r="AM2660" s="20"/>
      <c r="AN2660" s="11"/>
      <c r="AQ2660" s="6" t="s">
        <v>2725</v>
      </c>
      <c r="AR2660" t="s">
        <v>2724</v>
      </c>
    </row>
    <row r="2661" spans="5:44">
      <c r="E2661" s="11"/>
      <c r="F26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661" s="13" t="s">
        <v>337</v>
      </c>
      <c r="H2661" s="13" t="s">
        <v>2987</v>
      </c>
      <c r="I2661" s="12" t="str">
        <f>Table1[[#This Row],[type]]</f>
        <v>summary</v>
      </c>
      <c r="J2661" s="62" t="str">
        <f>Table1[[#This Row],[Column42]]&amp;IF(Table1[[#This Row],[Column13]]="","",Table1[[#This Row],[Column13]])&amp;IF(Table1[[#This Row],[mod]]="","",Table1[[#This Row],[mod]])</f>
        <v>summary</v>
      </c>
      <c r="K26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661" t="s">
        <v>589</v>
      </c>
      <c r="P2661" s="6" t="s">
        <v>2727</v>
      </c>
      <c r="Q26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1" s="29"/>
      <c r="AC2661" s="25"/>
      <c r="AD2661" s="41"/>
      <c r="AE2661" s="41"/>
      <c r="AF2661" s="11"/>
      <c r="AH2661" s="1" t="str">
        <f>Table1[[#This Row],[html_tag]]&amp;Table1[[#This Row],[html_type]]&amp;Table1[[#This Row],[html_modifier]]</f>
        <v/>
      </c>
      <c r="AL2661" s="22" t="str">
        <f>IFERROR(_xlfn.XLOOKUP(Table1[[#This Row],[word]],Table57[English style name],Table57[Style type]),"")</f>
        <v/>
      </c>
      <c r="AM2661" s="20"/>
      <c r="AN2661" s="11"/>
      <c r="AQ2661" s="6" t="s">
        <v>2727</v>
      </c>
      <c r="AR2661" t="s">
        <v>2724</v>
      </c>
    </row>
    <row r="2662" spans="5:44">
      <c r="E2662" s="11"/>
      <c r="F26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662" s="13" t="s">
        <v>337</v>
      </c>
      <c r="H2662" s="13" t="s">
        <v>2987</v>
      </c>
      <c r="I2662" s="12" t="str">
        <f>Table1[[#This Row],[type]]</f>
        <v>summary</v>
      </c>
      <c r="J2662" s="62" t="str">
        <f>Table1[[#This Row],[Column42]]&amp;IF(Table1[[#This Row],[Column13]]="","",Table1[[#This Row],[Column13]])&amp;IF(Table1[[#This Row],[mod]]="","",Table1[[#This Row],[mod]])</f>
        <v>summary--base</v>
      </c>
      <c r="K26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662" t="s">
        <v>589</v>
      </c>
      <c r="P2662" s="6" t="s">
        <v>2723</v>
      </c>
      <c r="Q26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662" t="s">
        <v>338</v>
      </c>
      <c r="AB2662" s="29"/>
      <c r="AC2662" s="25"/>
      <c r="AD2662" s="41"/>
      <c r="AE2662" s="41"/>
      <c r="AF2662" s="11"/>
      <c r="AH2662" s="1" t="str">
        <f>Table1[[#This Row],[html_tag]]&amp;Table1[[#This Row],[html_type]]&amp;Table1[[#This Row],[html_modifier]]</f>
        <v/>
      </c>
      <c r="AL2662" s="22" t="str">
        <f>IFERROR(_xlfn.XLOOKUP(Table1[[#This Row],[word]],Table57[English style name],Table57[Style type]),"")</f>
        <v/>
      </c>
      <c r="AM2662" s="20"/>
      <c r="AN2662" s="11"/>
      <c r="AQ2662" s="6" t="s">
        <v>2723</v>
      </c>
      <c r="AR2662" t="s">
        <v>2724</v>
      </c>
    </row>
    <row r="2663" spans="5:44">
      <c r="E2663" s="11"/>
      <c r="F26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663" s="13" t="s">
        <v>337</v>
      </c>
      <c r="H2663" s="13" t="s">
        <v>2987</v>
      </c>
      <c r="I2663" s="12" t="str">
        <f>Table1[[#This Row],[type]]</f>
        <v>summary</v>
      </c>
      <c r="J2663" s="62" t="str">
        <f>Table1[[#This Row],[Column42]]&amp;IF(Table1[[#This Row],[Column13]]="","",Table1[[#This Row],[Column13]])&amp;IF(Table1[[#This Row],[mod]]="","",Table1[[#This Row],[mod]])</f>
        <v>summary--default</v>
      </c>
      <c r="K26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663" t="s">
        <v>589</v>
      </c>
      <c r="P2663" s="6" t="s">
        <v>2726</v>
      </c>
      <c r="Q26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2663" t="s">
        <v>3004</v>
      </c>
      <c r="AB2663" s="29"/>
      <c r="AC2663" s="25"/>
      <c r="AD2663" s="41"/>
      <c r="AE2663" s="41"/>
      <c r="AF2663" s="11" t="s">
        <v>277</v>
      </c>
      <c r="AH2663" s="1" t="str">
        <f>Table1[[#This Row],[html_tag]]&amp;Table1[[#This Row],[html_type]]&amp;Table1[[#This Row],[html_modifier]]</f>
        <v/>
      </c>
      <c r="AL2663" s="22" t="str">
        <f>IFERROR(_xlfn.XLOOKUP(Table1[[#This Row],[word]],Table57[English style name],Table57[Style type]),"")</f>
        <v/>
      </c>
      <c r="AM2663" s="20"/>
      <c r="AN2663" s="11"/>
      <c r="AQ2663" s="6" t="s">
        <v>2726</v>
      </c>
      <c r="AR2663" t="s">
        <v>2724</v>
      </c>
    </row>
    <row r="2664" spans="5:44">
      <c r="E2664" s="11"/>
      <c r="F26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4" s="13"/>
      <c r="H2664" s="13"/>
      <c r="I2664" s="12" t="str">
        <f>Table1[[#This Row],[type]]</f>
        <v>swap</v>
      </c>
      <c r="J2664" s="62" t="str">
        <f>Table1[[#This Row],[Column42]]&amp;IF(Table1[[#This Row],[Column13]]="","",Table1[[#This Row],[Column13]])&amp;IF(Table1[[#This Row],[mod]]="","",Table1[[#This Row],[mod]])</f>
        <v>swap</v>
      </c>
      <c r="K26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4" t="s">
        <v>7311</v>
      </c>
      <c r="Q26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4" s="29"/>
      <c r="AC2664" s="25"/>
      <c r="AD2664" s="41" t="s">
        <v>7331</v>
      </c>
      <c r="AE2664" s="41"/>
      <c r="AF2664" s="11"/>
      <c r="AH2664" s="7" t="str">
        <f>Table1[[#This Row],[html_tag]]&amp;Table1[[#This Row],[html_type]]&amp;Table1[[#This Row],[html_modifier]]</f>
        <v/>
      </c>
      <c r="AL2664" s="23" t="str">
        <f>IFERROR(_xlfn.XLOOKUP(Table1[[#This Row],[word]],Table57[English style name],Table57[Style type]),"")</f>
        <v/>
      </c>
      <c r="AM2664" s="21"/>
      <c r="AN2664" s="11"/>
    </row>
    <row r="2665" spans="5:44">
      <c r="E2665" s="11"/>
      <c r="F26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5" s="13"/>
      <c r="H2665" s="13"/>
      <c r="I2665" s="12" t="str">
        <f>Table1[[#This Row],[type]]</f>
        <v>swap</v>
      </c>
      <c r="J2665" s="62" t="str">
        <f>Table1[[#This Row],[Column42]]&amp;IF(Table1[[#This Row],[Column13]]="","",Table1[[#This Row],[Column13]])&amp;IF(Table1[[#This Row],[mod]]="","",Table1[[#This Row],[mod]])</f>
        <v>swap</v>
      </c>
      <c r="K26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5" t="s">
        <v>7311</v>
      </c>
      <c r="Q26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5" s="29"/>
      <c r="AC2665" s="25"/>
      <c r="AD2665" s="41" t="s">
        <v>7327</v>
      </c>
      <c r="AE2665" s="41"/>
      <c r="AF2665" s="11"/>
      <c r="AH2665" s="7" t="str">
        <f>Table1[[#This Row],[html_tag]]&amp;Table1[[#This Row],[html_type]]&amp;Table1[[#This Row],[html_modifier]]</f>
        <v/>
      </c>
      <c r="AL2665" s="23" t="str">
        <f>IFERROR(_xlfn.XLOOKUP(Table1[[#This Row],[word]],Table57[English style name],Table57[Style type]),"")</f>
        <v/>
      </c>
      <c r="AM2665" s="21"/>
      <c r="AN2665" s="11"/>
    </row>
    <row r="2666" spans="5:44">
      <c r="E2666" s="11"/>
      <c r="F26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6" s="13"/>
      <c r="H2666" s="13"/>
      <c r="I2666" s="12" t="str">
        <f>Table1[[#This Row],[type]]</f>
        <v>swap</v>
      </c>
      <c r="J2666" s="62" t="str">
        <f>Table1[[#This Row],[Column42]]&amp;IF(Table1[[#This Row],[Column13]]="","",Table1[[#This Row],[Column13]])&amp;IF(Table1[[#This Row],[mod]]="","",Table1[[#This Row],[mod]])</f>
        <v>swap</v>
      </c>
      <c r="K26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6" t="s">
        <v>7311</v>
      </c>
      <c r="Q26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6" s="29"/>
      <c r="AC2666" s="25"/>
      <c r="AD2666" s="41" t="s">
        <v>7328</v>
      </c>
      <c r="AE2666" s="41"/>
      <c r="AF2666" s="11"/>
      <c r="AH2666" s="7" t="str">
        <f>Table1[[#This Row],[html_tag]]&amp;Table1[[#This Row],[html_type]]&amp;Table1[[#This Row],[html_modifier]]</f>
        <v/>
      </c>
      <c r="AL2666" s="23" t="str">
        <f>IFERROR(_xlfn.XLOOKUP(Table1[[#This Row],[word]],Table57[English style name],Table57[Style type]),"")</f>
        <v/>
      </c>
      <c r="AM2666" s="21"/>
      <c r="AN2666" s="11"/>
    </row>
    <row r="2667" spans="5:44">
      <c r="E2667" s="11"/>
      <c r="F26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7" s="13"/>
      <c r="H2667" s="13"/>
      <c r="I2667" s="12" t="str">
        <f>Table1[[#This Row],[type]]</f>
        <v>swap</v>
      </c>
      <c r="J2667" s="62" t="str">
        <f>Table1[[#This Row],[Column42]]&amp;IF(Table1[[#This Row],[Column13]]="","",Table1[[#This Row],[Column13]])&amp;IF(Table1[[#This Row],[mod]]="","",Table1[[#This Row],[mod]])</f>
        <v>swap</v>
      </c>
      <c r="K26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7" t="s">
        <v>7311</v>
      </c>
      <c r="Q26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7" s="29"/>
      <c r="AC2667" s="25"/>
      <c r="AD2667" s="41" t="s">
        <v>7329</v>
      </c>
      <c r="AE2667" s="41"/>
      <c r="AF2667" s="11"/>
      <c r="AH2667" s="7" t="str">
        <f>Table1[[#This Row],[html_tag]]&amp;Table1[[#This Row],[html_type]]&amp;Table1[[#This Row],[html_modifier]]</f>
        <v/>
      </c>
      <c r="AL2667" s="23" t="str">
        <f>IFERROR(_xlfn.XLOOKUP(Table1[[#This Row],[word]],Table57[English style name],Table57[Style type]),"")</f>
        <v/>
      </c>
      <c r="AM2667" s="21"/>
      <c r="AN2667" s="11"/>
    </row>
    <row r="2668" spans="5:44">
      <c r="E2668" s="11"/>
      <c r="F26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8" s="13"/>
      <c r="H2668" s="13"/>
      <c r="I2668" s="12" t="str">
        <f>Table1[[#This Row],[type]]</f>
        <v>swap</v>
      </c>
      <c r="J2668" s="62" t="str">
        <f>Table1[[#This Row],[Column42]]&amp;IF(Table1[[#This Row],[Column13]]="","",Table1[[#This Row],[Column13]])&amp;IF(Table1[[#This Row],[mod]]="","",Table1[[#This Row],[mod]])</f>
        <v>swap</v>
      </c>
      <c r="K26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8" t="s">
        <v>7311</v>
      </c>
      <c r="Q26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8" s="29"/>
      <c r="AC2668" s="25"/>
      <c r="AD2668" s="41" t="s">
        <v>7332</v>
      </c>
      <c r="AE2668" s="41"/>
      <c r="AF2668" s="11"/>
      <c r="AH2668" s="7" t="str">
        <f>Table1[[#This Row],[html_tag]]&amp;Table1[[#This Row],[html_type]]&amp;Table1[[#This Row],[html_modifier]]</f>
        <v/>
      </c>
      <c r="AL2668" s="23" t="str">
        <f>IFERROR(_xlfn.XLOOKUP(Table1[[#This Row],[word]],Table57[English style name],Table57[Style type]),"")</f>
        <v/>
      </c>
      <c r="AM2668" s="21"/>
      <c r="AN2668" s="11"/>
    </row>
    <row r="2669" spans="5:44">
      <c r="E2669" s="11"/>
      <c r="F26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9" s="13"/>
      <c r="H2669" s="13"/>
      <c r="I2669" s="12" t="str">
        <f>Table1[[#This Row],[type]]</f>
        <v>swap</v>
      </c>
      <c r="J2669" s="62" t="str">
        <f>Table1[[#This Row],[Column42]]&amp;IF(Table1[[#This Row],[Column13]]="","",Table1[[#This Row],[Column13]])&amp;IF(Table1[[#This Row],[mod]]="","",Table1[[#This Row],[mod]])</f>
        <v>swap</v>
      </c>
      <c r="K26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9" t="s">
        <v>7311</v>
      </c>
      <c r="Q26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9" s="29"/>
      <c r="AC2669" s="25"/>
      <c r="AD2669" s="41" t="s">
        <v>7326</v>
      </c>
      <c r="AE2669" s="41"/>
      <c r="AF2669" s="11"/>
      <c r="AH2669" s="7" t="str">
        <f>Table1[[#This Row],[html_tag]]&amp;Table1[[#This Row],[html_type]]&amp;Table1[[#This Row],[html_modifier]]</f>
        <v/>
      </c>
      <c r="AL2669" s="23" t="str">
        <f>IFERROR(_xlfn.XLOOKUP(Table1[[#This Row],[word]],Table57[English style name],Table57[Style type]),"")</f>
        <v/>
      </c>
      <c r="AM2669" s="21"/>
      <c r="AN2669" s="11"/>
    </row>
    <row r="2670" spans="5:44">
      <c r="E2670" s="11"/>
      <c r="F26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70" s="13"/>
      <c r="H2670" s="13"/>
      <c r="I2670" s="12" t="str">
        <f>Table1[[#This Row],[type]]</f>
        <v>swap</v>
      </c>
      <c r="J2670" s="62" t="str">
        <f>Table1[[#This Row],[Column42]]&amp;IF(Table1[[#This Row],[Column13]]="","",Table1[[#This Row],[Column13]])&amp;IF(Table1[[#This Row],[mod]]="","",Table1[[#This Row],[mod]])</f>
        <v>swap--active</v>
      </c>
      <c r="K26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70" t="s">
        <v>7311</v>
      </c>
      <c r="Q26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670" t="s">
        <v>350</v>
      </c>
      <c r="AB2670" s="29"/>
      <c r="AC2670" s="25"/>
      <c r="AD2670" s="41" t="s">
        <v>7330</v>
      </c>
      <c r="AE2670" s="41"/>
      <c r="AF2670" s="11"/>
      <c r="AH2670" s="7" t="str">
        <f>Table1[[#This Row],[html_tag]]&amp;Table1[[#This Row],[html_type]]&amp;Table1[[#This Row],[html_modifier]]</f>
        <v/>
      </c>
      <c r="AL2670" s="23" t="str">
        <f>IFERROR(_xlfn.XLOOKUP(Table1[[#This Row],[word]],Table57[English style name],Table57[Style type]),"")</f>
        <v/>
      </c>
      <c r="AM2670" s="21"/>
      <c r="AN2670" s="11"/>
    </row>
    <row r="2671" spans="5:44">
      <c r="E2671" s="11"/>
      <c r="F26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671" s="13" t="s">
        <v>2994</v>
      </c>
      <c r="H2671" s="13"/>
      <c r="I2671" s="12" t="str">
        <f>Table1[[#This Row],[type]]</f>
        <v>table</v>
      </c>
      <c r="J2671" s="62" t="str">
        <f>Table1[[#This Row],[Column42]]&amp;IF(Table1[[#This Row],[Column13]]="","",Table1[[#This Row],[Column13]])&amp;IF(Table1[[#This Row],[mod]]="","",Table1[[#This Row],[mod]])</f>
        <v>table</v>
      </c>
      <c r="K26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1" t="s">
        <v>91</v>
      </c>
      <c r="P2671" s="6" t="s">
        <v>2322</v>
      </c>
      <c r="Q26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1" s="29"/>
      <c r="AC2671" s="25"/>
      <c r="AD2671" s="41"/>
      <c r="AE2671" s="41"/>
      <c r="AF2671" s="11"/>
      <c r="AH2671" s="1" t="str">
        <f>Table1[[#This Row],[html_tag]]&amp;Table1[[#This Row],[html_type]]&amp;Table1[[#This Row],[html_modifier]]</f>
        <v/>
      </c>
      <c r="AL2671" s="22" t="str">
        <f>IFERROR(_xlfn.XLOOKUP(Table1[[#This Row],[word]],Table57[English style name],Table57[Style type]),"")</f>
        <v/>
      </c>
      <c r="AM2671" s="20"/>
      <c r="AN2671" s="11"/>
      <c r="AQ2671" s="6" t="s">
        <v>2322</v>
      </c>
      <c r="AR2671" t="s">
        <v>2315</v>
      </c>
    </row>
    <row r="2672" spans="5:44">
      <c r="E2672" s="11"/>
      <c r="F26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672" s="13" t="s">
        <v>2994</v>
      </c>
      <c r="H2672" s="13"/>
      <c r="I2672" s="12" t="str">
        <f>Table1[[#This Row],[type]]</f>
        <v>table</v>
      </c>
      <c r="J2672" s="62" t="str">
        <f>Table1[[#This Row],[Column42]]&amp;IF(Table1[[#This Row],[Column13]]="","",Table1[[#This Row],[Column13]])&amp;IF(Table1[[#This Row],[mod]]="","",Table1[[#This Row],[mod]])</f>
        <v>table</v>
      </c>
      <c r="K26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2" t="s">
        <v>91</v>
      </c>
      <c r="P2672" s="6" t="s">
        <v>2323</v>
      </c>
      <c r="Q26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2" s="29"/>
      <c r="AC2672" s="25"/>
      <c r="AD2672" s="41"/>
      <c r="AE2672" s="41"/>
      <c r="AF2672" s="11"/>
      <c r="AH2672" s="1" t="str">
        <f>Table1[[#This Row],[html_tag]]&amp;Table1[[#This Row],[html_type]]&amp;Table1[[#This Row],[html_modifier]]</f>
        <v/>
      </c>
      <c r="AL2672" s="22" t="str">
        <f>IFERROR(_xlfn.XLOOKUP(Table1[[#This Row],[word]],Table57[English style name],Table57[Style type]),"")</f>
        <v/>
      </c>
      <c r="AM2672" s="20"/>
      <c r="AN2672" s="11"/>
      <c r="AQ2672" s="6" t="s">
        <v>2323</v>
      </c>
      <c r="AR2672" t="s">
        <v>2315</v>
      </c>
    </row>
    <row r="2673" spans="5:44">
      <c r="E2673" s="11"/>
      <c r="F26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673" s="13" t="s">
        <v>2994</v>
      </c>
      <c r="H2673" s="13"/>
      <c r="I2673" s="12" t="str">
        <f>Table1[[#This Row],[type]]</f>
        <v>table</v>
      </c>
      <c r="J2673" s="62" t="str">
        <f>Table1[[#This Row],[Column42]]&amp;IF(Table1[[#This Row],[Column13]]="","",Table1[[#This Row],[Column13]])&amp;IF(Table1[[#This Row],[mod]]="","",Table1[[#This Row],[mod]])</f>
        <v>table</v>
      </c>
      <c r="K26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3" t="s">
        <v>91</v>
      </c>
      <c r="P2673" s="6" t="s">
        <v>2324</v>
      </c>
      <c r="Q26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3" s="29"/>
      <c r="AC2673" s="25"/>
      <c r="AD2673" s="41"/>
      <c r="AE2673" s="41"/>
      <c r="AF2673" s="11"/>
      <c r="AH2673" s="1" t="str">
        <f>Table1[[#This Row],[html_tag]]&amp;Table1[[#This Row],[html_type]]&amp;Table1[[#This Row],[html_modifier]]</f>
        <v/>
      </c>
      <c r="AL2673" s="22" t="str">
        <f>IFERROR(_xlfn.XLOOKUP(Table1[[#This Row],[word]],Table57[English style name],Table57[Style type]),"")</f>
        <v/>
      </c>
      <c r="AM2673" s="20"/>
      <c r="AN2673" s="11"/>
      <c r="AQ2673" s="6" t="s">
        <v>2324</v>
      </c>
      <c r="AR2673" t="s">
        <v>2315</v>
      </c>
    </row>
    <row r="2674" spans="5:44">
      <c r="E2674" s="11"/>
      <c r="F26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74" s="13"/>
      <c r="H2674" s="13"/>
      <c r="I2674" s="12" t="str">
        <f>Table1[[#This Row],[type]]</f>
        <v>table</v>
      </c>
      <c r="J2674" s="62" t="str">
        <f>Table1[[#This Row],[Column42]]&amp;IF(Table1[[#This Row],[Column13]]="","",Table1[[#This Row],[Column13]])&amp;IF(Table1[[#This Row],[mod]]="","",Table1[[#This Row],[mod]])</f>
        <v>table</v>
      </c>
      <c r="K26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4" t="s">
        <v>91</v>
      </c>
      <c r="P2674" s="6" t="s">
        <v>1494</v>
      </c>
      <c r="Q26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4" s="29"/>
      <c r="AC2674" s="25"/>
      <c r="AD2674" s="41"/>
      <c r="AE2674" s="41"/>
      <c r="AF2674" s="11"/>
      <c r="AH2674" s="1" t="str">
        <f>Table1[[#This Row],[html_tag]]&amp;Table1[[#This Row],[html_type]]&amp;Table1[[#This Row],[html_modifier]]</f>
        <v/>
      </c>
      <c r="AL2674" s="22" t="str">
        <f>IFERROR(_xlfn.XLOOKUP(Table1[[#This Row],[word]],Table57[English style name],Table57[Style type]),"")</f>
        <v/>
      </c>
      <c r="AM2674" s="20"/>
      <c r="AN2674" s="11"/>
      <c r="AQ2674" s="6" t="s">
        <v>1494</v>
      </c>
      <c r="AR2674" t="s">
        <v>1495</v>
      </c>
    </row>
    <row r="2675" spans="5:44">
      <c r="E2675" s="11"/>
      <c r="F26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675" s="13" t="s">
        <v>461</v>
      </c>
      <c r="H2675" s="13" t="s">
        <v>2991</v>
      </c>
      <c r="I2675" s="12" t="str">
        <f>Table1[[#This Row],[type]]</f>
        <v>table</v>
      </c>
      <c r="J2675" s="62" t="str">
        <f>Table1[[#This Row],[Column42]]&amp;IF(Table1[[#This Row],[Column13]]="","",Table1[[#This Row],[Column13]])&amp;IF(Table1[[#This Row],[mod]]="","",Table1[[#This Row],[mod]])</f>
        <v>table</v>
      </c>
      <c r="K26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5" t="s">
        <v>91</v>
      </c>
      <c r="P2675" s="6" t="s">
        <v>1229</v>
      </c>
      <c r="Q26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5" s="29"/>
      <c r="AC2675" s="25"/>
      <c r="AD2675" s="41"/>
      <c r="AE2675" s="41"/>
      <c r="AF2675" s="11"/>
      <c r="AH2675" s="1" t="str">
        <f>Table1[[#This Row],[html_tag]]&amp;Table1[[#This Row],[html_type]]&amp;Table1[[#This Row],[html_modifier]]</f>
        <v/>
      </c>
      <c r="AL2675" s="22" t="str">
        <f>IFERROR(_xlfn.XLOOKUP(Table1[[#This Row],[word]],Table57[English style name],Table57[Style type]),"")</f>
        <v/>
      </c>
      <c r="AM2675" s="20"/>
      <c r="AN2675" s="11"/>
      <c r="AQ2675" s="6" t="s">
        <v>1229</v>
      </c>
      <c r="AR2675" t="s">
        <v>1220</v>
      </c>
    </row>
    <row r="2676" spans="5:44">
      <c r="E2676" s="11"/>
      <c r="F26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676" s="13" t="s">
        <v>461</v>
      </c>
      <c r="H2676" s="13" t="s">
        <v>2991</v>
      </c>
      <c r="I2676" s="12" t="str">
        <f>Table1[[#This Row],[type]]</f>
        <v>table</v>
      </c>
      <c r="J2676" s="62" t="str">
        <f>Table1[[#This Row],[Column42]]&amp;IF(Table1[[#This Row],[Column13]]="","",Table1[[#This Row],[Column13]])&amp;IF(Table1[[#This Row],[mod]]="","",Table1[[#This Row],[mod]])</f>
        <v>table</v>
      </c>
      <c r="K26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6" t="s">
        <v>91</v>
      </c>
      <c r="P2676" s="6" t="s">
        <v>1230</v>
      </c>
      <c r="Q26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6" s="29"/>
      <c r="AC2676" s="25"/>
      <c r="AD2676" s="41"/>
      <c r="AE2676" s="41"/>
      <c r="AF2676" s="11"/>
      <c r="AH2676" s="1" t="str">
        <f>Table1[[#This Row],[html_tag]]&amp;Table1[[#This Row],[html_type]]&amp;Table1[[#This Row],[html_modifier]]</f>
        <v/>
      </c>
      <c r="AL2676" s="22" t="str">
        <f>IFERROR(_xlfn.XLOOKUP(Table1[[#This Row],[word]],Table57[English style name],Table57[Style type]),"")</f>
        <v/>
      </c>
      <c r="AM2676" s="20"/>
      <c r="AN2676" s="11"/>
      <c r="AQ2676" s="6" t="s">
        <v>1230</v>
      </c>
      <c r="AR2676" t="s">
        <v>1220</v>
      </c>
    </row>
    <row r="2677" spans="5:44">
      <c r="E2677" s="11"/>
      <c r="F26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77" s="13"/>
      <c r="H2677" s="13"/>
      <c r="I2677" s="12" t="str">
        <f>Table1[[#This Row],[type]]</f>
        <v>table</v>
      </c>
      <c r="J2677" s="62" t="str">
        <f>Table1[[#This Row],[Column42]]&amp;IF(Table1[[#This Row],[Column13]]="","",Table1[[#This Row],[Column13]])&amp;IF(Table1[[#This Row],[mod]]="","",Table1[[#This Row],[mod]])</f>
        <v>table</v>
      </c>
      <c r="K26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7" t="s">
        <v>91</v>
      </c>
      <c r="P2677" t="s">
        <v>920</v>
      </c>
      <c r="Q26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7" s="29"/>
      <c r="AC2677" s="25"/>
      <c r="AD2677" s="41"/>
      <c r="AE2677" s="41"/>
      <c r="AF2677" s="11" t="s">
        <v>282</v>
      </c>
      <c r="AH2677" s="1" t="str">
        <f>Table1[[#This Row],[html_tag]]&amp;Table1[[#This Row],[html_type]]&amp;Table1[[#This Row],[html_modifier]]</f>
        <v/>
      </c>
      <c r="AL2677" s="22" t="str">
        <f>IFERROR(_xlfn.XLOOKUP(Table1[[#This Row],[word]],Table57[English style name],Table57[Style type]),"")</f>
        <v>Table</v>
      </c>
      <c r="AM2677" s="20" t="s">
        <v>920</v>
      </c>
      <c r="AN2677" s="11"/>
    </row>
    <row r="2678" spans="5:44">
      <c r="E2678" s="11"/>
      <c r="F26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78" s="13"/>
      <c r="H2678" s="13"/>
      <c r="I2678" s="12" t="str">
        <f>Table1[[#This Row],[type]]</f>
        <v>table</v>
      </c>
      <c r="J2678" s="62" t="str">
        <f>Table1[[#This Row],[Column42]]&amp;IF(Table1[[#This Row],[Column13]]="","",Table1[[#This Row],[Column13]])&amp;IF(Table1[[#This Row],[mod]]="","",Table1[[#This Row],[mod]])</f>
        <v>table</v>
      </c>
      <c r="K26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8" t="s">
        <v>91</v>
      </c>
      <c r="P2678" t="s">
        <v>918</v>
      </c>
      <c r="Q26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8" s="29"/>
      <c r="AC2678" s="25"/>
      <c r="AD2678" s="41"/>
      <c r="AE2678" s="41"/>
      <c r="AF2678" s="11" t="s">
        <v>282</v>
      </c>
      <c r="AH2678" s="1" t="str">
        <f>Table1[[#This Row],[html_tag]]&amp;Table1[[#This Row],[html_type]]&amp;Table1[[#This Row],[html_modifier]]</f>
        <v/>
      </c>
      <c r="AL2678" s="22" t="str">
        <f>IFERROR(_xlfn.XLOOKUP(Table1[[#This Row],[word]],Table57[English style name],Table57[Style type]),"")</f>
        <v>Table</v>
      </c>
      <c r="AM2678" s="20" t="s">
        <v>918</v>
      </c>
      <c r="AN2678" s="11"/>
    </row>
    <row r="2679" spans="5:44">
      <c r="E2679" s="11"/>
      <c r="F26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79" s="13"/>
      <c r="H2679" s="13"/>
      <c r="I2679" s="12" t="str">
        <f>Table1[[#This Row],[type]]</f>
        <v>table</v>
      </c>
      <c r="J2679" s="62" t="str">
        <f>Table1[[#This Row],[Column42]]&amp;IF(Table1[[#This Row],[Column13]]="","",Table1[[#This Row],[Column13]])&amp;IF(Table1[[#This Row],[mod]]="","",Table1[[#This Row],[mod]])</f>
        <v>table</v>
      </c>
      <c r="K26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9" t="s">
        <v>91</v>
      </c>
      <c r="P2679" t="s">
        <v>916</v>
      </c>
      <c r="Q26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9" s="29"/>
      <c r="AC2679" s="25"/>
      <c r="AD2679" s="41"/>
      <c r="AE2679" s="41"/>
      <c r="AF2679" s="11" t="s">
        <v>282</v>
      </c>
      <c r="AH2679" s="1" t="str">
        <f>Table1[[#This Row],[html_tag]]&amp;Table1[[#This Row],[html_type]]&amp;Table1[[#This Row],[html_modifier]]</f>
        <v/>
      </c>
      <c r="AL2679" s="22" t="str">
        <f>IFERROR(_xlfn.XLOOKUP(Table1[[#This Row],[word]],Table57[English style name],Table57[Style type]),"")</f>
        <v>Table</v>
      </c>
      <c r="AM2679" s="20" t="s">
        <v>916</v>
      </c>
      <c r="AN2679" s="11"/>
    </row>
    <row r="2680" spans="5:44">
      <c r="E2680" s="11"/>
      <c r="F26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0" s="13"/>
      <c r="H2680" s="13"/>
      <c r="I2680" s="12" t="str">
        <f>Table1[[#This Row],[type]]</f>
        <v>table</v>
      </c>
      <c r="J2680" s="62" t="str">
        <f>Table1[[#This Row],[Column42]]&amp;IF(Table1[[#This Row],[Column13]]="","",Table1[[#This Row],[Column13]])&amp;IF(Table1[[#This Row],[mod]]="","",Table1[[#This Row],[mod]])</f>
        <v>table</v>
      </c>
      <c r="K26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0" t="s">
        <v>91</v>
      </c>
      <c r="P2680" t="s">
        <v>1088</v>
      </c>
      <c r="Q26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0" s="29"/>
      <c r="AC2680" s="25"/>
      <c r="AD2680" s="41"/>
      <c r="AE2680" s="41"/>
      <c r="AF2680" s="11" t="s">
        <v>282</v>
      </c>
      <c r="AH2680" s="1" t="str">
        <f>Table1[[#This Row],[html_tag]]&amp;Table1[[#This Row],[html_type]]&amp;Table1[[#This Row],[html_modifier]]</f>
        <v/>
      </c>
      <c r="AL2680" s="22" t="str">
        <f>IFERROR(_xlfn.XLOOKUP(Table1[[#This Row],[word]],Table57[English style name],Table57[Style type]),"")</f>
        <v>Table</v>
      </c>
      <c r="AM2680" s="20" t="s">
        <v>1088</v>
      </c>
      <c r="AN2680" s="11"/>
    </row>
    <row r="2681" spans="5:44">
      <c r="E2681" s="11"/>
      <c r="F26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1" s="13"/>
      <c r="H2681" s="13"/>
      <c r="I2681" s="12" t="str">
        <f>Table1[[#This Row],[type]]</f>
        <v>table</v>
      </c>
      <c r="J2681" s="62" t="str">
        <f>Table1[[#This Row],[Column42]]&amp;IF(Table1[[#This Row],[Column13]]="","",Table1[[#This Row],[Column13]])&amp;IF(Table1[[#This Row],[mod]]="","",Table1[[#This Row],[mod]])</f>
        <v>table</v>
      </c>
      <c r="K26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1" t="s">
        <v>91</v>
      </c>
      <c r="P2681" t="s">
        <v>1089</v>
      </c>
      <c r="Q26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1" s="29"/>
      <c r="AC2681" s="25"/>
      <c r="AD2681" s="41"/>
      <c r="AE2681" s="41"/>
      <c r="AF2681" s="11" t="s">
        <v>282</v>
      </c>
      <c r="AH2681" s="1" t="str">
        <f>Table1[[#This Row],[html_tag]]&amp;Table1[[#This Row],[html_type]]&amp;Table1[[#This Row],[html_modifier]]</f>
        <v/>
      </c>
      <c r="AL2681" s="22" t="str">
        <f>IFERROR(_xlfn.XLOOKUP(Table1[[#This Row],[word]],Table57[English style name],Table57[Style type]),"")</f>
        <v>Table</v>
      </c>
      <c r="AM2681" s="20" t="s">
        <v>1089</v>
      </c>
      <c r="AN2681" s="11"/>
    </row>
    <row r="2682" spans="5:44">
      <c r="E2682" s="11"/>
      <c r="F26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2" s="13"/>
      <c r="H2682" s="13"/>
      <c r="I2682" s="12" t="str">
        <f>Table1[[#This Row],[type]]</f>
        <v>table</v>
      </c>
      <c r="J2682" s="62" t="str">
        <f>Table1[[#This Row],[Column42]]&amp;IF(Table1[[#This Row],[Column13]]="","",Table1[[#This Row],[Column13]])&amp;IF(Table1[[#This Row],[mod]]="","",Table1[[#This Row],[mod]])</f>
        <v>table</v>
      </c>
      <c r="K26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2" t="s">
        <v>91</v>
      </c>
      <c r="P2682" t="s">
        <v>1090</v>
      </c>
      <c r="Q26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2" s="29"/>
      <c r="AC2682" s="25"/>
      <c r="AD2682" s="41"/>
      <c r="AE2682" s="41"/>
      <c r="AF2682" s="11" t="s">
        <v>282</v>
      </c>
      <c r="AH2682" s="1" t="str">
        <f>Table1[[#This Row],[html_tag]]&amp;Table1[[#This Row],[html_type]]&amp;Table1[[#This Row],[html_modifier]]</f>
        <v/>
      </c>
      <c r="AL2682" s="22" t="str">
        <f>IFERROR(_xlfn.XLOOKUP(Table1[[#This Row],[word]],Table57[English style name],Table57[Style type]),"")</f>
        <v>Table</v>
      </c>
      <c r="AM2682" s="20" t="s">
        <v>1090</v>
      </c>
      <c r="AN2682" s="11"/>
    </row>
    <row r="2683" spans="5:44">
      <c r="E2683" s="11"/>
      <c r="F26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3" s="13"/>
      <c r="H2683" s="13"/>
      <c r="I2683" s="12" t="str">
        <f>Table1[[#This Row],[type]]</f>
        <v>table</v>
      </c>
      <c r="J2683" s="62" t="str">
        <f>Table1[[#This Row],[Column42]]&amp;IF(Table1[[#This Row],[Column13]]="","",Table1[[#This Row],[Column13]])&amp;IF(Table1[[#This Row],[mod]]="","",Table1[[#This Row],[mod]])</f>
        <v>table</v>
      </c>
      <c r="K26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3" t="s">
        <v>91</v>
      </c>
      <c r="P2683" t="s">
        <v>1091</v>
      </c>
      <c r="Q26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3" s="29"/>
      <c r="AC2683" s="25"/>
      <c r="AD2683" s="41"/>
      <c r="AE2683" s="41"/>
      <c r="AF2683" s="11" t="s">
        <v>282</v>
      </c>
      <c r="AH2683" s="1" t="str">
        <f>Table1[[#This Row],[html_tag]]&amp;Table1[[#This Row],[html_type]]&amp;Table1[[#This Row],[html_modifier]]</f>
        <v/>
      </c>
      <c r="AL2683" s="22" t="str">
        <f>IFERROR(_xlfn.XLOOKUP(Table1[[#This Row],[word]],Table57[English style name],Table57[Style type]),"")</f>
        <v>Table</v>
      </c>
      <c r="AM2683" s="20" t="s">
        <v>1091</v>
      </c>
      <c r="AN2683" s="11"/>
    </row>
    <row r="2684" spans="5:44">
      <c r="E2684" s="11"/>
      <c r="F26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4" s="13"/>
      <c r="H2684" s="13"/>
      <c r="I2684" s="12" t="str">
        <f>Table1[[#This Row],[type]]</f>
        <v>table</v>
      </c>
      <c r="J2684" s="62" t="str">
        <f>Table1[[#This Row],[Column42]]&amp;IF(Table1[[#This Row],[Column13]]="","",Table1[[#This Row],[Column13]])&amp;IF(Table1[[#This Row],[mod]]="","",Table1[[#This Row],[mod]])</f>
        <v>table</v>
      </c>
      <c r="K26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4" t="s">
        <v>91</v>
      </c>
      <c r="P2684" t="s">
        <v>1092</v>
      </c>
      <c r="Q26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4" s="29"/>
      <c r="AC2684" s="25"/>
      <c r="AD2684" s="41"/>
      <c r="AE2684" s="41"/>
      <c r="AF2684" s="11" t="s">
        <v>282</v>
      </c>
      <c r="AH2684" s="1" t="str">
        <f>Table1[[#This Row],[html_tag]]&amp;Table1[[#This Row],[html_type]]&amp;Table1[[#This Row],[html_modifier]]</f>
        <v/>
      </c>
      <c r="AL2684" s="22" t="str">
        <f>IFERROR(_xlfn.XLOOKUP(Table1[[#This Row],[word]],Table57[English style name],Table57[Style type]),"")</f>
        <v>Table</v>
      </c>
      <c r="AM2684" s="20" t="s">
        <v>1092</v>
      </c>
      <c r="AN2684" s="11"/>
    </row>
    <row r="2685" spans="5:44">
      <c r="E2685" s="11"/>
      <c r="F26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5" s="13"/>
      <c r="H2685" s="13"/>
      <c r="I2685" s="12" t="str">
        <f>Table1[[#This Row],[type]]</f>
        <v>table</v>
      </c>
      <c r="J2685" s="62" t="str">
        <f>Table1[[#This Row],[Column42]]&amp;IF(Table1[[#This Row],[Column13]]="","",Table1[[#This Row],[Column13]])&amp;IF(Table1[[#This Row],[mod]]="","",Table1[[#This Row],[mod]])</f>
        <v>table</v>
      </c>
      <c r="K26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5" t="s">
        <v>91</v>
      </c>
      <c r="P2685" t="s">
        <v>1093</v>
      </c>
      <c r="Q26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5" s="29"/>
      <c r="AC2685" s="25"/>
      <c r="AD2685" s="41"/>
      <c r="AE2685" s="41"/>
      <c r="AF2685" s="11" t="s">
        <v>282</v>
      </c>
      <c r="AH2685" s="1" t="str">
        <f>Table1[[#This Row],[html_tag]]&amp;Table1[[#This Row],[html_type]]&amp;Table1[[#This Row],[html_modifier]]</f>
        <v/>
      </c>
      <c r="AL2685" s="22" t="str">
        <f>IFERROR(_xlfn.XLOOKUP(Table1[[#This Row],[word]],Table57[English style name],Table57[Style type]),"")</f>
        <v>Table</v>
      </c>
      <c r="AM2685" s="20" t="s">
        <v>1093</v>
      </c>
      <c r="AN2685" s="11"/>
    </row>
    <row r="2686" spans="5:44">
      <c r="E2686" s="11"/>
      <c r="F26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6" s="13"/>
      <c r="H2686" s="13"/>
      <c r="I2686" s="12" t="str">
        <f>Table1[[#This Row],[type]]</f>
        <v>table</v>
      </c>
      <c r="J2686" s="62" t="str">
        <f>Table1[[#This Row],[Column42]]&amp;IF(Table1[[#This Row],[Column13]]="","",Table1[[#This Row],[Column13]])&amp;IF(Table1[[#This Row],[mod]]="","",Table1[[#This Row],[mod]])</f>
        <v>table</v>
      </c>
      <c r="K26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6" t="s">
        <v>91</v>
      </c>
      <c r="P2686" t="s">
        <v>1094</v>
      </c>
      <c r="Q26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6" s="29"/>
      <c r="AC2686" s="25"/>
      <c r="AD2686" s="41"/>
      <c r="AE2686" s="41"/>
      <c r="AF2686" s="11" t="s">
        <v>282</v>
      </c>
      <c r="AH2686" s="1" t="str">
        <f>Table1[[#This Row],[html_tag]]&amp;Table1[[#This Row],[html_type]]&amp;Table1[[#This Row],[html_modifier]]</f>
        <v/>
      </c>
      <c r="AL2686" s="22" t="str">
        <f>IFERROR(_xlfn.XLOOKUP(Table1[[#This Row],[word]],Table57[English style name],Table57[Style type]),"")</f>
        <v>Table</v>
      </c>
      <c r="AM2686" s="20" t="s">
        <v>1094</v>
      </c>
      <c r="AN2686" s="11"/>
    </row>
    <row r="2687" spans="5:44">
      <c r="E2687" s="11"/>
      <c r="F26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7" s="13"/>
      <c r="H2687" s="13"/>
      <c r="I2687" s="12" t="str">
        <f>Table1[[#This Row],[type]]</f>
        <v>table</v>
      </c>
      <c r="J2687" s="62" t="str">
        <f>Table1[[#This Row],[Column42]]&amp;IF(Table1[[#This Row],[Column13]]="","",Table1[[#This Row],[Column13]])&amp;IF(Table1[[#This Row],[mod]]="","",Table1[[#This Row],[mod]])</f>
        <v>table</v>
      </c>
      <c r="K26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7" t="s">
        <v>91</v>
      </c>
      <c r="P2687" t="s">
        <v>930</v>
      </c>
      <c r="Q26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7" s="29"/>
      <c r="AC2687" s="25"/>
      <c r="AD2687" s="41"/>
      <c r="AE2687" s="41"/>
      <c r="AF2687" s="11" t="s">
        <v>282</v>
      </c>
      <c r="AH2687" s="1" t="str">
        <f>Table1[[#This Row],[html_tag]]&amp;Table1[[#This Row],[html_type]]&amp;Table1[[#This Row],[html_modifier]]</f>
        <v/>
      </c>
      <c r="AL2687" s="22" t="str">
        <f>IFERROR(_xlfn.XLOOKUP(Table1[[#This Row],[word]],Table57[English style name],Table57[Style type]),"")</f>
        <v>Table</v>
      </c>
      <c r="AM2687" s="20" t="s">
        <v>930</v>
      </c>
      <c r="AN2687" s="11"/>
    </row>
    <row r="2688" spans="5:44">
      <c r="E2688" s="11"/>
      <c r="F26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8" s="13"/>
      <c r="H2688" s="13"/>
      <c r="I2688" s="12" t="str">
        <f>Table1[[#This Row],[type]]</f>
        <v>table</v>
      </c>
      <c r="J2688" s="62" t="str">
        <f>Table1[[#This Row],[Column42]]&amp;IF(Table1[[#This Row],[Column13]]="","",Table1[[#This Row],[Column13]])&amp;IF(Table1[[#This Row],[mod]]="","",Table1[[#This Row],[mod]])</f>
        <v>table</v>
      </c>
      <c r="K26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8" t="s">
        <v>91</v>
      </c>
      <c r="P2688" t="s">
        <v>932</v>
      </c>
      <c r="Q26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8" s="29"/>
      <c r="AC2688" s="25"/>
      <c r="AD2688" s="41"/>
      <c r="AE2688" s="41"/>
      <c r="AF2688" s="11" t="s">
        <v>282</v>
      </c>
      <c r="AH2688" s="1" t="str">
        <f>Table1[[#This Row],[html_tag]]&amp;Table1[[#This Row],[html_type]]&amp;Table1[[#This Row],[html_modifier]]</f>
        <v/>
      </c>
      <c r="AL2688" s="22" t="str">
        <f>IFERROR(_xlfn.XLOOKUP(Table1[[#This Row],[word]],Table57[English style name],Table57[Style type]),"")</f>
        <v>Table</v>
      </c>
      <c r="AM2688" s="20" t="s">
        <v>932</v>
      </c>
      <c r="AN2688" s="11"/>
    </row>
    <row r="2689" spans="5:44">
      <c r="E2689" s="11"/>
      <c r="F26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9" s="13"/>
      <c r="H2689" s="13"/>
      <c r="I2689" s="12" t="str">
        <f>Table1[[#This Row],[type]]</f>
        <v>table</v>
      </c>
      <c r="J2689" s="62" t="str">
        <f>Table1[[#This Row],[Column42]]&amp;IF(Table1[[#This Row],[Column13]]="","",Table1[[#This Row],[Column13]])&amp;IF(Table1[[#This Row],[mod]]="","",Table1[[#This Row],[mod]])</f>
        <v>table</v>
      </c>
      <c r="K26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9" t="s">
        <v>91</v>
      </c>
      <c r="P2689" t="s">
        <v>934</v>
      </c>
      <c r="Q26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9" s="29"/>
      <c r="AC2689" s="25"/>
      <c r="AD2689" s="41"/>
      <c r="AE2689" s="41"/>
      <c r="AF2689" s="11" t="s">
        <v>282</v>
      </c>
      <c r="AH2689" s="1" t="str">
        <f>Table1[[#This Row],[html_tag]]&amp;Table1[[#This Row],[html_type]]&amp;Table1[[#This Row],[html_modifier]]</f>
        <v/>
      </c>
      <c r="AL2689" s="22" t="str">
        <f>IFERROR(_xlfn.XLOOKUP(Table1[[#This Row],[word]],Table57[English style name],Table57[Style type]),"")</f>
        <v>Table</v>
      </c>
      <c r="AM2689" s="20" t="s">
        <v>934</v>
      </c>
      <c r="AN2689" s="11"/>
    </row>
    <row r="2690" spans="5:44">
      <c r="E2690" s="11"/>
      <c r="F26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0" s="13"/>
      <c r="H2690" s="13"/>
      <c r="I2690" s="12" t="str">
        <f>Table1[[#This Row],[type]]</f>
        <v>table</v>
      </c>
      <c r="J2690" s="62" t="str">
        <f>Table1[[#This Row],[Column42]]&amp;IF(Table1[[#This Row],[Column13]]="","",Table1[[#This Row],[Column13]])&amp;IF(Table1[[#This Row],[mod]]="","",Table1[[#This Row],[mod]])</f>
        <v>table</v>
      </c>
      <c r="K26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0" t="s">
        <v>91</v>
      </c>
      <c r="P2690" t="s">
        <v>926</v>
      </c>
      <c r="Q26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0" s="29"/>
      <c r="AC2690" s="25"/>
      <c r="AD2690" s="41"/>
      <c r="AE2690" s="41"/>
      <c r="AF2690" s="11" t="s">
        <v>282</v>
      </c>
      <c r="AH2690" s="1" t="str">
        <f>Table1[[#This Row],[html_tag]]&amp;Table1[[#This Row],[html_type]]&amp;Table1[[#This Row],[html_modifier]]</f>
        <v/>
      </c>
      <c r="AL2690" s="22" t="str">
        <f>IFERROR(_xlfn.XLOOKUP(Table1[[#This Row],[word]],Table57[English style name],Table57[Style type]),"")</f>
        <v>Table</v>
      </c>
      <c r="AM2690" s="20" t="s">
        <v>926</v>
      </c>
      <c r="AN2690" s="11"/>
    </row>
    <row r="2691" spans="5:44">
      <c r="E2691" s="11"/>
      <c r="F26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1" s="13"/>
      <c r="H2691" s="13"/>
      <c r="I2691" s="12" t="str">
        <f>Table1[[#This Row],[type]]</f>
        <v>table</v>
      </c>
      <c r="J2691" s="62" t="str">
        <f>Table1[[#This Row],[Column42]]&amp;IF(Table1[[#This Row],[Column13]]="","",Table1[[#This Row],[Column13]])&amp;IF(Table1[[#This Row],[mod]]="","",Table1[[#This Row],[mod]])</f>
        <v>table</v>
      </c>
      <c r="K26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1" t="s">
        <v>91</v>
      </c>
      <c r="P2691" t="s">
        <v>928</v>
      </c>
      <c r="Q26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1" s="29"/>
      <c r="AC2691" s="25"/>
      <c r="AD2691" s="41"/>
      <c r="AE2691" s="41"/>
      <c r="AF2691" s="11" t="s">
        <v>282</v>
      </c>
      <c r="AH2691" s="1" t="str">
        <f>Table1[[#This Row],[html_tag]]&amp;Table1[[#This Row],[html_type]]&amp;Table1[[#This Row],[html_modifier]]</f>
        <v/>
      </c>
      <c r="AL2691" s="22" t="str">
        <f>IFERROR(_xlfn.XLOOKUP(Table1[[#This Row],[word]],Table57[English style name],Table57[Style type]),"")</f>
        <v>Table</v>
      </c>
      <c r="AM2691" s="20" t="s">
        <v>928</v>
      </c>
      <c r="AN2691" s="11"/>
    </row>
    <row r="2692" spans="5:44">
      <c r="E2692" s="11"/>
      <c r="F26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2" s="13"/>
      <c r="H2692" s="13"/>
      <c r="I2692" s="12" t="str">
        <f>Table1[[#This Row],[type]]</f>
        <v>table</v>
      </c>
      <c r="J2692" s="62" t="str">
        <f>Table1[[#This Row],[Column42]]&amp;IF(Table1[[#This Row],[Column13]]="","",Table1[[#This Row],[Column13]])&amp;IF(Table1[[#This Row],[mod]]="","",Table1[[#This Row],[mod]])</f>
        <v>table</v>
      </c>
      <c r="K26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2" t="s">
        <v>91</v>
      </c>
      <c r="P2692" t="s">
        <v>922</v>
      </c>
      <c r="Q26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2" s="29"/>
      <c r="AC2692" s="25"/>
      <c r="AD2692" s="41"/>
      <c r="AE2692" s="41"/>
      <c r="AF2692" s="11" t="s">
        <v>282</v>
      </c>
      <c r="AH2692" s="1" t="str">
        <f>Table1[[#This Row],[html_tag]]&amp;Table1[[#This Row],[html_type]]&amp;Table1[[#This Row],[html_modifier]]</f>
        <v/>
      </c>
      <c r="AL2692" s="22" t="str">
        <f>IFERROR(_xlfn.XLOOKUP(Table1[[#This Row],[word]],Table57[English style name],Table57[Style type]),"")</f>
        <v>Table</v>
      </c>
      <c r="AM2692" s="20" t="s">
        <v>922</v>
      </c>
      <c r="AN2692" s="11"/>
    </row>
    <row r="2693" spans="5:44">
      <c r="E2693" s="11"/>
      <c r="F26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3" s="13"/>
      <c r="H2693" s="13"/>
      <c r="I2693" s="12" t="str">
        <f>Table1[[#This Row],[type]]</f>
        <v>table</v>
      </c>
      <c r="J2693" s="62" t="str">
        <f>Table1[[#This Row],[Column42]]&amp;IF(Table1[[#This Row],[Column13]]="","",Table1[[#This Row],[Column13]])&amp;IF(Table1[[#This Row],[mod]]="","",Table1[[#This Row],[mod]])</f>
        <v>table</v>
      </c>
      <c r="K26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3" t="s">
        <v>91</v>
      </c>
      <c r="P2693" t="s">
        <v>924</v>
      </c>
      <c r="Q26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3" s="29"/>
      <c r="AC2693" s="25"/>
      <c r="AD2693" s="41"/>
      <c r="AE2693" s="41"/>
      <c r="AF2693" s="11" t="s">
        <v>282</v>
      </c>
      <c r="AH2693" s="1" t="str">
        <f>Table1[[#This Row],[html_tag]]&amp;Table1[[#This Row],[html_type]]&amp;Table1[[#This Row],[html_modifier]]</f>
        <v/>
      </c>
      <c r="AL2693" s="22" t="str">
        <f>IFERROR(_xlfn.XLOOKUP(Table1[[#This Row],[word]],Table57[English style name],Table57[Style type]),"")</f>
        <v>Table</v>
      </c>
      <c r="AM2693" s="20" t="s">
        <v>924</v>
      </c>
      <c r="AN2693" s="11"/>
    </row>
    <row r="2694" spans="5:44">
      <c r="E2694" s="11"/>
      <c r="F26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4" s="13"/>
      <c r="H2694" s="13"/>
      <c r="I2694" s="12" t="str">
        <f>Table1[[#This Row],[type]]</f>
        <v>table</v>
      </c>
      <c r="J2694" s="62" t="str">
        <f>Table1[[#This Row],[Column42]]&amp;IF(Table1[[#This Row],[Column13]]="","",Table1[[#This Row],[Column13]])&amp;IF(Table1[[#This Row],[mod]]="","",Table1[[#This Row],[mod]])</f>
        <v>table</v>
      </c>
      <c r="K26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4" t="s">
        <v>91</v>
      </c>
      <c r="P2694" t="s">
        <v>905</v>
      </c>
      <c r="Q26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4" s="29"/>
      <c r="AC2694" s="25"/>
      <c r="AD2694" s="41"/>
      <c r="AE2694" s="41"/>
      <c r="AF2694" s="11" t="s">
        <v>282</v>
      </c>
      <c r="AH2694" s="1" t="str">
        <f>Table1[[#This Row],[html_tag]]&amp;Table1[[#This Row],[html_type]]&amp;Table1[[#This Row],[html_modifier]]</f>
        <v/>
      </c>
      <c r="AL2694" s="22" t="str">
        <f>IFERROR(_xlfn.XLOOKUP(Table1[[#This Row],[word]],Table57[English style name],Table57[Style type]),"")</f>
        <v>Table</v>
      </c>
      <c r="AM2694" s="20" t="s">
        <v>905</v>
      </c>
      <c r="AN2694" s="11"/>
    </row>
    <row r="2695" spans="5:44">
      <c r="E2695" s="11"/>
      <c r="F26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5" s="13"/>
      <c r="H2695" s="13"/>
      <c r="I2695" s="12" t="str">
        <f>Table1[[#This Row],[type]]</f>
        <v>table</v>
      </c>
      <c r="J2695" s="62" t="str">
        <f>Table1[[#This Row],[Column42]]&amp;IF(Table1[[#This Row],[Column13]]="","",Table1[[#This Row],[Column13]])&amp;IF(Table1[[#This Row],[mod]]="","",Table1[[#This Row],[mod]])</f>
        <v>table</v>
      </c>
      <c r="K26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5" t="s">
        <v>91</v>
      </c>
      <c r="P2695" t="s">
        <v>906</v>
      </c>
      <c r="Q26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5" s="29"/>
      <c r="AC2695" s="25"/>
      <c r="AD2695" s="41"/>
      <c r="AE2695" s="41"/>
      <c r="AF2695" s="11" t="s">
        <v>282</v>
      </c>
      <c r="AH2695" s="1" t="str">
        <f>Table1[[#This Row],[html_tag]]&amp;Table1[[#This Row],[html_type]]&amp;Table1[[#This Row],[html_modifier]]</f>
        <v/>
      </c>
      <c r="AL2695" s="22" t="str">
        <f>IFERROR(_xlfn.XLOOKUP(Table1[[#This Row],[word]],Table57[English style name],Table57[Style type]),"")</f>
        <v>Table</v>
      </c>
      <c r="AM2695" s="20" t="s">
        <v>906</v>
      </c>
      <c r="AN2695" s="11"/>
    </row>
    <row r="2696" spans="5:44">
      <c r="E2696" s="11"/>
      <c r="F26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6" s="13"/>
      <c r="H2696" s="13"/>
      <c r="I2696" s="12" t="str">
        <f>Table1[[#This Row],[type]]</f>
        <v>table</v>
      </c>
      <c r="J2696" s="62" t="str">
        <f>Table1[[#This Row],[Column42]]&amp;IF(Table1[[#This Row],[Column13]]="","",Table1[[#This Row],[Column13]])&amp;IF(Table1[[#This Row],[mod]]="","",Table1[[#This Row],[mod]])</f>
        <v>table</v>
      </c>
      <c r="K26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6" t="s">
        <v>91</v>
      </c>
      <c r="P2696" t="s">
        <v>913</v>
      </c>
      <c r="Q26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6" s="29"/>
      <c r="AC2696" s="25"/>
      <c r="AD2696" s="41"/>
      <c r="AE2696" s="41"/>
      <c r="AF2696" s="11" t="s">
        <v>282</v>
      </c>
      <c r="AH2696" s="1" t="str">
        <f>Table1[[#This Row],[html_tag]]&amp;Table1[[#This Row],[html_type]]&amp;Table1[[#This Row],[html_modifier]]</f>
        <v/>
      </c>
      <c r="AL2696" s="22" t="str">
        <f>IFERROR(_xlfn.XLOOKUP(Table1[[#This Row],[word]],Table57[English style name],Table57[Style type]),"")</f>
        <v>Table</v>
      </c>
      <c r="AM2696" s="20" t="s">
        <v>913</v>
      </c>
      <c r="AN2696" s="11"/>
    </row>
    <row r="2697" spans="5:44">
      <c r="E2697" s="11"/>
      <c r="F26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7" s="13"/>
      <c r="H2697" s="13"/>
      <c r="I2697" s="12" t="str">
        <f>Table1[[#This Row],[type]]</f>
        <v>table</v>
      </c>
      <c r="J2697" s="62" t="str">
        <f>Table1[[#This Row],[Column42]]&amp;IF(Table1[[#This Row],[Column13]]="","",Table1[[#This Row],[Column13]])&amp;IF(Table1[[#This Row],[mod]]="","",Table1[[#This Row],[mod]])</f>
        <v>table</v>
      </c>
      <c r="K26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7" t="s">
        <v>91</v>
      </c>
      <c r="P2697" t="s">
        <v>1038</v>
      </c>
      <c r="Q26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7" s="29"/>
      <c r="AC2697" s="25"/>
      <c r="AD2697" s="41"/>
      <c r="AE2697" s="41"/>
      <c r="AF2697" s="11" t="s">
        <v>282</v>
      </c>
      <c r="AH2697" s="1" t="str">
        <f>Table1[[#This Row],[html_tag]]&amp;Table1[[#This Row],[html_type]]&amp;Table1[[#This Row],[html_modifier]]</f>
        <v/>
      </c>
      <c r="AL2697" s="22" t="str">
        <f>IFERROR(_xlfn.XLOOKUP(Table1[[#This Row],[word]],Table57[English style name],Table57[Style type]),"")</f>
        <v>Table</v>
      </c>
      <c r="AM2697" s="20" t="s">
        <v>1038</v>
      </c>
      <c r="AN2697" s="11"/>
    </row>
    <row r="2698" spans="5:44">
      <c r="E2698" s="11"/>
      <c r="F26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8" s="13"/>
      <c r="H2698" s="13"/>
      <c r="I2698" s="12" t="str">
        <f>Table1[[#This Row],[type]]</f>
        <v>table</v>
      </c>
      <c r="J2698" s="62" t="str">
        <f>Table1[[#This Row],[Column42]]&amp;IF(Table1[[#This Row],[Column13]]="","",Table1[[#This Row],[Column13]])&amp;IF(Table1[[#This Row],[mod]]="","",Table1[[#This Row],[mod]])</f>
        <v>table</v>
      </c>
      <c r="K26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8" t="s">
        <v>91</v>
      </c>
      <c r="P2698" t="s">
        <v>870</v>
      </c>
      <c r="Q26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8" s="29"/>
      <c r="AC2698" s="25"/>
      <c r="AD2698" s="41"/>
      <c r="AE2698" s="41"/>
      <c r="AF2698" s="11" t="s">
        <v>282</v>
      </c>
      <c r="AH2698" s="1" t="str">
        <f>Table1[[#This Row],[html_tag]]&amp;Table1[[#This Row],[html_type]]&amp;Table1[[#This Row],[html_modifier]]</f>
        <v/>
      </c>
      <c r="AL2698" s="22" t="str">
        <f>IFERROR(_xlfn.XLOOKUP(Table1[[#This Row],[word]],Table57[English style name],Table57[Style type]),"")</f>
        <v>Table</v>
      </c>
      <c r="AM2698" s="20" t="s">
        <v>870</v>
      </c>
      <c r="AN2698" s="11"/>
    </row>
    <row r="2699" spans="5:44">
      <c r="E2699" s="11"/>
      <c r="F26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9" s="13"/>
      <c r="H2699" s="13"/>
      <c r="I2699" s="12" t="str">
        <f>Table1[[#This Row],[type]]</f>
        <v>table</v>
      </c>
      <c r="J2699" s="62" t="str">
        <f>Table1[[#This Row],[Column42]]&amp;IF(Table1[[#This Row],[Column13]]="","",Table1[[#This Row],[Column13]])&amp;IF(Table1[[#This Row],[mod]]="","",Table1[[#This Row],[mod]])</f>
        <v>table</v>
      </c>
      <c r="K26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9" t="s">
        <v>91</v>
      </c>
      <c r="P2699" t="s">
        <v>907</v>
      </c>
      <c r="Q26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9" s="29"/>
      <c r="AC2699" s="25"/>
      <c r="AD2699" s="41"/>
      <c r="AE2699" s="41"/>
      <c r="AF2699" s="11" t="s">
        <v>282</v>
      </c>
      <c r="AH2699" s="1" t="str">
        <f>Table1[[#This Row],[html_tag]]&amp;Table1[[#This Row],[html_type]]&amp;Table1[[#This Row],[html_modifier]]</f>
        <v/>
      </c>
      <c r="AL2699" s="22" t="str">
        <f>IFERROR(_xlfn.XLOOKUP(Table1[[#This Row],[word]],Table57[English style name],Table57[Style type]),"")</f>
        <v>Table</v>
      </c>
      <c r="AM2699" s="20" t="s">
        <v>907</v>
      </c>
      <c r="AN2699" s="11"/>
    </row>
    <row r="2700" spans="5:44">
      <c r="E2700" s="11"/>
      <c r="F27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00" s="13"/>
      <c r="H2700" s="13"/>
      <c r="I2700" s="12" t="str">
        <f>Table1[[#This Row],[type]]</f>
        <v>table</v>
      </c>
      <c r="J2700" s="62" t="str">
        <f>Table1[[#This Row],[Column42]]&amp;IF(Table1[[#This Row],[Column13]]="","",Table1[[#This Row],[Column13]])&amp;IF(Table1[[#This Row],[mod]]="","",Table1[[#This Row],[mod]])</f>
        <v>table</v>
      </c>
      <c r="K27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0" t="s">
        <v>91</v>
      </c>
      <c r="P2700" t="s">
        <v>914</v>
      </c>
      <c r="Q27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0" s="29"/>
      <c r="AC2700" s="25"/>
      <c r="AD2700" s="41"/>
      <c r="AE2700" s="41"/>
      <c r="AF2700" s="11" t="s">
        <v>282</v>
      </c>
      <c r="AH2700" s="1" t="str">
        <f>Table1[[#This Row],[html_tag]]&amp;Table1[[#This Row],[html_type]]&amp;Table1[[#This Row],[html_modifier]]</f>
        <v/>
      </c>
      <c r="AL2700" s="22" t="str">
        <f>IFERROR(_xlfn.XLOOKUP(Table1[[#This Row],[word]],Table57[English style name],Table57[Style type]),"")</f>
        <v>Table</v>
      </c>
      <c r="AM2700" s="20" t="s">
        <v>914</v>
      </c>
      <c r="AN2700" s="11"/>
    </row>
    <row r="2701" spans="5:44">
      <c r="E2701" s="11"/>
      <c r="F27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01" s="13"/>
      <c r="H2701" s="13"/>
      <c r="I2701" s="12" t="str">
        <f>Table1[[#This Row],[type]]</f>
        <v>table</v>
      </c>
      <c r="J2701" s="62" t="str">
        <f>Table1[[#This Row],[Column42]]&amp;IF(Table1[[#This Row],[Column13]]="","",Table1[[#This Row],[Column13]])&amp;IF(Table1[[#This Row],[mod]]="","",Table1[[#This Row],[mod]])</f>
        <v>table</v>
      </c>
      <c r="K27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1" t="s">
        <v>91</v>
      </c>
      <c r="P2701" t="s">
        <v>910</v>
      </c>
      <c r="Q27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1" s="29"/>
      <c r="AC2701" s="25"/>
      <c r="AD2701" s="41"/>
      <c r="AE2701" s="41"/>
      <c r="AF2701" s="11" t="s">
        <v>282</v>
      </c>
      <c r="AH2701" s="1" t="str">
        <f>Table1[[#This Row],[html_tag]]&amp;Table1[[#This Row],[html_type]]&amp;Table1[[#This Row],[html_modifier]]</f>
        <v/>
      </c>
      <c r="AL2701" s="22" t="str">
        <f>IFERROR(_xlfn.XLOOKUP(Table1[[#This Row],[word]],Table57[English style name],Table57[Style type]),"")</f>
        <v>Table</v>
      </c>
      <c r="AM2701" s="20" t="s">
        <v>910</v>
      </c>
      <c r="AN2701" s="11"/>
    </row>
    <row r="2702" spans="5:44">
      <c r="E2702" s="11"/>
      <c r="F27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02" s="13"/>
      <c r="H2702" s="13"/>
      <c r="I2702" s="12" t="str">
        <f>Table1[[#This Row],[type]]</f>
        <v>table</v>
      </c>
      <c r="J2702" s="62" t="str">
        <f>Table1[[#This Row],[Column42]]&amp;IF(Table1[[#This Row],[Column13]]="","",Table1[[#This Row],[Column13]])&amp;IF(Table1[[#This Row],[mod]]="","",Table1[[#This Row],[mod]])</f>
        <v>table</v>
      </c>
      <c r="K27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2" t="s">
        <v>91</v>
      </c>
      <c r="P2702" t="s">
        <v>911</v>
      </c>
      <c r="Q27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2" s="29"/>
      <c r="AC2702" s="25"/>
      <c r="AD2702" s="41"/>
      <c r="AE2702" s="41"/>
      <c r="AF2702" s="11" t="s">
        <v>282</v>
      </c>
      <c r="AH2702" s="1" t="str">
        <f>Table1[[#This Row],[html_tag]]&amp;Table1[[#This Row],[html_type]]&amp;Table1[[#This Row],[html_modifier]]</f>
        <v/>
      </c>
      <c r="AL2702" s="22" t="str">
        <f>IFERROR(_xlfn.XLOOKUP(Table1[[#This Row],[word]],Table57[English style name],Table57[Style type]),"")</f>
        <v>Table</v>
      </c>
      <c r="AM2702" s="20" t="s">
        <v>911</v>
      </c>
      <c r="AN2702" s="11"/>
    </row>
    <row r="2703" spans="5:44">
      <c r="E2703" s="11"/>
      <c r="F27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03" s="13"/>
      <c r="H2703" s="13"/>
      <c r="I2703" s="12" t="str">
        <f>Table1[[#This Row],[type]]</f>
        <v>table</v>
      </c>
      <c r="J2703" s="62" t="str">
        <f>Table1[[#This Row],[Column42]]&amp;IF(Table1[[#This Row],[Column13]]="","",Table1[[#This Row],[Column13]])&amp;IF(Table1[[#This Row],[mod]]="","",Table1[[#This Row],[mod]])</f>
        <v>table</v>
      </c>
      <c r="K27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3" t="s">
        <v>91</v>
      </c>
      <c r="P2703" t="s">
        <v>912</v>
      </c>
      <c r="Q27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3" s="29"/>
      <c r="AC2703" s="25"/>
      <c r="AD2703" s="41"/>
      <c r="AE2703" s="41"/>
      <c r="AF2703" s="11" t="s">
        <v>282</v>
      </c>
      <c r="AH2703" s="1" t="str">
        <f>Table1[[#This Row],[html_tag]]&amp;Table1[[#This Row],[html_type]]&amp;Table1[[#This Row],[html_modifier]]</f>
        <v/>
      </c>
      <c r="AL2703" s="22" t="str">
        <f>IFERROR(_xlfn.XLOOKUP(Table1[[#This Row],[word]],Table57[English style name],Table57[Style type]),"")</f>
        <v>Table</v>
      </c>
      <c r="AM2703" s="20" t="s">
        <v>912</v>
      </c>
      <c r="AN2703" s="11"/>
    </row>
    <row r="2704" spans="5:44">
      <c r="E2704" s="11"/>
      <c r="F27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4" s="13" t="s">
        <v>337</v>
      </c>
      <c r="H2704" s="13" t="s">
        <v>2987</v>
      </c>
      <c r="I2704" s="12" t="str">
        <f>Table1[[#This Row],[type]]</f>
        <v>table</v>
      </c>
      <c r="J2704" s="62" t="str">
        <f>Table1[[#This Row],[Column42]]&amp;IF(Table1[[#This Row],[Column13]]="","",Table1[[#This Row],[Column13]])&amp;IF(Table1[[#This Row],[mod]]="","",Table1[[#This Row],[mod]])</f>
        <v>table</v>
      </c>
      <c r="K27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4" t="s">
        <v>91</v>
      </c>
      <c r="P2704" s="6" t="s">
        <v>2740</v>
      </c>
      <c r="Q27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4" s="29"/>
      <c r="AC2704" s="25"/>
      <c r="AD2704" s="41"/>
      <c r="AE2704" s="41"/>
      <c r="AF2704" s="11"/>
      <c r="AH2704" s="1" t="str">
        <f>Table1[[#This Row],[html_tag]]&amp;Table1[[#This Row],[html_type]]&amp;Table1[[#This Row],[html_modifier]]</f>
        <v/>
      </c>
      <c r="AL2704" s="22" t="str">
        <f>IFERROR(_xlfn.XLOOKUP(Table1[[#This Row],[word]],Table57[English style name],Table57[Style type]),"")</f>
        <v/>
      </c>
      <c r="AM2704" s="20"/>
      <c r="AN2704" s="11"/>
      <c r="AQ2704" s="6" t="s">
        <v>2740</v>
      </c>
      <c r="AR2704" t="s">
        <v>2735</v>
      </c>
    </row>
    <row r="2705" spans="5:44">
      <c r="E2705" s="11"/>
      <c r="F27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5" s="13" t="s">
        <v>337</v>
      </c>
      <c r="H2705" s="13" t="s">
        <v>2987</v>
      </c>
      <c r="I2705" s="12" t="str">
        <f>Table1[[#This Row],[type]]</f>
        <v>table</v>
      </c>
      <c r="J2705" s="62" t="str">
        <f>Table1[[#This Row],[Column42]]&amp;IF(Table1[[#This Row],[Column13]]="","",Table1[[#This Row],[Column13]])&amp;IF(Table1[[#This Row],[mod]]="","",Table1[[#This Row],[mod]])</f>
        <v>table</v>
      </c>
      <c r="K27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5" t="s">
        <v>91</v>
      </c>
      <c r="P2705" s="6" t="s">
        <v>2761</v>
      </c>
      <c r="Q27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5" s="29"/>
      <c r="AC2705" s="25"/>
      <c r="AD2705" s="41"/>
      <c r="AE2705" s="41"/>
      <c r="AF2705" s="11"/>
      <c r="AH2705" s="1" t="str">
        <f>Table1[[#This Row],[html_tag]]&amp;Table1[[#This Row],[html_type]]&amp;Table1[[#This Row],[html_modifier]]</f>
        <v/>
      </c>
      <c r="AL2705" s="22" t="str">
        <f>IFERROR(_xlfn.XLOOKUP(Table1[[#This Row],[word]],Table57[English style name],Table57[Style type]),"")</f>
        <v/>
      </c>
      <c r="AM2705" s="20"/>
      <c r="AN2705" s="11"/>
      <c r="AQ2705" s="6" t="s">
        <v>2761</v>
      </c>
      <c r="AR2705" t="s">
        <v>2762</v>
      </c>
    </row>
    <row r="2706" spans="5:44">
      <c r="E2706" s="11"/>
      <c r="F27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6" s="13" t="s">
        <v>337</v>
      </c>
      <c r="H2706" s="13" t="s">
        <v>2987</v>
      </c>
      <c r="I2706" s="12" t="str">
        <f>Table1[[#This Row],[type]]</f>
        <v>table</v>
      </c>
      <c r="J2706" s="62" t="str">
        <f>Table1[[#This Row],[Column42]]&amp;IF(Table1[[#This Row],[Column13]]="","",Table1[[#This Row],[Column13]])&amp;IF(Table1[[#This Row],[mod]]="","",Table1[[#This Row],[mod]])</f>
        <v>table</v>
      </c>
      <c r="K27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6" t="s">
        <v>91</v>
      </c>
      <c r="P2706" s="6" t="s">
        <v>2763</v>
      </c>
      <c r="Q27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6" s="29"/>
      <c r="AC2706" s="25"/>
      <c r="AD2706" s="41"/>
      <c r="AE2706" s="41"/>
      <c r="AF2706" s="11"/>
      <c r="AH2706" s="1" t="str">
        <f>Table1[[#This Row],[html_tag]]&amp;Table1[[#This Row],[html_type]]&amp;Table1[[#This Row],[html_modifier]]</f>
        <v/>
      </c>
      <c r="AL2706" s="22" t="str">
        <f>IFERROR(_xlfn.XLOOKUP(Table1[[#This Row],[word]],Table57[English style name],Table57[Style type]),"")</f>
        <v/>
      </c>
      <c r="AM2706" s="20"/>
      <c r="AN2706" s="11"/>
      <c r="AQ2706" s="6" t="s">
        <v>2763</v>
      </c>
      <c r="AR2706" t="s">
        <v>2762</v>
      </c>
    </row>
    <row r="2707" spans="5:44">
      <c r="E2707" s="11"/>
      <c r="F27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7" s="13" t="s">
        <v>337</v>
      </c>
      <c r="H2707" s="13" t="s">
        <v>2987</v>
      </c>
      <c r="I2707" s="12" t="str">
        <f>Table1[[#This Row],[type]]</f>
        <v>table</v>
      </c>
      <c r="J2707" s="62" t="str">
        <f>Table1[[#This Row],[Column42]]&amp;IF(Table1[[#This Row],[Column13]]="","",Table1[[#This Row],[Column13]])&amp;IF(Table1[[#This Row],[mod]]="","",Table1[[#This Row],[mod]])</f>
        <v>table</v>
      </c>
      <c r="K27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7" t="s">
        <v>91</v>
      </c>
      <c r="P2707" s="6" t="s">
        <v>2764</v>
      </c>
      <c r="Q27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7" s="29"/>
      <c r="AC2707" s="25"/>
      <c r="AD2707" s="41"/>
      <c r="AE2707" s="41"/>
      <c r="AF2707" s="11"/>
      <c r="AH2707" s="1" t="str">
        <f>Table1[[#This Row],[html_tag]]&amp;Table1[[#This Row],[html_type]]&amp;Table1[[#This Row],[html_modifier]]</f>
        <v/>
      </c>
      <c r="AL2707" s="22" t="str">
        <f>IFERROR(_xlfn.XLOOKUP(Table1[[#This Row],[word]],Table57[English style name],Table57[Style type]),"")</f>
        <v/>
      </c>
      <c r="AM2707" s="20"/>
      <c r="AN2707" s="11"/>
      <c r="AQ2707" s="6" t="s">
        <v>2764</v>
      </c>
      <c r="AR2707" t="s">
        <v>2762</v>
      </c>
    </row>
    <row r="2708" spans="5:44">
      <c r="E2708" s="11"/>
      <c r="F27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8" s="13" t="s">
        <v>337</v>
      </c>
      <c r="H2708" s="13" t="s">
        <v>2987</v>
      </c>
      <c r="I2708" s="12" t="str">
        <f>Table1[[#This Row],[type]]</f>
        <v>table</v>
      </c>
      <c r="J2708" s="62" t="str">
        <f>Table1[[#This Row],[Column42]]&amp;IF(Table1[[#This Row],[Column13]]="","",Table1[[#This Row],[Column13]])&amp;IF(Table1[[#This Row],[mod]]="","",Table1[[#This Row],[mod]])</f>
        <v>table</v>
      </c>
      <c r="K27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8" t="s">
        <v>91</v>
      </c>
      <c r="P2708" s="6" t="s">
        <v>2765</v>
      </c>
      <c r="Q27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8" s="29"/>
      <c r="AC2708" s="25"/>
      <c r="AD2708" s="41"/>
      <c r="AE2708" s="41"/>
      <c r="AF2708" s="11"/>
      <c r="AH2708" s="1" t="str">
        <f>Table1[[#This Row],[html_tag]]&amp;Table1[[#This Row],[html_type]]&amp;Table1[[#This Row],[html_modifier]]</f>
        <v/>
      </c>
      <c r="AL2708" s="22" t="str">
        <f>IFERROR(_xlfn.XLOOKUP(Table1[[#This Row],[word]],Table57[English style name],Table57[Style type]),"")</f>
        <v/>
      </c>
      <c r="AM2708" s="20"/>
      <c r="AN2708" s="11"/>
      <c r="AQ2708" s="6" t="s">
        <v>2765</v>
      </c>
      <c r="AR2708" t="s">
        <v>2762</v>
      </c>
    </row>
    <row r="2709" spans="5:44">
      <c r="E2709" s="11"/>
      <c r="F27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9" s="13" t="s">
        <v>337</v>
      </c>
      <c r="H2709" s="13" t="s">
        <v>2987</v>
      </c>
      <c r="I2709" s="12" t="str">
        <f>Table1[[#This Row],[type]]</f>
        <v>table</v>
      </c>
      <c r="J2709" s="62" t="str">
        <f>Table1[[#This Row],[Column42]]&amp;IF(Table1[[#This Row],[Column13]]="","",Table1[[#This Row],[Column13]])&amp;IF(Table1[[#This Row],[mod]]="","",Table1[[#This Row],[mod]])</f>
        <v>table</v>
      </c>
      <c r="K27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9" t="s">
        <v>91</v>
      </c>
      <c r="P2709" s="6" t="s">
        <v>2768</v>
      </c>
      <c r="Q27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9" s="29"/>
      <c r="AC2709" s="25"/>
      <c r="AD2709" s="41"/>
      <c r="AE2709" s="41"/>
      <c r="AF2709" s="11"/>
      <c r="AH2709" s="1" t="str">
        <f>Table1[[#This Row],[html_tag]]&amp;Table1[[#This Row],[html_type]]&amp;Table1[[#This Row],[html_modifier]]</f>
        <v/>
      </c>
      <c r="AL2709" s="22" t="str">
        <f>IFERROR(_xlfn.XLOOKUP(Table1[[#This Row],[word]],Table57[English style name],Table57[Style type]),"")</f>
        <v/>
      </c>
      <c r="AM2709" s="20"/>
      <c r="AN2709" s="11"/>
      <c r="AQ2709" s="6" t="s">
        <v>2768</v>
      </c>
      <c r="AR2709" t="s">
        <v>2762</v>
      </c>
    </row>
    <row r="2710" spans="5:44">
      <c r="E2710" s="11"/>
      <c r="F27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0" s="13"/>
      <c r="H2710" s="13"/>
      <c r="I2710" s="12" t="str">
        <f>Table1[[#This Row],[type]]</f>
        <v>table</v>
      </c>
      <c r="J2710" s="62" t="str">
        <f>Table1[[#This Row],[Column42]]&amp;IF(Table1[[#This Row],[Column13]]="","",Table1[[#This Row],[Column13]])&amp;IF(Table1[[#This Row],[mod]]="","",Table1[[#This Row],[mod]])</f>
        <v>table</v>
      </c>
      <c r="K27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0" t="s">
        <v>91</v>
      </c>
      <c r="Q27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0" s="29"/>
      <c r="AC2710" s="25"/>
      <c r="AD2710" s="41" t="s">
        <v>7345</v>
      </c>
      <c r="AE2710" s="41"/>
      <c r="AF2710" s="11"/>
      <c r="AH2710" s="7" t="str">
        <f>Table1[[#This Row],[html_tag]]&amp;Table1[[#This Row],[html_type]]&amp;Table1[[#This Row],[html_modifier]]</f>
        <v/>
      </c>
      <c r="AL2710" s="23" t="str">
        <f>IFERROR(_xlfn.XLOOKUP(Table1[[#This Row],[word]],Table57[English style name],Table57[Style type]),"")</f>
        <v/>
      </c>
      <c r="AM2710" s="21"/>
      <c r="AN2710" s="11"/>
    </row>
    <row r="2711" spans="5:44">
      <c r="E2711" s="11"/>
      <c r="F27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1" s="13"/>
      <c r="H2711" s="13"/>
      <c r="I2711" s="12" t="str">
        <f>Table1[[#This Row],[type]]</f>
        <v>table</v>
      </c>
      <c r="J2711" s="62" t="str">
        <f>Table1[[#This Row],[Column42]]&amp;IF(Table1[[#This Row],[Column13]]="","",Table1[[#This Row],[Column13]])&amp;IF(Table1[[#This Row],[mod]]="","",Table1[[#This Row],[mod]])</f>
        <v>table</v>
      </c>
      <c r="K27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1" t="s">
        <v>91</v>
      </c>
      <c r="Q27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1" s="29"/>
      <c r="AC2711" s="25"/>
      <c r="AD2711" s="41" t="s">
        <v>7346</v>
      </c>
      <c r="AE2711" s="41"/>
      <c r="AF2711" s="11"/>
      <c r="AH2711" s="7" t="str">
        <f>Table1[[#This Row],[html_tag]]&amp;Table1[[#This Row],[html_type]]&amp;Table1[[#This Row],[html_modifier]]</f>
        <v/>
      </c>
      <c r="AL2711" s="23" t="str">
        <f>IFERROR(_xlfn.XLOOKUP(Table1[[#This Row],[word]],Table57[English style name],Table57[Style type]),"")</f>
        <v/>
      </c>
      <c r="AM2711" s="21"/>
      <c r="AN2711" s="11"/>
    </row>
    <row r="2712" spans="5:44">
      <c r="E2712" s="11"/>
      <c r="F27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2" s="13"/>
      <c r="H2712" s="13"/>
      <c r="I2712" s="12" t="str">
        <f>Table1[[#This Row],[type]]</f>
        <v>table</v>
      </c>
      <c r="J2712" s="62" t="str">
        <f>Table1[[#This Row],[Column42]]&amp;IF(Table1[[#This Row],[Column13]]="","",Table1[[#This Row],[Column13]])&amp;IF(Table1[[#This Row],[mod]]="","",Table1[[#This Row],[mod]])</f>
        <v>table</v>
      </c>
      <c r="K27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2" t="s">
        <v>91</v>
      </c>
      <c r="Q27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2" s="29"/>
      <c r="AC2712" s="25"/>
      <c r="AD2712" s="41" t="s">
        <v>7347</v>
      </c>
      <c r="AE2712" s="41"/>
      <c r="AF2712" s="11"/>
      <c r="AH2712" s="7" t="str">
        <f>Table1[[#This Row],[html_tag]]&amp;Table1[[#This Row],[html_type]]&amp;Table1[[#This Row],[html_modifier]]</f>
        <v/>
      </c>
      <c r="AL2712" s="23" t="str">
        <f>IFERROR(_xlfn.XLOOKUP(Table1[[#This Row],[word]],Table57[English style name],Table57[Style type]),"")</f>
        <v/>
      </c>
      <c r="AM2712" s="21"/>
      <c r="AN2712" s="11"/>
    </row>
    <row r="2713" spans="5:44">
      <c r="E2713" s="11"/>
      <c r="F27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3" s="13"/>
      <c r="H2713" s="13"/>
      <c r="I2713" s="12" t="str">
        <f>Table1[[#This Row],[type]]</f>
        <v>table</v>
      </c>
      <c r="J2713" s="62" t="str">
        <f>Table1[[#This Row],[Column42]]&amp;IF(Table1[[#This Row],[Column13]]="","",Table1[[#This Row],[Column13]])&amp;IF(Table1[[#This Row],[mod]]="","",Table1[[#This Row],[mod]])</f>
        <v>table</v>
      </c>
      <c r="K27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3" t="s">
        <v>91</v>
      </c>
      <c r="Q27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3" s="29"/>
      <c r="AC2713" s="25"/>
      <c r="AD2713" s="41" t="s">
        <v>4459</v>
      </c>
      <c r="AE2713" s="41"/>
      <c r="AF2713" s="11"/>
      <c r="AH2713" s="7" t="str">
        <f>Table1[[#This Row],[html_tag]]&amp;Table1[[#This Row],[html_type]]&amp;Table1[[#This Row],[html_modifier]]</f>
        <v/>
      </c>
      <c r="AL2713" s="23" t="str">
        <f>IFERROR(_xlfn.XLOOKUP(Table1[[#This Row],[word]],Table57[English style name],Table57[Style type]),"")</f>
        <v/>
      </c>
      <c r="AM2713" s="21"/>
      <c r="AN2713" s="11"/>
    </row>
    <row r="2714" spans="5:44">
      <c r="E2714" s="11"/>
      <c r="F27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4" s="13"/>
      <c r="H2714" s="13"/>
      <c r="I2714" s="12" t="str">
        <f>Table1[[#This Row],[type]]</f>
        <v>table</v>
      </c>
      <c r="J2714" s="62" t="str">
        <f>Table1[[#This Row],[Column42]]&amp;IF(Table1[[#This Row],[Column13]]="","",Table1[[#This Row],[Column13]])&amp;IF(Table1[[#This Row],[mod]]="","",Table1[[#This Row],[mod]])</f>
        <v>table</v>
      </c>
      <c r="K27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4" t="s">
        <v>91</v>
      </c>
      <c r="Q27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4" s="29" t="s">
        <v>4458</v>
      </c>
      <c r="AC2714" s="25"/>
      <c r="AD2714" s="41"/>
      <c r="AE2714" s="41"/>
      <c r="AF2714" s="11"/>
      <c r="AH2714" s="7" t="str">
        <f>Table1[[#This Row],[html_tag]]&amp;Table1[[#This Row],[html_type]]&amp;Table1[[#This Row],[html_modifier]]</f>
        <v/>
      </c>
      <c r="AL2714" s="23" t="str">
        <f>IFERROR(_xlfn.XLOOKUP(Table1[[#This Row],[word]],Table57[English style name],Table57[Style type]),"")</f>
        <v/>
      </c>
      <c r="AM2714" s="21"/>
      <c r="AN2714" s="11"/>
    </row>
    <row r="2715" spans="5:44">
      <c r="E2715" s="11"/>
      <c r="F27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5" s="13"/>
      <c r="H2715" s="13"/>
      <c r="I2715" s="12" t="str">
        <f>Table1[[#This Row],[type]]</f>
        <v>table</v>
      </c>
      <c r="J2715" s="62" t="str">
        <f>Table1[[#This Row],[Column42]]&amp;IF(Table1[[#This Row],[Column13]]="","",Table1[[#This Row],[Column13]])&amp;IF(Table1[[#This Row],[mod]]="","",Table1[[#This Row],[mod]])</f>
        <v>table</v>
      </c>
      <c r="K27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5" t="s">
        <v>91</v>
      </c>
      <c r="Q27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5" s="29"/>
      <c r="AC2715" s="25"/>
      <c r="AD2715" s="41"/>
      <c r="AE2715" s="41"/>
      <c r="AF2715" s="11"/>
      <c r="AH2715" s="7" t="str">
        <f>Table1[[#This Row],[html_tag]]&amp;Table1[[#This Row],[html_type]]&amp;Table1[[#This Row],[html_modifier]]</f>
        <v/>
      </c>
      <c r="AL2715" s="23" t="str">
        <f>IFERROR(_xlfn.XLOOKUP(Table1[[#This Row],[word]],Table57[English style name],Table57[Style type]),"")</f>
        <v/>
      </c>
      <c r="AM2715" s="21"/>
      <c r="AN2715" s="11"/>
    </row>
    <row r="2716" spans="5:44">
      <c r="E2716" s="11"/>
      <c r="F27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6" s="13"/>
      <c r="H2716" s="13"/>
      <c r="I2716" s="12" t="str">
        <f>Table1[[#This Row],[type]]</f>
        <v>table</v>
      </c>
      <c r="J2716" s="62" t="str">
        <f>Table1[[#This Row],[Column42]]&amp;IF(Table1[[#This Row],[Column13]]="","",Table1[[#This Row],[Column13]])&amp;IF(Table1[[#This Row],[mod]]="","",Table1[[#This Row],[mod]])</f>
        <v>table</v>
      </c>
      <c r="K27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6" t="s">
        <v>91</v>
      </c>
      <c r="Q27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6" s="29" t="s">
        <v>4460</v>
      </c>
      <c r="AC2716" s="25"/>
      <c r="AD2716" s="41"/>
      <c r="AE2716" s="41"/>
      <c r="AF2716" s="11"/>
      <c r="AH2716" s="7" t="str">
        <f>Table1[[#This Row],[html_tag]]&amp;Table1[[#This Row],[html_type]]&amp;Table1[[#This Row],[html_modifier]]</f>
        <v/>
      </c>
      <c r="AL2716" s="23" t="str">
        <f>IFERROR(_xlfn.XLOOKUP(Table1[[#This Row],[word]],Table57[English style name],Table57[Style type]),"")</f>
        <v/>
      </c>
      <c r="AM2716" s="21"/>
      <c r="AN2716" s="11"/>
    </row>
    <row r="2717" spans="5:44">
      <c r="E2717" s="11"/>
      <c r="F27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7" s="13"/>
      <c r="H2717" s="13"/>
      <c r="I2717" s="12" t="str">
        <f>Table1[[#This Row],[type]]</f>
        <v>table</v>
      </c>
      <c r="J2717" s="62" t="str">
        <f>Table1[[#This Row],[Column42]]&amp;IF(Table1[[#This Row],[Column13]]="","",Table1[[#This Row],[Column13]])&amp;IF(Table1[[#This Row],[mod]]="","",Table1[[#This Row],[mod]])</f>
        <v>table</v>
      </c>
      <c r="K27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7" t="s">
        <v>91</v>
      </c>
      <c r="Q27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7" s="29" t="s">
        <v>4461</v>
      </c>
      <c r="AC2717" s="25"/>
      <c r="AD2717" s="41"/>
      <c r="AE2717" s="41"/>
      <c r="AF2717" s="11"/>
      <c r="AH2717" s="7" t="str">
        <f>Table1[[#This Row],[html_tag]]&amp;Table1[[#This Row],[html_type]]&amp;Table1[[#This Row],[html_modifier]]</f>
        <v/>
      </c>
      <c r="AL2717" s="23" t="str">
        <f>IFERROR(_xlfn.XLOOKUP(Table1[[#This Row],[word]],Table57[English style name],Table57[Style type]),"")</f>
        <v/>
      </c>
      <c r="AM2717" s="21"/>
      <c r="AN2717" s="11"/>
    </row>
    <row r="2718" spans="5:44">
      <c r="E2718" s="11"/>
      <c r="F27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8" s="13"/>
      <c r="H2718" s="13"/>
      <c r="I2718" s="12" t="str">
        <f>Table1[[#This Row],[type]]</f>
        <v>table</v>
      </c>
      <c r="J2718" s="62" t="str">
        <f>Table1[[#This Row],[Column42]]&amp;IF(Table1[[#This Row],[Column13]]="","",Table1[[#This Row],[Column13]])&amp;IF(Table1[[#This Row],[mod]]="","",Table1[[#This Row],[mod]])</f>
        <v>table</v>
      </c>
      <c r="K27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8" t="s">
        <v>91</v>
      </c>
      <c r="Q27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8" s="29" t="s">
        <v>4462</v>
      </c>
      <c r="AC2718" s="25"/>
      <c r="AD2718" s="41"/>
      <c r="AE2718" s="41"/>
      <c r="AF2718" s="11"/>
      <c r="AH2718" s="7" t="str">
        <f>Table1[[#This Row],[html_tag]]&amp;Table1[[#This Row],[html_type]]&amp;Table1[[#This Row],[html_modifier]]</f>
        <v/>
      </c>
      <c r="AL2718" s="23" t="str">
        <f>IFERROR(_xlfn.XLOOKUP(Table1[[#This Row],[word]],Table57[English style name],Table57[Style type]),"")</f>
        <v/>
      </c>
      <c r="AM2718" s="21"/>
      <c r="AN2718" s="11"/>
    </row>
    <row r="2719" spans="5:44">
      <c r="E2719" s="11"/>
      <c r="F27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9" s="13"/>
      <c r="H2719" s="13"/>
      <c r="I2719" s="12" t="str">
        <f>Table1[[#This Row],[type]]</f>
        <v>table</v>
      </c>
      <c r="J2719" s="62" t="str">
        <f>Table1[[#This Row],[Column42]]&amp;IF(Table1[[#This Row],[Column13]]="","",Table1[[#This Row],[Column13]])&amp;IF(Table1[[#This Row],[mod]]="","",Table1[[#This Row],[mod]])</f>
        <v>table</v>
      </c>
      <c r="K27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9" t="s">
        <v>91</v>
      </c>
      <c r="Q27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9" s="29" t="s">
        <v>4463</v>
      </c>
      <c r="AC2719" s="25"/>
      <c r="AD2719" s="41"/>
      <c r="AE2719" s="41"/>
      <c r="AF2719" s="11"/>
      <c r="AH2719" s="7" t="str">
        <f>Table1[[#This Row],[html_tag]]&amp;Table1[[#This Row],[html_type]]&amp;Table1[[#This Row],[html_modifier]]</f>
        <v/>
      </c>
      <c r="AL2719" s="23" t="str">
        <f>IFERROR(_xlfn.XLOOKUP(Table1[[#This Row],[word]],Table57[English style name],Table57[Style type]),"")</f>
        <v/>
      </c>
      <c r="AM2719" s="21"/>
      <c r="AN2719" s="11"/>
    </row>
    <row r="2720" spans="5:44">
      <c r="E2720" s="11"/>
      <c r="F27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0" s="13"/>
      <c r="H2720" s="13"/>
      <c r="I2720" s="12" t="str">
        <f>Table1[[#This Row],[type]]</f>
        <v>table</v>
      </c>
      <c r="J2720" s="62" t="str">
        <f>Table1[[#This Row],[Column42]]&amp;IF(Table1[[#This Row],[Column13]]="","",Table1[[#This Row],[Column13]])&amp;IF(Table1[[#This Row],[mod]]="","",Table1[[#This Row],[mod]])</f>
        <v>table</v>
      </c>
      <c r="K27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20" t="s">
        <v>91</v>
      </c>
      <c r="Q27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0" s="29" t="s">
        <v>4464</v>
      </c>
      <c r="AC2720" s="25"/>
      <c r="AD2720" s="41"/>
      <c r="AE2720" s="41"/>
      <c r="AF2720" s="11"/>
      <c r="AH2720" s="7" t="str">
        <f>Table1[[#This Row],[html_tag]]&amp;Table1[[#This Row],[html_type]]&amp;Table1[[#This Row],[html_modifier]]</f>
        <v/>
      </c>
      <c r="AL2720" s="23" t="str">
        <f>IFERROR(_xlfn.XLOOKUP(Table1[[#This Row],[word]],Table57[English style name],Table57[Style type]),"")</f>
        <v/>
      </c>
      <c r="AM2720" s="21"/>
      <c r="AN2720" s="11"/>
    </row>
    <row r="2721" spans="4:44">
      <c r="E2721" s="11"/>
      <c r="F27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1" s="13"/>
      <c r="H2721" s="13"/>
      <c r="I2721" s="12" t="str">
        <f>Table1[[#This Row],[type]]</f>
        <v>table</v>
      </c>
      <c r="J2721" s="62" t="str">
        <f>Table1[[#This Row],[Column42]]&amp;IF(Table1[[#This Row],[Column13]]="","",Table1[[#This Row],[Column13]])&amp;IF(Table1[[#This Row],[mod]]="","",Table1[[#This Row],[mod]])</f>
        <v>table</v>
      </c>
      <c r="K27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21" t="s">
        <v>91</v>
      </c>
      <c r="Q27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1" s="29" t="s">
        <v>4465</v>
      </c>
      <c r="AC2721" s="25"/>
      <c r="AD2721" s="41"/>
      <c r="AE2721" s="41"/>
      <c r="AF2721" s="11"/>
      <c r="AH2721" s="7" t="str">
        <f>Table1[[#This Row],[html_tag]]&amp;Table1[[#This Row],[html_type]]&amp;Table1[[#This Row],[html_modifier]]</f>
        <v/>
      </c>
      <c r="AL2721" s="23" t="str">
        <f>IFERROR(_xlfn.XLOOKUP(Table1[[#This Row],[word]],Table57[English style name],Table57[Style type]),"")</f>
        <v/>
      </c>
      <c r="AM2721" s="21"/>
      <c r="AN2721" s="11"/>
    </row>
    <row r="2722" spans="4:44">
      <c r="E2722" s="11"/>
      <c r="F27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2" s="13"/>
      <c r="H2722" s="13"/>
      <c r="I2722" s="12" t="str">
        <f>Table1[[#This Row],[type]]</f>
        <v>table</v>
      </c>
      <c r="J2722" s="62" t="str">
        <f>Table1[[#This Row],[Column42]]&amp;IF(Table1[[#This Row],[Column13]]="","",Table1[[#This Row],[Column13]])&amp;IF(Table1[[#This Row],[mod]]="","",Table1[[#This Row],[mod]])</f>
        <v>table</v>
      </c>
      <c r="K27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22" t="s">
        <v>91</v>
      </c>
      <c r="Q27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2" s="29" t="s">
        <v>4466</v>
      </c>
      <c r="AC2722" s="25"/>
      <c r="AD2722" s="41"/>
      <c r="AE2722" s="41"/>
      <c r="AF2722" s="11"/>
      <c r="AH2722" s="7" t="str">
        <f>Table1[[#This Row],[html_tag]]&amp;Table1[[#This Row],[html_type]]&amp;Table1[[#This Row],[html_modifier]]</f>
        <v/>
      </c>
      <c r="AL2722" s="23" t="str">
        <f>IFERROR(_xlfn.XLOOKUP(Table1[[#This Row],[word]],Table57[English style name],Table57[Style type]),"")</f>
        <v/>
      </c>
      <c r="AM2722" s="21"/>
      <c r="AN2722" s="11"/>
    </row>
    <row r="2723" spans="4:44">
      <c r="E2723" s="11"/>
      <c r="F27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3" s="13"/>
      <c r="H2723" s="13"/>
      <c r="I2723" s="12" t="str">
        <f>Table1[[#This Row],[type]]</f>
        <v>table</v>
      </c>
      <c r="J2723" s="62" t="str">
        <f>Table1[[#This Row],[Column42]]&amp;IF(Table1[[#This Row],[Column13]]="","",Table1[[#This Row],[Column13]])&amp;IF(Table1[[#This Row],[mod]]="","",Table1[[#This Row],[mod]])</f>
        <v>table__&lt;col&gt;</v>
      </c>
      <c r="K27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table__&lt;col&gt;</v>
      </c>
      <c r="L2723" t="s">
        <v>91</v>
      </c>
      <c r="O2723" t="s">
        <v>148</v>
      </c>
      <c r="Q27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3" s="29"/>
      <c r="AC2723" s="25"/>
      <c r="AD2723" s="41"/>
      <c r="AE2723" s="41"/>
      <c r="AF2723" s="11" t="s">
        <v>148</v>
      </c>
      <c r="AH2723" s="1" t="str">
        <f>Table1[[#This Row],[html_tag]]&amp;Table1[[#This Row],[html_type]]&amp;Table1[[#This Row],[html_modifier]]</f>
        <v>&lt;col&gt;</v>
      </c>
      <c r="AI2723" t="s">
        <v>148</v>
      </c>
      <c r="AL2723" s="22" t="str">
        <f>IFERROR(_xlfn.XLOOKUP(Table1[[#This Row],[word]],Table57[English style name],Table57[Style type]),"")</f>
        <v/>
      </c>
      <c r="AM2723" s="20"/>
      <c r="AN2723" s="11"/>
    </row>
    <row r="2724" spans="4:44">
      <c r="E2724" s="11"/>
      <c r="F27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4" s="13"/>
      <c r="H2724" s="13"/>
      <c r="I2724" s="12" t="str">
        <f>Table1[[#This Row],[type]]</f>
        <v>table</v>
      </c>
      <c r="J2724" s="62" t="str">
        <f>Table1[[#This Row],[Column42]]&amp;IF(Table1[[#This Row],[Column13]]="","",Table1[[#This Row],[Column13]])&amp;IF(Table1[[#This Row],[mod]]="","",Table1[[#This Row],[mod]])</f>
        <v>table__&lt;colgroup&gt;</v>
      </c>
      <c r="K27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table__&lt;colgroup&gt;</v>
      </c>
      <c r="L2724" t="s">
        <v>91</v>
      </c>
      <c r="O2724" t="s">
        <v>149</v>
      </c>
      <c r="Q27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4" s="29"/>
      <c r="AC2724" s="25"/>
      <c r="AD2724" s="41"/>
      <c r="AE2724" s="41"/>
      <c r="AF2724" s="11" t="s">
        <v>149</v>
      </c>
      <c r="AH2724" s="1" t="str">
        <f>Table1[[#This Row],[html_tag]]&amp;Table1[[#This Row],[html_type]]&amp;Table1[[#This Row],[html_modifier]]</f>
        <v>&lt;colgroup&gt;</v>
      </c>
      <c r="AI2724" t="s">
        <v>149</v>
      </c>
      <c r="AL2724" s="22" t="str">
        <f>IFERROR(_xlfn.XLOOKUP(Table1[[#This Row],[word]],Table57[English style name],Table57[Style type]),"")</f>
        <v/>
      </c>
      <c r="AM2724" s="20"/>
      <c r="AN2724" s="11"/>
    </row>
    <row r="2725" spans="4:44">
      <c r="E2725" s="11"/>
      <c r="F27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5" s="13"/>
      <c r="H2725" s="13"/>
      <c r="I2725" s="12" t="str">
        <f>Table1[[#This Row],[type]]</f>
        <v>table</v>
      </c>
      <c r="J2725" s="62" t="str">
        <f>Table1[[#This Row],[Column42]]&amp;IF(Table1[[#This Row],[Column13]]="","",Table1[[#This Row],[Column13]])&amp;IF(Table1[[#This Row],[mod]]="","",Table1[[#This Row],[mod]])</f>
        <v>table__&lt;table&gt;</v>
      </c>
      <c r="K27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table__&lt;table&gt;</v>
      </c>
      <c r="L2725" t="s">
        <v>91</v>
      </c>
      <c r="O2725" t="s">
        <v>282</v>
      </c>
      <c r="Q27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5" s="29"/>
      <c r="AC2725" s="25"/>
      <c r="AD2725" s="41"/>
      <c r="AE2725" s="41"/>
      <c r="AF2725" s="11" t="s">
        <v>282</v>
      </c>
      <c r="AH2725" s="1" t="str">
        <f>Table1[[#This Row],[html_tag]]&amp;Table1[[#This Row],[html_type]]&amp;Table1[[#This Row],[html_modifier]]</f>
        <v>&lt;table&gt;</v>
      </c>
      <c r="AI2725" t="s">
        <v>282</v>
      </c>
      <c r="AL2725" s="22" t="str">
        <f>IFERROR(_xlfn.XLOOKUP(Table1[[#This Row],[word]],Table57[English style name],Table57[Style type]),"")</f>
        <v/>
      </c>
      <c r="AM2725" s="20"/>
      <c r="AN2725" s="11"/>
    </row>
    <row r="2726" spans="4:44">
      <c r="E2726" s="11"/>
      <c r="F27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6" s="13"/>
      <c r="H2726" s="13"/>
      <c r="I2726" s="12" t="str">
        <f>Table1[[#This Row],[type]]</f>
        <v>table</v>
      </c>
      <c r="J2726" s="62" t="str">
        <f>Table1[[#This Row],[Column42]]&amp;IF(Table1[[#This Row],[Column13]]="","",Table1[[#This Row],[Column13]])&amp;IF(Table1[[#This Row],[mod]]="","",Table1[[#This Row],[mod]])</f>
        <v>table__&lt;td&gt;</v>
      </c>
      <c r="K27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table__&lt;td&gt;</v>
      </c>
      <c r="L2726" t="s">
        <v>91</v>
      </c>
      <c r="O2726" t="s">
        <v>286</v>
      </c>
      <c r="Q27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6" s="29"/>
      <c r="AC2726" s="25"/>
      <c r="AD2726" s="41"/>
      <c r="AE2726" s="41"/>
      <c r="AF2726" s="11" t="s">
        <v>286</v>
      </c>
      <c r="AH2726" s="1" t="str">
        <f>Table1[[#This Row],[html_tag]]&amp;Table1[[#This Row],[html_type]]&amp;Table1[[#This Row],[html_modifier]]</f>
        <v>&lt;td&gt;</v>
      </c>
      <c r="AI2726" t="s">
        <v>286</v>
      </c>
      <c r="AL2726" s="22" t="str">
        <f>IFERROR(_xlfn.XLOOKUP(Table1[[#This Row],[word]],Table57[English style name],Table57[Style type]),"")</f>
        <v/>
      </c>
      <c r="AM2726" s="20"/>
      <c r="AN2726" s="11"/>
    </row>
    <row r="2727" spans="4:44">
      <c r="E2727" s="11"/>
      <c r="F27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7" s="13"/>
      <c r="H2727" s="13"/>
      <c r="I2727" s="12" t="str">
        <f>Table1[[#This Row],[type]]</f>
        <v>table</v>
      </c>
      <c r="J2727" s="62" t="str">
        <f>Table1[[#This Row],[Column42]]&amp;IF(Table1[[#This Row],[Column13]]="","",Table1[[#This Row],[Column13]])&amp;IF(Table1[[#This Row],[mod]]="","",Table1[[#This Row],[mod]])</f>
        <v>table__&lt;th&gt;</v>
      </c>
      <c r="K27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table__&lt;th&gt;</v>
      </c>
      <c r="L2727" t="s">
        <v>91</v>
      </c>
      <c r="O2727" t="s">
        <v>294</v>
      </c>
      <c r="Q27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7" s="29"/>
      <c r="AC2727" s="25"/>
      <c r="AD2727" s="41"/>
      <c r="AE2727" s="41"/>
      <c r="AF2727" s="11" t="s">
        <v>294</v>
      </c>
      <c r="AH2727" s="1" t="str">
        <f>Table1[[#This Row],[html_tag]]&amp;Table1[[#This Row],[html_type]]&amp;Table1[[#This Row],[html_modifier]]</f>
        <v>&lt;th&gt;</v>
      </c>
      <c r="AI2727" t="s">
        <v>294</v>
      </c>
      <c r="AL2727" s="22" t="str">
        <f>IFERROR(_xlfn.XLOOKUP(Table1[[#This Row],[word]],Table57[English style name],Table57[Style type]),"")</f>
        <v/>
      </c>
      <c r="AM2727" s="20"/>
      <c r="AN2727" s="11"/>
    </row>
    <row r="2728" spans="4:44">
      <c r="E2728" s="11"/>
      <c r="F27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8" s="13"/>
      <c r="H2728" s="13"/>
      <c r="I2728" s="12" t="str">
        <f>Table1[[#This Row],[type]]</f>
        <v>table</v>
      </c>
      <c r="J2728" s="62" t="str">
        <f>Table1[[#This Row],[Column42]]&amp;IF(Table1[[#This Row],[Column13]]="","",Table1[[#This Row],[Column13]])&amp;IF(Table1[[#This Row],[mod]]="","",Table1[[#This Row],[mod]])</f>
        <v>table__&lt;tr&gt;</v>
      </c>
      <c r="K27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table__&lt;tr&gt;</v>
      </c>
      <c r="L2728" t="s">
        <v>91</v>
      </c>
      <c r="O2728" t="s">
        <v>302</v>
      </c>
      <c r="Q27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8" s="29"/>
      <c r="AC2728" s="25"/>
      <c r="AD2728" s="41"/>
      <c r="AE2728" s="41"/>
      <c r="AF2728" s="11" t="s">
        <v>302</v>
      </c>
      <c r="AH2728" s="1" t="str">
        <f>Table1[[#This Row],[html_tag]]&amp;Table1[[#This Row],[html_type]]&amp;Table1[[#This Row],[html_modifier]]</f>
        <v>&lt;tr&gt;</v>
      </c>
      <c r="AI2728" t="s">
        <v>302</v>
      </c>
      <c r="AL2728" s="22" t="str">
        <f>IFERROR(_xlfn.XLOOKUP(Table1[[#This Row],[word]],Table57[English style name],Table57[Style type]),"")</f>
        <v/>
      </c>
      <c r="AM2728" s="20"/>
      <c r="AN2728" s="11"/>
    </row>
    <row r="2729" spans="4:44">
      <c r="E2729" s="11"/>
      <c r="F27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9" s="13"/>
      <c r="H2729" s="13"/>
      <c r="I2729" s="12" t="str">
        <f>Table1[[#This Row],[type]]</f>
        <v>table</v>
      </c>
      <c r="J2729" s="62" t="str">
        <f>Table1[[#This Row],[Column42]]&amp;IF(Table1[[#This Row],[Column13]]="","",Table1[[#This Row],[Column13]])&amp;IF(Table1[[#This Row],[mod]]="","",Table1[[#This Row],[mod]])</f>
        <v>table__body__&lt;tbody&gt;</v>
      </c>
      <c r="K27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table__body__&lt;tbody&gt;</v>
      </c>
      <c r="L2729" t="s">
        <v>91</v>
      </c>
      <c r="M2729" t="s">
        <v>337</v>
      </c>
      <c r="O2729" t="s">
        <v>284</v>
      </c>
      <c r="Q27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9" s="29"/>
      <c r="AC2729" s="25"/>
      <c r="AD2729" s="41"/>
      <c r="AE2729" s="41"/>
      <c r="AF2729" s="11" t="s">
        <v>284</v>
      </c>
      <c r="AH2729" s="1" t="str">
        <f>Table1[[#This Row],[html_tag]]&amp;Table1[[#This Row],[html_type]]&amp;Table1[[#This Row],[html_modifier]]</f>
        <v>&lt;tbody&gt;</v>
      </c>
      <c r="AI2729" t="s">
        <v>284</v>
      </c>
      <c r="AL2729" s="22" t="str">
        <f>IFERROR(_xlfn.XLOOKUP(Table1[[#This Row],[word]],Table57[English style name],Table57[Style type]),"")</f>
        <v/>
      </c>
      <c r="AM2729" s="20"/>
      <c r="AN2729" s="11"/>
    </row>
    <row r="2730" spans="4:44">
      <c r="D2730" t="s">
        <v>3320</v>
      </c>
      <c r="E2730" s="11"/>
      <c r="F27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30" s="13"/>
      <c r="H2730" s="13"/>
      <c r="I2730" s="12" t="str">
        <f>Table1[[#This Row],[type]]</f>
        <v>table</v>
      </c>
      <c r="J2730" s="62" t="str">
        <f>Table1[[#This Row],[Column42]]&amp;IF(Table1[[#This Row],[Column13]]="","",Table1[[#This Row],[Column13]])&amp;IF(Table1[[#This Row],[mod]]="","",Table1[[#This Row],[mod]])</f>
        <v>table__callout__text</v>
      </c>
      <c r="K27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table__callout__text</v>
      </c>
      <c r="L2730" t="s">
        <v>91</v>
      </c>
      <c r="M2730" t="s">
        <v>3373</v>
      </c>
      <c r="O2730" t="s">
        <v>403</v>
      </c>
      <c r="Q27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0" s="29"/>
      <c r="AC2730" s="25"/>
      <c r="AD2730" s="41"/>
      <c r="AE2730" s="41"/>
      <c r="AF2730" s="11"/>
      <c r="AH2730" s="7" t="str">
        <f>Table1[[#This Row],[html_tag]]&amp;Table1[[#This Row],[html_type]]&amp;Table1[[#This Row],[html_modifier]]</f>
        <v/>
      </c>
      <c r="AL2730" s="23" t="str">
        <f>IFERROR(_xlfn.XLOOKUP(Table1[[#This Row],[word]],Table57[English style name],Table57[Style type]),"")</f>
        <v/>
      </c>
      <c r="AM2730" s="21"/>
      <c r="AN2730" s="11"/>
    </row>
    <row r="2731" spans="4:44">
      <c r="D2731" t="s">
        <v>3320</v>
      </c>
      <c r="E2731" s="11"/>
      <c r="F27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31" s="13"/>
      <c r="H2731" s="13"/>
      <c r="I2731" s="12" t="str">
        <f>Table1[[#This Row],[type]]</f>
        <v>table</v>
      </c>
      <c r="J2731" s="62" t="str">
        <f>Table1[[#This Row],[Column42]]&amp;IF(Table1[[#This Row],[Column13]]="","",Table1[[#This Row],[Column13]])&amp;IF(Table1[[#This Row],[mod]]="","",Table1[[#This Row],[mod]])</f>
        <v>table__caption</v>
      </c>
      <c r="K27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</v>
      </c>
      <c r="L2731" t="s">
        <v>91</v>
      </c>
      <c r="M2731" t="s">
        <v>329</v>
      </c>
      <c r="Q27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1" s="29"/>
      <c r="AC2731" s="25"/>
      <c r="AD2731" s="41"/>
      <c r="AE2731" s="41"/>
      <c r="AF2731" s="11"/>
      <c r="AH2731" s="7" t="str">
        <f>Table1[[#This Row],[html_tag]]&amp;Table1[[#This Row],[html_type]]&amp;Table1[[#This Row],[html_modifier]]</f>
        <v/>
      </c>
      <c r="AL2731" s="23" t="str">
        <f>IFERROR(_xlfn.XLOOKUP(Table1[[#This Row],[word]],Table57[English style name],Table57[Style type]),"")</f>
        <v/>
      </c>
      <c r="AM2731" s="21"/>
      <c r="AN2731" s="11"/>
    </row>
    <row r="2732" spans="4:44">
      <c r="E2732" s="11"/>
      <c r="F27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2" s="13" t="s">
        <v>337</v>
      </c>
      <c r="H2732" s="13" t="s">
        <v>2987</v>
      </c>
      <c r="I2732" s="12" t="str">
        <f>Table1[[#This Row],[type]]</f>
        <v>table</v>
      </c>
      <c r="J2732" s="62" t="str">
        <f>Table1[[#This Row],[Column42]]&amp;IF(Table1[[#This Row],[Column13]]="","",Table1[[#This Row],[Column13]])&amp;IF(Table1[[#This Row],[mod]]="","",Table1[[#This Row],[mod]])</f>
        <v>table__caption</v>
      </c>
      <c r="K27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</v>
      </c>
      <c r="L2732" t="s">
        <v>91</v>
      </c>
      <c r="M2732" t="s">
        <v>329</v>
      </c>
      <c r="P2732" s="6"/>
      <c r="Q27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2" s="29"/>
      <c r="AC2732" s="25"/>
      <c r="AD2732" s="41"/>
      <c r="AE2732" s="41"/>
      <c r="AF2732" s="11"/>
      <c r="AH2732" s="1" t="str">
        <f>Table1[[#This Row],[html_tag]]&amp;Table1[[#This Row],[html_type]]&amp;Table1[[#This Row],[html_modifier]]</f>
        <v/>
      </c>
      <c r="AL2732" s="22" t="str">
        <f>IFERROR(_xlfn.XLOOKUP(Table1[[#This Row],[word]],Table57[English style name],Table57[Style type]),"")</f>
        <v/>
      </c>
      <c r="AM2732" s="20"/>
      <c r="AN2732" s="11"/>
      <c r="AQ2732" s="6" t="s">
        <v>2748</v>
      </c>
      <c r="AR2732" t="s">
        <v>2735</v>
      </c>
    </row>
    <row r="2733" spans="4:44">
      <c r="E2733" s="11"/>
      <c r="F27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3" s="13" t="s">
        <v>337</v>
      </c>
      <c r="H2733" s="13" t="s">
        <v>2987</v>
      </c>
      <c r="I2733" s="12" t="str">
        <f>Table1[[#This Row],[type]]</f>
        <v>table</v>
      </c>
      <c r="J2733" s="62" t="str">
        <f>Table1[[#This Row],[Column42]]&amp;IF(Table1[[#This Row],[Column13]]="","",Table1[[#This Row],[Column13]])&amp;IF(Table1[[#This Row],[mod]]="","",Table1[[#This Row],[mod]])</f>
        <v>table__caption__bottom</v>
      </c>
      <c r="K27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table__caption__bottom</v>
      </c>
      <c r="L2733" t="s">
        <v>91</v>
      </c>
      <c r="M2733" t="s">
        <v>329</v>
      </c>
      <c r="N2733" t="s">
        <v>3186</v>
      </c>
      <c r="P2733" s="6" t="s">
        <v>2750</v>
      </c>
      <c r="Q27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3" s="29"/>
      <c r="AC2733" s="25"/>
      <c r="AD2733" s="41"/>
      <c r="AE2733" s="41"/>
      <c r="AF2733" s="11"/>
      <c r="AH2733" s="1" t="str">
        <f>Table1[[#This Row],[html_tag]]&amp;Table1[[#This Row],[html_type]]&amp;Table1[[#This Row],[html_modifier]]</f>
        <v/>
      </c>
      <c r="AL2733" s="22" t="str">
        <f>IFERROR(_xlfn.XLOOKUP(Table1[[#This Row],[word]],Table57[English style name],Table57[Style type]),"")</f>
        <v/>
      </c>
      <c r="AM2733" s="20"/>
      <c r="AN2733" s="11"/>
      <c r="AQ2733" s="6" t="s">
        <v>2750</v>
      </c>
      <c r="AR2733" t="s">
        <v>2735</v>
      </c>
    </row>
    <row r="2734" spans="4:44">
      <c r="E2734" s="11"/>
      <c r="F27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4" s="13" t="s">
        <v>337</v>
      </c>
      <c r="H2734" s="13" t="s">
        <v>2987</v>
      </c>
      <c r="I2734" s="12" t="str">
        <f>Table1[[#This Row],[type]]</f>
        <v>table</v>
      </c>
      <c r="J2734" s="62" t="str">
        <f>Table1[[#This Row],[Column42]]&amp;IF(Table1[[#This Row],[Column13]]="","",Table1[[#This Row],[Column13]])&amp;IF(Table1[[#This Row],[mod]]="","",Table1[[#This Row],[mod]])</f>
        <v>table__caption__bottom</v>
      </c>
      <c r="K27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table__caption__bottom</v>
      </c>
      <c r="L2734" t="s">
        <v>91</v>
      </c>
      <c r="M2734" t="s">
        <v>329</v>
      </c>
      <c r="N2734" t="s">
        <v>3186</v>
      </c>
      <c r="P2734" s="6"/>
      <c r="Q27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4" s="29"/>
      <c r="AC2734" s="25"/>
      <c r="AD2734" s="41"/>
      <c r="AE2734" s="41"/>
      <c r="AF2734" s="11"/>
      <c r="AH2734" s="1" t="str">
        <f>Table1[[#This Row],[html_tag]]&amp;Table1[[#This Row],[html_type]]&amp;Table1[[#This Row],[html_modifier]]</f>
        <v/>
      </c>
      <c r="AL2734" s="22" t="str">
        <f>IFERROR(_xlfn.XLOOKUP(Table1[[#This Row],[word]],Table57[English style name],Table57[Style type]),"")</f>
        <v/>
      </c>
      <c r="AM2734" s="20"/>
      <c r="AN2734" s="11"/>
      <c r="AQ2734" s="6" t="s">
        <v>2749</v>
      </c>
      <c r="AR2734" t="s">
        <v>2735</v>
      </c>
    </row>
    <row r="2735" spans="4:44">
      <c r="E2735" s="11"/>
      <c r="F27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5" s="13" t="s">
        <v>337</v>
      </c>
      <c r="H2735" s="13" t="s">
        <v>2987</v>
      </c>
      <c r="I2735" s="12" t="str">
        <f>Table1[[#This Row],[type]]</f>
        <v>table</v>
      </c>
      <c r="J2735" s="62" t="str">
        <f>Table1[[#This Row],[Column42]]&amp;IF(Table1[[#This Row],[Column13]]="","",Table1[[#This Row],[Column13]])&amp;IF(Table1[[#This Row],[mod]]="","",Table1[[#This Row],[mod]])</f>
        <v>table__caption__top</v>
      </c>
      <c r="K27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table__caption__top</v>
      </c>
      <c r="L2735" t="s">
        <v>91</v>
      </c>
      <c r="M2735" t="s">
        <v>329</v>
      </c>
      <c r="N2735" t="s">
        <v>3182</v>
      </c>
      <c r="P2735" s="6" t="s">
        <v>2752</v>
      </c>
      <c r="Q27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5" s="29"/>
      <c r="AC2735" s="25"/>
      <c r="AD2735" s="41"/>
      <c r="AE2735" s="41"/>
      <c r="AF2735" s="11"/>
      <c r="AH2735" s="1" t="str">
        <f>Table1[[#This Row],[html_tag]]&amp;Table1[[#This Row],[html_type]]&amp;Table1[[#This Row],[html_modifier]]</f>
        <v/>
      </c>
      <c r="AL2735" s="22" t="str">
        <f>IFERROR(_xlfn.XLOOKUP(Table1[[#This Row],[word]],Table57[English style name],Table57[Style type]),"")</f>
        <v/>
      </c>
      <c r="AM2735" s="20"/>
      <c r="AN2735" s="11"/>
      <c r="AQ2735" s="6" t="s">
        <v>2752</v>
      </c>
      <c r="AR2735" t="s">
        <v>2735</v>
      </c>
    </row>
    <row r="2736" spans="4:44">
      <c r="E2736" s="11"/>
      <c r="F27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6" s="13" t="s">
        <v>337</v>
      </c>
      <c r="H2736" s="13" t="s">
        <v>2987</v>
      </c>
      <c r="I2736" s="12" t="str">
        <f>Table1[[#This Row],[type]]</f>
        <v>table</v>
      </c>
      <c r="J2736" s="62" t="str">
        <f>Table1[[#This Row],[Column42]]&amp;IF(Table1[[#This Row],[Column13]]="","",Table1[[#This Row],[Column13]])&amp;IF(Table1[[#This Row],[mod]]="","",Table1[[#This Row],[mod]])</f>
        <v>table__caption__top</v>
      </c>
      <c r="K27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table__caption__top</v>
      </c>
      <c r="L2736" t="s">
        <v>91</v>
      </c>
      <c r="M2736" t="s">
        <v>329</v>
      </c>
      <c r="N2736" t="s">
        <v>3182</v>
      </c>
      <c r="P2736" s="6"/>
      <c r="Q27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6" s="29"/>
      <c r="AC2736" s="25"/>
      <c r="AD2736" s="41"/>
      <c r="AE2736" s="41"/>
      <c r="AF2736" s="11"/>
      <c r="AH2736" s="1" t="str">
        <f>Table1[[#This Row],[html_tag]]&amp;Table1[[#This Row],[html_type]]&amp;Table1[[#This Row],[html_modifier]]</f>
        <v/>
      </c>
      <c r="AL2736" s="22" t="str">
        <f>IFERROR(_xlfn.XLOOKUP(Table1[[#This Row],[word]],Table57[English style name],Table57[Style type]),"")</f>
        <v/>
      </c>
      <c r="AM2736" s="20"/>
      <c r="AN2736" s="11"/>
      <c r="AQ2736" s="6" t="s">
        <v>2751</v>
      </c>
      <c r="AR2736" t="s">
        <v>2735</v>
      </c>
    </row>
    <row r="2737" spans="4:44">
      <c r="D2737" t="s">
        <v>3320</v>
      </c>
      <c r="E2737" s="11"/>
      <c r="F27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37" s="13"/>
      <c r="H2737" s="13"/>
      <c r="I2737" s="12" t="str">
        <f>Table1[[#This Row],[type]]</f>
        <v>table</v>
      </c>
      <c r="J2737" s="62" t="str">
        <f>Table1[[#This Row],[Column42]]&amp;IF(Table1[[#This Row],[Column13]]="","",Table1[[#This Row],[Column13]])&amp;IF(Table1[[#This Row],[mod]]="","",Table1[[#This Row],[mod]])</f>
        <v>table__caption--continued</v>
      </c>
      <c r="K27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</v>
      </c>
      <c r="L2737" t="s">
        <v>91</v>
      </c>
      <c r="M2737" t="s">
        <v>329</v>
      </c>
      <c r="Q27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--continued</v>
      </c>
      <c r="R2737" t="s">
        <v>3372</v>
      </c>
      <c r="U27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7" s="29"/>
      <c r="AC2737" s="25"/>
      <c r="AD2737" s="41"/>
      <c r="AE2737" s="41"/>
      <c r="AF2737" s="11"/>
      <c r="AH2737" s="7" t="str">
        <f>Table1[[#This Row],[html_tag]]&amp;Table1[[#This Row],[html_type]]&amp;Table1[[#This Row],[html_modifier]]</f>
        <v/>
      </c>
      <c r="AL2737" s="23" t="str">
        <f>IFERROR(_xlfn.XLOOKUP(Table1[[#This Row],[word]],Table57[English style name],Table57[Style type]),"")</f>
        <v/>
      </c>
      <c r="AM2737" s="21"/>
      <c r="AN2737" s="11"/>
    </row>
    <row r="2738" spans="4:44">
      <c r="E2738" s="11"/>
      <c r="F27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8" s="13" t="s">
        <v>337</v>
      </c>
      <c r="H2738" s="13" t="s">
        <v>2987</v>
      </c>
      <c r="I2738" s="12" t="str">
        <f>Table1[[#This Row],[type]]</f>
        <v>table</v>
      </c>
      <c r="J2738" s="62" t="str">
        <f>Table1[[#This Row],[Column42]]&amp;IF(Table1[[#This Row],[Column13]]="","",Table1[[#This Row],[Column13]])&amp;IF(Table1[[#This Row],[mod]]="","",Table1[[#This Row],[mod]])</f>
        <v>table__cell_body</v>
      </c>
      <c r="K27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table__cell_body</v>
      </c>
      <c r="L2738" t="s">
        <v>91</v>
      </c>
      <c r="M2738" t="s">
        <v>3178</v>
      </c>
      <c r="Q27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8" s="29"/>
      <c r="AC2738" s="25"/>
      <c r="AD2738" s="41"/>
      <c r="AE2738" s="41"/>
      <c r="AF2738" s="11"/>
      <c r="AH2738" s="1" t="str">
        <f>Table1[[#This Row],[html_tag]]&amp;Table1[[#This Row],[html_type]]&amp;Table1[[#This Row],[html_modifier]]</f>
        <v/>
      </c>
      <c r="AL2738" s="22" t="str">
        <f>IFERROR(_xlfn.XLOOKUP(Table1[[#This Row],[word]],Table57[English style name],Table57[Style type]),"")</f>
        <v/>
      </c>
      <c r="AM2738" s="20"/>
      <c r="AN2738" s="11"/>
      <c r="AQ2738" s="6" t="s">
        <v>2758</v>
      </c>
      <c r="AR2738" t="s">
        <v>2735</v>
      </c>
    </row>
    <row r="2739" spans="4:44">
      <c r="E2739" s="11"/>
      <c r="F27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9" s="13" t="s">
        <v>337</v>
      </c>
      <c r="H2739" s="13" t="s">
        <v>2987</v>
      </c>
      <c r="I2739" s="12" t="str">
        <f>Table1[[#This Row],[type]]</f>
        <v>table</v>
      </c>
      <c r="J2739" s="62" t="str">
        <f>Table1[[#This Row],[Column42]]&amp;IF(Table1[[#This Row],[Column13]]="","",Table1[[#This Row],[Column13]])&amp;IF(Table1[[#This Row],[mod]]="","",Table1[[#This Row],[mod]])</f>
        <v>table__cell_footer</v>
      </c>
      <c r="K27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table__cell_footer</v>
      </c>
      <c r="L2739" t="s">
        <v>91</v>
      </c>
      <c r="M2739" t="s">
        <v>3179</v>
      </c>
      <c r="P2739" s="6" t="s">
        <v>2759</v>
      </c>
      <c r="Q27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9" s="29"/>
      <c r="AC2739" s="25"/>
      <c r="AD2739" s="41"/>
      <c r="AE2739" s="41"/>
      <c r="AF2739" s="11"/>
      <c r="AH2739" s="1" t="str">
        <f>Table1[[#This Row],[html_tag]]&amp;Table1[[#This Row],[html_type]]&amp;Table1[[#This Row],[html_modifier]]</f>
        <v/>
      </c>
      <c r="AL2739" s="22" t="str">
        <f>IFERROR(_xlfn.XLOOKUP(Table1[[#This Row],[word]],Table57[English style name],Table57[Style type]),"")</f>
        <v/>
      </c>
      <c r="AM2739" s="20"/>
      <c r="AN2739" s="11"/>
      <c r="AQ2739" s="6" t="s">
        <v>2759</v>
      </c>
      <c r="AR2739" t="s">
        <v>2735</v>
      </c>
    </row>
    <row r="2740" spans="4:44">
      <c r="E2740" s="11"/>
      <c r="F27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0" s="13" t="s">
        <v>337</v>
      </c>
      <c r="H2740" s="13" t="s">
        <v>2987</v>
      </c>
      <c r="I2740" s="12" t="str">
        <f>Table1[[#This Row],[type]]</f>
        <v>table</v>
      </c>
      <c r="J2740" s="62" t="str">
        <f>Table1[[#This Row],[Column42]]&amp;IF(Table1[[#This Row],[Column13]]="","",Table1[[#This Row],[Column13]])&amp;IF(Table1[[#This Row],[mod]]="","",Table1[[#This Row],[mod]])</f>
        <v>table__cell_header</v>
      </c>
      <c r="K27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table__cell_header</v>
      </c>
      <c r="L2740" t="s">
        <v>91</v>
      </c>
      <c r="M2740" t="s">
        <v>3180</v>
      </c>
      <c r="P2740" s="6" t="s">
        <v>2760</v>
      </c>
      <c r="Q27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40" s="29"/>
      <c r="AC2740" s="25"/>
      <c r="AD2740" s="41"/>
      <c r="AE2740" s="41"/>
      <c r="AF2740" s="11"/>
      <c r="AH2740" s="1" t="str">
        <f>Table1[[#This Row],[html_tag]]&amp;Table1[[#This Row],[html_type]]&amp;Table1[[#This Row],[html_modifier]]</f>
        <v/>
      </c>
      <c r="AL2740" s="22" t="str">
        <f>IFERROR(_xlfn.XLOOKUP(Table1[[#This Row],[word]],Table57[English style name],Table57[Style type]),"")</f>
        <v/>
      </c>
      <c r="AM2740" s="20"/>
      <c r="AN2740" s="11"/>
      <c r="AQ2740" s="6" t="s">
        <v>2760</v>
      </c>
      <c r="AR2740" t="s">
        <v>2735</v>
      </c>
    </row>
    <row r="2741" spans="4:44">
      <c r="E2741" s="11"/>
      <c r="F27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1" s="13" t="s">
        <v>337</v>
      </c>
      <c r="H2741" s="13" t="s">
        <v>2987</v>
      </c>
      <c r="I2741" s="12" t="str">
        <f>Table1[[#This Row],[type]]</f>
        <v>table</v>
      </c>
      <c r="J2741" s="62" t="str">
        <f>Table1[[#This Row],[Column42]]&amp;IF(Table1[[#This Row],[Column13]]="","",Table1[[#This Row],[Column13]])&amp;IF(Table1[[#This Row],[mod]]="","",Table1[[#This Row],[mod]])</f>
        <v>table__cell--base</v>
      </c>
      <c r="K27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741" t="s">
        <v>91</v>
      </c>
      <c r="M2741" t="s">
        <v>3165</v>
      </c>
      <c r="P2741" s="6" t="s">
        <v>2757</v>
      </c>
      <c r="Q27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741" t="s">
        <v>338</v>
      </c>
      <c r="AB2741" s="29"/>
      <c r="AC2741" s="25"/>
      <c r="AD2741" s="41"/>
      <c r="AE2741" s="41"/>
      <c r="AF2741" s="11"/>
      <c r="AH2741" s="1" t="str">
        <f>Table1[[#This Row],[html_tag]]&amp;Table1[[#This Row],[html_type]]&amp;Table1[[#This Row],[html_modifier]]</f>
        <v/>
      </c>
      <c r="AL2741" s="22" t="str">
        <f>IFERROR(_xlfn.XLOOKUP(Table1[[#This Row],[word]],Table57[English style name],Table57[Style type]),"")</f>
        <v/>
      </c>
      <c r="AM2741" s="20"/>
      <c r="AN2741" s="11"/>
      <c r="AQ2741" s="6" t="s">
        <v>2757</v>
      </c>
      <c r="AR2741" t="s">
        <v>2735</v>
      </c>
    </row>
    <row r="2742" spans="4:44">
      <c r="E2742" s="11"/>
      <c r="F27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2" s="13" t="s">
        <v>337</v>
      </c>
      <c r="H2742" s="13" t="s">
        <v>2987</v>
      </c>
      <c r="I2742" s="12" t="str">
        <f>Table1[[#This Row],[type]]</f>
        <v>table</v>
      </c>
      <c r="J2742" s="62" t="str">
        <f>Table1[[#This Row],[Column42]]&amp;IF(Table1[[#This Row],[Column13]]="","",Table1[[#This Row],[Column13]])&amp;IF(Table1[[#This Row],[mod]]="","",Table1[[#This Row],[mod]])</f>
        <v>table__cell--base</v>
      </c>
      <c r="K27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742" t="s">
        <v>91</v>
      </c>
      <c r="M2742" t="s">
        <v>3165</v>
      </c>
      <c r="P2742" s="6" t="s">
        <v>2753</v>
      </c>
      <c r="Q27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742" t="s">
        <v>338</v>
      </c>
      <c r="AB2742" s="29"/>
      <c r="AC2742" s="25"/>
      <c r="AD2742" s="41"/>
      <c r="AE2742" s="41"/>
      <c r="AF2742" s="11"/>
      <c r="AH2742" s="1" t="str">
        <f>Table1[[#This Row],[html_tag]]&amp;Table1[[#This Row],[html_type]]&amp;Table1[[#This Row],[html_modifier]]</f>
        <v/>
      </c>
      <c r="AL2742" s="22" t="str">
        <f>IFERROR(_xlfn.XLOOKUP(Table1[[#This Row],[word]],Table57[English style name],Table57[Style type]),"")</f>
        <v/>
      </c>
      <c r="AM2742" s="20"/>
      <c r="AN2742" s="11"/>
      <c r="AQ2742" s="6" t="s">
        <v>2753</v>
      </c>
      <c r="AR2742" t="s">
        <v>2735</v>
      </c>
    </row>
    <row r="2743" spans="4:44">
      <c r="E2743" s="11"/>
      <c r="F27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3" s="13" t="s">
        <v>337</v>
      </c>
      <c r="H2743" s="13" t="s">
        <v>2987</v>
      </c>
      <c r="I2743" s="12" t="str">
        <f>Table1[[#This Row],[type]]</f>
        <v>table</v>
      </c>
      <c r="J2743" s="62" t="str">
        <f>Table1[[#This Row],[Column42]]&amp;IF(Table1[[#This Row],[Column13]]="","",Table1[[#This Row],[Column13]])&amp;IF(Table1[[#This Row],[mod]]="","",Table1[[#This Row],[mod]])</f>
        <v>table__cell--lg</v>
      </c>
      <c r="K27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743" t="s">
        <v>91</v>
      </c>
      <c r="M2743" t="s">
        <v>3165</v>
      </c>
      <c r="P2743" s="6" t="s">
        <v>2754</v>
      </c>
      <c r="Q27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743" t="s">
        <v>3114</v>
      </c>
      <c r="AB2743" s="29"/>
      <c r="AC2743" s="25"/>
      <c r="AD2743" s="41"/>
      <c r="AE2743" s="41"/>
      <c r="AF2743" s="11"/>
      <c r="AH2743" s="1" t="str">
        <f>Table1[[#This Row],[html_tag]]&amp;Table1[[#This Row],[html_type]]&amp;Table1[[#This Row],[html_modifier]]</f>
        <v/>
      </c>
      <c r="AL2743" s="22" t="str">
        <f>IFERROR(_xlfn.XLOOKUP(Table1[[#This Row],[word]],Table57[English style name],Table57[Style type]),"")</f>
        <v/>
      </c>
      <c r="AM2743" s="20"/>
      <c r="AN2743" s="11"/>
      <c r="AQ2743" s="6" t="s">
        <v>2754</v>
      </c>
      <c r="AR2743" t="s">
        <v>2735</v>
      </c>
    </row>
    <row r="2744" spans="4:44">
      <c r="E2744" s="11"/>
      <c r="F27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4" s="13" t="s">
        <v>337</v>
      </c>
      <c r="H2744" s="13" t="s">
        <v>2987</v>
      </c>
      <c r="I2744" s="12" t="str">
        <f>Table1[[#This Row],[type]]</f>
        <v>table</v>
      </c>
      <c r="J2744" s="62" t="str">
        <f>Table1[[#This Row],[Column42]]&amp;IF(Table1[[#This Row],[Column13]]="","",Table1[[#This Row],[Column13]])&amp;IF(Table1[[#This Row],[mod]]="","",Table1[[#This Row],[mod]])</f>
        <v>table__cell--md</v>
      </c>
      <c r="K27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744" t="s">
        <v>91</v>
      </c>
      <c r="M2744" t="s">
        <v>3165</v>
      </c>
      <c r="P2744" s="6" t="s">
        <v>2755</v>
      </c>
      <c r="Q27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744" t="s">
        <v>3115</v>
      </c>
      <c r="AB2744" s="29"/>
      <c r="AC2744" s="25"/>
      <c r="AD2744" s="41"/>
      <c r="AE2744" s="41"/>
      <c r="AF2744" s="11"/>
      <c r="AH2744" s="1" t="str">
        <f>Table1[[#This Row],[html_tag]]&amp;Table1[[#This Row],[html_type]]&amp;Table1[[#This Row],[html_modifier]]</f>
        <v/>
      </c>
      <c r="AL2744" s="22" t="str">
        <f>IFERROR(_xlfn.XLOOKUP(Table1[[#This Row],[word]],Table57[English style name],Table57[Style type]),"")</f>
        <v/>
      </c>
      <c r="AM2744" s="20"/>
      <c r="AN2744" s="11"/>
      <c r="AQ2744" s="6" t="s">
        <v>2755</v>
      </c>
      <c r="AR2744" t="s">
        <v>2735</v>
      </c>
    </row>
    <row r="2745" spans="4:44">
      <c r="E2745" s="11"/>
      <c r="F27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5" s="13" t="s">
        <v>337</v>
      </c>
      <c r="H2745" s="13" t="s">
        <v>2987</v>
      </c>
      <c r="I2745" s="12" t="str">
        <f>Table1[[#This Row],[type]]</f>
        <v>table</v>
      </c>
      <c r="J2745" s="62" t="str">
        <f>Table1[[#This Row],[Column42]]&amp;IF(Table1[[#This Row],[Column13]]="","",Table1[[#This Row],[Column13]])&amp;IF(Table1[[#This Row],[mod]]="","",Table1[[#This Row],[mod]])</f>
        <v>table__cell--sm</v>
      </c>
      <c r="K27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745" t="s">
        <v>91</v>
      </c>
      <c r="M2745" t="s">
        <v>3165</v>
      </c>
      <c r="P2745" s="6" t="s">
        <v>2756</v>
      </c>
      <c r="Q27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745" t="s">
        <v>3116</v>
      </c>
      <c r="AB2745" s="29"/>
      <c r="AC2745" s="25"/>
      <c r="AD2745" s="41"/>
      <c r="AE2745" s="41"/>
      <c r="AF2745" s="11"/>
      <c r="AH2745" s="1" t="str">
        <f>Table1[[#This Row],[html_tag]]&amp;Table1[[#This Row],[html_type]]&amp;Table1[[#This Row],[html_modifier]]</f>
        <v/>
      </c>
      <c r="AL2745" s="22" t="str">
        <f>IFERROR(_xlfn.XLOOKUP(Table1[[#This Row],[word]],Table57[English style name],Table57[Style type]),"")</f>
        <v/>
      </c>
      <c r="AM2745" s="20"/>
      <c r="AN2745" s="11"/>
      <c r="AQ2745" s="6" t="s">
        <v>2756</v>
      </c>
      <c r="AR2745" t="s">
        <v>2735</v>
      </c>
    </row>
    <row r="2746" spans="4:44">
      <c r="E2746" s="11"/>
      <c r="F27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46" s="13"/>
      <c r="H2746" s="13"/>
      <c r="I2746" s="12" t="str">
        <f>Table1[[#This Row],[type]]</f>
        <v>table</v>
      </c>
      <c r="J2746" s="62" t="str">
        <f>Table1[[#This Row],[Column42]]&amp;IF(Table1[[#This Row],[Column13]]="","",Table1[[#This Row],[Column13]])&amp;IF(Table1[[#This Row],[mod]]="","",Table1[[#This Row],[mod]])</f>
        <v>table__classic--1</v>
      </c>
      <c r="K27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746" t="s">
        <v>91</v>
      </c>
      <c r="M2746" t="s">
        <v>3456</v>
      </c>
      <c r="P2746" t="s">
        <v>874</v>
      </c>
      <c r="Q27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46">
        <v>1</v>
      </c>
      <c r="U27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46" s="29"/>
      <c r="AC2746" s="25"/>
      <c r="AD2746" s="41"/>
      <c r="AE2746" s="41"/>
      <c r="AF2746" s="11" t="s">
        <v>282</v>
      </c>
      <c r="AH2746" s="1" t="str">
        <f>Table1[[#This Row],[html_tag]]&amp;Table1[[#This Row],[html_type]]&amp;Table1[[#This Row],[html_modifier]]</f>
        <v/>
      </c>
      <c r="AL2746" s="22" t="str">
        <f>IFERROR(_xlfn.XLOOKUP(Table1[[#This Row],[word]],Table57[English style name],Table57[Style type]),"")</f>
        <v>Table</v>
      </c>
      <c r="AM2746" s="20" t="s">
        <v>874</v>
      </c>
      <c r="AN2746" s="11"/>
    </row>
    <row r="2747" spans="4:44">
      <c r="E2747" s="11"/>
      <c r="F27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47" s="13"/>
      <c r="H2747" s="13"/>
      <c r="I2747" s="12" t="str">
        <f>Table1[[#This Row],[type]]</f>
        <v>table</v>
      </c>
      <c r="J2747" s="62" t="str">
        <f>Table1[[#This Row],[Column42]]&amp;IF(Table1[[#This Row],[Column13]]="","",Table1[[#This Row],[Column13]])&amp;IF(Table1[[#This Row],[mod]]="","",Table1[[#This Row],[mod]])</f>
        <v>table__classic--2</v>
      </c>
      <c r="K27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747" t="s">
        <v>91</v>
      </c>
      <c r="M2747" t="s">
        <v>3456</v>
      </c>
      <c r="P2747" t="s">
        <v>875</v>
      </c>
      <c r="Q27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47">
        <v>2</v>
      </c>
      <c r="U27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47" s="29"/>
      <c r="AC2747" s="25"/>
      <c r="AD2747" s="41"/>
      <c r="AE2747" s="41"/>
      <c r="AF2747" s="11" t="s">
        <v>282</v>
      </c>
      <c r="AH2747" s="1" t="str">
        <f>Table1[[#This Row],[html_tag]]&amp;Table1[[#This Row],[html_type]]&amp;Table1[[#This Row],[html_modifier]]</f>
        <v/>
      </c>
      <c r="AL2747" s="22" t="str">
        <f>IFERROR(_xlfn.XLOOKUP(Table1[[#This Row],[word]],Table57[English style name],Table57[Style type]),"")</f>
        <v>Table</v>
      </c>
      <c r="AM2747" s="20" t="s">
        <v>875</v>
      </c>
      <c r="AN2747" s="11"/>
    </row>
    <row r="2748" spans="4:44">
      <c r="E2748" s="11"/>
      <c r="F27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48" s="13"/>
      <c r="H2748" s="13"/>
      <c r="I2748" s="12" t="str">
        <f>Table1[[#This Row],[type]]</f>
        <v>table</v>
      </c>
      <c r="J2748" s="62" t="str">
        <f>Table1[[#This Row],[Column42]]&amp;IF(Table1[[#This Row],[Column13]]="","",Table1[[#This Row],[Column13]])&amp;IF(Table1[[#This Row],[mod]]="","",Table1[[#This Row],[mod]])</f>
        <v>table__classic--3</v>
      </c>
      <c r="K27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748" t="s">
        <v>91</v>
      </c>
      <c r="M2748" t="s">
        <v>3456</v>
      </c>
      <c r="P2748" t="s">
        <v>876</v>
      </c>
      <c r="Q27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748">
        <v>3</v>
      </c>
      <c r="U27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48" s="29"/>
      <c r="AC2748" s="25"/>
      <c r="AD2748" s="41"/>
      <c r="AE2748" s="41"/>
      <c r="AF2748" s="11" t="s">
        <v>282</v>
      </c>
      <c r="AH2748" s="1" t="str">
        <f>Table1[[#This Row],[html_tag]]&amp;Table1[[#This Row],[html_type]]&amp;Table1[[#This Row],[html_modifier]]</f>
        <v/>
      </c>
      <c r="AL2748" s="22" t="str">
        <f>IFERROR(_xlfn.XLOOKUP(Table1[[#This Row],[word]],Table57[English style name],Table57[Style type]),"")</f>
        <v>Table</v>
      </c>
      <c r="AM2748" s="20" t="s">
        <v>876</v>
      </c>
      <c r="AN2748" s="11"/>
    </row>
    <row r="2749" spans="4:44">
      <c r="E2749" s="11"/>
      <c r="F27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49" s="13"/>
      <c r="H2749" s="13"/>
      <c r="I2749" s="12" t="str">
        <f>Table1[[#This Row],[type]]</f>
        <v>table</v>
      </c>
      <c r="J2749" s="62" t="str">
        <f>Table1[[#This Row],[Column42]]&amp;IF(Table1[[#This Row],[Column13]]="","",Table1[[#This Row],[Column13]])&amp;IF(Table1[[#This Row],[mod]]="","",Table1[[#This Row],[mod]])</f>
        <v>table__classic--4</v>
      </c>
      <c r="K27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749" t="s">
        <v>91</v>
      </c>
      <c r="M2749" t="s">
        <v>3456</v>
      </c>
      <c r="P2749" t="s">
        <v>877</v>
      </c>
      <c r="Q27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749">
        <v>4</v>
      </c>
      <c r="U27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49" s="29"/>
      <c r="AC2749" s="25"/>
      <c r="AD2749" s="41"/>
      <c r="AE2749" s="41"/>
      <c r="AF2749" s="11" t="s">
        <v>282</v>
      </c>
      <c r="AH2749" s="1" t="str">
        <f>Table1[[#This Row],[html_tag]]&amp;Table1[[#This Row],[html_type]]&amp;Table1[[#This Row],[html_modifier]]</f>
        <v/>
      </c>
      <c r="AL2749" s="22" t="str">
        <f>IFERROR(_xlfn.XLOOKUP(Table1[[#This Row],[word]],Table57[English style name],Table57[Style type]),"")</f>
        <v>Table</v>
      </c>
      <c r="AM2749" s="20" t="s">
        <v>877</v>
      </c>
      <c r="AN2749" s="11"/>
    </row>
    <row r="2750" spans="4:44">
      <c r="E2750" s="11"/>
      <c r="F27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0" s="13"/>
      <c r="H2750" s="13"/>
      <c r="I2750" s="12" t="str">
        <f>Table1[[#This Row],[type]]</f>
        <v>table</v>
      </c>
      <c r="J2750" s="62" t="str">
        <f>Table1[[#This Row],[Column42]]&amp;IF(Table1[[#This Row],[Column13]]="","",Table1[[#This Row],[Column13]])&amp;IF(Table1[[#This Row],[mod]]="","",Table1[[#This Row],[mod]])</f>
        <v>table__colorful_grid</v>
      </c>
      <c r="K27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0" t="s">
        <v>91</v>
      </c>
      <c r="M2750" t="s">
        <v>3459</v>
      </c>
      <c r="Q27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50" s="29"/>
      <c r="AC2750" s="25"/>
      <c r="AD2750" s="41"/>
      <c r="AE2750" s="41"/>
      <c r="AF2750" s="11" t="s">
        <v>282</v>
      </c>
      <c r="AH2750" s="1" t="str">
        <f>Table1[[#This Row],[html_tag]]&amp;Table1[[#This Row],[html_type]]&amp;Table1[[#This Row],[html_modifier]]</f>
        <v/>
      </c>
      <c r="AL2750" s="22" t="str">
        <f>IFERROR(_xlfn.XLOOKUP(Table1[[#This Row],[word]],Table57[English style name],Table57[Style type]),"")</f>
        <v>Table</v>
      </c>
      <c r="AM2750" s="20" t="s">
        <v>942</v>
      </c>
      <c r="AN2750" s="11"/>
    </row>
    <row r="2751" spans="4:44">
      <c r="E2751" s="11"/>
      <c r="F27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1" s="13"/>
      <c r="H2751" s="13"/>
      <c r="I2751" s="12" t="str">
        <f>Table1[[#This Row],[type]]</f>
        <v>table</v>
      </c>
      <c r="J2751" s="62" t="str">
        <f>Table1[[#This Row],[Column42]]&amp;IF(Table1[[#This Row],[Column13]]="","",Table1[[#This Row],[Column13]])&amp;IF(Table1[[#This Row],[mod]]="","",Table1[[#This Row],[mod]])</f>
        <v>table__colorful_grid--accent_01</v>
      </c>
      <c r="K27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1" t="s">
        <v>91</v>
      </c>
      <c r="M2751" t="s">
        <v>3459</v>
      </c>
      <c r="Q27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751" t="s">
        <v>3462</v>
      </c>
      <c r="AB2751" s="29"/>
      <c r="AC2751" s="25"/>
      <c r="AD2751" s="41"/>
      <c r="AE2751" s="41"/>
      <c r="AF2751" s="11" t="s">
        <v>282</v>
      </c>
      <c r="AH2751" s="1" t="str">
        <f>Table1[[#This Row],[html_tag]]&amp;Table1[[#This Row],[html_type]]&amp;Table1[[#This Row],[html_modifier]]</f>
        <v/>
      </c>
      <c r="AL2751" s="22" t="str">
        <f>IFERROR(_xlfn.XLOOKUP(Table1[[#This Row],[word]],Table57[English style name],Table57[Style type]),"")</f>
        <v>Table</v>
      </c>
      <c r="AM2751" s="20" t="s">
        <v>962</v>
      </c>
      <c r="AN2751" s="11"/>
    </row>
    <row r="2752" spans="4:44">
      <c r="E2752" s="11"/>
      <c r="F27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2" s="13"/>
      <c r="H2752" s="13"/>
      <c r="I2752" s="12" t="str">
        <f>Table1[[#This Row],[type]]</f>
        <v>table</v>
      </c>
      <c r="J2752" s="62" t="str">
        <f>Table1[[#This Row],[Column42]]&amp;IF(Table1[[#This Row],[Column13]]="","",Table1[[#This Row],[Column13]])&amp;IF(Table1[[#This Row],[mod]]="","",Table1[[#This Row],[mod]])</f>
        <v>table__colorful_grid--accent_02</v>
      </c>
      <c r="K27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2" t="s">
        <v>91</v>
      </c>
      <c r="M2752" t="s">
        <v>3459</v>
      </c>
      <c r="Q27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752" t="s">
        <v>3467</v>
      </c>
      <c r="AB2752" s="29"/>
      <c r="AC2752" s="25"/>
      <c r="AD2752" s="41"/>
      <c r="AE2752" s="41"/>
      <c r="AF2752" s="11" t="s">
        <v>282</v>
      </c>
      <c r="AH2752" s="1" t="str">
        <f>Table1[[#This Row],[html_tag]]&amp;Table1[[#This Row],[html_type]]&amp;Table1[[#This Row],[html_modifier]]</f>
        <v/>
      </c>
      <c r="AL2752" s="22" t="str">
        <f>IFERROR(_xlfn.XLOOKUP(Table1[[#This Row],[word]],Table57[English style name],Table57[Style type]),"")</f>
        <v>Table</v>
      </c>
      <c r="AM2752" s="20" t="s">
        <v>976</v>
      </c>
      <c r="AN2752" s="11"/>
    </row>
    <row r="2753" spans="5:40">
      <c r="E2753" s="11"/>
      <c r="F27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3" s="13"/>
      <c r="H2753" s="13"/>
      <c r="I2753" s="12" t="str">
        <f>Table1[[#This Row],[type]]</f>
        <v>table</v>
      </c>
      <c r="J2753" s="62" t="str">
        <f>Table1[[#This Row],[Column42]]&amp;IF(Table1[[#This Row],[Column13]]="","",Table1[[#This Row],[Column13]])&amp;IF(Table1[[#This Row],[mod]]="","",Table1[[#This Row],[mod]])</f>
        <v>table__colorful_grid--accent_03</v>
      </c>
      <c r="K27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3" t="s">
        <v>91</v>
      </c>
      <c r="M2753" t="s">
        <v>3459</v>
      </c>
      <c r="Q27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753" t="s">
        <v>3468</v>
      </c>
      <c r="AB2753" s="29"/>
      <c r="AC2753" s="25"/>
      <c r="AD2753" s="41"/>
      <c r="AE2753" s="41"/>
      <c r="AF2753" s="11" t="s">
        <v>282</v>
      </c>
      <c r="AH2753" s="1" t="str">
        <f>Table1[[#This Row],[html_tag]]&amp;Table1[[#This Row],[html_type]]&amp;Table1[[#This Row],[html_modifier]]</f>
        <v/>
      </c>
      <c r="AL2753" s="22" t="str">
        <f>IFERROR(_xlfn.XLOOKUP(Table1[[#This Row],[word]],Table57[English style name],Table57[Style type]),"")</f>
        <v>Table</v>
      </c>
      <c r="AM2753" s="20" t="s">
        <v>990</v>
      </c>
      <c r="AN2753" s="11"/>
    </row>
    <row r="2754" spans="5:40">
      <c r="E2754" s="11"/>
      <c r="F27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4" s="13"/>
      <c r="H2754" s="13"/>
      <c r="I2754" s="12" t="str">
        <f>Table1[[#This Row],[type]]</f>
        <v>table</v>
      </c>
      <c r="J2754" s="62" t="str">
        <f>Table1[[#This Row],[Column42]]&amp;IF(Table1[[#This Row],[Column13]]="","",Table1[[#This Row],[Column13]])&amp;IF(Table1[[#This Row],[mod]]="","",Table1[[#This Row],[mod]])</f>
        <v>table__colorful_grid--accent_04</v>
      </c>
      <c r="K27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4" t="s">
        <v>91</v>
      </c>
      <c r="M2754" t="s">
        <v>3459</v>
      </c>
      <c r="Q27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754" t="s">
        <v>3469</v>
      </c>
      <c r="AB2754" s="29"/>
      <c r="AC2754" s="25"/>
      <c r="AD2754" s="41"/>
      <c r="AE2754" s="41"/>
      <c r="AF2754" s="11" t="s">
        <v>282</v>
      </c>
      <c r="AH2754" s="1" t="str">
        <f>Table1[[#This Row],[html_tag]]&amp;Table1[[#This Row],[html_type]]&amp;Table1[[#This Row],[html_modifier]]</f>
        <v/>
      </c>
      <c r="AL2754" s="22" t="str">
        <f>IFERROR(_xlfn.XLOOKUP(Table1[[#This Row],[word]],Table57[English style name],Table57[Style type]),"")</f>
        <v>Table</v>
      </c>
      <c r="AM2754" s="20" t="s">
        <v>1004</v>
      </c>
      <c r="AN2754" s="11"/>
    </row>
    <row r="2755" spans="5:40">
      <c r="E2755" s="11"/>
      <c r="F27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5" s="13"/>
      <c r="H2755" s="13"/>
      <c r="I2755" s="12" t="str">
        <f>Table1[[#This Row],[type]]</f>
        <v>table</v>
      </c>
      <c r="J2755" s="62" t="str">
        <f>Table1[[#This Row],[Column42]]&amp;IF(Table1[[#This Row],[Column13]]="","",Table1[[#This Row],[Column13]])&amp;IF(Table1[[#This Row],[mod]]="","",Table1[[#This Row],[mod]])</f>
        <v>table__colorful_grid--accent_05</v>
      </c>
      <c r="K27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5" t="s">
        <v>91</v>
      </c>
      <c r="M2755" t="s">
        <v>3459</v>
      </c>
      <c r="Q27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755" t="s">
        <v>3470</v>
      </c>
      <c r="AB2755" s="29"/>
      <c r="AC2755" s="25"/>
      <c r="AD2755" s="41"/>
      <c r="AE2755" s="41"/>
      <c r="AF2755" s="11" t="s">
        <v>282</v>
      </c>
      <c r="AH2755" s="1" t="str">
        <f>Table1[[#This Row],[html_tag]]&amp;Table1[[#This Row],[html_type]]&amp;Table1[[#This Row],[html_modifier]]</f>
        <v/>
      </c>
      <c r="AL2755" s="22" t="str">
        <f>IFERROR(_xlfn.XLOOKUP(Table1[[#This Row],[word]],Table57[English style name],Table57[Style type]),"")</f>
        <v>Table</v>
      </c>
      <c r="AM2755" s="20" t="s">
        <v>1018</v>
      </c>
      <c r="AN2755" s="11"/>
    </row>
    <row r="2756" spans="5:40">
      <c r="E2756" s="11"/>
      <c r="F27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6" s="13"/>
      <c r="H2756" s="13"/>
      <c r="I2756" s="12" t="str">
        <f>Table1[[#This Row],[type]]</f>
        <v>table</v>
      </c>
      <c r="J2756" s="62" t="str">
        <f>Table1[[#This Row],[Column42]]&amp;IF(Table1[[#This Row],[Column13]]="","",Table1[[#This Row],[Column13]])&amp;IF(Table1[[#This Row],[mod]]="","",Table1[[#This Row],[mod]])</f>
        <v>table__colorful_grid--accent_06</v>
      </c>
      <c r="K27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6" t="s">
        <v>91</v>
      </c>
      <c r="M2756" t="s">
        <v>3459</v>
      </c>
      <c r="Q27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756" t="s">
        <v>3471</v>
      </c>
      <c r="AB2756" s="29"/>
      <c r="AC2756" s="25"/>
      <c r="AD2756" s="41"/>
      <c r="AE2756" s="41"/>
      <c r="AF2756" s="11" t="s">
        <v>282</v>
      </c>
      <c r="AH2756" s="1" t="str">
        <f>Table1[[#This Row],[html_tag]]&amp;Table1[[#This Row],[html_type]]&amp;Table1[[#This Row],[html_modifier]]</f>
        <v/>
      </c>
      <c r="AL2756" s="22" t="str">
        <f>IFERROR(_xlfn.XLOOKUP(Table1[[#This Row],[word]],Table57[English style name],Table57[Style type]),"")</f>
        <v>Table</v>
      </c>
      <c r="AM2756" s="20" t="s">
        <v>1032</v>
      </c>
      <c r="AN2756" s="11"/>
    </row>
    <row r="2757" spans="5:40">
      <c r="E2757" s="11"/>
      <c r="F27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7" s="13"/>
      <c r="H2757" s="13"/>
      <c r="I2757" s="12" t="str">
        <f>Table1[[#This Row],[type]]</f>
        <v>table</v>
      </c>
      <c r="J2757" s="62" t="str">
        <f>Table1[[#This Row],[Column42]]&amp;IF(Table1[[#This Row],[Column13]]="","",Table1[[#This Row],[Column13]])&amp;IF(Table1[[#This Row],[mod]]="","",Table1[[#This Row],[mod]])</f>
        <v>table__colorful_list</v>
      </c>
      <c r="K27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57" t="s">
        <v>91</v>
      </c>
      <c r="M2757" t="s">
        <v>3460</v>
      </c>
      <c r="Q27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57" s="29"/>
      <c r="AC2757" s="25"/>
      <c r="AD2757" s="41"/>
      <c r="AE2757" s="41"/>
      <c r="AF2757" s="11" t="s">
        <v>282</v>
      </c>
      <c r="AH2757" s="1" t="str">
        <f>Table1[[#This Row],[html_tag]]&amp;Table1[[#This Row],[html_type]]&amp;Table1[[#This Row],[html_modifier]]</f>
        <v/>
      </c>
      <c r="AL2757" s="22" t="str">
        <f>IFERROR(_xlfn.XLOOKUP(Table1[[#This Row],[word]],Table57[English style name],Table57[Style type]),"")</f>
        <v>Table</v>
      </c>
      <c r="AM2757" s="20" t="s">
        <v>940</v>
      </c>
      <c r="AN2757" s="11"/>
    </row>
    <row r="2758" spans="5:40">
      <c r="E2758" s="11"/>
      <c r="F27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8" s="13"/>
      <c r="H2758" s="13"/>
      <c r="I2758" s="12" t="str">
        <f>Table1[[#This Row],[type]]</f>
        <v>table</v>
      </c>
      <c r="J2758" s="62" t="str">
        <f>Table1[[#This Row],[Column42]]&amp;IF(Table1[[#This Row],[Column13]]="","",Table1[[#This Row],[Column13]])&amp;IF(Table1[[#This Row],[mod]]="","",Table1[[#This Row],[mod]])</f>
        <v>table__colorful_list--accent_01</v>
      </c>
      <c r="K27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58" t="s">
        <v>91</v>
      </c>
      <c r="M2758" t="s">
        <v>3460</v>
      </c>
      <c r="Q27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758" t="s">
        <v>3462</v>
      </c>
      <c r="AB2758" s="29"/>
      <c r="AC2758" s="25"/>
      <c r="AD2758" s="41"/>
      <c r="AE2758" s="41"/>
      <c r="AF2758" s="11" t="s">
        <v>282</v>
      </c>
      <c r="AH2758" s="1" t="str">
        <f>Table1[[#This Row],[html_tag]]&amp;Table1[[#This Row],[html_type]]&amp;Table1[[#This Row],[html_modifier]]</f>
        <v/>
      </c>
      <c r="AL2758" s="22" t="str">
        <f>IFERROR(_xlfn.XLOOKUP(Table1[[#This Row],[word]],Table57[English style name],Table57[Style type]),"")</f>
        <v>Table</v>
      </c>
      <c r="AM2758" s="20" t="s">
        <v>961</v>
      </c>
      <c r="AN2758" s="11"/>
    </row>
    <row r="2759" spans="5:40">
      <c r="E2759" s="11"/>
      <c r="F27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9" s="13"/>
      <c r="H2759" s="13"/>
      <c r="I2759" s="12" t="str">
        <f>Table1[[#This Row],[type]]</f>
        <v>table</v>
      </c>
      <c r="J2759" s="62" t="str">
        <f>Table1[[#This Row],[Column42]]&amp;IF(Table1[[#This Row],[Column13]]="","",Table1[[#This Row],[Column13]])&amp;IF(Table1[[#This Row],[mod]]="","",Table1[[#This Row],[mod]])</f>
        <v>table__colorful_list--accent_02</v>
      </c>
      <c r="K27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59" t="s">
        <v>91</v>
      </c>
      <c r="M2759" t="s">
        <v>3460</v>
      </c>
      <c r="Q27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759" t="s">
        <v>3467</v>
      </c>
      <c r="AB2759" s="29"/>
      <c r="AC2759" s="25"/>
      <c r="AD2759" s="41"/>
      <c r="AE2759" s="41"/>
      <c r="AF2759" s="11" t="s">
        <v>282</v>
      </c>
      <c r="AH2759" s="1" t="str">
        <f>Table1[[#This Row],[html_tag]]&amp;Table1[[#This Row],[html_type]]&amp;Table1[[#This Row],[html_modifier]]</f>
        <v/>
      </c>
      <c r="AL2759" s="22" t="str">
        <f>IFERROR(_xlfn.XLOOKUP(Table1[[#This Row],[word]],Table57[English style name],Table57[Style type]),"")</f>
        <v>Table</v>
      </c>
      <c r="AM2759" s="20" t="s">
        <v>975</v>
      </c>
      <c r="AN2759" s="11"/>
    </row>
    <row r="2760" spans="5:40">
      <c r="E2760" s="11"/>
      <c r="F27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0" s="13"/>
      <c r="H2760" s="13"/>
      <c r="I2760" s="12" t="str">
        <f>Table1[[#This Row],[type]]</f>
        <v>table</v>
      </c>
      <c r="J2760" s="62" t="str">
        <f>Table1[[#This Row],[Column42]]&amp;IF(Table1[[#This Row],[Column13]]="","",Table1[[#This Row],[Column13]])&amp;IF(Table1[[#This Row],[mod]]="","",Table1[[#This Row],[mod]])</f>
        <v>table__colorful_list--accent_03</v>
      </c>
      <c r="K27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60" t="s">
        <v>91</v>
      </c>
      <c r="M2760" t="s">
        <v>3460</v>
      </c>
      <c r="Q27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760" t="s">
        <v>3468</v>
      </c>
      <c r="AB2760" s="29"/>
      <c r="AC2760" s="25"/>
      <c r="AD2760" s="41"/>
      <c r="AE2760" s="41"/>
      <c r="AF2760" s="11" t="s">
        <v>282</v>
      </c>
      <c r="AH2760" s="1" t="str">
        <f>Table1[[#This Row],[html_tag]]&amp;Table1[[#This Row],[html_type]]&amp;Table1[[#This Row],[html_modifier]]</f>
        <v/>
      </c>
      <c r="AL2760" s="22" t="str">
        <f>IFERROR(_xlfn.XLOOKUP(Table1[[#This Row],[word]],Table57[English style name],Table57[Style type]),"")</f>
        <v>Table</v>
      </c>
      <c r="AM2760" s="20" t="s">
        <v>989</v>
      </c>
      <c r="AN2760" s="11"/>
    </row>
    <row r="2761" spans="5:40">
      <c r="E2761" s="11"/>
      <c r="F27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1" s="13"/>
      <c r="H2761" s="13"/>
      <c r="I2761" s="12" t="str">
        <f>Table1[[#This Row],[type]]</f>
        <v>table</v>
      </c>
      <c r="J2761" s="62" t="str">
        <f>Table1[[#This Row],[Column42]]&amp;IF(Table1[[#This Row],[Column13]]="","",Table1[[#This Row],[Column13]])&amp;IF(Table1[[#This Row],[mod]]="","",Table1[[#This Row],[mod]])</f>
        <v>table__colorful_list--accent_04</v>
      </c>
      <c r="K27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61" t="s">
        <v>91</v>
      </c>
      <c r="M2761" t="s">
        <v>3460</v>
      </c>
      <c r="Q27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761" t="s">
        <v>3469</v>
      </c>
      <c r="AB2761" s="29"/>
      <c r="AC2761" s="25"/>
      <c r="AD2761" s="41"/>
      <c r="AE2761" s="41"/>
      <c r="AF2761" s="11" t="s">
        <v>282</v>
      </c>
      <c r="AH2761" s="1" t="str">
        <f>Table1[[#This Row],[html_tag]]&amp;Table1[[#This Row],[html_type]]&amp;Table1[[#This Row],[html_modifier]]</f>
        <v/>
      </c>
      <c r="AL2761" s="22" t="str">
        <f>IFERROR(_xlfn.XLOOKUP(Table1[[#This Row],[word]],Table57[English style name],Table57[Style type]),"")</f>
        <v>Table</v>
      </c>
      <c r="AM2761" s="20" t="s">
        <v>1003</v>
      </c>
      <c r="AN2761" s="11"/>
    </row>
    <row r="2762" spans="5:40">
      <c r="E2762" s="11"/>
      <c r="F27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2" s="13"/>
      <c r="H2762" s="13"/>
      <c r="I2762" s="12" t="str">
        <f>Table1[[#This Row],[type]]</f>
        <v>table</v>
      </c>
      <c r="J2762" s="62" t="str">
        <f>Table1[[#This Row],[Column42]]&amp;IF(Table1[[#This Row],[Column13]]="","",Table1[[#This Row],[Column13]])&amp;IF(Table1[[#This Row],[mod]]="","",Table1[[#This Row],[mod]])</f>
        <v>table__colorful_list--accent_05</v>
      </c>
      <c r="K27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62" t="s">
        <v>91</v>
      </c>
      <c r="M2762" t="s">
        <v>3460</v>
      </c>
      <c r="Q27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762" t="s">
        <v>3470</v>
      </c>
      <c r="AB2762" s="29"/>
      <c r="AC2762" s="25"/>
      <c r="AD2762" s="41"/>
      <c r="AE2762" s="41"/>
      <c r="AF2762" s="11" t="s">
        <v>282</v>
      </c>
      <c r="AH2762" s="1" t="str">
        <f>Table1[[#This Row],[html_tag]]&amp;Table1[[#This Row],[html_type]]&amp;Table1[[#This Row],[html_modifier]]</f>
        <v/>
      </c>
      <c r="AL2762" s="22" t="str">
        <f>IFERROR(_xlfn.XLOOKUP(Table1[[#This Row],[word]],Table57[English style name],Table57[Style type]),"")</f>
        <v>Table</v>
      </c>
      <c r="AM2762" s="20" t="s">
        <v>1017</v>
      </c>
      <c r="AN2762" s="11"/>
    </row>
    <row r="2763" spans="5:40">
      <c r="E2763" s="11"/>
      <c r="F27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3" s="13"/>
      <c r="H2763" s="13"/>
      <c r="I2763" s="12" t="str">
        <f>Table1[[#This Row],[type]]</f>
        <v>table</v>
      </c>
      <c r="J2763" s="62" t="str">
        <f>Table1[[#This Row],[Column42]]&amp;IF(Table1[[#This Row],[Column13]]="","",Table1[[#This Row],[Column13]])&amp;IF(Table1[[#This Row],[mod]]="","",Table1[[#This Row],[mod]])</f>
        <v>table__colorful_list--accent_06</v>
      </c>
      <c r="K27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63" t="s">
        <v>91</v>
      </c>
      <c r="M2763" t="s">
        <v>3460</v>
      </c>
      <c r="Q27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763" t="s">
        <v>3471</v>
      </c>
      <c r="AB2763" s="29"/>
      <c r="AC2763" s="25"/>
      <c r="AD2763" s="41"/>
      <c r="AE2763" s="41"/>
      <c r="AF2763" s="11" t="s">
        <v>282</v>
      </c>
      <c r="AH2763" s="1" t="str">
        <f>Table1[[#This Row],[html_tag]]&amp;Table1[[#This Row],[html_type]]&amp;Table1[[#This Row],[html_modifier]]</f>
        <v/>
      </c>
      <c r="AL2763" s="22" t="str">
        <f>IFERROR(_xlfn.XLOOKUP(Table1[[#This Row],[word]],Table57[English style name],Table57[Style type]),"")</f>
        <v>Table</v>
      </c>
      <c r="AM2763" s="20" t="s">
        <v>1031</v>
      </c>
      <c r="AN2763" s="11"/>
    </row>
    <row r="2764" spans="5:40">
      <c r="E2764" s="11"/>
      <c r="F27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4" s="13"/>
      <c r="H2764" s="13"/>
      <c r="I2764" s="12" t="str">
        <f>Table1[[#This Row],[type]]</f>
        <v>table</v>
      </c>
      <c r="J2764" s="62" t="str">
        <f>Table1[[#This Row],[Column42]]&amp;IF(Table1[[#This Row],[Column13]]="","",Table1[[#This Row],[Column13]])&amp;IF(Table1[[#This Row],[mod]]="","",Table1[[#This Row],[mod]])</f>
        <v>table__colorful_shading</v>
      </c>
      <c r="K27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4" t="s">
        <v>91</v>
      </c>
      <c r="M2764" t="s">
        <v>3461</v>
      </c>
      <c r="Q27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64" s="29"/>
      <c r="AC2764" s="25"/>
      <c r="AD2764" s="41"/>
      <c r="AE2764" s="41"/>
      <c r="AF2764" s="11" t="s">
        <v>282</v>
      </c>
      <c r="AH2764" s="1" t="str">
        <f>Table1[[#This Row],[html_tag]]&amp;Table1[[#This Row],[html_type]]&amp;Table1[[#This Row],[html_modifier]]</f>
        <v/>
      </c>
      <c r="AL2764" s="22" t="str">
        <f>IFERROR(_xlfn.XLOOKUP(Table1[[#This Row],[word]],Table57[English style name],Table57[Style type]),"")</f>
        <v>Table</v>
      </c>
      <c r="AM2764" s="20" t="s">
        <v>938</v>
      </c>
      <c r="AN2764" s="11"/>
    </row>
    <row r="2765" spans="5:40">
      <c r="E2765" s="11"/>
      <c r="F27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5" s="13"/>
      <c r="H2765" s="13"/>
      <c r="I2765" s="12" t="str">
        <f>Table1[[#This Row],[type]]</f>
        <v>table</v>
      </c>
      <c r="J2765" s="62" t="str">
        <f>Table1[[#This Row],[Column42]]&amp;IF(Table1[[#This Row],[Column13]]="","",Table1[[#This Row],[Column13]])&amp;IF(Table1[[#This Row],[mod]]="","",Table1[[#This Row],[mod]])</f>
        <v>table__colorful_shading--accent_01</v>
      </c>
      <c r="K27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5" t="s">
        <v>91</v>
      </c>
      <c r="M2765" t="s">
        <v>3461</v>
      </c>
      <c r="Q27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765" t="s">
        <v>3462</v>
      </c>
      <c r="AB2765" s="29"/>
      <c r="AC2765" s="25"/>
      <c r="AD2765" s="41"/>
      <c r="AE2765" s="41"/>
      <c r="AF2765" s="11" t="s">
        <v>282</v>
      </c>
      <c r="AH2765" s="1" t="str">
        <f>Table1[[#This Row],[html_tag]]&amp;Table1[[#This Row],[html_type]]&amp;Table1[[#This Row],[html_modifier]]</f>
        <v/>
      </c>
      <c r="AL2765" s="22" t="str">
        <f>IFERROR(_xlfn.XLOOKUP(Table1[[#This Row],[word]],Table57[English style name],Table57[Style type]),"")</f>
        <v>Table</v>
      </c>
      <c r="AM2765" s="20" t="s">
        <v>960</v>
      </c>
      <c r="AN2765" s="11"/>
    </row>
    <row r="2766" spans="5:40">
      <c r="E2766" s="11"/>
      <c r="F27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6" s="13"/>
      <c r="H2766" s="13"/>
      <c r="I2766" s="12" t="str">
        <f>Table1[[#This Row],[type]]</f>
        <v>table</v>
      </c>
      <c r="J2766" s="62" t="str">
        <f>Table1[[#This Row],[Column42]]&amp;IF(Table1[[#This Row],[Column13]]="","",Table1[[#This Row],[Column13]])&amp;IF(Table1[[#This Row],[mod]]="","",Table1[[#This Row],[mod]])</f>
        <v>table__colorful_shading--accent_02</v>
      </c>
      <c r="K27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6" t="s">
        <v>91</v>
      </c>
      <c r="M2766" t="s">
        <v>3461</v>
      </c>
      <c r="Q27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766" t="s">
        <v>3467</v>
      </c>
      <c r="AB2766" s="29"/>
      <c r="AC2766" s="25"/>
      <c r="AD2766" s="41"/>
      <c r="AE2766" s="41"/>
      <c r="AF2766" s="11" t="s">
        <v>282</v>
      </c>
      <c r="AH2766" s="1" t="str">
        <f>Table1[[#This Row],[html_tag]]&amp;Table1[[#This Row],[html_type]]&amp;Table1[[#This Row],[html_modifier]]</f>
        <v/>
      </c>
      <c r="AL2766" s="22" t="str">
        <f>IFERROR(_xlfn.XLOOKUP(Table1[[#This Row],[word]],Table57[English style name],Table57[Style type]),"")</f>
        <v>Table</v>
      </c>
      <c r="AM2766" s="20" t="s">
        <v>974</v>
      </c>
      <c r="AN2766" s="11"/>
    </row>
    <row r="2767" spans="5:40">
      <c r="E2767" s="11"/>
      <c r="F27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7" s="13"/>
      <c r="H2767" s="13"/>
      <c r="I2767" s="12" t="str">
        <f>Table1[[#This Row],[type]]</f>
        <v>table</v>
      </c>
      <c r="J2767" s="62" t="str">
        <f>Table1[[#This Row],[Column42]]&amp;IF(Table1[[#This Row],[Column13]]="","",Table1[[#This Row],[Column13]])&amp;IF(Table1[[#This Row],[mod]]="","",Table1[[#This Row],[mod]])</f>
        <v>table__colorful_shading--accent_03</v>
      </c>
      <c r="K27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7" t="s">
        <v>91</v>
      </c>
      <c r="M2767" t="s">
        <v>3461</v>
      </c>
      <c r="Q27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767" t="s">
        <v>3468</v>
      </c>
      <c r="AB2767" s="29"/>
      <c r="AC2767" s="25"/>
      <c r="AD2767" s="41"/>
      <c r="AE2767" s="41"/>
      <c r="AF2767" s="11" t="s">
        <v>282</v>
      </c>
      <c r="AH2767" s="1" t="str">
        <f>Table1[[#This Row],[html_tag]]&amp;Table1[[#This Row],[html_type]]&amp;Table1[[#This Row],[html_modifier]]</f>
        <v/>
      </c>
      <c r="AL2767" s="22" t="str">
        <f>IFERROR(_xlfn.XLOOKUP(Table1[[#This Row],[word]],Table57[English style name],Table57[Style type]),"")</f>
        <v>Table</v>
      </c>
      <c r="AM2767" s="20" t="s">
        <v>988</v>
      </c>
      <c r="AN2767" s="11"/>
    </row>
    <row r="2768" spans="5:40">
      <c r="E2768" s="11"/>
      <c r="F27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8" s="13"/>
      <c r="H2768" s="13"/>
      <c r="I2768" s="12" t="str">
        <f>Table1[[#This Row],[type]]</f>
        <v>table</v>
      </c>
      <c r="J2768" s="62" t="str">
        <f>Table1[[#This Row],[Column42]]&amp;IF(Table1[[#This Row],[Column13]]="","",Table1[[#This Row],[Column13]])&amp;IF(Table1[[#This Row],[mod]]="","",Table1[[#This Row],[mod]])</f>
        <v>table__colorful_shading--accent_04</v>
      </c>
      <c r="K27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8" t="s">
        <v>91</v>
      </c>
      <c r="M2768" t="s">
        <v>3461</v>
      </c>
      <c r="Q27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768" t="s">
        <v>3469</v>
      </c>
      <c r="AB2768" s="29"/>
      <c r="AC2768" s="25"/>
      <c r="AD2768" s="41"/>
      <c r="AE2768" s="41"/>
      <c r="AF2768" s="11" t="s">
        <v>282</v>
      </c>
      <c r="AH2768" s="1" t="str">
        <f>Table1[[#This Row],[html_tag]]&amp;Table1[[#This Row],[html_type]]&amp;Table1[[#This Row],[html_modifier]]</f>
        <v/>
      </c>
      <c r="AL2768" s="22" t="str">
        <f>IFERROR(_xlfn.XLOOKUP(Table1[[#This Row],[word]],Table57[English style name],Table57[Style type]),"")</f>
        <v>Table</v>
      </c>
      <c r="AM2768" s="20" t="s">
        <v>1002</v>
      </c>
      <c r="AN2768" s="11"/>
    </row>
    <row r="2769" spans="4:44">
      <c r="E2769" s="11"/>
      <c r="F27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9" s="13"/>
      <c r="H2769" s="13"/>
      <c r="I2769" s="12" t="str">
        <f>Table1[[#This Row],[type]]</f>
        <v>table</v>
      </c>
      <c r="J2769" s="62" t="str">
        <f>Table1[[#This Row],[Column42]]&amp;IF(Table1[[#This Row],[Column13]]="","",Table1[[#This Row],[Column13]])&amp;IF(Table1[[#This Row],[mod]]="","",Table1[[#This Row],[mod]])</f>
        <v>table__colorful_shading--accent_05</v>
      </c>
      <c r="K27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9" t="s">
        <v>91</v>
      </c>
      <c r="M2769" t="s">
        <v>3461</v>
      </c>
      <c r="Q27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769" t="s">
        <v>3470</v>
      </c>
      <c r="AB2769" s="29"/>
      <c r="AC2769" s="25"/>
      <c r="AD2769" s="41"/>
      <c r="AE2769" s="41"/>
      <c r="AF2769" s="11" t="s">
        <v>282</v>
      </c>
      <c r="AH2769" s="1" t="str">
        <f>Table1[[#This Row],[html_tag]]&amp;Table1[[#This Row],[html_type]]&amp;Table1[[#This Row],[html_modifier]]</f>
        <v/>
      </c>
      <c r="AL2769" s="22" t="str">
        <f>IFERROR(_xlfn.XLOOKUP(Table1[[#This Row],[word]],Table57[English style name],Table57[Style type]),"")</f>
        <v>Table</v>
      </c>
      <c r="AM2769" s="20" t="s">
        <v>1016</v>
      </c>
      <c r="AN2769" s="11"/>
    </row>
    <row r="2770" spans="4:44">
      <c r="E2770" s="11"/>
      <c r="F27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0" s="13"/>
      <c r="H2770" s="13"/>
      <c r="I2770" s="12" t="str">
        <f>Table1[[#This Row],[type]]</f>
        <v>table</v>
      </c>
      <c r="J2770" s="62" t="str">
        <f>Table1[[#This Row],[Column42]]&amp;IF(Table1[[#This Row],[Column13]]="","",Table1[[#This Row],[Column13]])&amp;IF(Table1[[#This Row],[mod]]="","",Table1[[#This Row],[mod]])</f>
        <v>table__colorful_shading--accent_06</v>
      </c>
      <c r="K27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70" t="s">
        <v>91</v>
      </c>
      <c r="M2770" t="s">
        <v>3461</v>
      </c>
      <c r="Q27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770" t="s">
        <v>3471</v>
      </c>
      <c r="AB2770" s="29"/>
      <c r="AC2770" s="25"/>
      <c r="AD2770" s="41"/>
      <c r="AE2770" s="41"/>
      <c r="AF2770" s="11" t="s">
        <v>282</v>
      </c>
      <c r="AH2770" s="1" t="str">
        <f>Table1[[#This Row],[html_tag]]&amp;Table1[[#This Row],[html_type]]&amp;Table1[[#This Row],[html_modifier]]</f>
        <v/>
      </c>
      <c r="AL2770" s="22" t="str">
        <f>IFERROR(_xlfn.XLOOKUP(Table1[[#This Row],[word]],Table57[English style name],Table57[Style type]),"")</f>
        <v>Table</v>
      </c>
      <c r="AM2770" s="20" t="s">
        <v>1030</v>
      </c>
      <c r="AN2770" s="11"/>
    </row>
    <row r="2771" spans="4:44">
      <c r="E2771" s="11"/>
      <c r="F27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1" s="13"/>
      <c r="H2771" s="13"/>
      <c r="I2771" s="12" t="str">
        <f>Table1[[#This Row],[type]]</f>
        <v>table</v>
      </c>
      <c r="J2771" s="62" t="str">
        <f>Table1[[#This Row],[Column42]]&amp;IF(Table1[[#This Row],[Column13]]="","",Table1[[#This Row],[Column13]])&amp;IF(Table1[[#This Row],[mod]]="","",Table1[[#This Row],[mod]])</f>
        <v>table__dark_list</v>
      </c>
      <c r="K27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1" t="s">
        <v>91</v>
      </c>
      <c r="M2771" t="s">
        <v>3472</v>
      </c>
      <c r="Q27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71" s="29"/>
      <c r="AC2771" s="25"/>
      <c r="AD2771" s="41"/>
      <c r="AE2771" s="41"/>
      <c r="AF2771" s="11" t="s">
        <v>282</v>
      </c>
      <c r="AH2771" s="1" t="str">
        <f>Table1[[#This Row],[html_tag]]&amp;Table1[[#This Row],[html_type]]&amp;Table1[[#This Row],[html_modifier]]</f>
        <v/>
      </c>
      <c r="AL2771" s="22" t="str">
        <f>IFERROR(_xlfn.XLOOKUP(Table1[[#This Row],[word]],Table57[English style name],Table57[Style type]),"")</f>
        <v>Table</v>
      </c>
      <c r="AM2771" s="20" t="s">
        <v>936</v>
      </c>
      <c r="AN2771" s="11"/>
    </row>
    <row r="2772" spans="4:44">
      <c r="E2772" s="11"/>
      <c r="F27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2" s="13"/>
      <c r="H2772" s="13"/>
      <c r="I2772" s="12" t="str">
        <f>Table1[[#This Row],[type]]</f>
        <v>table</v>
      </c>
      <c r="J2772" s="62" t="str">
        <f>Table1[[#This Row],[Column42]]&amp;IF(Table1[[#This Row],[Column13]]="","",Table1[[#This Row],[Column13]])&amp;IF(Table1[[#This Row],[mod]]="","",Table1[[#This Row],[mod]])</f>
        <v>table__dark_list--accent_01</v>
      </c>
      <c r="K27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2" t="s">
        <v>91</v>
      </c>
      <c r="M2772" t="s">
        <v>3472</v>
      </c>
      <c r="Q27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772" t="s">
        <v>3462</v>
      </c>
      <c r="AB2772" s="29"/>
      <c r="AC2772" s="25"/>
      <c r="AD2772" s="41"/>
      <c r="AE2772" s="41"/>
      <c r="AF2772" s="11" t="s">
        <v>282</v>
      </c>
      <c r="AH2772" s="1" t="str">
        <f>Table1[[#This Row],[html_tag]]&amp;Table1[[#This Row],[html_type]]&amp;Table1[[#This Row],[html_modifier]]</f>
        <v/>
      </c>
      <c r="AL2772" s="22" t="str">
        <f>IFERROR(_xlfn.XLOOKUP(Table1[[#This Row],[word]],Table57[English style name],Table57[Style type]),"")</f>
        <v>Table</v>
      </c>
      <c r="AM2772" s="20" t="s">
        <v>959</v>
      </c>
      <c r="AN2772" s="11"/>
    </row>
    <row r="2773" spans="4:44">
      <c r="E2773" s="11"/>
      <c r="F27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3" s="13"/>
      <c r="H2773" s="13"/>
      <c r="I2773" s="12" t="str">
        <f>Table1[[#This Row],[type]]</f>
        <v>table</v>
      </c>
      <c r="J2773" s="62" t="str">
        <f>Table1[[#This Row],[Column42]]&amp;IF(Table1[[#This Row],[Column13]]="","",Table1[[#This Row],[Column13]])&amp;IF(Table1[[#This Row],[mod]]="","",Table1[[#This Row],[mod]])</f>
        <v>table__dark_list--accent_02</v>
      </c>
      <c r="K27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3" t="s">
        <v>91</v>
      </c>
      <c r="M2773" t="s">
        <v>3472</v>
      </c>
      <c r="Q27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773" t="s">
        <v>3467</v>
      </c>
      <c r="AB2773" s="29"/>
      <c r="AC2773" s="25"/>
      <c r="AD2773" s="41"/>
      <c r="AE2773" s="41"/>
      <c r="AF2773" s="11" t="s">
        <v>282</v>
      </c>
      <c r="AH2773" s="1" t="str">
        <f>Table1[[#This Row],[html_tag]]&amp;Table1[[#This Row],[html_type]]&amp;Table1[[#This Row],[html_modifier]]</f>
        <v/>
      </c>
      <c r="AL2773" s="22" t="str">
        <f>IFERROR(_xlfn.XLOOKUP(Table1[[#This Row],[word]],Table57[English style name],Table57[Style type]),"")</f>
        <v>Table</v>
      </c>
      <c r="AM2773" s="20" t="s">
        <v>973</v>
      </c>
      <c r="AN2773" s="11"/>
    </row>
    <row r="2774" spans="4:44">
      <c r="E2774" s="11"/>
      <c r="F27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4" s="13"/>
      <c r="H2774" s="13"/>
      <c r="I2774" s="12" t="str">
        <f>Table1[[#This Row],[type]]</f>
        <v>table</v>
      </c>
      <c r="J2774" s="62" t="str">
        <f>Table1[[#This Row],[Column42]]&amp;IF(Table1[[#This Row],[Column13]]="","",Table1[[#This Row],[Column13]])&amp;IF(Table1[[#This Row],[mod]]="","",Table1[[#This Row],[mod]])</f>
        <v>table__dark_list--accent_03</v>
      </c>
      <c r="K27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4" t="s">
        <v>91</v>
      </c>
      <c r="M2774" t="s">
        <v>3472</v>
      </c>
      <c r="Q27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774" t="s">
        <v>3468</v>
      </c>
      <c r="AB2774" s="29"/>
      <c r="AC2774" s="25"/>
      <c r="AD2774" s="41"/>
      <c r="AE2774" s="41"/>
      <c r="AF2774" s="11" t="s">
        <v>282</v>
      </c>
      <c r="AH2774" s="1" t="str">
        <f>Table1[[#This Row],[html_tag]]&amp;Table1[[#This Row],[html_type]]&amp;Table1[[#This Row],[html_modifier]]</f>
        <v/>
      </c>
      <c r="AL2774" s="22" t="str">
        <f>IFERROR(_xlfn.XLOOKUP(Table1[[#This Row],[word]],Table57[English style name],Table57[Style type]),"")</f>
        <v>Table</v>
      </c>
      <c r="AM2774" s="20" t="s">
        <v>987</v>
      </c>
      <c r="AN2774" s="11"/>
    </row>
    <row r="2775" spans="4:44">
      <c r="E2775" s="11"/>
      <c r="F27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5" s="13"/>
      <c r="H2775" s="13"/>
      <c r="I2775" s="12" t="str">
        <f>Table1[[#This Row],[type]]</f>
        <v>table</v>
      </c>
      <c r="J2775" s="62" t="str">
        <f>Table1[[#This Row],[Column42]]&amp;IF(Table1[[#This Row],[Column13]]="","",Table1[[#This Row],[Column13]])&amp;IF(Table1[[#This Row],[mod]]="","",Table1[[#This Row],[mod]])</f>
        <v>table__dark_list--accent_04</v>
      </c>
      <c r="K27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5" t="s">
        <v>91</v>
      </c>
      <c r="M2775" t="s">
        <v>3472</v>
      </c>
      <c r="Q27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775" t="s">
        <v>3469</v>
      </c>
      <c r="AB2775" s="29"/>
      <c r="AC2775" s="25"/>
      <c r="AD2775" s="41"/>
      <c r="AE2775" s="41"/>
      <c r="AF2775" s="11" t="s">
        <v>282</v>
      </c>
      <c r="AH2775" s="1" t="str">
        <f>Table1[[#This Row],[html_tag]]&amp;Table1[[#This Row],[html_type]]&amp;Table1[[#This Row],[html_modifier]]</f>
        <v/>
      </c>
      <c r="AL2775" s="22" t="str">
        <f>IFERROR(_xlfn.XLOOKUP(Table1[[#This Row],[word]],Table57[English style name],Table57[Style type]),"")</f>
        <v>Table</v>
      </c>
      <c r="AM2775" s="20" t="s">
        <v>1001</v>
      </c>
      <c r="AN2775" s="11"/>
    </row>
    <row r="2776" spans="4:44">
      <c r="E2776" s="11"/>
      <c r="F27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6" s="13"/>
      <c r="H2776" s="13"/>
      <c r="I2776" s="12" t="str">
        <f>Table1[[#This Row],[type]]</f>
        <v>table</v>
      </c>
      <c r="J2776" s="62" t="str">
        <f>Table1[[#This Row],[Column42]]&amp;IF(Table1[[#This Row],[Column13]]="","",Table1[[#This Row],[Column13]])&amp;IF(Table1[[#This Row],[mod]]="","",Table1[[#This Row],[mod]])</f>
        <v>table__dark_list--accent_05</v>
      </c>
      <c r="K27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6" t="s">
        <v>91</v>
      </c>
      <c r="M2776" t="s">
        <v>3472</v>
      </c>
      <c r="Q27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776" t="s">
        <v>3470</v>
      </c>
      <c r="AB2776" s="29"/>
      <c r="AC2776" s="25"/>
      <c r="AD2776" s="41"/>
      <c r="AE2776" s="41"/>
      <c r="AF2776" s="11" t="s">
        <v>282</v>
      </c>
      <c r="AH2776" s="1" t="str">
        <f>Table1[[#This Row],[html_tag]]&amp;Table1[[#This Row],[html_type]]&amp;Table1[[#This Row],[html_modifier]]</f>
        <v/>
      </c>
      <c r="AL2776" s="22" t="str">
        <f>IFERROR(_xlfn.XLOOKUP(Table1[[#This Row],[word]],Table57[English style name],Table57[Style type]),"")</f>
        <v>Table</v>
      </c>
      <c r="AM2776" s="20" t="s">
        <v>1015</v>
      </c>
      <c r="AN2776" s="11"/>
    </row>
    <row r="2777" spans="4:44">
      <c r="E2777" s="11"/>
      <c r="F27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7" s="13"/>
      <c r="H2777" s="13"/>
      <c r="I2777" s="12" t="str">
        <f>Table1[[#This Row],[type]]</f>
        <v>table</v>
      </c>
      <c r="J2777" s="62" t="str">
        <f>Table1[[#This Row],[Column42]]&amp;IF(Table1[[#This Row],[Column13]]="","",Table1[[#This Row],[Column13]])&amp;IF(Table1[[#This Row],[mod]]="","",Table1[[#This Row],[mod]])</f>
        <v>table__dark_list--accent_06</v>
      </c>
      <c r="K27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7" t="s">
        <v>91</v>
      </c>
      <c r="M2777" t="s">
        <v>3472</v>
      </c>
      <c r="Q27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777" t="s">
        <v>3471</v>
      </c>
      <c r="AB2777" s="29"/>
      <c r="AC2777" s="25"/>
      <c r="AD2777" s="41"/>
      <c r="AE2777" s="41"/>
      <c r="AF2777" s="11" t="s">
        <v>282</v>
      </c>
      <c r="AH2777" s="1" t="str">
        <f>Table1[[#This Row],[html_tag]]&amp;Table1[[#This Row],[html_type]]&amp;Table1[[#This Row],[html_modifier]]</f>
        <v/>
      </c>
      <c r="AL2777" s="22" t="str">
        <f>IFERROR(_xlfn.XLOOKUP(Table1[[#This Row],[word]],Table57[English style name],Table57[Style type]),"")</f>
        <v>Table</v>
      </c>
      <c r="AM2777" s="20" t="s">
        <v>1029</v>
      </c>
      <c r="AN2777" s="11"/>
    </row>
    <row r="2778" spans="4:44">
      <c r="E2778" s="11"/>
      <c r="F27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78" s="13" t="s">
        <v>337</v>
      </c>
      <c r="H2778" s="13" t="s">
        <v>2987</v>
      </c>
      <c r="I2778" s="12" t="str">
        <f>Table1[[#This Row],[type]]</f>
        <v>table</v>
      </c>
      <c r="J2778" s="62" t="str">
        <f>Table1[[#This Row],[Column42]]&amp;IF(Table1[[#This Row],[Column13]]="","",Table1[[#This Row],[Column13]])&amp;IF(Table1[[#This Row],[mod]]="","",Table1[[#This Row],[mod]])</f>
        <v>table__data--base</v>
      </c>
      <c r="K27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table__data</v>
      </c>
      <c r="L2778" t="s">
        <v>91</v>
      </c>
      <c r="M2778" t="s">
        <v>530</v>
      </c>
      <c r="P2778" s="6"/>
      <c r="Q27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778" t="s">
        <v>338</v>
      </c>
      <c r="AB2778" s="29"/>
      <c r="AC2778" s="25"/>
      <c r="AD2778" s="41"/>
      <c r="AE2778" s="41"/>
      <c r="AF2778" s="11"/>
      <c r="AH2778" s="1" t="str">
        <f>Table1[[#This Row],[html_tag]]&amp;Table1[[#This Row],[html_type]]&amp;Table1[[#This Row],[html_modifier]]</f>
        <v/>
      </c>
      <c r="AL2778" s="22" t="str">
        <f>IFERROR(_xlfn.XLOOKUP(Table1[[#This Row],[word]],Table57[English style name],Table57[Style type]),"")</f>
        <v/>
      </c>
      <c r="AM2778" s="20"/>
      <c r="AN2778" s="11"/>
      <c r="AQ2778" s="6" t="s">
        <v>2736</v>
      </c>
      <c r="AR2778" t="s">
        <v>2735</v>
      </c>
    </row>
    <row r="2779" spans="4:44">
      <c r="D2779" t="s">
        <v>3320</v>
      </c>
      <c r="E2779" s="11"/>
      <c r="F27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9" s="13"/>
      <c r="H2779" s="13"/>
      <c r="I2779" s="12" t="str">
        <f>Table1[[#This Row],[type]]</f>
        <v>table</v>
      </c>
      <c r="J2779" s="62" t="str">
        <f>Table1[[#This Row],[Column42]]&amp;IF(Table1[[#This Row],[Column13]]="","",Table1[[#This Row],[Column13]])&amp;IF(Table1[[#This Row],[mod]]="","",Table1[[#This Row],[mod]])</f>
        <v>table__footnote</v>
      </c>
      <c r="K27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table__footnote</v>
      </c>
      <c r="L2779" t="s">
        <v>91</v>
      </c>
      <c r="M2779" t="s">
        <v>330</v>
      </c>
      <c r="Q27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79" s="29"/>
      <c r="AC2779" s="25"/>
      <c r="AD2779" s="41"/>
      <c r="AE2779" s="41"/>
      <c r="AF2779" s="11"/>
      <c r="AH2779" s="7" t="str">
        <f>Table1[[#This Row],[html_tag]]&amp;Table1[[#This Row],[html_type]]&amp;Table1[[#This Row],[html_modifier]]</f>
        <v/>
      </c>
      <c r="AL2779" s="23" t="str">
        <f>IFERROR(_xlfn.XLOOKUP(Table1[[#This Row],[word]],Table57[English style name],Table57[Style type]),"")</f>
        <v/>
      </c>
      <c r="AM2779" s="21"/>
      <c r="AN2779" s="11"/>
    </row>
    <row r="2780" spans="4:44">
      <c r="E2780" s="11"/>
      <c r="F27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0" s="13"/>
      <c r="H2780" s="13"/>
      <c r="I2780" s="12" t="str">
        <f>Table1[[#This Row],[type]]</f>
        <v>table</v>
      </c>
      <c r="J2780" s="62" t="str">
        <f>Table1[[#This Row],[Column42]]&amp;IF(Table1[[#This Row],[Column13]]="","",Table1[[#This Row],[Column13]])&amp;IF(Table1[[#This Row],[mod]]="","",Table1[[#This Row],[mod]])</f>
        <v>table__grid</v>
      </c>
      <c r="K27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0" t="s">
        <v>91</v>
      </c>
      <c r="M2780" t="s">
        <v>3133</v>
      </c>
      <c r="P2780" t="s">
        <v>1039</v>
      </c>
      <c r="Q27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0" s="29"/>
      <c r="AC2780" s="25"/>
      <c r="AD2780" s="41"/>
      <c r="AE2780" s="41"/>
      <c r="AF2780" s="11" t="s">
        <v>282</v>
      </c>
      <c r="AH2780" s="1" t="str">
        <f>Table1[[#This Row],[html_tag]]&amp;Table1[[#This Row],[html_type]]&amp;Table1[[#This Row],[html_modifier]]</f>
        <v/>
      </c>
      <c r="AL2780" s="22" t="str">
        <f>IFERROR(_xlfn.XLOOKUP(Table1[[#This Row],[word]],Table57[English style name],Table57[Style type]),"")</f>
        <v>Table</v>
      </c>
      <c r="AM2780" s="20" t="s">
        <v>1039</v>
      </c>
      <c r="AN2780" s="11"/>
    </row>
    <row r="2781" spans="4:44">
      <c r="E2781" s="11"/>
      <c r="F27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1" s="13"/>
      <c r="H2781" s="13"/>
      <c r="I2781" s="12" t="str">
        <f>Table1[[#This Row],[type]]</f>
        <v>table</v>
      </c>
      <c r="J2781" s="62" t="str">
        <f>Table1[[#This Row],[Column42]]&amp;IF(Table1[[#This Row],[Column13]]="","",Table1[[#This Row],[Column13]])&amp;IF(Table1[[#This Row],[mod]]="","",Table1[[#This Row],[mod]])</f>
        <v>table__grid</v>
      </c>
      <c r="K27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1" t="s">
        <v>91</v>
      </c>
      <c r="M2781" t="s">
        <v>3133</v>
      </c>
      <c r="P2781" t="s">
        <v>1040</v>
      </c>
      <c r="Q27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1" s="29"/>
      <c r="AC2781" s="25"/>
      <c r="AD2781" s="41"/>
      <c r="AE2781" s="41"/>
      <c r="AF2781" s="11" t="s">
        <v>282</v>
      </c>
      <c r="AH2781" s="1" t="str">
        <f>Table1[[#This Row],[html_tag]]&amp;Table1[[#This Row],[html_type]]&amp;Table1[[#This Row],[html_modifier]]</f>
        <v/>
      </c>
      <c r="AL2781" s="22" t="str">
        <f>IFERROR(_xlfn.XLOOKUP(Table1[[#This Row],[word]],Table57[English style name],Table57[Style type]),"")</f>
        <v>Table</v>
      </c>
      <c r="AM2781" s="20" t="s">
        <v>1040</v>
      </c>
      <c r="AN2781" s="11"/>
    </row>
    <row r="2782" spans="4:44">
      <c r="E2782" s="11"/>
      <c r="F27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2" s="13"/>
      <c r="H2782" s="13"/>
      <c r="I2782" s="12" t="str">
        <f>Table1[[#This Row],[type]]</f>
        <v>table</v>
      </c>
      <c r="J2782" s="62" t="str">
        <f>Table1[[#This Row],[Column42]]&amp;IF(Table1[[#This Row],[Column13]]="","",Table1[[#This Row],[Column13]])&amp;IF(Table1[[#This Row],[mod]]="","",Table1[[#This Row],[mod]])</f>
        <v>table__grid</v>
      </c>
      <c r="K27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2" t="s">
        <v>91</v>
      </c>
      <c r="M2782" t="s">
        <v>3133</v>
      </c>
      <c r="P2782" t="s">
        <v>1041</v>
      </c>
      <c r="Q27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2" s="29"/>
      <c r="AC2782" s="25"/>
      <c r="AD2782" s="41"/>
      <c r="AE2782" s="41"/>
      <c r="AF2782" s="11" t="s">
        <v>282</v>
      </c>
      <c r="AH2782" s="1" t="str">
        <f>Table1[[#This Row],[html_tag]]&amp;Table1[[#This Row],[html_type]]&amp;Table1[[#This Row],[html_modifier]]</f>
        <v/>
      </c>
      <c r="AL2782" s="22" t="str">
        <f>IFERROR(_xlfn.XLOOKUP(Table1[[#This Row],[word]],Table57[English style name],Table57[Style type]),"")</f>
        <v>Table</v>
      </c>
      <c r="AM2782" s="20" t="s">
        <v>1041</v>
      </c>
      <c r="AN2782" s="11"/>
    </row>
    <row r="2783" spans="4:44">
      <c r="E2783" s="11"/>
      <c r="F27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3" s="13"/>
      <c r="H2783" s="13"/>
      <c r="I2783" s="12" t="str">
        <f>Table1[[#This Row],[type]]</f>
        <v>table</v>
      </c>
      <c r="J2783" s="62" t="str">
        <f>Table1[[#This Row],[Column42]]&amp;IF(Table1[[#This Row],[Column13]]="","",Table1[[#This Row],[Column13]])&amp;IF(Table1[[#This Row],[mod]]="","",Table1[[#This Row],[mod]])</f>
        <v>table__grid</v>
      </c>
      <c r="K27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3" t="s">
        <v>91</v>
      </c>
      <c r="M2783" t="s">
        <v>3133</v>
      </c>
      <c r="P2783" t="s">
        <v>1042</v>
      </c>
      <c r="Q27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3" s="29"/>
      <c r="AC2783" s="25"/>
      <c r="AD2783" s="41"/>
      <c r="AE2783" s="41"/>
      <c r="AF2783" s="11" t="s">
        <v>282</v>
      </c>
      <c r="AH2783" s="1" t="str">
        <f>Table1[[#This Row],[html_tag]]&amp;Table1[[#This Row],[html_type]]&amp;Table1[[#This Row],[html_modifier]]</f>
        <v/>
      </c>
      <c r="AL2783" s="22" t="str">
        <f>IFERROR(_xlfn.XLOOKUP(Table1[[#This Row],[word]],Table57[English style name],Table57[Style type]),"")</f>
        <v>Table</v>
      </c>
      <c r="AM2783" s="20" t="s">
        <v>1042</v>
      </c>
      <c r="AN2783" s="11"/>
    </row>
    <row r="2784" spans="4:44">
      <c r="E2784" s="11"/>
      <c r="F27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4" s="13"/>
      <c r="H2784" s="13"/>
      <c r="I2784" s="12" t="str">
        <f>Table1[[#This Row],[type]]</f>
        <v>table</v>
      </c>
      <c r="J2784" s="62" t="str">
        <f>Table1[[#This Row],[Column42]]&amp;IF(Table1[[#This Row],[Column13]]="","",Table1[[#This Row],[Column13]])&amp;IF(Table1[[#This Row],[mod]]="","",Table1[[#This Row],[mod]])</f>
        <v>table__grid</v>
      </c>
      <c r="K27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4" t="s">
        <v>91</v>
      </c>
      <c r="M2784" t="s">
        <v>3133</v>
      </c>
      <c r="P2784" t="s">
        <v>1043</v>
      </c>
      <c r="Q27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4" s="29"/>
      <c r="AC2784" s="25"/>
      <c r="AD2784" s="41"/>
      <c r="AE2784" s="41"/>
      <c r="AF2784" s="11" t="s">
        <v>282</v>
      </c>
      <c r="AH2784" s="1" t="str">
        <f>Table1[[#This Row],[html_tag]]&amp;Table1[[#This Row],[html_type]]&amp;Table1[[#This Row],[html_modifier]]</f>
        <v/>
      </c>
      <c r="AL2784" s="22" t="str">
        <f>IFERROR(_xlfn.XLOOKUP(Table1[[#This Row],[word]],Table57[English style name],Table57[Style type]),"")</f>
        <v>Table</v>
      </c>
      <c r="AM2784" s="20" t="s">
        <v>1043</v>
      </c>
      <c r="AN2784" s="11"/>
    </row>
    <row r="2785" spans="5:40">
      <c r="E2785" s="11"/>
      <c r="F27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5" s="13"/>
      <c r="H2785" s="13"/>
      <c r="I2785" s="12" t="str">
        <f>Table1[[#This Row],[type]]</f>
        <v>table</v>
      </c>
      <c r="J2785" s="62" t="str">
        <f>Table1[[#This Row],[Column42]]&amp;IF(Table1[[#This Row],[Column13]]="","",Table1[[#This Row],[Column13]])&amp;IF(Table1[[#This Row],[mod]]="","",Table1[[#This Row],[mod]])</f>
        <v>table__grid</v>
      </c>
      <c r="K27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5" t="s">
        <v>91</v>
      </c>
      <c r="M2785" t="s">
        <v>3133</v>
      </c>
      <c r="P2785" t="s">
        <v>1044</v>
      </c>
      <c r="Q27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5" s="29"/>
      <c r="AC2785" s="25"/>
      <c r="AD2785" s="41"/>
      <c r="AE2785" s="41"/>
      <c r="AF2785" s="11" t="s">
        <v>282</v>
      </c>
      <c r="AH2785" s="1" t="str">
        <f>Table1[[#This Row],[html_tag]]&amp;Table1[[#This Row],[html_type]]&amp;Table1[[#This Row],[html_modifier]]</f>
        <v/>
      </c>
      <c r="AL2785" s="22" t="str">
        <f>IFERROR(_xlfn.XLOOKUP(Table1[[#This Row],[word]],Table57[English style name],Table57[Style type]),"")</f>
        <v>Table</v>
      </c>
      <c r="AM2785" s="20" t="s">
        <v>1044</v>
      </c>
      <c r="AN2785" s="11"/>
    </row>
    <row r="2786" spans="5:40">
      <c r="E2786" s="11"/>
      <c r="F27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6" s="13"/>
      <c r="H2786" s="13"/>
      <c r="I2786" s="12" t="str">
        <f>Table1[[#This Row],[type]]</f>
        <v>table</v>
      </c>
      <c r="J2786" s="62" t="str">
        <f>Table1[[#This Row],[Column42]]&amp;IF(Table1[[#This Row],[Column13]]="","",Table1[[#This Row],[Column13]])&amp;IF(Table1[[#This Row],[mod]]="","",Table1[[#This Row],[mod]])</f>
        <v>table__grid</v>
      </c>
      <c r="K27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6" t="s">
        <v>91</v>
      </c>
      <c r="M2786" t="s">
        <v>3133</v>
      </c>
      <c r="P2786" t="s">
        <v>1045</v>
      </c>
      <c r="Q27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6" s="29"/>
      <c r="AC2786" s="25"/>
      <c r="AD2786" s="41"/>
      <c r="AE2786" s="41"/>
      <c r="AF2786" s="11" t="s">
        <v>282</v>
      </c>
      <c r="AH2786" s="1" t="str">
        <f>Table1[[#This Row],[html_tag]]&amp;Table1[[#This Row],[html_type]]&amp;Table1[[#This Row],[html_modifier]]</f>
        <v/>
      </c>
      <c r="AL2786" s="22" t="str">
        <f>IFERROR(_xlfn.XLOOKUP(Table1[[#This Row],[word]],Table57[English style name],Table57[Style type]),"")</f>
        <v>Table</v>
      </c>
      <c r="AM2786" s="20" t="s">
        <v>1045</v>
      </c>
      <c r="AN2786" s="11"/>
    </row>
    <row r="2787" spans="5:40">
      <c r="E2787" s="11"/>
      <c r="F27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7" s="13"/>
      <c r="H2787" s="13"/>
      <c r="I2787" s="12" t="str">
        <f>Table1[[#This Row],[type]]</f>
        <v>table</v>
      </c>
      <c r="J2787" s="62" t="str">
        <f>Table1[[#This Row],[Column42]]&amp;IF(Table1[[#This Row],[Column13]]="","",Table1[[#This Row],[Column13]])&amp;IF(Table1[[#This Row],[mod]]="","",Table1[[#This Row],[mod]])</f>
        <v>table__grid--1</v>
      </c>
      <c r="K27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7" t="s">
        <v>91</v>
      </c>
      <c r="M2787" t="s">
        <v>3133</v>
      </c>
      <c r="P2787" t="s">
        <v>1046</v>
      </c>
      <c r="Q27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87">
        <v>1</v>
      </c>
      <c r="U27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7" s="29"/>
      <c r="AC2787" s="25"/>
      <c r="AD2787" s="41"/>
      <c r="AE2787" s="41"/>
      <c r="AF2787" s="11" t="s">
        <v>282</v>
      </c>
      <c r="AH2787" s="1" t="str">
        <f>Table1[[#This Row],[html_tag]]&amp;Table1[[#This Row],[html_type]]&amp;Table1[[#This Row],[html_modifier]]</f>
        <v/>
      </c>
      <c r="AL2787" s="22" t="str">
        <f>IFERROR(_xlfn.XLOOKUP(Table1[[#This Row],[word]],Table57[English style name],Table57[Style type]),"")</f>
        <v>Table</v>
      </c>
      <c r="AM2787" s="20" t="s">
        <v>1046</v>
      </c>
      <c r="AN2787" s="11"/>
    </row>
    <row r="2788" spans="5:40">
      <c r="E2788" s="11"/>
      <c r="F27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8" s="13"/>
      <c r="H2788" s="13"/>
      <c r="I2788" s="12" t="str">
        <f>Table1[[#This Row],[type]]</f>
        <v>table</v>
      </c>
      <c r="J2788" s="62" t="str">
        <f>Table1[[#This Row],[Column42]]&amp;IF(Table1[[#This Row],[Column13]]="","",Table1[[#This Row],[Column13]])&amp;IF(Table1[[#This Row],[mod]]="","",Table1[[#This Row],[mod]])</f>
        <v>table__grid--1</v>
      </c>
      <c r="K27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8" t="s">
        <v>91</v>
      </c>
      <c r="M2788" t="s">
        <v>3133</v>
      </c>
      <c r="P2788" t="s">
        <v>1047</v>
      </c>
      <c r="Q27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88">
        <v>1</v>
      </c>
      <c r="U27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8" s="29"/>
      <c r="AC2788" s="25"/>
      <c r="AD2788" s="41"/>
      <c r="AE2788" s="41"/>
      <c r="AF2788" s="11" t="s">
        <v>282</v>
      </c>
      <c r="AH2788" s="1" t="str">
        <f>Table1[[#This Row],[html_tag]]&amp;Table1[[#This Row],[html_type]]&amp;Table1[[#This Row],[html_modifier]]</f>
        <v/>
      </c>
      <c r="AL2788" s="22" t="str">
        <f>IFERROR(_xlfn.XLOOKUP(Table1[[#This Row],[word]],Table57[English style name],Table57[Style type]),"")</f>
        <v>Table</v>
      </c>
      <c r="AM2788" s="20" t="s">
        <v>1047</v>
      </c>
      <c r="AN2788" s="11"/>
    </row>
    <row r="2789" spans="5:40">
      <c r="E2789" s="11"/>
      <c r="F27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9" s="13"/>
      <c r="H2789" s="13"/>
      <c r="I2789" s="12" t="str">
        <f>Table1[[#This Row],[type]]</f>
        <v>table</v>
      </c>
      <c r="J2789" s="62" t="str">
        <f>Table1[[#This Row],[Column42]]&amp;IF(Table1[[#This Row],[Column13]]="","",Table1[[#This Row],[Column13]])&amp;IF(Table1[[#This Row],[mod]]="","",Table1[[#This Row],[mod]])</f>
        <v>table__grid--1</v>
      </c>
      <c r="K27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9" t="s">
        <v>91</v>
      </c>
      <c r="M2789" t="s">
        <v>3133</v>
      </c>
      <c r="P2789" t="s">
        <v>1048</v>
      </c>
      <c r="Q27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89">
        <v>1</v>
      </c>
      <c r="U27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9" s="29"/>
      <c r="AC2789" s="25"/>
      <c r="AD2789" s="41"/>
      <c r="AE2789" s="41"/>
      <c r="AF2789" s="11" t="s">
        <v>282</v>
      </c>
      <c r="AH2789" s="1" t="str">
        <f>Table1[[#This Row],[html_tag]]&amp;Table1[[#This Row],[html_type]]&amp;Table1[[#This Row],[html_modifier]]</f>
        <v/>
      </c>
      <c r="AL2789" s="22" t="str">
        <f>IFERROR(_xlfn.XLOOKUP(Table1[[#This Row],[word]],Table57[English style name],Table57[Style type]),"")</f>
        <v>Table</v>
      </c>
      <c r="AM2789" s="20" t="s">
        <v>1048</v>
      </c>
      <c r="AN2789" s="11"/>
    </row>
    <row r="2790" spans="5:40">
      <c r="E2790" s="11"/>
      <c r="F27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0" s="13"/>
      <c r="H2790" s="13"/>
      <c r="I2790" s="12" t="str">
        <f>Table1[[#This Row],[type]]</f>
        <v>table</v>
      </c>
      <c r="J2790" s="62" t="str">
        <f>Table1[[#This Row],[Column42]]&amp;IF(Table1[[#This Row],[Column13]]="","",Table1[[#This Row],[Column13]])&amp;IF(Table1[[#This Row],[mod]]="","",Table1[[#This Row],[mod]])</f>
        <v>table__grid--1</v>
      </c>
      <c r="K27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0" t="s">
        <v>91</v>
      </c>
      <c r="M2790" t="s">
        <v>3133</v>
      </c>
      <c r="P2790" t="s">
        <v>1049</v>
      </c>
      <c r="Q27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90">
        <v>1</v>
      </c>
      <c r="U27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0" s="29"/>
      <c r="AC2790" s="25"/>
      <c r="AD2790" s="41"/>
      <c r="AE2790" s="41"/>
      <c r="AF2790" s="11" t="s">
        <v>282</v>
      </c>
      <c r="AH2790" s="1" t="str">
        <f>Table1[[#This Row],[html_tag]]&amp;Table1[[#This Row],[html_type]]&amp;Table1[[#This Row],[html_modifier]]</f>
        <v/>
      </c>
      <c r="AL2790" s="22" t="str">
        <f>IFERROR(_xlfn.XLOOKUP(Table1[[#This Row],[word]],Table57[English style name],Table57[Style type]),"")</f>
        <v>Table</v>
      </c>
      <c r="AM2790" s="20" t="s">
        <v>1049</v>
      </c>
      <c r="AN2790" s="11"/>
    </row>
    <row r="2791" spans="5:40">
      <c r="E2791" s="11"/>
      <c r="F27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1" s="13"/>
      <c r="H2791" s="13"/>
      <c r="I2791" s="12" t="str">
        <f>Table1[[#This Row],[type]]</f>
        <v>table</v>
      </c>
      <c r="J2791" s="62" t="str">
        <f>Table1[[#This Row],[Column42]]&amp;IF(Table1[[#This Row],[Column13]]="","",Table1[[#This Row],[Column13]])&amp;IF(Table1[[#This Row],[mod]]="","",Table1[[#This Row],[mod]])</f>
        <v>table__grid--1</v>
      </c>
      <c r="K27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1" t="s">
        <v>91</v>
      </c>
      <c r="M2791" t="s">
        <v>3133</v>
      </c>
      <c r="P2791" t="s">
        <v>1050</v>
      </c>
      <c r="Q27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91">
        <v>1</v>
      </c>
      <c r="U27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1" s="29"/>
      <c r="AC2791" s="25"/>
      <c r="AD2791" s="41"/>
      <c r="AE2791" s="41"/>
      <c r="AF2791" s="11" t="s">
        <v>282</v>
      </c>
      <c r="AH2791" s="1" t="str">
        <f>Table1[[#This Row],[html_tag]]&amp;Table1[[#This Row],[html_type]]&amp;Table1[[#This Row],[html_modifier]]</f>
        <v/>
      </c>
      <c r="AL2791" s="22" t="str">
        <f>IFERROR(_xlfn.XLOOKUP(Table1[[#This Row],[word]],Table57[English style name],Table57[Style type]),"")</f>
        <v>Table</v>
      </c>
      <c r="AM2791" s="20" t="s">
        <v>1050</v>
      </c>
      <c r="AN2791" s="11"/>
    </row>
    <row r="2792" spans="5:40">
      <c r="E2792" s="11"/>
      <c r="F27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2" s="13"/>
      <c r="H2792" s="13"/>
      <c r="I2792" s="12" t="str">
        <f>Table1[[#This Row],[type]]</f>
        <v>table</v>
      </c>
      <c r="J2792" s="62" t="str">
        <f>Table1[[#This Row],[Column42]]&amp;IF(Table1[[#This Row],[Column13]]="","",Table1[[#This Row],[Column13]])&amp;IF(Table1[[#This Row],[mod]]="","",Table1[[#This Row],[mod]])</f>
        <v>table__grid--1</v>
      </c>
      <c r="K27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2" t="s">
        <v>91</v>
      </c>
      <c r="M2792" t="s">
        <v>3133</v>
      </c>
      <c r="P2792" t="s">
        <v>1051</v>
      </c>
      <c r="Q27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92">
        <v>1</v>
      </c>
      <c r="U27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2" s="29"/>
      <c r="AC2792" s="25"/>
      <c r="AD2792" s="41"/>
      <c r="AE2792" s="41"/>
      <c r="AF2792" s="11" t="s">
        <v>282</v>
      </c>
      <c r="AH2792" s="1" t="str">
        <f>Table1[[#This Row],[html_tag]]&amp;Table1[[#This Row],[html_type]]&amp;Table1[[#This Row],[html_modifier]]</f>
        <v/>
      </c>
      <c r="AL2792" s="22" t="str">
        <f>IFERROR(_xlfn.XLOOKUP(Table1[[#This Row],[word]],Table57[English style name],Table57[Style type]),"")</f>
        <v>Table</v>
      </c>
      <c r="AM2792" s="20" t="s">
        <v>1051</v>
      </c>
      <c r="AN2792" s="11"/>
    </row>
    <row r="2793" spans="5:40">
      <c r="E2793" s="11"/>
      <c r="F27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3" s="13"/>
      <c r="H2793" s="13"/>
      <c r="I2793" s="12" t="str">
        <f>Table1[[#This Row],[type]]</f>
        <v>table</v>
      </c>
      <c r="J2793" s="62" t="str">
        <f>Table1[[#This Row],[Column42]]&amp;IF(Table1[[#This Row],[Column13]]="","",Table1[[#This Row],[Column13]])&amp;IF(Table1[[#This Row],[mod]]="","",Table1[[#This Row],[mod]])</f>
        <v>table__grid--1</v>
      </c>
      <c r="K27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3" t="s">
        <v>91</v>
      </c>
      <c r="M2793" t="s">
        <v>3133</v>
      </c>
      <c r="P2793" t="s">
        <v>1052</v>
      </c>
      <c r="Q27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93">
        <v>1</v>
      </c>
      <c r="U27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3" s="29"/>
      <c r="AC2793" s="25"/>
      <c r="AD2793" s="41"/>
      <c r="AE2793" s="41"/>
      <c r="AF2793" s="11" t="s">
        <v>282</v>
      </c>
      <c r="AH2793" s="1" t="str">
        <f>Table1[[#This Row],[html_tag]]&amp;Table1[[#This Row],[html_type]]&amp;Table1[[#This Row],[html_modifier]]</f>
        <v/>
      </c>
      <c r="AL2793" s="22" t="str">
        <f>IFERROR(_xlfn.XLOOKUP(Table1[[#This Row],[word]],Table57[English style name],Table57[Style type]),"")</f>
        <v>Table</v>
      </c>
      <c r="AM2793" s="20" t="s">
        <v>1052</v>
      </c>
      <c r="AN2793" s="11"/>
    </row>
    <row r="2794" spans="5:40">
      <c r="E2794" s="11"/>
      <c r="F27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4" s="13"/>
      <c r="H2794" s="13"/>
      <c r="I2794" s="12" t="str">
        <f>Table1[[#This Row],[type]]</f>
        <v>table</v>
      </c>
      <c r="J2794" s="62" t="str">
        <f>Table1[[#This Row],[Column42]]&amp;IF(Table1[[#This Row],[Column13]]="","",Table1[[#This Row],[Column13]])&amp;IF(Table1[[#This Row],[mod]]="","",Table1[[#This Row],[mod]])</f>
        <v>table__grid--2</v>
      </c>
      <c r="K27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4" t="s">
        <v>91</v>
      </c>
      <c r="M2794" t="s">
        <v>3133</v>
      </c>
      <c r="P2794" t="s">
        <v>1053</v>
      </c>
      <c r="Q27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4">
        <v>2</v>
      </c>
      <c r="U27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4" s="29"/>
      <c r="AC2794" s="25"/>
      <c r="AD2794" s="41"/>
      <c r="AE2794" s="41"/>
      <c r="AF2794" s="11" t="s">
        <v>282</v>
      </c>
      <c r="AH2794" s="1" t="str">
        <f>Table1[[#This Row],[html_tag]]&amp;Table1[[#This Row],[html_type]]&amp;Table1[[#This Row],[html_modifier]]</f>
        <v/>
      </c>
      <c r="AL2794" s="22" t="str">
        <f>IFERROR(_xlfn.XLOOKUP(Table1[[#This Row],[word]],Table57[English style name],Table57[Style type]),"")</f>
        <v>Table</v>
      </c>
      <c r="AM2794" s="20" t="s">
        <v>1053</v>
      </c>
      <c r="AN2794" s="11"/>
    </row>
    <row r="2795" spans="5:40">
      <c r="E2795" s="11"/>
      <c r="F27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5" s="13"/>
      <c r="H2795" s="13"/>
      <c r="I2795" s="12" t="str">
        <f>Table1[[#This Row],[type]]</f>
        <v>table</v>
      </c>
      <c r="J2795" s="62" t="str">
        <f>Table1[[#This Row],[Column42]]&amp;IF(Table1[[#This Row],[Column13]]="","",Table1[[#This Row],[Column13]])&amp;IF(Table1[[#This Row],[mod]]="","",Table1[[#This Row],[mod]])</f>
        <v>table__grid--2</v>
      </c>
      <c r="K27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5" t="s">
        <v>91</v>
      </c>
      <c r="M2795" t="s">
        <v>3133</v>
      </c>
      <c r="P2795" t="s">
        <v>1054</v>
      </c>
      <c r="Q27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5">
        <v>2</v>
      </c>
      <c r="U27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5" s="29"/>
      <c r="AC2795" s="25"/>
      <c r="AD2795" s="41"/>
      <c r="AE2795" s="41"/>
      <c r="AF2795" s="11" t="s">
        <v>282</v>
      </c>
      <c r="AH2795" s="1" t="str">
        <f>Table1[[#This Row],[html_tag]]&amp;Table1[[#This Row],[html_type]]&amp;Table1[[#This Row],[html_modifier]]</f>
        <v/>
      </c>
      <c r="AL2795" s="22" t="str">
        <f>IFERROR(_xlfn.XLOOKUP(Table1[[#This Row],[word]],Table57[English style name],Table57[Style type]),"")</f>
        <v>Table</v>
      </c>
      <c r="AM2795" s="20" t="s">
        <v>1054</v>
      </c>
      <c r="AN2795" s="11"/>
    </row>
    <row r="2796" spans="5:40">
      <c r="E2796" s="11"/>
      <c r="F27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6" s="13"/>
      <c r="H2796" s="13"/>
      <c r="I2796" s="12" t="str">
        <f>Table1[[#This Row],[type]]</f>
        <v>table</v>
      </c>
      <c r="J2796" s="62" t="str">
        <f>Table1[[#This Row],[Column42]]&amp;IF(Table1[[#This Row],[Column13]]="","",Table1[[#This Row],[Column13]])&amp;IF(Table1[[#This Row],[mod]]="","",Table1[[#This Row],[mod]])</f>
        <v>table__grid--2</v>
      </c>
      <c r="K27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6" t="s">
        <v>91</v>
      </c>
      <c r="M2796" t="s">
        <v>3133</v>
      </c>
      <c r="P2796" t="s">
        <v>1055</v>
      </c>
      <c r="Q27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6">
        <v>2</v>
      </c>
      <c r="U27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6" s="29"/>
      <c r="AC2796" s="25"/>
      <c r="AD2796" s="41"/>
      <c r="AE2796" s="41"/>
      <c r="AF2796" s="11" t="s">
        <v>282</v>
      </c>
      <c r="AH2796" s="1" t="str">
        <f>Table1[[#This Row],[html_tag]]&amp;Table1[[#This Row],[html_type]]&amp;Table1[[#This Row],[html_modifier]]</f>
        <v/>
      </c>
      <c r="AL2796" s="22" t="str">
        <f>IFERROR(_xlfn.XLOOKUP(Table1[[#This Row],[word]],Table57[English style name],Table57[Style type]),"")</f>
        <v>Table</v>
      </c>
      <c r="AM2796" s="20" t="s">
        <v>1055</v>
      </c>
      <c r="AN2796" s="11"/>
    </row>
    <row r="2797" spans="5:40">
      <c r="E2797" s="11"/>
      <c r="F27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7" s="13"/>
      <c r="H2797" s="13"/>
      <c r="I2797" s="12" t="str">
        <f>Table1[[#This Row],[type]]</f>
        <v>table</v>
      </c>
      <c r="J2797" s="62" t="str">
        <f>Table1[[#This Row],[Column42]]&amp;IF(Table1[[#This Row],[Column13]]="","",Table1[[#This Row],[Column13]])&amp;IF(Table1[[#This Row],[mod]]="","",Table1[[#This Row],[mod]])</f>
        <v>table__grid--2</v>
      </c>
      <c r="K27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7" t="s">
        <v>91</v>
      </c>
      <c r="M2797" t="s">
        <v>3133</v>
      </c>
      <c r="P2797" t="s">
        <v>1056</v>
      </c>
      <c r="Q27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7">
        <v>2</v>
      </c>
      <c r="U27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7" s="29"/>
      <c r="AC2797" s="25"/>
      <c r="AD2797" s="41"/>
      <c r="AE2797" s="41"/>
      <c r="AF2797" s="11" t="s">
        <v>282</v>
      </c>
      <c r="AH2797" s="1" t="str">
        <f>Table1[[#This Row],[html_tag]]&amp;Table1[[#This Row],[html_type]]&amp;Table1[[#This Row],[html_modifier]]</f>
        <v/>
      </c>
      <c r="AL2797" s="22" t="str">
        <f>IFERROR(_xlfn.XLOOKUP(Table1[[#This Row],[word]],Table57[English style name],Table57[Style type]),"")</f>
        <v>Table</v>
      </c>
      <c r="AM2797" s="20" t="s">
        <v>1056</v>
      </c>
      <c r="AN2797" s="11"/>
    </row>
    <row r="2798" spans="5:40">
      <c r="E2798" s="11"/>
      <c r="F27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8" s="13"/>
      <c r="H2798" s="13"/>
      <c r="I2798" s="12" t="str">
        <f>Table1[[#This Row],[type]]</f>
        <v>table</v>
      </c>
      <c r="J2798" s="62" t="str">
        <f>Table1[[#This Row],[Column42]]&amp;IF(Table1[[#This Row],[Column13]]="","",Table1[[#This Row],[Column13]])&amp;IF(Table1[[#This Row],[mod]]="","",Table1[[#This Row],[mod]])</f>
        <v>table__grid--2</v>
      </c>
      <c r="K27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8" t="s">
        <v>91</v>
      </c>
      <c r="M2798" t="s">
        <v>3133</v>
      </c>
      <c r="P2798" t="s">
        <v>1057</v>
      </c>
      <c r="Q27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8">
        <v>2</v>
      </c>
      <c r="U27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8" s="29"/>
      <c r="AC2798" s="25"/>
      <c r="AD2798" s="41"/>
      <c r="AE2798" s="41"/>
      <c r="AF2798" s="11" t="s">
        <v>282</v>
      </c>
      <c r="AH2798" s="1" t="str">
        <f>Table1[[#This Row],[html_tag]]&amp;Table1[[#This Row],[html_type]]&amp;Table1[[#This Row],[html_modifier]]</f>
        <v/>
      </c>
      <c r="AL2798" s="22" t="str">
        <f>IFERROR(_xlfn.XLOOKUP(Table1[[#This Row],[word]],Table57[English style name],Table57[Style type]),"")</f>
        <v>Table</v>
      </c>
      <c r="AM2798" s="20" t="s">
        <v>1057</v>
      </c>
      <c r="AN2798" s="11"/>
    </row>
    <row r="2799" spans="5:40">
      <c r="E2799" s="11"/>
      <c r="F27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9" s="13"/>
      <c r="H2799" s="13"/>
      <c r="I2799" s="12" t="str">
        <f>Table1[[#This Row],[type]]</f>
        <v>table</v>
      </c>
      <c r="J2799" s="62" t="str">
        <f>Table1[[#This Row],[Column42]]&amp;IF(Table1[[#This Row],[Column13]]="","",Table1[[#This Row],[Column13]])&amp;IF(Table1[[#This Row],[mod]]="","",Table1[[#This Row],[mod]])</f>
        <v>table__grid--2</v>
      </c>
      <c r="K27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9" t="s">
        <v>91</v>
      </c>
      <c r="M2799" t="s">
        <v>3133</v>
      </c>
      <c r="P2799" t="s">
        <v>1058</v>
      </c>
      <c r="Q27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9">
        <v>2</v>
      </c>
      <c r="U27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9" s="29"/>
      <c r="AC2799" s="25"/>
      <c r="AD2799" s="41"/>
      <c r="AE2799" s="41"/>
      <c r="AF2799" s="11" t="s">
        <v>282</v>
      </c>
      <c r="AH2799" s="1" t="str">
        <f>Table1[[#This Row],[html_tag]]&amp;Table1[[#This Row],[html_type]]&amp;Table1[[#This Row],[html_modifier]]</f>
        <v/>
      </c>
      <c r="AL2799" s="22" t="str">
        <f>IFERROR(_xlfn.XLOOKUP(Table1[[#This Row],[word]],Table57[English style name],Table57[Style type]),"")</f>
        <v>Table</v>
      </c>
      <c r="AM2799" s="20" t="s">
        <v>1058</v>
      </c>
      <c r="AN2799" s="11"/>
    </row>
    <row r="2800" spans="5:40">
      <c r="E2800" s="11"/>
      <c r="F28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0" s="13"/>
      <c r="H2800" s="13"/>
      <c r="I2800" s="12" t="str">
        <f>Table1[[#This Row],[type]]</f>
        <v>table</v>
      </c>
      <c r="J2800" s="62" t="str">
        <f>Table1[[#This Row],[Column42]]&amp;IF(Table1[[#This Row],[Column13]]="","",Table1[[#This Row],[Column13]])&amp;IF(Table1[[#This Row],[mod]]="","",Table1[[#This Row],[mod]])</f>
        <v>table__grid--2</v>
      </c>
      <c r="K28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0" t="s">
        <v>91</v>
      </c>
      <c r="M2800" t="s">
        <v>3133</v>
      </c>
      <c r="P2800" t="s">
        <v>1059</v>
      </c>
      <c r="Q28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00">
        <v>2</v>
      </c>
      <c r="U28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0" s="29"/>
      <c r="AC2800" s="25"/>
      <c r="AD2800" s="41"/>
      <c r="AE2800" s="41"/>
      <c r="AF2800" s="11" t="s">
        <v>282</v>
      </c>
      <c r="AH2800" s="1" t="str">
        <f>Table1[[#This Row],[html_tag]]&amp;Table1[[#This Row],[html_type]]&amp;Table1[[#This Row],[html_modifier]]</f>
        <v/>
      </c>
      <c r="AL2800" s="22" t="str">
        <f>IFERROR(_xlfn.XLOOKUP(Table1[[#This Row],[word]],Table57[English style name],Table57[Style type]),"")</f>
        <v>Table</v>
      </c>
      <c r="AM2800" s="20" t="s">
        <v>1059</v>
      </c>
      <c r="AN2800" s="11"/>
    </row>
    <row r="2801" spans="5:40">
      <c r="E2801" s="11"/>
      <c r="F28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1" s="13"/>
      <c r="H2801" s="13"/>
      <c r="I2801" s="12" t="str">
        <f>Table1[[#This Row],[type]]</f>
        <v>table</v>
      </c>
      <c r="J2801" s="62" t="str">
        <f>Table1[[#This Row],[Column42]]&amp;IF(Table1[[#This Row],[Column13]]="","",Table1[[#This Row],[Column13]])&amp;IF(Table1[[#This Row],[mod]]="","",Table1[[#This Row],[mod]])</f>
        <v>table__grid--3</v>
      </c>
      <c r="K28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1" t="s">
        <v>91</v>
      </c>
      <c r="M2801" t="s">
        <v>3133</v>
      </c>
      <c r="P2801" t="s">
        <v>1060</v>
      </c>
      <c r="Q28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1">
        <v>3</v>
      </c>
      <c r="U28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1" s="29"/>
      <c r="AC2801" s="25"/>
      <c r="AD2801" s="41"/>
      <c r="AE2801" s="41"/>
      <c r="AF2801" s="11" t="s">
        <v>282</v>
      </c>
      <c r="AH2801" s="1" t="str">
        <f>Table1[[#This Row],[html_tag]]&amp;Table1[[#This Row],[html_type]]&amp;Table1[[#This Row],[html_modifier]]</f>
        <v/>
      </c>
      <c r="AL2801" s="22" t="str">
        <f>IFERROR(_xlfn.XLOOKUP(Table1[[#This Row],[word]],Table57[English style name],Table57[Style type]),"")</f>
        <v>Table</v>
      </c>
      <c r="AM2801" s="20" t="s">
        <v>1060</v>
      </c>
      <c r="AN2801" s="11"/>
    </row>
    <row r="2802" spans="5:40">
      <c r="E2802" s="11"/>
      <c r="F28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2" s="13"/>
      <c r="H2802" s="13"/>
      <c r="I2802" s="12" t="str">
        <f>Table1[[#This Row],[type]]</f>
        <v>table</v>
      </c>
      <c r="J2802" s="62" t="str">
        <f>Table1[[#This Row],[Column42]]&amp;IF(Table1[[#This Row],[Column13]]="","",Table1[[#This Row],[Column13]])&amp;IF(Table1[[#This Row],[mod]]="","",Table1[[#This Row],[mod]])</f>
        <v>table__grid--3</v>
      </c>
      <c r="K28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2" t="s">
        <v>91</v>
      </c>
      <c r="M2802" t="s">
        <v>3133</v>
      </c>
      <c r="P2802" t="s">
        <v>1061</v>
      </c>
      <c r="Q28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2">
        <v>3</v>
      </c>
      <c r="U28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2" s="29"/>
      <c r="AC2802" s="25"/>
      <c r="AD2802" s="41"/>
      <c r="AE2802" s="41"/>
      <c r="AF2802" s="11" t="s">
        <v>282</v>
      </c>
      <c r="AH2802" s="1" t="str">
        <f>Table1[[#This Row],[html_tag]]&amp;Table1[[#This Row],[html_type]]&amp;Table1[[#This Row],[html_modifier]]</f>
        <v/>
      </c>
      <c r="AL2802" s="22" t="str">
        <f>IFERROR(_xlfn.XLOOKUP(Table1[[#This Row],[word]],Table57[English style name],Table57[Style type]),"")</f>
        <v>Table</v>
      </c>
      <c r="AM2802" s="20" t="s">
        <v>1061</v>
      </c>
      <c r="AN2802" s="11"/>
    </row>
    <row r="2803" spans="5:40">
      <c r="E2803" s="11"/>
      <c r="F28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3" s="13"/>
      <c r="H2803" s="13"/>
      <c r="I2803" s="12" t="str">
        <f>Table1[[#This Row],[type]]</f>
        <v>table</v>
      </c>
      <c r="J2803" s="62" t="str">
        <f>Table1[[#This Row],[Column42]]&amp;IF(Table1[[#This Row],[Column13]]="","",Table1[[#This Row],[Column13]])&amp;IF(Table1[[#This Row],[mod]]="","",Table1[[#This Row],[mod]])</f>
        <v>table__grid--3</v>
      </c>
      <c r="K28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3" t="s">
        <v>91</v>
      </c>
      <c r="M2803" t="s">
        <v>3133</v>
      </c>
      <c r="P2803" t="s">
        <v>1062</v>
      </c>
      <c r="Q28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3">
        <v>3</v>
      </c>
      <c r="U28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3" s="29"/>
      <c r="AC2803" s="25"/>
      <c r="AD2803" s="41"/>
      <c r="AE2803" s="41"/>
      <c r="AF2803" s="11" t="s">
        <v>282</v>
      </c>
      <c r="AH2803" s="1" t="str">
        <f>Table1[[#This Row],[html_tag]]&amp;Table1[[#This Row],[html_type]]&amp;Table1[[#This Row],[html_modifier]]</f>
        <v/>
      </c>
      <c r="AL2803" s="22" t="str">
        <f>IFERROR(_xlfn.XLOOKUP(Table1[[#This Row],[word]],Table57[English style name],Table57[Style type]),"")</f>
        <v>Table</v>
      </c>
      <c r="AM2803" s="20" t="s">
        <v>1062</v>
      </c>
      <c r="AN2803" s="11"/>
    </row>
    <row r="2804" spans="5:40">
      <c r="E2804" s="11"/>
      <c r="F28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4" s="13"/>
      <c r="H2804" s="13"/>
      <c r="I2804" s="12" t="str">
        <f>Table1[[#This Row],[type]]</f>
        <v>table</v>
      </c>
      <c r="J2804" s="62" t="str">
        <f>Table1[[#This Row],[Column42]]&amp;IF(Table1[[#This Row],[Column13]]="","",Table1[[#This Row],[Column13]])&amp;IF(Table1[[#This Row],[mod]]="","",Table1[[#This Row],[mod]])</f>
        <v>table__grid--3</v>
      </c>
      <c r="K28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4" t="s">
        <v>91</v>
      </c>
      <c r="M2804" t="s">
        <v>3133</v>
      </c>
      <c r="P2804" t="s">
        <v>1063</v>
      </c>
      <c r="Q28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4">
        <v>3</v>
      </c>
      <c r="U28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4" s="29"/>
      <c r="AC2804" s="25"/>
      <c r="AD2804" s="41"/>
      <c r="AE2804" s="41"/>
      <c r="AF2804" s="11" t="s">
        <v>282</v>
      </c>
      <c r="AH2804" s="1" t="str">
        <f>Table1[[#This Row],[html_tag]]&amp;Table1[[#This Row],[html_type]]&amp;Table1[[#This Row],[html_modifier]]</f>
        <v/>
      </c>
      <c r="AL2804" s="22" t="str">
        <f>IFERROR(_xlfn.XLOOKUP(Table1[[#This Row],[word]],Table57[English style name],Table57[Style type]),"")</f>
        <v>Table</v>
      </c>
      <c r="AM2804" s="20" t="s">
        <v>1063</v>
      </c>
      <c r="AN2804" s="11"/>
    </row>
    <row r="2805" spans="5:40">
      <c r="E2805" s="11"/>
      <c r="F28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5" s="13"/>
      <c r="H2805" s="13"/>
      <c r="I2805" s="12" t="str">
        <f>Table1[[#This Row],[type]]</f>
        <v>table</v>
      </c>
      <c r="J2805" s="62" t="str">
        <f>Table1[[#This Row],[Column42]]&amp;IF(Table1[[#This Row],[Column13]]="","",Table1[[#This Row],[Column13]])&amp;IF(Table1[[#This Row],[mod]]="","",Table1[[#This Row],[mod]])</f>
        <v>table__grid--3</v>
      </c>
      <c r="K28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5" t="s">
        <v>91</v>
      </c>
      <c r="M2805" t="s">
        <v>3133</v>
      </c>
      <c r="P2805" t="s">
        <v>1064</v>
      </c>
      <c r="Q28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5">
        <v>3</v>
      </c>
      <c r="U28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5" s="29"/>
      <c r="AC2805" s="25"/>
      <c r="AD2805" s="41"/>
      <c r="AE2805" s="41"/>
      <c r="AF2805" s="11" t="s">
        <v>282</v>
      </c>
      <c r="AH2805" s="1" t="str">
        <f>Table1[[#This Row],[html_tag]]&amp;Table1[[#This Row],[html_type]]&amp;Table1[[#This Row],[html_modifier]]</f>
        <v/>
      </c>
      <c r="AL2805" s="22" t="str">
        <f>IFERROR(_xlfn.XLOOKUP(Table1[[#This Row],[word]],Table57[English style name],Table57[Style type]),"")</f>
        <v>Table</v>
      </c>
      <c r="AM2805" s="20" t="s">
        <v>1064</v>
      </c>
      <c r="AN2805" s="11"/>
    </row>
    <row r="2806" spans="5:40">
      <c r="E2806" s="11"/>
      <c r="F28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6" s="13"/>
      <c r="H2806" s="13"/>
      <c r="I2806" s="12" t="str">
        <f>Table1[[#This Row],[type]]</f>
        <v>table</v>
      </c>
      <c r="J2806" s="62" t="str">
        <f>Table1[[#This Row],[Column42]]&amp;IF(Table1[[#This Row],[Column13]]="","",Table1[[#This Row],[Column13]])&amp;IF(Table1[[#This Row],[mod]]="","",Table1[[#This Row],[mod]])</f>
        <v>table__grid--3</v>
      </c>
      <c r="K28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6" t="s">
        <v>91</v>
      </c>
      <c r="M2806" t="s">
        <v>3133</v>
      </c>
      <c r="P2806" t="s">
        <v>1065</v>
      </c>
      <c r="Q28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6">
        <v>3</v>
      </c>
      <c r="U28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6" s="29"/>
      <c r="AC2806" s="25"/>
      <c r="AD2806" s="41"/>
      <c r="AE2806" s="41"/>
      <c r="AF2806" s="11" t="s">
        <v>282</v>
      </c>
      <c r="AH2806" s="1" t="str">
        <f>Table1[[#This Row],[html_tag]]&amp;Table1[[#This Row],[html_type]]&amp;Table1[[#This Row],[html_modifier]]</f>
        <v/>
      </c>
      <c r="AL2806" s="22" t="str">
        <f>IFERROR(_xlfn.XLOOKUP(Table1[[#This Row],[word]],Table57[English style name],Table57[Style type]),"")</f>
        <v>Table</v>
      </c>
      <c r="AM2806" s="20" t="s">
        <v>1065</v>
      </c>
      <c r="AN2806" s="11"/>
    </row>
    <row r="2807" spans="5:40">
      <c r="E2807" s="11"/>
      <c r="F28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7" s="13"/>
      <c r="H2807" s="13"/>
      <c r="I2807" s="12" t="str">
        <f>Table1[[#This Row],[type]]</f>
        <v>table</v>
      </c>
      <c r="J2807" s="62" t="str">
        <f>Table1[[#This Row],[Column42]]&amp;IF(Table1[[#This Row],[Column13]]="","",Table1[[#This Row],[Column13]])&amp;IF(Table1[[#This Row],[mod]]="","",Table1[[#This Row],[mod]])</f>
        <v>table__grid--3</v>
      </c>
      <c r="K28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7" t="s">
        <v>91</v>
      </c>
      <c r="M2807" t="s">
        <v>3133</v>
      </c>
      <c r="P2807" t="s">
        <v>1066</v>
      </c>
      <c r="Q28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7">
        <v>3</v>
      </c>
      <c r="U28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7" s="29"/>
      <c r="AC2807" s="25"/>
      <c r="AD2807" s="41"/>
      <c r="AE2807" s="41"/>
      <c r="AF2807" s="11" t="s">
        <v>282</v>
      </c>
      <c r="AH2807" s="1" t="str">
        <f>Table1[[#This Row],[html_tag]]&amp;Table1[[#This Row],[html_type]]&amp;Table1[[#This Row],[html_modifier]]</f>
        <v/>
      </c>
      <c r="AL2807" s="22" t="str">
        <f>IFERROR(_xlfn.XLOOKUP(Table1[[#This Row],[word]],Table57[English style name],Table57[Style type]),"")</f>
        <v>Table</v>
      </c>
      <c r="AM2807" s="20" t="s">
        <v>1066</v>
      </c>
      <c r="AN2807" s="11"/>
    </row>
    <row r="2808" spans="5:40">
      <c r="E2808" s="11"/>
      <c r="F28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8" s="13"/>
      <c r="H2808" s="13"/>
      <c r="I2808" s="12" t="str">
        <f>Table1[[#This Row],[type]]</f>
        <v>table</v>
      </c>
      <c r="J2808" s="62" t="str">
        <f>Table1[[#This Row],[Column42]]&amp;IF(Table1[[#This Row],[Column13]]="","",Table1[[#This Row],[Column13]])&amp;IF(Table1[[#This Row],[mod]]="","",Table1[[#This Row],[mod]])</f>
        <v>table__grid--4</v>
      </c>
      <c r="K28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8" t="s">
        <v>91</v>
      </c>
      <c r="M2808" t="s">
        <v>3133</v>
      </c>
      <c r="P2808" t="s">
        <v>1067</v>
      </c>
      <c r="Q28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08">
        <v>4</v>
      </c>
      <c r="U28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8" s="29"/>
      <c r="AC2808" s="25"/>
      <c r="AD2808" s="41"/>
      <c r="AE2808" s="41"/>
      <c r="AF2808" s="11" t="s">
        <v>282</v>
      </c>
      <c r="AH2808" s="1" t="str">
        <f>Table1[[#This Row],[html_tag]]&amp;Table1[[#This Row],[html_type]]&amp;Table1[[#This Row],[html_modifier]]</f>
        <v/>
      </c>
      <c r="AL2808" s="22" t="str">
        <f>IFERROR(_xlfn.XLOOKUP(Table1[[#This Row],[word]],Table57[English style name],Table57[Style type]),"")</f>
        <v>Table</v>
      </c>
      <c r="AM2808" s="20" t="s">
        <v>1067</v>
      </c>
      <c r="AN2808" s="11"/>
    </row>
    <row r="2809" spans="5:40">
      <c r="E2809" s="11"/>
      <c r="F28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9" s="13"/>
      <c r="H2809" s="13"/>
      <c r="I2809" s="12" t="str">
        <f>Table1[[#This Row],[type]]</f>
        <v>table</v>
      </c>
      <c r="J2809" s="62" t="str">
        <f>Table1[[#This Row],[Column42]]&amp;IF(Table1[[#This Row],[Column13]]="","",Table1[[#This Row],[Column13]])&amp;IF(Table1[[#This Row],[mod]]="","",Table1[[#This Row],[mod]])</f>
        <v>table__grid--4</v>
      </c>
      <c r="K28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9" t="s">
        <v>91</v>
      </c>
      <c r="M2809" t="s">
        <v>3133</v>
      </c>
      <c r="P2809" t="s">
        <v>1068</v>
      </c>
      <c r="Q28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09">
        <v>4</v>
      </c>
      <c r="U28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9" s="29"/>
      <c r="AC2809" s="25"/>
      <c r="AD2809" s="41"/>
      <c r="AE2809" s="41"/>
      <c r="AF2809" s="11" t="s">
        <v>282</v>
      </c>
      <c r="AH2809" s="1" t="str">
        <f>Table1[[#This Row],[html_tag]]&amp;Table1[[#This Row],[html_type]]&amp;Table1[[#This Row],[html_modifier]]</f>
        <v/>
      </c>
      <c r="AL2809" s="22" t="str">
        <f>IFERROR(_xlfn.XLOOKUP(Table1[[#This Row],[word]],Table57[English style name],Table57[Style type]),"")</f>
        <v>Table</v>
      </c>
      <c r="AM2809" s="20" t="s">
        <v>1068</v>
      </c>
      <c r="AN2809" s="11"/>
    </row>
    <row r="2810" spans="5:40">
      <c r="E2810" s="11"/>
      <c r="F28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0" s="13"/>
      <c r="H2810" s="13"/>
      <c r="I2810" s="12" t="str">
        <f>Table1[[#This Row],[type]]</f>
        <v>table</v>
      </c>
      <c r="J2810" s="62" t="str">
        <f>Table1[[#This Row],[Column42]]&amp;IF(Table1[[#This Row],[Column13]]="","",Table1[[#This Row],[Column13]])&amp;IF(Table1[[#This Row],[mod]]="","",Table1[[#This Row],[mod]])</f>
        <v>table__grid--4</v>
      </c>
      <c r="K28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0" t="s">
        <v>91</v>
      </c>
      <c r="M2810" t="s">
        <v>3133</v>
      </c>
      <c r="P2810" t="s">
        <v>1069</v>
      </c>
      <c r="Q28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10">
        <v>4</v>
      </c>
      <c r="U28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0" s="29"/>
      <c r="AC2810" s="25"/>
      <c r="AD2810" s="41"/>
      <c r="AE2810" s="41"/>
      <c r="AF2810" s="11" t="s">
        <v>282</v>
      </c>
      <c r="AH2810" s="1" t="str">
        <f>Table1[[#This Row],[html_tag]]&amp;Table1[[#This Row],[html_type]]&amp;Table1[[#This Row],[html_modifier]]</f>
        <v/>
      </c>
      <c r="AL2810" s="22" t="str">
        <f>IFERROR(_xlfn.XLOOKUP(Table1[[#This Row],[word]],Table57[English style name],Table57[Style type]),"")</f>
        <v>Table</v>
      </c>
      <c r="AM2810" s="20" t="s">
        <v>1069</v>
      </c>
      <c r="AN2810" s="11"/>
    </row>
    <row r="2811" spans="5:40">
      <c r="E2811" s="11"/>
      <c r="F28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1" s="13"/>
      <c r="H2811" s="13"/>
      <c r="I2811" s="12" t="str">
        <f>Table1[[#This Row],[type]]</f>
        <v>table</v>
      </c>
      <c r="J2811" s="62" t="str">
        <f>Table1[[#This Row],[Column42]]&amp;IF(Table1[[#This Row],[Column13]]="","",Table1[[#This Row],[Column13]])&amp;IF(Table1[[#This Row],[mod]]="","",Table1[[#This Row],[mod]])</f>
        <v>table__grid--4</v>
      </c>
      <c r="K28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1" t="s">
        <v>91</v>
      </c>
      <c r="M2811" t="s">
        <v>3133</v>
      </c>
      <c r="P2811" t="s">
        <v>1070</v>
      </c>
      <c r="Q28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11">
        <v>4</v>
      </c>
      <c r="U28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1" s="29"/>
      <c r="AC2811" s="25"/>
      <c r="AD2811" s="41"/>
      <c r="AE2811" s="41"/>
      <c r="AF2811" s="11" t="s">
        <v>282</v>
      </c>
      <c r="AH2811" s="1" t="str">
        <f>Table1[[#This Row],[html_tag]]&amp;Table1[[#This Row],[html_type]]&amp;Table1[[#This Row],[html_modifier]]</f>
        <v/>
      </c>
      <c r="AL2811" s="22" t="str">
        <f>IFERROR(_xlfn.XLOOKUP(Table1[[#This Row],[word]],Table57[English style name],Table57[Style type]),"")</f>
        <v>Table</v>
      </c>
      <c r="AM2811" s="20" t="s">
        <v>1070</v>
      </c>
      <c r="AN2811" s="11"/>
    </row>
    <row r="2812" spans="5:40">
      <c r="E2812" s="11"/>
      <c r="F28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2" s="13"/>
      <c r="H2812" s="13"/>
      <c r="I2812" s="12" t="str">
        <f>Table1[[#This Row],[type]]</f>
        <v>table</v>
      </c>
      <c r="J2812" s="62" t="str">
        <f>Table1[[#This Row],[Column42]]&amp;IF(Table1[[#This Row],[Column13]]="","",Table1[[#This Row],[Column13]])&amp;IF(Table1[[#This Row],[mod]]="","",Table1[[#This Row],[mod]])</f>
        <v>table__grid--4</v>
      </c>
      <c r="K28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2" t="s">
        <v>91</v>
      </c>
      <c r="M2812" t="s">
        <v>3133</v>
      </c>
      <c r="P2812" t="s">
        <v>1071</v>
      </c>
      <c r="Q28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12">
        <v>4</v>
      </c>
      <c r="U28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2" s="29"/>
      <c r="AC2812" s="25"/>
      <c r="AD2812" s="41"/>
      <c r="AE2812" s="41"/>
      <c r="AF2812" s="11" t="s">
        <v>282</v>
      </c>
      <c r="AH2812" s="1" t="str">
        <f>Table1[[#This Row],[html_tag]]&amp;Table1[[#This Row],[html_type]]&amp;Table1[[#This Row],[html_modifier]]</f>
        <v/>
      </c>
      <c r="AL2812" s="22" t="str">
        <f>IFERROR(_xlfn.XLOOKUP(Table1[[#This Row],[word]],Table57[English style name],Table57[Style type]),"")</f>
        <v>Table</v>
      </c>
      <c r="AM2812" s="20" t="s">
        <v>1071</v>
      </c>
      <c r="AN2812" s="11"/>
    </row>
    <row r="2813" spans="5:40">
      <c r="E2813" s="11"/>
      <c r="F28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3" s="13"/>
      <c r="H2813" s="13"/>
      <c r="I2813" s="12" t="str">
        <f>Table1[[#This Row],[type]]</f>
        <v>table</v>
      </c>
      <c r="J2813" s="62" t="str">
        <f>Table1[[#This Row],[Column42]]&amp;IF(Table1[[#This Row],[Column13]]="","",Table1[[#This Row],[Column13]])&amp;IF(Table1[[#This Row],[mod]]="","",Table1[[#This Row],[mod]])</f>
        <v>table__grid--4</v>
      </c>
      <c r="K28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3" t="s">
        <v>91</v>
      </c>
      <c r="M2813" t="s">
        <v>3133</v>
      </c>
      <c r="P2813" t="s">
        <v>1072</v>
      </c>
      <c r="Q28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13">
        <v>4</v>
      </c>
      <c r="U28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3" s="29"/>
      <c r="AC2813" s="25"/>
      <c r="AD2813" s="41"/>
      <c r="AE2813" s="41"/>
      <c r="AF2813" s="11" t="s">
        <v>282</v>
      </c>
      <c r="AH2813" s="1" t="str">
        <f>Table1[[#This Row],[html_tag]]&amp;Table1[[#This Row],[html_type]]&amp;Table1[[#This Row],[html_modifier]]</f>
        <v/>
      </c>
      <c r="AL2813" s="22" t="str">
        <f>IFERROR(_xlfn.XLOOKUP(Table1[[#This Row],[word]],Table57[English style name],Table57[Style type]),"")</f>
        <v>Table</v>
      </c>
      <c r="AM2813" s="20" t="s">
        <v>1072</v>
      </c>
      <c r="AN2813" s="11"/>
    </row>
    <row r="2814" spans="5:40">
      <c r="E2814" s="11"/>
      <c r="F28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4" s="13"/>
      <c r="H2814" s="13"/>
      <c r="I2814" s="12" t="str">
        <f>Table1[[#This Row],[type]]</f>
        <v>table</v>
      </c>
      <c r="J2814" s="62" t="str">
        <f>Table1[[#This Row],[Column42]]&amp;IF(Table1[[#This Row],[Column13]]="","",Table1[[#This Row],[Column13]])&amp;IF(Table1[[#This Row],[mod]]="","",Table1[[#This Row],[mod]])</f>
        <v>table__grid--4</v>
      </c>
      <c r="K28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4" t="s">
        <v>91</v>
      </c>
      <c r="M2814" t="s">
        <v>3133</v>
      </c>
      <c r="P2814" t="s">
        <v>1073</v>
      </c>
      <c r="Q28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14">
        <v>4</v>
      </c>
      <c r="U28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4" s="29"/>
      <c r="AC2814" s="25"/>
      <c r="AD2814" s="41"/>
      <c r="AE2814" s="41"/>
      <c r="AF2814" s="11" t="s">
        <v>282</v>
      </c>
      <c r="AH2814" s="1" t="str">
        <f>Table1[[#This Row],[html_tag]]&amp;Table1[[#This Row],[html_type]]&amp;Table1[[#This Row],[html_modifier]]</f>
        <v/>
      </c>
      <c r="AL2814" s="22" t="str">
        <f>IFERROR(_xlfn.XLOOKUP(Table1[[#This Row],[word]],Table57[English style name],Table57[Style type]),"")</f>
        <v>Table</v>
      </c>
      <c r="AM2814" s="20" t="s">
        <v>1073</v>
      </c>
      <c r="AN2814" s="11"/>
    </row>
    <row r="2815" spans="5:40">
      <c r="E2815" s="11"/>
      <c r="F28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5" s="13"/>
      <c r="H2815" s="13"/>
      <c r="I2815" s="12" t="str">
        <f>Table1[[#This Row],[type]]</f>
        <v>table</v>
      </c>
      <c r="J2815" s="62" t="str">
        <f>Table1[[#This Row],[Column42]]&amp;IF(Table1[[#This Row],[Column13]]="","",Table1[[#This Row],[Column13]])&amp;IF(Table1[[#This Row],[mod]]="","",Table1[[#This Row],[mod]])</f>
        <v>table__grid--5</v>
      </c>
      <c r="K28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5" t="s">
        <v>91</v>
      </c>
      <c r="M2815" t="s">
        <v>3133</v>
      </c>
      <c r="P2815" t="s">
        <v>1074</v>
      </c>
      <c r="Q28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15">
        <v>5</v>
      </c>
      <c r="U28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5" s="29"/>
      <c r="AC2815" s="25"/>
      <c r="AD2815" s="41"/>
      <c r="AE2815" s="41"/>
      <c r="AF2815" s="11" t="s">
        <v>282</v>
      </c>
      <c r="AH2815" s="1" t="str">
        <f>Table1[[#This Row],[html_tag]]&amp;Table1[[#This Row],[html_type]]&amp;Table1[[#This Row],[html_modifier]]</f>
        <v/>
      </c>
      <c r="AL2815" s="22" t="str">
        <f>IFERROR(_xlfn.XLOOKUP(Table1[[#This Row],[word]],Table57[English style name],Table57[Style type]),"")</f>
        <v>Table</v>
      </c>
      <c r="AM2815" s="20" t="s">
        <v>1074</v>
      </c>
      <c r="AN2815" s="11"/>
    </row>
    <row r="2816" spans="5:40">
      <c r="E2816" s="11"/>
      <c r="F28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6" s="13"/>
      <c r="H2816" s="13"/>
      <c r="I2816" s="12" t="str">
        <f>Table1[[#This Row],[type]]</f>
        <v>table</v>
      </c>
      <c r="J2816" s="62" t="str">
        <f>Table1[[#This Row],[Column42]]&amp;IF(Table1[[#This Row],[Column13]]="","",Table1[[#This Row],[Column13]])&amp;IF(Table1[[#This Row],[mod]]="","",Table1[[#This Row],[mod]])</f>
        <v>table__grid--5</v>
      </c>
      <c r="K28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6" t="s">
        <v>91</v>
      </c>
      <c r="M2816" t="s">
        <v>3133</v>
      </c>
      <c r="P2816" t="s">
        <v>1075</v>
      </c>
      <c r="Q28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16">
        <v>5</v>
      </c>
      <c r="U28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6" s="29"/>
      <c r="AC2816" s="25"/>
      <c r="AD2816" s="41"/>
      <c r="AE2816" s="41"/>
      <c r="AF2816" s="11" t="s">
        <v>282</v>
      </c>
      <c r="AH2816" s="1" t="str">
        <f>Table1[[#This Row],[html_tag]]&amp;Table1[[#This Row],[html_type]]&amp;Table1[[#This Row],[html_modifier]]</f>
        <v/>
      </c>
      <c r="AL2816" s="22" t="str">
        <f>IFERROR(_xlfn.XLOOKUP(Table1[[#This Row],[word]],Table57[English style name],Table57[Style type]),"")</f>
        <v>Table</v>
      </c>
      <c r="AM2816" s="20" t="s">
        <v>1075</v>
      </c>
      <c r="AN2816" s="11"/>
    </row>
    <row r="2817" spans="4:44">
      <c r="E2817" s="11"/>
      <c r="F28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7" s="13"/>
      <c r="H2817" s="13"/>
      <c r="I2817" s="12" t="str">
        <f>Table1[[#This Row],[type]]</f>
        <v>table</v>
      </c>
      <c r="J2817" s="62" t="str">
        <f>Table1[[#This Row],[Column42]]&amp;IF(Table1[[#This Row],[Column13]]="","",Table1[[#This Row],[Column13]])&amp;IF(Table1[[#This Row],[mod]]="","",Table1[[#This Row],[mod]])</f>
        <v>table__grid--5</v>
      </c>
      <c r="K28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7" t="s">
        <v>91</v>
      </c>
      <c r="M2817" t="s">
        <v>3133</v>
      </c>
      <c r="P2817" t="s">
        <v>1076</v>
      </c>
      <c r="Q28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17">
        <v>5</v>
      </c>
      <c r="U28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7" s="29"/>
      <c r="AC2817" s="25"/>
      <c r="AD2817" s="41"/>
      <c r="AE2817" s="41"/>
      <c r="AF2817" s="11" t="s">
        <v>282</v>
      </c>
      <c r="AH2817" s="1" t="str">
        <f>Table1[[#This Row],[html_tag]]&amp;Table1[[#This Row],[html_type]]&amp;Table1[[#This Row],[html_modifier]]</f>
        <v/>
      </c>
      <c r="AL2817" s="22" t="str">
        <f>IFERROR(_xlfn.XLOOKUP(Table1[[#This Row],[word]],Table57[English style name],Table57[Style type]),"")</f>
        <v>Table</v>
      </c>
      <c r="AM2817" s="20" t="s">
        <v>1076</v>
      </c>
      <c r="AN2817" s="11"/>
    </row>
    <row r="2818" spans="4:44">
      <c r="E2818" s="11"/>
      <c r="F28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8" s="13"/>
      <c r="H2818" s="13"/>
      <c r="I2818" s="12" t="str">
        <f>Table1[[#This Row],[type]]</f>
        <v>table</v>
      </c>
      <c r="J2818" s="62" t="str">
        <f>Table1[[#This Row],[Column42]]&amp;IF(Table1[[#This Row],[Column13]]="","",Table1[[#This Row],[Column13]])&amp;IF(Table1[[#This Row],[mod]]="","",Table1[[#This Row],[mod]])</f>
        <v>table__grid--5</v>
      </c>
      <c r="K28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8" t="s">
        <v>91</v>
      </c>
      <c r="M2818" t="s">
        <v>3133</v>
      </c>
      <c r="P2818" t="s">
        <v>1077</v>
      </c>
      <c r="Q28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18">
        <v>5</v>
      </c>
      <c r="U28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8" s="29"/>
      <c r="AC2818" s="25"/>
      <c r="AD2818" s="41"/>
      <c r="AE2818" s="41"/>
      <c r="AF2818" s="11" t="s">
        <v>282</v>
      </c>
      <c r="AH2818" s="1" t="str">
        <f>Table1[[#This Row],[html_tag]]&amp;Table1[[#This Row],[html_type]]&amp;Table1[[#This Row],[html_modifier]]</f>
        <v/>
      </c>
      <c r="AL2818" s="22" t="str">
        <f>IFERROR(_xlfn.XLOOKUP(Table1[[#This Row],[word]],Table57[English style name],Table57[Style type]),"")</f>
        <v>Table</v>
      </c>
      <c r="AM2818" s="20" t="s">
        <v>1077</v>
      </c>
      <c r="AN2818" s="11"/>
    </row>
    <row r="2819" spans="4:44">
      <c r="E2819" s="11"/>
      <c r="F28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9" s="13"/>
      <c r="H2819" s="13"/>
      <c r="I2819" s="12" t="str">
        <f>Table1[[#This Row],[type]]</f>
        <v>table</v>
      </c>
      <c r="J2819" s="62" t="str">
        <f>Table1[[#This Row],[Column42]]&amp;IF(Table1[[#This Row],[Column13]]="","",Table1[[#This Row],[Column13]])&amp;IF(Table1[[#This Row],[mod]]="","",Table1[[#This Row],[mod]])</f>
        <v>table__grid--5</v>
      </c>
      <c r="K28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9" t="s">
        <v>91</v>
      </c>
      <c r="M2819" t="s">
        <v>3133</v>
      </c>
      <c r="P2819" t="s">
        <v>1078</v>
      </c>
      <c r="Q28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19">
        <v>5</v>
      </c>
      <c r="U28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9" s="29"/>
      <c r="AC2819" s="25"/>
      <c r="AD2819" s="41"/>
      <c r="AE2819" s="41"/>
      <c r="AF2819" s="11" t="s">
        <v>282</v>
      </c>
      <c r="AH2819" s="1" t="str">
        <f>Table1[[#This Row],[html_tag]]&amp;Table1[[#This Row],[html_type]]&amp;Table1[[#This Row],[html_modifier]]</f>
        <v/>
      </c>
      <c r="AL2819" s="22" t="str">
        <f>IFERROR(_xlfn.XLOOKUP(Table1[[#This Row],[word]],Table57[English style name],Table57[Style type]),"")</f>
        <v>Table</v>
      </c>
      <c r="AM2819" s="20" t="s">
        <v>1078</v>
      </c>
      <c r="AN2819" s="11"/>
    </row>
    <row r="2820" spans="4:44">
      <c r="E2820" s="11"/>
      <c r="F28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0" s="13"/>
      <c r="H2820" s="13"/>
      <c r="I2820" s="12" t="str">
        <f>Table1[[#This Row],[type]]</f>
        <v>table</v>
      </c>
      <c r="J2820" s="62" t="str">
        <f>Table1[[#This Row],[Column42]]&amp;IF(Table1[[#This Row],[Column13]]="","",Table1[[#This Row],[Column13]])&amp;IF(Table1[[#This Row],[mod]]="","",Table1[[#This Row],[mod]])</f>
        <v>table__grid--5</v>
      </c>
      <c r="K28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0" t="s">
        <v>91</v>
      </c>
      <c r="M2820" t="s">
        <v>3133</v>
      </c>
      <c r="P2820" t="s">
        <v>1079</v>
      </c>
      <c r="Q28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20">
        <v>5</v>
      </c>
      <c r="U28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0" s="29"/>
      <c r="AC2820" s="25"/>
      <c r="AD2820" s="41"/>
      <c r="AE2820" s="41"/>
      <c r="AF2820" s="11" t="s">
        <v>282</v>
      </c>
      <c r="AH2820" s="1" t="str">
        <f>Table1[[#This Row],[html_tag]]&amp;Table1[[#This Row],[html_type]]&amp;Table1[[#This Row],[html_modifier]]</f>
        <v/>
      </c>
      <c r="AL2820" s="22" t="str">
        <f>IFERROR(_xlfn.XLOOKUP(Table1[[#This Row],[word]],Table57[English style name],Table57[Style type]),"")</f>
        <v>Table</v>
      </c>
      <c r="AM2820" s="20" t="s">
        <v>1079</v>
      </c>
      <c r="AN2820" s="11"/>
    </row>
    <row r="2821" spans="4:44">
      <c r="E2821" s="11"/>
      <c r="F28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1" s="13"/>
      <c r="H2821" s="13"/>
      <c r="I2821" s="12" t="str">
        <f>Table1[[#This Row],[type]]</f>
        <v>table</v>
      </c>
      <c r="J2821" s="62" t="str">
        <f>Table1[[#This Row],[Column42]]&amp;IF(Table1[[#This Row],[Column13]]="","",Table1[[#This Row],[Column13]])&amp;IF(Table1[[#This Row],[mod]]="","",Table1[[#This Row],[mod]])</f>
        <v>table__grid--5</v>
      </c>
      <c r="K28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1" t="s">
        <v>91</v>
      </c>
      <c r="M2821" t="s">
        <v>3133</v>
      </c>
      <c r="P2821" t="s">
        <v>1080</v>
      </c>
      <c r="Q28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21">
        <v>5</v>
      </c>
      <c r="U28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1" s="29"/>
      <c r="AC2821" s="25"/>
      <c r="AD2821" s="41"/>
      <c r="AE2821" s="41"/>
      <c r="AF2821" s="11" t="s">
        <v>282</v>
      </c>
      <c r="AH2821" s="1" t="str">
        <f>Table1[[#This Row],[html_tag]]&amp;Table1[[#This Row],[html_type]]&amp;Table1[[#This Row],[html_modifier]]</f>
        <v/>
      </c>
      <c r="AL2821" s="22" t="str">
        <f>IFERROR(_xlfn.XLOOKUP(Table1[[#This Row],[word]],Table57[English style name],Table57[Style type]),"")</f>
        <v>Table</v>
      </c>
      <c r="AM2821" s="20" t="s">
        <v>1080</v>
      </c>
      <c r="AN2821" s="11"/>
    </row>
    <row r="2822" spans="4:44">
      <c r="E2822" s="11"/>
      <c r="F28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2" s="13"/>
      <c r="H2822" s="13"/>
      <c r="I2822" s="12" t="str">
        <f>Table1[[#This Row],[type]]</f>
        <v>table</v>
      </c>
      <c r="J2822" s="62" t="str">
        <f>Table1[[#This Row],[Column42]]&amp;IF(Table1[[#This Row],[Column13]]="","",Table1[[#This Row],[Column13]])&amp;IF(Table1[[#This Row],[mod]]="","",Table1[[#This Row],[mod]])</f>
        <v>table__grid--6</v>
      </c>
      <c r="K28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2" t="s">
        <v>91</v>
      </c>
      <c r="M2822" t="s">
        <v>3133</v>
      </c>
      <c r="P2822" t="s">
        <v>1081</v>
      </c>
      <c r="Q28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2">
        <v>6</v>
      </c>
      <c r="U28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2" s="29"/>
      <c r="AC2822" s="25"/>
      <c r="AD2822" s="41"/>
      <c r="AE2822" s="41"/>
      <c r="AF2822" s="11" t="s">
        <v>282</v>
      </c>
      <c r="AH2822" s="1" t="str">
        <f>Table1[[#This Row],[html_tag]]&amp;Table1[[#This Row],[html_type]]&amp;Table1[[#This Row],[html_modifier]]</f>
        <v/>
      </c>
      <c r="AL2822" s="22" t="str">
        <f>IFERROR(_xlfn.XLOOKUP(Table1[[#This Row],[word]],Table57[English style name],Table57[Style type]),"")</f>
        <v>Table</v>
      </c>
      <c r="AM2822" s="20" t="s">
        <v>1081</v>
      </c>
      <c r="AN2822" s="11"/>
    </row>
    <row r="2823" spans="4:44">
      <c r="E2823" s="11"/>
      <c r="F28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3" s="13"/>
      <c r="H2823" s="13"/>
      <c r="I2823" s="12" t="str">
        <f>Table1[[#This Row],[type]]</f>
        <v>table</v>
      </c>
      <c r="J2823" s="62" t="str">
        <f>Table1[[#This Row],[Column42]]&amp;IF(Table1[[#This Row],[Column13]]="","",Table1[[#This Row],[Column13]])&amp;IF(Table1[[#This Row],[mod]]="","",Table1[[#This Row],[mod]])</f>
        <v>table__grid--6</v>
      </c>
      <c r="K28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3" t="s">
        <v>91</v>
      </c>
      <c r="M2823" t="s">
        <v>3133</v>
      </c>
      <c r="P2823" t="s">
        <v>1082</v>
      </c>
      <c r="Q28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3">
        <v>6</v>
      </c>
      <c r="U28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3" s="29"/>
      <c r="AC2823" s="25"/>
      <c r="AD2823" s="41"/>
      <c r="AE2823" s="41"/>
      <c r="AF2823" s="11" t="s">
        <v>282</v>
      </c>
      <c r="AH2823" s="1" t="str">
        <f>Table1[[#This Row],[html_tag]]&amp;Table1[[#This Row],[html_type]]&amp;Table1[[#This Row],[html_modifier]]</f>
        <v/>
      </c>
      <c r="AL2823" s="22" t="str">
        <f>IFERROR(_xlfn.XLOOKUP(Table1[[#This Row],[word]],Table57[English style name],Table57[Style type]),"")</f>
        <v>Table</v>
      </c>
      <c r="AM2823" s="20" t="s">
        <v>1082</v>
      </c>
      <c r="AN2823" s="11"/>
    </row>
    <row r="2824" spans="4:44">
      <c r="E2824" s="11"/>
      <c r="F28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4" s="13"/>
      <c r="H2824" s="13"/>
      <c r="I2824" s="12" t="str">
        <f>Table1[[#This Row],[type]]</f>
        <v>table</v>
      </c>
      <c r="J2824" s="62" t="str">
        <f>Table1[[#This Row],[Column42]]&amp;IF(Table1[[#This Row],[Column13]]="","",Table1[[#This Row],[Column13]])&amp;IF(Table1[[#This Row],[mod]]="","",Table1[[#This Row],[mod]])</f>
        <v>table__grid--6</v>
      </c>
      <c r="K28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4" t="s">
        <v>91</v>
      </c>
      <c r="M2824" t="s">
        <v>3133</v>
      </c>
      <c r="P2824" t="s">
        <v>1083</v>
      </c>
      <c r="Q28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4">
        <v>6</v>
      </c>
      <c r="U28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4" s="29"/>
      <c r="AC2824" s="25"/>
      <c r="AD2824" s="41"/>
      <c r="AE2824" s="41"/>
      <c r="AF2824" s="11" t="s">
        <v>282</v>
      </c>
      <c r="AH2824" s="1" t="str">
        <f>Table1[[#This Row],[html_tag]]&amp;Table1[[#This Row],[html_type]]&amp;Table1[[#This Row],[html_modifier]]</f>
        <v/>
      </c>
      <c r="AL2824" s="22" t="str">
        <f>IFERROR(_xlfn.XLOOKUP(Table1[[#This Row],[word]],Table57[English style name],Table57[Style type]),"")</f>
        <v>Table</v>
      </c>
      <c r="AM2824" s="20" t="s">
        <v>1083</v>
      </c>
      <c r="AN2824" s="11"/>
    </row>
    <row r="2825" spans="4:44">
      <c r="E2825" s="11"/>
      <c r="F28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5" s="13"/>
      <c r="H2825" s="13"/>
      <c r="I2825" s="12" t="str">
        <f>Table1[[#This Row],[type]]</f>
        <v>table</v>
      </c>
      <c r="J2825" s="62" t="str">
        <f>Table1[[#This Row],[Column42]]&amp;IF(Table1[[#This Row],[Column13]]="","",Table1[[#This Row],[Column13]])&amp;IF(Table1[[#This Row],[mod]]="","",Table1[[#This Row],[mod]])</f>
        <v>table__grid--6</v>
      </c>
      <c r="K28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5" t="s">
        <v>91</v>
      </c>
      <c r="M2825" t="s">
        <v>3133</v>
      </c>
      <c r="P2825" t="s">
        <v>1084</v>
      </c>
      <c r="Q28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5">
        <v>6</v>
      </c>
      <c r="U28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5" s="29"/>
      <c r="AC2825" s="25"/>
      <c r="AD2825" s="41"/>
      <c r="AE2825" s="41"/>
      <c r="AF2825" s="11" t="s">
        <v>282</v>
      </c>
      <c r="AH2825" s="1" t="str">
        <f>Table1[[#This Row],[html_tag]]&amp;Table1[[#This Row],[html_type]]&amp;Table1[[#This Row],[html_modifier]]</f>
        <v/>
      </c>
      <c r="AL2825" s="22" t="str">
        <f>IFERROR(_xlfn.XLOOKUP(Table1[[#This Row],[word]],Table57[English style name],Table57[Style type]),"")</f>
        <v>Table</v>
      </c>
      <c r="AM2825" s="20" t="s">
        <v>1084</v>
      </c>
      <c r="AN2825" s="11"/>
    </row>
    <row r="2826" spans="4:44">
      <c r="E2826" s="11"/>
      <c r="F28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6" s="13"/>
      <c r="H2826" s="13"/>
      <c r="I2826" s="12" t="str">
        <f>Table1[[#This Row],[type]]</f>
        <v>table</v>
      </c>
      <c r="J2826" s="62" t="str">
        <f>Table1[[#This Row],[Column42]]&amp;IF(Table1[[#This Row],[Column13]]="","",Table1[[#This Row],[Column13]])&amp;IF(Table1[[#This Row],[mod]]="","",Table1[[#This Row],[mod]])</f>
        <v>table__grid--6</v>
      </c>
      <c r="K28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6" t="s">
        <v>91</v>
      </c>
      <c r="M2826" t="s">
        <v>3133</v>
      </c>
      <c r="P2826" t="s">
        <v>1085</v>
      </c>
      <c r="Q28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6">
        <v>6</v>
      </c>
      <c r="U28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6" s="29"/>
      <c r="AC2826" s="25"/>
      <c r="AD2826" s="41"/>
      <c r="AE2826" s="41"/>
      <c r="AF2826" s="11" t="s">
        <v>282</v>
      </c>
      <c r="AH2826" s="1" t="str">
        <f>Table1[[#This Row],[html_tag]]&amp;Table1[[#This Row],[html_type]]&amp;Table1[[#This Row],[html_modifier]]</f>
        <v/>
      </c>
      <c r="AL2826" s="22" t="str">
        <f>IFERROR(_xlfn.XLOOKUP(Table1[[#This Row],[word]],Table57[English style name],Table57[Style type]),"")</f>
        <v>Table</v>
      </c>
      <c r="AM2826" s="20" t="s">
        <v>1085</v>
      </c>
      <c r="AN2826" s="11"/>
    </row>
    <row r="2827" spans="4:44">
      <c r="E2827" s="11"/>
      <c r="F28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7" s="13"/>
      <c r="H2827" s="13"/>
      <c r="I2827" s="12" t="str">
        <f>Table1[[#This Row],[type]]</f>
        <v>table</v>
      </c>
      <c r="J2827" s="62" t="str">
        <f>Table1[[#This Row],[Column42]]&amp;IF(Table1[[#This Row],[Column13]]="","",Table1[[#This Row],[Column13]])&amp;IF(Table1[[#This Row],[mod]]="","",Table1[[#This Row],[mod]])</f>
        <v>table__grid--6</v>
      </c>
      <c r="K28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7" t="s">
        <v>91</v>
      </c>
      <c r="M2827" t="s">
        <v>3133</v>
      </c>
      <c r="P2827" t="s">
        <v>1086</v>
      </c>
      <c r="Q28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7">
        <v>6</v>
      </c>
      <c r="U28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7" s="29"/>
      <c r="AC2827" s="25"/>
      <c r="AD2827" s="41"/>
      <c r="AE2827" s="41"/>
      <c r="AF2827" s="11" t="s">
        <v>282</v>
      </c>
      <c r="AH2827" s="1" t="str">
        <f>Table1[[#This Row],[html_tag]]&amp;Table1[[#This Row],[html_type]]&amp;Table1[[#This Row],[html_modifier]]</f>
        <v/>
      </c>
      <c r="AL2827" s="22" t="str">
        <f>IFERROR(_xlfn.XLOOKUP(Table1[[#This Row],[word]],Table57[English style name],Table57[Style type]),"")</f>
        <v>Table</v>
      </c>
      <c r="AM2827" s="20" t="s">
        <v>1086</v>
      </c>
      <c r="AN2827" s="11"/>
    </row>
    <row r="2828" spans="4:44">
      <c r="E2828" s="11"/>
      <c r="F28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8" s="13"/>
      <c r="H2828" s="13"/>
      <c r="I2828" s="12" t="str">
        <f>Table1[[#This Row],[type]]</f>
        <v>table</v>
      </c>
      <c r="J2828" s="62" t="str">
        <f>Table1[[#This Row],[Column42]]&amp;IF(Table1[[#This Row],[Column13]]="","",Table1[[#This Row],[Column13]])&amp;IF(Table1[[#This Row],[mod]]="","",Table1[[#This Row],[mod]])</f>
        <v>table__grid--6</v>
      </c>
      <c r="K28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8" t="s">
        <v>91</v>
      </c>
      <c r="M2828" t="s">
        <v>3133</v>
      </c>
      <c r="P2828" t="s">
        <v>1087</v>
      </c>
      <c r="Q28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8">
        <v>6</v>
      </c>
      <c r="U28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8" s="29"/>
      <c r="AC2828" s="25"/>
      <c r="AD2828" s="41"/>
      <c r="AE2828" s="41"/>
      <c r="AF2828" s="11" t="s">
        <v>282</v>
      </c>
      <c r="AH2828" s="1" t="str">
        <f>Table1[[#This Row],[html_tag]]&amp;Table1[[#This Row],[html_type]]&amp;Table1[[#This Row],[html_modifier]]</f>
        <v/>
      </c>
      <c r="AL2828" s="22" t="str">
        <f>IFERROR(_xlfn.XLOOKUP(Table1[[#This Row],[word]],Table57[English style name],Table57[Style type]),"")</f>
        <v>Table</v>
      </c>
      <c r="AM2828" s="20" t="s">
        <v>1087</v>
      </c>
      <c r="AN2828" s="11"/>
    </row>
    <row r="2829" spans="4:44">
      <c r="D2829" t="s">
        <v>3320</v>
      </c>
      <c r="E2829" s="11"/>
      <c r="F28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9" s="13"/>
      <c r="H2829" s="13"/>
      <c r="I2829" s="12" t="str">
        <f>Table1[[#This Row],[type]]</f>
        <v>table</v>
      </c>
      <c r="J2829" s="62" t="str">
        <f>Table1[[#This Row],[Column42]]&amp;IF(Table1[[#This Row],[Column13]]="","",Table1[[#This Row],[Column13]])&amp;IF(Table1[[#This Row],[mod]]="","",Table1[[#This Row],[mod]])</f>
        <v>table__head row</v>
      </c>
      <c r="K28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table__head row</v>
      </c>
      <c r="L2829" t="s">
        <v>91</v>
      </c>
      <c r="M2829" t="s">
        <v>3361</v>
      </c>
      <c r="Q28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9" s="29"/>
      <c r="AC2829" s="25"/>
      <c r="AD2829" s="41"/>
      <c r="AE2829" s="41"/>
      <c r="AF2829" s="11"/>
      <c r="AH2829" s="7" t="str">
        <f>Table1[[#This Row],[html_tag]]&amp;Table1[[#This Row],[html_type]]&amp;Table1[[#This Row],[html_modifier]]</f>
        <v/>
      </c>
      <c r="AL2829" s="23" t="str">
        <f>IFERROR(_xlfn.XLOOKUP(Table1[[#This Row],[word]],Table57[English style name],Table57[Style type]),"")</f>
        <v/>
      </c>
      <c r="AM2829" s="21"/>
      <c r="AN2829" s="11"/>
    </row>
    <row r="2830" spans="4:44">
      <c r="E2830" s="11"/>
      <c r="F28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0" s="13"/>
      <c r="H2830" s="13"/>
      <c r="I2830" s="12" t="str">
        <f>Table1[[#This Row],[type]]</f>
        <v>table</v>
      </c>
      <c r="J2830" s="62" t="str">
        <f>Table1[[#This Row],[Column42]]&amp;IF(Table1[[#This Row],[Column13]]="","",Table1[[#This Row],[Column13]])&amp;IF(Table1[[#This Row],[mod]]="","",Table1[[#This Row],[mod]])</f>
        <v>table__header</v>
      </c>
      <c r="K28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table__header</v>
      </c>
      <c r="L2830" t="s">
        <v>91</v>
      </c>
      <c r="M2830" t="s">
        <v>465</v>
      </c>
      <c r="Q28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0" s="29"/>
      <c r="AC2830" s="25"/>
      <c r="AD2830" s="41"/>
      <c r="AE2830" s="41"/>
      <c r="AF2830" s="11" t="s">
        <v>296</v>
      </c>
      <c r="AH2830" s="1" t="str">
        <f>Table1[[#This Row],[html_tag]]&amp;Table1[[#This Row],[html_type]]&amp;Table1[[#This Row],[html_modifier]]</f>
        <v>&lt;thead&gt;</v>
      </c>
      <c r="AI2830" t="s">
        <v>296</v>
      </c>
      <c r="AL2830" s="22" t="str">
        <f>IFERROR(_xlfn.XLOOKUP(Table1[[#This Row],[word]],Table57[English style name],Table57[Style type]),"")</f>
        <v/>
      </c>
      <c r="AM2830" s="20"/>
      <c r="AN2830" s="11"/>
    </row>
    <row r="2831" spans="4:44">
      <c r="E2831" s="11"/>
      <c r="F28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831" s="13" t="s">
        <v>337</v>
      </c>
      <c r="H2831" s="13" t="s">
        <v>2987</v>
      </c>
      <c r="I2831" s="12" t="str">
        <f>Table1[[#This Row],[type]]</f>
        <v>table</v>
      </c>
      <c r="J2831" s="62" t="str">
        <f>Table1[[#This Row],[Column42]]&amp;IF(Table1[[#This Row],[Column13]]="","",Table1[[#This Row],[Column13]])&amp;IF(Table1[[#This Row],[mod]]="","",Table1[[#This Row],[mod]])</f>
        <v>table__left</v>
      </c>
      <c r="K28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table__left</v>
      </c>
      <c r="L2831" t="s">
        <v>91</v>
      </c>
      <c r="N2831" s="3" t="s">
        <v>616</v>
      </c>
      <c r="P2831" s="6" t="s">
        <v>2767</v>
      </c>
      <c r="Q28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1" s="29"/>
      <c r="AC2831" s="25"/>
      <c r="AD2831" s="41"/>
      <c r="AE2831" s="41"/>
      <c r="AF2831" s="11"/>
      <c r="AH2831" s="1" t="str">
        <f>Table1[[#This Row],[html_tag]]&amp;Table1[[#This Row],[html_type]]&amp;Table1[[#This Row],[html_modifier]]</f>
        <v/>
      </c>
      <c r="AL2831" s="22" t="str">
        <f>IFERROR(_xlfn.XLOOKUP(Table1[[#This Row],[word]],Table57[English style name],Table57[Style type]),"")</f>
        <v/>
      </c>
      <c r="AM2831" s="20"/>
      <c r="AN2831" s="11"/>
      <c r="AQ2831" s="6" t="s">
        <v>2767</v>
      </c>
      <c r="AR2831" t="s">
        <v>2762</v>
      </c>
    </row>
    <row r="2832" spans="4:44">
      <c r="D2832" t="s">
        <v>3320</v>
      </c>
      <c r="E2832" s="11"/>
      <c r="F28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2" s="13"/>
      <c r="H2832" s="13"/>
      <c r="I2832" s="12" t="str">
        <f>Table1[[#This Row],[type]]</f>
        <v>table</v>
      </c>
      <c r="J2832" s="62" t="str">
        <f>Table1[[#This Row],[Column42]]&amp;IF(Table1[[#This Row],[Column13]]="","",Table1[[#This Row],[Column13]])&amp;IF(Table1[[#This Row],[mod]]="","",Table1[[#This Row],[mod]])</f>
        <v>table__row__body</v>
      </c>
      <c r="K28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table__row__body</v>
      </c>
      <c r="L2832" t="s">
        <v>91</v>
      </c>
      <c r="M2832" t="s">
        <v>614</v>
      </c>
      <c r="O2832" t="s">
        <v>337</v>
      </c>
      <c r="Q28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2" s="29"/>
      <c r="AC2832" s="25"/>
      <c r="AD2832" s="41"/>
      <c r="AE2832" s="41"/>
      <c r="AF2832" s="11"/>
      <c r="AH2832" s="7" t="str">
        <f>Table1[[#This Row],[html_tag]]&amp;Table1[[#This Row],[html_type]]&amp;Table1[[#This Row],[html_modifier]]</f>
        <v/>
      </c>
      <c r="AL2832" s="23" t="str">
        <f>IFERROR(_xlfn.XLOOKUP(Table1[[#This Row],[word]],Table57[English style name],Table57[Style type]),"")</f>
        <v/>
      </c>
      <c r="AM2832" s="21"/>
      <c r="AN2832" s="11"/>
    </row>
    <row r="2833" spans="5:44">
      <c r="E2833" s="11"/>
      <c r="F28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833" s="13" t="s">
        <v>337</v>
      </c>
      <c r="H2833" s="13" t="s">
        <v>2987</v>
      </c>
      <c r="I2833" s="12" t="str">
        <f>Table1[[#This Row],[type]]</f>
        <v>table</v>
      </c>
      <c r="J2833" s="62" t="str">
        <f>Table1[[#This Row],[Column42]]&amp;IF(Table1[[#This Row],[Column13]]="","",Table1[[#This Row],[Column13]])&amp;IF(Table1[[#This Row],[mod]]="","",Table1[[#This Row],[mod]])</f>
        <v>table__stacked__header</v>
      </c>
      <c r="K28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table__stacked__header</v>
      </c>
      <c r="L2833" t="s">
        <v>91</v>
      </c>
      <c r="M2833" t="s">
        <v>3413</v>
      </c>
      <c r="O2833" t="s">
        <v>465</v>
      </c>
      <c r="Q28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3" s="29"/>
      <c r="AC2833" s="25"/>
      <c r="AD2833" s="41"/>
      <c r="AE2833" s="41"/>
      <c r="AF2833" s="11"/>
      <c r="AH2833" s="1" t="str">
        <f>Table1[[#This Row],[html_tag]]&amp;Table1[[#This Row],[html_type]]&amp;Table1[[#This Row],[html_modifier]]</f>
        <v/>
      </c>
      <c r="AL2833" s="22" t="str">
        <f>IFERROR(_xlfn.XLOOKUP(Table1[[#This Row],[word]],Table57[English style name],Table57[Style type]),"")</f>
        <v/>
      </c>
      <c r="AM2833" s="20"/>
      <c r="AN2833" s="11"/>
      <c r="AQ2833" s="6" t="s">
        <v>2766</v>
      </c>
      <c r="AR2833" t="s">
        <v>2762</v>
      </c>
    </row>
    <row r="2834" spans="5:44">
      <c r="E2834" s="11"/>
      <c r="F28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834" s="13" t="s">
        <v>2992</v>
      </c>
      <c r="H2834" s="13" t="s">
        <v>1</v>
      </c>
      <c r="I2834" s="12" t="str">
        <f>Table1[[#This Row],[type]]</f>
        <v>table</v>
      </c>
      <c r="J2834" s="62" t="str">
        <f>Table1[[#This Row],[Column42]]&amp;IF(Table1[[#This Row],[Column13]]="","",Table1[[#This Row],[Column13]])&amp;IF(Table1[[#This Row],[mod]]="","",Table1[[#This Row],[mod]])</f>
        <v>table__subhead</v>
      </c>
      <c r="K28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table__subhead</v>
      </c>
      <c r="L2834" s="4" t="s">
        <v>91</v>
      </c>
      <c r="M2834" s="4" t="s">
        <v>327</v>
      </c>
      <c r="N2834" s="4"/>
      <c r="O2834" s="4"/>
      <c r="Q2834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834" s="4"/>
      <c r="U28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834" s="4"/>
      <c r="W2834" s="4"/>
      <c r="X2834" s="4"/>
      <c r="Z2834" s="4"/>
      <c r="AA2834" s="4"/>
      <c r="AB2834" s="47"/>
      <c r="AC2834" s="46"/>
      <c r="AD2834" s="44"/>
      <c r="AE2834" s="44"/>
      <c r="AF2834" s="11"/>
      <c r="AH2834" s="1" t="str">
        <f>Table1[[#This Row],[html_tag]]&amp;Table1[[#This Row],[html_type]]&amp;Table1[[#This Row],[html_modifier]]</f>
        <v/>
      </c>
      <c r="AL2834" s="22" t="str">
        <f>IFERROR(_xlfn.XLOOKUP(Table1[[#This Row],[word]],Table57[English style name],Table57[Style type]),"")</f>
        <v/>
      </c>
      <c r="AM2834" s="20"/>
      <c r="AN2834" s="11"/>
    </row>
    <row r="2835" spans="5:44">
      <c r="E2835" s="11"/>
      <c r="F28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5" s="13"/>
      <c r="H2835" s="13"/>
      <c r="I2835" s="12" t="str">
        <f>Table1[[#This Row],[type]]</f>
        <v>table</v>
      </c>
      <c r="J2835" s="62" t="str">
        <f>Table1[[#This Row],[Column42]]&amp;IF(Table1[[#This Row],[Column13]]="","",Table1[[#This Row],[Column13]])&amp;IF(Table1[[#This Row],[mod]]="","",Table1[[#This Row],[mod]])</f>
        <v>table--1</v>
      </c>
      <c r="K28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35" t="s">
        <v>91</v>
      </c>
      <c r="P2835" t="s">
        <v>948</v>
      </c>
      <c r="Q28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35">
        <v>1</v>
      </c>
      <c r="U28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5" s="29"/>
      <c r="AC2835" s="25"/>
      <c r="AD2835" s="41"/>
      <c r="AE2835" s="41"/>
      <c r="AF2835" s="11" t="s">
        <v>282</v>
      </c>
      <c r="AH2835" s="1" t="str">
        <f>Table1[[#This Row],[html_tag]]&amp;Table1[[#This Row],[html_type]]&amp;Table1[[#This Row],[html_modifier]]</f>
        <v/>
      </c>
      <c r="AL2835" s="22" t="str">
        <f>IFERROR(_xlfn.XLOOKUP(Table1[[#This Row],[word]],Table57[English style name],Table57[Style type]),"")</f>
        <v>Table</v>
      </c>
      <c r="AM2835" s="20" t="s">
        <v>948</v>
      </c>
      <c r="AN2835" s="11"/>
    </row>
    <row r="2836" spans="5:44">
      <c r="E2836" s="11"/>
      <c r="F28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6" s="13"/>
      <c r="H2836" s="13"/>
      <c r="I2836" s="12" t="str">
        <f>Table1[[#This Row],[type]]</f>
        <v>table</v>
      </c>
      <c r="J2836" s="62" t="str">
        <f>Table1[[#This Row],[Column42]]&amp;IF(Table1[[#This Row],[Column13]]="","",Table1[[#This Row],[Column13]])&amp;IF(Table1[[#This Row],[mod]]="","",Table1[[#This Row],[mod]])</f>
        <v>table--1</v>
      </c>
      <c r="K28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36" t="s">
        <v>91</v>
      </c>
      <c r="P2836" t="s">
        <v>946</v>
      </c>
      <c r="Q28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36">
        <v>1</v>
      </c>
      <c r="U28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6" s="29"/>
      <c r="AC2836" s="25"/>
      <c r="AD2836" s="41"/>
      <c r="AE2836" s="41"/>
      <c r="AF2836" s="11" t="s">
        <v>282</v>
      </c>
      <c r="AH2836" s="1" t="str">
        <f>Table1[[#This Row],[html_tag]]&amp;Table1[[#This Row],[html_type]]&amp;Table1[[#This Row],[html_modifier]]</f>
        <v/>
      </c>
      <c r="AL2836" s="22" t="str">
        <f>IFERROR(_xlfn.XLOOKUP(Table1[[#This Row],[word]],Table57[English style name],Table57[Style type]),"")</f>
        <v>Table</v>
      </c>
      <c r="AM2836" s="20" t="s">
        <v>946</v>
      </c>
      <c r="AN2836" s="11"/>
    </row>
    <row r="2837" spans="5:44">
      <c r="E2837" s="11"/>
      <c r="F28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7" s="13"/>
      <c r="H2837" s="13"/>
      <c r="I2837" s="12" t="str">
        <f>Table1[[#This Row],[type]]</f>
        <v>table</v>
      </c>
      <c r="J2837" s="62" t="str">
        <f>Table1[[#This Row],[Column42]]&amp;IF(Table1[[#This Row],[Column13]]="","",Table1[[#This Row],[Column13]])&amp;IF(Table1[[#This Row],[mod]]="","",Table1[[#This Row],[mod]])</f>
        <v>table--1</v>
      </c>
      <c r="K28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37" t="s">
        <v>91</v>
      </c>
      <c r="P2837" t="s">
        <v>944</v>
      </c>
      <c r="Q28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37">
        <v>1</v>
      </c>
      <c r="U28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7" s="29"/>
      <c r="AC2837" s="25"/>
      <c r="AD2837" s="41"/>
      <c r="AE2837" s="41"/>
      <c r="AF2837" s="11" t="s">
        <v>282</v>
      </c>
      <c r="AH2837" s="1" t="str">
        <f>Table1[[#This Row],[html_tag]]&amp;Table1[[#This Row],[html_type]]&amp;Table1[[#This Row],[html_modifier]]</f>
        <v/>
      </c>
      <c r="AL2837" s="22" t="str">
        <f>IFERROR(_xlfn.XLOOKUP(Table1[[#This Row],[word]],Table57[English style name],Table57[Style type]),"")</f>
        <v>Table</v>
      </c>
      <c r="AM2837" s="20" t="s">
        <v>944</v>
      </c>
      <c r="AN2837" s="11"/>
    </row>
    <row r="2838" spans="5:44">
      <c r="E2838" s="11"/>
      <c r="F28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8" s="13"/>
      <c r="H2838" s="13"/>
      <c r="I2838" s="12" t="str">
        <f>Table1[[#This Row],[type]]</f>
        <v>table</v>
      </c>
      <c r="J2838" s="62" t="str">
        <f>Table1[[#This Row],[Column42]]&amp;IF(Table1[[#This Row],[Column13]]="","",Table1[[#This Row],[Column13]])&amp;IF(Table1[[#This Row],[mod]]="","",Table1[[#This Row],[mod]])</f>
        <v>table--1</v>
      </c>
      <c r="K28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38" t="s">
        <v>91</v>
      </c>
      <c r="P2838" t="s">
        <v>1095</v>
      </c>
      <c r="Q28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38">
        <v>1</v>
      </c>
      <c r="U28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8" s="29"/>
      <c r="AC2838" s="25"/>
      <c r="AD2838" s="41"/>
      <c r="AE2838" s="41"/>
      <c r="AF2838" s="11" t="s">
        <v>282</v>
      </c>
      <c r="AH2838" s="1" t="str">
        <f>Table1[[#This Row],[html_tag]]&amp;Table1[[#This Row],[html_type]]&amp;Table1[[#This Row],[html_modifier]]</f>
        <v/>
      </c>
      <c r="AL2838" s="22" t="str">
        <f>IFERROR(_xlfn.XLOOKUP(Table1[[#This Row],[word]],Table57[English style name],Table57[Style type]),"")</f>
        <v>Table</v>
      </c>
      <c r="AM2838" s="20" t="s">
        <v>1095</v>
      </c>
      <c r="AN2838" s="11"/>
    </row>
    <row r="2839" spans="5:44">
      <c r="E2839" s="11"/>
      <c r="F28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9" s="13"/>
      <c r="H2839" s="13"/>
      <c r="I2839" s="12" t="str">
        <f>Table1[[#This Row],[type]]</f>
        <v>table</v>
      </c>
      <c r="J2839" s="62" t="str">
        <f>Table1[[#This Row],[Column42]]&amp;IF(Table1[[#This Row],[Column13]]="","",Table1[[#This Row],[Column13]])&amp;IF(Table1[[#This Row],[mod]]="","",Table1[[#This Row],[mod]])</f>
        <v>table--1</v>
      </c>
      <c r="K28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39" t="s">
        <v>91</v>
      </c>
      <c r="P2839" t="s">
        <v>1096</v>
      </c>
      <c r="Q28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39">
        <v>1</v>
      </c>
      <c r="U28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9" s="29"/>
      <c r="AC2839" s="25"/>
      <c r="AD2839" s="41"/>
      <c r="AE2839" s="41"/>
      <c r="AF2839" s="11" t="s">
        <v>282</v>
      </c>
      <c r="AH2839" s="1" t="str">
        <f>Table1[[#This Row],[html_tag]]&amp;Table1[[#This Row],[html_type]]&amp;Table1[[#This Row],[html_modifier]]</f>
        <v/>
      </c>
      <c r="AL2839" s="22" t="str">
        <f>IFERROR(_xlfn.XLOOKUP(Table1[[#This Row],[word]],Table57[English style name],Table57[Style type]),"")</f>
        <v>Table</v>
      </c>
      <c r="AM2839" s="20" t="s">
        <v>1096</v>
      </c>
      <c r="AN2839" s="11"/>
    </row>
    <row r="2840" spans="5:44">
      <c r="E2840" s="11"/>
      <c r="F28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0" s="13"/>
      <c r="H2840" s="13"/>
      <c r="I2840" s="12" t="str">
        <f>Table1[[#This Row],[type]]</f>
        <v>table</v>
      </c>
      <c r="J2840" s="62" t="str">
        <f>Table1[[#This Row],[Column42]]&amp;IF(Table1[[#This Row],[Column13]]="","",Table1[[#This Row],[Column13]])&amp;IF(Table1[[#This Row],[mod]]="","",Table1[[#This Row],[mod]])</f>
        <v>table--1</v>
      </c>
      <c r="K28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0" t="s">
        <v>91</v>
      </c>
      <c r="P2840" t="s">
        <v>1097</v>
      </c>
      <c r="Q28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0">
        <v>1</v>
      </c>
      <c r="U28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0" s="29"/>
      <c r="AC2840" s="25"/>
      <c r="AD2840" s="41"/>
      <c r="AE2840" s="41"/>
      <c r="AF2840" s="11" t="s">
        <v>282</v>
      </c>
      <c r="AH2840" s="1" t="str">
        <f>Table1[[#This Row],[html_tag]]&amp;Table1[[#This Row],[html_type]]&amp;Table1[[#This Row],[html_modifier]]</f>
        <v/>
      </c>
      <c r="AL2840" s="22" t="str">
        <f>IFERROR(_xlfn.XLOOKUP(Table1[[#This Row],[word]],Table57[English style name],Table57[Style type]),"")</f>
        <v>Table</v>
      </c>
      <c r="AM2840" s="20" t="s">
        <v>1097</v>
      </c>
      <c r="AN2840" s="11"/>
    </row>
    <row r="2841" spans="5:44">
      <c r="E2841" s="11"/>
      <c r="F28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1" s="13"/>
      <c r="H2841" s="13"/>
      <c r="I2841" s="12" t="str">
        <f>Table1[[#This Row],[type]]</f>
        <v>table</v>
      </c>
      <c r="J2841" s="62" t="str">
        <f>Table1[[#This Row],[Column42]]&amp;IF(Table1[[#This Row],[Column13]]="","",Table1[[#This Row],[Column13]])&amp;IF(Table1[[#This Row],[mod]]="","",Table1[[#This Row],[mod]])</f>
        <v>table--1</v>
      </c>
      <c r="K28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1" t="s">
        <v>91</v>
      </c>
      <c r="P2841" t="s">
        <v>1098</v>
      </c>
      <c r="Q28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1">
        <v>1</v>
      </c>
      <c r="U28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1" s="29"/>
      <c r="AC2841" s="25"/>
      <c r="AD2841" s="41"/>
      <c r="AE2841" s="41"/>
      <c r="AF2841" s="11" t="s">
        <v>282</v>
      </c>
      <c r="AH2841" s="1" t="str">
        <f>Table1[[#This Row],[html_tag]]&amp;Table1[[#This Row],[html_type]]&amp;Table1[[#This Row],[html_modifier]]</f>
        <v/>
      </c>
      <c r="AL2841" s="22" t="str">
        <f>IFERROR(_xlfn.XLOOKUP(Table1[[#This Row],[word]],Table57[English style name],Table57[Style type]),"")</f>
        <v>Table</v>
      </c>
      <c r="AM2841" s="20" t="s">
        <v>1098</v>
      </c>
      <c r="AN2841" s="11"/>
    </row>
    <row r="2842" spans="5:44">
      <c r="E2842" s="11"/>
      <c r="F28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2" s="13"/>
      <c r="H2842" s="13"/>
      <c r="I2842" s="12" t="str">
        <f>Table1[[#This Row],[type]]</f>
        <v>table</v>
      </c>
      <c r="J2842" s="62" t="str">
        <f>Table1[[#This Row],[Column42]]&amp;IF(Table1[[#This Row],[Column13]]="","",Table1[[#This Row],[Column13]])&amp;IF(Table1[[#This Row],[mod]]="","",Table1[[#This Row],[mod]])</f>
        <v>table--1</v>
      </c>
      <c r="K28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2" t="s">
        <v>91</v>
      </c>
      <c r="P2842" t="s">
        <v>1099</v>
      </c>
      <c r="Q28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2">
        <v>1</v>
      </c>
      <c r="U28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2" s="29"/>
      <c r="AC2842" s="25"/>
      <c r="AD2842" s="41"/>
      <c r="AE2842" s="41"/>
      <c r="AF2842" s="11" t="s">
        <v>282</v>
      </c>
      <c r="AH2842" s="1" t="str">
        <f>Table1[[#This Row],[html_tag]]&amp;Table1[[#This Row],[html_type]]&amp;Table1[[#This Row],[html_modifier]]</f>
        <v/>
      </c>
      <c r="AL2842" s="22" t="str">
        <f>IFERROR(_xlfn.XLOOKUP(Table1[[#This Row],[word]],Table57[English style name],Table57[Style type]),"")</f>
        <v>Table</v>
      </c>
      <c r="AM2842" s="20" t="s">
        <v>1099</v>
      </c>
      <c r="AN2842" s="11"/>
    </row>
    <row r="2843" spans="5:44">
      <c r="E2843" s="11"/>
      <c r="F28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3" s="13"/>
      <c r="H2843" s="13"/>
      <c r="I2843" s="12" t="str">
        <f>Table1[[#This Row],[type]]</f>
        <v>table</v>
      </c>
      <c r="J2843" s="62" t="str">
        <f>Table1[[#This Row],[Column42]]&amp;IF(Table1[[#This Row],[Column13]]="","",Table1[[#This Row],[Column13]])&amp;IF(Table1[[#This Row],[mod]]="","",Table1[[#This Row],[mod]])</f>
        <v>table--1</v>
      </c>
      <c r="K28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3" t="s">
        <v>91</v>
      </c>
      <c r="P2843" t="s">
        <v>1100</v>
      </c>
      <c r="Q28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3">
        <v>1</v>
      </c>
      <c r="U28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3" s="29"/>
      <c r="AC2843" s="25"/>
      <c r="AD2843" s="41"/>
      <c r="AE2843" s="41"/>
      <c r="AF2843" s="11" t="s">
        <v>282</v>
      </c>
      <c r="AH2843" s="1" t="str">
        <f>Table1[[#This Row],[html_tag]]&amp;Table1[[#This Row],[html_type]]&amp;Table1[[#This Row],[html_modifier]]</f>
        <v/>
      </c>
      <c r="AL2843" s="22" t="str">
        <f>IFERROR(_xlfn.XLOOKUP(Table1[[#This Row],[word]],Table57[English style name],Table57[Style type]),"")</f>
        <v>Table</v>
      </c>
      <c r="AM2843" s="20" t="s">
        <v>1100</v>
      </c>
      <c r="AN2843" s="11"/>
    </row>
    <row r="2844" spans="5:44">
      <c r="E2844" s="11"/>
      <c r="F28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4" s="13"/>
      <c r="H2844" s="13"/>
      <c r="I2844" s="12" t="str">
        <f>Table1[[#This Row],[type]]</f>
        <v>table</v>
      </c>
      <c r="J2844" s="62" t="str">
        <f>Table1[[#This Row],[Column42]]&amp;IF(Table1[[#This Row],[Column13]]="","",Table1[[#This Row],[Column13]])&amp;IF(Table1[[#This Row],[mod]]="","",Table1[[#This Row],[mod]])</f>
        <v>table--1</v>
      </c>
      <c r="K28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4" t="s">
        <v>91</v>
      </c>
      <c r="P2844" t="s">
        <v>1101</v>
      </c>
      <c r="Q28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4">
        <v>1</v>
      </c>
      <c r="U28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4" s="29"/>
      <c r="AC2844" s="25"/>
      <c r="AD2844" s="41"/>
      <c r="AE2844" s="41"/>
      <c r="AF2844" s="11" t="s">
        <v>282</v>
      </c>
      <c r="AH2844" s="1" t="str">
        <f>Table1[[#This Row],[html_tag]]&amp;Table1[[#This Row],[html_type]]&amp;Table1[[#This Row],[html_modifier]]</f>
        <v/>
      </c>
      <c r="AL2844" s="22" t="str">
        <f>IFERROR(_xlfn.XLOOKUP(Table1[[#This Row],[word]],Table57[English style name],Table57[Style type]),"")</f>
        <v>Table</v>
      </c>
      <c r="AM2844" s="20" t="s">
        <v>1101</v>
      </c>
      <c r="AN2844" s="11"/>
    </row>
    <row r="2845" spans="5:44">
      <c r="E2845" s="11"/>
      <c r="F28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5" s="13"/>
      <c r="H2845" s="13"/>
      <c r="I2845" s="12" t="str">
        <f>Table1[[#This Row],[type]]</f>
        <v>table</v>
      </c>
      <c r="J2845" s="62" t="str">
        <f>Table1[[#This Row],[Column42]]&amp;IF(Table1[[#This Row],[Column13]]="","",Table1[[#This Row],[Column13]])&amp;IF(Table1[[#This Row],[mod]]="","",Table1[[#This Row],[mod]])</f>
        <v>table--1</v>
      </c>
      <c r="K28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5" t="s">
        <v>91</v>
      </c>
      <c r="P2845" t="s">
        <v>956</v>
      </c>
      <c r="Q28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5">
        <v>1</v>
      </c>
      <c r="U28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5" s="29"/>
      <c r="AC2845" s="25"/>
      <c r="AD2845" s="41"/>
      <c r="AE2845" s="41"/>
      <c r="AF2845" s="11" t="s">
        <v>282</v>
      </c>
      <c r="AH2845" s="1" t="str">
        <f>Table1[[#This Row],[html_tag]]&amp;Table1[[#This Row],[html_type]]&amp;Table1[[#This Row],[html_modifier]]</f>
        <v/>
      </c>
      <c r="AL2845" s="22" t="str">
        <f>IFERROR(_xlfn.XLOOKUP(Table1[[#This Row],[word]],Table57[English style name],Table57[Style type]),"")</f>
        <v>Table</v>
      </c>
      <c r="AM2845" s="20" t="s">
        <v>956</v>
      </c>
      <c r="AN2845" s="11"/>
    </row>
    <row r="2846" spans="5:44">
      <c r="E2846" s="11"/>
      <c r="F28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6" s="13"/>
      <c r="H2846" s="13"/>
      <c r="I2846" s="12" t="str">
        <f>Table1[[#This Row],[type]]</f>
        <v>table</v>
      </c>
      <c r="J2846" s="62" t="str">
        <f>Table1[[#This Row],[Column42]]&amp;IF(Table1[[#This Row],[Column13]]="","",Table1[[#This Row],[Column13]])&amp;IF(Table1[[#This Row],[mod]]="","",Table1[[#This Row],[mod]])</f>
        <v>table--1</v>
      </c>
      <c r="K28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6" t="s">
        <v>91</v>
      </c>
      <c r="P2846" t="s">
        <v>957</v>
      </c>
      <c r="Q28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6">
        <v>1</v>
      </c>
      <c r="U28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6" s="29"/>
      <c r="AC2846" s="25"/>
      <c r="AD2846" s="41"/>
      <c r="AE2846" s="41"/>
      <c r="AF2846" s="11" t="s">
        <v>282</v>
      </c>
      <c r="AH2846" s="1" t="str">
        <f>Table1[[#This Row],[html_tag]]&amp;Table1[[#This Row],[html_type]]&amp;Table1[[#This Row],[html_modifier]]</f>
        <v/>
      </c>
      <c r="AL2846" s="22" t="str">
        <f>IFERROR(_xlfn.XLOOKUP(Table1[[#This Row],[word]],Table57[English style name],Table57[Style type]),"")</f>
        <v>Table</v>
      </c>
      <c r="AM2846" s="20" t="s">
        <v>957</v>
      </c>
      <c r="AN2846" s="11"/>
    </row>
    <row r="2847" spans="5:44">
      <c r="E2847" s="11"/>
      <c r="F28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7" s="13"/>
      <c r="H2847" s="13"/>
      <c r="I2847" s="12" t="str">
        <f>Table1[[#This Row],[type]]</f>
        <v>table</v>
      </c>
      <c r="J2847" s="62" t="str">
        <f>Table1[[#This Row],[Column42]]&amp;IF(Table1[[#This Row],[Column13]]="","",Table1[[#This Row],[Column13]])&amp;IF(Table1[[#This Row],[mod]]="","",Table1[[#This Row],[mod]])</f>
        <v>table--1</v>
      </c>
      <c r="K28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7" t="s">
        <v>91</v>
      </c>
      <c r="P2847" t="s">
        <v>958</v>
      </c>
      <c r="Q28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7">
        <v>1</v>
      </c>
      <c r="U28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7" s="29"/>
      <c r="AC2847" s="25"/>
      <c r="AD2847" s="41"/>
      <c r="AE2847" s="41"/>
      <c r="AF2847" s="11" t="s">
        <v>282</v>
      </c>
      <c r="AH2847" s="1" t="str">
        <f>Table1[[#This Row],[html_tag]]&amp;Table1[[#This Row],[html_type]]&amp;Table1[[#This Row],[html_modifier]]</f>
        <v/>
      </c>
      <c r="AL2847" s="22" t="str">
        <f>IFERROR(_xlfn.XLOOKUP(Table1[[#This Row],[word]],Table57[English style name],Table57[Style type]),"")</f>
        <v>Table</v>
      </c>
      <c r="AM2847" s="20" t="s">
        <v>958</v>
      </c>
      <c r="AN2847" s="11"/>
    </row>
    <row r="2848" spans="5:44">
      <c r="E2848" s="11"/>
      <c r="F28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8" s="13"/>
      <c r="H2848" s="13"/>
      <c r="I2848" s="12" t="str">
        <f>Table1[[#This Row],[type]]</f>
        <v>table</v>
      </c>
      <c r="J2848" s="62" t="str">
        <f>Table1[[#This Row],[Column42]]&amp;IF(Table1[[#This Row],[Column13]]="","",Table1[[#This Row],[Column13]])&amp;IF(Table1[[#This Row],[mod]]="","",Table1[[#This Row],[mod]])</f>
        <v>table--1</v>
      </c>
      <c r="K28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8" t="s">
        <v>91</v>
      </c>
      <c r="P2848" t="s">
        <v>954</v>
      </c>
      <c r="Q28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8">
        <v>1</v>
      </c>
      <c r="U28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8" s="29"/>
      <c r="AC2848" s="25"/>
      <c r="AD2848" s="41"/>
      <c r="AE2848" s="41"/>
      <c r="AF2848" s="11" t="s">
        <v>282</v>
      </c>
      <c r="AH2848" s="1" t="str">
        <f>Table1[[#This Row],[html_tag]]&amp;Table1[[#This Row],[html_type]]&amp;Table1[[#This Row],[html_modifier]]</f>
        <v/>
      </c>
      <c r="AL2848" s="22" t="str">
        <f>IFERROR(_xlfn.XLOOKUP(Table1[[#This Row],[word]],Table57[English style name],Table57[Style type]),"")</f>
        <v>Table</v>
      </c>
      <c r="AM2848" s="20" t="s">
        <v>954</v>
      </c>
      <c r="AN2848" s="11"/>
    </row>
    <row r="2849" spans="5:40">
      <c r="E2849" s="11"/>
      <c r="F28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9" s="13"/>
      <c r="H2849" s="13"/>
      <c r="I2849" s="12" t="str">
        <f>Table1[[#This Row],[type]]</f>
        <v>table</v>
      </c>
      <c r="J2849" s="62" t="str">
        <f>Table1[[#This Row],[Column42]]&amp;IF(Table1[[#This Row],[Column13]]="","",Table1[[#This Row],[Column13]])&amp;IF(Table1[[#This Row],[mod]]="","",Table1[[#This Row],[mod]])</f>
        <v>table--1</v>
      </c>
      <c r="K28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9" t="s">
        <v>91</v>
      </c>
      <c r="P2849" t="s">
        <v>955</v>
      </c>
      <c r="Q28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9">
        <v>1</v>
      </c>
      <c r="U28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9" s="29"/>
      <c r="AC2849" s="25"/>
      <c r="AD2849" s="41"/>
      <c r="AE2849" s="41"/>
      <c r="AF2849" s="11" t="s">
        <v>282</v>
      </c>
      <c r="AH2849" s="1" t="str">
        <f>Table1[[#This Row],[html_tag]]&amp;Table1[[#This Row],[html_type]]&amp;Table1[[#This Row],[html_modifier]]</f>
        <v/>
      </c>
      <c r="AL2849" s="22" t="str">
        <f>IFERROR(_xlfn.XLOOKUP(Table1[[#This Row],[word]],Table57[English style name],Table57[Style type]),"")</f>
        <v>Table</v>
      </c>
      <c r="AM2849" s="20" t="s">
        <v>955</v>
      </c>
      <c r="AN2849" s="11"/>
    </row>
    <row r="2850" spans="5:40">
      <c r="E2850" s="11"/>
      <c r="F28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0" s="13"/>
      <c r="H2850" s="13"/>
      <c r="I2850" s="12" t="str">
        <f>Table1[[#This Row],[type]]</f>
        <v>table</v>
      </c>
      <c r="J2850" s="62" t="str">
        <f>Table1[[#This Row],[Column42]]&amp;IF(Table1[[#This Row],[Column13]]="","",Table1[[#This Row],[Column13]])&amp;IF(Table1[[#This Row],[mod]]="","",Table1[[#This Row],[mod]])</f>
        <v>table--1</v>
      </c>
      <c r="K28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0" t="s">
        <v>91</v>
      </c>
      <c r="P2850" t="s">
        <v>950</v>
      </c>
      <c r="Q28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0">
        <v>1</v>
      </c>
      <c r="U28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0" s="29"/>
      <c r="AC2850" s="25"/>
      <c r="AD2850" s="41"/>
      <c r="AE2850" s="41"/>
      <c r="AF2850" s="11" t="s">
        <v>282</v>
      </c>
      <c r="AH2850" s="1" t="str">
        <f>Table1[[#This Row],[html_tag]]&amp;Table1[[#This Row],[html_type]]&amp;Table1[[#This Row],[html_modifier]]</f>
        <v/>
      </c>
      <c r="AL2850" s="22" t="str">
        <f>IFERROR(_xlfn.XLOOKUP(Table1[[#This Row],[word]],Table57[English style name],Table57[Style type]),"")</f>
        <v>Table</v>
      </c>
      <c r="AM2850" s="20" t="s">
        <v>950</v>
      </c>
      <c r="AN2850" s="11"/>
    </row>
    <row r="2851" spans="5:40">
      <c r="E2851" s="11"/>
      <c r="F28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1" s="13"/>
      <c r="H2851" s="13"/>
      <c r="I2851" s="12" t="str">
        <f>Table1[[#This Row],[type]]</f>
        <v>table</v>
      </c>
      <c r="J2851" s="62" t="str">
        <f>Table1[[#This Row],[Column42]]&amp;IF(Table1[[#This Row],[Column13]]="","",Table1[[#This Row],[Column13]])&amp;IF(Table1[[#This Row],[mod]]="","",Table1[[#This Row],[mod]])</f>
        <v>table--1</v>
      </c>
      <c r="K28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1" t="s">
        <v>91</v>
      </c>
      <c r="P2851" t="s">
        <v>952</v>
      </c>
      <c r="Q28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1">
        <v>1</v>
      </c>
      <c r="U28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1" s="29"/>
      <c r="AC2851" s="25"/>
      <c r="AD2851" s="41"/>
      <c r="AE2851" s="41"/>
      <c r="AF2851" s="11" t="s">
        <v>282</v>
      </c>
      <c r="AH2851" s="1" t="str">
        <f>Table1[[#This Row],[html_tag]]&amp;Table1[[#This Row],[html_type]]&amp;Table1[[#This Row],[html_modifier]]</f>
        <v/>
      </c>
      <c r="AL2851" s="22" t="str">
        <f>IFERROR(_xlfn.XLOOKUP(Table1[[#This Row],[word]],Table57[English style name],Table57[Style type]),"")</f>
        <v>Table</v>
      </c>
      <c r="AM2851" s="20" t="s">
        <v>952</v>
      </c>
      <c r="AN2851" s="11"/>
    </row>
    <row r="2852" spans="5:40">
      <c r="E2852" s="11"/>
      <c r="F28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2" s="13"/>
      <c r="H2852" s="13"/>
      <c r="I2852" s="12" t="str">
        <f>Table1[[#This Row],[type]]</f>
        <v>table</v>
      </c>
      <c r="J2852" s="62" t="str">
        <f>Table1[[#This Row],[Column42]]&amp;IF(Table1[[#This Row],[Column13]]="","",Table1[[#This Row],[Column13]])&amp;IF(Table1[[#This Row],[mod]]="","",Table1[[#This Row],[mod]])</f>
        <v>table--1</v>
      </c>
      <c r="K28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2" t="s">
        <v>91</v>
      </c>
      <c r="P2852" t="s">
        <v>1033</v>
      </c>
      <c r="Q28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2">
        <v>1</v>
      </c>
      <c r="U28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2" s="29"/>
      <c r="AC2852" s="25"/>
      <c r="AD2852" s="41"/>
      <c r="AE2852" s="41"/>
      <c r="AF2852" s="11" t="s">
        <v>282</v>
      </c>
      <c r="AH2852" s="1" t="str">
        <f>Table1[[#This Row],[html_tag]]&amp;Table1[[#This Row],[html_type]]&amp;Table1[[#This Row],[html_modifier]]</f>
        <v/>
      </c>
      <c r="AL2852" s="22" t="str">
        <f>IFERROR(_xlfn.XLOOKUP(Table1[[#This Row],[word]],Table57[English style name],Table57[Style type]),"")</f>
        <v>Table</v>
      </c>
      <c r="AM2852" s="20" t="s">
        <v>1033</v>
      </c>
      <c r="AN2852" s="11"/>
    </row>
    <row r="2853" spans="5:40">
      <c r="E2853" s="11"/>
      <c r="F28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3" s="13"/>
      <c r="H2853" s="13"/>
      <c r="I2853" s="12" t="str">
        <f>Table1[[#This Row],[type]]</f>
        <v>table</v>
      </c>
      <c r="J2853" s="62" t="str">
        <f>Table1[[#This Row],[Column42]]&amp;IF(Table1[[#This Row],[Column13]]="","",Table1[[#This Row],[Column13]])&amp;IF(Table1[[#This Row],[mod]]="","",Table1[[#This Row],[mod]])</f>
        <v>table--1</v>
      </c>
      <c r="K28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3" t="s">
        <v>91</v>
      </c>
      <c r="P2853" t="s">
        <v>902</v>
      </c>
      <c r="Q28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3">
        <v>1</v>
      </c>
      <c r="U28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3" s="29"/>
      <c r="AC2853" s="25"/>
      <c r="AD2853" s="41"/>
      <c r="AE2853" s="41"/>
      <c r="AF2853" s="11" t="s">
        <v>282</v>
      </c>
      <c r="AH2853" s="1" t="str">
        <f>Table1[[#This Row],[html_tag]]&amp;Table1[[#This Row],[html_type]]&amp;Table1[[#This Row],[html_modifier]]</f>
        <v/>
      </c>
      <c r="AL2853" s="22" t="str">
        <f>IFERROR(_xlfn.XLOOKUP(Table1[[#This Row],[word]],Table57[English style name],Table57[Style type]),"")</f>
        <v>Table</v>
      </c>
      <c r="AM2853" s="20" t="s">
        <v>902</v>
      </c>
      <c r="AN2853" s="11"/>
    </row>
    <row r="2854" spans="5:40">
      <c r="E2854" s="11"/>
      <c r="F28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4" s="13"/>
      <c r="H2854" s="13"/>
      <c r="I2854" s="12" t="str">
        <f>Table1[[#This Row],[type]]</f>
        <v>table</v>
      </c>
      <c r="J2854" s="62" t="str">
        <f>Table1[[#This Row],[Column42]]&amp;IF(Table1[[#This Row],[Column13]]="","",Table1[[#This Row],[Column13]])&amp;IF(Table1[[#This Row],[mod]]="","",Table1[[#This Row],[mod]])</f>
        <v>table--1</v>
      </c>
      <c r="K28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4" t="s">
        <v>91</v>
      </c>
      <c r="P2854" t="s">
        <v>878</v>
      </c>
      <c r="Q28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4">
        <v>1</v>
      </c>
      <c r="U28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4" s="29"/>
      <c r="AC2854" s="25"/>
      <c r="AD2854" s="41"/>
      <c r="AE2854" s="41"/>
      <c r="AF2854" s="11" t="s">
        <v>282</v>
      </c>
      <c r="AH2854" s="1" t="str">
        <f>Table1[[#This Row],[html_tag]]&amp;Table1[[#This Row],[html_type]]&amp;Table1[[#This Row],[html_modifier]]</f>
        <v/>
      </c>
      <c r="AL2854" s="22" t="str">
        <f>IFERROR(_xlfn.XLOOKUP(Table1[[#This Row],[word]],Table57[English style name],Table57[Style type]),"")</f>
        <v>Table</v>
      </c>
      <c r="AM2854" s="20" t="s">
        <v>878</v>
      </c>
      <c r="AN2854" s="11"/>
    </row>
    <row r="2855" spans="5:40">
      <c r="E2855" s="11"/>
      <c r="F28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5" s="13"/>
      <c r="H2855" s="13"/>
      <c r="I2855" s="12" t="str">
        <f>Table1[[#This Row],[type]]</f>
        <v>table</v>
      </c>
      <c r="J2855" s="62" t="str">
        <f>Table1[[#This Row],[Column42]]&amp;IF(Table1[[#This Row],[Column13]]="","",Table1[[#This Row],[Column13]])&amp;IF(Table1[[#This Row],[mod]]="","",Table1[[#This Row],[mod]])</f>
        <v>table--1</v>
      </c>
      <c r="K28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5" t="s">
        <v>91</v>
      </c>
      <c r="P2855" t="s">
        <v>881</v>
      </c>
      <c r="Q28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5">
        <v>1</v>
      </c>
      <c r="U28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5" s="29"/>
      <c r="AC2855" s="25"/>
      <c r="AD2855" s="41"/>
      <c r="AE2855" s="41"/>
      <c r="AF2855" s="11" t="s">
        <v>282</v>
      </c>
      <c r="AH2855" s="1" t="str">
        <f>Table1[[#This Row],[html_tag]]&amp;Table1[[#This Row],[html_type]]&amp;Table1[[#This Row],[html_modifier]]</f>
        <v/>
      </c>
      <c r="AL2855" s="22" t="str">
        <f>IFERROR(_xlfn.XLOOKUP(Table1[[#This Row],[word]],Table57[English style name],Table57[Style type]),"")</f>
        <v>Table</v>
      </c>
      <c r="AM2855" s="20" t="s">
        <v>881</v>
      </c>
      <c r="AN2855" s="11"/>
    </row>
    <row r="2856" spans="5:40">
      <c r="E2856" s="11"/>
      <c r="F28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6" s="13"/>
      <c r="H2856" s="13"/>
      <c r="I2856" s="12" t="str">
        <f>Table1[[#This Row],[type]]</f>
        <v>table</v>
      </c>
      <c r="J2856" s="62" t="str">
        <f>Table1[[#This Row],[Column42]]&amp;IF(Table1[[#This Row],[Column13]]="","",Table1[[#This Row],[Column13]])&amp;IF(Table1[[#This Row],[mod]]="","",Table1[[#This Row],[mod]])</f>
        <v>table--1</v>
      </c>
      <c r="K28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6" t="s">
        <v>91</v>
      </c>
      <c r="P2856" t="s">
        <v>886</v>
      </c>
      <c r="Q28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6">
        <v>1</v>
      </c>
      <c r="U28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6" s="29"/>
      <c r="AC2856" s="25"/>
      <c r="AD2856" s="41"/>
      <c r="AE2856" s="41"/>
      <c r="AF2856" s="11" t="s">
        <v>282</v>
      </c>
      <c r="AH2856" s="1" t="str">
        <f>Table1[[#This Row],[html_tag]]&amp;Table1[[#This Row],[html_type]]&amp;Table1[[#This Row],[html_modifier]]</f>
        <v/>
      </c>
      <c r="AL2856" s="22" t="str">
        <f>IFERROR(_xlfn.XLOOKUP(Table1[[#This Row],[word]],Table57[English style name],Table57[Style type]),"")</f>
        <v>Table</v>
      </c>
      <c r="AM2856" s="20" t="s">
        <v>886</v>
      </c>
      <c r="AN2856" s="11"/>
    </row>
    <row r="2857" spans="5:40">
      <c r="E2857" s="11"/>
      <c r="F28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7" s="13"/>
      <c r="H2857" s="13"/>
      <c r="I2857" s="12" t="str">
        <f>Table1[[#This Row],[type]]</f>
        <v>table</v>
      </c>
      <c r="J2857" s="62" t="str">
        <f>Table1[[#This Row],[Column42]]&amp;IF(Table1[[#This Row],[Column13]]="","",Table1[[#This Row],[Column13]])&amp;IF(Table1[[#This Row],[mod]]="","",Table1[[#This Row],[mod]])</f>
        <v>table--1</v>
      </c>
      <c r="K28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7" t="s">
        <v>91</v>
      </c>
      <c r="P2857" t="s">
        <v>894</v>
      </c>
      <c r="Q28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7">
        <v>1</v>
      </c>
      <c r="U28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7" s="29"/>
      <c r="AC2857" s="25"/>
      <c r="AD2857" s="41"/>
      <c r="AE2857" s="41"/>
      <c r="AF2857" s="11" t="s">
        <v>282</v>
      </c>
      <c r="AH2857" s="1" t="str">
        <f>Table1[[#This Row],[html_tag]]&amp;Table1[[#This Row],[html_type]]&amp;Table1[[#This Row],[html_modifier]]</f>
        <v/>
      </c>
      <c r="AL2857" s="22" t="str">
        <f>IFERROR(_xlfn.XLOOKUP(Table1[[#This Row],[word]],Table57[English style name],Table57[Style type]),"")</f>
        <v>Table</v>
      </c>
      <c r="AM2857" s="20" t="s">
        <v>894</v>
      </c>
      <c r="AN2857" s="11"/>
    </row>
    <row r="2858" spans="5:40">
      <c r="E2858" s="11"/>
      <c r="F28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8" s="13"/>
      <c r="H2858" s="13"/>
      <c r="I2858" s="12" t="str">
        <f>Table1[[#This Row],[type]]</f>
        <v>table</v>
      </c>
      <c r="J2858" s="62" t="str">
        <f>Table1[[#This Row],[Column42]]&amp;IF(Table1[[#This Row],[Column13]]="","",Table1[[#This Row],[Column13]])&amp;IF(Table1[[#This Row],[mod]]="","",Table1[[#This Row],[mod]])</f>
        <v>table--1</v>
      </c>
      <c r="K28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8" t="s">
        <v>91</v>
      </c>
      <c r="P2858" t="s">
        <v>871</v>
      </c>
      <c r="Q28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8">
        <v>1</v>
      </c>
      <c r="U28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8" s="29"/>
      <c r="AC2858" s="25"/>
      <c r="AD2858" s="41"/>
      <c r="AE2858" s="41"/>
      <c r="AF2858" s="11" t="s">
        <v>282</v>
      </c>
      <c r="AH2858" s="1" t="str">
        <f>Table1[[#This Row],[html_tag]]&amp;Table1[[#This Row],[html_type]]&amp;Table1[[#This Row],[html_modifier]]</f>
        <v/>
      </c>
      <c r="AL2858" s="22" t="str">
        <f>IFERROR(_xlfn.XLOOKUP(Table1[[#This Row],[word]],Table57[English style name],Table57[Style type]),"")</f>
        <v>Table</v>
      </c>
      <c r="AM2858" s="20" t="s">
        <v>871</v>
      </c>
      <c r="AN2858" s="11"/>
    </row>
    <row r="2859" spans="5:40">
      <c r="E2859" s="11"/>
      <c r="F28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9" s="13"/>
      <c r="H2859" s="13"/>
      <c r="I2859" s="12" t="str">
        <f>Table1[[#This Row],[type]]</f>
        <v>table</v>
      </c>
      <c r="J2859" s="62" t="str">
        <f>Table1[[#This Row],[Column42]]&amp;IF(Table1[[#This Row],[Column13]]="","",Table1[[#This Row],[Column13]])&amp;IF(Table1[[#This Row],[mod]]="","",Table1[[#This Row],[mod]])</f>
        <v>table--1</v>
      </c>
      <c r="K28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9" t="s">
        <v>91</v>
      </c>
      <c r="P2859" t="s">
        <v>908</v>
      </c>
      <c r="Q28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9">
        <v>1</v>
      </c>
      <c r="U28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9" s="29"/>
      <c r="AC2859" s="25"/>
      <c r="AD2859" s="41"/>
      <c r="AE2859" s="41"/>
      <c r="AF2859" s="11" t="s">
        <v>282</v>
      </c>
      <c r="AH2859" s="1" t="str">
        <f>Table1[[#This Row],[html_tag]]&amp;Table1[[#This Row],[html_type]]&amp;Table1[[#This Row],[html_modifier]]</f>
        <v/>
      </c>
      <c r="AL2859" s="22" t="str">
        <f>IFERROR(_xlfn.XLOOKUP(Table1[[#This Row],[word]],Table57[English style name],Table57[Style type]),"")</f>
        <v>Table</v>
      </c>
      <c r="AM2859" s="20" t="s">
        <v>908</v>
      </c>
      <c r="AN2859" s="11"/>
    </row>
    <row r="2860" spans="5:40">
      <c r="E2860" s="11"/>
      <c r="F28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0" s="13"/>
      <c r="H2860" s="13"/>
      <c r="I2860" s="12" t="str">
        <f>Table1[[#This Row],[type]]</f>
        <v>table</v>
      </c>
      <c r="J2860" s="62" t="str">
        <f>Table1[[#This Row],[Column42]]&amp;IF(Table1[[#This Row],[Column13]]="","",Table1[[#This Row],[Column13]])&amp;IF(Table1[[#This Row],[mod]]="","",Table1[[#This Row],[mod]])</f>
        <v>table--2</v>
      </c>
      <c r="K28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0" t="s">
        <v>91</v>
      </c>
      <c r="P2860" t="s">
        <v>965</v>
      </c>
      <c r="Q28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0">
        <v>2</v>
      </c>
      <c r="U28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0" s="29"/>
      <c r="AC2860" s="25"/>
      <c r="AD2860" s="41"/>
      <c r="AE2860" s="41"/>
      <c r="AF2860" s="11" t="s">
        <v>282</v>
      </c>
      <c r="AH2860" s="1" t="str">
        <f>Table1[[#This Row],[html_tag]]&amp;Table1[[#This Row],[html_type]]&amp;Table1[[#This Row],[html_modifier]]</f>
        <v/>
      </c>
      <c r="AL2860" s="22" t="str">
        <f>IFERROR(_xlfn.XLOOKUP(Table1[[#This Row],[word]],Table57[English style name],Table57[Style type]),"")</f>
        <v>Table</v>
      </c>
      <c r="AM2860" s="20" t="s">
        <v>965</v>
      </c>
      <c r="AN2860" s="11"/>
    </row>
    <row r="2861" spans="5:40">
      <c r="E2861" s="11"/>
      <c r="F28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1" s="13"/>
      <c r="H2861" s="13"/>
      <c r="I2861" s="12" t="str">
        <f>Table1[[#This Row],[type]]</f>
        <v>table</v>
      </c>
      <c r="J2861" s="62" t="str">
        <f>Table1[[#This Row],[Column42]]&amp;IF(Table1[[#This Row],[Column13]]="","",Table1[[#This Row],[Column13]])&amp;IF(Table1[[#This Row],[mod]]="","",Table1[[#This Row],[mod]])</f>
        <v>table--2</v>
      </c>
      <c r="K28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1" t="s">
        <v>91</v>
      </c>
      <c r="P2861" t="s">
        <v>964</v>
      </c>
      <c r="Q28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1">
        <v>2</v>
      </c>
      <c r="U28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1" s="29"/>
      <c r="AC2861" s="25"/>
      <c r="AD2861" s="41"/>
      <c r="AE2861" s="41"/>
      <c r="AF2861" s="11" t="s">
        <v>282</v>
      </c>
      <c r="AH2861" s="1" t="str">
        <f>Table1[[#This Row],[html_tag]]&amp;Table1[[#This Row],[html_type]]&amp;Table1[[#This Row],[html_modifier]]</f>
        <v/>
      </c>
      <c r="AL2861" s="22" t="str">
        <f>IFERROR(_xlfn.XLOOKUP(Table1[[#This Row],[word]],Table57[English style name],Table57[Style type]),"")</f>
        <v>Table</v>
      </c>
      <c r="AM2861" s="20" t="s">
        <v>964</v>
      </c>
      <c r="AN2861" s="11"/>
    </row>
    <row r="2862" spans="5:40">
      <c r="E2862" s="11"/>
      <c r="F28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2" s="13"/>
      <c r="H2862" s="13"/>
      <c r="I2862" s="12" t="str">
        <f>Table1[[#This Row],[type]]</f>
        <v>table</v>
      </c>
      <c r="J2862" s="62" t="str">
        <f>Table1[[#This Row],[Column42]]&amp;IF(Table1[[#This Row],[Column13]]="","",Table1[[#This Row],[Column13]])&amp;IF(Table1[[#This Row],[mod]]="","",Table1[[#This Row],[mod]])</f>
        <v>table--2</v>
      </c>
      <c r="K28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2" t="s">
        <v>91</v>
      </c>
      <c r="P2862" t="s">
        <v>963</v>
      </c>
      <c r="Q28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2">
        <v>2</v>
      </c>
      <c r="U28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2" s="29"/>
      <c r="AC2862" s="25"/>
      <c r="AD2862" s="41"/>
      <c r="AE2862" s="41"/>
      <c r="AF2862" s="11" t="s">
        <v>282</v>
      </c>
      <c r="AH2862" s="1" t="str">
        <f>Table1[[#This Row],[html_tag]]&amp;Table1[[#This Row],[html_type]]&amp;Table1[[#This Row],[html_modifier]]</f>
        <v/>
      </c>
      <c r="AL2862" s="22" t="str">
        <f>IFERROR(_xlfn.XLOOKUP(Table1[[#This Row],[word]],Table57[English style name],Table57[Style type]),"")</f>
        <v>Table</v>
      </c>
      <c r="AM2862" s="20" t="s">
        <v>963</v>
      </c>
      <c r="AN2862" s="11"/>
    </row>
    <row r="2863" spans="5:40">
      <c r="E2863" s="11"/>
      <c r="F28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3" s="13"/>
      <c r="H2863" s="13"/>
      <c r="I2863" s="12" t="str">
        <f>Table1[[#This Row],[type]]</f>
        <v>table</v>
      </c>
      <c r="J2863" s="62" t="str">
        <f>Table1[[#This Row],[Column42]]&amp;IF(Table1[[#This Row],[Column13]]="","",Table1[[#This Row],[Column13]])&amp;IF(Table1[[#This Row],[mod]]="","",Table1[[#This Row],[mod]])</f>
        <v>table--2</v>
      </c>
      <c r="K28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3" t="s">
        <v>91</v>
      </c>
      <c r="P2863" t="s">
        <v>1102</v>
      </c>
      <c r="Q28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3">
        <v>2</v>
      </c>
      <c r="U28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3" s="29"/>
      <c r="AC2863" s="25"/>
      <c r="AD2863" s="41"/>
      <c r="AE2863" s="41"/>
      <c r="AF2863" s="11" t="s">
        <v>282</v>
      </c>
      <c r="AH2863" s="1" t="str">
        <f>Table1[[#This Row],[html_tag]]&amp;Table1[[#This Row],[html_type]]&amp;Table1[[#This Row],[html_modifier]]</f>
        <v/>
      </c>
      <c r="AL2863" s="22" t="str">
        <f>IFERROR(_xlfn.XLOOKUP(Table1[[#This Row],[word]],Table57[English style name],Table57[Style type]),"")</f>
        <v>Table</v>
      </c>
      <c r="AM2863" s="20" t="s">
        <v>1102</v>
      </c>
      <c r="AN2863" s="11"/>
    </row>
    <row r="2864" spans="5:40">
      <c r="E2864" s="11"/>
      <c r="F28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4" s="13"/>
      <c r="H2864" s="13"/>
      <c r="I2864" s="12" t="str">
        <f>Table1[[#This Row],[type]]</f>
        <v>table</v>
      </c>
      <c r="J2864" s="62" t="str">
        <f>Table1[[#This Row],[Column42]]&amp;IF(Table1[[#This Row],[Column13]]="","",Table1[[#This Row],[Column13]])&amp;IF(Table1[[#This Row],[mod]]="","",Table1[[#This Row],[mod]])</f>
        <v>table--2</v>
      </c>
      <c r="K28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4" t="s">
        <v>91</v>
      </c>
      <c r="P2864" t="s">
        <v>1103</v>
      </c>
      <c r="Q28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4">
        <v>2</v>
      </c>
      <c r="U28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4" s="29"/>
      <c r="AC2864" s="25"/>
      <c r="AD2864" s="41"/>
      <c r="AE2864" s="41"/>
      <c r="AF2864" s="11" t="s">
        <v>282</v>
      </c>
      <c r="AH2864" s="1" t="str">
        <f>Table1[[#This Row],[html_tag]]&amp;Table1[[#This Row],[html_type]]&amp;Table1[[#This Row],[html_modifier]]</f>
        <v/>
      </c>
      <c r="AL2864" s="22" t="str">
        <f>IFERROR(_xlfn.XLOOKUP(Table1[[#This Row],[word]],Table57[English style name],Table57[Style type]),"")</f>
        <v>Table</v>
      </c>
      <c r="AM2864" s="20" t="s">
        <v>1103</v>
      </c>
      <c r="AN2864" s="11"/>
    </row>
    <row r="2865" spans="5:40">
      <c r="E2865" s="11"/>
      <c r="F28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5" s="13"/>
      <c r="H2865" s="13"/>
      <c r="I2865" s="12" t="str">
        <f>Table1[[#This Row],[type]]</f>
        <v>table</v>
      </c>
      <c r="J2865" s="62" t="str">
        <f>Table1[[#This Row],[Column42]]&amp;IF(Table1[[#This Row],[Column13]]="","",Table1[[#This Row],[Column13]])&amp;IF(Table1[[#This Row],[mod]]="","",Table1[[#This Row],[mod]])</f>
        <v>table--2</v>
      </c>
      <c r="K28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5" t="s">
        <v>91</v>
      </c>
      <c r="P2865" t="s">
        <v>1104</v>
      </c>
      <c r="Q28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5">
        <v>2</v>
      </c>
      <c r="U28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5" s="29"/>
      <c r="AC2865" s="25"/>
      <c r="AD2865" s="41"/>
      <c r="AE2865" s="41"/>
      <c r="AF2865" s="11" t="s">
        <v>282</v>
      </c>
      <c r="AH2865" s="1" t="str">
        <f>Table1[[#This Row],[html_tag]]&amp;Table1[[#This Row],[html_type]]&amp;Table1[[#This Row],[html_modifier]]</f>
        <v/>
      </c>
      <c r="AL2865" s="22" t="str">
        <f>IFERROR(_xlfn.XLOOKUP(Table1[[#This Row],[word]],Table57[English style name],Table57[Style type]),"")</f>
        <v>Table</v>
      </c>
      <c r="AM2865" s="20" t="s">
        <v>1104</v>
      </c>
      <c r="AN2865" s="11"/>
    </row>
    <row r="2866" spans="5:40">
      <c r="E2866" s="11"/>
      <c r="F28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6" s="13"/>
      <c r="H2866" s="13"/>
      <c r="I2866" s="12" t="str">
        <f>Table1[[#This Row],[type]]</f>
        <v>table</v>
      </c>
      <c r="J2866" s="62" t="str">
        <f>Table1[[#This Row],[Column42]]&amp;IF(Table1[[#This Row],[Column13]]="","",Table1[[#This Row],[Column13]])&amp;IF(Table1[[#This Row],[mod]]="","",Table1[[#This Row],[mod]])</f>
        <v>table--2</v>
      </c>
      <c r="K28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6" t="s">
        <v>91</v>
      </c>
      <c r="P2866" t="s">
        <v>1105</v>
      </c>
      <c r="Q28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6">
        <v>2</v>
      </c>
      <c r="U28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6" s="29"/>
      <c r="AC2866" s="25"/>
      <c r="AD2866" s="41"/>
      <c r="AE2866" s="41"/>
      <c r="AF2866" s="11" t="s">
        <v>282</v>
      </c>
      <c r="AH2866" s="1" t="str">
        <f>Table1[[#This Row],[html_tag]]&amp;Table1[[#This Row],[html_type]]&amp;Table1[[#This Row],[html_modifier]]</f>
        <v/>
      </c>
      <c r="AL2866" s="22" t="str">
        <f>IFERROR(_xlfn.XLOOKUP(Table1[[#This Row],[word]],Table57[English style name],Table57[Style type]),"")</f>
        <v>Table</v>
      </c>
      <c r="AM2866" s="20" t="s">
        <v>1105</v>
      </c>
      <c r="AN2866" s="11"/>
    </row>
    <row r="2867" spans="5:40">
      <c r="E2867" s="11"/>
      <c r="F28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7" s="13"/>
      <c r="H2867" s="13"/>
      <c r="I2867" s="12" t="str">
        <f>Table1[[#This Row],[type]]</f>
        <v>table</v>
      </c>
      <c r="J2867" s="62" t="str">
        <f>Table1[[#This Row],[Column42]]&amp;IF(Table1[[#This Row],[Column13]]="","",Table1[[#This Row],[Column13]])&amp;IF(Table1[[#This Row],[mod]]="","",Table1[[#This Row],[mod]])</f>
        <v>table--2</v>
      </c>
      <c r="K28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7" t="s">
        <v>91</v>
      </c>
      <c r="P2867" t="s">
        <v>1106</v>
      </c>
      <c r="Q28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7">
        <v>2</v>
      </c>
      <c r="U28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7" s="29"/>
      <c r="AC2867" s="25"/>
      <c r="AD2867" s="41"/>
      <c r="AE2867" s="41"/>
      <c r="AF2867" s="11" t="s">
        <v>282</v>
      </c>
      <c r="AH2867" s="1" t="str">
        <f>Table1[[#This Row],[html_tag]]&amp;Table1[[#This Row],[html_type]]&amp;Table1[[#This Row],[html_modifier]]</f>
        <v/>
      </c>
      <c r="AL2867" s="22" t="str">
        <f>IFERROR(_xlfn.XLOOKUP(Table1[[#This Row],[word]],Table57[English style name],Table57[Style type]),"")</f>
        <v>Table</v>
      </c>
      <c r="AM2867" s="20" t="s">
        <v>1106</v>
      </c>
      <c r="AN2867" s="11"/>
    </row>
    <row r="2868" spans="5:40">
      <c r="E2868" s="11"/>
      <c r="F28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8" s="13"/>
      <c r="H2868" s="13"/>
      <c r="I2868" s="12" t="str">
        <f>Table1[[#This Row],[type]]</f>
        <v>table</v>
      </c>
      <c r="J2868" s="62" t="str">
        <f>Table1[[#This Row],[Column42]]&amp;IF(Table1[[#This Row],[Column13]]="","",Table1[[#This Row],[Column13]])&amp;IF(Table1[[#This Row],[mod]]="","",Table1[[#This Row],[mod]])</f>
        <v>table--2</v>
      </c>
      <c r="K28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8" t="s">
        <v>91</v>
      </c>
      <c r="P2868" t="s">
        <v>1107</v>
      </c>
      <c r="Q28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8">
        <v>2</v>
      </c>
      <c r="U28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8" s="29"/>
      <c r="AC2868" s="25"/>
      <c r="AD2868" s="41"/>
      <c r="AE2868" s="41"/>
      <c r="AF2868" s="11" t="s">
        <v>282</v>
      </c>
      <c r="AH2868" s="1" t="str">
        <f>Table1[[#This Row],[html_tag]]&amp;Table1[[#This Row],[html_type]]&amp;Table1[[#This Row],[html_modifier]]</f>
        <v/>
      </c>
      <c r="AL2868" s="22" t="str">
        <f>IFERROR(_xlfn.XLOOKUP(Table1[[#This Row],[word]],Table57[English style name],Table57[Style type]),"")</f>
        <v>Table</v>
      </c>
      <c r="AM2868" s="20" t="s">
        <v>1107</v>
      </c>
      <c r="AN2868" s="11"/>
    </row>
    <row r="2869" spans="5:40">
      <c r="E2869" s="11"/>
      <c r="F28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9" s="13"/>
      <c r="H2869" s="13"/>
      <c r="I2869" s="12" t="str">
        <f>Table1[[#This Row],[type]]</f>
        <v>table</v>
      </c>
      <c r="J2869" s="62" t="str">
        <f>Table1[[#This Row],[Column42]]&amp;IF(Table1[[#This Row],[Column13]]="","",Table1[[#This Row],[Column13]])&amp;IF(Table1[[#This Row],[mod]]="","",Table1[[#This Row],[mod]])</f>
        <v>table--2</v>
      </c>
      <c r="K28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9" t="s">
        <v>91</v>
      </c>
      <c r="P2869" t="s">
        <v>1108</v>
      </c>
      <c r="Q28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9">
        <v>2</v>
      </c>
      <c r="U28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9" s="29"/>
      <c r="AC2869" s="25"/>
      <c r="AD2869" s="41"/>
      <c r="AE2869" s="41"/>
      <c r="AF2869" s="11" t="s">
        <v>282</v>
      </c>
      <c r="AH2869" s="1" t="str">
        <f>Table1[[#This Row],[html_tag]]&amp;Table1[[#This Row],[html_type]]&amp;Table1[[#This Row],[html_modifier]]</f>
        <v/>
      </c>
      <c r="AL2869" s="22" t="str">
        <f>IFERROR(_xlfn.XLOOKUP(Table1[[#This Row],[word]],Table57[English style name],Table57[Style type]),"")</f>
        <v>Table</v>
      </c>
      <c r="AM2869" s="20" t="s">
        <v>1108</v>
      </c>
      <c r="AN2869" s="11"/>
    </row>
    <row r="2870" spans="5:40">
      <c r="E2870" s="11"/>
      <c r="F28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0" s="13"/>
      <c r="H2870" s="13"/>
      <c r="I2870" s="12" t="str">
        <f>Table1[[#This Row],[type]]</f>
        <v>table</v>
      </c>
      <c r="J2870" s="62" t="str">
        <f>Table1[[#This Row],[Column42]]&amp;IF(Table1[[#This Row],[Column13]]="","",Table1[[#This Row],[Column13]])&amp;IF(Table1[[#This Row],[mod]]="","",Table1[[#This Row],[mod]])</f>
        <v>table--2</v>
      </c>
      <c r="K28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0" t="s">
        <v>91</v>
      </c>
      <c r="P2870" t="s">
        <v>970</v>
      </c>
      <c r="Q28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0">
        <v>2</v>
      </c>
      <c r="U28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0" s="29"/>
      <c r="AC2870" s="25"/>
      <c r="AD2870" s="41"/>
      <c r="AE2870" s="41"/>
      <c r="AF2870" s="11" t="s">
        <v>282</v>
      </c>
      <c r="AH2870" s="1" t="str">
        <f>Table1[[#This Row],[html_tag]]&amp;Table1[[#This Row],[html_type]]&amp;Table1[[#This Row],[html_modifier]]</f>
        <v/>
      </c>
      <c r="AL2870" s="22" t="str">
        <f>IFERROR(_xlfn.XLOOKUP(Table1[[#This Row],[word]],Table57[English style name],Table57[Style type]),"")</f>
        <v>Table</v>
      </c>
      <c r="AM2870" s="20" t="s">
        <v>970</v>
      </c>
      <c r="AN2870" s="11"/>
    </row>
    <row r="2871" spans="5:40">
      <c r="E2871" s="11"/>
      <c r="F28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1" s="13"/>
      <c r="H2871" s="13"/>
      <c r="I2871" s="12" t="str">
        <f>Table1[[#This Row],[type]]</f>
        <v>table</v>
      </c>
      <c r="J2871" s="62" t="str">
        <f>Table1[[#This Row],[Column42]]&amp;IF(Table1[[#This Row],[Column13]]="","",Table1[[#This Row],[Column13]])&amp;IF(Table1[[#This Row],[mod]]="","",Table1[[#This Row],[mod]])</f>
        <v>table--2</v>
      </c>
      <c r="K28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1" t="s">
        <v>91</v>
      </c>
      <c r="P2871" t="s">
        <v>971</v>
      </c>
      <c r="Q28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1">
        <v>2</v>
      </c>
      <c r="U28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1" s="29"/>
      <c r="AC2871" s="25"/>
      <c r="AD2871" s="41"/>
      <c r="AE2871" s="41"/>
      <c r="AF2871" s="11" t="s">
        <v>282</v>
      </c>
      <c r="AH2871" s="1" t="str">
        <f>Table1[[#This Row],[html_tag]]&amp;Table1[[#This Row],[html_type]]&amp;Table1[[#This Row],[html_modifier]]</f>
        <v/>
      </c>
      <c r="AL2871" s="22" t="str">
        <f>IFERROR(_xlfn.XLOOKUP(Table1[[#This Row],[word]],Table57[English style name],Table57[Style type]),"")</f>
        <v>Table</v>
      </c>
      <c r="AM2871" s="20" t="s">
        <v>971</v>
      </c>
      <c r="AN2871" s="11"/>
    </row>
    <row r="2872" spans="5:40">
      <c r="E2872" s="11"/>
      <c r="F28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2" s="13"/>
      <c r="H2872" s="13"/>
      <c r="I2872" s="12" t="str">
        <f>Table1[[#This Row],[type]]</f>
        <v>table</v>
      </c>
      <c r="J2872" s="62" t="str">
        <f>Table1[[#This Row],[Column42]]&amp;IF(Table1[[#This Row],[Column13]]="","",Table1[[#This Row],[Column13]])&amp;IF(Table1[[#This Row],[mod]]="","",Table1[[#This Row],[mod]])</f>
        <v>table--2</v>
      </c>
      <c r="K28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2" t="s">
        <v>91</v>
      </c>
      <c r="P2872" t="s">
        <v>972</v>
      </c>
      <c r="Q28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2">
        <v>2</v>
      </c>
      <c r="U28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2" s="29"/>
      <c r="AC2872" s="25"/>
      <c r="AD2872" s="41"/>
      <c r="AE2872" s="41"/>
      <c r="AF2872" s="11" t="s">
        <v>282</v>
      </c>
      <c r="AH2872" s="1" t="str">
        <f>Table1[[#This Row],[html_tag]]&amp;Table1[[#This Row],[html_type]]&amp;Table1[[#This Row],[html_modifier]]</f>
        <v/>
      </c>
      <c r="AL2872" s="22" t="str">
        <f>IFERROR(_xlfn.XLOOKUP(Table1[[#This Row],[word]],Table57[English style name],Table57[Style type]),"")</f>
        <v>Table</v>
      </c>
      <c r="AM2872" s="20" t="s">
        <v>972</v>
      </c>
      <c r="AN2872" s="11"/>
    </row>
    <row r="2873" spans="5:40">
      <c r="E2873" s="11"/>
      <c r="F28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3" s="13"/>
      <c r="H2873" s="13"/>
      <c r="I2873" s="12" t="str">
        <f>Table1[[#This Row],[type]]</f>
        <v>table</v>
      </c>
      <c r="J2873" s="62" t="str">
        <f>Table1[[#This Row],[Column42]]&amp;IF(Table1[[#This Row],[Column13]]="","",Table1[[#This Row],[Column13]])&amp;IF(Table1[[#This Row],[mod]]="","",Table1[[#This Row],[mod]])</f>
        <v>table--2</v>
      </c>
      <c r="K28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3" t="s">
        <v>91</v>
      </c>
      <c r="P2873" t="s">
        <v>968</v>
      </c>
      <c r="Q28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3">
        <v>2</v>
      </c>
      <c r="U28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3" s="29"/>
      <c r="AC2873" s="25"/>
      <c r="AD2873" s="41"/>
      <c r="AE2873" s="41"/>
      <c r="AF2873" s="11" t="s">
        <v>282</v>
      </c>
      <c r="AH2873" s="1" t="str">
        <f>Table1[[#This Row],[html_tag]]&amp;Table1[[#This Row],[html_type]]&amp;Table1[[#This Row],[html_modifier]]</f>
        <v/>
      </c>
      <c r="AL2873" s="22" t="str">
        <f>IFERROR(_xlfn.XLOOKUP(Table1[[#This Row],[word]],Table57[English style name],Table57[Style type]),"")</f>
        <v>Table</v>
      </c>
      <c r="AM2873" s="20" t="s">
        <v>968</v>
      </c>
      <c r="AN2873" s="11"/>
    </row>
    <row r="2874" spans="5:40">
      <c r="E2874" s="11"/>
      <c r="F28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4" s="13"/>
      <c r="H2874" s="13"/>
      <c r="I2874" s="12" t="str">
        <f>Table1[[#This Row],[type]]</f>
        <v>table</v>
      </c>
      <c r="J2874" s="62" t="str">
        <f>Table1[[#This Row],[Column42]]&amp;IF(Table1[[#This Row],[Column13]]="","",Table1[[#This Row],[Column13]])&amp;IF(Table1[[#This Row],[mod]]="","",Table1[[#This Row],[mod]])</f>
        <v>table--2</v>
      </c>
      <c r="K28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4" t="s">
        <v>91</v>
      </c>
      <c r="P2874" t="s">
        <v>969</v>
      </c>
      <c r="Q28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4">
        <v>2</v>
      </c>
      <c r="U28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4" s="29"/>
      <c r="AC2874" s="25"/>
      <c r="AD2874" s="41"/>
      <c r="AE2874" s="41"/>
      <c r="AF2874" s="11" t="s">
        <v>282</v>
      </c>
      <c r="AH2874" s="1" t="str">
        <f>Table1[[#This Row],[html_tag]]&amp;Table1[[#This Row],[html_type]]&amp;Table1[[#This Row],[html_modifier]]</f>
        <v/>
      </c>
      <c r="AL2874" s="22" t="str">
        <f>IFERROR(_xlfn.XLOOKUP(Table1[[#This Row],[word]],Table57[English style name],Table57[Style type]),"")</f>
        <v>Table</v>
      </c>
      <c r="AM2874" s="20" t="s">
        <v>969</v>
      </c>
      <c r="AN2874" s="11"/>
    </row>
    <row r="2875" spans="5:40">
      <c r="E2875" s="11"/>
      <c r="F28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5" s="13"/>
      <c r="H2875" s="13"/>
      <c r="I2875" s="12" t="str">
        <f>Table1[[#This Row],[type]]</f>
        <v>table</v>
      </c>
      <c r="J2875" s="62" t="str">
        <f>Table1[[#This Row],[Column42]]&amp;IF(Table1[[#This Row],[Column13]]="","",Table1[[#This Row],[Column13]])&amp;IF(Table1[[#This Row],[mod]]="","",Table1[[#This Row],[mod]])</f>
        <v>table--2</v>
      </c>
      <c r="K28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5" t="s">
        <v>91</v>
      </c>
      <c r="P2875" t="s">
        <v>966</v>
      </c>
      <c r="Q28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5">
        <v>2</v>
      </c>
      <c r="U28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5" s="29"/>
      <c r="AC2875" s="25"/>
      <c r="AD2875" s="41"/>
      <c r="AE2875" s="41"/>
      <c r="AF2875" s="11" t="s">
        <v>282</v>
      </c>
      <c r="AH2875" s="1" t="str">
        <f>Table1[[#This Row],[html_tag]]&amp;Table1[[#This Row],[html_type]]&amp;Table1[[#This Row],[html_modifier]]</f>
        <v/>
      </c>
      <c r="AL2875" s="22" t="str">
        <f>IFERROR(_xlfn.XLOOKUP(Table1[[#This Row],[word]],Table57[English style name],Table57[Style type]),"")</f>
        <v>Table</v>
      </c>
      <c r="AM2875" s="20" t="s">
        <v>966</v>
      </c>
      <c r="AN2875" s="11"/>
    </row>
    <row r="2876" spans="5:40">
      <c r="E2876" s="11"/>
      <c r="F28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6" s="13"/>
      <c r="H2876" s="13"/>
      <c r="I2876" s="12" t="str">
        <f>Table1[[#This Row],[type]]</f>
        <v>table</v>
      </c>
      <c r="J2876" s="62" t="str">
        <f>Table1[[#This Row],[Column42]]&amp;IF(Table1[[#This Row],[Column13]]="","",Table1[[#This Row],[Column13]])&amp;IF(Table1[[#This Row],[mod]]="","",Table1[[#This Row],[mod]])</f>
        <v>table--2</v>
      </c>
      <c r="K28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6" t="s">
        <v>91</v>
      </c>
      <c r="P2876" t="s">
        <v>967</v>
      </c>
      <c r="Q28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6">
        <v>2</v>
      </c>
      <c r="U28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6" s="29"/>
      <c r="AC2876" s="25"/>
      <c r="AD2876" s="41"/>
      <c r="AE2876" s="41"/>
      <c r="AF2876" s="11" t="s">
        <v>282</v>
      </c>
      <c r="AH2876" s="1" t="str">
        <f>Table1[[#This Row],[html_tag]]&amp;Table1[[#This Row],[html_type]]&amp;Table1[[#This Row],[html_modifier]]</f>
        <v/>
      </c>
      <c r="AL2876" s="22" t="str">
        <f>IFERROR(_xlfn.XLOOKUP(Table1[[#This Row],[word]],Table57[English style name],Table57[Style type]),"")</f>
        <v>Table</v>
      </c>
      <c r="AM2876" s="20" t="s">
        <v>967</v>
      </c>
      <c r="AN2876" s="11"/>
    </row>
    <row r="2877" spans="5:40">
      <c r="E2877" s="11"/>
      <c r="F28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7" s="13"/>
      <c r="H2877" s="13"/>
      <c r="I2877" s="12" t="str">
        <f>Table1[[#This Row],[type]]</f>
        <v>table</v>
      </c>
      <c r="J2877" s="62" t="str">
        <f>Table1[[#This Row],[Column42]]&amp;IF(Table1[[#This Row],[Column13]]="","",Table1[[#This Row],[Column13]])&amp;IF(Table1[[#This Row],[mod]]="","",Table1[[#This Row],[mod]])</f>
        <v>table--2</v>
      </c>
      <c r="K28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7" t="s">
        <v>91</v>
      </c>
      <c r="P2877" t="s">
        <v>1034</v>
      </c>
      <c r="Q28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7">
        <v>2</v>
      </c>
      <c r="U28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7" s="29"/>
      <c r="AC2877" s="25"/>
      <c r="AD2877" s="41"/>
      <c r="AE2877" s="41"/>
      <c r="AF2877" s="11" t="s">
        <v>282</v>
      </c>
      <c r="AH2877" s="1" t="str">
        <f>Table1[[#This Row],[html_tag]]&amp;Table1[[#This Row],[html_type]]&amp;Table1[[#This Row],[html_modifier]]</f>
        <v/>
      </c>
      <c r="AL2877" s="22" t="str">
        <f>IFERROR(_xlfn.XLOOKUP(Table1[[#This Row],[word]],Table57[English style name],Table57[Style type]),"")</f>
        <v>Table</v>
      </c>
      <c r="AM2877" s="20" t="s">
        <v>1034</v>
      </c>
      <c r="AN2877" s="11"/>
    </row>
    <row r="2878" spans="5:40">
      <c r="E2878" s="11"/>
      <c r="F28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8" s="13"/>
      <c r="H2878" s="13"/>
      <c r="I2878" s="12" t="str">
        <f>Table1[[#This Row],[type]]</f>
        <v>table</v>
      </c>
      <c r="J2878" s="62" t="str">
        <f>Table1[[#This Row],[Column42]]&amp;IF(Table1[[#This Row],[Column13]]="","",Table1[[#This Row],[Column13]])&amp;IF(Table1[[#This Row],[mod]]="","",Table1[[#This Row],[mod]])</f>
        <v>table--2</v>
      </c>
      <c r="K28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8" t="s">
        <v>91</v>
      </c>
      <c r="P2878" t="s">
        <v>903</v>
      </c>
      <c r="Q28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8">
        <v>2</v>
      </c>
      <c r="U28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8" s="29"/>
      <c r="AC2878" s="25"/>
      <c r="AD2878" s="41"/>
      <c r="AE2878" s="41"/>
      <c r="AF2878" s="11" t="s">
        <v>282</v>
      </c>
      <c r="AH2878" s="1" t="str">
        <f>Table1[[#This Row],[html_tag]]&amp;Table1[[#This Row],[html_type]]&amp;Table1[[#This Row],[html_modifier]]</f>
        <v/>
      </c>
      <c r="AL2878" s="22" t="str">
        <f>IFERROR(_xlfn.XLOOKUP(Table1[[#This Row],[word]],Table57[English style name],Table57[Style type]),"")</f>
        <v>Table</v>
      </c>
      <c r="AM2878" s="20" t="s">
        <v>903</v>
      </c>
      <c r="AN2878" s="11"/>
    </row>
    <row r="2879" spans="5:40">
      <c r="E2879" s="11"/>
      <c r="F28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9" s="13"/>
      <c r="H2879" s="13"/>
      <c r="I2879" s="12" t="str">
        <f>Table1[[#This Row],[type]]</f>
        <v>table</v>
      </c>
      <c r="J2879" s="62" t="str">
        <f>Table1[[#This Row],[Column42]]&amp;IF(Table1[[#This Row],[Column13]]="","",Table1[[#This Row],[Column13]])&amp;IF(Table1[[#This Row],[mod]]="","",Table1[[#This Row],[mod]])</f>
        <v>table--2</v>
      </c>
      <c r="K28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9" t="s">
        <v>91</v>
      </c>
      <c r="P2879" t="s">
        <v>879</v>
      </c>
      <c r="Q28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9">
        <v>2</v>
      </c>
      <c r="U28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9" s="29"/>
      <c r="AC2879" s="25"/>
      <c r="AD2879" s="41"/>
      <c r="AE2879" s="41"/>
      <c r="AF2879" s="11" t="s">
        <v>282</v>
      </c>
      <c r="AH2879" s="1" t="str">
        <f>Table1[[#This Row],[html_tag]]&amp;Table1[[#This Row],[html_type]]&amp;Table1[[#This Row],[html_modifier]]</f>
        <v/>
      </c>
      <c r="AL2879" s="22" t="str">
        <f>IFERROR(_xlfn.XLOOKUP(Table1[[#This Row],[word]],Table57[English style name],Table57[Style type]),"")</f>
        <v>Table</v>
      </c>
      <c r="AM2879" s="20" t="s">
        <v>879</v>
      </c>
      <c r="AN2879" s="11"/>
    </row>
    <row r="2880" spans="5:40">
      <c r="E2880" s="11"/>
      <c r="F28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0" s="13"/>
      <c r="H2880" s="13"/>
      <c r="I2880" s="12" t="str">
        <f>Table1[[#This Row],[type]]</f>
        <v>table</v>
      </c>
      <c r="J2880" s="62" t="str">
        <f>Table1[[#This Row],[Column42]]&amp;IF(Table1[[#This Row],[Column13]]="","",Table1[[#This Row],[Column13]])&amp;IF(Table1[[#This Row],[mod]]="","",Table1[[#This Row],[mod]])</f>
        <v>table--2</v>
      </c>
      <c r="K28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0" t="s">
        <v>91</v>
      </c>
      <c r="P2880" t="s">
        <v>882</v>
      </c>
      <c r="Q28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80">
        <v>2</v>
      </c>
      <c r="U28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0" s="29"/>
      <c r="AC2880" s="25"/>
      <c r="AD2880" s="41"/>
      <c r="AE2880" s="41"/>
      <c r="AF2880" s="11" t="s">
        <v>282</v>
      </c>
      <c r="AH2880" s="1" t="str">
        <f>Table1[[#This Row],[html_tag]]&amp;Table1[[#This Row],[html_type]]&amp;Table1[[#This Row],[html_modifier]]</f>
        <v/>
      </c>
      <c r="AL2880" s="22" t="str">
        <f>IFERROR(_xlfn.XLOOKUP(Table1[[#This Row],[word]],Table57[English style name],Table57[Style type]),"")</f>
        <v>Table</v>
      </c>
      <c r="AM2880" s="20" t="s">
        <v>882</v>
      </c>
      <c r="AN2880" s="11"/>
    </row>
    <row r="2881" spans="5:40">
      <c r="E2881" s="11"/>
      <c r="F28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1" s="13"/>
      <c r="H2881" s="13"/>
      <c r="I2881" s="12" t="str">
        <f>Table1[[#This Row],[type]]</f>
        <v>table</v>
      </c>
      <c r="J2881" s="62" t="str">
        <f>Table1[[#This Row],[Column42]]&amp;IF(Table1[[#This Row],[Column13]]="","",Table1[[#This Row],[Column13]])&amp;IF(Table1[[#This Row],[mod]]="","",Table1[[#This Row],[mod]])</f>
        <v>table--2</v>
      </c>
      <c r="K28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1" t="s">
        <v>91</v>
      </c>
      <c r="P2881" t="s">
        <v>887</v>
      </c>
      <c r="Q28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81">
        <v>2</v>
      </c>
      <c r="U28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1" s="29"/>
      <c r="AC2881" s="25"/>
      <c r="AD2881" s="41"/>
      <c r="AE2881" s="41"/>
      <c r="AF2881" s="11" t="s">
        <v>282</v>
      </c>
      <c r="AH2881" s="1" t="str">
        <f>Table1[[#This Row],[html_tag]]&amp;Table1[[#This Row],[html_type]]&amp;Table1[[#This Row],[html_modifier]]</f>
        <v/>
      </c>
      <c r="AL2881" s="22" t="str">
        <f>IFERROR(_xlfn.XLOOKUP(Table1[[#This Row],[word]],Table57[English style name],Table57[Style type]),"")</f>
        <v>Table</v>
      </c>
      <c r="AM2881" s="20" t="s">
        <v>887</v>
      </c>
      <c r="AN2881" s="11"/>
    </row>
    <row r="2882" spans="5:40">
      <c r="E2882" s="11"/>
      <c r="F28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2" s="13"/>
      <c r="H2882" s="13"/>
      <c r="I2882" s="12" t="str">
        <f>Table1[[#This Row],[type]]</f>
        <v>table</v>
      </c>
      <c r="J2882" s="62" t="str">
        <f>Table1[[#This Row],[Column42]]&amp;IF(Table1[[#This Row],[Column13]]="","",Table1[[#This Row],[Column13]])&amp;IF(Table1[[#This Row],[mod]]="","",Table1[[#This Row],[mod]])</f>
        <v>table--2</v>
      </c>
      <c r="K28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2" t="s">
        <v>91</v>
      </c>
      <c r="P2882" t="s">
        <v>895</v>
      </c>
      <c r="Q28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82">
        <v>2</v>
      </c>
      <c r="U28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2" s="29"/>
      <c r="AC2882" s="25"/>
      <c r="AD2882" s="41"/>
      <c r="AE2882" s="41"/>
      <c r="AF2882" s="11" t="s">
        <v>282</v>
      </c>
      <c r="AH2882" s="1" t="str">
        <f>Table1[[#This Row],[html_tag]]&amp;Table1[[#This Row],[html_type]]&amp;Table1[[#This Row],[html_modifier]]</f>
        <v/>
      </c>
      <c r="AL2882" s="22" t="str">
        <f>IFERROR(_xlfn.XLOOKUP(Table1[[#This Row],[word]],Table57[English style name],Table57[Style type]),"")</f>
        <v>Table</v>
      </c>
      <c r="AM2882" s="20" t="s">
        <v>895</v>
      </c>
      <c r="AN2882" s="11"/>
    </row>
    <row r="2883" spans="5:40">
      <c r="E2883" s="11"/>
      <c r="F28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3" s="13"/>
      <c r="H2883" s="13"/>
      <c r="I2883" s="12" t="str">
        <f>Table1[[#This Row],[type]]</f>
        <v>table</v>
      </c>
      <c r="J2883" s="62" t="str">
        <f>Table1[[#This Row],[Column42]]&amp;IF(Table1[[#This Row],[Column13]]="","",Table1[[#This Row],[Column13]])&amp;IF(Table1[[#This Row],[mod]]="","",Table1[[#This Row],[mod]])</f>
        <v>table--2</v>
      </c>
      <c r="K28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3" t="s">
        <v>91</v>
      </c>
      <c r="P2883" t="s">
        <v>872</v>
      </c>
      <c r="Q28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83">
        <v>2</v>
      </c>
      <c r="U28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3" s="29"/>
      <c r="AC2883" s="25"/>
      <c r="AD2883" s="41"/>
      <c r="AE2883" s="41"/>
      <c r="AF2883" s="11" t="s">
        <v>282</v>
      </c>
      <c r="AH2883" s="1" t="str">
        <f>Table1[[#This Row],[html_tag]]&amp;Table1[[#This Row],[html_type]]&amp;Table1[[#This Row],[html_modifier]]</f>
        <v/>
      </c>
      <c r="AL2883" s="22" t="str">
        <f>IFERROR(_xlfn.XLOOKUP(Table1[[#This Row],[word]],Table57[English style name],Table57[Style type]),"")</f>
        <v>Table</v>
      </c>
      <c r="AM2883" s="20" t="s">
        <v>872</v>
      </c>
      <c r="AN2883" s="11"/>
    </row>
    <row r="2884" spans="5:40">
      <c r="E2884" s="11"/>
      <c r="F28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4" s="13"/>
      <c r="H2884" s="13"/>
      <c r="I2884" s="12" t="str">
        <f>Table1[[#This Row],[type]]</f>
        <v>table</v>
      </c>
      <c r="J2884" s="62" t="str">
        <f>Table1[[#This Row],[Column42]]&amp;IF(Table1[[#This Row],[Column13]]="","",Table1[[#This Row],[Column13]])&amp;IF(Table1[[#This Row],[mod]]="","",Table1[[#This Row],[mod]])</f>
        <v>table--2</v>
      </c>
      <c r="K28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4" t="s">
        <v>91</v>
      </c>
      <c r="P2884" t="s">
        <v>909</v>
      </c>
      <c r="Q28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84">
        <v>2</v>
      </c>
      <c r="U28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4" s="29"/>
      <c r="AC2884" s="25"/>
      <c r="AD2884" s="41"/>
      <c r="AE2884" s="41"/>
      <c r="AF2884" s="11" t="s">
        <v>282</v>
      </c>
      <c r="AH2884" s="1" t="str">
        <f>Table1[[#This Row],[html_tag]]&amp;Table1[[#This Row],[html_type]]&amp;Table1[[#This Row],[html_modifier]]</f>
        <v/>
      </c>
      <c r="AL2884" s="22" t="str">
        <f>IFERROR(_xlfn.XLOOKUP(Table1[[#This Row],[word]],Table57[English style name],Table57[Style type]),"")</f>
        <v>Table</v>
      </c>
      <c r="AM2884" s="20" t="s">
        <v>909</v>
      </c>
      <c r="AN2884" s="11"/>
    </row>
    <row r="2885" spans="5:40">
      <c r="E2885" s="11"/>
      <c r="F28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5" s="13"/>
      <c r="H2885" s="13"/>
      <c r="I2885" s="12" t="str">
        <f>Table1[[#This Row],[type]]</f>
        <v>table</v>
      </c>
      <c r="J2885" s="62" t="str">
        <f>Table1[[#This Row],[Column42]]&amp;IF(Table1[[#This Row],[Column13]]="","",Table1[[#This Row],[Column13]])&amp;IF(Table1[[#This Row],[mod]]="","",Table1[[#This Row],[mod]])</f>
        <v>table--3</v>
      </c>
      <c r="K28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5" t="s">
        <v>91</v>
      </c>
      <c r="P2885" t="s">
        <v>979</v>
      </c>
      <c r="Q28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85">
        <v>3</v>
      </c>
      <c r="U28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5" s="29"/>
      <c r="AC2885" s="25"/>
      <c r="AD2885" s="41"/>
      <c r="AE2885" s="41"/>
      <c r="AF2885" s="11" t="s">
        <v>282</v>
      </c>
      <c r="AH2885" s="1" t="str">
        <f>Table1[[#This Row],[html_tag]]&amp;Table1[[#This Row],[html_type]]&amp;Table1[[#This Row],[html_modifier]]</f>
        <v/>
      </c>
      <c r="AL2885" s="22" t="str">
        <f>IFERROR(_xlfn.XLOOKUP(Table1[[#This Row],[word]],Table57[English style name],Table57[Style type]),"")</f>
        <v>Table</v>
      </c>
      <c r="AM2885" s="20" t="s">
        <v>979</v>
      </c>
      <c r="AN2885" s="11"/>
    </row>
    <row r="2886" spans="5:40">
      <c r="E2886" s="11"/>
      <c r="F28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6" s="13"/>
      <c r="H2886" s="13"/>
      <c r="I2886" s="12" t="str">
        <f>Table1[[#This Row],[type]]</f>
        <v>table</v>
      </c>
      <c r="J2886" s="62" t="str">
        <f>Table1[[#This Row],[Column42]]&amp;IF(Table1[[#This Row],[Column13]]="","",Table1[[#This Row],[Column13]])&amp;IF(Table1[[#This Row],[mod]]="","",Table1[[#This Row],[mod]])</f>
        <v>table--3</v>
      </c>
      <c r="K28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6" t="s">
        <v>91</v>
      </c>
      <c r="P2886" t="s">
        <v>978</v>
      </c>
      <c r="Q28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86">
        <v>3</v>
      </c>
      <c r="U28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6" s="29"/>
      <c r="AC2886" s="25"/>
      <c r="AD2886" s="41"/>
      <c r="AE2886" s="41"/>
      <c r="AF2886" s="11" t="s">
        <v>282</v>
      </c>
      <c r="AH2886" s="1" t="str">
        <f>Table1[[#This Row],[html_tag]]&amp;Table1[[#This Row],[html_type]]&amp;Table1[[#This Row],[html_modifier]]</f>
        <v/>
      </c>
      <c r="AL2886" s="22" t="str">
        <f>IFERROR(_xlfn.XLOOKUP(Table1[[#This Row],[word]],Table57[English style name],Table57[Style type]),"")</f>
        <v>Table</v>
      </c>
      <c r="AM2886" s="20" t="s">
        <v>978</v>
      </c>
      <c r="AN2886" s="11"/>
    </row>
    <row r="2887" spans="5:40">
      <c r="E2887" s="11"/>
      <c r="F28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7" s="13"/>
      <c r="H2887" s="13"/>
      <c r="I2887" s="12" t="str">
        <f>Table1[[#This Row],[type]]</f>
        <v>table</v>
      </c>
      <c r="J2887" s="62" t="str">
        <f>Table1[[#This Row],[Column42]]&amp;IF(Table1[[#This Row],[Column13]]="","",Table1[[#This Row],[Column13]])&amp;IF(Table1[[#This Row],[mod]]="","",Table1[[#This Row],[mod]])</f>
        <v>table--3</v>
      </c>
      <c r="K28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7" t="s">
        <v>91</v>
      </c>
      <c r="P2887" t="s">
        <v>977</v>
      </c>
      <c r="Q28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87">
        <v>3</v>
      </c>
      <c r="U28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7" s="29"/>
      <c r="AC2887" s="25"/>
      <c r="AD2887" s="41"/>
      <c r="AE2887" s="41"/>
      <c r="AF2887" s="11" t="s">
        <v>282</v>
      </c>
      <c r="AH2887" s="1" t="str">
        <f>Table1[[#This Row],[html_tag]]&amp;Table1[[#This Row],[html_type]]&amp;Table1[[#This Row],[html_modifier]]</f>
        <v/>
      </c>
      <c r="AL2887" s="22" t="str">
        <f>IFERROR(_xlfn.XLOOKUP(Table1[[#This Row],[word]],Table57[English style name],Table57[Style type]),"")</f>
        <v>Table</v>
      </c>
      <c r="AM2887" s="20" t="s">
        <v>977</v>
      </c>
      <c r="AN2887" s="11"/>
    </row>
    <row r="2888" spans="5:40">
      <c r="E2888" s="11"/>
      <c r="F28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8" s="13"/>
      <c r="H2888" s="13"/>
      <c r="I2888" s="12" t="str">
        <f>Table1[[#This Row],[type]]</f>
        <v>table</v>
      </c>
      <c r="J2888" s="62" t="str">
        <f>Table1[[#This Row],[Column42]]&amp;IF(Table1[[#This Row],[Column13]]="","",Table1[[#This Row],[Column13]])&amp;IF(Table1[[#This Row],[mod]]="","",Table1[[#This Row],[mod]])</f>
        <v>table--3</v>
      </c>
      <c r="K28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8" t="s">
        <v>91</v>
      </c>
      <c r="P2888" t="s">
        <v>1109</v>
      </c>
      <c r="Q28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88">
        <v>3</v>
      </c>
      <c r="U28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8" s="29"/>
      <c r="AC2888" s="25"/>
      <c r="AD2888" s="41"/>
      <c r="AE2888" s="41"/>
      <c r="AF2888" s="11" t="s">
        <v>282</v>
      </c>
      <c r="AH2888" s="1" t="str">
        <f>Table1[[#This Row],[html_tag]]&amp;Table1[[#This Row],[html_type]]&amp;Table1[[#This Row],[html_modifier]]</f>
        <v/>
      </c>
      <c r="AL2888" s="22" t="str">
        <f>IFERROR(_xlfn.XLOOKUP(Table1[[#This Row],[word]],Table57[English style name],Table57[Style type]),"")</f>
        <v>Table</v>
      </c>
      <c r="AM2888" s="20" t="s">
        <v>1109</v>
      </c>
      <c r="AN2888" s="11"/>
    </row>
    <row r="2889" spans="5:40">
      <c r="E2889" s="11"/>
      <c r="F28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9" s="13"/>
      <c r="H2889" s="13"/>
      <c r="I2889" s="12" t="str">
        <f>Table1[[#This Row],[type]]</f>
        <v>table</v>
      </c>
      <c r="J2889" s="62" t="str">
        <f>Table1[[#This Row],[Column42]]&amp;IF(Table1[[#This Row],[Column13]]="","",Table1[[#This Row],[Column13]])&amp;IF(Table1[[#This Row],[mod]]="","",Table1[[#This Row],[mod]])</f>
        <v>table--3</v>
      </c>
      <c r="K28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9" t="s">
        <v>91</v>
      </c>
      <c r="P2889" t="s">
        <v>1110</v>
      </c>
      <c r="Q28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89">
        <v>3</v>
      </c>
      <c r="U28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9" s="29"/>
      <c r="AC2889" s="25"/>
      <c r="AD2889" s="41"/>
      <c r="AE2889" s="41"/>
      <c r="AF2889" s="11" t="s">
        <v>282</v>
      </c>
      <c r="AH2889" s="1" t="str">
        <f>Table1[[#This Row],[html_tag]]&amp;Table1[[#This Row],[html_type]]&amp;Table1[[#This Row],[html_modifier]]</f>
        <v/>
      </c>
      <c r="AL2889" s="22" t="str">
        <f>IFERROR(_xlfn.XLOOKUP(Table1[[#This Row],[word]],Table57[English style name],Table57[Style type]),"")</f>
        <v>Table</v>
      </c>
      <c r="AM2889" s="20" t="s">
        <v>1110</v>
      </c>
      <c r="AN2889" s="11"/>
    </row>
    <row r="2890" spans="5:40">
      <c r="E2890" s="11"/>
      <c r="F28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0" s="13"/>
      <c r="H2890" s="13"/>
      <c r="I2890" s="12" t="str">
        <f>Table1[[#This Row],[type]]</f>
        <v>table</v>
      </c>
      <c r="J2890" s="62" t="str">
        <f>Table1[[#This Row],[Column42]]&amp;IF(Table1[[#This Row],[Column13]]="","",Table1[[#This Row],[Column13]])&amp;IF(Table1[[#This Row],[mod]]="","",Table1[[#This Row],[mod]])</f>
        <v>table--3</v>
      </c>
      <c r="K28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0" t="s">
        <v>91</v>
      </c>
      <c r="P2890" t="s">
        <v>1111</v>
      </c>
      <c r="Q28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0">
        <v>3</v>
      </c>
      <c r="U28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0" s="29"/>
      <c r="AC2890" s="25"/>
      <c r="AD2890" s="41"/>
      <c r="AE2890" s="41"/>
      <c r="AF2890" s="11" t="s">
        <v>282</v>
      </c>
      <c r="AH2890" s="1" t="str">
        <f>Table1[[#This Row],[html_tag]]&amp;Table1[[#This Row],[html_type]]&amp;Table1[[#This Row],[html_modifier]]</f>
        <v/>
      </c>
      <c r="AL2890" s="22" t="str">
        <f>IFERROR(_xlfn.XLOOKUP(Table1[[#This Row],[word]],Table57[English style name],Table57[Style type]),"")</f>
        <v>Table</v>
      </c>
      <c r="AM2890" s="20" t="s">
        <v>1111</v>
      </c>
      <c r="AN2890" s="11"/>
    </row>
    <row r="2891" spans="5:40">
      <c r="E2891" s="11"/>
      <c r="F28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1" s="13"/>
      <c r="H2891" s="13"/>
      <c r="I2891" s="12" t="str">
        <f>Table1[[#This Row],[type]]</f>
        <v>table</v>
      </c>
      <c r="J2891" s="62" t="str">
        <f>Table1[[#This Row],[Column42]]&amp;IF(Table1[[#This Row],[Column13]]="","",Table1[[#This Row],[Column13]])&amp;IF(Table1[[#This Row],[mod]]="","",Table1[[#This Row],[mod]])</f>
        <v>table--3</v>
      </c>
      <c r="K28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1" t="s">
        <v>91</v>
      </c>
      <c r="P2891" t="s">
        <v>1112</v>
      </c>
      <c r="Q28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1">
        <v>3</v>
      </c>
      <c r="U28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1" s="29"/>
      <c r="AC2891" s="25"/>
      <c r="AD2891" s="41"/>
      <c r="AE2891" s="41"/>
      <c r="AF2891" s="11" t="s">
        <v>282</v>
      </c>
      <c r="AH2891" s="1" t="str">
        <f>Table1[[#This Row],[html_tag]]&amp;Table1[[#This Row],[html_type]]&amp;Table1[[#This Row],[html_modifier]]</f>
        <v/>
      </c>
      <c r="AL2891" s="22" t="str">
        <f>IFERROR(_xlfn.XLOOKUP(Table1[[#This Row],[word]],Table57[English style name],Table57[Style type]),"")</f>
        <v>Table</v>
      </c>
      <c r="AM2891" s="20" t="s">
        <v>1112</v>
      </c>
      <c r="AN2891" s="11"/>
    </row>
    <row r="2892" spans="5:40">
      <c r="E2892" s="11"/>
      <c r="F28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2" s="13"/>
      <c r="H2892" s="13"/>
      <c r="I2892" s="12" t="str">
        <f>Table1[[#This Row],[type]]</f>
        <v>table</v>
      </c>
      <c r="J2892" s="62" t="str">
        <f>Table1[[#This Row],[Column42]]&amp;IF(Table1[[#This Row],[Column13]]="","",Table1[[#This Row],[Column13]])&amp;IF(Table1[[#This Row],[mod]]="","",Table1[[#This Row],[mod]])</f>
        <v>table--3</v>
      </c>
      <c r="K28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2" t="s">
        <v>91</v>
      </c>
      <c r="P2892" t="s">
        <v>1113</v>
      </c>
      <c r="Q28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2">
        <v>3</v>
      </c>
      <c r="U28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2" s="29"/>
      <c r="AC2892" s="25"/>
      <c r="AD2892" s="41"/>
      <c r="AE2892" s="41"/>
      <c r="AF2892" s="11" t="s">
        <v>282</v>
      </c>
      <c r="AH2892" s="1" t="str">
        <f>Table1[[#This Row],[html_tag]]&amp;Table1[[#This Row],[html_type]]&amp;Table1[[#This Row],[html_modifier]]</f>
        <v/>
      </c>
      <c r="AL2892" s="22" t="str">
        <f>IFERROR(_xlfn.XLOOKUP(Table1[[#This Row],[word]],Table57[English style name],Table57[Style type]),"")</f>
        <v>Table</v>
      </c>
      <c r="AM2892" s="20" t="s">
        <v>1113</v>
      </c>
      <c r="AN2892" s="11"/>
    </row>
    <row r="2893" spans="5:40">
      <c r="E2893" s="11"/>
      <c r="F28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3" s="13"/>
      <c r="H2893" s="13"/>
      <c r="I2893" s="12" t="str">
        <f>Table1[[#This Row],[type]]</f>
        <v>table</v>
      </c>
      <c r="J2893" s="62" t="str">
        <f>Table1[[#This Row],[Column42]]&amp;IF(Table1[[#This Row],[Column13]]="","",Table1[[#This Row],[Column13]])&amp;IF(Table1[[#This Row],[mod]]="","",Table1[[#This Row],[mod]])</f>
        <v>table--3</v>
      </c>
      <c r="K28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3" t="s">
        <v>91</v>
      </c>
      <c r="P2893" t="s">
        <v>1114</v>
      </c>
      <c r="Q28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3">
        <v>3</v>
      </c>
      <c r="U28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3" s="29"/>
      <c r="AC2893" s="25"/>
      <c r="AD2893" s="41"/>
      <c r="AE2893" s="41"/>
      <c r="AF2893" s="11" t="s">
        <v>282</v>
      </c>
      <c r="AH2893" s="1" t="str">
        <f>Table1[[#This Row],[html_tag]]&amp;Table1[[#This Row],[html_type]]&amp;Table1[[#This Row],[html_modifier]]</f>
        <v/>
      </c>
      <c r="AL2893" s="22" t="str">
        <f>IFERROR(_xlfn.XLOOKUP(Table1[[#This Row],[word]],Table57[English style name],Table57[Style type]),"")</f>
        <v>Table</v>
      </c>
      <c r="AM2893" s="20" t="s">
        <v>1114</v>
      </c>
      <c r="AN2893" s="11"/>
    </row>
    <row r="2894" spans="5:40">
      <c r="E2894" s="11"/>
      <c r="F28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4" s="13"/>
      <c r="H2894" s="13"/>
      <c r="I2894" s="12" t="str">
        <f>Table1[[#This Row],[type]]</f>
        <v>table</v>
      </c>
      <c r="J2894" s="62" t="str">
        <f>Table1[[#This Row],[Column42]]&amp;IF(Table1[[#This Row],[Column13]]="","",Table1[[#This Row],[Column13]])&amp;IF(Table1[[#This Row],[mod]]="","",Table1[[#This Row],[mod]])</f>
        <v>table--3</v>
      </c>
      <c r="K28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4" t="s">
        <v>91</v>
      </c>
      <c r="P2894" t="s">
        <v>1115</v>
      </c>
      <c r="Q28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4">
        <v>3</v>
      </c>
      <c r="U28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4" s="29"/>
      <c r="AC2894" s="25"/>
      <c r="AD2894" s="41"/>
      <c r="AE2894" s="41"/>
      <c r="AF2894" s="11" t="s">
        <v>282</v>
      </c>
      <c r="AH2894" s="1" t="str">
        <f>Table1[[#This Row],[html_tag]]&amp;Table1[[#This Row],[html_type]]&amp;Table1[[#This Row],[html_modifier]]</f>
        <v/>
      </c>
      <c r="AL2894" s="22" t="str">
        <f>IFERROR(_xlfn.XLOOKUP(Table1[[#This Row],[word]],Table57[English style name],Table57[Style type]),"")</f>
        <v>Table</v>
      </c>
      <c r="AM2894" s="20" t="s">
        <v>1115</v>
      </c>
      <c r="AN2894" s="11"/>
    </row>
    <row r="2895" spans="5:40">
      <c r="E2895" s="11"/>
      <c r="F28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5" s="13"/>
      <c r="H2895" s="13"/>
      <c r="I2895" s="12" t="str">
        <f>Table1[[#This Row],[type]]</f>
        <v>table</v>
      </c>
      <c r="J2895" s="62" t="str">
        <f>Table1[[#This Row],[Column42]]&amp;IF(Table1[[#This Row],[Column13]]="","",Table1[[#This Row],[Column13]])&amp;IF(Table1[[#This Row],[mod]]="","",Table1[[#This Row],[mod]])</f>
        <v>table--3</v>
      </c>
      <c r="K28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5" t="s">
        <v>91</v>
      </c>
      <c r="P2895" t="s">
        <v>984</v>
      </c>
      <c r="Q28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5">
        <v>3</v>
      </c>
      <c r="U28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5" s="29"/>
      <c r="AC2895" s="25"/>
      <c r="AD2895" s="41"/>
      <c r="AE2895" s="41"/>
      <c r="AF2895" s="11" t="s">
        <v>282</v>
      </c>
      <c r="AH2895" s="1" t="str">
        <f>Table1[[#This Row],[html_tag]]&amp;Table1[[#This Row],[html_type]]&amp;Table1[[#This Row],[html_modifier]]</f>
        <v/>
      </c>
      <c r="AL2895" s="22" t="str">
        <f>IFERROR(_xlfn.XLOOKUP(Table1[[#This Row],[word]],Table57[English style name],Table57[Style type]),"")</f>
        <v>Table</v>
      </c>
      <c r="AM2895" s="20" t="s">
        <v>984</v>
      </c>
      <c r="AN2895" s="11"/>
    </row>
    <row r="2896" spans="5:40">
      <c r="E2896" s="11"/>
      <c r="F28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6" s="13"/>
      <c r="H2896" s="13"/>
      <c r="I2896" s="12" t="str">
        <f>Table1[[#This Row],[type]]</f>
        <v>table</v>
      </c>
      <c r="J2896" s="62" t="str">
        <f>Table1[[#This Row],[Column42]]&amp;IF(Table1[[#This Row],[Column13]]="","",Table1[[#This Row],[Column13]])&amp;IF(Table1[[#This Row],[mod]]="","",Table1[[#This Row],[mod]])</f>
        <v>table--3</v>
      </c>
      <c r="K28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6" t="s">
        <v>91</v>
      </c>
      <c r="P2896" t="s">
        <v>985</v>
      </c>
      <c r="Q28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6">
        <v>3</v>
      </c>
      <c r="U28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6" s="29"/>
      <c r="AC2896" s="25"/>
      <c r="AD2896" s="41"/>
      <c r="AE2896" s="41"/>
      <c r="AF2896" s="11" t="s">
        <v>282</v>
      </c>
      <c r="AH2896" s="1" t="str">
        <f>Table1[[#This Row],[html_tag]]&amp;Table1[[#This Row],[html_type]]&amp;Table1[[#This Row],[html_modifier]]</f>
        <v/>
      </c>
      <c r="AL2896" s="22" t="str">
        <f>IFERROR(_xlfn.XLOOKUP(Table1[[#This Row],[word]],Table57[English style name],Table57[Style type]),"")</f>
        <v>Table</v>
      </c>
      <c r="AM2896" s="20" t="s">
        <v>985</v>
      </c>
      <c r="AN2896" s="11"/>
    </row>
    <row r="2897" spans="5:40">
      <c r="E2897" s="11"/>
      <c r="F28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7" s="13"/>
      <c r="H2897" s="13"/>
      <c r="I2897" s="12" t="str">
        <f>Table1[[#This Row],[type]]</f>
        <v>table</v>
      </c>
      <c r="J2897" s="62" t="str">
        <f>Table1[[#This Row],[Column42]]&amp;IF(Table1[[#This Row],[Column13]]="","",Table1[[#This Row],[Column13]])&amp;IF(Table1[[#This Row],[mod]]="","",Table1[[#This Row],[mod]])</f>
        <v>table--3</v>
      </c>
      <c r="K28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7" t="s">
        <v>91</v>
      </c>
      <c r="P2897" t="s">
        <v>986</v>
      </c>
      <c r="Q28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7">
        <v>3</v>
      </c>
      <c r="U28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7" s="29"/>
      <c r="AC2897" s="25"/>
      <c r="AD2897" s="41"/>
      <c r="AE2897" s="41"/>
      <c r="AF2897" s="11" t="s">
        <v>282</v>
      </c>
      <c r="AH2897" s="1" t="str">
        <f>Table1[[#This Row],[html_tag]]&amp;Table1[[#This Row],[html_type]]&amp;Table1[[#This Row],[html_modifier]]</f>
        <v/>
      </c>
      <c r="AL2897" s="22" t="str">
        <f>IFERROR(_xlfn.XLOOKUP(Table1[[#This Row],[word]],Table57[English style name],Table57[Style type]),"")</f>
        <v>Table</v>
      </c>
      <c r="AM2897" s="20" t="s">
        <v>986</v>
      </c>
      <c r="AN2897" s="11"/>
    </row>
    <row r="2898" spans="5:40">
      <c r="E2898" s="11"/>
      <c r="F28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8" s="13"/>
      <c r="H2898" s="13"/>
      <c r="I2898" s="77" t="str">
        <f>Table1[[#This Row],[type]]</f>
        <v>table</v>
      </c>
      <c r="J2898" s="62" t="str">
        <f>Table1[[#This Row],[Column42]]&amp;IF(Table1[[#This Row],[Column13]]="","",Table1[[#This Row],[Column13]])&amp;IF(Table1[[#This Row],[mod]]="","",Table1[[#This Row],[mod]])</f>
        <v>table--3</v>
      </c>
      <c r="K28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8" t="s">
        <v>91</v>
      </c>
      <c r="P2898" t="s">
        <v>982</v>
      </c>
      <c r="Q28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8">
        <v>3</v>
      </c>
      <c r="U28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8" s="29"/>
      <c r="AC2898" s="25"/>
      <c r="AD2898" s="41"/>
      <c r="AE2898" s="41"/>
      <c r="AF2898" s="11" t="s">
        <v>282</v>
      </c>
      <c r="AH2898" s="1" t="str">
        <f>Table1[[#This Row],[html_tag]]&amp;Table1[[#This Row],[html_type]]&amp;Table1[[#This Row],[html_modifier]]</f>
        <v/>
      </c>
      <c r="AL2898" s="22" t="str">
        <f>IFERROR(_xlfn.XLOOKUP(Table1[[#This Row],[word]],Table57[English style name],Table57[Style type]),"")</f>
        <v>Table</v>
      </c>
      <c r="AM2898" s="20" t="s">
        <v>982</v>
      </c>
      <c r="AN2898" s="11"/>
    </row>
    <row r="2899" spans="5:40">
      <c r="E2899" s="11"/>
      <c r="F28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9" s="13"/>
      <c r="H2899" s="13"/>
      <c r="I2899" s="12" t="str">
        <f>Table1[[#This Row],[type]]</f>
        <v>table</v>
      </c>
      <c r="J2899" s="62" t="str">
        <f>Table1[[#This Row],[Column42]]&amp;IF(Table1[[#This Row],[Column13]]="","",Table1[[#This Row],[Column13]])&amp;IF(Table1[[#This Row],[mod]]="","",Table1[[#This Row],[mod]])</f>
        <v>table--3</v>
      </c>
      <c r="K28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9" t="s">
        <v>91</v>
      </c>
      <c r="P2899" t="s">
        <v>983</v>
      </c>
      <c r="Q28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9">
        <v>3</v>
      </c>
      <c r="U28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9" s="29"/>
      <c r="AC2899" s="25"/>
      <c r="AD2899" s="41"/>
      <c r="AE2899" s="41"/>
      <c r="AF2899" s="11" t="s">
        <v>282</v>
      </c>
      <c r="AH2899" s="1" t="str">
        <f>Table1[[#This Row],[html_tag]]&amp;Table1[[#This Row],[html_type]]&amp;Table1[[#This Row],[html_modifier]]</f>
        <v/>
      </c>
      <c r="AL2899" s="22" t="str">
        <f>IFERROR(_xlfn.XLOOKUP(Table1[[#This Row],[word]],Table57[English style name],Table57[Style type]),"")</f>
        <v>Table</v>
      </c>
      <c r="AM2899" s="20" t="s">
        <v>983</v>
      </c>
      <c r="AN2899" s="11"/>
    </row>
    <row r="2900" spans="5:40">
      <c r="E2900" s="11"/>
      <c r="F29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0" s="13"/>
      <c r="H2900" s="13"/>
      <c r="I2900" s="12" t="str">
        <f>Table1[[#This Row],[type]]</f>
        <v>table</v>
      </c>
      <c r="J2900" s="62" t="str">
        <f>Table1[[#This Row],[Column42]]&amp;IF(Table1[[#This Row],[Column13]]="","",Table1[[#This Row],[Column13]])&amp;IF(Table1[[#This Row],[mod]]="","",Table1[[#This Row],[mod]])</f>
        <v>table--3</v>
      </c>
      <c r="K29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0" t="s">
        <v>91</v>
      </c>
      <c r="P2900" t="s">
        <v>980</v>
      </c>
      <c r="Q29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0">
        <v>3</v>
      </c>
      <c r="U29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0" s="29"/>
      <c r="AC2900" s="25"/>
      <c r="AD2900" s="41"/>
      <c r="AE2900" s="41"/>
      <c r="AF2900" s="11" t="s">
        <v>282</v>
      </c>
      <c r="AH2900" s="1" t="str">
        <f>Table1[[#This Row],[html_tag]]&amp;Table1[[#This Row],[html_type]]&amp;Table1[[#This Row],[html_modifier]]</f>
        <v/>
      </c>
      <c r="AL2900" s="22" t="str">
        <f>IFERROR(_xlfn.XLOOKUP(Table1[[#This Row],[word]],Table57[English style name],Table57[Style type]),"")</f>
        <v>Table</v>
      </c>
      <c r="AM2900" s="20" t="s">
        <v>980</v>
      </c>
      <c r="AN2900" s="11"/>
    </row>
    <row r="2901" spans="5:40">
      <c r="E2901" s="11"/>
      <c r="F29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1" s="13"/>
      <c r="H2901" s="13"/>
      <c r="I2901" s="12" t="str">
        <f>Table1[[#This Row],[type]]</f>
        <v>table</v>
      </c>
      <c r="J2901" s="62" t="str">
        <f>Table1[[#This Row],[Column42]]&amp;IF(Table1[[#This Row],[Column13]]="","",Table1[[#This Row],[Column13]])&amp;IF(Table1[[#This Row],[mod]]="","",Table1[[#This Row],[mod]])</f>
        <v>table--3</v>
      </c>
      <c r="K29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1" t="s">
        <v>91</v>
      </c>
      <c r="P2901" t="s">
        <v>981</v>
      </c>
      <c r="Q29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1">
        <v>3</v>
      </c>
      <c r="U29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1" s="29"/>
      <c r="AC2901" s="25"/>
      <c r="AD2901" s="41"/>
      <c r="AE2901" s="41"/>
      <c r="AF2901" s="11" t="s">
        <v>282</v>
      </c>
      <c r="AH2901" s="1" t="str">
        <f>Table1[[#This Row],[html_tag]]&amp;Table1[[#This Row],[html_type]]&amp;Table1[[#This Row],[html_modifier]]</f>
        <v/>
      </c>
      <c r="AL2901" s="22" t="str">
        <f>IFERROR(_xlfn.XLOOKUP(Table1[[#This Row],[word]],Table57[English style name],Table57[Style type]),"")</f>
        <v>Table</v>
      </c>
      <c r="AM2901" s="20" t="s">
        <v>981</v>
      </c>
      <c r="AN2901" s="11"/>
    </row>
    <row r="2902" spans="5:40">
      <c r="E2902" s="11"/>
      <c r="F29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2" s="13"/>
      <c r="H2902" s="13"/>
      <c r="I2902" s="12" t="str">
        <f>Table1[[#This Row],[type]]</f>
        <v>table</v>
      </c>
      <c r="J2902" s="62" t="str">
        <f>Table1[[#This Row],[Column42]]&amp;IF(Table1[[#This Row],[Column13]]="","",Table1[[#This Row],[Column13]])&amp;IF(Table1[[#This Row],[mod]]="","",Table1[[#This Row],[mod]])</f>
        <v>table--3</v>
      </c>
      <c r="K29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2" t="s">
        <v>91</v>
      </c>
      <c r="P2902" t="s">
        <v>1035</v>
      </c>
      <c r="Q29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2">
        <v>3</v>
      </c>
      <c r="U29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2" s="29"/>
      <c r="AC2902" s="25"/>
      <c r="AD2902" s="41"/>
      <c r="AE2902" s="41"/>
      <c r="AF2902" s="11" t="s">
        <v>282</v>
      </c>
      <c r="AH2902" s="1" t="str">
        <f>Table1[[#This Row],[html_tag]]&amp;Table1[[#This Row],[html_type]]&amp;Table1[[#This Row],[html_modifier]]</f>
        <v/>
      </c>
      <c r="AL2902" s="22" t="str">
        <f>IFERROR(_xlfn.XLOOKUP(Table1[[#This Row],[word]],Table57[English style name],Table57[Style type]),"")</f>
        <v>Table</v>
      </c>
      <c r="AM2902" s="20" t="s">
        <v>1035</v>
      </c>
      <c r="AN2902" s="11"/>
    </row>
    <row r="2903" spans="5:40">
      <c r="E2903" s="11"/>
      <c r="F29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3" s="13"/>
      <c r="H2903" s="13"/>
      <c r="I2903" s="12" t="str">
        <f>Table1[[#This Row],[type]]</f>
        <v>table</v>
      </c>
      <c r="J2903" s="62" t="str">
        <f>Table1[[#This Row],[Column42]]&amp;IF(Table1[[#This Row],[Column13]]="","",Table1[[#This Row],[Column13]])&amp;IF(Table1[[#This Row],[mod]]="","",Table1[[#This Row],[mod]])</f>
        <v>table--3</v>
      </c>
      <c r="K29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3" t="s">
        <v>91</v>
      </c>
      <c r="P2903" t="s">
        <v>904</v>
      </c>
      <c r="Q29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3">
        <v>3</v>
      </c>
      <c r="U29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3" s="29"/>
      <c r="AC2903" s="25"/>
      <c r="AD2903" s="41"/>
      <c r="AE2903" s="41"/>
      <c r="AF2903" s="11" t="s">
        <v>282</v>
      </c>
      <c r="AH2903" s="1" t="str">
        <f>Table1[[#This Row],[html_tag]]&amp;Table1[[#This Row],[html_type]]&amp;Table1[[#This Row],[html_modifier]]</f>
        <v/>
      </c>
      <c r="AL2903" s="22" t="str">
        <f>IFERROR(_xlfn.XLOOKUP(Table1[[#This Row],[word]],Table57[English style name],Table57[Style type]),"")</f>
        <v>Table</v>
      </c>
      <c r="AM2903" s="20" t="s">
        <v>904</v>
      </c>
      <c r="AN2903" s="11"/>
    </row>
    <row r="2904" spans="5:40">
      <c r="E2904" s="11"/>
      <c r="F29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4" s="13"/>
      <c r="H2904" s="13"/>
      <c r="I2904" s="12" t="str">
        <f>Table1[[#This Row],[type]]</f>
        <v>table</v>
      </c>
      <c r="J2904" s="62" t="str">
        <f>Table1[[#This Row],[Column42]]&amp;IF(Table1[[#This Row],[Column13]]="","",Table1[[#This Row],[Column13]])&amp;IF(Table1[[#This Row],[mod]]="","",Table1[[#This Row],[mod]])</f>
        <v>table--3</v>
      </c>
      <c r="K29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4" t="s">
        <v>91</v>
      </c>
      <c r="P2904" t="s">
        <v>880</v>
      </c>
      <c r="Q29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4">
        <v>3</v>
      </c>
      <c r="U29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4" s="29"/>
      <c r="AC2904" s="25"/>
      <c r="AD2904" s="41"/>
      <c r="AE2904" s="41"/>
      <c r="AF2904" s="11" t="s">
        <v>282</v>
      </c>
      <c r="AH2904" s="1" t="str">
        <f>Table1[[#This Row],[html_tag]]&amp;Table1[[#This Row],[html_type]]&amp;Table1[[#This Row],[html_modifier]]</f>
        <v/>
      </c>
      <c r="AL2904" s="22" t="str">
        <f>IFERROR(_xlfn.XLOOKUP(Table1[[#This Row],[word]],Table57[English style name],Table57[Style type]),"")</f>
        <v>Table</v>
      </c>
      <c r="AM2904" s="20" t="s">
        <v>880</v>
      </c>
      <c r="AN2904" s="11"/>
    </row>
    <row r="2905" spans="5:40">
      <c r="E2905" s="11"/>
      <c r="F29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5" s="13"/>
      <c r="H2905" s="13"/>
      <c r="I2905" s="12" t="str">
        <f>Table1[[#This Row],[type]]</f>
        <v>table</v>
      </c>
      <c r="J2905" s="62" t="str">
        <f>Table1[[#This Row],[Column42]]&amp;IF(Table1[[#This Row],[Column13]]="","",Table1[[#This Row],[Column13]])&amp;IF(Table1[[#This Row],[mod]]="","",Table1[[#This Row],[mod]])</f>
        <v>table--3</v>
      </c>
      <c r="K29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5" t="s">
        <v>91</v>
      </c>
      <c r="P2905" t="s">
        <v>883</v>
      </c>
      <c r="Q29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5">
        <v>3</v>
      </c>
      <c r="U29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5" s="29"/>
      <c r="AC2905" s="25"/>
      <c r="AD2905" s="41"/>
      <c r="AE2905" s="41"/>
      <c r="AF2905" s="11" t="s">
        <v>282</v>
      </c>
      <c r="AH2905" s="1" t="str">
        <f>Table1[[#This Row],[html_tag]]&amp;Table1[[#This Row],[html_type]]&amp;Table1[[#This Row],[html_modifier]]</f>
        <v/>
      </c>
      <c r="AL2905" s="22" t="str">
        <f>IFERROR(_xlfn.XLOOKUP(Table1[[#This Row],[word]],Table57[English style name],Table57[Style type]),"")</f>
        <v>Table</v>
      </c>
      <c r="AM2905" s="20" t="s">
        <v>883</v>
      </c>
      <c r="AN2905" s="11"/>
    </row>
    <row r="2906" spans="5:40">
      <c r="E2906" s="11"/>
      <c r="F29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6" s="13"/>
      <c r="H2906" s="13"/>
      <c r="I2906" s="12" t="str">
        <f>Table1[[#This Row],[type]]</f>
        <v>table</v>
      </c>
      <c r="J2906" s="62" t="str">
        <f>Table1[[#This Row],[Column42]]&amp;IF(Table1[[#This Row],[Column13]]="","",Table1[[#This Row],[Column13]])&amp;IF(Table1[[#This Row],[mod]]="","",Table1[[#This Row],[mod]])</f>
        <v>table--3</v>
      </c>
      <c r="K29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6" t="s">
        <v>91</v>
      </c>
      <c r="P2906" t="s">
        <v>888</v>
      </c>
      <c r="Q29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6">
        <v>3</v>
      </c>
      <c r="U29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6" s="29"/>
      <c r="AC2906" s="25"/>
      <c r="AD2906" s="41"/>
      <c r="AE2906" s="41"/>
      <c r="AF2906" s="11" t="s">
        <v>282</v>
      </c>
      <c r="AH2906" s="1" t="str">
        <f>Table1[[#This Row],[html_tag]]&amp;Table1[[#This Row],[html_type]]&amp;Table1[[#This Row],[html_modifier]]</f>
        <v/>
      </c>
      <c r="AL2906" s="22" t="str">
        <f>IFERROR(_xlfn.XLOOKUP(Table1[[#This Row],[word]],Table57[English style name],Table57[Style type]),"")</f>
        <v>Table</v>
      </c>
      <c r="AM2906" s="20" t="s">
        <v>888</v>
      </c>
      <c r="AN2906" s="11"/>
    </row>
    <row r="2907" spans="5:40">
      <c r="E2907" s="11"/>
      <c r="F29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7" s="13"/>
      <c r="H2907" s="13"/>
      <c r="I2907" s="12" t="str">
        <f>Table1[[#This Row],[type]]</f>
        <v>table</v>
      </c>
      <c r="J2907" s="62" t="str">
        <f>Table1[[#This Row],[Column42]]&amp;IF(Table1[[#This Row],[Column13]]="","",Table1[[#This Row],[Column13]])&amp;IF(Table1[[#This Row],[mod]]="","",Table1[[#This Row],[mod]])</f>
        <v>table--3</v>
      </c>
      <c r="K29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7" t="s">
        <v>91</v>
      </c>
      <c r="P2907" t="s">
        <v>896</v>
      </c>
      <c r="Q29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7">
        <v>3</v>
      </c>
      <c r="U29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7" s="29"/>
      <c r="AC2907" s="25"/>
      <c r="AD2907" s="41"/>
      <c r="AE2907" s="41"/>
      <c r="AF2907" s="11" t="s">
        <v>282</v>
      </c>
      <c r="AH2907" s="1" t="str">
        <f>Table1[[#This Row],[html_tag]]&amp;Table1[[#This Row],[html_type]]&amp;Table1[[#This Row],[html_modifier]]</f>
        <v/>
      </c>
      <c r="AL2907" s="22" t="str">
        <f>IFERROR(_xlfn.XLOOKUP(Table1[[#This Row],[word]],Table57[English style name],Table57[Style type]),"")</f>
        <v>Table</v>
      </c>
      <c r="AM2907" s="20" t="s">
        <v>896</v>
      </c>
      <c r="AN2907" s="11"/>
    </row>
    <row r="2908" spans="5:40">
      <c r="E2908" s="11"/>
      <c r="F29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8" s="13"/>
      <c r="H2908" s="13"/>
      <c r="I2908" s="12" t="str">
        <f>Table1[[#This Row],[type]]</f>
        <v>table</v>
      </c>
      <c r="J2908" s="62" t="str">
        <f>Table1[[#This Row],[Column42]]&amp;IF(Table1[[#This Row],[Column13]]="","",Table1[[#This Row],[Column13]])&amp;IF(Table1[[#This Row],[mod]]="","",Table1[[#This Row],[mod]])</f>
        <v>table--3</v>
      </c>
      <c r="K29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8" t="s">
        <v>91</v>
      </c>
      <c r="P2908" t="s">
        <v>873</v>
      </c>
      <c r="Q29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8">
        <v>3</v>
      </c>
      <c r="U29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8" s="29"/>
      <c r="AC2908" s="25"/>
      <c r="AD2908" s="41"/>
      <c r="AE2908" s="41"/>
      <c r="AF2908" s="11" t="s">
        <v>282</v>
      </c>
      <c r="AH2908" s="1" t="str">
        <f>Table1[[#This Row],[html_tag]]&amp;Table1[[#This Row],[html_type]]&amp;Table1[[#This Row],[html_modifier]]</f>
        <v/>
      </c>
      <c r="AL2908" s="22" t="str">
        <f>IFERROR(_xlfn.XLOOKUP(Table1[[#This Row],[word]],Table57[English style name],Table57[Style type]),"")</f>
        <v>Table</v>
      </c>
      <c r="AM2908" s="20" t="s">
        <v>873</v>
      </c>
      <c r="AN2908" s="11"/>
    </row>
    <row r="2909" spans="5:40">
      <c r="E2909" s="11"/>
      <c r="F29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9" s="13"/>
      <c r="H2909" s="13"/>
      <c r="I2909" s="12" t="str">
        <f>Table1[[#This Row],[type]]</f>
        <v>table</v>
      </c>
      <c r="J2909" s="62" t="str">
        <f>Table1[[#This Row],[Column42]]&amp;IF(Table1[[#This Row],[Column13]]="","",Table1[[#This Row],[Column13]])&amp;IF(Table1[[#This Row],[mod]]="","",Table1[[#This Row],[mod]])</f>
        <v>table--4</v>
      </c>
      <c r="K29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9" t="s">
        <v>91</v>
      </c>
      <c r="P2909" t="s">
        <v>993</v>
      </c>
      <c r="Q29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09">
        <v>4</v>
      </c>
      <c r="U29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9" s="29"/>
      <c r="AC2909" s="25"/>
      <c r="AD2909" s="41"/>
      <c r="AE2909" s="41"/>
      <c r="AF2909" s="11" t="s">
        <v>282</v>
      </c>
      <c r="AH2909" s="1" t="str">
        <f>Table1[[#This Row],[html_tag]]&amp;Table1[[#This Row],[html_type]]&amp;Table1[[#This Row],[html_modifier]]</f>
        <v/>
      </c>
      <c r="AL2909" s="22" t="str">
        <f>IFERROR(_xlfn.XLOOKUP(Table1[[#This Row],[word]],Table57[English style name],Table57[Style type]),"")</f>
        <v>Table</v>
      </c>
      <c r="AM2909" s="20" t="s">
        <v>993</v>
      </c>
      <c r="AN2909" s="11"/>
    </row>
    <row r="2910" spans="5:40">
      <c r="E2910" s="11"/>
      <c r="F29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0" s="13"/>
      <c r="H2910" s="13"/>
      <c r="I2910" s="12" t="str">
        <f>Table1[[#This Row],[type]]</f>
        <v>table</v>
      </c>
      <c r="J2910" s="62" t="str">
        <f>Table1[[#This Row],[Column42]]&amp;IF(Table1[[#This Row],[Column13]]="","",Table1[[#This Row],[Column13]])&amp;IF(Table1[[#This Row],[mod]]="","",Table1[[#This Row],[mod]])</f>
        <v>table--4</v>
      </c>
      <c r="K29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0" t="s">
        <v>91</v>
      </c>
      <c r="P2910" t="s">
        <v>992</v>
      </c>
      <c r="Q29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0">
        <v>4</v>
      </c>
      <c r="U29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0" s="29"/>
      <c r="AC2910" s="25"/>
      <c r="AD2910" s="41"/>
      <c r="AE2910" s="41"/>
      <c r="AF2910" s="11" t="s">
        <v>282</v>
      </c>
      <c r="AH2910" s="1" t="str">
        <f>Table1[[#This Row],[html_tag]]&amp;Table1[[#This Row],[html_type]]&amp;Table1[[#This Row],[html_modifier]]</f>
        <v/>
      </c>
      <c r="AL2910" s="22" t="str">
        <f>IFERROR(_xlfn.XLOOKUP(Table1[[#This Row],[word]],Table57[English style name],Table57[Style type]),"")</f>
        <v>Table</v>
      </c>
      <c r="AM2910" s="20" t="s">
        <v>992</v>
      </c>
      <c r="AN2910" s="11"/>
    </row>
    <row r="2911" spans="5:40">
      <c r="E2911" s="11"/>
      <c r="F29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1" s="13"/>
      <c r="H2911" s="13"/>
      <c r="I2911" s="12" t="str">
        <f>Table1[[#This Row],[type]]</f>
        <v>table</v>
      </c>
      <c r="J2911" s="62" t="str">
        <f>Table1[[#This Row],[Column42]]&amp;IF(Table1[[#This Row],[Column13]]="","",Table1[[#This Row],[Column13]])&amp;IF(Table1[[#This Row],[mod]]="","",Table1[[#This Row],[mod]])</f>
        <v>table--4</v>
      </c>
      <c r="K29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1" t="s">
        <v>91</v>
      </c>
      <c r="P2911" t="s">
        <v>991</v>
      </c>
      <c r="Q29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1">
        <v>4</v>
      </c>
      <c r="U29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1" s="29"/>
      <c r="AC2911" s="25"/>
      <c r="AD2911" s="41"/>
      <c r="AE2911" s="41"/>
      <c r="AF2911" s="11" t="s">
        <v>282</v>
      </c>
      <c r="AH2911" s="1" t="str">
        <f>Table1[[#This Row],[html_tag]]&amp;Table1[[#This Row],[html_type]]&amp;Table1[[#This Row],[html_modifier]]</f>
        <v/>
      </c>
      <c r="AL2911" s="22" t="str">
        <f>IFERROR(_xlfn.XLOOKUP(Table1[[#This Row],[word]],Table57[English style name],Table57[Style type]),"")</f>
        <v>Table</v>
      </c>
      <c r="AM2911" s="20" t="s">
        <v>991</v>
      </c>
      <c r="AN2911" s="11"/>
    </row>
    <row r="2912" spans="5:40">
      <c r="E2912" s="11"/>
      <c r="F29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2" s="13"/>
      <c r="H2912" s="13"/>
      <c r="I2912" s="12" t="str">
        <f>Table1[[#This Row],[type]]</f>
        <v>table</v>
      </c>
      <c r="J2912" s="62" t="str">
        <f>Table1[[#This Row],[Column42]]&amp;IF(Table1[[#This Row],[Column13]]="","",Table1[[#This Row],[Column13]])&amp;IF(Table1[[#This Row],[mod]]="","",Table1[[#This Row],[mod]])</f>
        <v>table--4</v>
      </c>
      <c r="K29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2" t="s">
        <v>91</v>
      </c>
      <c r="P2912" t="s">
        <v>1116</v>
      </c>
      <c r="Q29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2">
        <v>4</v>
      </c>
      <c r="U29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2" s="29"/>
      <c r="AC2912" s="25"/>
      <c r="AD2912" s="41"/>
      <c r="AE2912" s="41"/>
      <c r="AF2912" s="11" t="s">
        <v>282</v>
      </c>
      <c r="AH2912" s="1" t="str">
        <f>Table1[[#This Row],[html_tag]]&amp;Table1[[#This Row],[html_type]]&amp;Table1[[#This Row],[html_modifier]]</f>
        <v/>
      </c>
      <c r="AL2912" s="22" t="str">
        <f>IFERROR(_xlfn.XLOOKUP(Table1[[#This Row],[word]],Table57[English style name],Table57[Style type]),"")</f>
        <v>Table</v>
      </c>
      <c r="AM2912" s="20" t="s">
        <v>1116</v>
      </c>
      <c r="AN2912" s="11"/>
    </row>
    <row r="2913" spans="5:40">
      <c r="E2913" s="11"/>
      <c r="F29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3" s="13"/>
      <c r="H2913" s="13"/>
      <c r="I2913" s="12" t="str">
        <f>Table1[[#This Row],[type]]</f>
        <v>table</v>
      </c>
      <c r="J2913" s="62" t="str">
        <f>Table1[[#This Row],[Column42]]&amp;IF(Table1[[#This Row],[Column13]]="","",Table1[[#This Row],[Column13]])&amp;IF(Table1[[#This Row],[mod]]="","",Table1[[#This Row],[mod]])</f>
        <v>table--4</v>
      </c>
      <c r="K29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3" t="s">
        <v>91</v>
      </c>
      <c r="P2913" t="s">
        <v>1117</v>
      </c>
      <c r="Q29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3">
        <v>4</v>
      </c>
      <c r="U29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3" s="29"/>
      <c r="AC2913" s="25"/>
      <c r="AD2913" s="41"/>
      <c r="AE2913" s="41"/>
      <c r="AF2913" s="11" t="s">
        <v>282</v>
      </c>
      <c r="AH2913" s="1" t="str">
        <f>Table1[[#This Row],[html_tag]]&amp;Table1[[#This Row],[html_type]]&amp;Table1[[#This Row],[html_modifier]]</f>
        <v/>
      </c>
      <c r="AL2913" s="22" t="str">
        <f>IFERROR(_xlfn.XLOOKUP(Table1[[#This Row],[word]],Table57[English style name],Table57[Style type]),"")</f>
        <v>Table</v>
      </c>
      <c r="AM2913" s="20" t="s">
        <v>1117</v>
      </c>
      <c r="AN2913" s="11"/>
    </row>
    <row r="2914" spans="5:40">
      <c r="E2914" s="11"/>
      <c r="F29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4" s="13"/>
      <c r="H2914" s="13"/>
      <c r="I2914" s="12" t="str">
        <f>Table1[[#This Row],[type]]</f>
        <v>table</v>
      </c>
      <c r="J2914" s="62" t="str">
        <f>Table1[[#This Row],[Column42]]&amp;IF(Table1[[#This Row],[Column13]]="","",Table1[[#This Row],[Column13]])&amp;IF(Table1[[#This Row],[mod]]="","",Table1[[#This Row],[mod]])</f>
        <v>table--4</v>
      </c>
      <c r="K29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4" t="s">
        <v>91</v>
      </c>
      <c r="P2914" t="s">
        <v>1118</v>
      </c>
      <c r="Q29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4">
        <v>4</v>
      </c>
      <c r="U29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4" s="29"/>
      <c r="AC2914" s="25"/>
      <c r="AD2914" s="41"/>
      <c r="AE2914" s="41"/>
      <c r="AF2914" s="11" t="s">
        <v>282</v>
      </c>
      <c r="AH2914" s="1" t="str">
        <f>Table1[[#This Row],[html_tag]]&amp;Table1[[#This Row],[html_type]]&amp;Table1[[#This Row],[html_modifier]]</f>
        <v/>
      </c>
      <c r="AL2914" s="22" t="str">
        <f>IFERROR(_xlfn.XLOOKUP(Table1[[#This Row],[word]],Table57[English style name],Table57[Style type]),"")</f>
        <v>Table</v>
      </c>
      <c r="AM2914" s="20" t="s">
        <v>1118</v>
      </c>
      <c r="AN2914" s="11"/>
    </row>
    <row r="2915" spans="5:40">
      <c r="E2915" s="11"/>
      <c r="F29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5" s="13"/>
      <c r="H2915" s="13"/>
      <c r="I2915" s="12" t="str">
        <f>Table1[[#This Row],[type]]</f>
        <v>table</v>
      </c>
      <c r="J2915" s="62" t="str">
        <f>Table1[[#This Row],[Column42]]&amp;IF(Table1[[#This Row],[Column13]]="","",Table1[[#This Row],[Column13]])&amp;IF(Table1[[#This Row],[mod]]="","",Table1[[#This Row],[mod]])</f>
        <v>table--4</v>
      </c>
      <c r="K29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5" t="s">
        <v>91</v>
      </c>
      <c r="P2915" t="s">
        <v>1119</v>
      </c>
      <c r="Q29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5">
        <v>4</v>
      </c>
      <c r="U29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5" s="29"/>
      <c r="AC2915" s="25"/>
      <c r="AD2915" s="41"/>
      <c r="AE2915" s="41"/>
      <c r="AF2915" s="11" t="s">
        <v>282</v>
      </c>
      <c r="AH2915" s="1" t="str">
        <f>Table1[[#This Row],[html_tag]]&amp;Table1[[#This Row],[html_type]]&amp;Table1[[#This Row],[html_modifier]]</f>
        <v/>
      </c>
      <c r="AL2915" s="22" t="str">
        <f>IFERROR(_xlfn.XLOOKUP(Table1[[#This Row],[word]],Table57[English style name],Table57[Style type]),"")</f>
        <v>Table</v>
      </c>
      <c r="AM2915" s="20" t="s">
        <v>1119</v>
      </c>
      <c r="AN2915" s="11"/>
    </row>
    <row r="2916" spans="5:40">
      <c r="E2916" s="11"/>
      <c r="F29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6" s="13"/>
      <c r="H2916" s="13"/>
      <c r="I2916" s="12" t="str">
        <f>Table1[[#This Row],[type]]</f>
        <v>table</v>
      </c>
      <c r="J2916" s="62" t="str">
        <f>Table1[[#This Row],[Column42]]&amp;IF(Table1[[#This Row],[Column13]]="","",Table1[[#This Row],[Column13]])&amp;IF(Table1[[#This Row],[mod]]="","",Table1[[#This Row],[mod]])</f>
        <v>table--4</v>
      </c>
      <c r="K29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6" t="s">
        <v>91</v>
      </c>
      <c r="P2916" t="s">
        <v>1120</v>
      </c>
      <c r="Q29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6">
        <v>4</v>
      </c>
      <c r="U29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6" s="29"/>
      <c r="AC2916" s="25"/>
      <c r="AD2916" s="41"/>
      <c r="AE2916" s="41"/>
      <c r="AF2916" s="11" t="s">
        <v>282</v>
      </c>
      <c r="AH2916" s="1" t="str">
        <f>Table1[[#This Row],[html_tag]]&amp;Table1[[#This Row],[html_type]]&amp;Table1[[#This Row],[html_modifier]]</f>
        <v/>
      </c>
      <c r="AL2916" s="22" t="str">
        <f>IFERROR(_xlfn.XLOOKUP(Table1[[#This Row],[word]],Table57[English style name],Table57[Style type]),"")</f>
        <v>Table</v>
      </c>
      <c r="AM2916" s="20" t="s">
        <v>1120</v>
      </c>
      <c r="AN2916" s="11"/>
    </row>
    <row r="2917" spans="5:40">
      <c r="E2917" s="11"/>
      <c r="F29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7" s="13"/>
      <c r="H2917" s="13"/>
      <c r="I2917" s="12" t="str">
        <f>Table1[[#This Row],[type]]</f>
        <v>table</v>
      </c>
      <c r="J2917" s="62" t="str">
        <f>Table1[[#This Row],[Column42]]&amp;IF(Table1[[#This Row],[Column13]]="","",Table1[[#This Row],[Column13]])&amp;IF(Table1[[#This Row],[mod]]="","",Table1[[#This Row],[mod]])</f>
        <v>table--4</v>
      </c>
      <c r="K29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7" t="s">
        <v>91</v>
      </c>
      <c r="P2917" t="s">
        <v>1121</v>
      </c>
      <c r="Q29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7">
        <v>4</v>
      </c>
      <c r="U29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7" s="29"/>
      <c r="AC2917" s="25"/>
      <c r="AD2917" s="41"/>
      <c r="AE2917" s="41"/>
      <c r="AF2917" s="11" t="s">
        <v>282</v>
      </c>
      <c r="AH2917" s="1" t="str">
        <f>Table1[[#This Row],[html_tag]]&amp;Table1[[#This Row],[html_type]]&amp;Table1[[#This Row],[html_modifier]]</f>
        <v/>
      </c>
      <c r="AL2917" s="22" t="str">
        <f>IFERROR(_xlfn.XLOOKUP(Table1[[#This Row],[word]],Table57[English style name],Table57[Style type]),"")</f>
        <v>Table</v>
      </c>
      <c r="AM2917" s="20" t="s">
        <v>1121</v>
      </c>
      <c r="AN2917" s="11"/>
    </row>
    <row r="2918" spans="5:40">
      <c r="E2918" s="11"/>
      <c r="F29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8" s="13"/>
      <c r="H2918" s="13"/>
      <c r="I2918" s="12" t="str">
        <f>Table1[[#This Row],[type]]</f>
        <v>table</v>
      </c>
      <c r="J2918" s="62" t="str">
        <f>Table1[[#This Row],[Column42]]&amp;IF(Table1[[#This Row],[Column13]]="","",Table1[[#This Row],[Column13]])&amp;IF(Table1[[#This Row],[mod]]="","",Table1[[#This Row],[mod]])</f>
        <v>table--4</v>
      </c>
      <c r="K29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8" t="s">
        <v>91</v>
      </c>
      <c r="P2918" t="s">
        <v>1122</v>
      </c>
      <c r="Q29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8">
        <v>4</v>
      </c>
      <c r="U29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8" s="29"/>
      <c r="AC2918" s="25"/>
      <c r="AD2918" s="41"/>
      <c r="AE2918" s="41"/>
      <c r="AF2918" s="11" t="s">
        <v>282</v>
      </c>
      <c r="AH2918" s="1" t="str">
        <f>Table1[[#This Row],[html_tag]]&amp;Table1[[#This Row],[html_type]]&amp;Table1[[#This Row],[html_modifier]]</f>
        <v/>
      </c>
      <c r="AL2918" s="22" t="str">
        <f>IFERROR(_xlfn.XLOOKUP(Table1[[#This Row],[word]],Table57[English style name],Table57[Style type]),"")</f>
        <v>Table</v>
      </c>
      <c r="AM2918" s="20" t="s">
        <v>1122</v>
      </c>
      <c r="AN2918" s="11"/>
    </row>
    <row r="2919" spans="5:40">
      <c r="E2919" s="11"/>
      <c r="F29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9" s="13"/>
      <c r="H2919" s="13"/>
      <c r="I2919" s="12" t="str">
        <f>Table1[[#This Row],[type]]</f>
        <v>table</v>
      </c>
      <c r="J2919" s="62" t="str">
        <f>Table1[[#This Row],[Column42]]&amp;IF(Table1[[#This Row],[Column13]]="","",Table1[[#This Row],[Column13]])&amp;IF(Table1[[#This Row],[mod]]="","",Table1[[#This Row],[mod]])</f>
        <v>table--4</v>
      </c>
      <c r="K29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9" t="s">
        <v>91</v>
      </c>
      <c r="P2919" t="s">
        <v>998</v>
      </c>
      <c r="Q29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9">
        <v>4</v>
      </c>
      <c r="U29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9" s="29"/>
      <c r="AC2919" s="25"/>
      <c r="AD2919" s="41"/>
      <c r="AE2919" s="41"/>
      <c r="AF2919" s="11" t="s">
        <v>282</v>
      </c>
      <c r="AH2919" s="1" t="str">
        <f>Table1[[#This Row],[html_tag]]&amp;Table1[[#This Row],[html_type]]&amp;Table1[[#This Row],[html_modifier]]</f>
        <v/>
      </c>
      <c r="AL2919" s="22" t="str">
        <f>IFERROR(_xlfn.XLOOKUP(Table1[[#This Row],[word]],Table57[English style name],Table57[Style type]),"")</f>
        <v>Table</v>
      </c>
      <c r="AM2919" s="20" t="s">
        <v>998</v>
      </c>
      <c r="AN2919" s="11"/>
    </row>
    <row r="2920" spans="5:40">
      <c r="E2920" s="11"/>
      <c r="F29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0" s="13"/>
      <c r="H2920" s="13"/>
      <c r="I2920" s="12" t="str">
        <f>Table1[[#This Row],[type]]</f>
        <v>table</v>
      </c>
      <c r="J2920" s="62" t="str">
        <f>Table1[[#This Row],[Column42]]&amp;IF(Table1[[#This Row],[Column13]]="","",Table1[[#This Row],[Column13]])&amp;IF(Table1[[#This Row],[mod]]="","",Table1[[#This Row],[mod]])</f>
        <v>table--4</v>
      </c>
      <c r="K29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0" t="s">
        <v>91</v>
      </c>
      <c r="P2920" t="s">
        <v>999</v>
      </c>
      <c r="Q29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0">
        <v>4</v>
      </c>
      <c r="U29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0" s="29"/>
      <c r="AC2920" s="25"/>
      <c r="AD2920" s="41"/>
      <c r="AE2920" s="41"/>
      <c r="AF2920" s="11" t="s">
        <v>282</v>
      </c>
      <c r="AH2920" s="1" t="str">
        <f>Table1[[#This Row],[html_tag]]&amp;Table1[[#This Row],[html_type]]&amp;Table1[[#This Row],[html_modifier]]</f>
        <v/>
      </c>
      <c r="AL2920" s="22" t="str">
        <f>IFERROR(_xlfn.XLOOKUP(Table1[[#This Row],[word]],Table57[English style name],Table57[Style type]),"")</f>
        <v>Table</v>
      </c>
      <c r="AM2920" s="20" t="s">
        <v>999</v>
      </c>
      <c r="AN2920" s="11"/>
    </row>
    <row r="2921" spans="5:40">
      <c r="E2921" s="11"/>
      <c r="F29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1" s="13"/>
      <c r="H2921" s="13"/>
      <c r="I2921" s="12" t="str">
        <f>Table1[[#This Row],[type]]</f>
        <v>table</v>
      </c>
      <c r="J2921" s="62" t="str">
        <f>Table1[[#This Row],[Column42]]&amp;IF(Table1[[#This Row],[Column13]]="","",Table1[[#This Row],[Column13]])&amp;IF(Table1[[#This Row],[mod]]="","",Table1[[#This Row],[mod]])</f>
        <v>table--4</v>
      </c>
      <c r="K29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1" t="s">
        <v>91</v>
      </c>
      <c r="P2921" t="s">
        <v>1000</v>
      </c>
      <c r="Q29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1">
        <v>4</v>
      </c>
      <c r="U29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1" s="29"/>
      <c r="AC2921" s="25"/>
      <c r="AD2921" s="41"/>
      <c r="AE2921" s="41"/>
      <c r="AF2921" s="11" t="s">
        <v>282</v>
      </c>
      <c r="AH2921" s="1" t="str">
        <f>Table1[[#This Row],[html_tag]]&amp;Table1[[#This Row],[html_type]]&amp;Table1[[#This Row],[html_modifier]]</f>
        <v/>
      </c>
      <c r="AL2921" s="22" t="str">
        <f>IFERROR(_xlfn.XLOOKUP(Table1[[#This Row],[word]],Table57[English style name],Table57[Style type]),"")</f>
        <v>Table</v>
      </c>
      <c r="AM2921" s="20" t="s">
        <v>1000</v>
      </c>
      <c r="AN2921" s="11"/>
    </row>
    <row r="2922" spans="5:40">
      <c r="E2922" s="11"/>
      <c r="F29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2" s="13"/>
      <c r="H2922" s="13"/>
      <c r="I2922" s="12" t="str">
        <f>Table1[[#This Row],[type]]</f>
        <v>table</v>
      </c>
      <c r="J2922" s="62" t="str">
        <f>Table1[[#This Row],[Column42]]&amp;IF(Table1[[#This Row],[Column13]]="","",Table1[[#This Row],[Column13]])&amp;IF(Table1[[#This Row],[mod]]="","",Table1[[#This Row],[mod]])</f>
        <v>table--4</v>
      </c>
      <c r="K29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2" t="s">
        <v>91</v>
      </c>
      <c r="P2922" t="s">
        <v>996</v>
      </c>
      <c r="Q29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2">
        <v>4</v>
      </c>
      <c r="U29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2" s="29"/>
      <c r="AC2922" s="25"/>
      <c r="AD2922" s="41"/>
      <c r="AE2922" s="41"/>
      <c r="AF2922" s="11" t="s">
        <v>282</v>
      </c>
      <c r="AH2922" s="1" t="str">
        <f>Table1[[#This Row],[html_tag]]&amp;Table1[[#This Row],[html_type]]&amp;Table1[[#This Row],[html_modifier]]</f>
        <v/>
      </c>
      <c r="AL2922" s="22" t="str">
        <f>IFERROR(_xlfn.XLOOKUP(Table1[[#This Row],[word]],Table57[English style name],Table57[Style type]),"")</f>
        <v>Table</v>
      </c>
      <c r="AM2922" s="20" t="s">
        <v>996</v>
      </c>
      <c r="AN2922" s="11"/>
    </row>
    <row r="2923" spans="5:40">
      <c r="E2923" s="11"/>
      <c r="F29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3" s="13"/>
      <c r="H2923" s="13"/>
      <c r="I2923" s="12" t="str">
        <f>Table1[[#This Row],[type]]</f>
        <v>table</v>
      </c>
      <c r="J2923" s="62" t="str">
        <f>Table1[[#This Row],[Column42]]&amp;IF(Table1[[#This Row],[Column13]]="","",Table1[[#This Row],[Column13]])&amp;IF(Table1[[#This Row],[mod]]="","",Table1[[#This Row],[mod]])</f>
        <v>table--4</v>
      </c>
      <c r="K29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3" t="s">
        <v>91</v>
      </c>
      <c r="P2923" t="s">
        <v>997</v>
      </c>
      <c r="Q29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3">
        <v>4</v>
      </c>
      <c r="U29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3" s="29"/>
      <c r="AC2923" s="25"/>
      <c r="AD2923" s="41"/>
      <c r="AE2923" s="41"/>
      <c r="AF2923" s="11" t="s">
        <v>282</v>
      </c>
      <c r="AH2923" s="1" t="str">
        <f>Table1[[#This Row],[html_tag]]&amp;Table1[[#This Row],[html_type]]&amp;Table1[[#This Row],[html_modifier]]</f>
        <v/>
      </c>
      <c r="AL2923" s="22" t="str">
        <f>IFERROR(_xlfn.XLOOKUP(Table1[[#This Row],[word]],Table57[English style name],Table57[Style type]),"")</f>
        <v>Table</v>
      </c>
      <c r="AM2923" s="20" t="s">
        <v>997</v>
      </c>
      <c r="AN2923" s="11"/>
    </row>
    <row r="2924" spans="5:40">
      <c r="E2924" s="11"/>
      <c r="F29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4" s="13"/>
      <c r="H2924" s="13"/>
      <c r="I2924" s="12" t="str">
        <f>Table1[[#This Row],[type]]</f>
        <v>table</v>
      </c>
      <c r="J2924" s="62" t="str">
        <f>Table1[[#This Row],[Column42]]&amp;IF(Table1[[#This Row],[Column13]]="","",Table1[[#This Row],[Column13]])&amp;IF(Table1[[#This Row],[mod]]="","",Table1[[#This Row],[mod]])</f>
        <v>table--4</v>
      </c>
      <c r="K29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4" t="s">
        <v>91</v>
      </c>
      <c r="P2924" t="s">
        <v>994</v>
      </c>
      <c r="Q29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4">
        <v>4</v>
      </c>
      <c r="U29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4" s="29"/>
      <c r="AC2924" s="25"/>
      <c r="AD2924" s="41"/>
      <c r="AE2924" s="41"/>
      <c r="AF2924" s="11" t="s">
        <v>282</v>
      </c>
      <c r="AH2924" s="1" t="str">
        <f>Table1[[#This Row],[html_tag]]&amp;Table1[[#This Row],[html_type]]&amp;Table1[[#This Row],[html_modifier]]</f>
        <v/>
      </c>
      <c r="AL2924" s="22" t="str">
        <f>IFERROR(_xlfn.XLOOKUP(Table1[[#This Row],[word]],Table57[English style name],Table57[Style type]),"")</f>
        <v>Table</v>
      </c>
      <c r="AM2924" s="20" t="s">
        <v>994</v>
      </c>
      <c r="AN2924" s="11"/>
    </row>
    <row r="2925" spans="5:40">
      <c r="E2925" s="11"/>
      <c r="F29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5" s="13"/>
      <c r="H2925" s="13"/>
      <c r="I2925" s="12" t="str">
        <f>Table1[[#This Row],[type]]</f>
        <v>table</v>
      </c>
      <c r="J2925" s="62" t="str">
        <f>Table1[[#This Row],[Column42]]&amp;IF(Table1[[#This Row],[Column13]]="","",Table1[[#This Row],[Column13]])&amp;IF(Table1[[#This Row],[mod]]="","",Table1[[#This Row],[mod]])</f>
        <v>table--4</v>
      </c>
      <c r="K29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5" t="s">
        <v>91</v>
      </c>
      <c r="P2925" t="s">
        <v>995</v>
      </c>
      <c r="Q29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5">
        <v>4</v>
      </c>
      <c r="U29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5" s="29"/>
      <c r="AC2925" s="25"/>
      <c r="AD2925" s="41"/>
      <c r="AE2925" s="41"/>
      <c r="AF2925" s="11" t="s">
        <v>282</v>
      </c>
      <c r="AH2925" s="1" t="str">
        <f>Table1[[#This Row],[html_tag]]&amp;Table1[[#This Row],[html_type]]&amp;Table1[[#This Row],[html_modifier]]</f>
        <v/>
      </c>
      <c r="AL2925" s="22" t="str">
        <f>IFERROR(_xlfn.XLOOKUP(Table1[[#This Row],[word]],Table57[English style name],Table57[Style type]),"")</f>
        <v>Table</v>
      </c>
      <c r="AM2925" s="20" t="s">
        <v>995</v>
      </c>
      <c r="AN2925" s="11"/>
    </row>
    <row r="2926" spans="5:40">
      <c r="E2926" s="11"/>
      <c r="F29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6" s="13"/>
      <c r="H2926" s="13"/>
      <c r="I2926" s="12" t="str">
        <f>Table1[[#This Row],[type]]</f>
        <v>table</v>
      </c>
      <c r="J2926" s="62" t="str">
        <f>Table1[[#This Row],[Column42]]&amp;IF(Table1[[#This Row],[Column13]]="","",Table1[[#This Row],[Column13]])&amp;IF(Table1[[#This Row],[mod]]="","",Table1[[#This Row],[mod]])</f>
        <v>table--4</v>
      </c>
      <c r="K29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6" t="s">
        <v>91</v>
      </c>
      <c r="P2926" t="s">
        <v>1036</v>
      </c>
      <c r="Q29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6">
        <v>4</v>
      </c>
      <c r="U29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6" s="29"/>
      <c r="AC2926" s="25"/>
      <c r="AD2926" s="41"/>
      <c r="AE2926" s="41"/>
      <c r="AF2926" s="11" t="s">
        <v>282</v>
      </c>
      <c r="AH2926" s="1" t="str">
        <f>Table1[[#This Row],[html_tag]]&amp;Table1[[#This Row],[html_type]]&amp;Table1[[#This Row],[html_modifier]]</f>
        <v/>
      </c>
      <c r="AL2926" s="22" t="str">
        <f>IFERROR(_xlfn.XLOOKUP(Table1[[#This Row],[word]],Table57[English style name],Table57[Style type]),"")</f>
        <v>Table</v>
      </c>
      <c r="AM2926" s="20" t="s">
        <v>1036</v>
      </c>
      <c r="AN2926" s="11"/>
    </row>
    <row r="2927" spans="5:40">
      <c r="E2927" s="11"/>
      <c r="F29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7" s="13"/>
      <c r="H2927" s="13"/>
      <c r="I2927" s="12" t="str">
        <f>Table1[[#This Row],[type]]</f>
        <v>table</v>
      </c>
      <c r="J2927" s="62" t="str">
        <f>Table1[[#This Row],[Column42]]&amp;IF(Table1[[#This Row],[Column13]]="","",Table1[[#This Row],[Column13]])&amp;IF(Table1[[#This Row],[mod]]="","",Table1[[#This Row],[mod]])</f>
        <v>table--4</v>
      </c>
      <c r="K29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7" t="s">
        <v>91</v>
      </c>
      <c r="P2927" t="s">
        <v>884</v>
      </c>
      <c r="Q29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7">
        <v>4</v>
      </c>
      <c r="U29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7" s="29"/>
      <c r="AC2927" s="25"/>
      <c r="AD2927" s="41"/>
      <c r="AE2927" s="41"/>
      <c r="AF2927" s="11" t="s">
        <v>282</v>
      </c>
      <c r="AH2927" s="1" t="str">
        <f>Table1[[#This Row],[html_tag]]&amp;Table1[[#This Row],[html_type]]&amp;Table1[[#This Row],[html_modifier]]</f>
        <v/>
      </c>
      <c r="AL2927" s="22" t="str">
        <f>IFERROR(_xlfn.XLOOKUP(Table1[[#This Row],[word]],Table57[English style name],Table57[Style type]),"")</f>
        <v>Table</v>
      </c>
      <c r="AM2927" s="20" t="s">
        <v>884</v>
      </c>
      <c r="AN2927" s="11"/>
    </row>
    <row r="2928" spans="5:40">
      <c r="E2928" s="11"/>
      <c r="F29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8" s="13"/>
      <c r="H2928" s="13"/>
      <c r="I2928" s="12" t="str">
        <f>Table1[[#This Row],[type]]</f>
        <v>table</v>
      </c>
      <c r="J2928" s="62" t="str">
        <f>Table1[[#This Row],[Column42]]&amp;IF(Table1[[#This Row],[Column13]]="","",Table1[[#This Row],[Column13]])&amp;IF(Table1[[#This Row],[mod]]="","",Table1[[#This Row],[mod]])</f>
        <v>table--4</v>
      </c>
      <c r="K29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8" t="s">
        <v>91</v>
      </c>
      <c r="P2928" t="s">
        <v>889</v>
      </c>
      <c r="Q29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8">
        <v>4</v>
      </c>
      <c r="U29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8" s="29"/>
      <c r="AC2928" s="25"/>
      <c r="AD2928" s="41"/>
      <c r="AE2928" s="41"/>
      <c r="AF2928" s="11" t="s">
        <v>282</v>
      </c>
      <c r="AH2928" s="1" t="str">
        <f>Table1[[#This Row],[html_tag]]&amp;Table1[[#This Row],[html_type]]&amp;Table1[[#This Row],[html_modifier]]</f>
        <v/>
      </c>
      <c r="AL2928" s="22" t="str">
        <f>IFERROR(_xlfn.XLOOKUP(Table1[[#This Row],[word]],Table57[English style name],Table57[Style type]),"")</f>
        <v>Table</v>
      </c>
      <c r="AM2928" s="20" t="s">
        <v>889</v>
      </c>
      <c r="AN2928" s="11"/>
    </row>
    <row r="2929" spans="5:40">
      <c r="E2929" s="11"/>
      <c r="F29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9" s="13"/>
      <c r="H2929" s="13"/>
      <c r="I2929" s="12" t="str">
        <f>Table1[[#This Row],[type]]</f>
        <v>table</v>
      </c>
      <c r="J2929" s="62" t="str">
        <f>Table1[[#This Row],[Column42]]&amp;IF(Table1[[#This Row],[Column13]]="","",Table1[[#This Row],[Column13]])&amp;IF(Table1[[#This Row],[mod]]="","",Table1[[#This Row],[mod]])</f>
        <v>table--4</v>
      </c>
      <c r="K29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9" t="s">
        <v>91</v>
      </c>
      <c r="P2929" t="s">
        <v>897</v>
      </c>
      <c r="Q29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9">
        <v>4</v>
      </c>
      <c r="U29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9" s="29"/>
      <c r="AC2929" s="25"/>
      <c r="AD2929" s="41"/>
      <c r="AE2929" s="41"/>
      <c r="AF2929" s="11" t="s">
        <v>282</v>
      </c>
      <c r="AH2929" s="1" t="str">
        <f>Table1[[#This Row],[html_tag]]&amp;Table1[[#This Row],[html_type]]&amp;Table1[[#This Row],[html_modifier]]</f>
        <v/>
      </c>
      <c r="AL2929" s="22" t="str">
        <f>IFERROR(_xlfn.XLOOKUP(Table1[[#This Row],[word]],Table57[English style name],Table57[Style type]),"")</f>
        <v>Table</v>
      </c>
      <c r="AM2929" s="20" t="s">
        <v>897</v>
      </c>
      <c r="AN2929" s="11"/>
    </row>
    <row r="2930" spans="5:40">
      <c r="E2930" s="11"/>
      <c r="F29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0" s="13"/>
      <c r="H2930" s="13"/>
      <c r="I2930" s="12" t="str">
        <f>Table1[[#This Row],[type]]</f>
        <v>table</v>
      </c>
      <c r="J2930" s="62" t="str">
        <f>Table1[[#This Row],[Column42]]&amp;IF(Table1[[#This Row],[Column13]]="","",Table1[[#This Row],[Column13]])&amp;IF(Table1[[#This Row],[mod]]="","",Table1[[#This Row],[mod]])</f>
        <v>table--5</v>
      </c>
      <c r="K29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0" t="s">
        <v>91</v>
      </c>
      <c r="P2930" t="s">
        <v>1007</v>
      </c>
      <c r="Q29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0">
        <v>5</v>
      </c>
      <c r="U29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0" s="29"/>
      <c r="AC2930" s="25"/>
      <c r="AD2930" s="41"/>
      <c r="AE2930" s="41"/>
      <c r="AF2930" s="11" t="s">
        <v>282</v>
      </c>
      <c r="AH2930" s="1" t="str">
        <f>Table1[[#This Row],[html_tag]]&amp;Table1[[#This Row],[html_type]]&amp;Table1[[#This Row],[html_modifier]]</f>
        <v/>
      </c>
      <c r="AL2930" s="22" t="str">
        <f>IFERROR(_xlfn.XLOOKUP(Table1[[#This Row],[word]],Table57[English style name],Table57[Style type]),"")</f>
        <v>Table</v>
      </c>
      <c r="AM2930" s="20" t="s">
        <v>1007</v>
      </c>
      <c r="AN2930" s="11"/>
    </row>
    <row r="2931" spans="5:40">
      <c r="E2931" s="11"/>
      <c r="F29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1" s="13"/>
      <c r="H2931" s="13"/>
      <c r="I2931" s="12" t="str">
        <f>Table1[[#This Row],[type]]</f>
        <v>table</v>
      </c>
      <c r="J2931" s="62" t="str">
        <f>Table1[[#This Row],[Column42]]&amp;IF(Table1[[#This Row],[Column13]]="","",Table1[[#This Row],[Column13]])&amp;IF(Table1[[#This Row],[mod]]="","",Table1[[#This Row],[mod]])</f>
        <v>table--5</v>
      </c>
      <c r="K29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1" t="s">
        <v>91</v>
      </c>
      <c r="P2931" t="s">
        <v>1006</v>
      </c>
      <c r="Q29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1">
        <v>5</v>
      </c>
      <c r="U29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1" s="29"/>
      <c r="AC2931" s="25"/>
      <c r="AD2931" s="41"/>
      <c r="AE2931" s="41"/>
      <c r="AF2931" s="11" t="s">
        <v>282</v>
      </c>
      <c r="AH2931" s="1" t="str">
        <f>Table1[[#This Row],[html_tag]]&amp;Table1[[#This Row],[html_type]]&amp;Table1[[#This Row],[html_modifier]]</f>
        <v/>
      </c>
      <c r="AL2931" s="22" t="str">
        <f>IFERROR(_xlfn.XLOOKUP(Table1[[#This Row],[word]],Table57[English style name],Table57[Style type]),"")</f>
        <v>Table</v>
      </c>
      <c r="AM2931" s="20" t="s">
        <v>1006</v>
      </c>
      <c r="AN2931" s="11"/>
    </row>
    <row r="2932" spans="5:40">
      <c r="E2932" s="11"/>
      <c r="F29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2" s="13"/>
      <c r="H2932" s="13"/>
      <c r="I2932" s="12" t="str">
        <f>Table1[[#This Row],[type]]</f>
        <v>table</v>
      </c>
      <c r="J2932" s="62" t="str">
        <f>Table1[[#This Row],[Column42]]&amp;IF(Table1[[#This Row],[Column13]]="","",Table1[[#This Row],[Column13]])&amp;IF(Table1[[#This Row],[mod]]="","",Table1[[#This Row],[mod]])</f>
        <v>table--5</v>
      </c>
      <c r="K29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2" t="s">
        <v>91</v>
      </c>
      <c r="P2932" t="s">
        <v>1005</v>
      </c>
      <c r="Q29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2">
        <v>5</v>
      </c>
      <c r="U29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2" s="29"/>
      <c r="AC2932" s="25"/>
      <c r="AD2932" s="41"/>
      <c r="AE2932" s="41"/>
      <c r="AF2932" s="11" t="s">
        <v>282</v>
      </c>
      <c r="AH2932" s="1" t="str">
        <f>Table1[[#This Row],[html_tag]]&amp;Table1[[#This Row],[html_type]]&amp;Table1[[#This Row],[html_modifier]]</f>
        <v/>
      </c>
      <c r="AL2932" s="22" t="str">
        <f>IFERROR(_xlfn.XLOOKUP(Table1[[#This Row],[word]],Table57[English style name],Table57[Style type]),"")</f>
        <v>Table</v>
      </c>
      <c r="AM2932" s="20" t="s">
        <v>1005</v>
      </c>
      <c r="AN2932" s="11"/>
    </row>
    <row r="2933" spans="5:40">
      <c r="E2933" s="11"/>
      <c r="F29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3" s="13"/>
      <c r="H2933" s="13"/>
      <c r="I2933" s="12" t="str">
        <f>Table1[[#This Row],[type]]</f>
        <v>table</v>
      </c>
      <c r="J2933" s="62" t="str">
        <f>Table1[[#This Row],[Column42]]&amp;IF(Table1[[#This Row],[Column13]]="","",Table1[[#This Row],[Column13]])&amp;IF(Table1[[#This Row],[mod]]="","",Table1[[#This Row],[mod]])</f>
        <v>table--5</v>
      </c>
      <c r="K29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3" t="s">
        <v>91</v>
      </c>
      <c r="P2933" t="s">
        <v>1123</v>
      </c>
      <c r="Q29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3">
        <v>5</v>
      </c>
      <c r="U29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3" s="29"/>
      <c r="AC2933" s="25"/>
      <c r="AD2933" s="41"/>
      <c r="AE2933" s="41"/>
      <c r="AF2933" s="11" t="s">
        <v>282</v>
      </c>
      <c r="AH2933" s="1" t="str">
        <f>Table1[[#This Row],[html_tag]]&amp;Table1[[#This Row],[html_type]]&amp;Table1[[#This Row],[html_modifier]]</f>
        <v/>
      </c>
      <c r="AL2933" s="22" t="str">
        <f>IFERROR(_xlfn.XLOOKUP(Table1[[#This Row],[word]],Table57[English style name],Table57[Style type]),"")</f>
        <v>Table</v>
      </c>
      <c r="AM2933" s="20" t="s">
        <v>1123</v>
      </c>
      <c r="AN2933" s="11"/>
    </row>
    <row r="2934" spans="5:40">
      <c r="E2934" s="11"/>
      <c r="F29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4" s="13"/>
      <c r="H2934" s="13"/>
      <c r="I2934" s="12" t="str">
        <f>Table1[[#This Row],[type]]</f>
        <v>table</v>
      </c>
      <c r="J2934" s="62" t="str">
        <f>Table1[[#This Row],[Column42]]&amp;IF(Table1[[#This Row],[Column13]]="","",Table1[[#This Row],[Column13]])&amp;IF(Table1[[#This Row],[mod]]="","",Table1[[#This Row],[mod]])</f>
        <v>table--5</v>
      </c>
      <c r="K29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4" t="s">
        <v>91</v>
      </c>
      <c r="P2934" t="s">
        <v>1124</v>
      </c>
      <c r="Q29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4">
        <v>5</v>
      </c>
      <c r="U29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4" s="29"/>
      <c r="AC2934" s="25"/>
      <c r="AD2934" s="41"/>
      <c r="AE2934" s="41"/>
      <c r="AF2934" s="11" t="s">
        <v>282</v>
      </c>
      <c r="AH2934" s="1" t="str">
        <f>Table1[[#This Row],[html_tag]]&amp;Table1[[#This Row],[html_type]]&amp;Table1[[#This Row],[html_modifier]]</f>
        <v/>
      </c>
      <c r="AL2934" s="22" t="str">
        <f>IFERROR(_xlfn.XLOOKUP(Table1[[#This Row],[word]],Table57[English style name],Table57[Style type]),"")</f>
        <v>Table</v>
      </c>
      <c r="AM2934" s="20" t="s">
        <v>1124</v>
      </c>
      <c r="AN2934" s="11"/>
    </row>
    <row r="2935" spans="5:40">
      <c r="E2935" s="11"/>
      <c r="F29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5" s="13"/>
      <c r="H2935" s="13"/>
      <c r="I2935" s="12" t="str">
        <f>Table1[[#This Row],[type]]</f>
        <v>table</v>
      </c>
      <c r="J2935" s="62" t="str">
        <f>Table1[[#This Row],[Column42]]&amp;IF(Table1[[#This Row],[Column13]]="","",Table1[[#This Row],[Column13]])&amp;IF(Table1[[#This Row],[mod]]="","",Table1[[#This Row],[mod]])</f>
        <v>table--5</v>
      </c>
      <c r="K29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5" t="s">
        <v>91</v>
      </c>
      <c r="P2935" t="s">
        <v>1125</v>
      </c>
      <c r="Q29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5">
        <v>5</v>
      </c>
      <c r="U29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5" s="29"/>
      <c r="AC2935" s="25"/>
      <c r="AD2935" s="41"/>
      <c r="AE2935" s="41"/>
      <c r="AF2935" s="11" t="s">
        <v>282</v>
      </c>
      <c r="AH2935" s="1" t="str">
        <f>Table1[[#This Row],[html_tag]]&amp;Table1[[#This Row],[html_type]]&amp;Table1[[#This Row],[html_modifier]]</f>
        <v/>
      </c>
      <c r="AL2935" s="22" t="str">
        <f>IFERROR(_xlfn.XLOOKUP(Table1[[#This Row],[word]],Table57[English style name],Table57[Style type]),"")</f>
        <v>Table</v>
      </c>
      <c r="AM2935" s="20" t="s">
        <v>1125</v>
      </c>
      <c r="AN2935" s="11"/>
    </row>
    <row r="2936" spans="5:40">
      <c r="E2936" s="11"/>
      <c r="F29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6" s="13"/>
      <c r="H2936" s="13"/>
      <c r="I2936" s="12" t="str">
        <f>Table1[[#This Row],[type]]</f>
        <v>table</v>
      </c>
      <c r="J2936" s="62" t="str">
        <f>Table1[[#This Row],[Column42]]&amp;IF(Table1[[#This Row],[Column13]]="","",Table1[[#This Row],[Column13]])&amp;IF(Table1[[#This Row],[mod]]="","",Table1[[#This Row],[mod]])</f>
        <v>table--5</v>
      </c>
      <c r="K29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6" t="s">
        <v>91</v>
      </c>
      <c r="P2936" t="s">
        <v>1126</v>
      </c>
      <c r="Q29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6">
        <v>5</v>
      </c>
      <c r="U29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6" s="29"/>
      <c r="AC2936" s="25"/>
      <c r="AD2936" s="41"/>
      <c r="AE2936" s="41"/>
      <c r="AF2936" s="11" t="s">
        <v>282</v>
      </c>
      <c r="AH2936" s="1" t="str">
        <f>Table1[[#This Row],[html_tag]]&amp;Table1[[#This Row],[html_type]]&amp;Table1[[#This Row],[html_modifier]]</f>
        <v/>
      </c>
      <c r="AL2936" s="22" t="str">
        <f>IFERROR(_xlfn.XLOOKUP(Table1[[#This Row],[word]],Table57[English style name],Table57[Style type]),"")</f>
        <v>Table</v>
      </c>
      <c r="AM2936" s="20" t="s">
        <v>1126</v>
      </c>
      <c r="AN2936" s="11"/>
    </row>
    <row r="2937" spans="5:40">
      <c r="E2937" s="11"/>
      <c r="F29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7" s="13"/>
      <c r="H2937" s="13"/>
      <c r="I2937" s="12" t="str">
        <f>Table1[[#This Row],[type]]</f>
        <v>table</v>
      </c>
      <c r="J2937" s="62" t="str">
        <f>Table1[[#This Row],[Column42]]&amp;IF(Table1[[#This Row],[Column13]]="","",Table1[[#This Row],[Column13]])&amp;IF(Table1[[#This Row],[mod]]="","",Table1[[#This Row],[mod]])</f>
        <v>table--5</v>
      </c>
      <c r="K29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7" t="s">
        <v>91</v>
      </c>
      <c r="P2937" t="s">
        <v>1127</v>
      </c>
      <c r="Q29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7">
        <v>5</v>
      </c>
      <c r="U29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7" s="29"/>
      <c r="AC2937" s="25"/>
      <c r="AD2937" s="41"/>
      <c r="AE2937" s="41"/>
      <c r="AF2937" s="11" t="s">
        <v>282</v>
      </c>
      <c r="AH2937" s="1" t="str">
        <f>Table1[[#This Row],[html_tag]]&amp;Table1[[#This Row],[html_type]]&amp;Table1[[#This Row],[html_modifier]]</f>
        <v/>
      </c>
      <c r="AL2937" s="22" t="str">
        <f>IFERROR(_xlfn.XLOOKUP(Table1[[#This Row],[word]],Table57[English style name],Table57[Style type]),"")</f>
        <v>Table</v>
      </c>
      <c r="AM2937" s="20" t="s">
        <v>1127</v>
      </c>
      <c r="AN2937" s="11"/>
    </row>
    <row r="2938" spans="5:40">
      <c r="E2938" s="11"/>
      <c r="F29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8" s="13"/>
      <c r="H2938" s="13"/>
      <c r="I2938" s="12" t="str">
        <f>Table1[[#This Row],[type]]</f>
        <v>table</v>
      </c>
      <c r="J2938" s="62" t="str">
        <f>Table1[[#This Row],[Column42]]&amp;IF(Table1[[#This Row],[Column13]]="","",Table1[[#This Row],[Column13]])&amp;IF(Table1[[#This Row],[mod]]="","",Table1[[#This Row],[mod]])</f>
        <v>table--5</v>
      </c>
      <c r="K29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8" t="s">
        <v>91</v>
      </c>
      <c r="P2938" t="s">
        <v>1128</v>
      </c>
      <c r="Q29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8">
        <v>5</v>
      </c>
      <c r="U29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8" s="29"/>
      <c r="AC2938" s="25"/>
      <c r="AD2938" s="41"/>
      <c r="AE2938" s="41"/>
      <c r="AF2938" s="11" t="s">
        <v>282</v>
      </c>
      <c r="AH2938" s="1" t="str">
        <f>Table1[[#This Row],[html_tag]]&amp;Table1[[#This Row],[html_type]]&amp;Table1[[#This Row],[html_modifier]]</f>
        <v/>
      </c>
      <c r="AL2938" s="22" t="str">
        <f>IFERROR(_xlfn.XLOOKUP(Table1[[#This Row],[word]],Table57[English style name],Table57[Style type]),"")</f>
        <v>Table</v>
      </c>
      <c r="AM2938" s="20" t="s">
        <v>1128</v>
      </c>
      <c r="AN2938" s="11"/>
    </row>
    <row r="2939" spans="5:40">
      <c r="E2939" s="11"/>
      <c r="F29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9" s="13"/>
      <c r="H2939" s="13"/>
      <c r="I2939" s="12" t="str">
        <f>Table1[[#This Row],[type]]</f>
        <v>table</v>
      </c>
      <c r="J2939" s="62" t="str">
        <f>Table1[[#This Row],[Column42]]&amp;IF(Table1[[#This Row],[Column13]]="","",Table1[[#This Row],[Column13]])&amp;IF(Table1[[#This Row],[mod]]="","",Table1[[#This Row],[mod]])</f>
        <v>table--5</v>
      </c>
      <c r="K29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9" t="s">
        <v>91</v>
      </c>
      <c r="P2939" t="s">
        <v>1129</v>
      </c>
      <c r="Q29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9">
        <v>5</v>
      </c>
      <c r="U29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9" s="29"/>
      <c r="AC2939" s="25"/>
      <c r="AD2939" s="41"/>
      <c r="AE2939" s="41"/>
      <c r="AF2939" s="11" t="s">
        <v>282</v>
      </c>
      <c r="AH2939" s="1" t="str">
        <f>Table1[[#This Row],[html_tag]]&amp;Table1[[#This Row],[html_type]]&amp;Table1[[#This Row],[html_modifier]]</f>
        <v/>
      </c>
      <c r="AL2939" s="22" t="str">
        <f>IFERROR(_xlfn.XLOOKUP(Table1[[#This Row],[word]],Table57[English style name],Table57[Style type]),"")</f>
        <v>Table</v>
      </c>
      <c r="AM2939" s="20" t="s">
        <v>1129</v>
      </c>
      <c r="AN2939" s="11"/>
    </row>
    <row r="2940" spans="5:40">
      <c r="E2940" s="11"/>
      <c r="F29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0" s="13"/>
      <c r="H2940" s="13"/>
      <c r="I2940" s="12" t="str">
        <f>Table1[[#This Row],[type]]</f>
        <v>table</v>
      </c>
      <c r="J2940" s="62" t="str">
        <f>Table1[[#This Row],[Column42]]&amp;IF(Table1[[#This Row],[Column13]]="","",Table1[[#This Row],[Column13]])&amp;IF(Table1[[#This Row],[mod]]="","",Table1[[#This Row],[mod]])</f>
        <v>table--5</v>
      </c>
      <c r="K29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0" t="s">
        <v>91</v>
      </c>
      <c r="P2940" t="s">
        <v>1012</v>
      </c>
      <c r="Q29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0">
        <v>5</v>
      </c>
      <c r="U29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0" s="29"/>
      <c r="AC2940" s="25"/>
      <c r="AD2940" s="41"/>
      <c r="AE2940" s="41"/>
      <c r="AF2940" s="11" t="s">
        <v>282</v>
      </c>
      <c r="AH2940" s="1" t="str">
        <f>Table1[[#This Row],[html_tag]]&amp;Table1[[#This Row],[html_type]]&amp;Table1[[#This Row],[html_modifier]]</f>
        <v/>
      </c>
      <c r="AL2940" s="22" t="str">
        <f>IFERROR(_xlfn.XLOOKUP(Table1[[#This Row],[word]],Table57[English style name],Table57[Style type]),"")</f>
        <v>Table</v>
      </c>
      <c r="AM2940" s="20" t="s">
        <v>1012</v>
      </c>
      <c r="AN2940" s="11"/>
    </row>
    <row r="2941" spans="5:40">
      <c r="E2941" s="11"/>
      <c r="F29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1" s="13"/>
      <c r="H2941" s="13"/>
      <c r="I2941" s="12" t="str">
        <f>Table1[[#This Row],[type]]</f>
        <v>table</v>
      </c>
      <c r="J2941" s="62" t="str">
        <f>Table1[[#This Row],[Column42]]&amp;IF(Table1[[#This Row],[Column13]]="","",Table1[[#This Row],[Column13]])&amp;IF(Table1[[#This Row],[mod]]="","",Table1[[#This Row],[mod]])</f>
        <v>table--5</v>
      </c>
      <c r="K29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1" t="s">
        <v>91</v>
      </c>
      <c r="P2941" t="s">
        <v>1013</v>
      </c>
      <c r="Q29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1">
        <v>5</v>
      </c>
      <c r="U29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1" s="29"/>
      <c r="AC2941" s="25"/>
      <c r="AD2941" s="41"/>
      <c r="AE2941" s="41"/>
      <c r="AF2941" s="11" t="s">
        <v>282</v>
      </c>
      <c r="AH2941" s="1" t="str">
        <f>Table1[[#This Row],[html_tag]]&amp;Table1[[#This Row],[html_type]]&amp;Table1[[#This Row],[html_modifier]]</f>
        <v/>
      </c>
      <c r="AL2941" s="22" t="str">
        <f>IFERROR(_xlfn.XLOOKUP(Table1[[#This Row],[word]],Table57[English style name],Table57[Style type]),"")</f>
        <v>Table</v>
      </c>
      <c r="AM2941" s="20" t="s">
        <v>1013</v>
      </c>
      <c r="AN2941" s="11"/>
    </row>
    <row r="2942" spans="5:40">
      <c r="E2942" s="11"/>
      <c r="F29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2" s="13"/>
      <c r="H2942" s="13"/>
      <c r="I2942" s="12" t="str">
        <f>Table1[[#This Row],[type]]</f>
        <v>table</v>
      </c>
      <c r="J2942" s="62" t="str">
        <f>Table1[[#This Row],[Column42]]&amp;IF(Table1[[#This Row],[Column13]]="","",Table1[[#This Row],[Column13]])&amp;IF(Table1[[#This Row],[mod]]="","",Table1[[#This Row],[mod]])</f>
        <v>table--5</v>
      </c>
      <c r="K29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2" t="s">
        <v>91</v>
      </c>
      <c r="P2942" t="s">
        <v>1014</v>
      </c>
      <c r="Q29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2">
        <v>5</v>
      </c>
      <c r="U29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2" s="29"/>
      <c r="AC2942" s="25"/>
      <c r="AD2942" s="41"/>
      <c r="AE2942" s="41"/>
      <c r="AF2942" s="11" t="s">
        <v>282</v>
      </c>
      <c r="AH2942" s="1" t="str">
        <f>Table1[[#This Row],[html_tag]]&amp;Table1[[#This Row],[html_type]]&amp;Table1[[#This Row],[html_modifier]]</f>
        <v/>
      </c>
      <c r="AL2942" s="22" t="str">
        <f>IFERROR(_xlfn.XLOOKUP(Table1[[#This Row],[word]],Table57[English style name],Table57[Style type]),"")</f>
        <v>Table</v>
      </c>
      <c r="AM2942" s="20" t="s">
        <v>1014</v>
      </c>
      <c r="AN2942" s="11"/>
    </row>
    <row r="2943" spans="5:40">
      <c r="E2943" s="11"/>
      <c r="F29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3" s="13"/>
      <c r="H2943" s="13"/>
      <c r="I2943" s="12" t="str">
        <f>Table1[[#This Row],[type]]</f>
        <v>table</v>
      </c>
      <c r="J2943" s="62" t="str">
        <f>Table1[[#This Row],[Column42]]&amp;IF(Table1[[#This Row],[Column13]]="","",Table1[[#This Row],[Column13]])&amp;IF(Table1[[#This Row],[mod]]="","",Table1[[#This Row],[mod]])</f>
        <v>table--5</v>
      </c>
      <c r="K29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3" t="s">
        <v>91</v>
      </c>
      <c r="P2943" t="s">
        <v>1010</v>
      </c>
      <c r="Q29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3">
        <v>5</v>
      </c>
      <c r="U29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3" s="29"/>
      <c r="AC2943" s="25"/>
      <c r="AD2943" s="41"/>
      <c r="AE2943" s="41"/>
      <c r="AF2943" s="11" t="s">
        <v>282</v>
      </c>
      <c r="AH2943" s="1" t="str">
        <f>Table1[[#This Row],[html_tag]]&amp;Table1[[#This Row],[html_type]]&amp;Table1[[#This Row],[html_modifier]]</f>
        <v/>
      </c>
      <c r="AL2943" s="22" t="str">
        <f>IFERROR(_xlfn.XLOOKUP(Table1[[#This Row],[word]],Table57[English style name],Table57[Style type]),"")</f>
        <v>Table</v>
      </c>
      <c r="AM2943" s="20" t="s">
        <v>1010</v>
      </c>
      <c r="AN2943" s="11"/>
    </row>
    <row r="2944" spans="5:40">
      <c r="E2944" s="11"/>
      <c r="F29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4" s="13"/>
      <c r="H2944" s="13"/>
      <c r="I2944" s="12" t="str">
        <f>Table1[[#This Row],[type]]</f>
        <v>table</v>
      </c>
      <c r="J2944" s="62" t="str">
        <f>Table1[[#This Row],[Column42]]&amp;IF(Table1[[#This Row],[Column13]]="","",Table1[[#This Row],[Column13]])&amp;IF(Table1[[#This Row],[mod]]="","",Table1[[#This Row],[mod]])</f>
        <v>table--5</v>
      </c>
      <c r="K29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4" t="s">
        <v>91</v>
      </c>
      <c r="P2944" t="s">
        <v>1011</v>
      </c>
      <c r="Q29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4">
        <v>5</v>
      </c>
      <c r="U29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4" s="29"/>
      <c r="AC2944" s="25"/>
      <c r="AD2944" s="41"/>
      <c r="AE2944" s="41"/>
      <c r="AF2944" s="11" t="s">
        <v>282</v>
      </c>
      <c r="AH2944" s="1" t="str">
        <f>Table1[[#This Row],[html_tag]]&amp;Table1[[#This Row],[html_type]]&amp;Table1[[#This Row],[html_modifier]]</f>
        <v/>
      </c>
      <c r="AL2944" s="22" t="str">
        <f>IFERROR(_xlfn.XLOOKUP(Table1[[#This Row],[word]],Table57[English style name],Table57[Style type]),"")</f>
        <v>Table</v>
      </c>
      <c r="AM2944" s="20" t="s">
        <v>1011</v>
      </c>
      <c r="AN2944" s="11"/>
    </row>
    <row r="2945" spans="5:40">
      <c r="E2945" s="11"/>
      <c r="F29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5" s="13"/>
      <c r="H2945" s="13"/>
      <c r="I2945" s="12" t="str">
        <f>Table1[[#This Row],[type]]</f>
        <v>table</v>
      </c>
      <c r="J2945" s="62" t="str">
        <f>Table1[[#This Row],[Column42]]&amp;IF(Table1[[#This Row],[Column13]]="","",Table1[[#This Row],[Column13]])&amp;IF(Table1[[#This Row],[mod]]="","",Table1[[#This Row],[mod]])</f>
        <v>table--5</v>
      </c>
      <c r="K29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5" t="s">
        <v>91</v>
      </c>
      <c r="P2945" t="s">
        <v>1008</v>
      </c>
      <c r="Q29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5">
        <v>5</v>
      </c>
      <c r="U29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5" s="29"/>
      <c r="AC2945" s="25"/>
      <c r="AD2945" s="41"/>
      <c r="AE2945" s="41"/>
      <c r="AF2945" s="11" t="s">
        <v>282</v>
      </c>
      <c r="AH2945" s="1" t="str">
        <f>Table1[[#This Row],[html_tag]]&amp;Table1[[#This Row],[html_type]]&amp;Table1[[#This Row],[html_modifier]]</f>
        <v/>
      </c>
      <c r="AL2945" s="22" t="str">
        <f>IFERROR(_xlfn.XLOOKUP(Table1[[#This Row],[word]],Table57[English style name],Table57[Style type]),"")</f>
        <v>Table</v>
      </c>
      <c r="AM2945" s="20" t="s">
        <v>1008</v>
      </c>
      <c r="AN2945" s="11"/>
    </row>
    <row r="2946" spans="5:40">
      <c r="E2946" s="11"/>
      <c r="F29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6" s="13"/>
      <c r="H2946" s="13"/>
      <c r="I2946" s="12" t="str">
        <f>Table1[[#This Row],[type]]</f>
        <v>table</v>
      </c>
      <c r="J2946" s="62" t="str">
        <f>Table1[[#This Row],[Column42]]&amp;IF(Table1[[#This Row],[Column13]]="","",Table1[[#This Row],[Column13]])&amp;IF(Table1[[#This Row],[mod]]="","",Table1[[#This Row],[mod]])</f>
        <v>table--5</v>
      </c>
      <c r="K29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6" t="s">
        <v>91</v>
      </c>
      <c r="P2946" t="s">
        <v>1009</v>
      </c>
      <c r="Q29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6">
        <v>5</v>
      </c>
      <c r="U29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6" s="29"/>
      <c r="AC2946" s="25"/>
      <c r="AD2946" s="41"/>
      <c r="AE2946" s="41"/>
      <c r="AF2946" s="11" t="s">
        <v>282</v>
      </c>
      <c r="AH2946" s="1" t="str">
        <f>Table1[[#This Row],[html_tag]]&amp;Table1[[#This Row],[html_type]]&amp;Table1[[#This Row],[html_modifier]]</f>
        <v/>
      </c>
      <c r="AL2946" s="22" t="str">
        <f>IFERROR(_xlfn.XLOOKUP(Table1[[#This Row],[word]],Table57[English style name],Table57[Style type]),"")</f>
        <v>Table</v>
      </c>
      <c r="AM2946" s="20" t="s">
        <v>1009</v>
      </c>
      <c r="AN2946" s="11"/>
    </row>
    <row r="2947" spans="5:40">
      <c r="E2947" s="11"/>
      <c r="F29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7" s="13"/>
      <c r="H2947" s="13"/>
      <c r="I2947" s="12" t="str">
        <f>Table1[[#This Row],[type]]</f>
        <v>table</v>
      </c>
      <c r="J2947" s="62" t="str">
        <f>Table1[[#This Row],[Column42]]&amp;IF(Table1[[#This Row],[Column13]]="","",Table1[[#This Row],[Column13]])&amp;IF(Table1[[#This Row],[mod]]="","",Table1[[#This Row],[mod]])</f>
        <v>table--5</v>
      </c>
      <c r="K29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7" t="s">
        <v>91</v>
      </c>
      <c r="P2947" t="s">
        <v>1037</v>
      </c>
      <c r="Q29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7">
        <v>5</v>
      </c>
      <c r="U29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7" s="29"/>
      <c r="AC2947" s="25"/>
      <c r="AD2947" s="41"/>
      <c r="AE2947" s="41"/>
      <c r="AF2947" s="11" t="s">
        <v>282</v>
      </c>
      <c r="AH2947" s="1" t="str">
        <f>Table1[[#This Row],[html_tag]]&amp;Table1[[#This Row],[html_type]]&amp;Table1[[#This Row],[html_modifier]]</f>
        <v/>
      </c>
      <c r="AL2947" s="22" t="str">
        <f>IFERROR(_xlfn.XLOOKUP(Table1[[#This Row],[word]],Table57[English style name],Table57[Style type]),"")</f>
        <v>Table</v>
      </c>
      <c r="AM2947" s="20" t="s">
        <v>1037</v>
      </c>
      <c r="AN2947" s="11"/>
    </row>
    <row r="2948" spans="5:40">
      <c r="E2948" s="11"/>
      <c r="F29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8" s="13"/>
      <c r="H2948" s="13"/>
      <c r="I2948" s="12" t="str">
        <f>Table1[[#This Row],[type]]</f>
        <v>table</v>
      </c>
      <c r="J2948" s="62" t="str">
        <f>Table1[[#This Row],[Column42]]&amp;IF(Table1[[#This Row],[Column13]]="","",Table1[[#This Row],[Column13]])&amp;IF(Table1[[#This Row],[mod]]="","",Table1[[#This Row],[mod]])</f>
        <v>table--5</v>
      </c>
      <c r="K29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8" t="s">
        <v>91</v>
      </c>
      <c r="P2948" t="s">
        <v>885</v>
      </c>
      <c r="Q29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8">
        <v>5</v>
      </c>
      <c r="U29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8" s="29"/>
      <c r="AC2948" s="25"/>
      <c r="AD2948" s="41"/>
      <c r="AE2948" s="41"/>
      <c r="AF2948" s="11" t="s">
        <v>282</v>
      </c>
      <c r="AH2948" s="1" t="str">
        <f>Table1[[#This Row],[html_tag]]&amp;Table1[[#This Row],[html_type]]&amp;Table1[[#This Row],[html_modifier]]</f>
        <v/>
      </c>
      <c r="AL2948" s="22" t="str">
        <f>IFERROR(_xlfn.XLOOKUP(Table1[[#This Row],[word]],Table57[English style name],Table57[Style type]),"")</f>
        <v>Table</v>
      </c>
      <c r="AM2948" s="20" t="s">
        <v>885</v>
      </c>
      <c r="AN2948" s="11"/>
    </row>
    <row r="2949" spans="5:40">
      <c r="E2949" s="11"/>
      <c r="F29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9" s="13"/>
      <c r="H2949" s="13"/>
      <c r="I2949" s="12" t="str">
        <f>Table1[[#This Row],[type]]</f>
        <v>table</v>
      </c>
      <c r="J2949" s="62" t="str">
        <f>Table1[[#This Row],[Column42]]&amp;IF(Table1[[#This Row],[Column13]]="","",Table1[[#This Row],[Column13]])&amp;IF(Table1[[#This Row],[mod]]="","",Table1[[#This Row],[mod]])</f>
        <v>table--5</v>
      </c>
      <c r="K29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9" t="s">
        <v>91</v>
      </c>
      <c r="P2949" t="s">
        <v>890</v>
      </c>
      <c r="Q29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9">
        <v>5</v>
      </c>
      <c r="U29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9" s="29"/>
      <c r="AC2949" s="25"/>
      <c r="AD2949" s="41"/>
      <c r="AE2949" s="41"/>
      <c r="AF2949" s="11" t="s">
        <v>282</v>
      </c>
      <c r="AH2949" s="1" t="str">
        <f>Table1[[#This Row],[html_tag]]&amp;Table1[[#This Row],[html_type]]&amp;Table1[[#This Row],[html_modifier]]</f>
        <v/>
      </c>
      <c r="AL2949" s="22" t="str">
        <f>IFERROR(_xlfn.XLOOKUP(Table1[[#This Row],[word]],Table57[English style name],Table57[Style type]),"")</f>
        <v>Table</v>
      </c>
      <c r="AM2949" s="20" t="s">
        <v>890</v>
      </c>
      <c r="AN2949" s="11"/>
    </row>
    <row r="2950" spans="5:40">
      <c r="E2950" s="11"/>
      <c r="F29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0" s="13"/>
      <c r="H2950" s="13"/>
      <c r="I2950" s="12" t="str">
        <f>Table1[[#This Row],[type]]</f>
        <v>table</v>
      </c>
      <c r="J2950" s="62" t="str">
        <f>Table1[[#This Row],[Column42]]&amp;IF(Table1[[#This Row],[Column13]]="","",Table1[[#This Row],[Column13]])&amp;IF(Table1[[#This Row],[mod]]="","",Table1[[#This Row],[mod]])</f>
        <v>table--5</v>
      </c>
      <c r="K29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0" t="s">
        <v>91</v>
      </c>
      <c r="P2950" t="s">
        <v>898</v>
      </c>
      <c r="Q29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50">
        <v>5</v>
      </c>
      <c r="U29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0" s="29"/>
      <c r="AC2950" s="25"/>
      <c r="AD2950" s="41"/>
      <c r="AE2950" s="41"/>
      <c r="AF2950" s="11" t="s">
        <v>282</v>
      </c>
      <c r="AH2950" s="1" t="str">
        <f>Table1[[#This Row],[html_tag]]&amp;Table1[[#This Row],[html_type]]&amp;Table1[[#This Row],[html_modifier]]</f>
        <v/>
      </c>
      <c r="AL2950" s="22" t="str">
        <f>IFERROR(_xlfn.XLOOKUP(Table1[[#This Row],[word]],Table57[English style name],Table57[Style type]),"")</f>
        <v>Table</v>
      </c>
      <c r="AM2950" s="20" t="s">
        <v>898</v>
      </c>
      <c r="AN2950" s="11"/>
    </row>
    <row r="2951" spans="5:40">
      <c r="E2951" s="11"/>
      <c r="F29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1" s="13"/>
      <c r="H2951" s="13"/>
      <c r="I2951" s="12" t="str">
        <f>Table1[[#This Row],[type]]</f>
        <v>table</v>
      </c>
      <c r="J2951" s="62" t="str">
        <f>Table1[[#This Row],[Column42]]&amp;IF(Table1[[#This Row],[Column13]]="","",Table1[[#This Row],[Column13]])&amp;IF(Table1[[#This Row],[mod]]="","",Table1[[#This Row],[mod]])</f>
        <v>table--6</v>
      </c>
      <c r="K29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1" t="s">
        <v>91</v>
      </c>
      <c r="P2951" t="s">
        <v>1021</v>
      </c>
      <c r="Q29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1">
        <v>6</v>
      </c>
      <c r="U29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1" s="29"/>
      <c r="AC2951" s="25"/>
      <c r="AD2951" s="41"/>
      <c r="AE2951" s="41"/>
      <c r="AF2951" s="11" t="s">
        <v>282</v>
      </c>
      <c r="AH2951" s="1" t="str">
        <f>Table1[[#This Row],[html_tag]]&amp;Table1[[#This Row],[html_type]]&amp;Table1[[#This Row],[html_modifier]]</f>
        <v/>
      </c>
      <c r="AL2951" s="22" t="str">
        <f>IFERROR(_xlfn.XLOOKUP(Table1[[#This Row],[word]],Table57[English style name],Table57[Style type]),"")</f>
        <v>Table</v>
      </c>
      <c r="AM2951" s="20" t="s">
        <v>1021</v>
      </c>
      <c r="AN2951" s="11"/>
    </row>
    <row r="2952" spans="5:40">
      <c r="E2952" s="11"/>
      <c r="F29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2" s="13"/>
      <c r="H2952" s="13"/>
      <c r="I2952" s="12" t="str">
        <f>Table1[[#This Row],[type]]</f>
        <v>table</v>
      </c>
      <c r="J2952" s="62" t="str">
        <f>Table1[[#This Row],[Column42]]&amp;IF(Table1[[#This Row],[Column13]]="","",Table1[[#This Row],[Column13]])&amp;IF(Table1[[#This Row],[mod]]="","",Table1[[#This Row],[mod]])</f>
        <v>table--6</v>
      </c>
      <c r="K29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2" t="s">
        <v>91</v>
      </c>
      <c r="P2952" t="s">
        <v>1020</v>
      </c>
      <c r="Q29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2">
        <v>6</v>
      </c>
      <c r="U29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2" s="29"/>
      <c r="AC2952" s="25"/>
      <c r="AD2952" s="41"/>
      <c r="AE2952" s="41"/>
      <c r="AF2952" s="11" t="s">
        <v>282</v>
      </c>
      <c r="AH2952" s="1" t="str">
        <f>Table1[[#This Row],[html_tag]]&amp;Table1[[#This Row],[html_type]]&amp;Table1[[#This Row],[html_modifier]]</f>
        <v/>
      </c>
      <c r="AL2952" s="22" t="str">
        <f>IFERROR(_xlfn.XLOOKUP(Table1[[#This Row],[word]],Table57[English style name],Table57[Style type]),"")</f>
        <v>Table</v>
      </c>
      <c r="AM2952" s="20" t="s">
        <v>1020</v>
      </c>
      <c r="AN2952" s="11"/>
    </row>
    <row r="2953" spans="5:40">
      <c r="E2953" s="11"/>
      <c r="F29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3" s="13"/>
      <c r="H2953" s="13"/>
      <c r="I2953" s="12" t="str">
        <f>Table1[[#This Row],[type]]</f>
        <v>table</v>
      </c>
      <c r="J2953" s="62" t="str">
        <f>Table1[[#This Row],[Column42]]&amp;IF(Table1[[#This Row],[Column13]]="","",Table1[[#This Row],[Column13]])&amp;IF(Table1[[#This Row],[mod]]="","",Table1[[#This Row],[mod]])</f>
        <v>table--6</v>
      </c>
      <c r="K29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3" t="s">
        <v>91</v>
      </c>
      <c r="P2953" t="s">
        <v>1019</v>
      </c>
      <c r="Q29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3">
        <v>6</v>
      </c>
      <c r="U29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3" s="29"/>
      <c r="AC2953" s="25"/>
      <c r="AD2953" s="41"/>
      <c r="AE2953" s="41"/>
      <c r="AF2953" s="11" t="s">
        <v>282</v>
      </c>
      <c r="AH2953" s="1" t="str">
        <f>Table1[[#This Row],[html_tag]]&amp;Table1[[#This Row],[html_type]]&amp;Table1[[#This Row],[html_modifier]]</f>
        <v/>
      </c>
      <c r="AL2953" s="22" t="str">
        <f>IFERROR(_xlfn.XLOOKUP(Table1[[#This Row],[word]],Table57[English style name],Table57[Style type]),"")</f>
        <v>Table</v>
      </c>
      <c r="AM2953" s="20" t="s">
        <v>1019</v>
      </c>
      <c r="AN2953" s="11"/>
    </row>
    <row r="2954" spans="5:40">
      <c r="E2954" s="11"/>
      <c r="F29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4" s="13"/>
      <c r="H2954" s="13"/>
      <c r="I2954" s="12" t="str">
        <f>Table1[[#This Row],[type]]</f>
        <v>table</v>
      </c>
      <c r="J2954" s="62" t="str">
        <f>Table1[[#This Row],[Column42]]&amp;IF(Table1[[#This Row],[Column13]]="","",Table1[[#This Row],[Column13]])&amp;IF(Table1[[#This Row],[mod]]="","",Table1[[#This Row],[mod]])</f>
        <v>table--6</v>
      </c>
      <c r="K29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4" t="s">
        <v>91</v>
      </c>
      <c r="P2954" t="s">
        <v>1130</v>
      </c>
      <c r="Q29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4">
        <v>6</v>
      </c>
      <c r="U29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4" s="29"/>
      <c r="AC2954" s="25"/>
      <c r="AD2954" s="41"/>
      <c r="AE2954" s="41"/>
      <c r="AF2954" s="11" t="s">
        <v>282</v>
      </c>
      <c r="AH2954" s="1" t="str">
        <f>Table1[[#This Row],[html_tag]]&amp;Table1[[#This Row],[html_type]]&amp;Table1[[#This Row],[html_modifier]]</f>
        <v/>
      </c>
      <c r="AL2954" s="22" t="str">
        <f>IFERROR(_xlfn.XLOOKUP(Table1[[#This Row],[word]],Table57[English style name],Table57[Style type]),"")</f>
        <v>Table</v>
      </c>
      <c r="AM2954" s="20" t="s">
        <v>1130</v>
      </c>
      <c r="AN2954" s="11"/>
    </row>
    <row r="2955" spans="5:40">
      <c r="E2955" s="11"/>
      <c r="F29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5" s="13"/>
      <c r="H2955" s="13"/>
      <c r="I2955" s="12" t="str">
        <f>Table1[[#This Row],[type]]</f>
        <v>table</v>
      </c>
      <c r="J2955" s="62" t="str">
        <f>Table1[[#This Row],[Column42]]&amp;IF(Table1[[#This Row],[Column13]]="","",Table1[[#This Row],[Column13]])&amp;IF(Table1[[#This Row],[mod]]="","",Table1[[#This Row],[mod]])</f>
        <v>table--6</v>
      </c>
      <c r="K29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5" t="s">
        <v>91</v>
      </c>
      <c r="P2955" t="s">
        <v>1131</v>
      </c>
      <c r="Q29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5">
        <v>6</v>
      </c>
      <c r="U29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5" s="29"/>
      <c r="AC2955" s="25"/>
      <c r="AD2955" s="41"/>
      <c r="AE2955" s="41"/>
      <c r="AF2955" s="11" t="s">
        <v>282</v>
      </c>
      <c r="AH2955" s="1" t="str">
        <f>Table1[[#This Row],[html_tag]]&amp;Table1[[#This Row],[html_type]]&amp;Table1[[#This Row],[html_modifier]]</f>
        <v/>
      </c>
      <c r="AL2955" s="22" t="str">
        <f>IFERROR(_xlfn.XLOOKUP(Table1[[#This Row],[word]],Table57[English style name],Table57[Style type]),"")</f>
        <v>Table</v>
      </c>
      <c r="AM2955" s="20" t="s">
        <v>1131</v>
      </c>
      <c r="AN2955" s="11"/>
    </row>
    <row r="2956" spans="5:40">
      <c r="E2956" s="11"/>
      <c r="F29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6" s="13"/>
      <c r="H2956" s="13"/>
      <c r="I2956" s="12" t="str">
        <f>Table1[[#This Row],[type]]</f>
        <v>table</v>
      </c>
      <c r="J2956" s="62" t="str">
        <f>Table1[[#This Row],[Column42]]&amp;IF(Table1[[#This Row],[Column13]]="","",Table1[[#This Row],[Column13]])&amp;IF(Table1[[#This Row],[mod]]="","",Table1[[#This Row],[mod]])</f>
        <v>table--6</v>
      </c>
      <c r="K29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6" t="s">
        <v>91</v>
      </c>
      <c r="P2956" t="s">
        <v>1132</v>
      </c>
      <c r="Q29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6">
        <v>6</v>
      </c>
      <c r="U29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6" s="29"/>
      <c r="AC2956" s="25"/>
      <c r="AD2956" s="41"/>
      <c r="AE2956" s="41"/>
      <c r="AF2956" s="11" t="s">
        <v>282</v>
      </c>
      <c r="AH2956" s="1" t="str">
        <f>Table1[[#This Row],[html_tag]]&amp;Table1[[#This Row],[html_type]]&amp;Table1[[#This Row],[html_modifier]]</f>
        <v/>
      </c>
      <c r="AL2956" s="22" t="str">
        <f>IFERROR(_xlfn.XLOOKUP(Table1[[#This Row],[word]],Table57[English style name],Table57[Style type]),"")</f>
        <v>Table</v>
      </c>
      <c r="AM2956" s="20" t="s">
        <v>1132</v>
      </c>
      <c r="AN2956" s="11"/>
    </row>
    <row r="2957" spans="5:40">
      <c r="E2957" s="11"/>
      <c r="F29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7" s="13"/>
      <c r="H2957" s="13"/>
      <c r="I2957" s="12" t="str">
        <f>Table1[[#This Row],[type]]</f>
        <v>table</v>
      </c>
      <c r="J2957" s="62" t="str">
        <f>Table1[[#This Row],[Column42]]&amp;IF(Table1[[#This Row],[Column13]]="","",Table1[[#This Row],[Column13]])&amp;IF(Table1[[#This Row],[mod]]="","",Table1[[#This Row],[mod]])</f>
        <v>table--6</v>
      </c>
      <c r="K29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7" t="s">
        <v>91</v>
      </c>
      <c r="P2957" t="s">
        <v>1133</v>
      </c>
      <c r="Q29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7">
        <v>6</v>
      </c>
      <c r="U29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7" s="29"/>
      <c r="AC2957" s="25"/>
      <c r="AD2957" s="41"/>
      <c r="AE2957" s="41"/>
      <c r="AF2957" s="11" t="s">
        <v>282</v>
      </c>
      <c r="AH2957" s="1" t="str">
        <f>Table1[[#This Row],[html_tag]]&amp;Table1[[#This Row],[html_type]]&amp;Table1[[#This Row],[html_modifier]]</f>
        <v/>
      </c>
      <c r="AL2957" s="22" t="str">
        <f>IFERROR(_xlfn.XLOOKUP(Table1[[#This Row],[word]],Table57[English style name],Table57[Style type]),"")</f>
        <v>Table</v>
      </c>
      <c r="AM2957" s="20" t="s">
        <v>1133</v>
      </c>
      <c r="AN2957" s="11"/>
    </row>
    <row r="2958" spans="5:40">
      <c r="E2958" s="11"/>
      <c r="F29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8" s="13"/>
      <c r="H2958" s="13"/>
      <c r="I2958" s="12" t="str">
        <f>Table1[[#This Row],[type]]</f>
        <v>table</v>
      </c>
      <c r="J2958" s="62" t="str">
        <f>Table1[[#This Row],[Column42]]&amp;IF(Table1[[#This Row],[Column13]]="","",Table1[[#This Row],[Column13]])&amp;IF(Table1[[#This Row],[mod]]="","",Table1[[#This Row],[mod]])</f>
        <v>table--6</v>
      </c>
      <c r="K29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8" t="s">
        <v>91</v>
      </c>
      <c r="P2958" t="s">
        <v>1134</v>
      </c>
      <c r="Q29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8">
        <v>6</v>
      </c>
      <c r="U29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8" s="29"/>
      <c r="AC2958" s="25"/>
      <c r="AD2958" s="41"/>
      <c r="AE2958" s="41"/>
      <c r="AF2958" s="11" t="s">
        <v>282</v>
      </c>
      <c r="AH2958" s="1" t="str">
        <f>Table1[[#This Row],[html_tag]]&amp;Table1[[#This Row],[html_type]]&amp;Table1[[#This Row],[html_modifier]]</f>
        <v/>
      </c>
      <c r="AL2958" s="22" t="str">
        <f>IFERROR(_xlfn.XLOOKUP(Table1[[#This Row],[word]],Table57[English style name],Table57[Style type]),"")</f>
        <v>Table</v>
      </c>
      <c r="AM2958" s="20" t="s">
        <v>1134</v>
      </c>
      <c r="AN2958" s="11"/>
    </row>
    <row r="2959" spans="5:40">
      <c r="E2959" s="11"/>
      <c r="F29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9" s="13"/>
      <c r="H2959" s="13"/>
      <c r="I2959" s="12" t="str">
        <f>Table1[[#This Row],[type]]</f>
        <v>table</v>
      </c>
      <c r="J2959" s="62" t="str">
        <f>Table1[[#This Row],[Column42]]&amp;IF(Table1[[#This Row],[Column13]]="","",Table1[[#This Row],[Column13]])&amp;IF(Table1[[#This Row],[mod]]="","",Table1[[#This Row],[mod]])</f>
        <v>table--6</v>
      </c>
      <c r="K29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9" t="s">
        <v>91</v>
      </c>
      <c r="P2959" t="s">
        <v>1135</v>
      </c>
      <c r="Q29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9">
        <v>6</v>
      </c>
      <c r="U29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9" s="29"/>
      <c r="AC2959" s="25"/>
      <c r="AD2959" s="41"/>
      <c r="AE2959" s="41"/>
      <c r="AF2959" s="11" t="s">
        <v>282</v>
      </c>
      <c r="AH2959" s="1" t="str">
        <f>Table1[[#This Row],[html_tag]]&amp;Table1[[#This Row],[html_type]]&amp;Table1[[#This Row],[html_modifier]]</f>
        <v/>
      </c>
      <c r="AL2959" s="22" t="str">
        <f>IFERROR(_xlfn.XLOOKUP(Table1[[#This Row],[word]],Table57[English style name],Table57[Style type]),"")</f>
        <v>Table</v>
      </c>
      <c r="AM2959" s="20" t="s">
        <v>1135</v>
      </c>
      <c r="AN2959" s="11"/>
    </row>
    <row r="2960" spans="5:40">
      <c r="E2960" s="11"/>
      <c r="F29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0" s="13"/>
      <c r="H2960" s="13"/>
      <c r="I2960" s="12" t="str">
        <f>Table1[[#This Row],[type]]</f>
        <v>table</v>
      </c>
      <c r="J2960" s="62" t="str">
        <f>Table1[[#This Row],[Column42]]&amp;IF(Table1[[#This Row],[Column13]]="","",Table1[[#This Row],[Column13]])&amp;IF(Table1[[#This Row],[mod]]="","",Table1[[#This Row],[mod]])</f>
        <v>table--6</v>
      </c>
      <c r="K29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0" t="s">
        <v>91</v>
      </c>
      <c r="P2960" t="s">
        <v>1136</v>
      </c>
      <c r="Q29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0">
        <v>6</v>
      </c>
      <c r="U29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0" s="29"/>
      <c r="AC2960" s="25"/>
      <c r="AD2960" s="41"/>
      <c r="AE2960" s="41"/>
      <c r="AF2960" s="11" t="s">
        <v>282</v>
      </c>
      <c r="AH2960" s="1" t="str">
        <f>Table1[[#This Row],[html_tag]]&amp;Table1[[#This Row],[html_type]]&amp;Table1[[#This Row],[html_modifier]]</f>
        <v/>
      </c>
      <c r="AL2960" s="22" t="str">
        <f>IFERROR(_xlfn.XLOOKUP(Table1[[#This Row],[word]],Table57[English style name],Table57[Style type]),"")</f>
        <v>Table</v>
      </c>
      <c r="AM2960" s="20" t="s">
        <v>1136</v>
      </c>
      <c r="AN2960" s="11"/>
    </row>
    <row r="2961" spans="5:44">
      <c r="E2961" s="11"/>
      <c r="F29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1" s="13"/>
      <c r="H2961" s="13"/>
      <c r="I2961" s="12" t="str">
        <f>Table1[[#This Row],[type]]</f>
        <v>table</v>
      </c>
      <c r="J2961" s="62" t="str">
        <f>Table1[[#This Row],[Column42]]&amp;IF(Table1[[#This Row],[Column13]]="","",Table1[[#This Row],[Column13]])&amp;IF(Table1[[#This Row],[mod]]="","",Table1[[#This Row],[mod]])</f>
        <v>table--6</v>
      </c>
      <c r="K29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1" t="s">
        <v>91</v>
      </c>
      <c r="P2961" t="s">
        <v>1026</v>
      </c>
      <c r="Q29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1">
        <v>6</v>
      </c>
      <c r="U29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1" s="29"/>
      <c r="AC2961" s="25"/>
      <c r="AD2961" s="41"/>
      <c r="AE2961" s="41"/>
      <c r="AF2961" s="11" t="s">
        <v>282</v>
      </c>
      <c r="AH2961" s="1" t="str">
        <f>Table1[[#This Row],[html_tag]]&amp;Table1[[#This Row],[html_type]]&amp;Table1[[#This Row],[html_modifier]]</f>
        <v/>
      </c>
      <c r="AL2961" s="22" t="str">
        <f>IFERROR(_xlfn.XLOOKUP(Table1[[#This Row],[word]],Table57[English style name],Table57[Style type]),"")</f>
        <v>Table</v>
      </c>
      <c r="AM2961" s="20" t="s">
        <v>1026</v>
      </c>
      <c r="AN2961" s="11"/>
    </row>
    <row r="2962" spans="5:44">
      <c r="E2962" s="11"/>
      <c r="F29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2" s="13"/>
      <c r="H2962" s="13"/>
      <c r="I2962" s="12" t="str">
        <f>Table1[[#This Row],[type]]</f>
        <v>table</v>
      </c>
      <c r="J2962" s="62" t="str">
        <f>Table1[[#This Row],[Column42]]&amp;IF(Table1[[#This Row],[Column13]]="","",Table1[[#This Row],[Column13]])&amp;IF(Table1[[#This Row],[mod]]="","",Table1[[#This Row],[mod]])</f>
        <v>table--6</v>
      </c>
      <c r="K29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2" t="s">
        <v>91</v>
      </c>
      <c r="P2962" t="s">
        <v>1027</v>
      </c>
      <c r="Q29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2">
        <v>6</v>
      </c>
      <c r="U29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2" s="29"/>
      <c r="AC2962" s="25"/>
      <c r="AD2962" s="41"/>
      <c r="AE2962" s="41"/>
      <c r="AF2962" s="11" t="s">
        <v>282</v>
      </c>
      <c r="AH2962" s="1" t="str">
        <f>Table1[[#This Row],[html_tag]]&amp;Table1[[#This Row],[html_type]]&amp;Table1[[#This Row],[html_modifier]]</f>
        <v/>
      </c>
      <c r="AL2962" s="22" t="str">
        <f>IFERROR(_xlfn.XLOOKUP(Table1[[#This Row],[word]],Table57[English style name],Table57[Style type]),"")</f>
        <v>Table</v>
      </c>
      <c r="AM2962" s="20" t="s">
        <v>1027</v>
      </c>
      <c r="AN2962" s="11"/>
    </row>
    <row r="2963" spans="5:44">
      <c r="E2963" s="11"/>
      <c r="F29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3" s="13"/>
      <c r="H2963" s="13"/>
      <c r="I2963" s="12" t="str">
        <f>Table1[[#This Row],[type]]</f>
        <v>table</v>
      </c>
      <c r="J2963" s="62" t="str">
        <f>Table1[[#This Row],[Column42]]&amp;IF(Table1[[#This Row],[Column13]]="","",Table1[[#This Row],[Column13]])&amp;IF(Table1[[#This Row],[mod]]="","",Table1[[#This Row],[mod]])</f>
        <v>table--6</v>
      </c>
      <c r="K29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3" t="s">
        <v>91</v>
      </c>
      <c r="P2963" t="s">
        <v>1028</v>
      </c>
      <c r="Q29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3">
        <v>6</v>
      </c>
      <c r="U29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3" s="29"/>
      <c r="AC2963" s="25"/>
      <c r="AD2963" s="41"/>
      <c r="AE2963" s="41"/>
      <c r="AF2963" s="11" t="s">
        <v>282</v>
      </c>
      <c r="AH2963" s="1" t="str">
        <f>Table1[[#This Row],[html_tag]]&amp;Table1[[#This Row],[html_type]]&amp;Table1[[#This Row],[html_modifier]]</f>
        <v/>
      </c>
      <c r="AL2963" s="22" t="str">
        <f>IFERROR(_xlfn.XLOOKUP(Table1[[#This Row],[word]],Table57[English style name],Table57[Style type]),"")</f>
        <v>Table</v>
      </c>
      <c r="AM2963" s="20" t="s">
        <v>1028</v>
      </c>
      <c r="AN2963" s="11"/>
    </row>
    <row r="2964" spans="5:44">
      <c r="E2964" s="11"/>
      <c r="F29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4" s="13"/>
      <c r="H2964" s="13"/>
      <c r="I2964" s="12" t="str">
        <f>Table1[[#This Row],[type]]</f>
        <v>table</v>
      </c>
      <c r="J2964" s="62" t="str">
        <f>Table1[[#This Row],[Column42]]&amp;IF(Table1[[#This Row],[Column13]]="","",Table1[[#This Row],[Column13]])&amp;IF(Table1[[#This Row],[mod]]="","",Table1[[#This Row],[mod]])</f>
        <v>table--6</v>
      </c>
      <c r="K29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4" t="s">
        <v>91</v>
      </c>
      <c r="P2964" t="s">
        <v>1024</v>
      </c>
      <c r="Q29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4">
        <v>6</v>
      </c>
      <c r="U29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4" s="29"/>
      <c r="AC2964" s="25"/>
      <c r="AD2964" s="41"/>
      <c r="AE2964" s="41"/>
      <c r="AF2964" s="11" t="s">
        <v>282</v>
      </c>
      <c r="AH2964" s="1" t="str">
        <f>Table1[[#This Row],[html_tag]]&amp;Table1[[#This Row],[html_type]]&amp;Table1[[#This Row],[html_modifier]]</f>
        <v/>
      </c>
      <c r="AL2964" s="22" t="str">
        <f>IFERROR(_xlfn.XLOOKUP(Table1[[#This Row],[word]],Table57[English style name],Table57[Style type]),"")</f>
        <v>Table</v>
      </c>
      <c r="AM2964" s="20" t="s">
        <v>1024</v>
      </c>
      <c r="AN2964" s="11"/>
    </row>
    <row r="2965" spans="5:44">
      <c r="E2965" s="11"/>
      <c r="F29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5" s="13"/>
      <c r="H2965" s="13"/>
      <c r="I2965" s="12" t="str">
        <f>Table1[[#This Row],[type]]</f>
        <v>table</v>
      </c>
      <c r="J2965" s="62" t="str">
        <f>Table1[[#This Row],[Column42]]&amp;IF(Table1[[#This Row],[Column13]]="","",Table1[[#This Row],[Column13]])&amp;IF(Table1[[#This Row],[mod]]="","",Table1[[#This Row],[mod]])</f>
        <v>table--6</v>
      </c>
      <c r="K29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5" t="s">
        <v>91</v>
      </c>
      <c r="P2965" t="s">
        <v>1025</v>
      </c>
      <c r="Q29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5">
        <v>6</v>
      </c>
      <c r="U29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5" s="29"/>
      <c r="AC2965" s="25"/>
      <c r="AD2965" s="41"/>
      <c r="AE2965" s="41"/>
      <c r="AF2965" s="11" t="s">
        <v>282</v>
      </c>
      <c r="AH2965" s="1" t="str">
        <f>Table1[[#This Row],[html_tag]]&amp;Table1[[#This Row],[html_type]]&amp;Table1[[#This Row],[html_modifier]]</f>
        <v/>
      </c>
      <c r="AL2965" s="22" t="str">
        <f>IFERROR(_xlfn.XLOOKUP(Table1[[#This Row],[word]],Table57[English style name],Table57[Style type]),"")</f>
        <v>Table</v>
      </c>
      <c r="AM2965" s="20" t="s">
        <v>1025</v>
      </c>
      <c r="AN2965" s="11"/>
    </row>
    <row r="2966" spans="5:44">
      <c r="E2966" s="11"/>
      <c r="F29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6" s="13"/>
      <c r="H2966" s="13"/>
      <c r="I2966" s="12" t="str">
        <f>Table1[[#This Row],[type]]</f>
        <v>table</v>
      </c>
      <c r="J2966" s="62" t="str">
        <f>Table1[[#This Row],[Column42]]&amp;IF(Table1[[#This Row],[Column13]]="","",Table1[[#This Row],[Column13]])&amp;IF(Table1[[#This Row],[mod]]="","",Table1[[#This Row],[mod]])</f>
        <v>table--6</v>
      </c>
      <c r="K29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6" t="s">
        <v>91</v>
      </c>
      <c r="P2966" t="s">
        <v>1022</v>
      </c>
      <c r="Q29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6">
        <v>6</v>
      </c>
      <c r="U29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6" s="29"/>
      <c r="AC2966" s="25"/>
      <c r="AD2966" s="41"/>
      <c r="AE2966" s="41"/>
      <c r="AF2966" s="11" t="s">
        <v>282</v>
      </c>
      <c r="AH2966" s="1" t="str">
        <f>Table1[[#This Row],[html_tag]]&amp;Table1[[#This Row],[html_type]]&amp;Table1[[#This Row],[html_modifier]]</f>
        <v/>
      </c>
      <c r="AL2966" s="22" t="str">
        <f>IFERROR(_xlfn.XLOOKUP(Table1[[#This Row],[word]],Table57[English style name],Table57[Style type]),"")</f>
        <v>Table</v>
      </c>
      <c r="AM2966" s="20" t="s">
        <v>1022</v>
      </c>
      <c r="AN2966" s="11"/>
    </row>
    <row r="2967" spans="5:44">
      <c r="E2967" s="11"/>
      <c r="F29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7" s="13"/>
      <c r="H2967" s="13"/>
      <c r="I2967" s="12" t="str">
        <f>Table1[[#This Row],[type]]</f>
        <v>table</v>
      </c>
      <c r="J2967" s="62" t="str">
        <f>Table1[[#This Row],[Column42]]&amp;IF(Table1[[#This Row],[Column13]]="","",Table1[[#This Row],[Column13]])&amp;IF(Table1[[#This Row],[mod]]="","",Table1[[#This Row],[mod]])</f>
        <v>table--6</v>
      </c>
      <c r="K29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7" t="s">
        <v>91</v>
      </c>
      <c r="P2967" t="s">
        <v>1023</v>
      </c>
      <c r="Q29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7">
        <v>6</v>
      </c>
      <c r="U29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7" s="29"/>
      <c r="AC2967" s="25"/>
      <c r="AD2967" s="41"/>
      <c r="AE2967" s="41"/>
      <c r="AF2967" s="11" t="s">
        <v>282</v>
      </c>
      <c r="AH2967" s="1" t="str">
        <f>Table1[[#This Row],[html_tag]]&amp;Table1[[#This Row],[html_type]]&amp;Table1[[#This Row],[html_modifier]]</f>
        <v/>
      </c>
      <c r="AL2967" s="22" t="str">
        <f>IFERROR(_xlfn.XLOOKUP(Table1[[#This Row],[word]],Table57[English style name],Table57[Style type]),"")</f>
        <v>Table</v>
      </c>
      <c r="AM2967" s="20" t="s">
        <v>1023</v>
      </c>
      <c r="AN2967" s="11"/>
    </row>
    <row r="2968" spans="5:44">
      <c r="E2968" s="11"/>
      <c r="F29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8" s="13"/>
      <c r="H2968" s="13"/>
      <c r="I2968" s="12" t="str">
        <f>Table1[[#This Row],[type]]</f>
        <v>table</v>
      </c>
      <c r="J2968" s="62" t="str">
        <f>Table1[[#This Row],[Column42]]&amp;IF(Table1[[#This Row],[Column13]]="","",Table1[[#This Row],[Column13]])&amp;IF(Table1[[#This Row],[mod]]="","",Table1[[#This Row],[mod]])</f>
        <v>table--6</v>
      </c>
      <c r="K29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8" t="s">
        <v>91</v>
      </c>
      <c r="P2968" t="s">
        <v>891</v>
      </c>
      <c r="Q29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8">
        <v>6</v>
      </c>
      <c r="U29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8" s="29"/>
      <c r="AC2968" s="25"/>
      <c r="AD2968" s="41"/>
      <c r="AE2968" s="41"/>
      <c r="AF2968" s="11" t="s">
        <v>282</v>
      </c>
      <c r="AH2968" s="1" t="str">
        <f>Table1[[#This Row],[html_tag]]&amp;Table1[[#This Row],[html_type]]&amp;Table1[[#This Row],[html_modifier]]</f>
        <v/>
      </c>
      <c r="AL2968" s="22" t="str">
        <f>IFERROR(_xlfn.XLOOKUP(Table1[[#This Row],[word]],Table57[English style name],Table57[Style type]),"")</f>
        <v>Table</v>
      </c>
      <c r="AM2968" s="20" t="s">
        <v>891</v>
      </c>
      <c r="AN2968" s="11"/>
    </row>
    <row r="2969" spans="5:44">
      <c r="E2969" s="11"/>
      <c r="F29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9" s="13"/>
      <c r="H2969" s="13"/>
      <c r="I2969" s="12" t="str">
        <f>Table1[[#This Row],[type]]</f>
        <v>table</v>
      </c>
      <c r="J2969" s="62" t="str">
        <f>Table1[[#This Row],[Column42]]&amp;IF(Table1[[#This Row],[Column13]]="","",Table1[[#This Row],[Column13]])&amp;IF(Table1[[#This Row],[mod]]="","",Table1[[#This Row],[mod]])</f>
        <v>table--6</v>
      </c>
      <c r="K29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9" t="s">
        <v>91</v>
      </c>
      <c r="P2969" t="s">
        <v>899</v>
      </c>
      <c r="Q29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9">
        <v>6</v>
      </c>
      <c r="U29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9" s="29"/>
      <c r="AC2969" s="25"/>
      <c r="AD2969" s="41"/>
      <c r="AE2969" s="41"/>
      <c r="AF2969" s="11" t="s">
        <v>282</v>
      </c>
      <c r="AH2969" s="1" t="str">
        <f>Table1[[#This Row],[html_tag]]&amp;Table1[[#This Row],[html_type]]&amp;Table1[[#This Row],[html_modifier]]</f>
        <v/>
      </c>
      <c r="AL2969" s="22" t="str">
        <f>IFERROR(_xlfn.XLOOKUP(Table1[[#This Row],[word]],Table57[English style name],Table57[Style type]),"")</f>
        <v>Table</v>
      </c>
      <c r="AM2969" s="20" t="s">
        <v>899</v>
      </c>
      <c r="AN2969" s="11"/>
    </row>
    <row r="2970" spans="5:44">
      <c r="E2970" s="11"/>
      <c r="F29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0" s="13"/>
      <c r="H2970" s="13"/>
      <c r="I2970" s="12" t="str">
        <f>Table1[[#This Row],[type]]</f>
        <v>table</v>
      </c>
      <c r="J2970" s="62" t="str">
        <f>Table1[[#This Row],[Column42]]&amp;IF(Table1[[#This Row],[Column13]]="","",Table1[[#This Row],[Column13]])&amp;IF(Table1[[#This Row],[mod]]="","",Table1[[#This Row],[mod]])</f>
        <v>table--7</v>
      </c>
      <c r="K29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0" t="s">
        <v>91</v>
      </c>
      <c r="P2970" t="s">
        <v>892</v>
      </c>
      <c r="Q29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S2970">
        <v>7</v>
      </c>
      <c r="U29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70" s="29"/>
      <c r="AC2970" s="25"/>
      <c r="AD2970" s="41"/>
      <c r="AE2970" s="41"/>
      <c r="AF2970" s="11" t="s">
        <v>282</v>
      </c>
      <c r="AH2970" s="1" t="str">
        <f>Table1[[#This Row],[html_tag]]&amp;Table1[[#This Row],[html_type]]&amp;Table1[[#This Row],[html_modifier]]</f>
        <v/>
      </c>
      <c r="AL2970" s="22" t="str">
        <f>IFERROR(_xlfn.XLOOKUP(Table1[[#This Row],[word]],Table57[English style name],Table57[Style type]),"")</f>
        <v>Table</v>
      </c>
      <c r="AM2970" s="20" t="s">
        <v>892</v>
      </c>
      <c r="AN2970" s="11"/>
    </row>
    <row r="2971" spans="5:44">
      <c r="E2971" s="11"/>
      <c r="F29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1" s="13"/>
      <c r="H2971" s="13"/>
      <c r="I2971" s="12" t="str">
        <f>Table1[[#This Row],[type]]</f>
        <v>table</v>
      </c>
      <c r="J2971" s="62" t="str">
        <f>Table1[[#This Row],[Column42]]&amp;IF(Table1[[#This Row],[Column13]]="","",Table1[[#This Row],[Column13]])&amp;IF(Table1[[#This Row],[mod]]="","",Table1[[#This Row],[mod]])</f>
        <v>table--7</v>
      </c>
      <c r="K29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1" t="s">
        <v>91</v>
      </c>
      <c r="P2971" t="s">
        <v>900</v>
      </c>
      <c r="Q29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S2971">
        <v>7</v>
      </c>
      <c r="U29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71" s="29"/>
      <c r="AC2971" s="25"/>
      <c r="AD2971" s="41"/>
      <c r="AE2971" s="41"/>
      <c r="AF2971" s="11" t="s">
        <v>282</v>
      </c>
      <c r="AH2971" s="1" t="str">
        <f>Table1[[#This Row],[html_tag]]&amp;Table1[[#This Row],[html_type]]&amp;Table1[[#This Row],[html_modifier]]</f>
        <v/>
      </c>
      <c r="AL2971" s="22" t="str">
        <f>IFERROR(_xlfn.XLOOKUP(Table1[[#This Row],[word]],Table57[English style name],Table57[Style type]),"")</f>
        <v>Table</v>
      </c>
      <c r="AM2971" s="20" t="s">
        <v>900</v>
      </c>
      <c r="AN2971" s="11"/>
    </row>
    <row r="2972" spans="5:44">
      <c r="E2972" s="11"/>
      <c r="F29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2" s="13"/>
      <c r="H2972" s="13"/>
      <c r="I2972" s="12" t="str">
        <f>Table1[[#This Row],[type]]</f>
        <v>table</v>
      </c>
      <c r="J2972" s="62" t="str">
        <f>Table1[[#This Row],[Column42]]&amp;IF(Table1[[#This Row],[Column13]]="","",Table1[[#This Row],[Column13]])&amp;IF(Table1[[#This Row],[mod]]="","",Table1[[#This Row],[mod]])</f>
        <v>table--8</v>
      </c>
      <c r="K29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2" t="s">
        <v>91</v>
      </c>
      <c r="P2972" t="s">
        <v>893</v>
      </c>
      <c r="Q29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S2972">
        <v>8</v>
      </c>
      <c r="U29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72" s="29"/>
      <c r="AC2972" s="25"/>
      <c r="AD2972" s="41"/>
      <c r="AE2972" s="41"/>
      <c r="AF2972" s="11" t="s">
        <v>282</v>
      </c>
      <c r="AH2972" s="1" t="str">
        <f>Table1[[#This Row],[html_tag]]&amp;Table1[[#This Row],[html_type]]&amp;Table1[[#This Row],[html_modifier]]</f>
        <v/>
      </c>
      <c r="AL2972" s="22" t="str">
        <f>IFERROR(_xlfn.XLOOKUP(Table1[[#This Row],[word]],Table57[English style name],Table57[Style type]),"")</f>
        <v>Table</v>
      </c>
      <c r="AM2972" s="20" t="s">
        <v>893</v>
      </c>
      <c r="AN2972" s="11"/>
    </row>
    <row r="2973" spans="5:44">
      <c r="E2973" s="11"/>
      <c r="F29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3" s="13"/>
      <c r="H2973" s="13"/>
      <c r="I2973" s="12" t="str">
        <f>Table1[[#This Row],[type]]</f>
        <v>table</v>
      </c>
      <c r="J2973" s="62" t="str">
        <f>Table1[[#This Row],[Column42]]&amp;IF(Table1[[#This Row],[Column13]]="","",Table1[[#This Row],[Column13]])&amp;IF(Table1[[#This Row],[mod]]="","",Table1[[#This Row],[mod]])</f>
        <v>table--8</v>
      </c>
      <c r="K29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3" t="s">
        <v>91</v>
      </c>
      <c r="P2973" t="s">
        <v>901</v>
      </c>
      <c r="Q29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S2973">
        <v>8</v>
      </c>
      <c r="U29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73" s="29"/>
      <c r="AC2973" s="25"/>
      <c r="AD2973" s="41"/>
      <c r="AE2973" s="41"/>
      <c r="AF2973" s="11" t="s">
        <v>282</v>
      </c>
      <c r="AH2973" s="1" t="str">
        <f>Table1[[#This Row],[html_tag]]&amp;Table1[[#This Row],[html_type]]&amp;Table1[[#This Row],[html_modifier]]</f>
        <v/>
      </c>
      <c r="AL2973" s="22" t="str">
        <f>IFERROR(_xlfn.XLOOKUP(Table1[[#This Row],[word]],Table57[English style name],Table57[Style type]),"")</f>
        <v>Table</v>
      </c>
      <c r="AM2973" s="20" t="s">
        <v>901</v>
      </c>
      <c r="AN2973" s="11"/>
    </row>
    <row r="2974" spans="5:44">
      <c r="E2974" s="11"/>
      <c r="F29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74" s="13" t="s">
        <v>337</v>
      </c>
      <c r="H2974" s="13" t="s">
        <v>2987</v>
      </c>
      <c r="I2974" s="12" t="str">
        <f>Table1[[#This Row],[type]]</f>
        <v>table</v>
      </c>
      <c r="J2974" s="62" t="str">
        <f>Table1[[#This Row],[Column42]]&amp;IF(Table1[[#This Row],[Column13]]="","",Table1[[#This Row],[Column13]])&amp;IF(Table1[[#This Row],[mod]]="","",Table1[[#This Row],[mod]])</f>
        <v>table--base</v>
      </c>
      <c r="K29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4" t="s">
        <v>91</v>
      </c>
      <c r="P2974" s="6" t="s">
        <v>2734</v>
      </c>
      <c r="Q29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974" t="s">
        <v>338</v>
      </c>
      <c r="AB2974" s="29"/>
      <c r="AC2974" s="25"/>
      <c r="AD2974" s="41"/>
      <c r="AE2974" s="41"/>
      <c r="AF2974" s="11"/>
      <c r="AH2974" s="1" t="str">
        <f>Table1[[#This Row],[html_tag]]&amp;Table1[[#This Row],[html_type]]&amp;Table1[[#This Row],[html_modifier]]</f>
        <v/>
      </c>
      <c r="AL2974" s="22" t="str">
        <f>IFERROR(_xlfn.XLOOKUP(Table1[[#This Row],[word]],Table57[English style name],Table57[Style type]),"")</f>
        <v/>
      </c>
      <c r="AM2974" s="20"/>
      <c r="AN2974" s="11"/>
      <c r="AQ2974" s="6" t="s">
        <v>2734</v>
      </c>
      <c r="AR2974" t="s">
        <v>2735</v>
      </c>
    </row>
    <row r="2975" spans="5:44">
      <c r="E2975" s="11"/>
      <c r="F29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75" s="13" t="s">
        <v>337</v>
      </c>
      <c r="H2975" s="13" t="s">
        <v>2987</v>
      </c>
      <c r="I2975" s="12" t="str">
        <f>Table1[[#This Row],[type]]</f>
        <v>table</v>
      </c>
      <c r="J2975" s="62" t="str">
        <f>Table1[[#This Row],[Column42]]&amp;IF(Table1[[#This Row],[Column13]]="","",Table1[[#This Row],[Column13]])&amp;IF(Table1[[#This Row],[mod]]="","",Table1[[#This Row],[mod]])</f>
        <v>table--base</v>
      </c>
      <c r="K29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5" t="s">
        <v>91</v>
      </c>
      <c r="P2975" t="s">
        <v>92</v>
      </c>
      <c r="Q29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975" t="s">
        <v>338</v>
      </c>
      <c r="AB2975" s="29" t="s">
        <v>4459</v>
      </c>
      <c r="AC2975" s="25"/>
      <c r="AD2975" s="41"/>
      <c r="AE2975" s="41"/>
      <c r="AF2975" s="11" t="s">
        <v>282</v>
      </c>
      <c r="AH2975" s="1" t="str">
        <f>Table1[[#This Row],[html_tag]]&amp;Table1[[#This Row],[html_type]]&amp;Table1[[#This Row],[html_modifier]]</f>
        <v>&lt;table&gt;</v>
      </c>
      <c r="AI2975" t="s">
        <v>282</v>
      </c>
      <c r="AL2975" s="22" t="str">
        <f>IFERROR(_xlfn.XLOOKUP(Table1[[#This Row],[word]],Table57[English style name],Table57[Style type]),"")</f>
        <v/>
      </c>
      <c r="AM2975" s="20"/>
      <c r="AN2975" s="11"/>
      <c r="AO2975" t="s">
        <v>94</v>
      </c>
      <c r="AP2975" t="s">
        <v>95</v>
      </c>
      <c r="AQ2975" s="6" t="s">
        <v>92</v>
      </c>
      <c r="AR2975" t="s">
        <v>2735</v>
      </c>
    </row>
    <row r="2976" spans="5:44">
      <c r="E2976" s="11"/>
      <c r="F29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76" s="13" t="s">
        <v>2992</v>
      </c>
      <c r="H2976" s="13" t="s">
        <v>1</v>
      </c>
      <c r="I2976" s="12" t="str">
        <f>Table1[[#This Row],[type]]</f>
        <v>table</v>
      </c>
      <c r="J2976" s="62" t="str">
        <f>Table1[[#This Row],[Column42]]&amp;IF(Table1[[#This Row],[Column13]]="","",Table1[[#This Row],[Column13]])&amp;IF(Table1[[#This Row],[mod]]="","",Table1[[#This Row],[mod]])</f>
        <v>table--column--left</v>
      </c>
      <c r="K29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6" s="5" t="s">
        <v>91</v>
      </c>
      <c r="M2976" s="5"/>
      <c r="N2976" s="4"/>
      <c r="O2976" s="5"/>
      <c r="Q2976" s="4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--column--left</v>
      </c>
      <c r="R2976" t="s">
        <v>615</v>
      </c>
      <c r="S2976" s="5" t="s">
        <v>616</v>
      </c>
      <c r="T2976" s="4"/>
      <c r="U29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976" s="4"/>
      <c r="W2976" s="4"/>
      <c r="X2976" s="4"/>
      <c r="Z2976" s="4"/>
      <c r="AA2976" s="4"/>
      <c r="AB2976" s="47"/>
      <c r="AC2976" s="46"/>
      <c r="AD2976" s="44"/>
      <c r="AE2976" s="44"/>
      <c r="AF2976" s="11"/>
      <c r="AH2976" s="1" t="str">
        <f>Table1[[#This Row],[html_tag]]&amp;Table1[[#This Row],[html_type]]&amp;Table1[[#This Row],[html_modifier]]</f>
        <v/>
      </c>
      <c r="AL2976" s="22" t="str">
        <f>IFERROR(_xlfn.XLOOKUP(Table1[[#This Row],[word]],Table57[English style name],Table57[Style type]),"")</f>
        <v/>
      </c>
      <c r="AM2976" s="20"/>
      <c r="AN2976" s="11"/>
    </row>
    <row r="2977" spans="5:44">
      <c r="E2977" s="11"/>
      <c r="F29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77" s="13" t="s">
        <v>2992</v>
      </c>
      <c r="H2977" s="13" t="s">
        <v>1</v>
      </c>
      <c r="I2977" s="12" t="str">
        <f>Table1[[#This Row],[type]]</f>
        <v>table</v>
      </c>
      <c r="J2977" s="62" t="str">
        <f>Table1[[#This Row],[Column42]]&amp;IF(Table1[[#This Row],[Column13]]="","",Table1[[#This Row],[Column13]])&amp;IF(Table1[[#This Row],[mod]]="","",Table1[[#This Row],[mod]])</f>
        <v>table--column--right</v>
      </c>
      <c r="K29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7" s="5" t="s">
        <v>91</v>
      </c>
      <c r="M2977" s="5"/>
      <c r="N2977" s="4"/>
      <c r="O2977" s="5"/>
      <c r="Q2977" s="4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--column--right</v>
      </c>
      <c r="R2977" t="s">
        <v>615</v>
      </c>
      <c r="S2977" s="5" t="s">
        <v>617</v>
      </c>
      <c r="T2977" s="4"/>
      <c r="U29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977" s="4"/>
      <c r="W2977" s="4"/>
      <c r="X2977" s="4"/>
      <c r="Z2977" s="4"/>
      <c r="AA2977" s="4"/>
      <c r="AB2977" s="47"/>
      <c r="AC2977" s="46"/>
      <c r="AD2977" s="44"/>
      <c r="AE2977" s="44"/>
      <c r="AF2977" s="11"/>
      <c r="AH2977" s="1" t="str">
        <f>Table1[[#This Row],[html_tag]]&amp;Table1[[#This Row],[html_type]]&amp;Table1[[#This Row],[html_modifier]]</f>
        <v/>
      </c>
      <c r="AL2977" s="22" t="str">
        <f>IFERROR(_xlfn.XLOOKUP(Table1[[#This Row],[word]],Table57[English style name],Table57[Style type]),"")</f>
        <v/>
      </c>
      <c r="AM2977" s="20"/>
      <c r="AN2977" s="11"/>
    </row>
    <row r="2978" spans="5:44">
      <c r="E2978" s="11"/>
      <c r="F29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78" s="13" t="s">
        <v>337</v>
      </c>
      <c r="H2978" s="13" t="s">
        <v>2987</v>
      </c>
      <c r="I2978" s="12" t="str">
        <f>Table1[[#This Row],[type]]</f>
        <v>table</v>
      </c>
      <c r="J2978" s="62" t="str">
        <f>Table1[[#This Row],[Column42]]&amp;IF(Table1[[#This Row],[Column13]]="","",Table1[[#This Row],[Column13]])&amp;IF(Table1[[#This Row],[mod]]="","",Table1[[#This Row],[mod]])</f>
        <v>table--container</v>
      </c>
      <c r="K29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8" t="s">
        <v>91</v>
      </c>
      <c r="P2978" s="6" t="s">
        <v>2769</v>
      </c>
      <c r="Q29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2978" t="s">
        <v>3445</v>
      </c>
      <c r="AB2978" s="29"/>
      <c r="AC2978" s="25"/>
      <c r="AD2978" s="41"/>
      <c r="AE2978" s="41"/>
      <c r="AF2978" s="11"/>
      <c r="AH2978" s="1" t="str">
        <f>Table1[[#This Row],[html_tag]]&amp;Table1[[#This Row],[html_type]]&amp;Table1[[#This Row],[html_modifier]]</f>
        <v/>
      </c>
      <c r="AL2978" s="22" t="str">
        <f>IFERROR(_xlfn.XLOOKUP(Table1[[#This Row],[word]],Table57[English style name],Table57[Style type]),"")</f>
        <v/>
      </c>
      <c r="AM2978" s="20"/>
      <c r="AN2978" s="11"/>
      <c r="AQ2978" s="6" t="s">
        <v>2769</v>
      </c>
      <c r="AR2978" t="s">
        <v>2762</v>
      </c>
    </row>
    <row r="2979" spans="5:44">
      <c r="E2979" s="11"/>
      <c r="F29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79" s="13" t="s">
        <v>337</v>
      </c>
      <c r="H2979" s="13" t="s">
        <v>2987</v>
      </c>
      <c r="I2979" s="12" t="str">
        <f>Table1[[#This Row],[type]]</f>
        <v>table</v>
      </c>
      <c r="J2979" s="62" t="str">
        <f>Table1[[#This Row],[Column42]]&amp;IF(Table1[[#This Row],[Column13]]="","",Table1[[#This Row],[Column13]])&amp;IF(Table1[[#This Row],[mod]]="","",Table1[[#This Row],[mod]])</f>
        <v>table--container</v>
      </c>
      <c r="K29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9" t="s">
        <v>91</v>
      </c>
      <c r="P2979" s="6" t="s">
        <v>2770</v>
      </c>
      <c r="Q29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2979" t="s">
        <v>3445</v>
      </c>
      <c r="AB2979" s="29"/>
      <c r="AC2979" s="25"/>
      <c r="AD2979" s="41"/>
      <c r="AE2979" s="41"/>
      <c r="AF2979" s="11"/>
      <c r="AH2979" s="1" t="str">
        <f>Table1[[#This Row],[html_tag]]&amp;Table1[[#This Row],[html_type]]&amp;Table1[[#This Row],[html_modifier]]</f>
        <v/>
      </c>
      <c r="AL2979" s="22" t="str">
        <f>IFERROR(_xlfn.XLOOKUP(Table1[[#This Row],[word]],Table57[English style name],Table57[Style type]),"")</f>
        <v/>
      </c>
      <c r="AM2979" s="20"/>
      <c r="AN2979" s="11"/>
      <c r="AQ2979" s="6" t="s">
        <v>2770</v>
      </c>
      <c r="AR2979" t="s">
        <v>2762</v>
      </c>
    </row>
    <row r="2980" spans="5:44">
      <c r="E2980" s="11"/>
      <c r="F29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80" s="13" t="s">
        <v>2992</v>
      </c>
      <c r="H2980" s="13" t="s">
        <v>1</v>
      </c>
      <c r="I2980" s="12" t="str">
        <f>Table1[[#This Row],[type]]</f>
        <v>table</v>
      </c>
      <c r="J2980" s="62" t="str">
        <f>Table1[[#This Row],[Column42]]&amp;IF(Table1[[#This Row],[Column13]]="","",Table1[[#This Row],[Column13]])&amp;IF(Table1[[#This Row],[mod]]="","",Table1[[#This Row],[mod]])</f>
        <v>table--data</v>
      </c>
      <c r="K29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0" t="s">
        <v>91</v>
      </c>
      <c r="P2980" t="s">
        <v>96</v>
      </c>
      <c r="Q29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--data</v>
      </c>
      <c r="R2980" t="s">
        <v>530</v>
      </c>
      <c r="U29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80" s="29"/>
      <c r="AC2980" s="25"/>
      <c r="AD2980" s="41"/>
      <c r="AE2980" s="41"/>
      <c r="AF2980" s="11"/>
      <c r="AH2980" s="1" t="str">
        <f>Table1[[#This Row],[html_tag]]&amp;Table1[[#This Row],[html_type]]&amp;Table1[[#This Row],[html_modifier]]</f>
        <v/>
      </c>
      <c r="AL2980" s="22" t="str">
        <f>IFERROR(_xlfn.XLOOKUP(Table1[[#This Row],[word]],Table57[English style name],Table57[Style type]),"")</f>
        <v/>
      </c>
      <c r="AM2980" s="20"/>
      <c r="AN2980" s="11"/>
      <c r="AO2980" t="s">
        <v>97</v>
      </c>
      <c r="AP2980" t="s">
        <v>98</v>
      </c>
      <c r="AQ2980" t="s">
        <v>96</v>
      </c>
    </row>
    <row r="2981" spans="5:44">
      <c r="E2981" s="11"/>
      <c r="F29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1" s="13" t="s">
        <v>337</v>
      </c>
      <c r="H2981" s="13" t="s">
        <v>2987</v>
      </c>
      <c r="I2981" s="12" t="str">
        <f>Table1[[#This Row],[type]]</f>
        <v>table</v>
      </c>
      <c r="J2981" s="62" t="str">
        <f>Table1[[#This Row],[Column42]]&amp;IF(Table1[[#This Row],[Column13]]="","",Table1[[#This Row],[Column13]])&amp;IF(Table1[[#This Row],[mod]]="","",Table1[[#This Row],[mod]])</f>
        <v>table--horizontal</v>
      </c>
      <c r="K29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1" t="s">
        <v>91</v>
      </c>
      <c r="P2981" s="6" t="s">
        <v>2741</v>
      </c>
      <c r="Q29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981" t="s">
        <v>3205</v>
      </c>
      <c r="AB2981" s="29"/>
      <c r="AC2981" s="25"/>
      <c r="AD2981" s="41"/>
      <c r="AE2981" s="41"/>
      <c r="AF2981" s="11"/>
      <c r="AH2981" s="1" t="str">
        <f>Table1[[#This Row],[html_tag]]&amp;Table1[[#This Row],[html_type]]&amp;Table1[[#This Row],[html_modifier]]</f>
        <v/>
      </c>
      <c r="AL2981" s="22" t="str">
        <f>IFERROR(_xlfn.XLOOKUP(Table1[[#This Row],[word]],Table57[English style name],Table57[Style type]),"")</f>
        <v/>
      </c>
      <c r="AM2981" s="20"/>
      <c r="AN2981" s="11"/>
      <c r="AQ2981" s="6" t="s">
        <v>2741</v>
      </c>
      <c r="AR2981" t="s">
        <v>2735</v>
      </c>
    </row>
    <row r="2982" spans="5:44">
      <c r="E2982" s="11"/>
      <c r="F29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2" s="13" t="s">
        <v>337</v>
      </c>
      <c r="H2982" s="13" t="s">
        <v>2987</v>
      </c>
      <c r="I2982" s="12" t="str">
        <f>Table1[[#This Row],[type]]</f>
        <v>table</v>
      </c>
      <c r="J2982" s="62" t="str">
        <f>Table1[[#This Row],[Column42]]&amp;IF(Table1[[#This Row],[Column13]]="","",Table1[[#This Row],[Column13]])&amp;IF(Table1[[#This Row],[mod]]="","",Table1[[#This Row],[mod]])</f>
        <v>table--horizontal</v>
      </c>
      <c r="K29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2" t="s">
        <v>91</v>
      </c>
      <c r="P2982" s="6" t="s">
        <v>2742</v>
      </c>
      <c r="Q29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982" t="s">
        <v>3205</v>
      </c>
      <c r="AB2982" s="29"/>
      <c r="AC2982" s="25"/>
      <c r="AD2982" s="41"/>
      <c r="AE2982" s="41"/>
      <c r="AF2982" s="11"/>
      <c r="AH2982" s="1" t="str">
        <f>Table1[[#This Row],[html_tag]]&amp;Table1[[#This Row],[html_type]]&amp;Table1[[#This Row],[html_modifier]]</f>
        <v/>
      </c>
      <c r="AL2982" s="22" t="str">
        <f>IFERROR(_xlfn.XLOOKUP(Table1[[#This Row],[word]],Table57[English style name],Table57[Style type]),"")</f>
        <v/>
      </c>
      <c r="AM2982" s="20"/>
      <c r="AN2982" s="11"/>
      <c r="AQ2982" s="6" t="s">
        <v>2742</v>
      </c>
      <c r="AR2982" t="s">
        <v>2735</v>
      </c>
    </row>
    <row r="2983" spans="5:44">
      <c r="E2983" s="11"/>
      <c r="F29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3" s="13" t="s">
        <v>337</v>
      </c>
      <c r="H2983" s="13" t="s">
        <v>2987</v>
      </c>
      <c r="I2983" s="12" t="str">
        <f>Table1[[#This Row],[type]]</f>
        <v>table</v>
      </c>
      <c r="J2983" s="62" t="str">
        <f>Table1[[#This Row],[Column42]]&amp;IF(Table1[[#This Row],[Column13]]="","",Table1[[#This Row],[Column13]])&amp;IF(Table1[[#This Row],[mod]]="","",Table1[[#This Row],[mod]])</f>
        <v>table--horizontal</v>
      </c>
      <c r="K29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3" t="s">
        <v>91</v>
      </c>
      <c r="P2983" s="6" t="s">
        <v>2746</v>
      </c>
      <c r="Q29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983" t="s">
        <v>3205</v>
      </c>
      <c r="AB2983" s="29"/>
      <c r="AC2983" s="25"/>
      <c r="AD2983" s="41"/>
      <c r="AE2983" s="41"/>
      <c r="AF2983" s="11"/>
      <c r="AH2983" s="1" t="str">
        <f>Table1[[#This Row],[html_tag]]&amp;Table1[[#This Row],[html_type]]&amp;Table1[[#This Row],[html_modifier]]</f>
        <v/>
      </c>
      <c r="AL2983" s="22" t="str">
        <f>IFERROR(_xlfn.XLOOKUP(Table1[[#This Row],[word]],Table57[English style name],Table57[Style type]),"")</f>
        <v/>
      </c>
      <c r="AM2983" s="20"/>
      <c r="AN2983" s="11"/>
      <c r="AQ2983" s="6" t="s">
        <v>2746</v>
      </c>
      <c r="AR2983" t="s">
        <v>2735</v>
      </c>
    </row>
    <row r="2984" spans="5:44">
      <c r="E2984" s="11"/>
      <c r="F29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4" s="13" t="s">
        <v>337</v>
      </c>
      <c r="H2984" s="13" t="s">
        <v>2987</v>
      </c>
      <c r="I2984" s="12" t="str">
        <f>Table1[[#This Row],[type]]</f>
        <v>table</v>
      </c>
      <c r="J2984" s="62" t="str">
        <f>Table1[[#This Row],[Column42]]&amp;IF(Table1[[#This Row],[Column13]]="","",Table1[[#This Row],[Column13]])&amp;IF(Table1[[#This Row],[mod]]="","",Table1[[#This Row],[mod]])</f>
        <v>table--horizontal--hover</v>
      </c>
      <c r="K29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4" t="s">
        <v>91</v>
      </c>
      <c r="P2984" s="6" t="s">
        <v>2738</v>
      </c>
      <c r="Q29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--horizontal--hover</v>
      </c>
      <c r="X2984" t="s">
        <v>3205</v>
      </c>
      <c r="Z2984" t="s">
        <v>3019</v>
      </c>
      <c r="AB2984" s="29"/>
      <c r="AC2984" s="25"/>
      <c r="AD2984" s="41"/>
      <c r="AE2984" s="41"/>
      <c r="AF2984" s="11"/>
      <c r="AH2984" s="1" t="str">
        <f>Table1[[#This Row],[html_tag]]&amp;Table1[[#This Row],[html_type]]&amp;Table1[[#This Row],[html_modifier]]</f>
        <v/>
      </c>
      <c r="AL2984" s="22" t="str">
        <f>IFERROR(_xlfn.XLOOKUP(Table1[[#This Row],[word]],Table57[English style name],Table57[Style type]),"")</f>
        <v/>
      </c>
      <c r="AM2984" s="20"/>
      <c r="AN2984" s="11"/>
      <c r="AQ2984" s="6" t="s">
        <v>2738</v>
      </c>
      <c r="AR2984" t="s">
        <v>2735</v>
      </c>
    </row>
    <row r="2985" spans="5:44">
      <c r="E2985" s="11"/>
      <c r="F29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5" s="13" t="s">
        <v>337</v>
      </c>
      <c r="H2985" s="13" t="s">
        <v>2987</v>
      </c>
      <c r="I2985" s="12" t="str">
        <f>Table1[[#This Row],[type]]</f>
        <v>table</v>
      </c>
      <c r="J2985" s="62" t="str">
        <f>Table1[[#This Row],[Column42]]&amp;IF(Table1[[#This Row],[Column13]]="","",Table1[[#This Row],[Column13]])&amp;IF(Table1[[#This Row],[mod]]="","",Table1[[#This Row],[mod]])</f>
        <v>table--hover</v>
      </c>
      <c r="K29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5" t="s">
        <v>91</v>
      </c>
      <c r="P2985" s="6" t="s">
        <v>2737</v>
      </c>
      <c r="Q29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985" t="s">
        <v>3019</v>
      </c>
      <c r="AB2985" s="29"/>
      <c r="AC2985" s="25"/>
      <c r="AD2985" s="41"/>
      <c r="AE2985" s="41"/>
      <c r="AF2985" s="11"/>
      <c r="AH2985" s="1" t="str">
        <f>Table1[[#This Row],[html_tag]]&amp;Table1[[#This Row],[html_type]]&amp;Table1[[#This Row],[html_modifier]]</f>
        <v/>
      </c>
      <c r="AL2985" s="22" t="str">
        <f>IFERROR(_xlfn.XLOOKUP(Table1[[#This Row],[word]],Table57[English style name],Table57[Style type]),"")</f>
        <v/>
      </c>
      <c r="AM2985" s="20"/>
      <c r="AN2985" s="11"/>
      <c r="AQ2985" s="6" t="s">
        <v>2737</v>
      </c>
      <c r="AR2985" t="s">
        <v>2735</v>
      </c>
    </row>
    <row r="2986" spans="5:44">
      <c r="E2986" s="11"/>
      <c r="F29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6" s="13" t="s">
        <v>337</v>
      </c>
      <c r="H2986" s="13" t="s">
        <v>2987</v>
      </c>
      <c r="I2986" s="12" t="str">
        <f>Table1[[#This Row],[type]]</f>
        <v>table</v>
      </c>
      <c r="J2986" s="62" t="str">
        <f>Table1[[#This Row],[Column42]]&amp;IF(Table1[[#This Row],[Column13]]="","",Table1[[#This Row],[Column13]])&amp;IF(Table1[[#This Row],[mod]]="","",Table1[[#This Row],[mod]])</f>
        <v>table--lg</v>
      </c>
      <c r="K29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6" t="s">
        <v>91</v>
      </c>
      <c r="P2986" s="14" t="s">
        <v>2744</v>
      </c>
      <c r="Q29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986" t="s">
        <v>3114</v>
      </c>
      <c r="AB2986" s="29"/>
      <c r="AC2986" s="25"/>
      <c r="AD2986" s="41" t="s">
        <v>7350</v>
      </c>
      <c r="AE2986" s="41"/>
      <c r="AF2986" s="11"/>
      <c r="AH2986" s="1" t="str">
        <f>Table1[[#This Row],[html_tag]]&amp;Table1[[#This Row],[html_type]]&amp;Table1[[#This Row],[html_modifier]]</f>
        <v/>
      </c>
      <c r="AL2986" s="22" t="str">
        <f>IFERROR(_xlfn.XLOOKUP(Table1[[#This Row],[word]],Table57[English style name],Table57[Style type]),"")</f>
        <v/>
      </c>
      <c r="AM2986" s="20"/>
      <c r="AN2986" s="11"/>
      <c r="AQ2986" s="14" t="s">
        <v>2744</v>
      </c>
      <c r="AR2986" t="s">
        <v>2735</v>
      </c>
    </row>
    <row r="2987" spans="5:44">
      <c r="E2987" s="11"/>
      <c r="F29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7" s="13"/>
      <c r="H2987" s="13"/>
      <c r="I2987" s="12" t="str">
        <f>Table1[[#This Row],[type]]</f>
        <v>table</v>
      </c>
      <c r="J2987" s="62" t="str">
        <f>Table1[[#This Row],[Column42]]&amp;IF(Table1[[#This Row],[Column13]]="","",Table1[[#This Row],[Column13]])&amp;IF(Table1[[#This Row],[mod]]="","",Table1[[#This Row],[mod]])</f>
        <v>table--md</v>
      </c>
      <c r="K29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7" t="s">
        <v>91</v>
      </c>
      <c r="Q29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987" t="s">
        <v>3115</v>
      </c>
      <c r="AB2987" s="29"/>
      <c r="AC2987" s="25"/>
      <c r="AD2987" s="41" t="s">
        <v>7349</v>
      </c>
      <c r="AE2987" s="41"/>
      <c r="AF2987" s="11"/>
      <c r="AH2987" s="7" t="str">
        <f>Table1[[#This Row],[html_tag]]&amp;Table1[[#This Row],[html_type]]&amp;Table1[[#This Row],[html_modifier]]</f>
        <v/>
      </c>
      <c r="AL2987" s="23" t="str">
        <f>IFERROR(_xlfn.XLOOKUP(Table1[[#This Row],[word]],Table57[English style name],Table57[Style type]),"")</f>
        <v/>
      </c>
      <c r="AM2987" s="21"/>
      <c r="AN2987" s="11"/>
    </row>
    <row r="2988" spans="5:44">
      <c r="E2988" s="11"/>
      <c r="F29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88" s="13" t="s">
        <v>2992</v>
      </c>
      <c r="H2988" s="13" t="s">
        <v>1</v>
      </c>
      <c r="I2988" s="12" t="str">
        <f>Table1[[#This Row],[type]]</f>
        <v>table</v>
      </c>
      <c r="J2988" s="62" t="str">
        <f>Table1[[#This Row],[Column42]]&amp;IF(Table1[[#This Row],[Column13]]="","",Table1[[#This Row],[Column13]])&amp;IF(Table1[[#This Row],[mod]]="","",Table1[[#This Row],[mod]])</f>
        <v>table--row--body</v>
      </c>
      <c r="K29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8" s="4" t="s">
        <v>91</v>
      </c>
      <c r="M2988" s="4"/>
      <c r="N2988" s="4"/>
      <c r="O2988" s="4"/>
      <c r="Q2988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--row--body</v>
      </c>
      <c r="R2988" t="s">
        <v>614</v>
      </c>
      <c r="S2988" s="4" t="s">
        <v>337</v>
      </c>
      <c r="T2988" s="4"/>
      <c r="U29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988" s="4"/>
      <c r="W2988" s="4"/>
      <c r="X2988" s="4"/>
      <c r="Z2988" s="4"/>
      <c r="AA2988" s="4"/>
      <c r="AB2988" s="47"/>
      <c r="AC2988" s="46"/>
      <c r="AD2988" s="44"/>
      <c r="AE2988" s="44"/>
      <c r="AF2988" s="11"/>
      <c r="AH2988" s="1" t="str">
        <f>Table1[[#This Row],[html_tag]]&amp;Table1[[#This Row],[html_type]]&amp;Table1[[#This Row],[html_modifier]]</f>
        <v/>
      </c>
      <c r="AL2988" s="22" t="str">
        <f>IFERROR(_xlfn.XLOOKUP(Table1[[#This Row],[word]],Table57[English style name],Table57[Style type]),"")</f>
        <v/>
      </c>
      <c r="AM2988" s="20"/>
      <c r="AN2988" s="11"/>
    </row>
    <row r="2989" spans="5:44">
      <c r="E2989" s="11"/>
      <c r="F29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89" s="13" t="s">
        <v>2992</v>
      </c>
      <c r="H2989" s="13" t="s">
        <v>1</v>
      </c>
      <c r="I2989" s="12" t="str">
        <f>Table1[[#This Row],[type]]</f>
        <v>table</v>
      </c>
      <c r="J2989" s="62" t="str">
        <f>Table1[[#This Row],[Column42]]&amp;IF(Table1[[#This Row],[Column13]]="","",Table1[[#This Row],[Column13]])&amp;IF(Table1[[#This Row],[mod]]="","",Table1[[#This Row],[mod]])</f>
        <v>table--row--header</v>
      </c>
      <c r="K29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9" s="4" t="s">
        <v>91</v>
      </c>
      <c r="M2989" s="4"/>
      <c r="N2989" s="4"/>
      <c r="O2989" s="4"/>
      <c r="Q2989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--row--header</v>
      </c>
      <c r="R2989" t="s">
        <v>614</v>
      </c>
      <c r="S2989" s="4" t="s">
        <v>465</v>
      </c>
      <c r="T2989" s="4"/>
      <c r="U29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989" s="4"/>
      <c r="W2989" s="4"/>
      <c r="X2989" s="4"/>
      <c r="Z2989" s="4"/>
      <c r="AA2989" s="4"/>
      <c r="AB2989" s="47"/>
      <c r="AC2989" s="46"/>
      <c r="AD2989" s="44"/>
      <c r="AE2989" s="44"/>
      <c r="AF2989" s="11"/>
      <c r="AH2989" s="1" t="str">
        <f>Table1[[#This Row],[html_tag]]&amp;Table1[[#This Row],[html_type]]&amp;Table1[[#This Row],[html_modifier]]</f>
        <v/>
      </c>
      <c r="AL2989" s="22" t="str">
        <f>IFERROR(_xlfn.XLOOKUP(Table1[[#This Row],[word]],Table57[English style name],Table57[Style type]),"")</f>
        <v/>
      </c>
      <c r="AM2989" s="20"/>
      <c r="AN2989" s="11"/>
    </row>
    <row r="2990" spans="5:44">
      <c r="E2990" s="11"/>
      <c r="F29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90" s="13" t="s">
        <v>337</v>
      </c>
      <c r="H2990" s="13" t="s">
        <v>2987</v>
      </c>
      <c r="I2990" s="12" t="str">
        <f>Table1[[#This Row],[type]]</f>
        <v>table</v>
      </c>
      <c r="J2990" s="62" t="str">
        <f>Table1[[#This Row],[Column42]]&amp;IF(Table1[[#This Row],[Column13]]="","",Table1[[#This Row],[Column13]])&amp;IF(Table1[[#This Row],[mod]]="","",Table1[[#This Row],[mod]])</f>
        <v>table--sm</v>
      </c>
      <c r="K29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0" t="s">
        <v>91</v>
      </c>
      <c r="P2990" s="14" t="s">
        <v>2745</v>
      </c>
      <c r="Q29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990" t="s">
        <v>3116</v>
      </c>
      <c r="AB2990" s="29"/>
      <c r="AC2990" s="25"/>
      <c r="AD2990" s="41" t="s">
        <v>6029</v>
      </c>
      <c r="AE2990" s="41"/>
      <c r="AF2990" s="11"/>
      <c r="AH2990" s="1" t="str">
        <f>Table1[[#This Row],[html_tag]]&amp;Table1[[#This Row],[html_type]]&amp;Table1[[#This Row],[html_modifier]]</f>
        <v/>
      </c>
      <c r="AL2990" s="22" t="str">
        <f>IFERROR(_xlfn.XLOOKUP(Table1[[#This Row],[word]],Table57[English style name],Table57[Style type]),"")</f>
        <v/>
      </c>
      <c r="AM2990" s="20"/>
      <c r="AN2990" s="11"/>
      <c r="AQ2990" s="14" t="s">
        <v>2745</v>
      </c>
      <c r="AR2990" t="s">
        <v>2735</v>
      </c>
    </row>
    <row r="2991" spans="5:44">
      <c r="E2991" s="11"/>
      <c r="F29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91" s="13" t="s">
        <v>337</v>
      </c>
      <c r="H2991" s="13" t="s">
        <v>2987</v>
      </c>
      <c r="I2991" s="12" t="str">
        <f>Table1[[#This Row],[type]]</f>
        <v>table</v>
      </c>
      <c r="J2991" s="62" t="str">
        <f>Table1[[#This Row],[Column42]]&amp;IF(Table1[[#This Row],[Column13]]="","",Table1[[#This Row],[Column13]])&amp;IF(Table1[[#This Row],[mod]]="","",Table1[[#This Row],[mod]])</f>
        <v>table--vertical</v>
      </c>
      <c r="K29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1" t="s">
        <v>91</v>
      </c>
      <c r="P2991" s="6" t="s">
        <v>2743</v>
      </c>
      <c r="Q29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991" t="s">
        <v>2943</v>
      </c>
      <c r="AB2991" s="29"/>
      <c r="AC2991" s="25"/>
      <c r="AD2991" s="41"/>
      <c r="AE2991" s="41"/>
      <c r="AF2991" s="11"/>
      <c r="AH2991" s="1" t="str">
        <f>Table1[[#This Row],[html_tag]]&amp;Table1[[#This Row],[html_type]]&amp;Table1[[#This Row],[html_modifier]]</f>
        <v/>
      </c>
      <c r="AL2991" s="22" t="str">
        <f>IFERROR(_xlfn.XLOOKUP(Table1[[#This Row],[word]],Table57[English style name],Table57[Style type]),"")</f>
        <v/>
      </c>
      <c r="AM2991" s="20"/>
      <c r="AN2991" s="11"/>
      <c r="AQ2991" s="6" t="s">
        <v>2743</v>
      </c>
      <c r="AR2991" t="s">
        <v>2735</v>
      </c>
    </row>
    <row r="2992" spans="5:44">
      <c r="E2992" s="11"/>
      <c r="F29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92" s="13" t="s">
        <v>337</v>
      </c>
      <c r="H2992" s="13" t="s">
        <v>2987</v>
      </c>
      <c r="I2992" s="12" t="str">
        <f>Table1[[#This Row],[type]]</f>
        <v>table</v>
      </c>
      <c r="J2992" s="62" t="str">
        <f>Table1[[#This Row],[Column42]]&amp;IF(Table1[[#This Row],[Column13]]="","",Table1[[#This Row],[Column13]])&amp;IF(Table1[[#This Row],[mod]]="","",Table1[[#This Row],[mod]])</f>
        <v>table--vertical</v>
      </c>
      <c r="K29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2" t="s">
        <v>91</v>
      </c>
      <c r="P2992" s="6" t="s">
        <v>2747</v>
      </c>
      <c r="Q29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992" t="s">
        <v>2943</v>
      </c>
      <c r="AB2992" s="29"/>
      <c r="AC2992" s="25"/>
      <c r="AD2992" s="41"/>
      <c r="AE2992" s="41"/>
      <c r="AF2992" s="11"/>
      <c r="AH2992" s="1" t="str">
        <f>Table1[[#This Row],[html_tag]]&amp;Table1[[#This Row],[html_type]]&amp;Table1[[#This Row],[html_modifier]]</f>
        <v/>
      </c>
      <c r="AL2992" s="22" t="str">
        <f>IFERROR(_xlfn.XLOOKUP(Table1[[#This Row],[word]],Table57[English style name],Table57[Style type]),"")</f>
        <v/>
      </c>
      <c r="AM2992" s="20"/>
      <c r="AN2992" s="11"/>
      <c r="AQ2992" s="6" t="s">
        <v>2747</v>
      </c>
      <c r="AR2992" t="s">
        <v>2735</v>
      </c>
    </row>
    <row r="2993" spans="5:44">
      <c r="E2993" s="11"/>
      <c r="F29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93" s="13" t="s">
        <v>337</v>
      </c>
      <c r="H2993" s="13" t="s">
        <v>2987</v>
      </c>
      <c r="I2993" s="12" t="str">
        <f>Table1[[#This Row],[type]]</f>
        <v>table</v>
      </c>
      <c r="J2993" s="62" t="str">
        <f>Table1[[#This Row],[Column42]]&amp;IF(Table1[[#This Row],[Column13]]="","",Table1[[#This Row],[Column13]])&amp;IF(Table1[[#This Row],[mod]]="","",Table1[[#This Row],[mod]])</f>
        <v>table--vertical--hover</v>
      </c>
      <c r="K29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3" t="s">
        <v>91</v>
      </c>
      <c r="P2993" s="6" t="s">
        <v>2739</v>
      </c>
      <c r="Q29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--vertical--hover</v>
      </c>
      <c r="X2993" t="s">
        <v>2943</v>
      </c>
      <c r="Z2993" t="s">
        <v>3019</v>
      </c>
      <c r="AB2993" s="29"/>
      <c r="AC2993" s="25"/>
      <c r="AD2993" s="41"/>
      <c r="AE2993" s="41"/>
      <c r="AF2993" s="11"/>
      <c r="AH2993" s="1" t="str">
        <f>Table1[[#This Row],[html_tag]]&amp;Table1[[#This Row],[html_type]]&amp;Table1[[#This Row],[html_modifier]]</f>
        <v/>
      </c>
      <c r="AL2993" s="22" t="str">
        <f>IFERROR(_xlfn.XLOOKUP(Table1[[#This Row],[word]],Table57[English style name],Table57[Style type]),"")</f>
        <v/>
      </c>
      <c r="AM2993" s="20"/>
      <c r="AN2993" s="11"/>
      <c r="AQ2993" s="6" t="s">
        <v>2739</v>
      </c>
      <c r="AR2993" t="s">
        <v>2735</v>
      </c>
    </row>
    <row r="2994" spans="5:44">
      <c r="E2994" s="11"/>
      <c r="F29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4" s="13"/>
      <c r="H2994" s="13"/>
      <c r="I2994" s="12" t="str">
        <f>Table1[[#This Row],[type]]</f>
        <v>table</v>
      </c>
      <c r="J2994" s="62" t="str">
        <f>Table1[[#This Row],[Column42]]&amp;IF(Table1[[#This Row],[Column13]]="","",Table1[[#This Row],[Column13]])&amp;IF(Table1[[#This Row],[mod]]="","",Table1[[#This Row],[mod]])</f>
        <v>table--xl</v>
      </c>
      <c r="K29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4" t="s">
        <v>91</v>
      </c>
      <c r="Q29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994" t="s">
        <v>3126</v>
      </c>
      <c r="AB2994" s="29"/>
      <c r="AC2994" s="25"/>
      <c r="AD2994" s="41" t="s">
        <v>7351</v>
      </c>
      <c r="AE2994" s="41"/>
      <c r="AF2994" s="11"/>
      <c r="AH2994" s="7" t="str">
        <f>Table1[[#This Row],[html_tag]]&amp;Table1[[#This Row],[html_type]]&amp;Table1[[#This Row],[html_modifier]]</f>
        <v/>
      </c>
      <c r="AL2994" s="23" t="str">
        <f>IFERROR(_xlfn.XLOOKUP(Table1[[#This Row],[word]],Table57[English style name],Table57[Style type]),"")</f>
        <v/>
      </c>
      <c r="AM2994" s="21"/>
      <c r="AN2994" s="11"/>
    </row>
    <row r="2995" spans="5:44">
      <c r="E2995" s="11"/>
      <c r="F29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5" s="13"/>
      <c r="H2995" s="13"/>
      <c r="I2995" s="12" t="str">
        <f>Table1[[#This Row],[type]]</f>
        <v>table</v>
      </c>
      <c r="J2995" s="62" t="str">
        <f>Table1[[#This Row],[Column42]]&amp;IF(Table1[[#This Row],[Column13]]="","",Table1[[#This Row],[Column13]])&amp;IF(Table1[[#This Row],[mod]]="","",Table1[[#This Row],[mod]])</f>
        <v>table--xs</v>
      </c>
      <c r="K29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5" t="s">
        <v>91</v>
      </c>
      <c r="Q29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995" t="s">
        <v>3127</v>
      </c>
      <c r="AB2995" s="29"/>
      <c r="AC2995" s="25"/>
      <c r="AD2995" s="41" t="s">
        <v>7348</v>
      </c>
      <c r="AE2995" s="41"/>
      <c r="AF2995" s="11"/>
      <c r="AH2995" s="7" t="str">
        <f>Table1[[#This Row],[html_tag]]&amp;Table1[[#This Row],[html_type]]&amp;Table1[[#This Row],[html_modifier]]</f>
        <v/>
      </c>
      <c r="AL2995" s="23" t="str">
        <f>IFERROR(_xlfn.XLOOKUP(Table1[[#This Row],[word]],Table57[English style name],Table57[Style type]),"")</f>
        <v/>
      </c>
      <c r="AM2995" s="21"/>
      <c r="AN2995" s="11"/>
    </row>
    <row r="2996" spans="5:44">
      <c r="E2996" s="11"/>
      <c r="F29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2996" s="13"/>
      <c r="H2996" s="13"/>
      <c r="I2996" s="12" t="str">
        <f>Table1[[#This Row],[type]]</f>
        <v>tabs</v>
      </c>
      <c r="J2996" s="62" t="str">
        <f>Table1[[#This Row],[Column42]]&amp;IF(Table1[[#This Row],[Column13]]="","",Table1[[#This Row],[Column13]])&amp;IF(Table1[[#This Row],[mod]]="","",Table1[[#This Row],[mod]])</f>
        <v>tabs</v>
      </c>
      <c r="K29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2996" t="s">
        <v>4567</v>
      </c>
      <c r="Q29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96" s="29" t="s">
        <v>4468</v>
      </c>
      <c r="AC2996" s="25"/>
      <c r="AD2996" s="41" t="s">
        <v>4468</v>
      </c>
      <c r="AE2996" s="41"/>
      <c r="AF2996" s="11" t="s">
        <v>166</v>
      </c>
      <c r="AH2996" s="7" t="str">
        <f>Table1[[#This Row],[html_tag]]&amp;Table1[[#This Row],[html_type]]&amp;Table1[[#This Row],[html_modifier]]</f>
        <v/>
      </c>
      <c r="AL2996" s="23" t="str">
        <f>IFERROR(_xlfn.XLOOKUP(Table1[[#This Row],[word]],Table57[English style name],Table57[Style type]),"")</f>
        <v/>
      </c>
      <c r="AM2996" s="21"/>
      <c r="AN2996" s="11"/>
    </row>
    <row r="2997" spans="5:44">
      <c r="E2997" s="11"/>
      <c r="F29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2997" s="13"/>
      <c r="H2997" s="13"/>
      <c r="I2997" s="12" t="str">
        <f>Table1[[#This Row],[type]]</f>
        <v>tabs</v>
      </c>
      <c r="J2997" s="62" t="str">
        <f>Table1[[#This Row],[Column42]]&amp;IF(Table1[[#This Row],[Column13]]="","",Table1[[#This Row],[Column13]])&amp;IF(Table1[[#This Row],[mod]]="","",Table1[[#This Row],[mod]])</f>
        <v>tabs__bottom</v>
      </c>
      <c r="K29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tabs__bottom</v>
      </c>
      <c r="L2997" t="s">
        <v>4567</v>
      </c>
      <c r="N2997" t="s">
        <v>3186</v>
      </c>
      <c r="Q29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97" s="29"/>
      <c r="AC2997" s="25"/>
      <c r="AD2997" s="41" t="s">
        <v>6667</v>
      </c>
      <c r="AE2997" s="41"/>
      <c r="AF2997" s="11"/>
      <c r="AH2997" s="7" t="str">
        <f>Table1[[#This Row],[html_tag]]&amp;Table1[[#This Row],[html_type]]&amp;Table1[[#This Row],[html_modifier]]</f>
        <v/>
      </c>
      <c r="AL2997" s="23" t="str">
        <f>IFERROR(_xlfn.XLOOKUP(Table1[[#This Row],[word]],Table57[English style name],Table57[Style type]),"")</f>
        <v/>
      </c>
      <c r="AM2997" s="21"/>
      <c r="AN2997" s="11"/>
    </row>
    <row r="2998" spans="5:44">
      <c r="E2998" s="11"/>
      <c r="F29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2998" s="13" t="s">
        <v>337</v>
      </c>
      <c r="H2998" s="13" t="s">
        <v>2986</v>
      </c>
      <c r="I2998" s="12" t="str">
        <f>Table1[[#This Row],[type]]</f>
        <v>tabs</v>
      </c>
      <c r="J2998" s="62" t="str">
        <f>Table1[[#This Row],[Column42]]&amp;IF(Table1[[#This Row],[Column13]]="","",Table1[[#This Row],[Column13]])&amp;IF(Table1[[#This Row],[mod]]="","",Table1[[#This Row],[mod]])</f>
        <v>tabs__center</v>
      </c>
      <c r="K29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tabs__center</v>
      </c>
      <c r="L2998" t="s">
        <v>4567</v>
      </c>
      <c r="N2998" t="s">
        <v>425</v>
      </c>
      <c r="Q29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98" s="29" t="s">
        <v>4470</v>
      </c>
      <c r="AC2998" s="25"/>
      <c r="AD2998" s="41"/>
      <c r="AE2998" s="41"/>
      <c r="AF2998" s="11"/>
      <c r="AH2998" s="7" t="str">
        <f>Table1[[#This Row],[html_tag]]&amp;Table1[[#This Row],[html_type]]&amp;Table1[[#This Row],[html_modifier]]</f>
        <v/>
      </c>
      <c r="AL2998" s="23" t="str">
        <f>IFERROR(_xlfn.XLOOKUP(Table1[[#This Row],[word]],Table57[English style name],Table57[Style type]),"")</f>
        <v/>
      </c>
      <c r="AM2998" s="21"/>
      <c r="AN2998" s="11"/>
    </row>
    <row r="2999" spans="5:44">
      <c r="E2999" s="11"/>
      <c r="F29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2999" s="13" t="s">
        <v>337</v>
      </c>
      <c r="H2999" s="13" t="s">
        <v>2986</v>
      </c>
      <c r="I2999" s="12" t="str">
        <f>Table1[[#This Row],[type]]</f>
        <v>tabs</v>
      </c>
      <c r="J2999" s="62" t="str">
        <f>Table1[[#This Row],[Column42]]&amp;IF(Table1[[#This Row],[Column13]]="","",Table1[[#This Row],[Column13]])&amp;IF(Table1[[#This Row],[mod]]="","",Table1[[#This Row],[mod]])</f>
        <v>tabs__right</v>
      </c>
      <c r="K29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tabs__right</v>
      </c>
      <c r="L2999" t="s">
        <v>4567</v>
      </c>
      <c r="N2999" t="s">
        <v>617</v>
      </c>
      <c r="Q29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99" s="29" t="s">
        <v>4474</v>
      </c>
      <c r="AC2999" s="25"/>
      <c r="AD2999" s="41"/>
      <c r="AE2999" s="41"/>
      <c r="AF2999" s="11"/>
      <c r="AH2999" s="7" t="str">
        <f>Table1[[#This Row],[html_tag]]&amp;Table1[[#This Row],[html_type]]&amp;Table1[[#This Row],[html_modifier]]</f>
        <v/>
      </c>
      <c r="AL2999" s="23" t="str">
        <f>IFERROR(_xlfn.XLOOKUP(Table1[[#This Row],[word]],Table57[English style name],Table57[Style type]),"")</f>
        <v/>
      </c>
      <c r="AM2999" s="21"/>
      <c r="AN2999" s="11"/>
    </row>
    <row r="3000" spans="5:44">
      <c r="E3000" s="11"/>
      <c r="F30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00" s="13" t="s">
        <v>337</v>
      </c>
      <c r="H3000" s="13" t="s">
        <v>2986</v>
      </c>
      <c r="I3000" s="12" t="str">
        <f>Table1[[#This Row],[type]]</f>
        <v>tabs</v>
      </c>
      <c r="J3000" s="62" t="str">
        <f>Table1[[#This Row],[Column42]]&amp;IF(Table1[[#This Row],[Column13]]="","",Table1[[#This Row],[Column13]])&amp;IF(Table1[[#This Row],[mod]]="","",Table1[[#This Row],[mod]])</f>
        <v>tabs__tab</v>
      </c>
      <c r="K30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000" t="s">
        <v>4567</v>
      </c>
      <c r="M3000" t="s">
        <v>2731</v>
      </c>
      <c r="Q30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0" s="29"/>
      <c r="AC3000" s="25"/>
      <c r="AD3000" s="41" t="s">
        <v>6660</v>
      </c>
      <c r="AE3000" s="41"/>
      <c r="AF3000" s="11" t="s">
        <v>137</v>
      </c>
      <c r="AH3000" s="1" t="str">
        <f>Table1[[#This Row],[html_tag]]&amp;Table1[[#This Row],[html_type]]&amp;Table1[[#This Row],[html_modifier]]</f>
        <v/>
      </c>
      <c r="AL3000" s="22" t="str">
        <f>IFERROR(_xlfn.XLOOKUP(Table1[[#This Row],[word]],Table57[English style name],Table57[Style type]),"")</f>
        <v/>
      </c>
      <c r="AM3000" s="20"/>
      <c r="AN3000" s="11"/>
      <c r="AQ3000" s="6" t="s">
        <v>2731</v>
      </c>
      <c r="AR3000" t="s">
        <v>2732</v>
      </c>
    </row>
    <row r="3001" spans="5:44">
      <c r="E3001" s="11"/>
      <c r="F30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01" s="13" t="s">
        <v>337</v>
      </c>
      <c r="H3001" s="13" t="s">
        <v>2986</v>
      </c>
      <c r="I3001" s="12" t="str">
        <f>Table1[[#This Row],[type]]</f>
        <v>tabs</v>
      </c>
      <c r="J3001" s="62" t="str">
        <f>Table1[[#This Row],[Column42]]&amp;IF(Table1[[#This Row],[Column13]]="","",Table1[[#This Row],[Column13]])&amp;IF(Table1[[#This Row],[mod]]="","",Table1[[#This Row],[mod]])</f>
        <v>tabs__tab</v>
      </c>
      <c r="K30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001" t="s">
        <v>4567</v>
      </c>
      <c r="M3001" t="s">
        <v>2731</v>
      </c>
      <c r="Q30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1" s="29"/>
      <c r="AC3001" s="25"/>
      <c r="AD3001" s="41" t="s">
        <v>6011</v>
      </c>
      <c r="AE3001" s="41"/>
      <c r="AF3001" s="11" t="s">
        <v>166</v>
      </c>
      <c r="AH3001" s="1" t="str">
        <f>Table1[[#This Row],[html_tag]]&amp;Table1[[#This Row],[html_type]]&amp;Table1[[#This Row],[html_modifier]]</f>
        <v/>
      </c>
      <c r="AL3001" s="22" t="str">
        <f>IFERROR(_xlfn.XLOOKUP(Table1[[#This Row],[word]],Table57[English style name],Table57[Style type]),"")</f>
        <v/>
      </c>
      <c r="AM3001" s="20"/>
      <c r="AN3001" s="11"/>
      <c r="AQ3001" s="6" t="s">
        <v>2733</v>
      </c>
      <c r="AR3001" t="s">
        <v>2732</v>
      </c>
    </row>
    <row r="3002" spans="5:44">
      <c r="E3002" s="11"/>
      <c r="F30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02" s="13"/>
      <c r="H3002" s="13"/>
      <c r="I3002" s="12" t="str">
        <f>Table1[[#This Row],[type]]</f>
        <v>tabs</v>
      </c>
      <c r="J3002" s="62" t="str">
        <f>Table1[[#This Row],[Column42]]&amp;IF(Table1[[#This Row],[Column13]]="","",Table1[[#This Row],[Column13]])&amp;IF(Table1[[#This Row],[mod]]="","",Table1[[#This Row],[mod]])</f>
        <v>tabs__tab--active</v>
      </c>
      <c r="K30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002" t="s">
        <v>4567</v>
      </c>
      <c r="M3002" t="s">
        <v>2731</v>
      </c>
      <c r="Q30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002" t="s">
        <v>350</v>
      </c>
      <c r="AB3002" s="29"/>
      <c r="AC3002" s="25"/>
      <c r="AD3002" s="41" t="s">
        <v>6664</v>
      </c>
      <c r="AE3002" s="41"/>
      <c r="AF3002" s="11" t="s">
        <v>137</v>
      </c>
      <c r="AH3002" s="7" t="str">
        <f>Table1[[#This Row],[html_tag]]&amp;Table1[[#This Row],[html_type]]&amp;Table1[[#This Row],[html_modifier]]</f>
        <v/>
      </c>
      <c r="AL3002" s="23" t="str">
        <f>IFERROR(_xlfn.XLOOKUP(Table1[[#This Row],[word]],Table57[English style name],Table57[Style type]),"")</f>
        <v/>
      </c>
      <c r="AM3002" s="21"/>
      <c r="AN3002" s="11"/>
    </row>
    <row r="3003" spans="5:44">
      <c r="E3003" s="11"/>
      <c r="F30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03" s="13"/>
      <c r="H3003" s="13"/>
      <c r="I3003" s="12" t="str">
        <f>Table1[[#This Row],[type]]</f>
        <v>tabs</v>
      </c>
      <c r="J3003" s="62" t="str">
        <f>Table1[[#This Row],[Column42]]&amp;IF(Table1[[#This Row],[Column13]]="","",Table1[[#This Row],[Column13]])&amp;IF(Table1[[#This Row],[mod]]="","",Table1[[#This Row],[mod]])</f>
        <v>tabs__tab--disabled</v>
      </c>
      <c r="K30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003" t="s">
        <v>4567</v>
      </c>
      <c r="M3003" t="s">
        <v>2731</v>
      </c>
      <c r="Q30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3003" t="s">
        <v>3032</v>
      </c>
      <c r="AB3003" s="29"/>
      <c r="AC3003" s="25"/>
      <c r="AD3003" s="41" t="s">
        <v>6665</v>
      </c>
      <c r="AE3003" s="41"/>
      <c r="AF3003" s="11" t="s">
        <v>137</v>
      </c>
      <c r="AH3003" s="7" t="str">
        <f>Table1[[#This Row],[html_tag]]&amp;Table1[[#This Row],[html_type]]&amp;Table1[[#This Row],[html_modifier]]</f>
        <v>:disabled</v>
      </c>
      <c r="AK3003" t="s">
        <v>3024</v>
      </c>
      <c r="AL3003" s="23" t="str">
        <f>IFERROR(_xlfn.XLOOKUP(Table1[[#This Row],[word]],Table57[English style name],Table57[Style type]),"")</f>
        <v/>
      </c>
      <c r="AM3003" s="21"/>
      <c r="AN3003" s="11"/>
    </row>
    <row r="3004" spans="5:44">
      <c r="E3004" s="11"/>
      <c r="F30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04" s="13" t="s">
        <v>337</v>
      </c>
      <c r="H3004" s="13" t="s">
        <v>2986</v>
      </c>
      <c r="I3004" s="12" t="str">
        <f>Table1[[#This Row],[type]]</f>
        <v>tabs</v>
      </c>
      <c r="J3004" s="62" t="str">
        <f>Table1[[#This Row],[Column42]]&amp;IF(Table1[[#This Row],[Column13]]="","",Table1[[#This Row],[Column13]])&amp;IF(Table1[[#This Row],[mod]]="","",Table1[[#This Row],[mod]])</f>
        <v>tabs__toggle</v>
      </c>
      <c r="K30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tabs__toggle</v>
      </c>
      <c r="L3004" t="s">
        <v>4567</v>
      </c>
      <c r="M3004" t="s">
        <v>3110</v>
      </c>
      <c r="Q30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4" s="29" t="s">
        <v>4476</v>
      </c>
      <c r="AC3004" s="25"/>
      <c r="AD3004" s="41"/>
      <c r="AE3004" s="41"/>
      <c r="AF3004" s="11"/>
      <c r="AH3004" s="7" t="str">
        <f>Table1[[#This Row],[html_tag]]&amp;Table1[[#This Row],[html_type]]&amp;Table1[[#This Row],[html_modifier]]</f>
        <v/>
      </c>
      <c r="AL3004" s="23" t="str">
        <f>IFERROR(_xlfn.XLOOKUP(Table1[[#This Row],[word]],Table57[English style name],Table57[Style type]),"")</f>
        <v/>
      </c>
      <c r="AM3004" s="21"/>
      <c r="AN3004" s="11"/>
    </row>
    <row r="3005" spans="5:44">
      <c r="E3005" s="11"/>
      <c r="F30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05" s="13" t="s">
        <v>337</v>
      </c>
      <c r="H3005" s="13" t="s">
        <v>2986</v>
      </c>
      <c r="I3005" s="12" t="str">
        <f>Table1[[#This Row],[type]]</f>
        <v>tabs</v>
      </c>
      <c r="J3005" s="62" t="str">
        <f>Table1[[#This Row],[Column42]]&amp;IF(Table1[[#This Row],[Column13]]="","",Table1[[#This Row],[Column13]])&amp;IF(Table1[[#This Row],[mod]]="","",Table1[[#This Row],[mod]])</f>
        <v>tabs__toggle--round</v>
      </c>
      <c r="K30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tabs__toggle</v>
      </c>
      <c r="L3005" t="s">
        <v>4567</v>
      </c>
      <c r="M3005" t="s">
        <v>3110</v>
      </c>
      <c r="Q30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3005" t="s">
        <v>3204</v>
      </c>
      <c r="AB3005" s="29" t="s">
        <v>4477</v>
      </c>
      <c r="AC3005" s="25"/>
      <c r="AD3005" s="41"/>
      <c r="AE3005" s="41"/>
      <c r="AF3005" s="11"/>
      <c r="AH3005" s="7" t="str">
        <f>Table1[[#This Row],[html_tag]]&amp;Table1[[#This Row],[html_type]]&amp;Table1[[#This Row],[html_modifier]]</f>
        <v/>
      </c>
      <c r="AL3005" s="23" t="str">
        <f>IFERROR(_xlfn.XLOOKUP(Table1[[#This Row],[word]],Table57[English style name],Table57[Style type]),"")</f>
        <v/>
      </c>
      <c r="AM3005" s="21"/>
      <c r="AN3005" s="11"/>
    </row>
    <row r="3006" spans="5:44">
      <c r="E3006" s="11"/>
      <c r="F30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06" s="13"/>
      <c r="H3006" s="13"/>
      <c r="I3006" s="12" t="str">
        <f>Table1[[#This Row],[type]]</f>
        <v>tabs</v>
      </c>
      <c r="J3006" s="62" t="str">
        <f>Table1[[#This Row],[Column42]]&amp;IF(Table1[[#This Row],[Column13]]="","",Table1[[#This Row],[Column13]])&amp;IF(Table1[[#This Row],[mod]]="","",Table1[[#This Row],[mod]])</f>
        <v>tabs__top</v>
      </c>
      <c r="K30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tabs__top</v>
      </c>
      <c r="L3006" t="s">
        <v>4567</v>
      </c>
      <c r="N3006" t="s">
        <v>3182</v>
      </c>
      <c r="Q30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6" s="29"/>
      <c r="AC3006" s="25"/>
      <c r="AD3006" s="41" t="s">
        <v>6666</v>
      </c>
      <c r="AE3006" s="41"/>
      <c r="AF3006" s="11"/>
      <c r="AH3006" s="7" t="str">
        <f>Table1[[#This Row],[html_tag]]&amp;Table1[[#This Row],[html_type]]&amp;Table1[[#This Row],[html_modifier]]</f>
        <v/>
      </c>
      <c r="AL3006" s="23" t="str">
        <f>IFERROR(_xlfn.XLOOKUP(Table1[[#This Row],[word]],Table57[English style name],Table57[Style type]),"")</f>
        <v/>
      </c>
      <c r="AM3006" s="21"/>
      <c r="AN3006" s="11"/>
    </row>
    <row r="3007" spans="5:44">
      <c r="E3007" s="11"/>
      <c r="F30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07" s="13"/>
      <c r="H3007" s="13"/>
      <c r="I3007" s="12" t="str">
        <f>Table1[[#This Row],[type]]</f>
        <v>tabs</v>
      </c>
      <c r="J3007" s="62" t="str">
        <f>Table1[[#This Row],[Column42]]&amp;IF(Table1[[#This Row],[Column13]]="","",Table1[[#This Row],[Column13]])&amp;IF(Table1[[#This Row],[mod]]="","",Table1[[#This Row],[mod]])</f>
        <v>tabs--border</v>
      </c>
      <c r="K30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07" t="s">
        <v>4567</v>
      </c>
      <c r="Q30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--border</v>
      </c>
      <c r="R3007" t="s">
        <v>3125</v>
      </c>
      <c r="U30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7" s="29"/>
      <c r="AC3007" s="25"/>
      <c r="AD3007" s="41" t="s">
        <v>6662</v>
      </c>
      <c r="AE3007" s="41"/>
      <c r="AF3007" s="11"/>
      <c r="AH3007" s="7" t="str">
        <f>Table1[[#This Row],[html_tag]]&amp;Table1[[#This Row],[html_type]]&amp;Table1[[#This Row],[html_modifier]]</f>
        <v/>
      </c>
      <c r="AL3007" s="23" t="str">
        <f>IFERROR(_xlfn.XLOOKUP(Table1[[#This Row],[word]],Table57[English style name],Table57[Style type]),"")</f>
        <v/>
      </c>
      <c r="AM3007" s="21"/>
      <c r="AN3007" s="11"/>
    </row>
    <row r="3008" spans="5:44">
      <c r="E3008" s="11"/>
      <c r="F30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08" s="13"/>
      <c r="H3008" s="13"/>
      <c r="I3008" s="12" t="str">
        <f>Table1[[#This Row],[type]]</f>
        <v>tabs</v>
      </c>
      <c r="J3008" s="62" t="str">
        <f>Table1[[#This Row],[Column42]]&amp;IF(Table1[[#This Row],[Column13]]="","",Table1[[#This Row],[Column13]])&amp;IF(Table1[[#This Row],[mod]]="","",Table1[[#This Row],[mod]])</f>
        <v>tabs--box</v>
      </c>
      <c r="K30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08" t="s">
        <v>4567</v>
      </c>
      <c r="Q30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--box</v>
      </c>
      <c r="R3008" t="s">
        <v>3206</v>
      </c>
      <c r="U30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8" s="29"/>
      <c r="AC3008" s="25"/>
      <c r="AD3008" s="41" t="s">
        <v>6661</v>
      </c>
      <c r="AE3008" s="41"/>
      <c r="AF3008" s="11"/>
      <c r="AH3008" s="7" t="str">
        <f>Table1[[#This Row],[html_tag]]&amp;Table1[[#This Row],[html_type]]&amp;Table1[[#This Row],[html_modifier]]</f>
        <v/>
      </c>
      <c r="AL3008" s="23" t="str">
        <f>IFERROR(_xlfn.XLOOKUP(Table1[[#This Row],[word]],Table57[English style name],Table57[Style type]),"")</f>
        <v/>
      </c>
      <c r="AM3008" s="21"/>
      <c r="AN3008" s="11"/>
    </row>
    <row r="3009" spans="5:44">
      <c r="E3009" s="11"/>
      <c r="F30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09" s="13" t="s">
        <v>337</v>
      </c>
      <c r="H3009" s="13" t="s">
        <v>2986</v>
      </c>
      <c r="I3009" s="12" t="str">
        <f>Table1[[#This Row],[type]]</f>
        <v>tabs</v>
      </c>
      <c r="J3009" s="62" t="str">
        <f>Table1[[#This Row],[Column42]]&amp;IF(Table1[[#This Row],[Column13]]="","",Table1[[#This Row],[Column13]])&amp;IF(Table1[[#This Row],[mod]]="","",Table1[[#This Row],[mod]])</f>
        <v>tabs--boxed</v>
      </c>
      <c r="K30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09" t="s">
        <v>4567</v>
      </c>
      <c r="Q30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--boxed</v>
      </c>
      <c r="W3009" t="s">
        <v>4568</v>
      </c>
      <c r="AB3009" s="29" t="s">
        <v>4469</v>
      </c>
      <c r="AC3009" s="25"/>
      <c r="AD3009" s="41"/>
      <c r="AE3009" s="41"/>
      <c r="AF3009" s="11"/>
      <c r="AH3009" s="7" t="str">
        <f>Table1[[#This Row],[html_tag]]&amp;Table1[[#This Row],[html_type]]&amp;Table1[[#This Row],[html_modifier]]</f>
        <v/>
      </c>
      <c r="AL3009" s="23" t="str">
        <f>IFERROR(_xlfn.XLOOKUP(Table1[[#This Row],[word]],Table57[English style name],Table57[Style type]),"")</f>
        <v/>
      </c>
      <c r="AM3009" s="21"/>
      <c r="AN3009" s="11"/>
    </row>
    <row r="3010" spans="5:44">
      <c r="E3010" s="11"/>
      <c r="F30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10" s="13" t="s">
        <v>337</v>
      </c>
      <c r="H3010" s="13" t="s">
        <v>2986</v>
      </c>
      <c r="I3010" s="12" t="str">
        <f>Table1[[#This Row],[type]]</f>
        <v>tabs</v>
      </c>
      <c r="J3010" s="62" t="str">
        <f>Table1[[#This Row],[Column42]]&amp;IF(Table1[[#This Row],[Column13]]="","",Table1[[#This Row],[Column13]])&amp;IF(Table1[[#This Row],[mod]]="","",Table1[[#This Row],[mod]])</f>
        <v>tabs--fullwidth</v>
      </c>
      <c r="K30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0" t="s">
        <v>4567</v>
      </c>
      <c r="Q30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--fullwidth</v>
      </c>
      <c r="AA3010" t="s">
        <v>4564</v>
      </c>
      <c r="AB3010" s="29" t="s">
        <v>4471</v>
      </c>
      <c r="AC3010" s="25"/>
      <c r="AD3010" s="41"/>
      <c r="AE3010" s="41"/>
      <c r="AF3010" s="11"/>
      <c r="AH3010" s="7" t="str">
        <f>Table1[[#This Row],[html_tag]]&amp;Table1[[#This Row],[html_type]]&amp;Table1[[#This Row],[html_modifier]]</f>
        <v/>
      </c>
      <c r="AL3010" s="23" t="str">
        <f>IFERROR(_xlfn.XLOOKUP(Table1[[#This Row],[word]],Table57[English style name],Table57[Style type]),"")</f>
        <v/>
      </c>
      <c r="AM3010" s="21"/>
      <c r="AN3010" s="11"/>
    </row>
    <row r="3011" spans="5:44">
      <c r="E3011" s="11"/>
      <c r="F30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11" s="13" t="s">
        <v>337</v>
      </c>
      <c r="H3011" s="13" t="s">
        <v>2986</v>
      </c>
      <c r="I3011" s="12" t="str">
        <f>Table1[[#This Row],[type]]</f>
        <v>tabs</v>
      </c>
      <c r="J3011" s="62" t="str">
        <f>Table1[[#This Row],[Column42]]&amp;IF(Table1[[#This Row],[Column13]]="","",Table1[[#This Row],[Column13]])&amp;IF(Table1[[#This Row],[mod]]="","",Table1[[#This Row],[mod]])</f>
        <v>tabs--lg</v>
      </c>
      <c r="K30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1" t="s">
        <v>4567</v>
      </c>
      <c r="Q30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011" t="s">
        <v>3114</v>
      </c>
      <c r="AB3011" s="29" t="s">
        <v>4472</v>
      </c>
      <c r="AC3011" s="25"/>
      <c r="AD3011" s="41" t="s">
        <v>6671</v>
      </c>
      <c r="AE3011" s="41"/>
      <c r="AF3011" s="11"/>
      <c r="AH3011" s="7" t="str">
        <f>Table1[[#This Row],[html_tag]]&amp;Table1[[#This Row],[html_type]]&amp;Table1[[#This Row],[html_modifier]]</f>
        <v/>
      </c>
      <c r="AL3011" s="23" t="str">
        <f>IFERROR(_xlfn.XLOOKUP(Table1[[#This Row],[word]],Table57[English style name],Table57[Style type]),"")</f>
        <v/>
      </c>
      <c r="AM3011" s="21"/>
      <c r="AN3011" s="11"/>
    </row>
    <row r="3012" spans="5:44">
      <c r="E3012" s="11"/>
      <c r="F30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12" s="13"/>
      <c r="H3012" s="13"/>
      <c r="I3012" s="12" t="str">
        <f>Table1[[#This Row],[type]]</f>
        <v>tabs</v>
      </c>
      <c r="J3012" s="62" t="str">
        <f>Table1[[#This Row],[Column42]]&amp;IF(Table1[[#This Row],[Column13]]="","",Table1[[#This Row],[Column13]])&amp;IF(Table1[[#This Row],[mod]]="","",Table1[[#This Row],[mod]])</f>
        <v>tabs--lift</v>
      </c>
      <c r="K30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2" t="s">
        <v>4567</v>
      </c>
      <c r="Q30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--lift</v>
      </c>
      <c r="R3012" t="s">
        <v>10224</v>
      </c>
      <c r="U30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12" s="29"/>
      <c r="AC3012" s="25"/>
      <c r="AD3012" s="41" t="s">
        <v>6663</v>
      </c>
      <c r="AE3012" s="41"/>
      <c r="AF3012" s="11"/>
      <c r="AH3012" s="7" t="str">
        <f>Table1[[#This Row],[html_tag]]&amp;Table1[[#This Row],[html_type]]&amp;Table1[[#This Row],[html_modifier]]</f>
        <v/>
      </c>
      <c r="AL3012" s="23" t="str">
        <f>IFERROR(_xlfn.XLOOKUP(Table1[[#This Row],[word]],Table57[English style name],Table57[Style type]),"")</f>
        <v/>
      </c>
      <c r="AM3012" s="21"/>
      <c r="AN3012" s="11"/>
    </row>
    <row r="3013" spans="5:44">
      <c r="E3013" s="11"/>
      <c r="F30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13" s="13" t="s">
        <v>337</v>
      </c>
      <c r="H3013" s="13" t="s">
        <v>2986</v>
      </c>
      <c r="I3013" s="12" t="str">
        <f>Table1[[#This Row],[type]]</f>
        <v>tabs</v>
      </c>
      <c r="J3013" s="62" t="str">
        <f>Table1[[#This Row],[Column42]]&amp;IF(Table1[[#This Row],[Column13]]="","",Table1[[#This Row],[Column13]])&amp;IF(Table1[[#This Row],[mod]]="","",Table1[[#This Row],[mod]])</f>
        <v>tabs--md</v>
      </c>
      <c r="K30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3" t="s">
        <v>4567</v>
      </c>
      <c r="Q30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013" t="s">
        <v>3115</v>
      </c>
      <c r="AB3013" s="29" t="s">
        <v>4473</v>
      </c>
      <c r="AC3013" s="25"/>
      <c r="AD3013" s="41" t="s">
        <v>6670</v>
      </c>
      <c r="AE3013" s="41"/>
      <c r="AF3013" s="11"/>
      <c r="AH3013" s="7" t="str">
        <f>Table1[[#This Row],[html_tag]]&amp;Table1[[#This Row],[html_type]]&amp;Table1[[#This Row],[html_modifier]]</f>
        <v/>
      </c>
      <c r="AL3013" s="23" t="str">
        <f>IFERROR(_xlfn.XLOOKUP(Table1[[#This Row],[word]],Table57[English style name],Table57[Style type]),"")</f>
        <v/>
      </c>
      <c r="AM3013" s="21"/>
      <c r="AN3013" s="11"/>
    </row>
    <row r="3014" spans="5:44">
      <c r="E3014" s="11"/>
      <c r="F30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14" s="13" t="s">
        <v>337</v>
      </c>
      <c r="H3014" s="13" t="s">
        <v>2986</v>
      </c>
      <c r="I3014" s="12" t="str">
        <f>Table1[[#This Row],[type]]</f>
        <v>tabs</v>
      </c>
      <c r="J3014" s="62" t="str">
        <f>Table1[[#This Row],[Column42]]&amp;IF(Table1[[#This Row],[Column13]]="","",Table1[[#This Row],[Column13]])&amp;IF(Table1[[#This Row],[mod]]="","",Table1[[#This Row],[mod]])</f>
        <v>tabs--sm</v>
      </c>
      <c r="K30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4" t="s">
        <v>4567</v>
      </c>
      <c r="Q30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014" t="s">
        <v>3116</v>
      </c>
      <c r="AB3014" s="29" t="s">
        <v>4475</v>
      </c>
      <c r="AC3014" s="25"/>
      <c r="AD3014" s="41" t="s">
        <v>6669</v>
      </c>
      <c r="AE3014" s="41"/>
      <c r="AF3014" s="11"/>
      <c r="AH3014" s="7" t="str">
        <f>Table1[[#This Row],[html_tag]]&amp;Table1[[#This Row],[html_type]]&amp;Table1[[#This Row],[html_modifier]]</f>
        <v/>
      </c>
      <c r="AL3014" s="23" t="str">
        <f>IFERROR(_xlfn.XLOOKUP(Table1[[#This Row],[word]],Table57[English style name],Table57[Style type]),"")</f>
        <v/>
      </c>
      <c r="AM3014" s="21"/>
      <c r="AN3014" s="11"/>
    </row>
    <row r="3015" spans="5:44">
      <c r="E3015" s="11"/>
      <c r="F30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15" s="13"/>
      <c r="H3015" s="13"/>
      <c r="I3015" s="12" t="str">
        <f>Table1[[#This Row],[type]]</f>
        <v>tabs</v>
      </c>
      <c r="J3015" s="62" t="str">
        <f>Table1[[#This Row],[Column42]]&amp;IF(Table1[[#This Row],[Column13]]="","",Table1[[#This Row],[Column13]])&amp;IF(Table1[[#This Row],[mod]]="","",Table1[[#This Row],[mod]])</f>
        <v>tabs--xl</v>
      </c>
      <c r="K30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5" t="s">
        <v>4567</v>
      </c>
      <c r="Q30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015" t="s">
        <v>3126</v>
      </c>
      <c r="AB3015" s="29"/>
      <c r="AC3015" s="25"/>
      <c r="AD3015" s="41" t="s">
        <v>6672</v>
      </c>
      <c r="AE3015" s="41"/>
      <c r="AF3015" s="11"/>
      <c r="AH3015" s="7" t="str">
        <f>Table1[[#This Row],[html_tag]]&amp;Table1[[#This Row],[html_type]]&amp;Table1[[#This Row],[html_modifier]]</f>
        <v/>
      </c>
      <c r="AL3015" s="23" t="str">
        <f>IFERROR(_xlfn.XLOOKUP(Table1[[#This Row],[word]],Table57[English style name],Table57[Style type]),"")</f>
        <v/>
      </c>
      <c r="AM3015" s="21"/>
      <c r="AN3015" s="11"/>
    </row>
    <row r="3016" spans="5:44">
      <c r="E3016" s="11"/>
      <c r="F30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16" s="13"/>
      <c r="H3016" s="13"/>
      <c r="I3016" s="12" t="str">
        <f>Table1[[#This Row],[type]]</f>
        <v>tabs</v>
      </c>
      <c r="J3016" s="62" t="str">
        <f>Table1[[#This Row],[Column42]]&amp;IF(Table1[[#This Row],[Column13]]="","",Table1[[#This Row],[Column13]])&amp;IF(Table1[[#This Row],[mod]]="","",Table1[[#This Row],[mod]])</f>
        <v>tabs--xs</v>
      </c>
      <c r="K30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6" t="s">
        <v>4567</v>
      </c>
      <c r="Q30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3016" t="s">
        <v>3127</v>
      </c>
      <c r="AB3016" s="29"/>
      <c r="AC3016" s="25"/>
      <c r="AD3016" s="41" t="s">
        <v>6668</v>
      </c>
      <c r="AE3016" s="41"/>
      <c r="AF3016" s="11"/>
      <c r="AH3016" s="7" t="str">
        <f>Table1[[#This Row],[html_tag]]&amp;Table1[[#This Row],[html_type]]&amp;Table1[[#This Row],[html_modifier]]</f>
        <v/>
      </c>
      <c r="AL3016" s="23" t="str">
        <f>IFERROR(_xlfn.XLOOKUP(Table1[[#This Row],[word]],Table57[English style name],Table57[Style type]),"")</f>
        <v/>
      </c>
      <c r="AM3016" s="21"/>
      <c r="AN3016" s="11"/>
    </row>
    <row r="3017" spans="5:44">
      <c r="E3017" s="11"/>
      <c r="F30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17" s="13" t="s">
        <v>337</v>
      </c>
      <c r="H3017" s="13" t="s">
        <v>2987</v>
      </c>
      <c r="I3017" s="12" t="str">
        <f>Table1[[#This Row],[type]]</f>
        <v>tag</v>
      </c>
      <c r="J3017" s="62" t="str">
        <f>Table1[[#This Row],[Column42]]&amp;IF(Table1[[#This Row],[Column13]]="","",Table1[[#This Row],[Column13]])&amp;IF(Table1[[#This Row],[mod]]="","",Table1[[#This Row],[mod]])</f>
        <v>tag</v>
      </c>
      <c r="K30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17" t="s">
        <v>344</v>
      </c>
      <c r="P3017" s="6" t="s">
        <v>2773</v>
      </c>
      <c r="Q30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17" s="29"/>
      <c r="AC3017" s="25"/>
      <c r="AD3017" s="41"/>
      <c r="AE3017" s="41"/>
      <c r="AF3017" s="11"/>
      <c r="AH3017" s="1" t="str">
        <f>Table1[[#This Row],[html_tag]]&amp;Table1[[#This Row],[html_type]]&amp;Table1[[#This Row],[html_modifier]]</f>
        <v/>
      </c>
      <c r="AL3017" s="22" t="str">
        <f>IFERROR(_xlfn.XLOOKUP(Table1[[#This Row],[word]],Table57[English style name],Table57[Style type]),"")</f>
        <v/>
      </c>
      <c r="AM3017" s="20"/>
      <c r="AN3017" s="11"/>
      <c r="AQ3017" s="6" t="s">
        <v>2773</v>
      </c>
      <c r="AR3017" t="s">
        <v>2772</v>
      </c>
    </row>
    <row r="3018" spans="5:44">
      <c r="E3018" s="11"/>
      <c r="F30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18" s="13" t="s">
        <v>337</v>
      </c>
      <c r="H3018" s="13" t="s">
        <v>2987</v>
      </c>
      <c r="I3018" s="12" t="str">
        <f>Table1[[#This Row],[type]]</f>
        <v>tag</v>
      </c>
      <c r="J3018" s="62" t="str">
        <f>Table1[[#This Row],[Column42]]&amp;IF(Table1[[#This Row],[Column13]]="","",Table1[[#This Row],[Column13]])&amp;IF(Table1[[#This Row],[mod]]="","",Table1[[#This Row],[mod]])</f>
        <v>tag</v>
      </c>
      <c r="K30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18" t="s">
        <v>344</v>
      </c>
      <c r="P3018" s="6" t="s">
        <v>2774</v>
      </c>
      <c r="Q30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18" s="29"/>
      <c r="AC3018" s="25"/>
      <c r="AD3018" s="41"/>
      <c r="AE3018" s="41"/>
      <c r="AF3018" s="11"/>
      <c r="AH3018" s="1" t="str">
        <f>Table1[[#This Row],[html_tag]]&amp;Table1[[#This Row],[html_type]]&amp;Table1[[#This Row],[html_modifier]]</f>
        <v/>
      </c>
      <c r="AL3018" s="22" t="str">
        <f>IFERROR(_xlfn.XLOOKUP(Table1[[#This Row],[word]],Table57[English style name],Table57[Style type]),"")</f>
        <v/>
      </c>
      <c r="AM3018" s="20"/>
      <c r="AN3018" s="11"/>
      <c r="AQ3018" s="6" t="s">
        <v>2774</v>
      </c>
      <c r="AR3018" t="s">
        <v>2772</v>
      </c>
    </row>
    <row r="3019" spans="5:44">
      <c r="E3019" s="11"/>
      <c r="F30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19" s="13" t="s">
        <v>337</v>
      </c>
      <c r="H3019" s="13" t="s">
        <v>2987</v>
      </c>
      <c r="I3019" s="12" t="str">
        <f>Table1[[#This Row],[type]]</f>
        <v>tag</v>
      </c>
      <c r="J3019" s="62" t="str">
        <f>Table1[[#This Row],[Column42]]&amp;IF(Table1[[#This Row],[Column13]]="","",Table1[[#This Row],[Column13]])&amp;IF(Table1[[#This Row],[mod]]="","",Table1[[#This Row],[mod]])</f>
        <v>tag</v>
      </c>
      <c r="K30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19" t="s">
        <v>344</v>
      </c>
      <c r="P3019" s="6" t="s">
        <v>2775</v>
      </c>
      <c r="Q30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19" s="29"/>
      <c r="AC3019" s="25"/>
      <c r="AD3019" s="41"/>
      <c r="AE3019" s="41"/>
      <c r="AF3019" s="11"/>
      <c r="AH3019" s="1" t="str">
        <f>Table1[[#This Row],[html_tag]]&amp;Table1[[#This Row],[html_type]]&amp;Table1[[#This Row],[html_modifier]]</f>
        <v/>
      </c>
      <c r="AL3019" s="22" t="str">
        <f>IFERROR(_xlfn.XLOOKUP(Table1[[#This Row],[word]],Table57[English style name],Table57[Style type]),"")</f>
        <v/>
      </c>
      <c r="AM3019" s="20"/>
      <c r="AN3019" s="11"/>
      <c r="AQ3019" s="6" t="s">
        <v>2775</v>
      </c>
      <c r="AR3019" t="s">
        <v>2772</v>
      </c>
    </row>
    <row r="3020" spans="5:44">
      <c r="E3020" s="11"/>
      <c r="F30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20" s="13" t="s">
        <v>337</v>
      </c>
      <c r="H3020" s="13" t="s">
        <v>2987</v>
      </c>
      <c r="I3020" s="12" t="str">
        <f>Table1[[#This Row],[type]]</f>
        <v>tag</v>
      </c>
      <c r="J3020" s="62" t="str">
        <f>Table1[[#This Row],[Column42]]&amp;IF(Table1[[#This Row],[Column13]]="","",Table1[[#This Row],[Column13]])&amp;IF(Table1[[#This Row],[mod]]="","",Table1[[#This Row],[mod]])</f>
        <v>tag</v>
      </c>
      <c r="K30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0" t="s">
        <v>344</v>
      </c>
      <c r="P3020" s="6" t="s">
        <v>2776</v>
      </c>
      <c r="Q30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0" s="29"/>
      <c r="AC3020" s="25"/>
      <c r="AD3020" s="41"/>
      <c r="AE3020" s="41"/>
      <c r="AF3020" s="11"/>
      <c r="AH3020" s="1" t="str">
        <f>Table1[[#This Row],[html_tag]]&amp;Table1[[#This Row],[html_type]]&amp;Table1[[#This Row],[html_modifier]]</f>
        <v/>
      </c>
      <c r="AL3020" s="22" t="str">
        <f>IFERROR(_xlfn.XLOOKUP(Table1[[#This Row],[word]],Table57[English style name],Table57[Style type]),"")</f>
        <v/>
      </c>
      <c r="AM3020" s="20"/>
      <c r="AN3020" s="11"/>
      <c r="AQ3020" s="6" t="s">
        <v>2776</v>
      </c>
      <c r="AR3020" t="s">
        <v>2772</v>
      </c>
    </row>
    <row r="3021" spans="5:44">
      <c r="E3021" s="11"/>
      <c r="F30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21" s="13" t="s">
        <v>337</v>
      </c>
      <c r="H3021" s="13" t="s">
        <v>2987</v>
      </c>
      <c r="I3021" s="12" t="str">
        <f>Table1[[#This Row],[type]]</f>
        <v>tag</v>
      </c>
      <c r="J3021" s="62" t="str">
        <f>Table1[[#This Row],[Column42]]&amp;IF(Table1[[#This Row],[Column13]]="","",Table1[[#This Row],[Column13]])&amp;IF(Table1[[#This Row],[mod]]="","",Table1[[#This Row],[mod]])</f>
        <v>tag</v>
      </c>
      <c r="K30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1" t="s">
        <v>344</v>
      </c>
      <c r="P3021" s="6" t="s">
        <v>2777</v>
      </c>
      <c r="Q30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1" s="29"/>
      <c r="AC3021" s="25"/>
      <c r="AD3021" s="41"/>
      <c r="AE3021" s="41"/>
      <c r="AF3021" s="11"/>
      <c r="AH3021" s="1" t="str">
        <f>Table1[[#This Row],[html_tag]]&amp;Table1[[#This Row],[html_type]]&amp;Table1[[#This Row],[html_modifier]]</f>
        <v/>
      </c>
      <c r="AL3021" s="22" t="str">
        <f>IFERROR(_xlfn.XLOOKUP(Table1[[#This Row],[word]],Table57[English style name],Table57[Style type]),"")</f>
        <v/>
      </c>
      <c r="AM3021" s="20"/>
      <c r="AN3021" s="11"/>
      <c r="AQ3021" s="6" t="s">
        <v>2777</v>
      </c>
      <c r="AR3021" t="s">
        <v>2772</v>
      </c>
    </row>
    <row r="3022" spans="5:44">
      <c r="E3022" s="11"/>
      <c r="F30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2" s="13"/>
      <c r="H3022" s="13"/>
      <c r="I3022" s="12" t="str">
        <f>Table1[[#This Row],[type]]</f>
        <v>tag</v>
      </c>
      <c r="J3022" s="62" t="str">
        <f>Table1[[#This Row],[Column42]]&amp;IF(Table1[[#This Row],[Column13]]="","",Table1[[#This Row],[Column13]])&amp;IF(Table1[[#This Row],[mod]]="","",Table1[[#This Row],[mod]])</f>
        <v>tag</v>
      </c>
      <c r="K30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2" t="s">
        <v>344</v>
      </c>
      <c r="Q30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2" s="29" t="s">
        <v>4480</v>
      </c>
      <c r="AC3022" s="25"/>
      <c r="AD3022" s="41"/>
      <c r="AE3022" s="41"/>
      <c r="AF3022" s="11"/>
      <c r="AH3022" s="7" t="str">
        <f>Table1[[#This Row],[html_tag]]&amp;Table1[[#This Row],[html_type]]&amp;Table1[[#This Row],[html_modifier]]</f>
        <v/>
      </c>
      <c r="AL3022" s="23" t="str">
        <f>IFERROR(_xlfn.XLOOKUP(Table1[[#This Row],[word]],Table57[English style name],Table57[Style type]),"")</f>
        <v/>
      </c>
      <c r="AM3022" s="21"/>
      <c r="AN3022" s="11"/>
    </row>
    <row r="3023" spans="5:44">
      <c r="E3023" s="11"/>
      <c r="F30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3" s="13"/>
      <c r="H3023" s="13"/>
      <c r="I3023" s="12" t="str">
        <f>Table1[[#This Row],[type]]</f>
        <v>tag</v>
      </c>
      <c r="J3023" s="62" t="str">
        <f>Table1[[#This Row],[Column42]]&amp;IF(Table1[[#This Row],[Column13]]="","",Table1[[#This Row],[Column13]])&amp;IF(Table1[[#This Row],[mod]]="","",Table1[[#This Row],[mod]])</f>
        <v>tag</v>
      </c>
      <c r="K30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3" t="s">
        <v>344</v>
      </c>
      <c r="Q30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3" s="29" t="s">
        <v>4483</v>
      </c>
      <c r="AC3023" s="25"/>
      <c r="AD3023" s="41"/>
      <c r="AE3023" s="41"/>
      <c r="AF3023" s="11"/>
      <c r="AH3023" s="7" t="str">
        <f>Table1[[#This Row],[html_tag]]&amp;Table1[[#This Row],[html_type]]&amp;Table1[[#This Row],[html_modifier]]</f>
        <v/>
      </c>
      <c r="AL3023" s="23" t="str">
        <f>IFERROR(_xlfn.XLOOKUP(Table1[[#This Row],[word]],Table57[English style name],Table57[Style type]),"")</f>
        <v/>
      </c>
      <c r="AM3023" s="21"/>
      <c r="AN3023" s="11"/>
    </row>
    <row r="3024" spans="5:44">
      <c r="E3024" s="11"/>
      <c r="F30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4" s="13"/>
      <c r="H3024" s="13"/>
      <c r="I3024" s="12" t="str">
        <f>Table1[[#This Row],[type]]</f>
        <v>tag</v>
      </c>
      <c r="J3024" s="62" t="str">
        <f>Table1[[#This Row],[Column42]]&amp;IF(Table1[[#This Row],[Column13]]="","",Table1[[#This Row],[Column13]])&amp;IF(Table1[[#This Row],[mod]]="","",Table1[[#This Row],[mod]])</f>
        <v>tag__center</v>
      </c>
      <c r="K30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tag__center</v>
      </c>
      <c r="L3024" t="s">
        <v>344</v>
      </c>
      <c r="N3024" t="s">
        <v>425</v>
      </c>
      <c r="Q30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4" s="29" t="s">
        <v>4484</v>
      </c>
      <c r="AC3024" s="25"/>
      <c r="AD3024" s="41"/>
      <c r="AE3024" s="41"/>
      <c r="AF3024" s="11"/>
      <c r="AH3024" s="7" t="str">
        <f>Table1[[#This Row],[html_tag]]&amp;Table1[[#This Row],[html_type]]&amp;Table1[[#This Row],[html_modifier]]</f>
        <v/>
      </c>
      <c r="AL3024" s="23" t="str">
        <f>IFERROR(_xlfn.XLOOKUP(Table1[[#This Row],[word]],Table57[English style name],Table57[Style type]),"")</f>
        <v/>
      </c>
      <c r="AM3024" s="21"/>
      <c r="AN3024" s="11"/>
    </row>
    <row r="3025" spans="5:44">
      <c r="E3025" s="11"/>
      <c r="F30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5" s="13"/>
      <c r="H3025" s="13"/>
      <c r="I3025" s="12" t="str">
        <f>Table1[[#This Row],[type]]</f>
        <v>tag</v>
      </c>
      <c r="J3025" s="62" t="str">
        <f>Table1[[#This Row],[Column42]]&amp;IF(Table1[[#This Row],[Column13]]="","",Table1[[#This Row],[Column13]])&amp;IF(Table1[[#This Row],[mod]]="","",Table1[[#This Row],[mod]])</f>
        <v>tag__right</v>
      </c>
      <c r="K30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tag__right</v>
      </c>
      <c r="L3025" t="s">
        <v>344</v>
      </c>
      <c r="N3025" t="s">
        <v>617</v>
      </c>
      <c r="Q30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5" s="29" t="s">
        <v>4485</v>
      </c>
      <c r="AC3025" s="25"/>
      <c r="AD3025" s="41"/>
      <c r="AE3025" s="41"/>
      <c r="AF3025" s="11"/>
      <c r="AH3025" s="7" t="str">
        <f>Table1[[#This Row],[html_tag]]&amp;Table1[[#This Row],[html_type]]&amp;Table1[[#This Row],[html_modifier]]</f>
        <v/>
      </c>
      <c r="AL3025" s="23" t="str">
        <f>IFERROR(_xlfn.XLOOKUP(Table1[[#This Row],[word]],Table57[English style name],Table57[Style type]),"")</f>
        <v/>
      </c>
      <c r="AM3025" s="21"/>
      <c r="AN3025" s="11"/>
    </row>
    <row r="3026" spans="5:44">
      <c r="E3026" s="11"/>
      <c r="F30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26" s="13" t="s">
        <v>337</v>
      </c>
      <c r="H3026" s="13" t="s">
        <v>2987</v>
      </c>
      <c r="I3026" s="12" t="str">
        <f>Table1[[#This Row],[type]]</f>
        <v>tag</v>
      </c>
      <c r="J3026" s="62" t="str">
        <f>Table1[[#This Row],[Column42]]&amp;IF(Table1[[#This Row],[Column13]]="","",Table1[[#This Row],[Column13]])&amp;IF(Table1[[#This Row],[mod]]="","",Table1[[#This Row],[mod]])</f>
        <v>tag__title</v>
      </c>
      <c r="K30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tag__title</v>
      </c>
      <c r="L3026" t="s">
        <v>344</v>
      </c>
      <c r="O3026" t="s">
        <v>333</v>
      </c>
      <c r="P3026" s="6"/>
      <c r="Q30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6" s="29"/>
      <c r="AC3026" s="25"/>
      <c r="AD3026" s="41"/>
      <c r="AE3026" s="41"/>
      <c r="AF3026" s="11"/>
      <c r="AH3026" s="1" t="str">
        <f>Table1[[#This Row],[html_tag]]&amp;Table1[[#This Row],[html_type]]&amp;Table1[[#This Row],[html_modifier]]</f>
        <v/>
      </c>
      <c r="AL3026" s="22" t="str">
        <f>IFERROR(_xlfn.XLOOKUP(Table1[[#This Row],[word]],Table57[English style name],Table57[Style type]),"")</f>
        <v/>
      </c>
      <c r="AM3026" s="20"/>
      <c r="AN3026" s="11"/>
      <c r="AQ3026" s="6" t="s">
        <v>2778</v>
      </c>
      <c r="AR3026" t="s">
        <v>2772</v>
      </c>
    </row>
    <row r="3027" spans="5:44">
      <c r="E3027" s="11"/>
      <c r="F30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27" s="13" t="s">
        <v>337</v>
      </c>
      <c r="H3027" s="13" t="s">
        <v>2987</v>
      </c>
      <c r="I3027" s="12" t="str">
        <f>Table1[[#This Row],[type]]</f>
        <v>tag</v>
      </c>
      <c r="J3027" s="62" t="str">
        <f>Table1[[#This Row],[Column42]]&amp;IF(Table1[[#This Row],[Column13]]="","",Table1[[#This Row],[Column13]])&amp;IF(Table1[[#This Row],[mod]]="","",Table1[[#This Row],[mod]])</f>
        <v>tag--base</v>
      </c>
      <c r="K30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7" t="s">
        <v>344</v>
      </c>
      <c r="P3027" s="6" t="s">
        <v>2771</v>
      </c>
      <c r="Q30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027" t="s">
        <v>338</v>
      </c>
      <c r="AB3027" s="29" t="s">
        <v>4479</v>
      </c>
      <c r="AC3027" s="25"/>
      <c r="AD3027" s="41"/>
      <c r="AE3027" s="41"/>
      <c r="AF3027" s="11"/>
      <c r="AH3027" s="1" t="str">
        <f>Table1[[#This Row],[html_tag]]&amp;Table1[[#This Row],[html_type]]&amp;Table1[[#This Row],[html_modifier]]</f>
        <v/>
      </c>
      <c r="AL3027" s="22" t="str">
        <f>IFERROR(_xlfn.XLOOKUP(Table1[[#This Row],[word]],Table57[English style name],Table57[Style type]),"")</f>
        <v/>
      </c>
      <c r="AM3027" s="20"/>
      <c r="AN3027" s="11"/>
      <c r="AQ3027" s="6" t="s">
        <v>2771</v>
      </c>
      <c r="AR3027" t="s">
        <v>2772</v>
      </c>
    </row>
    <row r="3028" spans="5:44">
      <c r="E3028" s="11"/>
      <c r="F30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8" s="13"/>
      <c r="H3028" s="13"/>
      <c r="I3028" s="12" t="str">
        <f>Table1[[#This Row],[type]]</f>
        <v>tag</v>
      </c>
      <c r="J3028" s="62" t="str">
        <f>Table1[[#This Row],[Column42]]&amp;IF(Table1[[#This Row],[Column13]]="","",Table1[[#This Row],[Column13]])&amp;IF(Table1[[#This Row],[mod]]="","",Table1[[#This Row],[mod]])</f>
        <v>tag--lg</v>
      </c>
      <c r="K30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8" t="s">
        <v>344</v>
      </c>
      <c r="Q30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028" t="s">
        <v>3114</v>
      </c>
      <c r="AB3028" s="29" t="s">
        <v>4481</v>
      </c>
      <c r="AC3028" s="25"/>
      <c r="AD3028" s="41"/>
      <c r="AE3028" s="41"/>
      <c r="AF3028" s="11"/>
      <c r="AH3028" s="7" t="str">
        <f>Table1[[#This Row],[html_tag]]&amp;Table1[[#This Row],[html_type]]&amp;Table1[[#This Row],[html_modifier]]</f>
        <v/>
      </c>
      <c r="AL3028" s="23" t="str">
        <f>IFERROR(_xlfn.XLOOKUP(Table1[[#This Row],[word]],Table57[English style name],Table57[Style type]),"")</f>
        <v/>
      </c>
      <c r="AM3028" s="21"/>
      <c r="AN3028" s="11"/>
    </row>
    <row r="3029" spans="5:44">
      <c r="E3029" s="11"/>
      <c r="F30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9" s="13"/>
      <c r="H3029" s="13"/>
      <c r="I3029" s="12" t="str">
        <f>Table1[[#This Row],[type]]</f>
        <v>tag</v>
      </c>
      <c r="J3029" s="62" t="str">
        <f>Table1[[#This Row],[Column42]]&amp;IF(Table1[[#This Row],[Column13]]="","",Table1[[#This Row],[Column13]])&amp;IF(Table1[[#This Row],[mod]]="","",Table1[[#This Row],[mod]])</f>
        <v>tag--md</v>
      </c>
      <c r="K30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9" t="s">
        <v>344</v>
      </c>
      <c r="Q30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029" t="s">
        <v>3115</v>
      </c>
      <c r="AB3029" s="29" t="s">
        <v>4482</v>
      </c>
      <c r="AC3029" s="25"/>
      <c r="AD3029" s="41"/>
      <c r="AE3029" s="41"/>
      <c r="AF3029" s="11"/>
      <c r="AH3029" s="7" t="str">
        <f>Table1[[#This Row],[html_tag]]&amp;Table1[[#This Row],[html_type]]&amp;Table1[[#This Row],[html_modifier]]</f>
        <v/>
      </c>
      <c r="AL3029" s="23" t="str">
        <f>IFERROR(_xlfn.XLOOKUP(Table1[[#This Row],[word]],Table57[English style name],Table57[Style type]),"")</f>
        <v/>
      </c>
      <c r="AM3029" s="21"/>
      <c r="AN3029" s="11"/>
    </row>
    <row r="3030" spans="5:44">
      <c r="E3030" s="11"/>
      <c r="F30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0" s="13"/>
      <c r="H3030" s="13"/>
      <c r="I3030" s="12" t="str">
        <f>Table1[[#This Row],[type]]</f>
        <v>text</v>
      </c>
      <c r="J3030" s="62" t="str">
        <f>Table1[[#This Row],[Column42]]&amp;IF(Table1[[#This Row],[Column13]]="","",Table1[[#This Row],[Column13]])&amp;IF(Table1[[#This Row],[mod]]="","",Table1[[#This Row],[mod]])</f>
        <v>text</v>
      </c>
      <c r="K30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0" t="s">
        <v>403</v>
      </c>
      <c r="Q30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0" s="29"/>
      <c r="AC3030" s="25"/>
      <c r="AD3030" s="41" t="s">
        <v>7355</v>
      </c>
      <c r="AE3030" s="41"/>
      <c r="AF3030" s="11"/>
      <c r="AH3030" s="7" t="str">
        <f>Table1[[#This Row],[html_tag]]&amp;Table1[[#This Row],[html_type]]&amp;Table1[[#This Row],[html_modifier]]</f>
        <v/>
      </c>
      <c r="AL3030" s="23" t="str">
        <f>IFERROR(_xlfn.XLOOKUP(Table1[[#This Row],[word]],Table57[English style name],Table57[Style type]),"")</f>
        <v/>
      </c>
      <c r="AM3030" s="21"/>
      <c r="AN3030" s="11"/>
    </row>
    <row r="3031" spans="5:44">
      <c r="E3031" s="11"/>
      <c r="F30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031" s="13" t="s">
        <v>2992</v>
      </c>
      <c r="H3031" s="13" t="s">
        <v>1</v>
      </c>
      <c r="I3031" s="12" t="str">
        <f>Table1[[#This Row],[type]]</f>
        <v>text</v>
      </c>
      <c r="J3031" s="62" t="str">
        <f>Table1[[#This Row],[Column42]]&amp;IF(Table1[[#This Row],[Column13]]="","",Table1[[#This Row],[Column13]])&amp;IF(Table1[[#This Row],[mod]]="","",Table1[[#This Row],[mod]])</f>
        <v>text</v>
      </c>
      <c r="K30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1" t="s">
        <v>403</v>
      </c>
      <c r="P3031" s="6" t="s">
        <v>2813</v>
      </c>
      <c r="Q30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1" s="29"/>
      <c r="AC3031" s="25"/>
      <c r="AD3031" s="41"/>
      <c r="AE3031" s="41"/>
      <c r="AF3031" s="11"/>
      <c r="AH3031" s="1" t="str">
        <f>Table1[[#This Row],[html_tag]]&amp;Table1[[#This Row],[html_type]]&amp;Table1[[#This Row],[html_modifier]]</f>
        <v/>
      </c>
      <c r="AL3031" s="22" t="str">
        <f>IFERROR(_xlfn.XLOOKUP(Table1[[#This Row],[word]],Table57[English style name],Table57[Style type]),"")</f>
        <v/>
      </c>
      <c r="AM3031" s="20"/>
      <c r="AN3031" s="11"/>
      <c r="AQ3031" s="6" t="s">
        <v>2813</v>
      </c>
      <c r="AR3031" t="s">
        <v>2810</v>
      </c>
    </row>
    <row r="3032" spans="5:44">
      <c r="E3032" s="11"/>
      <c r="F30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032" s="13" t="s">
        <v>2992</v>
      </c>
      <c r="H3032" s="13" t="s">
        <v>1</v>
      </c>
      <c r="I3032" s="12" t="str">
        <f>Table1[[#This Row],[type]]</f>
        <v>text</v>
      </c>
      <c r="J3032" s="62" t="str">
        <f>Table1[[#This Row],[Column42]]&amp;IF(Table1[[#This Row],[Column13]]="","",Table1[[#This Row],[Column13]])&amp;IF(Table1[[#This Row],[mod]]="","",Table1[[#This Row],[mod]])</f>
        <v>text</v>
      </c>
      <c r="K30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2" t="s">
        <v>403</v>
      </c>
      <c r="P3032" s="6" t="s">
        <v>2814</v>
      </c>
      <c r="Q30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2" s="29"/>
      <c r="AC3032" s="25"/>
      <c r="AD3032" s="41"/>
      <c r="AE3032" s="41"/>
      <c r="AF3032" s="11"/>
      <c r="AH3032" s="1" t="str">
        <f>Table1[[#This Row],[html_tag]]&amp;Table1[[#This Row],[html_type]]&amp;Table1[[#This Row],[html_modifier]]</f>
        <v/>
      </c>
      <c r="AL3032" s="22" t="str">
        <f>IFERROR(_xlfn.XLOOKUP(Table1[[#This Row],[word]],Table57[English style name],Table57[Style type]),"")</f>
        <v/>
      </c>
      <c r="AM3032" s="20"/>
      <c r="AN3032" s="11"/>
      <c r="AQ3032" s="6" t="s">
        <v>2814</v>
      </c>
      <c r="AR3032" t="s">
        <v>2810</v>
      </c>
    </row>
    <row r="3033" spans="5:44">
      <c r="E3033" s="11"/>
      <c r="F30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033" s="13" t="s">
        <v>2992</v>
      </c>
      <c r="H3033" s="13" t="s">
        <v>1</v>
      </c>
      <c r="I3033" s="12" t="str">
        <f>Table1[[#This Row],[type]]</f>
        <v>text</v>
      </c>
      <c r="J3033" s="62" t="str">
        <f>Table1[[#This Row],[Column42]]&amp;IF(Table1[[#This Row],[Column13]]="","",Table1[[#This Row],[Column13]])&amp;IF(Table1[[#This Row],[mod]]="","",Table1[[#This Row],[mod]])</f>
        <v>text</v>
      </c>
      <c r="K30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3" t="s">
        <v>403</v>
      </c>
      <c r="P3033" s="6" t="s">
        <v>2815</v>
      </c>
      <c r="Q30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3" s="29"/>
      <c r="AC3033" s="25"/>
      <c r="AD3033" s="41"/>
      <c r="AE3033" s="41"/>
      <c r="AF3033" s="11"/>
      <c r="AH3033" s="1" t="str">
        <f>Table1[[#This Row],[html_tag]]&amp;Table1[[#This Row],[html_type]]&amp;Table1[[#This Row],[html_modifier]]</f>
        <v/>
      </c>
      <c r="AL3033" s="22" t="str">
        <f>IFERROR(_xlfn.XLOOKUP(Table1[[#This Row],[word]],Table57[English style name],Table57[Style type]),"")</f>
        <v/>
      </c>
      <c r="AM3033" s="20"/>
      <c r="AN3033" s="11"/>
      <c r="AQ3033" s="6" t="s">
        <v>2815</v>
      </c>
      <c r="AR3033" t="s">
        <v>2810</v>
      </c>
    </row>
    <row r="3034" spans="5:44">
      <c r="E3034" s="11"/>
      <c r="F30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4" s="13"/>
      <c r="H3034" s="13"/>
      <c r="I3034" s="12" t="str">
        <f>Table1[[#This Row],[type]]</f>
        <v>text</v>
      </c>
      <c r="J3034" s="62" t="str">
        <f>Table1[[#This Row],[Column42]]&amp;IF(Table1[[#This Row],[Column13]]="","",Table1[[#This Row],[Column13]])&amp;IF(Table1[[#This Row],[mod]]="","",Table1[[#This Row],[mod]])</f>
        <v>text</v>
      </c>
      <c r="K30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4" t="s">
        <v>403</v>
      </c>
      <c r="P3034" s="24" t="s">
        <v>3777</v>
      </c>
      <c r="Q30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4" s="29"/>
      <c r="AC3034" s="25" t="s">
        <v>3777</v>
      </c>
      <c r="AD3034" s="41"/>
      <c r="AE3034" s="41"/>
      <c r="AF3034" s="11"/>
      <c r="AH3034" s="7" t="str">
        <f>Table1[[#This Row],[html_tag]]&amp;Table1[[#This Row],[html_type]]&amp;Table1[[#This Row],[html_modifier]]</f>
        <v/>
      </c>
      <c r="AL3034" s="23" t="str">
        <f>IFERROR(_xlfn.XLOOKUP(Table1[[#This Row],[word]],Table57[English style name],Table57[Style type]),"")</f>
        <v/>
      </c>
      <c r="AM3034" s="21"/>
      <c r="AN3034" s="11"/>
    </row>
    <row r="3035" spans="5:44">
      <c r="E3035" s="11"/>
      <c r="F30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5" s="13"/>
      <c r="H3035" s="13"/>
      <c r="I3035" s="12" t="str">
        <f>Table1[[#This Row],[type]]</f>
        <v>text</v>
      </c>
      <c r="J3035" s="62" t="str">
        <f>Table1[[#This Row],[Column42]]&amp;IF(Table1[[#This Row],[Column13]]="","",Table1[[#This Row],[Column13]])&amp;IF(Table1[[#This Row],[mod]]="","",Table1[[#This Row],[mod]])</f>
        <v>text</v>
      </c>
      <c r="K30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5" t="s">
        <v>403</v>
      </c>
      <c r="P3035" s="24" t="s">
        <v>3778</v>
      </c>
      <c r="Q30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5" s="29"/>
      <c r="AC3035" s="25" t="s">
        <v>3778</v>
      </c>
      <c r="AD3035" s="41"/>
      <c r="AE3035" s="41"/>
      <c r="AF3035" s="11"/>
      <c r="AH3035" s="7" t="str">
        <f>Table1[[#This Row],[html_tag]]&amp;Table1[[#This Row],[html_type]]&amp;Table1[[#This Row],[html_modifier]]</f>
        <v/>
      </c>
      <c r="AL3035" s="23" t="str">
        <f>IFERROR(_xlfn.XLOOKUP(Table1[[#This Row],[word]],Table57[English style name],Table57[Style type]),"")</f>
        <v/>
      </c>
      <c r="AM3035" s="21"/>
      <c r="AN3035" s="11"/>
    </row>
    <row r="3036" spans="5:44">
      <c r="E3036" s="11"/>
      <c r="F30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6" s="13"/>
      <c r="H3036" s="13"/>
      <c r="I3036" s="12" t="str">
        <f>Table1[[#This Row],[type]]</f>
        <v>text</v>
      </c>
      <c r="J3036" s="62" t="str">
        <f>Table1[[#This Row],[Column42]]&amp;IF(Table1[[#This Row],[Column13]]="","",Table1[[#This Row],[Column13]])&amp;IF(Table1[[#This Row],[mod]]="","",Table1[[#This Row],[mod]])</f>
        <v>text</v>
      </c>
      <c r="K30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6" t="s">
        <v>403</v>
      </c>
      <c r="P3036" s="24" t="s">
        <v>3779</v>
      </c>
      <c r="Q30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6" s="29"/>
      <c r="AC3036" s="25" t="s">
        <v>3779</v>
      </c>
      <c r="AD3036" s="41"/>
      <c r="AE3036" s="41"/>
      <c r="AF3036" s="11"/>
      <c r="AH3036" s="7" t="str">
        <f>Table1[[#This Row],[html_tag]]&amp;Table1[[#This Row],[html_type]]&amp;Table1[[#This Row],[html_modifier]]</f>
        <v/>
      </c>
      <c r="AL3036" s="23" t="str">
        <f>IFERROR(_xlfn.XLOOKUP(Table1[[#This Row],[word]],Table57[English style name],Table57[Style type]),"")</f>
        <v/>
      </c>
      <c r="AM3036" s="21"/>
      <c r="AN3036" s="11"/>
    </row>
    <row r="3037" spans="5:44">
      <c r="E3037" s="11"/>
      <c r="F30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7" s="13"/>
      <c r="H3037" s="13"/>
      <c r="I3037" s="12" t="str">
        <f>Table1[[#This Row],[type]]</f>
        <v>text</v>
      </c>
      <c r="J3037" s="62" t="str">
        <f>Table1[[#This Row],[Column42]]&amp;IF(Table1[[#This Row],[Column13]]="","",Table1[[#This Row],[Column13]])&amp;IF(Table1[[#This Row],[mod]]="","",Table1[[#This Row],[mod]])</f>
        <v>text</v>
      </c>
      <c r="K30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7" t="s">
        <v>403</v>
      </c>
      <c r="P3037" s="24" t="s">
        <v>3780</v>
      </c>
      <c r="Q30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7" s="29"/>
      <c r="AC3037" s="25" t="s">
        <v>3780</v>
      </c>
      <c r="AD3037" s="41"/>
      <c r="AE3037" s="41"/>
      <c r="AF3037" s="11"/>
      <c r="AH3037" s="7" t="str">
        <f>Table1[[#This Row],[html_tag]]&amp;Table1[[#This Row],[html_type]]&amp;Table1[[#This Row],[html_modifier]]</f>
        <v/>
      </c>
      <c r="AL3037" s="23" t="str">
        <f>IFERROR(_xlfn.XLOOKUP(Table1[[#This Row],[word]],Table57[English style name],Table57[Style type]),"")</f>
        <v/>
      </c>
      <c r="AM3037" s="21"/>
      <c r="AN3037" s="11"/>
    </row>
    <row r="3038" spans="5:44">
      <c r="E3038" s="11"/>
      <c r="F30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8" s="13"/>
      <c r="H3038" s="13"/>
      <c r="I3038" s="12" t="str">
        <f>Table1[[#This Row],[type]]</f>
        <v>text</v>
      </c>
      <c r="J3038" s="62" t="str">
        <f>Table1[[#This Row],[Column42]]&amp;IF(Table1[[#This Row],[Column13]]="","",Table1[[#This Row],[Column13]])&amp;IF(Table1[[#This Row],[mod]]="","",Table1[[#This Row],[mod]])</f>
        <v>text</v>
      </c>
      <c r="K30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8" t="s">
        <v>403</v>
      </c>
      <c r="P3038" s="24" t="s">
        <v>3781</v>
      </c>
      <c r="Q30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8" s="29"/>
      <c r="AC3038" s="25" t="s">
        <v>3781</v>
      </c>
      <c r="AD3038" s="41"/>
      <c r="AE3038" s="41"/>
      <c r="AF3038" s="11"/>
      <c r="AH3038" s="7" t="str">
        <f>Table1[[#This Row],[html_tag]]&amp;Table1[[#This Row],[html_type]]&amp;Table1[[#This Row],[html_modifier]]</f>
        <v/>
      </c>
      <c r="AL3038" s="23" t="str">
        <f>IFERROR(_xlfn.XLOOKUP(Table1[[#This Row],[word]],Table57[English style name],Table57[Style type]),"")</f>
        <v/>
      </c>
      <c r="AM3038" s="21"/>
      <c r="AN3038" s="11"/>
    </row>
    <row r="3039" spans="5:44">
      <c r="E3039" s="11"/>
      <c r="F30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9" s="13"/>
      <c r="H3039" s="13"/>
      <c r="I3039" s="12" t="str">
        <f>Table1[[#This Row],[type]]</f>
        <v>text</v>
      </c>
      <c r="J3039" s="62" t="str">
        <f>Table1[[#This Row],[Column42]]&amp;IF(Table1[[#This Row],[Column13]]="","",Table1[[#This Row],[Column13]])&amp;IF(Table1[[#This Row],[mod]]="","",Table1[[#This Row],[mod]])</f>
        <v>text</v>
      </c>
      <c r="K30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9" t="s">
        <v>403</v>
      </c>
      <c r="P3039" s="24" t="s">
        <v>3782</v>
      </c>
      <c r="Q30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9" s="29"/>
      <c r="AC3039" s="25" t="s">
        <v>3782</v>
      </c>
      <c r="AD3039" s="41"/>
      <c r="AE3039" s="41"/>
      <c r="AF3039" s="11"/>
      <c r="AH3039" s="7" t="str">
        <f>Table1[[#This Row],[html_tag]]&amp;Table1[[#This Row],[html_type]]&amp;Table1[[#This Row],[html_modifier]]</f>
        <v/>
      </c>
      <c r="AL3039" s="23" t="str">
        <f>IFERROR(_xlfn.XLOOKUP(Table1[[#This Row],[word]],Table57[English style name],Table57[Style type]),"")</f>
        <v/>
      </c>
      <c r="AM3039" s="21"/>
      <c r="AN3039" s="11"/>
    </row>
    <row r="3040" spans="5:44">
      <c r="E3040" s="11"/>
      <c r="F30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0" s="13"/>
      <c r="H3040" s="13"/>
      <c r="I3040" s="12" t="str">
        <f>Table1[[#This Row],[type]]</f>
        <v>text</v>
      </c>
      <c r="J3040" s="62" t="str">
        <f>Table1[[#This Row],[Column42]]&amp;IF(Table1[[#This Row],[Column13]]="","",Table1[[#This Row],[Column13]])&amp;IF(Table1[[#This Row],[mod]]="","",Table1[[#This Row],[mod]])</f>
        <v>text</v>
      </c>
      <c r="K30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0" t="s">
        <v>403</v>
      </c>
      <c r="P3040" s="24" t="s">
        <v>3783</v>
      </c>
      <c r="Q30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0" s="29"/>
      <c r="AC3040" s="25" t="s">
        <v>3783</v>
      </c>
      <c r="AD3040" s="41"/>
      <c r="AE3040" s="41"/>
      <c r="AF3040" s="11"/>
      <c r="AH3040" s="7" t="str">
        <f>Table1[[#This Row],[html_tag]]&amp;Table1[[#This Row],[html_type]]&amp;Table1[[#This Row],[html_modifier]]</f>
        <v/>
      </c>
      <c r="AL3040" s="23" t="str">
        <f>IFERROR(_xlfn.XLOOKUP(Table1[[#This Row],[word]],Table57[English style name],Table57[Style type]),"")</f>
        <v/>
      </c>
      <c r="AM3040" s="21"/>
      <c r="AN3040" s="11"/>
    </row>
    <row r="3041" spans="5:40">
      <c r="E3041" s="11"/>
      <c r="F30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1" s="13"/>
      <c r="H3041" s="13"/>
      <c r="I3041" s="12" t="str">
        <f>Table1[[#This Row],[type]]</f>
        <v>text</v>
      </c>
      <c r="J3041" s="62" t="str">
        <f>Table1[[#This Row],[Column42]]&amp;IF(Table1[[#This Row],[Column13]]="","",Table1[[#This Row],[Column13]])&amp;IF(Table1[[#This Row],[mod]]="","",Table1[[#This Row],[mod]])</f>
        <v>text</v>
      </c>
      <c r="K30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1" t="s">
        <v>403</v>
      </c>
      <c r="P3041" s="24" t="s">
        <v>3784</v>
      </c>
      <c r="Q30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1" s="29"/>
      <c r="AC3041" s="25" t="s">
        <v>3784</v>
      </c>
      <c r="AD3041" s="41"/>
      <c r="AE3041" s="41"/>
      <c r="AF3041" s="11"/>
      <c r="AH3041" s="7" t="str">
        <f>Table1[[#This Row],[html_tag]]&amp;Table1[[#This Row],[html_type]]&amp;Table1[[#This Row],[html_modifier]]</f>
        <v/>
      </c>
      <c r="AL3041" s="23" t="str">
        <f>IFERROR(_xlfn.XLOOKUP(Table1[[#This Row],[word]],Table57[English style name],Table57[Style type]),"")</f>
        <v/>
      </c>
      <c r="AM3041" s="21"/>
      <c r="AN3041" s="11"/>
    </row>
    <row r="3042" spans="5:40">
      <c r="E3042" s="11"/>
      <c r="F30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2" s="13"/>
      <c r="H3042" s="13"/>
      <c r="I3042" s="12" t="str">
        <f>Table1[[#This Row],[type]]</f>
        <v>text</v>
      </c>
      <c r="J3042" s="62" t="str">
        <f>Table1[[#This Row],[Column42]]&amp;IF(Table1[[#This Row],[Column13]]="","",Table1[[#This Row],[Column13]])&amp;IF(Table1[[#This Row],[mod]]="","",Table1[[#This Row],[mod]])</f>
        <v>text</v>
      </c>
      <c r="K30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2" t="s">
        <v>403</v>
      </c>
      <c r="P3042" s="24" t="s">
        <v>3785</v>
      </c>
      <c r="Q30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2" s="29"/>
      <c r="AC3042" s="25" t="s">
        <v>3785</v>
      </c>
      <c r="AD3042" s="41"/>
      <c r="AE3042" s="41"/>
      <c r="AF3042" s="11"/>
      <c r="AH3042" s="7" t="str">
        <f>Table1[[#This Row],[html_tag]]&amp;Table1[[#This Row],[html_type]]&amp;Table1[[#This Row],[html_modifier]]</f>
        <v/>
      </c>
      <c r="AL3042" s="23" t="str">
        <f>IFERROR(_xlfn.XLOOKUP(Table1[[#This Row],[word]],Table57[English style name],Table57[Style type]),"")</f>
        <v/>
      </c>
      <c r="AM3042" s="21"/>
      <c r="AN3042" s="11"/>
    </row>
    <row r="3043" spans="5:40">
      <c r="E3043" s="11"/>
      <c r="F30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3" s="13"/>
      <c r="H3043" s="13"/>
      <c r="I3043" s="12" t="str">
        <f>Table1[[#This Row],[type]]</f>
        <v>text</v>
      </c>
      <c r="J3043" s="62" t="str">
        <f>Table1[[#This Row],[Column42]]&amp;IF(Table1[[#This Row],[Column13]]="","",Table1[[#This Row],[Column13]])&amp;IF(Table1[[#This Row],[mod]]="","",Table1[[#This Row],[mod]])</f>
        <v>text</v>
      </c>
      <c r="K30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3" t="s">
        <v>403</v>
      </c>
      <c r="P3043" s="24" t="s">
        <v>3786</v>
      </c>
      <c r="Q30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3" s="29"/>
      <c r="AC3043" s="25" t="s">
        <v>3786</v>
      </c>
      <c r="AD3043" s="41"/>
      <c r="AE3043" s="41"/>
      <c r="AF3043" s="11"/>
      <c r="AH3043" s="7" t="str">
        <f>Table1[[#This Row],[html_tag]]&amp;Table1[[#This Row],[html_type]]&amp;Table1[[#This Row],[html_modifier]]</f>
        <v/>
      </c>
      <c r="AL3043" s="23" t="str">
        <f>IFERROR(_xlfn.XLOOKUP(Table1[[#This Row],[word]],Table57[English style name],Table57[Style type]),"")</f>
        <v/>
      </c>
      <c r="AM3043" s="21"/>
      <c r="AN3043" s="11"/>
    </row>
    <row r="3044" spans="5:40">
      <c r="E3044" s="11"/>
      <c r="F30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4" s="13"/>
      <c r="H3044" s="13"/>
      <c r="I3044" s="12" t="str">
        <f>Table1[[#This Row],[type]]</f>
        <v>text</v>
      </c>
      <c r="J3044" s="62" t="str">
        <f>Table1[[#This Row],[Column42]]&amp;IF(Table1[[#This Row],[Column13]]="","",Table1[[#This Row],[Column13]])&amp;IF(Table1[[#This Row],[mod]]="","",Table1[[#This Row],[mod]])</f>
        <v>text</v>
      </c>
      <c r="K30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4" t="s">
        <v>403</v>
      </c>
      <c r="P3044" s="24" t="s">
        <v>3787</v>
      </c>
      <c r="Q30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4" s="29"/>
      <c r="AC3044" s="25" t="s">
        <v>3787</v>
      </c>
      <c r="AD3044" s="41"/>
      <c r="AE3044" s="41"/>
      <c r="AF3044" s="11"/>
      <c r="AH3044" s="7" t="str">
        <f>Table1[[#This Row],[html_tag]]&amp;Table1[[#This Row],[html_type]]&amp;Table1[[#This Row],[html_modifier]]</f>
        <v/>
      </c>
      <c r="AL3044" s="23" t="str">
        <f>IFERROR(_xlfn.XLOOKUP(Table1[[#This Row],[word]],Table57[English style name],Table57[Style type]),"")</f>
        <v/>
      </c>
      <c r="AM3044" s="21"/>
      <c r="AN3044" s="11"/>
    </row>
    <row r="3045" spans="5:40">
      <c r="E3045" s="11"/>
      <c r="F30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5" s="13"/>
      <c r="H3045" s="13"/>
      <c r="I3045" s="12" t="str">
        <f>Table1[[#This Row],[type]]</f>
        <v>text</v>
      </c>
      <c r="J3045" s="62" t="str">
        <f>Table1[[#This Row],[Column42]]&amp;IF(Table1[[#This Row],[Column13]]="","",Table1[[#This Row],[Column13]])&amp;IF(Table1[[#This Row],[mod]]="","",Table1[[#This Row],[mod]])</f>
        <v>text</v>
      </c>
      <c r="K30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5" t="s">
        <v>403</v>
      </c>
      <c r="P3045" s="24" t="s">
        <v>3788</v>
      </c>
      <c r="Q30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5" s="29"/>
      <c r="AC3045" s="25" t="s">
        <v>3788</v>
      </c>
      <c r="AD3045" s="41"/>
      <c r="AE3045" s="41"/>
      <c r="AF3045" s="11"/>
      <c r="AH3045" s="7" t="str">
        <f>Table1[[#This Row],[html_tag]]&amp;Table1[[#This Row],[html_type]]&amp;Table1[[#This Row],[html_modifier]]</f>
        <v/>
      </c>
      <c r="AL3045" s="23" t="str">
        <f>IFERROR(_xlfn.XLOOKUP(Table1[[#This Row],[word]],Table57[English style name],Table57[Style type]),"")</f>
        <v/>
      </c>
      <c r="AM3045" s="21"/>
      <c r="AN3045" s="11"/>
    </row>
    <row r="3046" spans="5:40">
      <c r="E3046" s="11"/>
      <c r="F30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6" s="13"/>
      <c r="H3046" s="13"/>
      <c r="I3046" s="12" t="str">
        <f>Table1[[#This Row],[type]]</f>
        <v>text</v>
      </c>
      <c r="J3046" s="62" t="str">
        <f>Table1[[#This Row],[Column42]]&amp;IF(Table1[[#This Row],[Column13]]="","",Table1[[#This Row],[Column13]])&amp;IF(Table1[[#This Row],[mod]]="","",Table1[[#This Row],[mod]])</f>
        <v>text</v>
      </c>
      <c r="K30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6" t="s">
        <v>403</v>
      </c>
      <c r="P3046" s="24" t="s">
        <v>3789</v>
      </c>
      <c r="Q30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6" s="29"/>
      <c r="AC3046" s="25" t="s">
        <v>3789</v>
      </c>
      <c r="AD3046" s="41"/>
      <c r="AE3046" s="41"/>
      <c r="AF3046" s="11"/>
      <c r="AH3046" s="7" t="str">
        <f>Table1[[#This Row],[html_tag]]&amp;Table1[[#This Row],[html_type]]&amp;Table1[[#This Row],[html_modifier]]</f>
        <v/>
      </c>
      <c r="AL3046" s="23" t="str">
        <f>IFERROR(_xlfn.XLOOKUP(Table1[[#This Row],[word]],Table57[English style name],Table57[Style type]),"")</f>
        <v/>
      </c>
      <c r="AM3046" s="21"/>
      <c r="AN3046" s="11"/>
    </row>
    <row r="3047" spans="5:40">
      <c r="E3047" s="11"/>
      <c r="F30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7" s="13"/>
      <c r="H3047" s="13"/>
      <c r="I3047" s="12" t="str">
        <f>Table1[[#This Row],[type]]</f>
        <v>text</v>
      </c>
      <c r="J3047" s="62" t="str">
        <f>Table1[[#This Row],[Column42]]&amp;IF(Table1[[#This Row],[Column13]]="","",Table1[[#This Row],[Column13]])&amp;IF(Table1[[#This Row],[mod]]="","",Table1[[#This Row],[mod]])</f>
        <v>text</v>
      </c>
      <c r="K30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7" t="s">
        <v>403</v>
      </c>
      <c r="P3047" s="24" t="s">
        <v>3789</v>
      </c>
      <c r="Q30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7" s="29"/>
      <c r="AC3047" s="25" t="s">
        <v>3789</v>
      </c>
      <c r="AD3047" s="41"/>
      <c r="AE3047" s="41"/>
      <c r="AF3047" s="11"/>
      <c r="AH3047" s="7" t="str">
        <f>Table1[[#This Row],[html_tag]]&amp;Table1[[#This Row],[html_type]]&amp;Table1[[#This Row],[html_modifier]]</f>
        <v/>
      </c>
      <c r="AL3047" s="23" t="str">
        <f>IFERROR(_xlfn.XLOOKUP(Table1[[#This Row],[word]],Table57[English style name],Table57[Style type]),"")</f>
        <v/>
      </c>
      <c r="AM3047" s="21"/>
      <c r="AN3047" s="11"/>
    </row>
    <row r="3048" spans="5:40">
      <c r="E3048" s="11"/>
      <c r="F30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8" s="13"/>
      <c r="H3048" s="13"/>
      <c r="I3048" s="12" t="str">
        <f>Table1[[#This Row],[type]]</f>
        <v>text</v>
      </c>
      <c r="J3048" s="62" t="str">
        <f>Table1[[#This Row],[Column42]]&amp;IF(Table1[[#This Row],[Column13]]="","",Table1[[#This Row],[Column13]])&amp;IF(Table1[[#This Row],[mod]]="","",Table1[[#This Row],[mod]])</f>
        <v>text</v>
      </c>
      <c r="K30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8" t="s">
        <v>403</v>
      </c>
      <c r="P3048" s="24" t="s">
        <v>3790</v>
      </c>
      <c r="Q30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8" s="29"/>
      <c r="AC3048" s="25" t="s">
        <v>3790</v>
      </c>
      <c r="AD3048" s="41"/>
      <c r="AE3048" s="41"/>
      <c r="AF3048" s="11"/>
      <c r="AH3048" s="7" t="str">
        <f>Table1[[#This Row],[html_tag]]&amp;Table1[[#This Row],[html_type]]&amp;Table1[[#This Row],[html_modifier]]</f>
        <v/>
      </c>
      <c r="AL3048" s="23" t="str">
        <f>IFERROR(_xlfn.XLOOKUP(Table1[[#This Row],[word]],Table57[English style name],Table57[Style type]),"")</f>
        <v/>
      </c>
      <c r="AM3048" s="21"/>
      <c r="AN3048" s="11"/>
    </row>
    <row r="3049" spans="5:40">
      <c r="E3049" s="11"/>
      <c r="F30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9" s="13"/>
      <c r="H3049" s="13"/>
      <c r="I3049" s="12" t="str">
        <f>Table1[[#This Row],[type]]</f>
        <v>text</v>
      </c>
      <c r="J3049" s="62" t="str">
        <f>Table1[[#This Row],[Column42]]&amp;IF(Table1[[#This Row],[Column13]]="","",Table1[[#This Row],[Column13]])&amp;IF(Table1[[#This Row],[mod]]="","",Table1[[#This Row],[mod]])</f>
        <v>text</v>
      </c>
      <c r="K30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9" t="s">
        <v>403</v>
      </c>
      <c r="P3049" s="24" t="s">
        <v>3791</v>
      </c>
      <c r="Q30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9" s="29"/>
      <c r="AC3049" s="25" t="s">
        <v>3791</v>
      </c>
      <c r="AD3049" s="41"/>
      <c r="AE3049" s="41"/>
      <c r="AF3049" s="11"/>
      <c r="AH3049" s="7" t="str">
        <f>Table1[[#This Row],[html_tag]]&amp;Table1[[#This Row],[html_type]]&amp;Table1[[#This Row],[html_modifier]]</f>
        <v/>
      </c>
      <c r="AL3049" s="23" t="str">
        <f>IFERROR(_xlfn.XLOOKUP(Table1[[#This Row],[word]],Table57[English style name],Table57[Style type]),"")</f>
        <v/>
      </c>
      <c r="AM3049" s="21"/>
      <c r="AN3049" s="11"/>
    </row>
    <row r="3050" spans="5:40">
      <c r="E3050" s="11"/>
      <c r="F30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0" s="13"/>
      <c r="H3050" s="13"/>
      <c r="I3050" s="12" t="str">
        <f>Table1[[#This Row],[type]]</f>
        <v>text</v>
      </c>
      <c r="J3050" s="62" t="str">
        <f>Table1[[#This Row],[Column42]]&amp;IF(Table1[[#This Row],[Column13]]="","",Table1[[#This Row],[Column13]])&amp;IF(Table1[[#This Row],[mod]]="","",Table1[[#This Row],[mod]])</f>
        <v>text</v>
      </c>
      <c r="K30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0" t="s">
        <v>403</v>
      </c>
      <c r="P3050" s="24" t="s">
        <v>3795</v>
      </c>
      <c r="Q30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0" s="29"/>
      <c r="AC3050" s="25" t="s">
        <v>3795</v>
      </c>
      <c r="AD3050" s="41"/>
      <c r="AE3050" s="41"/>
      <c r="AF3050" s="11"/>
      <c r="AH3050" s="7" t="str">
        <f>Table1[[#This Row],[html_tag]]&amp;Table1[[#This Row],[html_type]]&amp;Table1[[#This Row],[html_modifier]]</f>
        <v/>
      </c>
      <c r="AL3050" s="23" t="str">
        <f>IFERROR(_xlfn.XLOOKUP(Table1[[#This Row],[word]],Table57[English style name],Table57[Style type]),"")</f>
        <v/>
      </c>
      <c r="AM3050" s="21"/>
      <c r="AN3050" s="11"/>
    </row>
    <row r="3051" spans="5:40">
      <c r="E3051" s="11"/>
      <c r="F30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1" s="13"/>
      <c r="H3051" s="13"/>
      <c r="I3051" s="12" t="str">
        <f>Table1[[#This Row],[type]]</f>
        <v>text</v>
      </c>
      <c r="J3051" s="62" t="str">
        <f>Table1[[#This Row],[Column42]]&amp;IF(Table1[[#This Row],[Column13]]="","",Table1[[#This Row],[Column13]])&amp;IF(Table1[[#This Row],[mod]]="","",Table1[[#This Row],[mod]])</f>
        <v>text</v>
      </c>
      <c r="K30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1" t="s">
        <v>403</v>
      </c>
      <c r="P3051" s="24" t="s">
        <v>3796</v>
      </c>
      <c r="Q30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1" s="29"/>
      <c r="AC3051" s="25" t="s">
        <v>3796</v>
      </c>
      <c r="AD3051" s="41"/>
      <c r="AE3051" s="41"/>
      <c r="AF3051" s="11"/>
      <c r="AH3051" s="7" t="str">
        <f>Table1[[#This Row],[html_tag]]&amp;Table1[[#This Row],[html_type]]&amp;Table1[[#This Row],[html_modifier]]</f>
        <v/>
      </c>
      <c r="AL3051" s="23" t="str">
        <f>IFERROR(_xlfn.XLOOKUP(Table1[[#This Row],[word]],Table57[English style name],Table57[Style type]),"")</f>
        <v/>
      </c>
      <c r="AM3051" s="21"/>
      <c r="AN3051" s="11"/>
    </row>
    <row r="3052" spans="5:40">
      <c r="E3052" s="11"/>
      <c r="F30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2" s="13"/>
      <c r="H3052" s="13"/>
      <c r="I3052" s="12" t="str">
        <f>Table1[[#This Row],[type]]</f>
        <v>text</v>
      </c>
      <c r="J3052" s="62" t="str">
        <f>Table1[[#This Row],[Column42]]&amp;IF(Table1[[#This Row],[Column13]]="","",Table1[[#This Row],[Column13]])&amp;IF(Table1[[#This Row],[mod]]="","",Table1[[#This Row],[mod]])</f>
        <v>text</v>
      </c>
      <c r="K30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2" t="s">
        <v>403</v>
      </c>
      <c r="P3052" s="24" t="s">
        <v>3797</v>
      </c>
      <c r="Q30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2" s="29"/>
      <c r="AC3052" s="25" t="s">
        <v>3797</v>
      </c>
      <c r="AD3052" s="41"/>
      <c r="AE3052" s="41"/>
      <c r="AF3052" s="11"/>
      <c r="AH3052" s="7" t="str">
        <f>Table1[[#This Row],[html_tag]]&amp;Table1[[#This Row],[html_type]]&amp;Table1[[#This Row],[html_modifier]]</f>
        <v/>
      </c>
      <c r="AL3052" s="23" t="str">
        <f>IFERROR(_xlfn.XLOOKUP(Table1[[#This Row],[word]],Table57[English style name],Table57[Style type]),"")</f>
        <v/>
      </c>
      <c r="AM3052" s="21"/>
      <c r="AN3052" s="11"/>
    </row>
    <row r="3053" spans="5:40">
      <c r="E3053" s="11"/>
      <c r="F30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3" s="13"/>
      <c r="H3053" s="13"/>
      <c r="I3053" s="12" t="str">
        <f>Table1[[#This Row],[type]]</f>
        <v>text</v>
      </c>
      <c r="J3053" s="62" t="str">
        <f>Table1[[#This Row],[Column42]]&amp;IF(Table1[[#This Row],[Column13]]="","",Table1[[#This Row],[Column13]])&amp;IF(Table1[[#This Row],[mod]]="","",Table1[[#This Row],[mod]])</f>
        <v>text</v>
      </c>
      <c r="K30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3" t="s">
        <v>403</v>
      </c>
      <c r="P3053" s="24" t="s">
        <v>3798</v>
      </c>
      <c r="Q30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3" s="29"/>
      <c r="AC3053" s="25" t="s">
        <v>3798</v>
      </c>
      <c r="AD3053" s="41"/>
      <c r="AE3053" s="41"/>
      <c r="AF3053" s="11"/>
      <c r="AH3053" s="7" t="str">
        <f>Table1[[#This Row],[html_tag]]&amp;Table1[[#This Row],[html_type]]&amp;Table1[[#This Row],[html_modifier]]</f>
        <v/>
      </c>
      <c r="AL3053" s="23" t="str">
        <f>IFERROR(_xlfn.XLOOKUP(Table1[[#This Row],[word]],Table57[English style name],Table57[Style type]),"")</f>
        <v/>
      </c>
      <c r="AM3053" s="21"/>
      <c r="AN3053" s="11"/>
    </row>
    <row r="3054" spans="5:40">
      <c r="E3054" s="11"/>
      <c r="F30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4" s="13"/>
      <c r="H3054" s="13"/>
      <c r="I3054" s="12" t="str">
        <f>Table1[[#This Row],[type]]</f>
        <v>text</v>
      </c>
      <c r="J3054" s="62" t="str">
        <f>Table1[[#This Row],[Column42]]&amp;IF(Table1[[#This Row],[Column13]]="","",Table1[[#This Row],[Column13]])&amp;IF(Table1[[#This Row],[mod]]="","",Table1[[#This Row],[mod]])</f>
        <v>text</v>
      </c>
      <c r="K30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4" t="s">
        <v>403</v>
      </c>
      <c r="P3054" s="24" t="s">
        <v>3799</v>
      </c>
      <c r="Q30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4" s="29"/>
      <c r="AC3054" s="25" t="s">
        <v>3799</v>
      </c>
      <c r="AD3054" s="41"/>
      <c r="AE3054" s="41"/>
      <c r="AF3054" s="11"/>
      <c r="AH3054" s="7" t="str">
        <f>Table1[[#This Row],[html_tag]]&amp;Table1[[#This Row],[html_type]]&amp;Table1[[#This Row],[html_modifier]]</f>
        <v/>
      </c>
      <c r="AL3054" s="23" t="str">
        <f>IFERROR(_xlfn.XLOOKUP(Table1[[#This Row],[word]],Table57[English style name],Table57[Style type]),"")</f>
        <v/>
      </c>
      <c r="AM3054" s="21"/>
      <c r="AN3054" s="11"/>
    </row>
    <row r="3055" spans="5:40">
      <c r="E3055" s="11"/>
      <c r="F30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5" s="13"/>
      <c r="H3055" s="13"/>
      <c r="I3055" s="12" t="str">
        <f>Table1[[#This Row],[type]]</f>
        <v>text</v>
      </c>
      <c r="J3055" s="62" t="str">
        <f>Table1[[#This Row],[Column42]]&amp;IF(Table1[[#This Row],[Column13]]="","",Table1[[#This Row],[Column13]])&amp;IF(Table1[[#This Row],[mod]]="","",Table1[[#This Row],[mod]])</f>
        <v>text</v>
      </c>
      <c r="K30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5" t="s">
        <v>403</v>
      </c>
      <c r="P3055" s="24" t="s">
        <v>3800</v>
      </c>
      <c r="Q30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5" s="29"/>
      <c r="AC3055" s="25" t="s">
        <v>3800</v>
      </c>
      <c r="AD3055" s="41"/>
      <c r="AE3055" s="41"/>
      <c r="AF3055" s="11"/>
      <c r="AH3055" s="7" t="str">
        <f>Table1[[#This Row],[html_tag]]&amp;Table1[[#This Row],[html_type]]&amp;Table1[[#This Row],[html_modifier]]</f>
        <v/>
      </c>
      <c r="AL3055" s="23" t="str">
        <f>IFERROR(_xlfn.XLOOKUP(Table1[[#This Row],[word]],Table57[English style name],Table57[Style type]),"")</f>
        <v/>
      </c>
      <c r="AM3055" s="21"/>
      <c r="AN3055" s="11"/>
    </row>
    <row r="3056" spans="5:40">
      <c r="E3056" s="11"/>
      <c r="F30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6" s="13"/>
      <c r="H3056" s="13"/>
      <c r="I3056" s="12" t="str">
        <f>Table1[[#This Row],[type]]</f>
        <v>text</v>
      </c>
      <c r="J3056" s="62" t="str">
        <f>Table1[[#This Row],[Column42]]&amp;IF(Table1[[#This Row],[Column13]]="","",Table1[[#This Row],[Column13]])&amp;IF(Table1[[#This Row],[mod]]="","",Table1[[#This Row],[mod]])</f>
        <v>text</v>
      </c>
      <c r="K30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6" t="s">
        <v>403</v>
      </c>
      <c r="P3056" s="24" t="s">
        <v>3807</v>
      </c>
      <c r="Q30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6" s="29"/>
      <c r="AC3056" s="25" t="s">
        <v>3807</v>
      </c>
      <c r="AD3056" s="41"/>
      <c r="AE3056" s="41"/>
      <c r="AF3056" s="11"/>
      <c r="AH3056" s="7" t="str">
        <f>Table1[[#This Row],[html_tag]]&amp;Table1[[#This Row],[html_type]]&amp;Table1[[#This Row],[html_modifier]]</f>
        <v/>
      </c>
      <c r="AL3056" s="23" t="str">
        <f>IFERROR(_xlfn.XLOOKUP(Table1[[#This Row],[word]],Table57[English style name],Table57[Style type]),"")</f>
        <v/>
      </c>
      <c r="AM3056" s="21"/>
      <c r="AN3056" s="11"/>
    </row>
    <row r="3057" spans="5:40">
      <c r="E3057" s="11"/>
      <c r="F30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7" s="13"/>
      <c r="H3057" s="13"/>
      <c r="I3057" s="12" t="str">
        <f>Table1[[#This Row],[type]]</f>
        <v>text</v>
      </c>
      <c r="J3057" s="62" t="str">
        <f>Table1[[#This Row],[Column42]]&amp;IF(Table1[[#This Row],[Column13]]="","",Table1[[#This Row],[Column13]])&amp;IF(Table1[[#This Row],[mod]]="","",Table1[[#This Row],[mod]])</f>
        <v>text</v>
      </c>
      <c r="K30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7" t="s">
        <v>403</v>
      </c>
      <c r="P3057" s="24" t="s">
        <v>3808</v>
      </c>
      <c r="Q30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7" s="29"/>
      <c r="AC3057" s="25" t="s">
        <v>3808</v>
      </c>
      <c r="AD3057" s="41"/>
      <c r="AE3057" s="41"/>
      <c r="AF3057" s="11"/>
      <c r="AH3057" s="7" t="str">
        <f>Table1[[#This Row],[html_tag]]&amp;Table1[[#This Row],[html_type]]&amp;Table1[[#This Row],[html_modifier]]</f>
        <v/>
      </c>
      <c r="AL3057" s="23" t="str">
        <f>IFERROR(_xlfn.XLOOKUP(Table1[[#This Row],[word]],Table57[English style name],Table57[Style type]),"")</f>
        <v/>
      </c>
      <c r="AM3057" s="21"/>
      <c r="AN3057" s="11"/>
    </row>
    <row r="3058" spans="5:40">
      <c r="E3058" s="11"/>
      <c r="F30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8" s="13"/>
      <c r="H3058" s="13"/>
      <c r="I3058" s="12" t="str">
        <f>Table1[[#This Row],[type]]</f>
        <v>text</v>
      </c>
      <c r="J3058" s="62" t="str">
        <f>Table1[[#This Row],[Column42]]&amp;IF(Table1[[#This Row],[Column13]]="","",Table1[[#This Row],[Column13]])&amp;IF(Table1[[#This Row],[mod]]="","",Table1[[#This Row],[mod]])</f>
        <v>text</v>
      </c>
      <c r="K30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8" t="s">
        <v>403</v>
      </c>
      <c r="P3058" s="24" t="s">
        <v>3809</v>
      </c>
      <c r="Q30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8" s="29"/>
      <c r="AC3058" s="25" t="s">
        <v>3809</v>
      </c>
      <c r="AD3058" s="41"/>
      <c r="AE3058" s="41"/>
      <c r="AF3058" s="11"/>
      <c r="AH3058" s="7" t="str">
        <f>Table1[[#This Row],[html_tag]]&amp;Table1[[#This Row],[html_type]]&amp;Table1[[#This Row],[html_modifier]]</f>
        <v/>
      </c>
      <c r="AL3058" s="23" t="str">
        <f>IFERROR(_xlfn.XLOOKUP(Table1[[#This Row],[word]],Table57[English style name],Table57[Style type]),"")</f>
        <v/>
      </c>
      <c r="AM3058" s="21"/>
      <c r="AN3058" s="11"/>
    </row>
    <row r="3059" spans="5:40">
      <c r="E3059" s="11"/>
      <c r="F30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9" s="13"/>
      <c r="H3059" s="13"/>
      <c r="I3059" s="12" t="str">
        <f>Table1[[#This Row],[type]]</f>
        <v>text</v>
      </c>
      <c r="J3059" s="62" t="str">
        <f>Table1[[#This Row],[Column42]]&amp;IF(Table1[[#This Row],[Column13]]="","",Table1[[#This Row],[Column13]])&amp;IF(Table1[[#This Row],[mod]]="","",Table1[[#This Row],[mod]])</f>
        <v>text</v>
      </c>
      <c r="K30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9" t="s">
        <v>403</v>
      </c>
      <c r="P3059" s="24" t="s">
        <v>3812</v>
      </c>
      <c r="Q30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9" s="29"/>
      <c r="AC3059" s="25" t="s">
        <v>3812</v>
      </c>
      <c r="AD3059" s="41"/>
      <c r="AE3059" s="41"/>
      <c r="AF3059" s="11"/>
      <c r="AH3059" s="7" t="str">
        <f>Table1[[#This Row],[html_tag]]&amp;Table1[[#This Row],[html_type]]&amp;Table1[[#This Row],[html_modifier]]</f>
        <v/>
      </c>
      <c r="AL3059" s="23" t="str">
        <f>IFERROR(_xlfn.XLOOKUP(Table1[[#This Row],[word]],Table57[English style name],Table57[Style type]),"")</f>
        <v/>
      </c>
      <c r="AM3059" s="21"/>
      <c r="AN3059" s="11"/>
    </row>
    <row r="3060" spans="5:40">
      <c r="E3060" s="11"/>
      <c r="F30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0" s="13"/>
      <c r="H3060" s="13"/>
      <c r="I3060" s="12" t="str">
        <f>Table1[[#This Row],[type]]</f>
        <v>text</v>
      </c>
      <c r="J3060" s="62" t="str">
        <f>Table1[[#This Row],[Column42]]&amp;IF(Table1[[#This Row],[Column13]]="","",Table1[[#This Row],[Column13]])&amp;IF(Table1[[#This Row],[mod]]="","",Table1[[#This Row],[mod]])</f>
        <v>text</v>
      </c>
      <c r="K30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60" t="s">
        <v>403</v>
      </c>
      <c r="P3060" s="24" t="s">
        <v>3813</v>
      </c>
      <c r="Q30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0" s="29"/>
      <c r="AC3060" s="25" t="s">
        <v>3813</v>
      </c>
      <c r="AD3060" s="41"/>
      <c r="AE3060" s="41"/>
      <c r="AF3060" s="11"/>
      <c r="AH3060" s="7" t="str">
        <f>Table1[[#This Row],[html_tag]]&amp;Table1[[#This Row],[html_type]]&amp;Table1[[#This Row],[html_modifier]]</f>
        <v/>
      </c>
      <c r="AL3060" s="23" t="str">
        <f>IFERROR(_xlfn.XLOOKUP(Table1[[#This Row],[word]],Table57[English style name],Table57[Style type]),"")</f>
        <v/>
      </c>
      <c r="AM3060" s="21"/>
      <c r="AN3060" s="11"/>
    </row>
    <row r="3061" spans="5:40">
      <c r="E3061" s="11"/>
      <c r="F30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1" s="13"/>
      <c r="H3061" s="13"/>
      <c r="I3061" s="12" t="str">
        <f>Table1[[#This Row],[type]]</f>
        <v>text</v>
      </c>
      <c r="J3061" s="62" t="str">
        <f>Table1[[#This Row],[Column42]]&amp;IF(Table1[[#This Row],[Column13]]="","",Table1[[#This Row],[Column13]])&amp;IF(Table1[[#This Row],[mod]]="","",Table1[[#This Row],[mod]])</f>
        <v>text</v>
      </c>
      <c r="K30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61" t="s">
        <v>403</v>
      </c>
      <c r="P3061" s="24" t="s">
        <v>3814</v>
      </c>
      <c r="Q30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1" s="29"/>
      <c r="AC3061" s="25" t="s">
        <v>3814</v>
      </c>
      <c r="AD3061" s="41"/>
      <c r="AE3061" s="41"/>
      <c r="AF3061" s="11"/>
      <c r="AH3061" s="7" t="str">
        <f>Table1[[#This Row],[html_tag]]&amp;Table1[[#This Row],[html_type]]&amp;Table1[[#This Row],[html_modifier]]</f>
        <v/>
      </c>
      <c r="AL3061" s="23" t="str">
        <f>IFERROR(_xlfn.XLOOKUP(Table1[[#This Row],[word]],Table57[English style name],Table57[Style type]),"")</f>
        <v/>
      </c>
      <c r="AM3061" s="21"/>
      <c r="AN3061" s="11"/>
    </row>
    <row r="3062" spans="5:40">
      <c r="E3062" s="11"/>
      <c r="F30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2" s="13"/>
      <c r="H3062" s="13"/>
      <c r="I3062" s="12" t="str">
        <f>Table1[[#This Row],[type]]</f>
        <v>text</v>
      </c>
      <c r="J3062" s="62" t="str">
        <f>Table1[[#This Row],[Column42]]&amp;IF(Table1[[#This Row],[Column13]]="","",Table1[[#This Row],[Column13]])&amp;IF(Table1[[#This Row],[mod]]="","",Table1[[#This Row],[mod]])</f>
        <v>text</v>
      </c>
      <c r="K30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62" t="s">
        <v>403</v>
      </c>
      <c r="P3062" s="24" t="s">
        <v>3815</v>
      </c>
      <c r="Q30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2" s="29"/>
      <c r="AC3062" s="25" t="s">
        <v>3815</v>
      </c>
      <c r="AD3062" s="41"/>
      <c r="AE3062" s="41"/>
      <c r="AF3062" s="11"/>
      <c r="AH3062" s="7" t="str">
        <f>Table1[[#This Row],[html_tag]]&amp;Table1[[#This Row],[html_type]]&amp;Table1[[#This Row],[html_modifier]]</f>
        <v/>
      </c>
      <c r="AL3062" s="23" t="str">
        <f>IFERROR(_xlfn.XLOOKUP(Table1[[#This Row],[word]],Table57[English style name],Table57[Style type]),"")</f>
        <v/>
      </c>
      <c r="AM3062" s="21"/>
      <c r="AN3062" s="11"/>
    </row>
    <row r="3063" spans="5:40">
      <c r="E3063" s="11"/>
      <c r="F30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3" s="13"/>
      <c r="H3063" s="13"/>
      <c r="I3063" s="12" t="str">
        <f>Table1[[#This Row],[type]]</f>
        <v>text</v>
      </c>
      <c r="J3063" s="62" t="str">
        <f>Table1[[#This Row],[Column42]]&amp;IF(Table1[[#This Row],[Column13]]="","",Table1[[#This Row],[Column13]])&amp;IF(Table1[[#This Row],[mod]]="","",Table1[[#This Row],[mod]])</f>
        <v>text</v>
      </c>
      <c r="K30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63" t="s">
        <v>403</v>
      </c>
      <c r="P3063" s="24" t="s">
        <v>3816</v>
      </c>
      <c r="Q30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3" s="29"/>
      <c r="AC3063" s="25" t="s">
        <v>3816</v>
      </c>
      <c r="AD3063" s="41"/>
      <c r="AE3063" s="41"/>
      <c r="AF3063" s="11"/>
      <c r="AH3063" s="7" t="str">
        <f>Table1[[#This Row],[html_tag]]&amp;Table1[[#This Row],[html_type]]&amp;Table1[[#This Row],[html_modifier]]</f>
        <v/>
      </c>
      <c r="AL3063" s="23" t="str">
        <f>IFERROR(_xlfn.XLOOKUP(Table1[[#This Row],[word]],Table57[English style name],Table57[Style type]),"")</f>
        <v/>
      </c>
      <c r="AM3063" s="21"/>
      <c r="AN3063" s="11"/>
    </row>
    <row r="3064" spans="5:40">
      <c r="E3064" s="11"/>
      <c r="F30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4" s="13"/>
      <c r="H3064" s="13"/>
      <c r="I3064" s="12" t="str">
        <f>Table1[[#This Row],[type]]</f>
        <v>text</v>
      </c>
      <c r="J3064" s="62" t="str">
        <f>Table1[[#This Row],[Column42]]&amp;IF(Table1[[#This Row],[Column13]]="","",Table1[[#This Row],[Column13]])&amp;IF(Table1[[#This Row],[mod]]="","",Table1[[#This Row],[mod]])</f>
        <v>text</v>
      </c>
      <c r="K30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64" t="s">
        <v>403</v>
      </c>
      <c r="P3064" s="24" t="s">
        <v>3829</v>
      </c>
      <c r="Q30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4" s="29"/>
      <c r="AC3064" s="25" t="s">
        <v>3829</v>
      </c>
      <c r="AD3064" s="41"/>
      <c r="AE3064" s="41"/>
      <c r="AF3064" s="11"/>
      <c r="AH3064" s="7" t="str">
        <f>Table1[[#This Row],[html_tag]]&amp;Table1[[#This Row],[html_type]]&amp;Table1[[#This Row],[html_modifier]]</f>
        <v/>
      </c>
      <c r="AL3064" s="23" t="str">
        <f>IFERROR(_xlfn.XLOOKUP(Table1[[#This Row],[word]],Table57[English style name],Table57[Style type]),"")</f>
        <v/>
      </c>
      <c r="AM3064" s="21"/>
      <c r="AN3064" s="11"/>
    </row>
    <row r="3065" spans="5:40">
      <c r="E3065" s="11"/>
      <c r="F30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5" s="13"/>
      <c r="H3065" s="13"/>
      <c r="I3065" s="12" t="str">
        <f>Table1[[#This Row],[type]]</f>
        <v>text</v>
      </c>
      <c r="J3065" s="62" t="str">
        <f>Table1[[#This Row],[Column42]]&amp;IF(Table1[[#This Row],[Column13]]="","",Table1[[#This Row],[Column13]])&amp;IF(Table1[[#This Row],[mod]]="","",Table1[[#This Row],[mod]])</f>
        <v>text__color</v>
      </c>
      <c r="K30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65" t="s">
        <v>403</v>
      </c>
      <c r="M3065" t="s">
        <v>3083</v>
      </c>
      <c r="Q30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5" s="29" t="s">
        <v>3960</v>
      </c>
      <c r="AC3065" s="25"/>
      <c r="AD3065" s="41"/>
      <c r="AE3065" s="41"/>
      <c r="AF3065" s="11"/>
      <c r="AH3065" s="7" t="str">
        <f>Table1[[#This Row],[html_tag]]&amp;Table1[[#This Row],[html_type]]&amp;Table1[[#This Row],[html_modifier]]</f>
        <v/>
      </c>
      <c r="AL3065" s="23" t="str">
        <f>IFERROR(_xlfn.XLOOKUP(Table1[[#This Row],[word]],Table57[English style name],Table57[Style type]),"")</f>
        <v/>
      </c>
      <c r="AM3065" s="21"/>
      <c r="AN3065" s="11"/>
    </row>
    <row r="3066" spans="5:40">
      <c r="E3066" s="11"/>
      <c r="F30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6" s="13"/>
      <c r="H3066" s="13"/>
      <c r="I3066" s="12" t="str">
        <f>Table1[[#This Row],[type]]</f>
        <v>text</v>
      </c>
      <c r="J3066" s="62" t="str">
        <f>Table1[[#This Row],[Column42]]&amp;IF(Table1[[#This Row],[Column13]]="","",Table1[[#This Row],[Column13]])&amp;IF(Table1[[#This Row],[mod]]="","",Table1[[#This Row],[mod]])</f>
        <v>text__color</v>
      </c>
      <c r="K30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66" t="s">
        <v>403</v>
      </c>
      <c r="M3066" t="s">
        <v>3083</v>
      </c>
      <c r="Q30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6" s="29" t="s">
        <v>3961</v>
      </c>
      <c r="AC3066" s="25"/>
      <c r="AD3066" s="41"/>
      <c r="AE3066" s="41"/>
      <c r="AF3066" s="11"/>
      <c r="AH3066" s="7" t="str">
        <f>Table1[[#This Row],[html_tag]]&amp;Table1[[#This Row],[html_type]]&amp;Table1[[#This Row],[html_modifier]]</f>
        <v/>
      </c>
      <c r="AL3066" s="23" t="str">
        <f>IFERROR(_xlfn.XLOOKUP(Table1[[#This Row],[word]],Table57[English style name],Table57[Style type]),"")</f>
        <v/>
      </c>
      <c r="AM3066" s="21"/>
      <c r="AN3066" s="11"/>
    </row>
    <row r="3067" spans="5:40">
      <c r="E3067" s="11"/>
      <c r="F30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7" s="13"/>
      <c r="H3067" s="13"/>
      <c r="I3067" s="12" t="str">
        <f>Table1[[#This Row],[type]]</f>
        <v>text</v>
      </c>
      <c r="J3067" s="62" t="str">
        <f>Table1[[#This Row],[Column42]]&amp;IF(Table1[[#This Row],[Column13]]="","",Table1[[#This Row],[Column13]])&amp;IF(Table1[[#This Row],[mod]]="","",Table1[[#This Row],[mod]])</f>
        <v>text__color</v>
      </c>
      <c r="K30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67" t="s">
        <v>403</v>
      </c>
      <c r="M3067" t="s">
        <v>3083</v>
      </c>
      <c r="Q30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7" s="29" t="s">
        <v>3962</v>
      </c>
      <c r="AC3067" s="25"/>
      <c r="AD3067" s="41"/>
      <c r="AE3067" s="41"/>
      <c r="AF3067" s="11"/>
      <c r="AH3067" s="7" t="str">
        <f>Table1[[#This Row],[html_tag]]&amp;Table1[[#This Row],[html_type]]&amp;Table1[[#This Row],[html_modifier]]</f>
        <v/>
      </c>
      <c r="AL3067" s="23" t="str">
        <f>IFERROR(_xlfn.XLOOKUP(Table1[[#This Row],[word]],Table57[English style name],Table57[Style type]),"")</f>
        <v/>
      </c>
      <c r="AM3067" s="21"/>
      <c r="AN3067" s="11"/>
    </row>
    <row r="3068" spans="5:40">
      <c r="E3068" s="11"/>
      <c r="F30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8" s="13"/>
      <c r="H3068" s="13"/>
      <c r="I3068" s="12" t="str">
        <f>Table1[[#This Row],[type]]</f>
        <v>text</v>
      </c>
      <c r="J3068" s="62" t="str">
        <f>Table1[[#This Row],[Column42]]&amp;IF(Table1[[#This Row],[Column13]]="","",Table1[[#This Row],[Column13]])&amp;IF(Table1[[#This Row],[mod]]="","",Table1[[#This Row],[mod]])</f>
        <v>text__color</v>
      </c>
      <c r="K30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68" t="s">
        <v>403</v>
      </c>
      <c r="M3068" t="s">
        <v>3083</v>
      </c>
      <c r="Q30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8" s="29" t="s">
        <v>3963</v>
      </c>
      <c r="AC3068" s="25"/>
      <c r="AD3068" s="41"/>
      <c r="AE3068" s="41"/>
      <c r="AF3068" s="11"/>
      <c r="AH3068" s="7" t="str">
        <f>Table1[[#This Row],[html_tag]]&amp;Table1[[#This Row],[html_type]]&amp;Table1[[#This Row],[html_modifier]]</f>
        <v/>
      </c>
      <c r="AL3068" s="23" t="str">
        <f>IFERROR(_xlfn.XLOOKUP(Table1[[#This Row],[word]],Table57[English style name],Table57[Style type]),"")</f>
        <v/>
      </c>
      <c r="AM3068" s="21"/>
      <c r="AN3068" s="11"/>
    </row>
    <row r="3069" spans="5:40">
      <c r="E3069" s="11"/>
      <c r="F30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9" s="13"/>
      <c r="H3069" s="13"/>
      <c r="I3069" s="12" t="str">
        <f>Table1[[#This Row],[type]]</f>
        <v>text</v>
      </c>
      <c r="J3069" s="62" t="str">
        <f>Table1[[#This Row],[Column42]]&amp;IF(Table1[[#This Row],[Column13]]="","",Table1[[#This Row],[Column13]])&amp;IF(Table1[[#This Row],[mod]]="","",Table1[[#This Row],[mod]])</f>
        <v>text__color</v>
      </c>
      <c r="K30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69" t="s">
        <v>403</v>
      </c>
      <c r="M3069" t="s">
        <v>3083</v>
      </c>
      <c r="Q30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9" s="29" t="s">
        <v>3964</v>
      </c>
      <c r="AC3069" s="25"/>
      <c r="AD3069" s="41"/>
      <c r="AE3069" s="41"/>
      <c r="AF3069" s="11"/>
      <c r="AH3069" s="7" t="str">
        <f>Table1[[#This Row],[html_tag]]&amp;Table1[[#This Row],[html_type]]&amp;Table1[[#This Row],[html_modifier]]</f>
        <v/>
      </c>
      <c r="AL3069" s="23" t="str">
        <f>IFERROR(_xlfn.XLOOKUP(Table1[[#This Row],[word]],Table57[English style name],Table57[Style type]),"")</f>
        <v/>
      </c>
      <c r="AM3069" s="21"/>
      <c r="AN3069" s="11"/>
    </row>
    <row r="3070" spans="5:40">
      <c r="E3070" s="11"/>
      <c r="F30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0" s="13"/>
      <c r="H3070" s="13"/>
      <c r="I3070" s="12" t="str">
        <f>Table1[[#This Row],[type]]</f>
        <v>text</v>
      </c>
      <c r="J3070" s="62" t="str">
        <f>Table1[[#This Row],[Column42]]&amp;IF(Table1[[#This Row],[Column13]]="","",Table1[[#This Row],[Column13]])&amp;IF(Table1[[#This Row],[mod]]="","",Table1[[#This Row],[mod]])</f>
        <v>text__color</v>
      </c>
      <c r="K30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0" t="s">
        <v>403</v>
      </c>
      <c r="M3070" t="s">
        <v>3083</v>
      </c>
      <c r="Q30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0" s="29" t="s">
        <v>3965</v>
      </c>
      <c r="AC3070" s="25"/>
      <c r="AD3070" s="41"/>
      <c r="AE3070" s="41"/>
      <c r="AF3070" s="11"/>
      <c r="AH3070" s="7" t="str">
        <f>Table1[[#This Row],[html_tag]]&amp;Table1[[#This Row],[html_type]]&amp;Table1[[#This Row],[html_modifier]]</f>
        <v/>
      </c>
      <c r="AL3070" s="23" t="str">
        <f>IFERROR(_xlfn.XLOOKUP(Table1[[#This Row],[word]],Table57[English style name],Table57[Style type]),"")</f>
        <v/>
      </c>
      <c r="AM3070" s="21"/>
      <c r="AN3070" s="11"/>
    </row>
    <row r="3071" spans="5:40">
      <c r="E3071" s="11"/>
      <c r="F30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1" s="13"/>
      <c r="H3071" s="13"/>
      <c r="I3071" s="12" t="str">
        <f>Table1[[#This Row],[type]]</f>
        <v>text</v>
      </c>
      <c r="J3071" s="62" t="str">
        <f>Table1[[#This Row],[Column42]]&amp;IF(Table1[[#This Row],[Column13]]="","",Table1[[#This Row],[Column13]])&amp;IF(Table1[[#This Row],[mod]]="","",Table1[[#This Row],[mod]])</f>
        <v>text__color</v>
      </c>
      <c r="K30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1" t="s">
        <v>403</v>
      </c>
      <c r="M3071" t="s">
        <v>3083</v>
      </c>
      <c r="Q30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1" s="29" t="s">
        <v>3966</v>
      </c>
      <c r="AC3071" s="25"/>
      <c r="AD3071" s="41"/>
      <c r="AE3071" s="41"/>
      <c r="AF3071" s="11"/>
      <c r="AH3071" s="7" t="str">
        <f>Table1[[#This Row],[html_tag]]&amp;Table1[[#This Row],[html_type]]&amp;Table1[[#This Row],[html_modifier]]</f>
        <v/>
      </c>
      <c r="AL3071" s="23" t="str">
        <f>IFERROR(_xlfn.XLOOKUP(Table1[[#This Row],[word]],Table57[English style name],Table57[Style type]),"")</f>
        <v/>
      </c>
      <c r="AM3071" s="21"/>
      <c r="AN3071" s="11"/>
    </row>
    <row r="3072" spans="5:40">
      <c r="E3072" s="11"/>
      <c r="F30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2" s="13"/>
      <c r="H3072" s="13"/>
      <c r="I3072" s="12" t="str">
        <f>Table1[[#This Row],[type]]</f>
        <v>text</v>
      </c>
      <c r="J3072" s="62" t="str">
        <f>Table1[[#This Row],[Column42]]&amp;IF(Table1[[#This Row],[Column13]]="","",Table1[[#This Row],[Column13]])&amp;IF(Table1[[#This Row],[mod]]="","",Table1[[#This Row],[mod]])</f>
        <v>text__color</v>
      </c>
      <c r="K30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2" t="s">
        <v>403</v>
      </c>
      <c r="M3072" t="s">
        <v>3083</v>
      </c>
      <c r="Q30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2" s="29" t="s">
        <v>3967</v>
      </c>
      <c r="AC3072" s="25"/>
      <c r="AD3072" s="41"/>
      <c r="AE3072" s="41"/>
      <c r="AF3072" s="11"/>
      <c r="AH3072" s="7" t="str">
        <f>Table1[[#This Row],[html_tag]]&amp;Table1[[#This Row],[html_type]]&amp;Table1[[#This Row],[html_modifier]]</f>
        <v/>
      </c>
      <c r="AL3072" s="23" t="str">
        <f>IFERROR(_xlfn.XLOOKUP(Table1[[#This Row],[word]],Table57[English style name],Table57[Style type]),"")</f>
        <v/>
      </c>
      <c r="AM3072" s="21"/>
      <c r="AN3072" s="11"/>
    </row>
    <row r="3073" spans="5:40">
      <c r="E3073" s="11"/>
      <c r="F30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3" s="13"/>
      <c r="H3073" s="13"/>
      <c r="I3073" s="12" t="str">
        <f>Table1[[#This Row],[type]]</f>
        <v>text</v>
      </c>
      <c r="J3073" s="62" t="str">
        <f>Table1[[#This Row],[Column42]]&amp;IF(Table1[[#This Row],[Column13]]="","",Table1[[#This Row],[Column13]])&amp;IF(Table1[[#This Row],[mod]]="","",Table1[[#This Row],[mod]])</f>
        <v>text__color</v>
      </c>
      <c r="K30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3" t="s">
        <v>403</v>
      </c>
      <c r="M3073" t="s">
        <v>3083</v>
      </c>
      <c r="Q30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3" s="29" t="s">
        <v>3968</v>
      </c>
      <c r="AC3073" s="25"/>
      <c r="AD3073" s="41"/>
      <c r="AE3073" s="41"/>
      <c r="AF3073" s="11"/>
      <c r="AH3073" s="7" t="str">
        <f>Table1[[#This Row],[html_tag]]&amp;Table1[[#This Row],[html_type]]&amp;Table1[[#This Row],[html_modifier]]</f>
        <v/>
      </c>
      <c r="AL3073" s="23" t="str">
        <f>IFERROR(_xlfn.XLOOKUP(Table1[[#This Row],[word]],Table57[English style name],Table57[Style type]),"")</f>
        <v/>
      </c>
      <c r="AM3073" s="21"/>
      <c r="AN3073" s="11"/>
    </row>
    <row r="3074" spans="5:40">
      <c r="E3074" s="11"/>
      <c r="F30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4" s="13"/>
      <c r="H3074" s="13"/>
      <c r="I3074" s="12" t="str">
        <f>Table1[[#This Row],[type]]</f>
        <v>text</v>
      </c>
      <c r="J3074" s="62" t="str">
        <f>Table1[[#This Row],[Column42]]&amp;IF(Table1[[#This Row],[Column13]]="","",Table1[[#This Row],[Column13]])&amp;IF(Table1[[#This Row],[mod]]="","",Table1[[#This Row],[mod]])</f>
        <v>text__color</v>
      </c>
      <c r="K30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4" t="s">
        <v>403</v>
      </c>
      <c r="M3074" t="s">
        <v>3083</v>
      </c>
      <c r="Q30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4" s="29" t="s">
        <v>3969</v>
      </c>
      <c r="AC3074" s="25"/>
      <c r="AD3074" s="41"/>
      <c r="AE3074" s="41"/>
      <c r="AF3074" s="11"/>
      <c r="AH3074" s="7" t="str">
        <f>Table1[[#This Row],[html_tag]]&amp;Table1[[#This Row],[html_type]]&amp;Table1[[#This Row],[html_modifier]]</f>
        <v/>
      </c>
      <c r="AL3074" s="23" t="str">
        <f>IFERROR(_xlfn.XLOOKUP(Table1[[#This Row],[word]],Table57[English style name],Table57[Style type]),"")</f>
        <v/>
      </c>
      <c r="AM3074" s="21"/>
      <c r="AN3074" s="11"/>
    </row>
    <row r="3075" spans="5:40">
      <c r="E3075" s="11"/>
      <c r="F30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5" s="13"/>
      <c r="H3075" s="13"/>
      <c r="I3075" s="12" t="str">
        <f>Table1[[#This Row],[type]]</f>
        <v>text</v>
      </c>
      <c r="J3075" s="62" t="str">
        <f>Table1[[#This Row],[Column42]]&amp;IF(Table1[[#This Row],[Column13]]="","",Table1[[#This Row],[Column13]])&amp;IF(Table1[[#This Row],[mod]]="","",Table1[[#This Row],[mod]])</f>
        <v>text__color</v>
      </c>
      <c r="K30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5" t="s">
        <v>403</v>
      </c>
      <c r="M3075" t="s">
        <v>3083</v>
      </c>
      <c r="Q30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5" s="29" t="s">
        <v>3970</v>
      </c>
      <c r="AC3075" s="25"/>
      <c r="AD3075" s="41"/>
      <c r="AE3075" s="41"/>
      <c r="AF3075" s="11"/>
      <c r="AH3075" s="7" t="str">
        <f>Table1[[#This Row],[html_tag]]&amp;Table1[[#This Row],[html_type]]&amp;Table1[[#This Row],[html_modifier]]</f>
        <v/>
      </c>
      <c r="AL3075" s="23" t="str">
        <f>IFERROR(_xlfn.XLOOKUP(Table1[[#This Row],[word]],Table57[English style name],Table57[Style type]),"")</f>
        <v/>
      </c>
      <c r="AM3075" s="21"/>
      <c r="AN3075" s="11"/>
    </row>
    <row r="3076" spans="5:40">
      <c r="E3076" s="11"/>
      <c r="F30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6" s="13"/>
      <c r="H3076" s="13"/>
      <c r="I3076" s="12" t="str">
        <f>Table1[[#This Row],[type]]</f>
        <v>text</v>
      </c>
      <c r="J3076" s="62" t="str">
        <f>Table1[[#This Row],[Column42]]&amp;IF(Table1[[#This Row],[Column13]]="","",Table1[[#This Row],[Column13]])&amp;IF(Table1[[#This Row],[mod]]="","",Table1[[#This Row],[mod]])</f>
        <v>text__color</v>
      </c>
      <c r="K30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6" t="s">
        <v>403</v>
      </c>
      <c r="M3076" t="s">
        <v>3083</v>
      </c>
      <c r="Q30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6" s="29" t="s">
        <v>3971</v>
      </c>
      <c r="AC3076" s="25"/>
      <c r="AD3076" s="41"/>
      <c r="AE3076" s="41"/>
      <c r="AF3076" s="11"/>
      <c r="AH3076" s="7" t="str">
        <f>Table1[[#This Row],[html_tag]]&amp;Table1[[#This Row],[html_type]]&amp;Table1[[#This Row],[html_modifier]]</f>
        <v/>
      </c>
      <c r="AL3076" s="23" t="str">
        <f>IFERROR(_xlfn.XLOOKUP(Table1[[#This Row],[word]],Table57[English style name],Table57[Style type]),"")</f>
        <v/>
      </c>
      <c r="AM3076" s="21"/>
      <c r="AN3076" s="11"/>
    </row>
    <row r="3077" spans="5:40">
      <c r="E3077" s="11"/>
      <c r="F30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7" s="13"/>
      <c r="H3077" s="13"/>
      <c r="I3077" s="12" t="str">
        <f>Table1[[#This Row],[type]]</f>
        <v>text</v>
      </c>
      <c r="J3077" s="62" t="str">
        <f>Table1[[#This Row],[Column42]]&amp;IF(Table1[[#This Row],[Column13]]="","",Table1[[#This Row],[Column13]])&amp;IF(Table1[[#This Row],[mod]]="","",Table1[[#This Row],[mod]])</f>
        <v>text__color</v>
      </c>
      <c r="K30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7" t="s">
        <v>403</v>
      </c>
      <c r="M3077" t="s">
        <v>3083</v>
      </c>
      <c r="Q30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7" s="29" t="s">
        <v>3972</v>
      </c>
      <c r="AC3077" s="25"/>
      <c r="AD3077" s="41"/>
      <c r="AE3077" s="41"/>
      <c r="AF3077" s="11"/>
      <c r="AH3077" s="7" t="str">
        <f>Table1[[#This Row],[html_tag]]&amp;Table1[[#This Row],[html_type]]&amp;Table1[[#This Row],[html_modifier]]</f>
        <v/>
      </c>
      <c r="AL3077" s="23" t="str">
        <f>IFERROR(_xlfn.XLOOKUP(Table1[[#This Row],[word]],Table57[English style name],Table57[Style type]),"")</f>
        <v/>
      </c>
      <c r="AM3077" s="21"/>
      <c r="AN3077" s="11"/>
    </row>
    <row r="3078" spans="5:40">
      <c r="E3078" s="11"/>
      <c r="F30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8" s="13"/>
      <c r="H3078" s="13"/>
      <c r="I3078" s="12" t="str">
        <f>Table1[[#This Row],[type]]</f>
        <v>text</v>
      </c>
      <c r="J3078" s="62" t="str">
        <f>Table1[[#This Row],[Column42]]&amp;IF(Table1[[#This Row],[Column13]]="","",Table1[[#This Row],[Column13]])&amp;IF(Table1[[#This Row],[mod]]="","",Table1[[#This Row],[mod]])</f>
        <v>text__color</v>
      </c>
      <c r="K30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8" t="s">
        <v>403</v>
      </c>
      <c r="M3078" t="s">
        <v>3083</v>
      </c>
      <c r="Q30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8" s="29" t="s">
        <v>3973</v>
      </c>
      <c r="AC3078" s="25"/>
      <c r="AD3078" s="41"/>
      <c r="AE3078" s="41"/>
      <c r="AF3078" s="11"/>
      <c r="AH3078" s="7" t="str">
        <f>Table1[[#This Row],[html_tag]]&amp;Table1[[#This Row],[html_type]]&amp;Table1[[#This Row],[html_modifier]]</f>
        <v/>
      </c>
      <c r="AL3078" s="23" t="str">
        <f>IFERROR(_xlfn.XLOOKUP(Table1[[#This Row],[word]],Table57[English style name],Table57[Style type]),"")</f>
        <v/>
      </c>
      <c r="AM3078" s="21"/>
      <c r="AN3078" s="11"/>
    </row>
    <row r="3079" spans="5:40">
      <c r="E3079" s="11"/>
      <c r="F30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9" s="13"/>
      <c r="H3079" s="13"/>
      <c r="I3079" s="12" t="str">
        <f>Table1[[#This Row],[type]]</f>
        <v>text</v>
      </c>
      <c r="J3079" s="62" t="str">
        <f>Table1[[#This Row],[Column42]]&amp;IF(Table1[[#This Row],[Column13]]="","",Table1[[#This Row],[Column13]])&amp;IF(Table1[[#This Row],[mod]]="","",Table1[[#This Row],[mod]])</f>
        <v>text__color</v>
      </c>
      <c r="K30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9" t="s">
        <v>403</v>
      </c>
      <c r="M3079" t="s">
        <v>3083</v>
      </c>
      <c r="Q30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9" s="29" t="s">
        <v>3974</v>
      </c>
      <c r="AC3079" s="25"/>
      <c r="AD3079" s="41"/>
      <c r="AE3079" s="41"/>
      <c r="AF3079" s="11"/>
      <c r="AH3079" s="7" t="str">
        <f>Table1[[#This Row],[html_tag]]&amp;Table1[[#This Row],[html_type]]&amp;Table1[[#This Row],[html_modifier]]</f>
        <v/>
      </c>
      <c r="AL3079" s="23" t="str">
        <f>IFERROR(_xlfn.XLOOKUP(Table1[[#This Row],[word]],Table57[English style name],Table57[Style type]),"")</f>
        <v/>
      </c>
      <c r="AM3079" s="21"/>
      <c r="AN3079" s="11"/>
    </row>
    <row r="3080" spans="5:40">
      <c r="E3080" s="11"/>
      <c r="F30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0" s="13"/>
      <c r="H3080" s="13"/>
      <c r="I3080" s="12" t="str">
        <f>Table1[[#This Row],[type]]</f>
        <v>text</v>
      </c>
      <c r="J3080" s="62" t="str">
        <f>Table1[[#This Row],[Column42]]&amp;IF(Table1[[#This Row],[Column13]]="","",Table1[[#This Row],[Column13]])&amp;IF(Table1[[#This Row],[mod]]="","",Table1[[#This Row],[mod]])</f>
        <v>text__color</v>
      </c>
      <c r="K30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0" t="s">
        <v>403</v>
      </c>
      <c r="M3080" t="s">
        <v>3083</v>
      </c>
      <c r="Q30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0" s="29" t="s">
        <v>3975</v>
      </c>
      <c r="AC3080" s="25"/>
      <c r="AD3080" s="41"/>
      <c r="AE3080" s="41"/>
      <c r="AF3080" s="11"/>
      <c r="AH3080" s="7" t="str">
        <f>Table1[[#This Row],[html_tag]]&amp;Table1[[#This Row],[html_type]]&amp;Table1[[#This Row],[html_modifier]]</f>
        <v/>
      </c>
      <c r="AL3080" s="23" t="str">
        <f>IFERROR(_xlfn.XLOOKUP(Table1[[#This Row],[word]],Table57[English style name],Table57[Style type]),"")</f>
        <v/>
      </c>
      <c r="AM3080" s="21"/>
      <c r="AN3080" s="11"/>
    </row>
    <row r="3081" spans="5:40">
      <c r="E3081" s="11"/>
      <c r="F30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1" s="13"/>
      <c r="H3081" s="13"/>
      <c r="I3081" s="12" t="str">
        <f>Table1[[#This Row],[type]]</f>
        <v>text</v>
      </c>
      <c r="J3081" s="62" t="str">
        <f>Table1[[#This Row],[Column42]]&amp;IF(Table1[[#This Row],[Column13]]="","",Table1[[#This Row],[Column13]])&amp;IF(Table1[[#This Row],[mod]]="","",Table1[[#This Row],[mod]])</f>
        <v>text__color</v>
      </c>
      <c r="K30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1" t="s">
        <v>403</v>
      </c>
      <c r="M3081" t="s">
        <v>3083</v>
      </c>
      <c r="Q30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1" s="29" t="s">
        <v>3976</v>
      </c>
      <c r="AC3081" s="25"/>
      <c r="AD3081" s="41"/>
      <c r="AE3081" s="41"/>
      <c r="AF3081" s="11"/>
      <c r="AH3081" s="7" t="str">
        <f>Table1[[#This Row],[html_tag]]&amp;Table1[[#This Row],[html_type]]&amp;Table1[[#This Row],[html_modifier]]</f>
        <v/>
      </c>
      <c r="AL3081" s="23" t="str">
        <f>IFERROR(_xlfn.XLOOKUP(Table1[[#This Row],[word]],Table57[English style name],Table57[Style type]),"")</f>
        <v/>
      </c>
      <c r="AM3081" s="21"/>
      <c r="AN3081" s="11"/>
    </row>
    <row r="3082" spans="5:40">
      <c r="E3082" s="11"/>
      <c r="F30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2" s="13"/>
      <c r="H3082" s="13"/>
      <c r="I3082" s="12" t="str">
        <f>Table1[[#This Row],[type]]</f>
        <v>text</v>
      </c>
      <c r="J3082" s="62" t="str">
        <f>Table1[[#This Row],[Column42]]&amp;IF(Table1[[#This Row],[Column13]]="","",Table1[[#This Row],[Column13]])&amp;IF(Table1[[#This Row],[mod]]="","",Table1[[#This Row],[mod]])</f>
        <v>text__color</v>
      </c>
      <c r="K30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2" t="s">
        <v>403</v>
      </c>
      <c r="M3082" t="s">
        <v>3083</v>
      </c>
      <c r="Q30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2" s="29" t="s">
        <v>3977</v>
      </c>
      <c r="AC3082" s="25"/>
      <c r="AD3082" s="41"/>
      <c r="AE3082" s="41"/>
      <c r="AF3082" s="11"/>
      <c r="AH3082" s="7" t="str">
        <f>Table1[[#This Row],[html_tag]]&amp;Table1[[#This Row],[html_type]]&amp;Table1[[#This Row],[html_modifier]]</f>
        <v/>
      </c>
      <c r="AL3082" s="23" t="str">
        <f>IFERROR(_xlfn.XLOOKUP(Table1[[#This Row],[word]],Table57[English style name],Table57[Style type]),"")</f>
        <v/>
      </c>
      <c r="AM3082" s="21"/>
      <c r="AN3082" s="11"/>
    </row>
    <row r="3083" spans="5:40">
      <c r="E3083" s="11"/>
      <c r="F30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3" s="13"/>
      <c r="H3083" s="13"/>
      <c r="I3083" s="12" t="str">
        <f>Table1[[#This Row],[type]]</f>
        <v>text</v>
      </c>
      <c r="J3083" s="62" t="str">
        <f>Table1[[#This Row],[Column42]]&amp;IF(Table1[[#This Row],[Column13]]="","",Table1[[#This Row],[Column13]])&amp;IF(Table1[[#This Row],[mod]]="","",Table1[[#This Row],[mod]])</f>
        <v>text__color</v>
      </c>
      <c r="K30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3" t="s">
        <v>403</v>
      </c>
      <c r="M3083" t="s">
        <v>3083</v>
      </c>
      <c r="Q30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3" s="29" t="s">
        <v>3978</v>
      </c>
      <c r="AC3083" s="25"/>
      <c r="AD3083" s="41"/>
      <c r="AE3083" s="41"/>
      <c r="AF3083" s="11"/>
      <c r="AH3083" s="7" t="str">
        <f>Table1[[#This Row],[html_tag]]&amp;Table1[[#This Row],[html_type]]&amp;Table1[[#This Row],[html_modifier]]</f>
        <v/>
      </c>
      <c r="AL3083" s="23" t="str">
        <f>IFERROR(_xlfn.XLOOKUP(Table1[[#This Row],[word]],Table57[English style name],Table57[Style type]),"")</f>
        <v/>
      </c>
      <c r="AM3083" s="21"/>
      <c r="AN3083" s="11"/>
    </row>
    <row r="3084" spans="5:40">
      <c r="E3084" s="11"/>
      <c r="F30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4" s="13"/>
      <c r="H3084" s="13"/>
      <c r="I3084" s="12" t="str">
        <f>Table1[[#This Row],[type]]</f>
        <v>text</v>
      </c>
      <c r="J3084" s="62" t="str">
        <f>Table1[[#This Row],[Column42]]&amp;IF(Table1[[#This Row],[Column13]]="","",Table1[[#This Row],[Column13]])&amp;IF(Table1[[#This Row],[mod]]="","",Table1[[#This Row],[mod]])</f>
        <v>text__color</v>
      </c>
      <c r="K30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4" t="s">
        <v>403</v>
      </c>
      <c r="M3084" t="s">
        <v>3083</v>
      </c>
      <c r="Q30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4" s="29" t="s">
        <v>3979</v>
      </c>
      <c r="AC3084" s="25"/>
      <c r="AD3084" s="41"/>
      <c r="AE3084" s="41"/>
      <c r="AF3084" s="11"/>
      <c r="AH3084" s="7" t="str">
        <f>Table1[[#This Row],[html_tag]]&amp;Table1[[#This Row],[html_type]]&amp;Table1[[#This Row],[html_modifier]]</f>
        <v/>
      </c>
      <c r="AL3084" s="23" t="str">
        <f>IFERROR(_xlfn.XLOOKUP(Table1[[#This Row],[word]],Table57[English style name],Table57[Style type]),"")</f>
        <v/>
      </c>
      <c r="AM3084" s="21"/>
      <c r="AN3084" s="11"/>
    </row>
    <row r="3085" spans="5:40">
      <c r="E3085" s="11"/>
      <c r="F30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5" s="13"/>
      <c r="H3085" s="13"/>
      <c r="I3085" s="12" t="str">
        <f>Table1[[#This Row],[type]]</f>
        <v>text</v>
      </c>
      <c r="J3085" s="62" t="str">
        <f>Table1[[#This Row],[Column42]]&amp;IF(Table1[[#This Row],[Column13]]="","",Table1[[#This Row],[Column13]])&amp;IF(Table1[[#This Row],[mod]]="","",Table1[[#This Row],[mod]])</f>
        <v>text__color</v>
      </c>
      <c r="K30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5" t="s">
        <v>403</v>
      </c>
      <c r="M3085" t="s">
        <v>3083</v>
      </c>
      <c r="Q30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5" s="29" t="s">
        <v>3980</v>
      </c>
      <c r="AC3085" s="25"/>
      <c r="AD3085" s="41"/>
      <c r="AE3085" s="41"/>
      <c r="AF3085" s="11"/>
      <c r="AH3085" s="7" t="str">
        <f>Table1[[#This Row],[html_tag]]&amp;Table1[[#This Row],[html_type]]&amp;Table1[[#This Row],[html_modifier]]</f>
        <v/>
      </c>
      <c r="AL3085" s="23" t="str">
        <f>IFERROR(_xlfn.XLOOKUP(Table1[[#This Row],[word]],Table57[English style name],Table57[Style type]),"")</f>
        <v/>
      </c>
      <c r="AM3085" s="21"/>
      <c r="AN3085" s="11"/>
    </row>
    <row r="3086" spans="5:40">
      <c r="E3086" s="11"/>
      <c r="F30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6" s="13"/>
      <c r="H3086" s="13"/>
      <c r="I3086" s="12" t="str">
        <f>Table1[[#This Row],[type]]</f>
        <v>text</v>
      </c>
      <c r="J3086" s="62" t="str">
        <f>Table1[[#This Row],[Column42]]&amp;IF(Table1[[#This Row],[Column13]]="","",Table1[[#This Row],[Column13]])&amp;IF(Table1[[#This Row],[mod]]="","",Table1[[#This Row],[mod]])</f>
        <v>text__color</v>
      </c>
      <c r="K30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6" t="s">
        <v>403</v>
      </c>
      <c r="M3086" t="s">
        <v>3083</v>
      </c>
      <c r="Q30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6" s="29" t="s">
        <v>3981</v>
      </c>
      <c r="AC3086" s="25"/>
      <c r="AD3086" s="41"/>
      <c r="AE3086" s="41"/>
      <c r="AF3086" s="11"/>
      <c r="AH3086" s="7" t="str">
        <f>Table1[[#This Row],[html_tag]]&amp;Table1[[#This Row],[html_type]]&amp;Table1[[#This Row],[html_modifier]]</f>
        <v/>
      </c>
      <c r="AL3086" s="23" t="str">
        <f>IFERROR(_xlfn.XLOOKUP(Table1[[#This Row],[word]],Table57[English style name],Table57[Style type]),"")</f>
        <v/>
      </c>
      <c r="AM3086" s="21"/>
      <c r="AN3086" s="11"/>
    </row>
    <row r="3087" spans="5:40">
      <c r="E3087" s="11"/>
      <c r="F30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7" s="13"/>
      <c r="H3087" s="13"/>
      <c r="I3087" s="12" t="str">
        <f>Table1[[#This Row],[type]]</f>
        <v>text</v>
      </c>
      <c r="J3087" s="62" t="str">
        <f>Table1[[#This Row],[Column42]]&amp;IF(Table1[[#This Row],[Column13]]="","",Table1[[#This Row],[Column13]])&amp;IF(Table1[[#This Row],[mod]]="","",Table1[[#This Row],[mod]])</f>
        <v>text__color</v>
      </c>
      <c r="K30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7" t="s">
        <v>403</v>
      </c>
      <c r="M3087" t="s">
        <v>3083</v>
      </c>
      <c r="Q30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7" s="29" t="s">
        <v>3982</v>
      </c>
      <c r="AC3087" s="25"/>
      <c r="AD3087" s="41"/>
      <c r="AE3087" s="41"/>
      <c r="AF3087" s="11"/>
      <c r="AH3087" s="7" t="str">
        <f>Table1[[#This Row],[html_tag]]&amp;Table1[[#This Row],[html_type]]&amp;Table1[[#This Row],[html_modifier]]</f>
        <v/>
      </c>
      <c r="AL3087" s="23" t="str">
        <f>IFERROR(_xlfn.XLOOKUP(Table1[[#This Row],[word]],Table57[English style name],Table57[Style type]),"")</f>
        <v/>
      </c>
      <c r="AM3087" s="21"/>
      <c r="AN3087" s="11"/>
    </row>
    <row r="3088" spans="5:40">
      <c r="E3088" s="11"/>
      <c r="F30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8" s="13"/>
      <c r="H3088" s="13"/>
      <c r="I3088" s="12" t="str">
        <f>Table1[[#This Row],[type]]</f>
        <v>text</v>
      </c>
      <c r="J3088" s="62" t="str">
        <f>Table1[[#This Row],[Column42]]&amp;IF(Table1[[#This Row],[Column13]]="","",Table1[[#This Row],[Column13]])&amp;IF(Table1[[#This Row],[mod]]="","",Table1[[#This Row],[mod]])</f>
        <v>text__color</v>
      </c>
      <c r="K30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8" t="s">
        <v>403</v>
      </c>
      <c r="M3088" t="s">
        <v>3083</v>
      </c>
      <c r="Q30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8" s="29" t="s">
        <v>3983</v>
      </c>
      <c r="AC3088" s="25"/>
      <c r="AD3088" s="41"/>
      <c r="AE3088" s="41"/>
      <c r="AF3088" s="11"/>
      <c r="AH3088" s="7" t="str">
        <f>Table1[[#This Row],[html_tag]]&amp;Table1[[#This Row],[html_type]]&amp;Table1[[#This Row],[html_modifier]]</f>
        <v/>
      </c>
      <c r="AL3088" s="23" t="str">
        <f>IFERROR(_xlfn.XLOOKUP(Table1[[#This Row],[word]],Table57[English style name],Table57[Style type]),"")</f>
        <v/>
      </c>
      <c r="AM3088" s="21"/>
      <c r="AN3088" s="11"/>
    </row>
    <row r="3089" spans="5:40">
      <c r="E3089" s="11"/>
      <c r="F30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9" s="13"/>
      <c r="H3089" s="13"/>
      <c r="I3089" s="12" t="str">
        <f>Table1[[#This Row],[type]]</f>
        <v>text</v>
      </c>
      <c r="J3089" s="62" t="str">
        <f>Table1[[#This Row],[Column42]]&amp;IF(Table1[[#This Row],[Column13]]="","",Table1[[#This Row],[Column13]])&amp;IF(Table1[[#This Row],[mod]]="","",Table1[[#This Row],[mod]])</f>
        <v>text__color</v>
      </c>
      <c r="K30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9" t="s">
        <v>403</v>
      </c>
      <c r="M3089" t="s">
        <v>3083</v>
      </c>
      <c r="Q30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9" s="29" t="s">
        <v>3984</v>
      </c>
      <c r="AC3089" s="25"/>
      <c r="AD3089" s="41"/>
      <c r="AE3089" s="41"/>
      <c r="AF3089" s="11"/>
      <c r="AH3089" s="7" t="str">
        <f>Table1[[#This Row],[html_tag]]&amp;Table1[[#This Row],[html_type]]&amp;Table1[[#This Row],[html_modifier]]</f>
        <v/>
      </c>
      <c r="AL3089" s="23" t="str">
        <f>IFERROR(_xlfn.XLOOKUP(Table1[[#This Row],[word]],Table57[English style name],Table57[Style type]),"")</f>
        <v/>
      </c>
      <c r="AM3089" s="21"/>
      <c r="AN3089" s="11"/>
    </row>
    <row r="3090" spans="5:40">
      <c r="E3090" s="11"/>
      <c r="F30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0" s="13"/>
      <c r="H3090" s="13"/>
      <c r="I3090" s="12" t="str">
        <f>Table1[[#This Row],[type]]</f>
        <v>text</v>
      </c>
      <c r="J3090" s="62" t="str">
        <f>Table1[[#This Row],[Column42]]&amp;IF(Table1[[#This Row],[Column13]]="","",Table1[[#This Row],[Column13]])&amp;IF(Table1[[#This Row],[mod]]="","",Table1[[#This Row],[mod]])</f>
        <v>text__color</v>
      </c>
      <c r="K30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0" t="s">
        <v>403</v>
      </c>
      <c r="M3090" t="s">
        <v>3083</v>
      </c>
      <c r="Q30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0" s="29" t="s">
        <v>3985</v>
      </c>
      <c r="AC3090" s="25"/>
      <c r="AD3090" s="41"/>
      <c r="AE3090" s="41"/>
      <c r="AF3090" s="11"/>
      <c r="AH3090" s="7" t="str">
        <f>Table1[[#This Row],[html_tag]]&amp;Table1[[#This Row],[html_type]]&amp;Table1[[#This Row],[html_modifier]]</f>
        <v/>
      </c>
      <c r="AL3090" s="23" t="str">
        <f>IFERROR(_xlfn.XLOOKUP(Table1[[#This Row],[word]],Table57[English style name],Table57[Style type]),"")</f>
        <v/>
      </c>
      <c r="AM3090" s="21"/>
      <c r="AN3090" s="11"/>
    </row>
    <row r="3091" spans="5:40">
      <c r="E3091" s="11"/>
      <c r="F30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1" s="13"/>
      <c r="H3091" s="13"/>
      <c r="I3091" s="12" t="str">
        <f>Table1[[#This Row],[type]]</f>
        <v>text</v>
      </c>
      <c r="J3091" s="62" t="str">
        <f>Table1[[#This Row],[Column42]]&amp;IF(Table1[[#This Row],[Column13]]="","",Table1[[#This Row],[Column13]])&amp;IF(Table1[[#This Row],[mod]]="","",Table1[[#This Row],[mod]])</f>
        <v>text__color</v>
      </c>
      <c r="K30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1" t="s">
        <v>403</v>
      </c>
      <c r="M3091" t="s">
        <v>3083</v>
      </c>
      <c r="Q30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1" s="29" t="s">
        <v>3986</v>
      </c>
      <c r="AC3091" s="25"/>
      <c r="AD3091" s="41"/>
      <c r="AE3091" s="41"/>
      <c r="AF3091" s="11"/>
      <c r="AH3091" s="7" t="str">
        <f>Table1[[#This Row],[html_tag]]&amp;Table1[[#This Row],[html_type]]&amp;Table1[[#This Row],[html_modifier]]</f>
        <v/>
      </c>
      <c r="AL3091" s="23" t="str">
        <f>IFERROR(_xlfn.XLOOKUP(Table1[[#This Row],[word]],Table57[English style name],Table57[Style type]),"")</f>
        <v/>
      </c>
      <c r="AM3091" s="21"/>
      <c r="AN3091" s="11"/>
    </row>
    <row r="3092" spans="5:40">
      <c r="E3092" s="11"/>
      <c r="F30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2" s="13"/>
      <c r="H3092" s="13"/>
      <c r="I3092" s="12" t="str">
        <f>Table1[[#This Row],[type]]</f>
        <v>text</v>
      </c>
      <c r="J3092" s="62" t="str">
        <f>Table1[[#This Row],[Column42]]&amp;IF(Table1[[#This Row],[Column13]]="","",Table1[[#This Row],[Column13]])&amp;IF(Table1[[#This Row],[mod]]="","",Table1[[#This Row],[mod]])</f>
        <v>text__color</v>
      </c>
      <c r="K30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2" t="s">
        <v>403</v>
      </c>
      <c r="M3092" t="s">
        <v>3083</v>
      </c>
      <c r="Q30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2" s="29" t="s">
        <v>3987</v>
      </c>
      <c r="AC3092" s="25"/>
      <c r="AD3092" s="41"/>
      <c r="AE3092" s="41"/>
      <c r="AF3092" s="11"/>
      <c r="AH3092" s="7" t="str">
        <f>Table1[[#This Row],[html_tag]]&amp;Table1[[#This Row],[html_type]]&amp;Table1[[#This Row],[html_modifier]]</f>
        <v/>
      </c>
      <c r="AL3092" s="23" t="str">
        <f>IFERROR(_xlfn.XLOOKUP(Table1[[#This Row],[word]],Table57[English style name],Table57[Style type]),"")</f>
        <v/>
      </c>
      <c r="AM3092" s="21"/>
      <c r="AN3092" s="11"/>
    </row>
    <row r="3093" spans="5:40">
      <c r="E3093" s="11"/>
      <c r="F30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3" s="13"/>
      <c r="H3093" s="13"/>
      <c r="I3093" s="12" t="str">
        <f>Table1[[#This Row],[type]]</f>
        <v>text</v>
      </c>
      <c r="J3093" s="62" t="str">
        <f>Table1[[#This Row],[Column42]]&amp;IF(Table1[[#This Row],[Column13]]="","",Table1[[#This Row],[Column13]])&amp;IF(Table1[[#This Row],[mod]]="","",Table1[[#This Row],[mod]])</f>
        <v>text__color</v>
      </c>
      <c r="K30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3" t="s">
        <v>403</v>
      </c>
      <c r="M3093" t="s">
        <v>3083</v>
      </c>
      <c r="Q30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3" s="29" t="s">
        <v>3988</v>
      </c>
      <c r="AC3093" s="25"/>
      <c r="AD3093" s="41"/>
      <c r="AE3093" s="41"/>
      <c r="AF3093" s="11"/>
      <c r="AH3093" s="7" t="str">
        <f>Table1[[#This Row],[html_tag]]&amp;Table1[[#This Row],[html_type]]&amp;Table1[[#This Row],[html_modifier]]</f>
        <v/>
      </c>
      <c r="AL3093" s="23" t="str">
        <f>IFERROR(_xlfn.XLOOKUP(Table1[[#This Row],[word]],Table57[English style name],Table57[Style type]),"")</f>
        <v/>
      </c>
      <c r="AM3093" s="21"/>
      <c r="AN3093" s="11"/>
    </row>
    <row r="3094" spans="5:40">
      <c r="E3094" s="11"/>
      <c r="F30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4" s="13"/>
      <c r="H3094" s="13"/>
      <c r="I3094" s="12" t="str">
        <f>Table1[[#This Row],[type]]</f>
        <v>text</v>
      </c>
      <c r="J3094" s="62" t="str">
        <f>Table1[[#This Row],[Column42]]&amp;IF(Table1[[#This Row],[Column13]]="","",Table1[[#This Row],[Column13]])&amp;IF(Table1[[#This Row],[mod]]="","",Table1[[#This Row],[mod]])</f>
        <v>text__color</v>
      </c>
      <c r="K30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4" t="s">
        <v>403</v>
      </c>
      <c r="M3094" t="s">
        <v>3083</v>
      </c>
      <c r="Q30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4" s="29" t="s">
        <v>3989</v>
      </c>
      <c r="AC3094" s="25"/>
      <c r="AD3094" s="41"/>
      <c r="AE3094" s="41"/>
      <c r="AF3094" s="11"/>
      <c r="AH3094" s="7" t="str">
        <f>Table1[[#This Row],[html_tag]]&amp;Table1[[#This Row],[html_type]]&amp;Table1[[#This Row],[html_modifier]]</f>
        <v/>
      </c>
      <c r="AL3094" s="23" t="str">
        <f>IFERROR(_xlfn.XLOOKUP(Table1[[#This Row],[word]],Table57[English style name],Table57[Style type]),"")</f>
        <v/>
      </c>
      <c r="AM3094" s="21"/>
      <c r="AN3094" s="11"/>
    </row>
    <row r="3095" spans="5:40">
      <c r="E3095" s="11"/>
      <c r="F30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5" s="13"/>
      <c r="H3095" s="13"/>
      <c r="I3095" s="12" t="str">
        <f>Table1[[#This Row],[type]]</f>
        <v>text</v>
      </c>
      <c r="J3095" s="62" t="str">
        <f>Table1[[#This Row],[Column42]]&amp;IF(Table1[[#This Row],[Column13]]="","",Table1[[#This Row],[Column13]])&amp;IF(Table1[[#This Row],[mod]]="","",Table1[[#This Row],[mod]])</f>
        <v>text__color</v>
      </c>
      <c r="K30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5" t="s">
        <v>403</v>
      </c>
      <c r="M3095" t="s">
        <v>3083</v>
      </c>
      <c r="Q30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5" s="29" t="s">
        <v>3990</v>
      </c>
      <c r="AC3095" s="25"/>
      <c r="AD3095" s="41"/>
      <c r="AE3095" s="41"/>
      <c r="AF3095" s="11"/>
      <c r="AH3095" s="7" t="str">
        <f>Table1[[#This Row],[html_tag]]&amp;Table1[[#This Row],[html_type]]&amp;Table1[[#This Row],[html_modifier]]</f>
        <v/>
      </c>
      <c r="AL3095" s="23" t="str">
        <f>IFERROR(_xlfn.XLOOKUP(Table1[[#This Row],[word]],Table57[English style name],Table57[Style type]),"")</f>
        <v/>
      </c>
      <c r="AM3095" s="21"/>
      <c r="AN3095" s="11"/>
    </row>
    <row r="3096" spans="5:40">
      <c r="E3096" s="11"/>
      <c r="F30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6" s="13"/>
      <c r="H3096" s="13"/>
      <c r="I3096" s="12" t="str">
        <f>Table1[[#This Row],[type]]</f>
        <v>text</v>
      </c>
      <c r="J3096" s="62" t="str">
        <f>Table1[[#This Row],[Column42]]&amp;IF(Table1[[#This Row],[Column13]]="","",Table1[[#This Row],[Column13]])&amp;IF(Table1[[#This Row],[mod]]="","",Table1[[#This Row],[mod]])</f>
        <v>text__end</v>
      </c>
      <c r="K30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096" t="s">
        <v>403</v>
      </c>
      <c r="N3096" t="s">
        <v>3194</v>
      </c>
      <c r="P3096" s="24" t="s">
        <v>3817</v>
      </c>
      <c r="Q30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6" s="80"/>
      <c r="AC3096" s="25" t="s">
        <v>3817</v>
      </c>
      <c r="AD3096" s="41"/>
      <c r="AE3096" s="41"/>
      <c r="AF3096" s="11"/>
      <c r="AH3096" s="7" t="str">
        <f>Table1[[#This Row],[html_tag]]&amp;Table1[[#This Row],[html_type]]&amp;Table1[[#This Row],[html_modifier]]</f>
        <v/>
      </c>
      <c r="AL3096" s="23" t="str">
        <f>IFERROR(_xlfn.XLOOKUP(Table1[[#This Row],[word]],Table57[English style name],Table57[Style type]),"")</f>
        <v/>
      </c>
      <c r="AM3096" s="21"/>
      <c r="AN3096" s="11"/>
    </row>
    <row r="3097" spans="5:40">
      <c r="E3097" s="11"/>
      <c r="F30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7" s="13"/>
      <c r="H3097" s="13"/>
      <c r="I3097" s="12" t="str">
        <f>Table1[[#This Row],[type]]</f>
        <v>text</v>
      </c>
      <c r="J3097" s="62" t="str">
        <f>Table1[[#This Row],[Column42]]&amp;IF(Table1[[#This Row],[Column13]]="","",Table1[[#This Row],[Column13]])&amp;IF(Table1[[#This Row],[mod]]="","",Table1[[#This Row],[mod]])</f>
        <v>text__end--lg</v>
      </c>
      <c r="K30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097" t="s">
        <v>403</v>
      </c>
      <c r="N3097" t="s">
        <v>3194</v>
      </c>
      <c r="P3097" s="24" t="s">
        <v>3819</v>
      </c>
      <c r="Q30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097" t="s">
        <v>3114</v>
      </c>
      <c r="AB3097" s="80"/>
      <c r="AC3097" s="25" t="s">
        <v>3819</v>
      </c>
      <c r="AD3097" s="41"/>
      <c r="AE3097" s="41"/>
      <c r="AF3097" s="11"/>
      <c r="AH3097" s="7" t="str">
        <f>Table1[[#This Row],[html_tag]]&amp;Table1[[#This Row],[html_type]]&amp;Table1[[#This Row],[html_modifier]]</f>
        <v/>
      </c>
      <c r="AL3097" s="23" t="str">
        <f>IFERROR(_xlfn.XLOOKUP(Table1[[#This Row],[word]],Table57[English style name],Table57[Style type]),"")</f>
        <v/>
      </c>
      <c r="AM3097" s="21"/>
      <c r="AN3097" s="11"/>
    </row>
    <row r="3098" spans="5:40">
      <c r="E3098" s="11"/>
      <c r="F30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8" s="13"/>
      <c r="H3098" s="13"/>
      <c r="I3098" s="12" t="str">
        <f>Table1[[#This Row],[type]]</f>
        <v>text</v>
      </c>
      <c r="J3098" s="62" t="str">
        <f>Table1[[#This Row],[Column42]]&amp;IF(Table1[[#This Row],[Column13]]="","",Table1[[#This Row],[Column13]])&amp;IF(Table1[[#This Row],[mod]]="","",Table1[[#This Row],[mod]])</f>
        <v>text__end--md</v>
      </c>
      <c r="K30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098" t="s">
        <v>403</v>
      </c>
      <c r="N3098" t="s">
        <v>3194</v>
      </c>
      <c r="P3098" s="24" t="s">
        <v>3822</v>
      </c>
      <c r="Q30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098" t="s">
        <v>3115</v>
      </c>
      <c r="AB3098" s="80"/>
      <c r="AC3098" s="25" t="s">
        <v>3822</v>
      </c>
      <c r="AD3098" s="41"/>
      <c r="AE3098" s="41"/>
      <c r="AF3098" s="11"/>
      <c r="AH3098" s="7" t="str">
        <f>Table1[[#This Row],[html_tag]]&amp;Table1[[#This Row],[html_type]]&amp;Table1[[#This Row],[html_modifier]]</f>
        <v/>
      </c>
      <c r="AL3098" s="23" t="str">
        <f>IFERROR(_xlfn.XLOOKUP(Table1[[#This Row],[word]],Table57[English style name],Table57[Style type]),"")</f>
        <v/>
      </c>
      <c r="AM3098" s="21"/>
      <c r="AN3098" s="11"/>
    </row>
    <row r="3099" spans="5:40">
      <c r="E3099" s="11"/>
      <c r="F30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9" s="13"/>
      <c r="H3099" s="13"/>
      <c r="I3099" s="12" t="str">
        <f>Table1[[#This Row],[type]]</f>
        <v>text</v>
      </c>
      <c r="J3099" s="62" t="str">
        <f>Table1[[#This Row],[Column42]]&amp;IF(Table1[[#This Row],[Column13]]="","",Table1[[#This Row],[Column13]])&amp;IF(Table1[[#This Row],[mod]]="","",Table1[[#This Row],[mod]])</f>
        <v>text__end--sm</v>
      </c>
      <c r="K30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099" t="s">
        <v>403</v>
      </c>
      <c r="N3099" t="s">
        <v>3194</v>
      </c>
      <c r="P3099" s="24" t="s">
        <v>3826</v>
      </c>
      <c r="Q30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099" t="s">
        <v>3116</v>
      </c>
      <c r="AB3099" s="80"/>
      <c r="AC3099" s="25" t="s">
        <v>3826</v>
      </c>
      <c r="AD3099" s="41"/>
      <c r="AE3099" s="41"/>
      <c r="AF3099" s="11"/>
      <c r="AH3099" s="7" t="str">
        <f>Table1[[#This Row],[html_tag]]&amp;Table1[[#This Row],[html_type]]&amp;Table1[[#This Row],[html_modifier]]</f>
        <v/>
      </c>
      <c r="AL3099" s="23" t="str">
        <f>IFERROR(_xlfn.XLOOKUP(Table1[[#This Row],[word]],Table57[English style name],Table57[Style type]),"")</f>
        <v/>
      </c>
      <c r="AM3099" s="21"/>
      <c r="AN3099" s="11"/>
    </row>
    <row r="3100" spans="5:40">
      <c r="E3100" s="11"/>
      <c r="F31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0" s="13"/>
      <c r="H3100" s="13"/>
      <c r="I3100" s="12" t="str">
        <f>Table1[[#This Row],[type]]</f>
        <v>text</v>
      </c>
      <c r="J3100" s="62" t="str">
        <f>Table1[[#This Row],[Column42]]&amp;IF(Table1[[#This Row],[Column13]]="","",Table1[[#This Row],[Column13]])&amp;IF(Table1[[#This Row],[mod]]="","",Table1[[#This Row],[mod]])</f>
        <v>text__end--xl</v>
      </c>
      <c r="K31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100" t="s">
        <v>403</v>
      </c>
      <c r="N3100" t="s">
        <v>3194</v>
      </c>
      <c r="P3100" s="24" t="s">
        <v>3831</v>
      </c>
      <c r="Q31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00" t="s">
        <v>3126</v>
      </c>
      <c r="AB3100" s="29"/>
      <c r="AC3100" s="25" t="s">
        <v>3831</v>
      </c>
      <c r="AD3100" s="41"/>
      <c r="AE3100" s="41"/>
      <c r="AF3100" s="11"/>
      <c r="AH3100" s="7" t="str">
        <f>Table1[[#This Row],[html_tag]]&amp;Table1[[#This Row],[html_type]]&amp;Table1[[#This Row],[html_modifier]]</f>
        <v/>
      </c>
      <c r="AL3100" s="23" t="str">
        <f>IFERROR(_xlfn.XLOOKUP(Table1[[#This Row],[word]],Table57[English style name],Table57[Style type]),"")</f>
        <v/>
      </c>
      <c r="AM3100" s="21"/>
      <c r="AN3100" s="11"/>
    </row>
    <row r="3101" spans="5:40">
      <c r="E3101" s="11"/>
      <c r="F31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1" s="13"/>
      <c r="H3101" s="13"/>
      <c r="I3101" s="12" t="str">
        <f>Table1[[#This Row],[type]]</f>
        <v>text</v>
      </c>
      <c r="J3101" s="62" t="str">
        <f>Table1[[#This Row],[Column42]]&amp;IF(Table1[[#This Row],[Column13]]="","",Table1[[#This Row],[Column13]])&amp;IF(Table1[[#This Row],[mod]]="","",Table1[[#This Row],[mod]])</f>
        <v>text__end--xl</v>
      </c>
      <c r="K31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101" t="s">
        <v>403</v>
      </c>
      <c r="N3101" t="s">
        <v>3194</v>
      </c>
      <c r="P3101" s="24" t="s">
        <v>3831</v>
      </c>
      <c r="Q31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01" t="s">
        <v>3126</v>
      </c>
      <c r="AB3101" s="29"/>
      <c r="AC3101" s="25" t="s">
        <v>3831</v>
      </c>
      <c r="AD3101" s="41"/>
      <c r="AE3101" s="41"/>
      <c r="AF3101" s="11"/>
      <c r="AH3101" s="7" t="str">
        <f>Table1[[#This Row],[html_tag]]&amp;Table1[[#This Row],[html_type]]&amp;Table1[[#This Row],[html_modifier]]</f>
        <v/>
      </c>
      <c r="AL3101" s="23" t="str">
        <f>IFERROR(_xlfn.XLOOKUP(Table1[[#This Row],[word]],Table57[English style name],Table57[Style type]),"")</f>
        <v/>
      </c>
      <c r="AM3101" s="21"/>
      <c r="AN3101" s="11"/>
    </row>
    <row r="3102" spans="5:40">
      <c r="E3102" s="11"/>
      <c r="F31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2" s="13"/>
      <c r="H3102" s="13"/>
      <c r="I3102" s="12" t="str">
        <f>Table1[[#This Row],[type]]</f>
        <v>text</v>
      </c>
      <c r="J3102" s="62" t="str">
        <f>Table1[[#This Row],[Column42]]&amp;IF(Table1[[#This Row],[Column13]]="","",Table1[[#This Row],[Column13]])&amp;IF(Table1[[#This Row],[mod]]="","",Table1[[#This Row],[mod]])</f>
        <v>text__end--xl</v>
      </c>
      <c r="K31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102" t="s">
        <v>403</v>
      </c>
      <c r="N3102" t="s">
        <v>3194</v>
      </c>
      <c r="P3102" s="24" t="s">
        <v>3831</v>
      </c>
      <c r="Q31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02" t="s">
        <v>3126</v>
      </c>
      <c r="AB3102" s="29"/>
      <c r="AC3102" s="25" t="s">
        <v>3831</v>
      </c>
      <c r="AD3102" s="41"/>
      <c r="AE3102" s="41"/>
      <c r="AF3102" s="11"/>
      <c r="AH3102" s="7" t="str">
        <f>Table1[[#This Row],[html_tag]]&amp;Table1[[#This Row],[html_type]]&amp;Table1[[#This Row],[html_modifier]]</f>
        <v/>
      </c>
      <c r="AL3102" s="23" t="str">
        <f>IFERROR(_xlfn.XLOOKUP(Table1[[#This Row],[word]],Table57[English style name],Table57[Style type]),"")</f>
        <v/>
      </c>
      <c r="AM3102" s="21"/>
      <c r="AN3102" s="11"/>
    </row>
    <row r="3103" spans="5:40">
      <c r="E3103" s="11"/>
      <c r="F31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3" s="13"/>
      <c r="H3103" s="13"/>
      <c r="I3103" s="12" t="str">
        <f>Table1[[#This Row],[type]]</f>
        <v>text</v>
      </c>
      <c r="J3103" s="62" t="str">
        <f>Table1[[#This Row],[Column42]]&amp;IF(Table1[[#This Row],[Column13]]="","",Table1[[#This Row],[Column13]])&amp;IF(Table1[[#This Row],[mod]]="","",Table1[[#This Row],[mod]])</f>
        <v>text__end--xxl</v>
      </c>
      <c r="K31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103" t="s">
        <v>403</v>
      </c>
      <c r="N3103" t="s">
        <v>3194</v>
      </c>
      <c r="P3103" s="24" t="s">
        <v>3834</v>
      </c>
      <c r="Q31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3103" t="s">
        <v>3869</v>
      </c>
      <c r="AB3103" s="29"/>
      <c r="AC3103" s="25" t="s">
        <v>3834</v>
      </c>
      <c r="AD3103" s="41"/>
      <c r="AE3103" s="41"/>
      <c r="AF3103" s="11"/>
      <c r="AH3103" s="7" t="str">
        <f>Table1[[#This Row],[html_tag]]&amp;Table1[[#This Row],[html_type]]&amp;Table1[[#This Row],[html_modifier]]</f>
        <v/>
      </c>
      <c r="AL3103" s="23" t="str">
        <f>IFERROR(_xlfn.XLOOKUP(Table1[[#This Row],[word]],Table57[English style name],Table57[Style type]),"")</f>
        <v/>
      </c>
      <c r="AM3103" s="21"/>
      <c r="AN3103" s="11"/>
    </row>
    <row r="3104" spans="5:40">
      <c r="E3104" s="11"/>
      <c r="F31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4" s="13"/>
      <c r="H3104" s="13"/>
      <c r="I3104" s="12" t="str">
        <f>Table1[[#This Row],[type]]</f>
        <v>text</v>
      </c>
      <c r="J3104" s="62" t="str">
        <f>Table1[[#This Row],[Column42]]&amp;IF(Table1[[#This Row],[Column13]]="","",Table1[[#This Row],[Column13]])&amp;IF(Table1[[#This Row],[mod]]="","",Table1[[#This Row],[mod]])</f>
        <v>text__start</v>
      </c>
      <c r="K31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4" t="s">
        <v>403</v>
      </c>
      <c r="N3104" t="s">
        <v>3193</v>
      </c>
      <c r="P3104" s="24"/>
      <c r="Q31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04" s="29"/>
      <c r="AC3104" s="25" t="s">
        <v>3828</v>
      </c>
      <c r="AD3104" s="41"/>
      <c r="AE3104" s="41"/>
      <c r="AF3104" s="11"/>
      <c r="AH3104" s="7" t="str">
        <f>Table1[[#This Row],[html_tag]]&amp;Table1[[#This Row],[html_type]]&amp;Table1[[#This Row],[html_modifier]]</f>
        <v/>
      </c>
      <c r="AL3104" s="23" t="str">
        <f>IFERROR(_xlfn.XLOOKUP(Table1[[#This Row],[word]],Table57[English style name],Table57[Style type]),"")</f>
        <v/>
      </c>
      <c r="AM3104" s="21"/>
      <c r="AN3104" s="11"/>
    </row>
    <row r="3105" spans="5:44">
      <c r="E3105" s="11"/>
      <c r="F31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5" s="13"/>
      <c r="H3105" s="13"/>
      <c r="I3105" s="12" t="str">
        <f>Table1[[#This Row],[type]]</f>
        <v>text</v>
      </c>
      <c r="J3105" s="62" t="str">
        <f>Table1[[#This Row],[Column42]]&amp;IF(Table1[[#This Row],[Column13]]="","",Table1[[#This Row],[Column13]])&amp;IF(Table1[[#This Row],[mod]]="","",Table1[[#This Row],[mod]])</f>
        <v>text__start--lg</v>
      </c>
      <c r="K31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5" t="s">
        <v>403</v>
      </c>
      <c r="N3105" t="s">
        <v>3193</v>
      </c>
      <c r="P3105" s="24"/>
      <c r="Q31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05" t="s">
        <v>3114</v>
      </c>
      <c r="AB3105" s="29"/>
      <c r="AC3105" s="25" t="s">
        <v>3820</v>
      </c>
      <c r="AD3105" s="41"/>
      <c r="AE3105" s="41"/>
      <c r="AF3105" s="11"/>
      <c r="AH3105" s="7" t="str">
        <f>Table1[[#This Row],[html_tag]]&amp;Table1[[#This Row],[html_type]]&amp;Table1[[#This Row],[html_modifier]]</f>
        <v/>
      </c>
      <c r="AL3105" s="23" t="str">
        <f>IFERROR(_xlfn.XLOOKUP(Table1[[#This Row],[word]],Table57[English style name],Table57[Style type]),"")</f>
        <v/>
      </c>
      <c r="AM3105" s="21"/>
      <c r="AN3105" s="11"/>
    </row>
    <row r="3106" spans="5:44">
      <c r="E3106" s="11"/>
      <c r="F31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6" s="13"/>
      <c r="H3106" s="13"/>
      <c r="I3106" s="12" t="str">
        <f>Table1[[#This Row],[type]]</f>
        <v>text</v>
      </c>
      <c r="J3106" s="62" t="str">
        <f>Table1[[#This Row],[Column42]]&amp;IF(Table1[[#This Row],[Column13]]="","",Table1[[#This Row],[Column13]])&amp;IF(Table1[[#This Row],[mod]]="","",Table1[[#This Row],[mod]])</f>
        <v>text__start--md</v>
      </c>
      <c r="K31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6" t="s">
        <v>403</v>
      </c>
      <c r="N3106" t="s">
        <v>3193</v>
      </c>
      <c r="P3106" s="24"/>
      <c r="Q31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106" t="s">
        <v>3115</v>
      </c>
      <c r="AB3106" s="29"/>
      <c r="AC3106" s="25" t="s">
        <v>3823</v>
      </c>
      <c r="AD3106" s="41"/>
      <c r="AE3106" s="41"/>
      <c r="AF3106" s="11"/>
      <c r="AH3106" s="7" t="str">
        <f>Table1[[#This Row],[html_tag]]&amp;Table1[[#This Row],[html_type]]&amp;Table1[[#This Row],[html_modifier]]</f>
        <v/>
      </c>
      <c r="AL3106" s="23" t="str">
        <f>IFERROR(_xlfn.XLOOKUP(Table1[[#This Row],[word]],Table57[English style name],Table57[Style type]),"")</f>
        <v/>
      </c>
      <c r="AM3106" s="21"/>
      <c r="AN3106" s="11"/>
    </row>
    <row r="3107" spans="5:44">
      <c r="E3107" s="11"/>
      <c r="F31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7" s="13"/>
      <c r="H3107" s="13"/>
      <c r="I3107" s="12" t="str">
        <f>Table1[[#This Row],[type]]</f>
        <v>text</v>
      </c>
      <c r="J3107" s="62" t="str">
        <f>Table1[[#This Row],[Column42]]&amp;IF(Table1[[#This Row],[Column13]]="","",Table1[[#This Row],[Column13]])&amp;IF(Table1[[#This Row],[mod]]="","",Table1[[#This Row],[mod]])</f>
        <v>text__start--sm</v>
      </c>
      <c r="K31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7" t="s">
        <v>403</v>
      </c>
      <c r="N3107" t="s">
        <v>3193</v>
      </c>
      <c r="P3107" s="24"/>
      <c r="Q31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07" t="s">
        <v>3116</v>
      </c>
      <c r="AB3107" s="29"/>
      <c r="AC3107" s="25" t="s">
        <v>3827</v>
      </c>
      <c r="AD3107" s="41"/>
      <c r="AE3107" s="41"/>
      <c r="AF3107" s="11"/>
      <c r="AH3107" s="7" t="str">
        <f>Table1[[#This Row],[html_tag]]&amp;Table1[[#This Row],[html_type]]&amp;Table1[[#This Row],[html_modifier]]</f>
        <v/>
      </c>
      <c r="AL3107" s="23" t="str">
        <f>IFERROR(_xlfn.XLOOKUP(Table1[[#This Row],[word]],Table57[English style name],Table57[Style type]),"")</f>
        <v/>
      </c>
      <c r="AM3107" s="21"/>
      <c r="AN3107" s="11"/>
    </row>
    <row r="3108" spans="5:44">
      <c r="E3108" s="11"/>
      <c r="F31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8" s="13"/>
      <c r="H3108" s="13"/>
      <c r="I3108" s="12" t="str">
        <f>Table1[[#This Row],[type]]</f>
        <v>text</v>
      </c>
      <c r="J3108" s="62" t="str">
        <f>Table1[[#This Row],[Column42]]&amp;IF(Table1[[#This Row],[Column13]]="","",Table1[[#This Row],[Column13]])&amp;IF(Table1[[#This Row],[mod]]="","",Table1[[#This Row],[mod]])</f>
        <v>text__start--xl</v>
      </c>
      <c r="K31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8" t="s">
        <v>403</v>
      </c>
      <c r="N3108" t="s">
        <v>3193</v>
      </c>
      <c r="P3108" s="24"/>
      <c r="Q31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08" t="s">
        <v>3126</v>
      </c>
      <c r="AB3108" s="29"/>
      <c r="AC3108" s="25" t="s">
        <v>3832</v>
      </c>
      <c r="AD3108" s="41"/>
      <c r="AE3108" s="41"/>
      <c r="AF3108" s="11"/>
      <c r="AH3108" s="7" t="str">
        <f>Table1[[#This Row],[html_tag]]&amp;Table1[[#This Row],[html_type]]&amp;Table1[[#This Row],[html_modifier]]</f>
        <v/>
      </c>
      <c r="AL3108" s="23" t="str">
        <f>IFERROR(_xlfn.XLOOKUP(Table1[[#This Row],[word]],Table57[English style name],Table57[Style type]),"")</f>
        <v/>
      </c>
      <c r="AM3108" s="21"/>
      <c r="AN3108" s="11"/>
    </row>
    <row r="3109" spans="5:44">
      <c r="E3109" s="11"/>
      <c r="F31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9" s="13"/>
      <c r="H3109" s="13"/>
      <c r="I3109" s="12" t="str">
        <f>Table1[[#This Row],[type]]</f>
        <v>text</v>
      </c>
      <c r="J3109" s="62" t="str">
        <f>Table1[[#This Row],[Column42]]&amp;IF(Table1[[#This Row],[Column13]]="","",Table1[[#This Row],[Column13]])&amp;IF(Table1[[#This Row],[mod]]="","",Table1[[#This Row],[mod]])</f>
        <v>text__start--xl</v>
      </c>
      <c r="K31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9" t="s">
        <v>403</v>
      </c>
      <c r="N3109" t="s">
        <v>3193</v>
      </c>
      <c r="P3109" s="24"/>
      <c r="Q31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09" t="s">
        <v>3126</v>
      </c>
      <c r="AB3109" s="29"/>
      <c r="AC3109" s="25" t="s">
        <v>3832</v>
      </c>
      <c r="AD3109" s="41"/>
      <c r="AE3109" s="41"/>
      <c r="AF3109" s="11"/>
      <c r="AH3109" s="7" t="str">
        <f>Table1[[#This Row],[html_tag]]&amp;Table1[[#This Row],[html_type]]&amp;Table1[[#This Row],[html_modifier]]</f>
        <v/>
      </c>
      <c r="AL3109" s="23" t="str">
        <f>IFERROR(_xlfn.XLOOKUP(Table1[[#This Row],[word]],Table57[English style name],Table57[Style type]),"")</f>
        <v/>
      </c>
      <c r="AM3109" s="21"/>
      <c r="AN3109" s="11"/>
    </row>
    <row r="3110" spans="5:44">
      <c r="E3110" s="11"/>
      <c r="F31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10" s="13"/>
      <c r="H3110" s="13"/>
      <c r="I3110" s="12" t="str">
        <f>Table1[[#This Row],[type]]</f>
        <v>text</v>
      </c>
      <c r="J3110" s="62" t="str">
        <f>Table1[[#This Row],[Column42]]&amp;IF(Table1[[#This Row],[Column13]]="","",Table1[[#This Row],[Column13]])&amp;IF(Table1[[#This Row],[mod]]="","",Table1[[#This Row],[mod]])</f>
        <v>text__start--xl</v>
      </c>
      <c r="K31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10" t="s">
        <v>403</v>
      </c>
      <c r="N3110" t="s">
        <v>3193</v>
      </c>
      <c r="P3110" s="24"/>
      <c r="Q31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10" t="s">
        <v>3126</v>
      </c>
      <c r="AB3110" s="29"/>
      <c r="AC3110" s="25" t="s">
        <v>3832</v>
      </c>
      <c r="AD3110" s="41"/>
      <c r="AE3110" s="41"/>
      <c r="AF3110" s="11"/>
      <c r="AH3110" s="7" t="str">
        <f>Table1[[#This Row],[html_tag]]&amp;Table1[[#This Row],[html_type]]&amp;Table1[[#This Row],[html_modifier]]</f>
        <v/>
      </c>
      <c r="AL3110" s="23" t="str">
        <f>IFERROR(_xlfn.XLOOKUP(Table1[[#This Row],[word]],Table57[English style name],Table57[Style type]),"")</f>
        <v/>
      </c>
      <c r="AM3110" s="21"/>
      <c r="AN3110" s="11"/>
    </row>
    <row r="3111" spans="5:44">
      <c r="E3111" s="11"/>
      <c r="F31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11" s="13"/>
      <c r="H3111" s="13"/>
      <c r="I3111" s="12" t="str">
        <f>Table1[[#This Row],[type]]</f>
        <v>text</v>
      </c>
      <c r="J3111" s="62" t="str">
        <f>Table1[[#This Row],[Column42]]&amp;IF(Table1[[#This Row],[Column13]]="","",Table1[[#This Row],[Column13]])&amp;IF(Table1[[#This Row],[mod]]="","",Table1[[#This Row],[mod]])</f>
        <v>text__start--xxl</v>
      </c>
      <c r="K31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11" t="s">
        <v>403</v>
      </c>
      <c r="N3111" t="s">
        <v>3193</v>
      </c>
      <c r="P3111" s="24"/>
      <c r="Q31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3111" t="s">
        <v>3869</v>
      </c>
      <c r="AB3111" s="29"/>
      <c r="AC3111" s="25" t="s">
        <v>3835</v>
      </c>
      <c r="AD3111" s="41"/>
      <c r="AE3111" s="41"/>
      <c r="AF3111" s="11"/>
      <c r="AH3111" s="7" t="str">
        <f>Table1[[#This Row],[html_tag]]&amp;Table1[[#This Row],[html_type]]&amp;Table1[[#This Row],[html_modifier]]</f>
        <v/>
      </c>
      <c r="AL3111" s="23" t="str">
        <f>IFERROR(_xlfn.XLOOKUP(Table1[[#This Row],[word]],Table57[English style name],Table57[Style type]),"")</f>
        <v/>
      </c>
      <c r="AM3111" s="21"/>
      <c r="AN3111" s="11"/>
    </row>
    <row r="3112" spans="5:44">
      <c r="E3112" s="11"/>
      <c r="F31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2" s="13" t="s">
        <v>2992</v>
      </c>
      <c r="H3112" s="13" t="s">
        <v>1</v>
      </c>
      <c r="I3112" s="12" t="str">
        <f>Table1[[#This Row],[type]]</f>
        <v>text_align</v>
      </c>
      <c r="J3112" s="62" t="str">
        <f>Table1[[#This Row],[Column42]]&amp;IF(Table1[[#This Row],[Column13]]="","",Table1[[#This Row],[Column13]])&amp;IF(Table1[[#This Row],[mod]]="","",Table1[[#This Row],[mod]])</f>
        <v>text_align</v>
      </c>
      <c r="K31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</v>
      </c>
      <c r="L3112" t="s">
        <v>3174</v>
      </c>
      <c r="P3112" s="6" t="s">
        <v>2791</v>
      </c>
      <c r="Q31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2" s="29"/>
      <c r="AC3112" s="25"/>
      <c r="AD3112" s="41"/>
      <c r="AE3112" s="41"/>
      <c r="AF3112" s="11"/>
      <c r="AH3112" s="1" t="str">
        <f>Table1[[#This Row],[html_tag]]&amp;Table1[[#This Row],[html_type]]&amp;Table1[[#This Row],[html_modifier]]</f>
        <v/>
      </c>
      <c r="AL3112" s="22" t="str">
        <f>IFERROR(_xlfn.XLOOKUP(Table1[[#This Row],[word]],Table57[English style name],Table57[Style type]),"")</f>
        <v/>
      </c>
      <c r="AM3112" s="20"/>
      <c r="AN3112" s="11"/>
      <c r="AQ3112" s="6" t="s">
        <v>2791</v>
      </c>
      <c r="AR3112" t="s">
        <v>2788</v>
      </c>
    </row>
    <row r="3113" spans="5:44">
      <c r="E3113" s="11"/>
      <c r="F31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3" s="13" t="s">
        <v>2992</v>
      </c>
      <c r="H3113" s="13" t="s">
        <v>1</v>
      </c>
      <c r="I3113" s="12" t="str">
        <f>Table1[[#This Row],[type]]</f>
        <v>text_align</v>
      </c>
      <c r="J3113" s="62" t="str">
        <f>Table1[[#This Row],[Column42]]&amp;IF(Table1[[#This Row],[Column13]]="","",Table1[[#This Row],[Column13]])&amp;IF(Table1[[#This Row],[mod]]="","",Table1[[#This Row],[mod]])</f>
        <v>text_align</v>
      </c>
      <c r="K31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</v>
      </c>
      <c r="L3113" t="s">
        <v>3174</v>
      </c>
      <c r="Q31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3" s="29"/>
      <c r="AC3113" s="25"/>
      <c r="AD3113" s="41"/>
      <c r="AE3113" s="41"/>
      <c r="AF3113" s="11"/>
      <c r="AH3113" s="1" t="str">
        <f>Table1[[#This Row],[html_tag]]&amp;Table1[[#This Row],[html_type]]&amp;Table1[[#This Row],[html_modifier]]</f>
        <v/>
      </c>
      <c r="AL3113" s="22" t="str">
        <f>IFERROR(_xlfn.XLOOKUP(Table1[[#This Row],[word]],Table57[English style name],Table57[Style type]),"")</f>
        <v/>
      </c>
      <c r="AM3113" s="20"/>
      <c r="AN3113" s="11"/>
      <c r="AQ3113" s="6" t="s">
        <v>2787</v>
      </c>
      <c r="AR3113" t="s">
        <v>2788</v>
      </c>
    </row>
    <row r="3114" spans="5:44">
      <c r="E3114" s="11"/>
      <c r="F31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4" s="13" t="s">
        <v>2992</v>
      </c>
      <c r="H3114" s="13" t="s">
        <v>1</v>
      </c>
      <c r="I3114" s="12" t="str">
        <f>Table1[[#This Row],[type]]</f>
        <v>text_align</v>
      </c>
      <c r="J3114" s="62" t="str">
        <f>Table1[[#This Row],[Column42]]&amp;IF(Table1[[#This Row],[Column13]]="","",Table1[[#This Row],[Column13]])&amp;IF(Table1[[#This Row],[mod]]="","",Table1[[#This Row],[mod]])</f>
        <v>text_align__center</v>
      </c>
      <c r="K31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text_align__center</v>
      </c>
      <c r="L3114" t="s">
        <v>3174</v>
      </c>
      <c r="N3114" t="s">
        <v>425</v>
      </c>
      <c r="P3114" s="6" t="s">
        <v>2789</v>
      </c>
      <c r="Q31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4" s="29"/>
      <c r="AC3114" s="25"/>
      <c r="AD3114" s="41"/>
      <c r="AE3114" s="41"/>
      <c r="AF3114" s="11"/>
      <c r="AH3114" s="1" t="str">
        <f>Table1[[#This Row],[html_tag]]&amp;Table1[[#This Row],[html_type]]&amp;Table1[[#This Row],[html_modifier]]</f>
        <v/>
      </c>
      <c r="AL3114" s="22" t="str">
        <f>IFERROR(_xlfn.XLOOKUP(Table1[[#This Row],[word]],Table57[English style name],Table57[Style type]),"")</f>
        <v/>
      </c>
      <c r="AM3114" s="20"/>
      <c r="AN3114" s="11"/>
      <c r="AQ3114" s="6" t="s">
        <v>2789</v>
      </c>
      <c r="AR3114" t="s">
        <v>2788</v>
      </c>
    </row>
    <row r="3115" spans="5:44">
      <c r="E3115" s="11"/>
      <c r="F31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5" s="13" t="s">
        <v>2992</v>
      </c>
      <c r="H3115" s="13" t="s">
        <v>1</v>
      </c>
      <c r="I3115" s="12" t="str">
        <f>Table1[[#This Row],[type]]</f>
        <v>text_align</v>
      </c>
      <c r="J3115" s="62" t="str">
        <f>Table1[[#This Row],[Column42]]&amp;IF(Table1[[#This Row],[Column13]]="","",Table1[[#This Row],[Column13]])&amp;IF(Table1[[#This Row],[mod]]="","",Table1[[#This Row],[mod]])</f>
        <v>text_align__center</v>
      </c>
      <c r="K31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text_align__center</v>
      </c>
      <c r="L3115" t="s">
        <v>3174</v>
      </c>
      <c r="N3115" t="s">
        <v>425</v>
      </c>
      <c r="P3115" s="6" t="s">
        <v>2790</v>
      </c>
      <c r="Q31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5" s="29"/>
      <c r="AC3115" s="25"/>
      <c r="AD3115" s="41"/>
      <c r="AE3115" s="41"/>
      <c r="AF3115" s="11"/>
      <c r="AH3115" s="1" t="str">
        <f>Table1[[#This Row],[html_tag]]&amp;Table1[[#This Row],[html_type]]&amp;Table1[[#This Row],[html_modifier]]</f>
        <v/>
      </c>
      <c r="AL3115" s="22" t="str">
        <f>IFERROR(_xlfn.XLOOKUP(Table1[[#This Row],[word]],Table57[English style name],Table57[Style type]),"")</f>
        <v/>
      </c>
      <c r="AM3115" s="20"/>
      <c r="AN3115" s="11"/>
      <c r="AQ3115" s="6" t="s">
        <v>2790</v>
      </c>
      <c r="AR3115" t="s">
        <v>2788</v>
      </c>
    </row>
    <row r="3116" spans="5:44">
      <c r="E3116" s="11"/>
      <c r="F31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6" s="13" t="s">
        <v>2992</v>
      </c>
      <c r="H3116" s="13" t="s">
        <v>1</v>
      </c>
      <c r="I3116" s="12" t="str">
        <f>Table1[[#This Row],[type]]</f>
        <v>text_align</v>
      </c>
      <c r="J3116" s="62" t="str">
        <f>Table1[[#This Row],[Column42]]&amp;IF(Table1[[#This Row],[Column13]]="","",Table1[[#This Row],[Column13]])&amp;IF(Table1[[#This Row],[mod]]="","",Table1[[#This Row],[mod]])</f>
        <v>text_align__left</v>
      </c>
      <c r="K31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text_align__left</v>
      </c>
      <c r="L3116" t="s">
        <v>3174</v>
      </c>
      <c r="N3116" t="s">
        <v>616</v>
      </c>
      <c r="P3116" s="6" t="s">
        <v>2792</v>
      </c>
      <c r="Q31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6" s="29"/>
      <c r="AC3116" s="25"/>
      <c r="AD3116" s="41"/>
      <c r="AE3116" s="41"/>
      <c r="AF3116" s="11"/>
      <c r="AH3116" s="1" t="str">
        <f>Table1[[#This Row],[html_tag]]&amp;Table1[[#This Row],[html_type]]&amp;Table1[[#This Row],[html_modifier]]</f>
        <v/>
      </c>
      <c r="AL3116" s="22" t="str">
        <f>IFERROR(_xlfn.XLOOKUP(Table1[[#This Row],[word]],Table57[English style name],Table57[Style type]),"")</f>
        <v/>
      </c>
      <c r="AM3116" s="20"/>
      <c r="AN3116" s="11"/>
      <c r="AQ3116" s="6" t="s">
        <v>2792</v>
      </c>
      <c r="AR3116" t="s">
        <v>2788</v>
      </c>
    </row>
    <row r="3117" spans="5:44">
      <c r="E3117" s="11"/>
      <c r="F31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7" s="13" t="s">
        <v>2992</v>
      </c>
      <c r="H3117" s="13" t="s">
        <v>1</v>
      </c>
      <c r="I3117" s="12" t="str">
        <f>Table1[[#This Row],[type]]</f>
        <v>text_align</v>
      </c>
      <c r="J3117" s="62" t="str">
        <f>Table1[[#This Row],[Column42]]&amp;IF(Table1[[#This Row],[Column13]]="","",Table1[[#This Row],[Column13]])&amp;IF(Table1[[#This Row],[mod]]="","",Table1[[#This Row],[mod]])</f>
        <v>text_align__left</v>
      </c>
      <c r="K31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text_align__left</v>
      </c>
      <c r="L3117" t="s">
        <v>3174</v>
      </c>
      <c r="N3117" t="s">
        <v>616</v>
      </c>
      <c r="P3117" s="6" t="s">
        <v>2794</v>
      </c>
      <c r="Q31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7" s="29"/>
      <c r="AC3117" s="25"/>
      <c r="AD3117" s="41"/>
      <c r="AE3117" s="41"/>
      <c r="AF3117" s="11"/>
      <c r="AH3117" s="1" t="str">
        <f>Table1[[#This Row],[html_tag]]&amp;Table1[[#This Row],[html_type]]&amp;Table1[[#This Row],[html_modifier]]</f>
        <v/>
      </c>
      <c r="AL3117" s="22" t="str">
        <f>IFERROR(_xlfn.XLOOKUP(Table1[[#This Row],[word]],Table57[English style name],Table57[Style type]),"")</f>
        <v/>
      </c>
      <c r="AM3117" s="20"/>
      <c r="AN3117" s="11"/>
      <c r="AQ3117" s="6" t="s">
        <v>2794</v>
      </c>
      <c r="AR3117" t="s">
        <v>2788</v>
      </c>
    </row>
    <row r="3118" spans="5:44">
      <c r="E3118" s="11"/>
      <c r="F31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8" s="13" t="s">
        <v>2992</v>
      </c>
      <c r="H3118" s="13" t="s">
        <v>1</v>
      </c>
      <c r="I3118" s="12" t="str">
        <f>Table1[[#This Row],[type]]</f>
        <v>text_align</v>
      </c>
      <c r="J3118" s="62" t="str">
        <f>Table1[[#This Row],[Column42]]&amp;IF(Table1[[#This Row],[Column13]]="","",Table1[[#This Row],[Column13]])&amp;IF(Table1[[#This Row],[mod]]="","",Table1[[#This Row],[mod]])</f>
        <v>text_align__right</v>
      </c>
      <c r="K31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text_align__right</v>
      </c>
      <c r="L3118" t="s">
        <v>3174</v>
      </c>
      <c r="N3118" t="s">
        <v>617</v>
      </c>
      <c r="P3118" s="6" t="s">
        <v>2793</v>
      </c>
      <c r="Q31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8" s="29"/>
      <c r="AC3118" s="25"/>
      <c r="AD3118" s="41"/>
      <c r="AE3118" s="41"/>
      <c r="AF3118" s="11"/>
      <c r="AH3118" s="1" t="str">
        <f>Table1[[#This Row],[html_tag]]&amp;Table1[[#This Row],[html_type]]&amp;Table1[[#This Row],[html_modifier]]</f>
        <v/>
      </c>
      <c r="AL3118" s="22" t="str">
        <f>IFERROR(_xlfn.XLOOKUP(Table1[[#This Row],[word]],Table57[English style name],Table57[Style type]),"")</f>
        <v/>
      </c>
      <c r="AM3118" s="20"/>
      <c r="AN3118" s="11"/>
      <c r="AQ3118" s="6" t="s">
        <v>2793</v>
      </c>
      <c r="AR3118" t="s">
        <v>2788</v>
      </c>
    </row>
    <row r="3119" spans="5:44">
      <c r="E3119" s="11"/>
      <c r="F31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9" s="13" t="s">
        <v>2992</v>
      </c>
      <c r="H3119" s="13" t="s">
        <v>1</v>
      </c>
      <c r="I3119" s="12" t="str">
        <f>Table1[[#This Row],[type]]</f>
        <v>text_align</v>
      </c>
      <c r="J3119" s="62" t="str">
        <f>Table1[[#This Row],[Column42]]&amp;IF(Table1[[#This Row],[Column13]]="","",Table1[[#This Row],[Column13]])&amp;IF(Table1[[#This Row],[mod]]="","",Table1[[#This Row],[mod]])</f>
        <v>text_align__right</v>
      </c>
      <c r="K31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text_align__right</v>
      </c>
      <c r="L3119" t="s">
        <v>3174</v>
      </c>
      <c r="N3119" t="s">
        <v>617</v>
      </c>
      <c r="P3119" s="6" t="s">
        <v>2795</v>
      </c>
      <c r="Q31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9" s="29"/>
      <c r="AC3119" s="25"/>
      <c r="AD3119" s="41"/>
      <c r="AE3119" s="41"/>
      <c r="AF3119" s="11"/>
      <c r="AH3119" s="1" t="str">
        <f>Table1[[#This Row],[html_tag]]&amp;Table1[[#This Row],[html_type]]&amp;Table1[[#This Row],[html_modifier]]</f>
        <v/>
      </c>
      <c r="AL3119" s="22" t="str">
        <f>IFERROR(_xlfn.XLOOKUP(Table1[[#This Row],[word]],Table57[English style name],Table57[Style type]),"")</f>
        <v/>
      </c>
      <c r="AM3119" s="20"/>
      <c r="AN3119" s="11"/>
      <c r="AQ3119" s="6" t="s">
        <v>2795</v>
      </c>
      <c r="AR3119" t="s">
        <v>2788</v>
      </c>
    </row>
    <row r="3120" spans="5:44">
      <c r="E3120" s="11"/>
      <c r="F31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0" s="13" t="s">
        <v>2992</v>
      </c>
      <c r="H3120" s="13" t="s">
        <v>1</v>
      </c>
      <c r="I3120" s="12" t="str">
        <f>Table1[[#This Row],[type]]</f>
        <v>text_indent</v>
      </c>
      <c r="J3120" s="62" t="str">
        <f>Table1[[#This Row],[Column42]]&amp;IF(Table1[[#This Row],[Column13]]="","",Table1[[#This Row],[Column13]])&amp;IF(Table1[[#This Row],[mod]]="","",Table1[[#This Row],[mod]])</f>
        <v>text_indent</v>
      </c>
      <c r="K31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0" t="s">
        <v>2796</v>
      </c>
      <c r="P3120" s="14" t="s">
        <v>2796</v>
      </c>
      <c r="Q31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20" s="29"/>
      <c r="AC3120" s="25"/>
      <c r="AD3120" s="41"/>
      <c r="AE3120" s="41"/>
      <c r="AF3120" s="11"/>
      <c r="AH3120" s="1" t="str">
        <f>Table1[[#This Row],[html_tag]]&amp;Table1[[#This Row],[html_type]]&amp;Table1[[#This Row],[html_modifier]]</f>
        <v/>
      </c>
      <c r="AL3120" s="22" t="str">
        <f>IFERROR(_xlfn.XLOOKUP(Table1[[#This Row],[word]],Table57[English style name],Table57[Style type]),"")</f>
        <v/>
      </c>
      <c r="AM3120" s="20"/>
      <c r="AN3120" s="11"/>
      <c r="AQ3120" s="14" t="s">
        <v>2796</v>
      </c>
      <c r="AR3120" t="s">
        <v>2797</v>
      </c>
    </row>
    <row r="3121" spans="5:44">
      <c r="E3121" s="11"/>
      <c r="F31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1" s="13" t="s">
        <v>2992</v>
      </c>
      <c r="H3121" s="13" t="s">
        <v>1</v>
      </c>
      <c r="I3121" s="12" t="str">
        <f>Table1[[#This Row],[type]]</f>
        <v>text_indent</v>
      </c>
      <c r="J3121" s="62" t="str">
        <f>Table1[[#This Row],[Column42]]&amp;IF(Table1[[#This Row],[Column13]]="","",Table1[[#This Row],[Column13]])&amp;IF(Table1[[#This Row],[mod]]="","",Table1[[#This Row],[mod]])</f>
        <v>text_indent--lg</v>
      </c>
      <c r="K31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1" t="s">
        <v>2796</v>
      </c>
      <c r="P3121" s="14" t="s">
        <v>2798</v>
      </c>
      <c r="Q31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21" t="s">
        <v>3114</v>
      </c>
      <c r="AB3121" s="29"/>
      <c r="AC3121" s="25"/>
      <c r="AD3121" s="41"/>
      <c r="AE3121" s="41"/>
      <c r="AF3121" s="11"/>
      <c r="AH3121" s="1" t="str">
        <f>Table1[[#This Row],[html_tag]]&amp;Table1[[#This Row],[html_type]]&amp;Table1[[#This Row],[html_modifier]]</f>
        <v/>
      </c>
      <c r="AL3121" s="22" t="str">
        <f>IFERROR(_xlfn.XLOOKUP(Table1[[#This Row],[word]],Table57[English style name],Table57[Style type]),"")</f>
        <v/>
      </c>
      <c r="AM3121" s="20"/>
      <c r="AN3121" s="11"/>
      <c r="AQ3121" s="14" t="s">
        <v>2798</v>
      </c>
      <c r="AR3121" t="s">
        <v>2797</v>
      </c>
    </row>
    <row r="3122" spans="5:44">
      <c r="E3122" s="11"/>
      <c r="F31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2" s="13" t="s">
        <v>2992</v>
      </c>
      <c r="H3122" s="13" t="s">
        <v>1</v>
      </c>
      <c r="I3122" s="12" t="str">
        <f>Table1[[#This Row],[type]]</f>
        <v>text_indent</v>
      </c>
      <c r="J3122" s="62" t="str">
        <f>Table1[[#This Row],[Column42]]&amp;IF(Table1[[#This Row],[Column13]]="","",Table1[[#This Row],[Column13]])&amp;IF(Table1[[#This Row],[mod]]="","",Table1[[#This Row],[mod]])</f>
        <v>text_indent--md</v>
      </c>
      <c r="K31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2" t="s">
        <v>2796</v>
      </c>
      <c r="P3122" s="14" t="s">
        <v>2799</v>
      </c>
      <c r="Q31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122" t="s">
        <v>3115</v>
      </c>
      <c r="AB3122" s="29"/>
      <c r="AC3122" s="25"/>
      <c r="AD3122" s="41"/>
      <c r="AE3122" s="41"/>
      <c r="AF3122" s="11"/>
      <c r="AH3122" s="1" t="str">
        <f>Table1[[#This Row],[html_tag]]&amp;Table1[[#This Row],[html_type]]&amp;Table1[[#This Row],[html_modifier]]</f>
        <v/>
      </c>
      <c r="AL3122" s="22" t="str">
        <f>IFERROR(_xlfn.XLOOKUP(Table1[[#This Row],[word]],Table57[English style name],Table57[Style type]),"")</f>
        <v/>
      </c>
      <c r="AM3122" s="20"/>
      <c r="AN3122" s="11"/>
      <c r="AQ3122" s="14" t="s">
        <v>2799</v>
      </c>
      <c r="AR3122" t="s">
        <v>2797</v>
      </c>
    </row>
    <row r="3123" spans="5:44">
      <c r="E3123" s="11"/>
      <c r="F31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3" s="13" t="s">
        <v>2992</v>
      </c>
      <c r="H3123" s="13" t="s">
        <v>1</v>
      </c>
      <c r="I3123" s="12" t="str">
        <f>Table1[[#This Row],[type]]</f>
        <v>text_indent</v>
      </c>
      <c r="J3123" s="62" t="str">
        <f>Table1[[#This Row],[Column42]]&amp;IF(Table1[[#This Row],[Column13]]="","",Table1[[#This Row],[Column13]])&amp;IF(Table1[[#This Row],[mod]]="","",Table1[[#This Row],[mod]])</f>
        <v>text_indent--none</v>
      </c>
      <c r="K31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3" t="s">
        <v>2796</v>
      </c>
      <c r="P3123" s="14" t="s">
        <v>2800</v>
      </c>
      <c r="Q31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--none</v>
      </c>
      <c r="V3123" t="s">
        <v>3209</v>
      </c>
      <c r="AB3123" s="29"/>
      <c r="AC3123" s="25"/>
      <c r="AD3123" s="41"/>
      <c r="AE3123" s="41"/>
      <c r="AF3123" s="11"/>
      <c r="AH3123" s="1" t="str">
        <f>Table1[[#This Row],[html_tag]]&amp;Table1[[#This Row],[html_type]]&amp;Table1[[#This Row],[html_modifier]]</f>
        <v/>
      </c>
      <c r="AL3123" s="22" t="str">
        <f>IFERROR(_xlfn.XLOOKUP(Table1[[#This Row],[word]],Table57[English style name],Table57[Style type]),"")</f>
        <v/>
      </c>
      <c r="AM3123" s="20"/>
      <c r="AN3123" s="11"/>
      <c r="AQ3123" s="14" t="s">
        <v>2800</v>
      </c>
      <c r="AR3123" t="s">
        <v>2797</v>
      </c>
    </row>
    <row r="3124" spans="5:44">
      <c r="E3124" s="11"/>
      <c r="F31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4" s="13" t="s">
        <v>2992</v>
      </c>
      <c r="H3124" s="13" t="s">
        <v>1</v>
      </c>
      <c r="I3124" s="12" t="str">
        <f>Table1[[#This Row],[type]]</f>
        <v>text_indent</v>
      </c>
      <c r="J3124" s="62" t="str">
        <f>Table1[[#This Row],[Column42]]&amp;IF(Table1[[#This Row],[Column13]]="","",Table1[[#This Row],[Column13]])&amp;IF(Table1[[#This Row],[mod]]="","",Table1[[#This Row],[mod]])</f>
        <v>text_indent--sm</v>
      </c>
      <c r="K31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4" t="s">
        <v>2796</v>
      </c>
      <c r="P3124" s="14" t="s">
        <v>2801</v>
      </c>
      <c r="Q31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24" s="3" t="s">
        <v>3116</v>
      </c>
      <c r="AB3124" s="29"/>
      <c r="AC3124" s="25"/>
      <c r="AD3124" s="41"/>
      <c r="AE3124" s="41"/>
      <c r="AF3124" s="11"/>
      <c r="AH3124" s="1" t="str">
        <f>Table1[[#This Row],[html_tag]]&amp;Table1[[#This Row],[html_type]]&amp;Table1[[#This Row],[html_modifier]]</f>
        <v/>
      </c>
      <c r="AL3124" s="22" t="str">
        <f>IFERROR(_xlfn.XLOOKUP(Table1[[#This Row],[word]],Table57[English style name],Table57[Style type]),"")</f>
        <v/>
      </c>
      <c r="AM3124" s="20"/>
      <c r="AN3124" s="11"/>
      <c r="AQ3124" s="14" t="s">
        <v>2801</v>
      </c>
      <c r="AR3124" t="s">
        <v>2797</v>
      </c>
    </row>
    <row r="3125" spans="5:44">
      <c r="E3125" s="11"/>
      <c r="F31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5" s="13" t="s">
        <v>2992</v>
      </c>
      <c r="H3125" s="13" t="s">
        <v>1</v>
      </c>
      <c r="I3125" s="12" t="str">
        <f>Table1[[#This Row],[type]]</f>
        <v>text_indent</v>
      </c>
      <c r="J3125" s="62" t="str">
        <f>Table1[[#This Row],[Column42]]&amp;IF(Table1[[#This Row],[Column13]]="","",Table1[[#This Row],[Column13]])&amp;IF(Table1[[#This Row],[mod]]="","",Table1[[#This Row],[mod]])</f>
        <v>text_indent--xl</v>
      </c>
      <c r="K31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5" t="s">
        <v>2796</v>
      </c>
      <c r="P3125" s="14" t="s">
        <v>2802</v>
      </c>
      <c r="Q31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25" s="3" t="s">
        <v>3126</v>
      </c>
      <c r="AB3125" s="29"/>
      <c r="AC3125" s="25"/>
      <c r="AD3125" s="41"/>
      <c r="AE3125" s="41"/>
      <c r="AF3125" s="11"/>
      <c r="AH3125" s="1" t="str">
        <f>Table1[[#This Row],[html_tag]]&amp;Table1[[#This Row],[html_type]]&amp;Table1[[#This Row],[html_modifier]]</f>
        <v/>
      </c>
      <c r="AL3125" s="22" t="str">
        <f>IFERROR(_xlfn.XLOOKUP(Table1[[#This Row],[word]],Table57[English style name],Table57[Style type]),"")</f>
        <v/>
      </c>
      <c r="AM3125" s="20"/>
      <c r="AN3125" s="11"/>
      <c r="AQ3125" s="14" t="s">
        <v>2802</v>
      </c>
      <c r="AR3125" t="s">
        <v>2797</v>
      </c>
    </row>
    <row r="3126" spans="5:44">
      <c r="E3126" s="11"/>
      <c r="F31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6" s="13" t="s">
        <v>2992</v>
      </c>
      <c r="H3126" s="13" t="s">
        <v>1</v>
      </c>
      <c r="I3126" s="12" t="str">
        <f>Table1[[#This Row],[type]]</f>
        <v>text_indent</v>
      </c>
      <c r="J3126" s="62" t="str">
        <f>Table1[[#This Row],[Column42]]&amp;IF(Table1[[#This Row],[Column13]]="","",Table1[[#This Row],[Column13]])&amp;IF(Table1[[#This Row],[mod]]="","",Table1[[#This Row],[mod]])</f>
        <v>text_indent--xs</v>
      </c>
      <c r="K31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6" t="s">
        <v>2796</v>
      </c>
      <c r="P3126" s="14" t="s">
        <v>2803</v>
      </c>
      <c r="Q31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3126" t="s">
        <v>3127</v>
      </c>
      <c r="AB3126" s="29"/>
      <c r="AC3126" s="25"/>
      <c r="AD3126" s="41"/>
      <c r="AE3126" s="41"/>
      <c r="AF3126" s="11"/>
      <c r="AH3126" s="1" t="str">
        <f>Table1[[#This Row],[html_tag]]&amp;Table1[[#This Row],[html_type]]&amp;Table1[[#This Row],[html_modifier]]</f>
        <v/>
      </c>
      <c r="AL3126" s="22" t="str">
        <f>IFERROR(_xlfn.XLOOKUP(Table1[[#This Row],[word]],Table57[English style name],Table57[Style type]),"")</f>
        <v/>
      </c>
      <c r="AM3126" s="20"/>
      <c r="AN3126" s="11"/>
      <c r="AQ3126" s="14" t="s">
        <v>2803</v>
      </c>
      <c r="AR3126" t="s">
        <v>2797</v>
      </c>
    </row>
    <row r="3127" spans="5:44">
      <c r="E3127" s="11"/>
      <c r="F31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127" s="13" t="s">
        <v>2992</v>
      </c>
      <c r="H3127" s="13" t="s">
        <v>84</v>
      </c>
      <c r="I3127" s="12" t="str">
        <f>Table1[[#This Row],[type]]</f>
        <v>text_shadow</v>
      </c>
      <c r="J3127" s="62" t="str">
        <f>Table1[[#This Row],[Column42]]&amp;IF(Table1[[#This Row],[Column13]]="","",Table1[[#This Row],[Column13]])&amp;IF(Table1[[#This Row],[mod]]="","",Table1[[#This Row],[mod]])</f>
        <v>text_shadow--lg</v>
      </c>
      <c r="K31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127" t="s">
        <v>3145</v>
      </c>
      <c r="Q31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27" t="s">
        <v>3114</v>
      </c>
      <c r="AB3127" s="29"/>
      <c r="AC3127" s="25"/>
      <c r="AD3127" s="41"/>
      <c r="AE3127" s="41"/>
      <c r="AF3127" s="11"/>
      <c r="AH3127" s="1" t="str">
        <f>Table1[[#This Row],[html_tag]]&amp;Table1[[#This Row],[html_type]]&amp;Table1[[#This Row],[html_modifier]]</f>
        <v/>
      </c>
      <c r="AL3127" s="22" t="str">
        <f>IFERROR(_xlfn.XLOOKUP(Table1[[#This Row],[word]],Table57[English style name],Table57[Style type]),"")</f>
        <v/>
      </c>
      <c r="AM3127" s="20"/>
      <c r="AN3127" s="11"/>
      <c r="AQ3127" s="6" t="s">
        <v>2682</v>
      </c>
      <c r="AR3127" t="s">
        <v>2671</v>
      </c>
    </row>
    <row r="3128" spans="5:44">
      <c r="E3128" s="11"/>
      <c r="F31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128" s="13" t="s">
        <v>2992</v>
      </c>
      <c r="H3128" s="13" t="s">
        <v>84</v>
      </c>
      <c r="I3128" s="12" t="str">
        <f>Table1[[#This Row],[type]]</f>
        <v>text_shadow</v>
      </c>
      <c r="J3128" s="62" t="str">
        <f>Table1[[#This Row],[Column42]]&amp;IF(Table1[[#This Row],[Column13]]="","",Table1[[#This Row],[Column13]])&amp;IF(Table1[[#This Row],[mod]]="","",Table1[[#This Row],[mod]])</f>
        <v>text_shadow--md</v>
      </c>
      <c r="K31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128" t="s">
        <v>3145</v>
      </c>
      <c r="Q31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128" t="s">
        <v>3115</v>
      </c>
      <c r="AB3128" s="29"/>
      <c r="AC3128" s="25"/>
      <c r="AD3128" s="41"/>
      <c r="AE3128" s="41"/>
      <c r="AF3128" s="11"/>
      <c r="AH3128" s="1" t="str">
        <f>Table1[[#This Row],[html_tag]]&amp;Table1[[#This Row],[html_type]]&amp;Table1[[#This Row],[html_modifier]]</f>
        <v/>
      </c>
      <c r="AL3128" s="22" t="str">
        <f>IFERROR(_xlfn.XLOOKUP(Table1[[#This Row],[word]],Table57[English style name],Table57[Style type]),"")</f>
        <v/>
      </c>
      <c r="AM3128" s="20"/>
      <c r="AN3128" s="11"/>
      <c r="AQ3128" s="6" t="s">
        <v>2683</v>
      </c>
      <c r="AR3128" t="s">
        <v>2671</v>
      </c>
    </row>
    <row r="3129" spans="5:44">
      <c r="E3129" s="11"/>
      <c r="F31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129" s="13" t="s">
        <v>2992</v>
      </c>
      <c r="H3129" s="13" t="s">
        <v>84</v>
      </c>
      <c r="I3129" s="12" t="str">
        <f>Table1[[#This Row],[type]]</f>
        <v>text_shadow</v>
      </c>
      <c r="J3129" s="62" t="str">
        <f>Table1[[#This Row],[Column42]]&amp;IF(Table1[[#This Row],[Column13]]="","",Table1[[#This Row],[Column13]])&amp;IF(Table1[[#This Row],[mod]]="","",Table1[[#This Row],[mod]])</f>
        <v>text_shadow--none</v>
      </c>
      <c r="K31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129" t="s">
        <v>3145</v>
      </c>
      <c r="Q31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--none</v>
      </c>
      <c r="V3129" t="s">
        <v>3209</v>
      </c>
      <c r="AB3129" s="29"/>
      <c r="AC3129" s="25"/>
      <c r="AD3129" s="41"/>
      <c r="AE3129" s="41"/>
      <c r="AF3129" s="11"/>
      <c r="AH3129" s="1" t="str">
        <f>Table1[[#This Row],[html_tag]]&amp;Table1[[#This Row],[html_type]]&amp;Table1[[#This Row],[html_modifier]]</f>
        <v/>
      </c>
      <c r="AL3129" s="22" t="str">
        <f>IFERROR(_xlfn.XLOOKUP(Table1[[#This Row],[word]],Table57[English style name],Table57[Style type]),"")</f>
        <v/>
      </c>
      <c r="AM3129" s="20"/>
      <c r="AN3129" s="11"/>
      <c r="AQ3129" s="6" t="s">
        <v>2684</v>
      </c>
      <c r="AR3129" t="s">
        <v>2671</v>
      </c>
    </row>
    <row r="3130" spans="5:44">
      <c r="E3130" s="11"/>
      <c r="F31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130" s="13" t="s">
        <v>2992</v>
      </c>
      <c r="H3130" s="13" t="s">
        <v>84</v>
      </c>
      <c r="I3130" s="12" t="str">
        <f>Table1[[#This Row],[type]]</f>
        <v>text_shadow</v>
      </c>
      <c r="J3130" s="62" t="str">
        <f>Table1[[#This Row],[Column42]]&amp;IF(Table1[[#This Row],[Column13]]="","",Table1[[#This Row],[Column13]])&amp;IF(Table1[[#This Row],[mod]]="","",Table1[[#This Row],[mod]])</f>
        <v>text_shadow--sm</v>
      </c>
      <c r="K31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130" t="s">
        <v>3145</v>
      </c>
      <c r="Q31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30" s="3" t="s">
        <v>3116</v>
      </c>
      <c r="AB3130" s="29"/>
      <c r="AC3130" s="25"/>
      <c r="AD3130" s="41"/>
      <c r="AE3130" s="41"/>
      <c r="AF3130" s="11"/>
      <c r="AH3130" s="1" t="str">
        <f>Table1[[#This Row],[html_tag]]&amp;Table1[[#This Row],[html_type]]&amp;Table1[[#This Row],[html_modifier]]</f>
        <v/>
      </c>
      <c r="AL3130" s="22" t="str">
        <f>IFERROR(_xlfn.XLOOKUP(Table1[[#This Row],[word]],Table57[English style name],Table57[Style type]),"")</f>
        <v/>
      </c>
      <c r="AM3130" s="20"/>
      <c r="AN3130" s="11"/>
      <c r="AQ3130" s="6" t="s">
        <v>2685</v>
      </c>
      <c r="AR3130" t="s">
        <v>2671</v>
      </c>
    </row>
    <row r="3131" spans="5:44">
      <c r="E3131" s="11"/>
      <c r="F31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31" s="13" t="s">
        <v>2992</v>
      </c>
      <c r="H3131" s="13" t="s">
        <v>1</v>
      </c>
      <c r="I3131" s="12" t="str">
        <f>Table1[[#This Row],[type]]</f>
        <v>text</v>
      </c>
      <c r="J3131" s="62" t="str">
        <f>Table1[[#This Row],[Column42]]&amp;IF(Table1[[#This Row],[Column13]]="","",Table1[[#This Row],[Column13]])&amp;IF(Table1[[#This Row],[mod]]="","",Table1[[#This Row],[mod]])</f>
        <v>text--break</v>
      </c>
      <c r="K31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1" t="s">
        <v>403</v>
      </c>
      <c r="Q31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--break</v>
      </c>
      <c r="R3131" t="s">
        <v>3415</v>
      </c>
      <c r="U31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31" s="29"/>
      <c r="AC3131" s="25"/>
      <c r="AD3131" s="41"/>
      <c r="AE3131" s="41"/>
      <c r="AF3131" s="11"/>
      <c r="AH3131" s="1" t="str">
        <f>Table1[[#This Row],[html_tag]]&amp;Table1[[#This Row],[html_type]]&amp;Table1[[#This Row],[html_modifier]]</f>
        <v/>
      </c>
      <c r="AL3131" s="22" t="str">
        <f>IFERROR(_xlfn.XLOOKUP(Table1[[#This Row],[word]],Table57[English style name],Table57[Style type]),"")</f>
        <v/>
      </c>
      <c r="AM3131" s="20"/>
      <c r="AN3131" s="11"/>
      <c r="AQ3131" s="6" t="s">
        <v>2809</v>
      </c>
      <c r="AR3131" t="s">
        <v>2810</v>
      </c>
    </row>
    <row r="3132" spans="5:44">
      <c r="E3132" s="11"/>
      <c r="F31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2" s="13"/>
      <c r="H3132" s="13"/>
      <c r="I3132" s="12" t="str">
        <f>Table1[[#This Row],[type]]</f>
        <v>text</v>
      </c>
      <c r="J3132" s="62" t="str">
        <f>Table1[[#This Row],[Column42]]&amp;IF(Table1[[#This Row],[Column13]]="","",Table1[[#This Row],[Column13]])&amp;IF(Table1[[#This Row],[mod]]="","",Table1[[#This Row],[mod]])</f>
        <v>text--danger</v>
      </c>
      <c r="K31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2" t="s">
        <v>403</v>
      </c>
      <c r="Q31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3132" t="s">
        <v>3163</v>
      </c>
      <c r="AB3132" s="29"/>
      <c r="AC3132" s="25" t="s">
        <v>3857</v>
      </c>
      <c r="AD3132" s="41"/>
      <c r="AE3132" s="41"/>
      <c r="AF3132" s="11"/>
      <c r="AH3132" s="7" t="str">
        <f>Table1[[#This Row],[html_tag]]&amp;Table1[[#This Row],[html_type]]&amp;Table1[[#This Row],[html_modifier]]</f>
        <v/>
      </c>
      <c r="AL3132" s="23" t="str">
        <f>IFERROR(_xlfn.XLOOKUP(Table1[[#This Row],[word]],Table57[English style name],Table57[Style type]),"")</f>
        <v/>
      </c>
      <c r="AM3132" s="21"/>
      <c r="AN3132" s="11"/>
    </row>
    <row r="3133" spans="5:44">
      <c r="E3133" s="11"/>
      <c r="F31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3" s="13"/>
      <c r="H3133" s="13"/>
      <c r="I3133" s="12" t="str">
        <f>Table1[[#This Row],[type]]</f>
        <v>text</v>
      </c>
      <c r="J3133" s="62" t="str">
        <f>Table1[[#This Row],[Column42]]&amp;IF(Table1[[#This Row],[Column13]]="","",Table1[[#This Row],[Column13]])&amp;IF(Table1[[#This Row],[mod]]="","",Table1[[#This Row],[mod]])</f>
        <v>text--dark</v>
      </c>
      <c r="K31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3" t="s">
        <v>403</v>
      </c>
      <c r="Q31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133" t="s">
        <v>3501</v>
      </c>
      <c r="AB3133" s="80"/>
      <c r="AC3133" s="25" t="s">
        <v>3858</v>
      </c>
      <c r="AD3133" s="41"/>
      <c r="AE3133" s="41"/>
      <c r="AF3133" s="11"/>
      <c r="AH3133" s="7" t="str">
        <f>Table1[[#This Row],[html_tag]]&amp;Table1[[#This Row],[html_type]]&amp;Table1[[#This Row],[html_modifier]]</f>
        <v/>
      </c>
      <c r="AL3133" s="23" t="str">
        <f>IFERROR(_xlfn.XLOOKUP(Table1[[#This Row],[word]],Table57[English style name],Table57[Style type]),"")</f>
        <v/>
      </c>
      <c r="AM3133" s="21"/>
      <c r="AN3133" s="11"/>
    </row>
    <row r="3134" spans="5:44">
      <c r="E3134" s="11"/>
      <c r="F31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4" s="13"/>
      <c r="H3134" s="13"/>
      <c r="I3134" s="12" t="str">
        <f>Table1[[#This Row],[type]]</f>
        <v>text</v>
      </c>
      <c r="J3134" s="62" t="str">
        <f>Table1[[#This Row],[Column42]]&amp;IF(Table1[[#This Row],[Column13]]="","",Table1[[#This Row],[Column13]])&amp;IF(Table1[[#This Row],[mod]]="","",Table1[[#This Row],[mod]])</f>
        <v>text--info</v>
      </c>
      <c r="K31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4" t="s">
        <v>403</v>
      </c>
      <c r="Q31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134" t="s">
        <v>3119</v>
      </c>
      <c r="AB3134" s="29"/>
      <c r="AC3134" s="25" t="s">
        <v>3859</v>
      </c>
      <c r="AD3134" s="41"/>
      <c r="AE3134" s="41"/>
      <c r="AF3134" s="11"/>
      <c r="AH3134" s="7" t="str">
        <f>Table1[[#This Row],[html_tag]]&amp;Table1[[#This Row],[html_type]]&amp;Table1[[#This Row],[html_modifier]]</f>
        <v/>
      </c>
      <c r="AL3134" s="23" t="str">
        <f>IFERROR(_xlfn.XLOOKUP(Table1[[#This Row],[word]],Table57[English style name],Table57[Style type]),"")</f>
        <v/>
      </c>
      <c r="AM3134" s="21"/>
      <c r="AN3134" s="11"/>
    </row>
    <row r="3135" spans="5:44">
      <c r="E3135" s="11"/>
      <c r="F31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5" s="13"/>
      <c r="H3135" s="13"/>
      <c r="I3135" s="12" t="str">
        <f>Table1[[#This Row],[type]]</f>
        <v>text</v>
      </c>
      <c r="J3135" s="62" t="str">
        <f>Table1[[#This Row],[Column42]]&amp;IF(Table1[[#This Row],[Column13]]="","",Table1[[#This Row],[Column13]])&amp;IF(Table1[[#This Row],[mod]]="","",Table1[[#This Row],[mod]])</f>
        <v>text--lg</v>
      </c>
      <c r="K31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5" t="s">
        <v>403</v>
      </c>
      <c r="P3135" s="24" t="s">
        <v>3792</v>
      </c>
      <c r="Q31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35" t="s">
        <v>3114</v>
      </c>
      <c r="AB3135" s="29"/>
      <c r="AC3135" s="25" t="s">
        <v>3792</v>
      </c>
      <c r="AD3135" s="41"/>
      <c r="AE3135" s="41"/>
      <c r="AF3135" s="11"/>
      <c r="AH3135" s="7" t="str">
        <f>Table1[[#This Row],[html_tag]]&amp;Table1[[#This Row],[html_type]]&amp;Table1[[#This Row],[html_modifier]]</f>
        <v/>
      </c>
      <c r="AL3135" s="23" t="str">
        <f>IFERROR(_xlfn.XLOOKUP(Table1[[#This Row],[word]],Table57[English style name],Table57[Style type]),"")</f>
        <v/>
      </c>
      <c r="AM3135" s="21"/>
      <c r="AN3135" s="11"/>
    </row>
    <row r="3136" spans="5:44">
      <c r="E3136" s="11"/>
      <c r="F31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6" s="13"/>
      <c r="H3136" s="13"/>
      <c r="I3136" s="12" t="str">
        <f>Table1[[#This Row],[type]]</f>
        <v>text</v>
      </c>
      <c r="J3136" s="62" t="str">
        <f>Table1[[#This Row],[Column42]]&amp;IF(Table1[[#This Row],[Column13]]="","",Table1[[#This Row],[Column13]])&amp;IF(Table1[[#This Row],[mod]]="","",Table1[[#This Row],[mod]])</f>
        <v>text--lg</v>
      </c>
      <c r="K31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6" t="s">
        <v>403</v>
      </c>
      <c r="P3136" s="24" t="s">
        <v>3810</v>
      </c>
      <c r="Q31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36" t="s">
        <v>3114</v>
      </c>
      <c r="AB3136" s="29"/>
      <c r="AC3136" s="25" t="s">
        <v>3810</v>
      </c>
      <c r="AD3136" s="41"/>
      <c r="AE3136" s="41"/>
      <c r="AF3136" s="11"/>
      <c r="AH3136" s="7" t="str">
        <f>Table1[[#This Row],[html_tag]]&amp;Table1[[#This Row],[html_type]]&amp;Table1[[#This Row],[html_modifier]]</f>
        <v/>
      </c>
      <c r="AL3136" s="23" t="str">
        <f>IFERROR(_xlfn.XLOOKUP(Table1[[#This Row],[word]],Table57[English style name],Table57[Style type]),"")</f>
        <v/>
      </c>
      <c r="AM3136" s="21"/>
      <c r="AN3136" s="11"/>
    </row>
    <row r="3137" spans="5:44">
      <c r="E3137" s="11"/>
      <c r="F31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7" s="13"/>
      <c r="H3137" s="13"/>
      <c r="I3137" s="12" t="str">
        <f>Table1[[#This Row],[type]]</f>
        <v>text</v>
      </c>
      <c r="J3137" s="62" t="str">
        <f>Table1[[#This Row],[Column42]]&amp;IF(Table1[[#This Row],[Column13]]="","",Table1[[#This Row],[Column13]])&amp;IF(Table1[[#This Row],[mod]]="","",Table1[[#This Row],[mod]])</f>
        <v>text--lg</v>
      </c>
      <c r="K31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7" t="s">
        <v>403</v>
      </c>
      <c r="P3137" s="24" t="s">
        <v>3818</v>
      </c>
      <c r="Q31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37" t="s">
        <v>3114</v>
      </c>
      <c r="AB3137" s="29"/>
      <c r="AC3137" s="25" t="s">
        <v>3818</v>
      </c>
      <c r="AD3137" s="41"/>
      <c r="AE3137" s="41"/>
      <c r="AF3137" s="11"/>
      <c r="AH3137" s="7" t="str">
        <f>Table1[[#This Row],[html_tag]]&amp;Table1[[#This Row],[html_type]]&amp;Table1[[#This Row],[html_modifier]]</f>
        <v/>
      </c>
      <c r="AL3137" s="23" t="str">
        <f>IFERROR(_xlfn.XLOOKUP(Table1[[#This Row],[word]],Table57[English style name],Table57[Style type]),"")</f>
        <v/>
      </c>
      <c r="AM3137" s="21"/>
      <c r="AN3137" s="11"/>
    </row>
    <row r="3138" spans="5:44">
      <c r="E3138" s="11"/>
      <c r="F31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8" s="13"/>
      <c r="H3138" s="13"/>
      <c r="I3138" s="12" t="str">
        <f>Table1[[#This Row],[type]]</f>
        <v>text</v>
      </c>
      <c r="J3138" s="62" t="str">
        <f>Table1[[#This Row],[Column42]]&amp;IF(Table1[[#This Row],[Column13]]="","",Table1[[#This Row],[Column13]])&amp;IF(Table1[[#This Row],[mod]]="","",Table1[[#This Row],[mod]])</f>
        <v>text--light</v>
      </c>
      <c r="K31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8" t="s">
        <v>403</v>
      </c>
      <c r="Q31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3138" t="s">
        <v>3503</v>
      </c>
      <c r="AB3138" s="29"/>
      <c r="AC3138" s="25" t="s">
        <v>3860</v>
      </c>
      <c r="AD3138" s="41"/>
      <c r="AE3138" s="41"/>
      <c r="AF3138" s="11"/>
      <c r="AH3138" s="7" t="str">
        <f>Table1[[#This Row],[html_tag]]&amp;Table1[[#This Row],[html_type]]&amp;Table1[[#This Row],[html_modifier]]</f>
        <v/>
      </c>
      <c r="AL3138" s="23" t="str">
        <f>IFERROR(_xlfn.XLOOKUP(Table1[[#This Row],[word]],Table57[English style name],Table57[Style type]),"")</f>
        <v/>
      </c>
      <c r="AM3138" s="21"/>
      <c r="AN3138" s="11"/>
    </row>
    <row r="3139" spans="5:44">
      <c r="E3139" s="11"/>
      <c r="F31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9" s="13"/>
      <c r="H3139" s="13"/>
      <c r="I3139" s="12" t="str">
        <f>Table1[[#This Row],[type]]</f>
        <v>text</v>
      </c>
      <c r="J3139" s="62" t="str">
        <f>Table1[[#This Row],[Column42]]&amp;IF(Table1[[#This Row],[Column13]]="","",Table1[[#This Row],[Column13]])&amp;IF(Table1[[#This Row],[mod]]="","",Table1[[#This Row],[mod]])</f>
        <v>text--md</v>
      </c>
      <c r="K31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9" t="s">
        <v>403</v>
      </c>
      <c r="P3139" s="24" t="s">
        <v>3793</v>
      </c>
      <c r="Q31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139" t="s">
        <v>3115</v>
      </c>
      <c r="AB3139" s="29"/>
      <c r="AC3139" s="25" t="s">
        <v>3793</v>
      </c>
      <c r="AD3139" s="41"/>
      <c r="AE3139" s="41"/>
      <c r="AF3139" s="11"/>
      <c r="AH3139" s="7" t="str">
        <f>Table1[[#This Row],[html_tag]]&amp;Table1[[#This Row],[html_type]]&amp;Table1[[#This Row],[html_modifier]]</f>
        <v/>
      </c>
      <c r="AL3139" s="23" t="str">
        <f>IFERROR(_xlfn.XLOOKUP(Table1[[#This Row],[word]],Table57[English style name],Table57[Style type]),"")</f>
        <v/>
      </c>
      <c r="AM3139" s="21"/>
      <c r="AN3139" s="11"/>
    </row>
    <row r="3140" spans="5:44">
      <c r="E3140" s="11"/>
      <c r="F31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0" s="13"/>
      <c r="H3140" s="13"/>
      <c r="I3140" s="12" t="str">
        <f>Table1[[#This Row],[type]]</f>
        <v>text</v>
      </c>
      <c r="J3140" s="62" t="str">
        <f>Table1[[#This Row],[Column42]]&amp;IF(Table1[[#This Row],[Column13]]="","",Table1[[#This Row],[Column13]])&amp;IF(Table1[[#This Row],[mod]]="","",Table1[[#This Row],[mod]])</f>
        <v>text--md</v>
      </c>
      <c r="K31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0" t="s">
        <v>403</v>
      </c>
      <c r="P3140" s="24" t="s">
        <v>3821</v>
      </c>
      <c r="Q31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140" t="s">
        <v>3115</v>
      </c>
      <c r="AB3140" s="29"/>
      <c r="AC3140" s="25" t="s">
        <v>3821</v>
      </c>
      <c r="AD3140" s="41"/>
      <c r="AE3140" s="41"/>
      <c r="AF3140" s="11"/>
      <c r="AH3140" s="7" t="str">
        <f>Table1[[#This Row],[html_tag]]&amp;Table1[[#This Row],[html_type]]&amp;Table1[[#This Row],[html_modifier]]</f>
        <v/>
      </c>
      <c r="AL3140" s="23" t="str">
        <f>IFERROR(_xlfn.XLOOKUP(Table1[[#This Row],[word]],Table57[English style name],Table57[Style type]),"")</f>
        <v/>
      </c>
      <c r="AM3140" s="21"/>
      <c r="AN3140" s="11"/>
    </row>
    <row r="3141" spans="5:44">
      <c r="E3141" s="11"/>
      <c r="F31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41" s="13" t="s">
        <v>2992</v>
      </c>
      <c r="H3141" s="13" t="s">
        <v>1</v>
      </c>
      <c r="I3141" s="12" t="str">
        <f>Table1[[#This Row],[type]]</f>
        <v>text</v>
      </c>
      <c r="J3141" s="62" t="str">
        <f>Table1[[#This Row],[Column42]]&amp;IF(Table1[[#This Row],[Column13]]="","",Table1[[#This Row],[Column13]])&amp;IF(Table1[[#This Row],[mod]]="","",Table1[[#This Row],[mod]])</f>
        <v>text--nowrap</v>
      </c>
      <c r="K31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1" t="s">
        <v>403</v>
      </c>
      <c r="Q31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--nowrap</v>
      </c>
      <c r="R3141" t="s">
        <v>3417</v>
      </c>
      <c r="U31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41" s="29"/>
      <c r="AC3141" s="25"/>
      <c r="AD3141" s="41"/>
      <c r="AE3141" s="41"/>
      <c r="AF3141" s="11"/>
      <c r="AH3141" s="1" t="str">
        <f>Table1[[#This Row],[html_tag]]&amp;Table1[[#This Row],[html_type]]&amp;Table1[[#This Row],[html_modifier]]</f>
        <v/>
      </c>
      <c r="AL3141" s="22" t="str">
        <f>IFERROR(_xlfn.XLOOKUP(Table1[[#This Row],[word]],Table57[English style name],Table57[Style type]),"")</f>
        <v/>
      </c>
      <c r="AM3141" s="20"/>
      <c r="AN3141" s="11"/>
      <c r="AQ3141" s="6" t="s">
        <v>2811</v>
      </c>
      <c r="AR3141" t="s">
        <v>2810</v>
      </c>
    </row>
    <row r="3142" spans="5:44">
      <c r="E3142" s="11"/>
      <c r="F31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2" s="13"/>
      <c r="H3142" s="13"/>
      <c r="I3142" s="12" t="str">
        <f>Table1[[#This Row],[type]]</f>
        <v>text</v>
      </c>
      <c r="J3142" s="62" t="str">
        <f>Table1[[#This Row],[Column42]]&amp;IF(Table1[[#This Row],[Column13]]="","",Table1[[#This Row],[Column13]])&amp;IF(Table1[[#This Row],[mod]]="","",Table1[[#This Row],[mod]])</f>
        <v>text--primary</v>
      </c>
      <c r="K31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2" t="s">
        <v>403</v>
      </c>
      <c r="Q31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3142" t="s">
        <v>3164</v>
      </c>
      <c r="AB3142" s="29"/>
      <c r="AC3142" s="25" t="s">
        <v>3861</v>
      </c>
      <c r="AD3142" s="41"/>
      <c r="AE3142" s="41"/>
      <c r="AF3142" s="11"/>
      <c r="AH3142" s="7" t="str">
        <f>Table1[[#This Row],[html_tag]]&amp;Table1[[#This Row],[html_type]]&amp;Table1[[#This Row],[html_modifier]]</f>
        <v/>
      </c>
      <c r="AL3142" s="23" t="str">
        <f>IFERROR(_xlfn.XLOOKUP(Table1[[#This Row],[word]],Table57[English style name],Table57[Style type]),"")</f>
        <v/>
      </c>
      <c r="AM3142" s="21"/>
      <c r="AN3142" s="11"/>
    </row>
    <row r="3143" spans="5:44">
      <c r="E3143" s="11"/>
      <c r="F31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3" s="13"/>
      <c r="H3143" s="13"/>
      <c r="I3143" s="12" t="str">
        <f>Table1[[#This Row],[type]]</f>
        <v>text</v>
      </c>
      <c r="J3143" s="62" t="str">
        <f>Table1[[#This Row],[Column42]]&amp;IF(Table1[[#This Row],[Column13]]="","",Table1[[#This Row],[Column13]])&amp;IF(Table1[[#This Row],[mod]]="","",Table1[[#This Row],[mod]])</f>
        <v>text--reset</v>
      </c>
      <c r="K31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3" t="s">
        <v>403</v>
      </c>
      <c r="P3143" s="24" t="s">
        <v>3824</v>
      </c>
      <c r="Q31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3143" t="s">
        <v>3093</v>
      </c>
      <c r="AB3143" s="29"/>
      <c r="AC3143" s="25" t="s">
        <v>3824</v>
      </c>
      <c r="AD3143" s="41"/>
      <c r="AE3143" s="41"/>
      <c r="AF3143" s="11"/>
      <c r="AH3143" s="7" t="str">
        <f>Table1[[#This Row],[html_tag]]&amp;Table1[[#This Row],[html_type]]&amp;Table1[[#This Row],[html_modifier]]</f>
        <v/>
      </c>
      <c r="AL3143" s="23" t="str">
        <f>IFERROR(_xlfn.XLOOKUP(Table1[[#This Row],[word]],Table57[English style name],Table57[Style type]),"")</f>
        <v/>
      </c>
      <c r="AM3143" s="21"/>
      <c r="AN3143" s="11"/>
    </row>
    <row r="3144" spans="5:44">
      <c r="E3144" s="11"/>
      <c r="F31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4" s="13"/>
      <c r="H3144" s="13"/>
      <c r="I3144" s="12" t="str">
        <f>Table1[[#This Row],[type]]</f>
        <v>text</v>
      </c>
      <c r="J3144" s="62" t="str">
        <f>Table1[[#This Row],[Column42]]&amp;IF(Table1[[#This Row],[Column13]]="","",Table1[[#This Row],[Column13]])&amp;IF(Table1[[#This Row],[mod]]="","",Table1[[#This Row],[mod]])</f>
        <v>text--secondary</v>
      </c>
      <c r="K31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4" t="s">
        <v>403</v>
      </c>
      <c r="Q31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3144" t="s">
        <v>3502</v>
      </c>
      <c r="AB3144" s="29"/>
      <c r="AC3144" s="25" t="s">
        <v>3862</v>
      </c>
      <c r="AD3144" s="41"/>
      <c r="AE3144" s="41"/>
      <c r="AF3144" s="11"/>
      <c r="AH3144" s="7" t="str">
        <f>Table1[[#This Row],[html_tag]]&amp;Table1[[#This Row],[html_type]]&amp;Table1[[#This Row],[html_modifier]]</f>
        <v/>
      </c>
      <c r="AL3144" s="23" t="str">
        <f>IFERROR(_xlfn.XLOOKUP(Table1[[#This Row],[word]],Table57[English style name],Table57[Style type]),"")</f>
        <v/>
      </c>
      <c r="AM3144" s="21"/>
      <c r="AN3144" s="11"/>
    </row>
    <row r="3145" spans="5:44">
      <c r="E3145" s="11"/>
      <c r="F31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5" s="13"/>
      <c r="H3145" s="13"/>
      <c r="I3145" s="12" t="str">
        <f>Table1[[#This Row],[type]]</f>
        <v>text</v>
      </c>
      <c r="J3145" s="62" t="str">
        <f>Table1[[#This Row],[Column42]]&amp;IF(Table1[[#This Row],[Column13]]="","",Table1[[#This Row],[Column13]])&amp;IF(Table1[[#This Row],[mod]]="","",Table1[[#This Row],[mod]])</f>
        <v>text--sm</v>
      </c>
      <c r="K31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5" t="s">
        <v>403</v>
      </c>
      <c r="P3145" s="24" t="s">
        <v>3794</v>
      </c>
      <c r="Q31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45" t="s">
        <v>3116</v>
      </c>
      <c r="AB3145" s="29"/>
      <c r="AC3145" s="25" t="s">
        <v>3794</v>
      </c>
      <c r="AD3145" s="41"/>
      <c r="AE3145" s="41"/>
      <c r="AF3145" s="11"/>
      <c r="AH3145" s="7" t="str">
        <f>Table1[[#This Row],[html_tag]]&amp;Table1[[#This Row],[html_type]]&amp;Table1[[#This Row],[html_modifier]]</f>
        <v/>
      </c>
      <c r="AL3145" s="23" t="str">
        <f>IFERROR(_xlfn.XLOOKUP(Table1[[#This Row],[word]],Table57[English style name],Table57[Style type]),"")</f>
        <v/>
      </c>
      <c r="AM3145" s="21"/>
      <c r="AN3145" s="11"/>
    </row>
    <row r="3146" spans="5:44">
      <c r="E3146" s="11"/>
      <c r="F31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6" s="13"/>
      <c r="H3146" s="13"/>
      <c r="I3146" s="12" t="str">
        <f>Table1[[#This Row],[type]]</f>
        <v>text</v>
      </c>
      <c r="J3146" s="62" t="str">
        <f>Table1[[#This Row],[Column42]]&amp;IF(Table1[[#This Row],[Column13]]="","",Table1[[#This Row],[Column13]])&amp;IF(Table1[[#This Row],[mod]]="","",Table1[[#This Row],[mod]])</f>
        <v>text--sm</v>
      </c>
      <c r="K31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6" t="s">
        <v>403</v>
      </c>
      <c r="P3146" s="24" t="s">
        <v>3811</v>
      </c>
      <c r="Q31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46" t="s">
        <v>3116</v>
      </c>
      <c r="AB3146" s="29"/>
      <c r="AC3146" s="25" t="s">
        <v>3811</v>
      </c>
      <c r="AD3146" s="41"/>
      <c r="AE3146" s="41"/>
      <c r="AF3146" s="11"/>
      <c r="AH3146" s="7" t="str">
        <f>Table1[[#This Row],[html_tag]]&amp;Table1[[#This Row],[html_type]]&amp;Table1[[#This Row],[html_modifier]]</f>
        <v/>
      </c>
      <c r="AL3146" s="23" t="str">
        <f>IFERROR(_xlfn.XLOOKUP(Table1[[#This Row],[word]],Table57[English style name],Table57[Style type]),"")</f>
        <v/>
      </c>
      <c r="AM3146" s="21"/>
      <c r="AN3146" s="11"/>
    </row>
    <row r="3147" spans="5:44">
      <c r="E3147" s="11"/>
      <c r="F31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7" s="13"/>
      <c r="H3147" s="13"/>
      <c r="I3147" s="12" t="str">
        <f>Table1[[#This Row],[type]]</f>
        <v>text</v>
      </c>
      <c r="J3147" s="62" t="str">
        <f>Table1[[#This Row],[Column42]]&amp;IF(Table1[[#This Row],[Column13]]="","",Table1[[#This Row],[Column13]])&amp;IF(Table1[[#This Row],[mod]]="","",Table1[[#This Row],[mod]])</f>
        <v>text--sm</v>
      </c>
      <c r="K31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7" t="s">
        <v>403</v>
      </c>
      <c r="P3147" s="24" t="s">
        <v>3825</v>
      </c>
      <c r="Q31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47" t="s">
        <v>3116</v>
      </c>
      <c r="AB3147" s="29"/>
      <c r="AC3147" s="25" t="s">
        <v>3825</v>
      </c>
      <c r="AD3147" s="41"/>
      <c r="AE3147" s="41"/>
      <c r="AF3147" s="11"/>
      <c r="AH3147" s="7" t="str">
        <f>Table1[[#This Row],[html_tag]]&amp;Table1[[#This Row],[html_type]]&amp;Table1[[#This Row],[html_modifier]]</f>
        <v/>
      </c>
      <c r="AL3147" s="23" t="str">
        <f>IFERROR(_xlfn.XLOOKUP(Table1[[#This Row],[word]],Table57[English style name],Table57[Style type]),"")</f>
        <v/>
      </c>
      <c r="AM3147" s="21"/>
      <c r="AN3147" s="11"/>
    </row>
    <row r="3148" spans="5:44">
      <c r="E3148" s="11"/>
      <c r="F31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8" s="13"/>
      <c r="H3148" s="13"/>
      <c r="I3148" s="12" t="str">
        <f>Table1[[#This Row],[type]]</f>
        <v>text</v>
      </c>
      <c r="J3148" s="62" t="str">
        <f>Table1[[#This Row],[Column42]]&amp;IF(Table1[[#This Row],[Column13]]="","",Table1[[#This Row],[Column13]])&amp;IF(Table1[[#This Row],[mod]]="","",Table1[[#This Row],[mod]])</f>
        <v>text--success</v>
      </c>
      <c r="K31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8" t="s">
        <v>403</v>
      </c>
      <c r="Q31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148" t="s">
        <v>3120</v>
      </c>
      <c r="AB3148" s="29"/>
      <c r="AC3148" s="25" t="s">
        <v>3863</v>
      </c>
      <c r="AD3148" s="41"/>
      <c r="AE3148" s="41"/>
      <c r="AF3148" s="11"/>
      <c r="AH3148" s="7" t="str">
        <f>Table1[[#This Row],[html_tag]]&amp;Table1[[#This Row],[html_type]]&amp;Table1[[#This Row],[html_modifier]]</f>
        <v/>
      </c>
      <c r="AL3148" s="23" t="str">
        <f>IFERROR(_xlfn.XLOOKUP(Table1[[#This Row],[word]],Table57[English style name],Table57[Style type]),"")</f>
        <v/>
      </c>
      <c r="AM3148" s="21"/>
      <c r="AN3148" s="11"/>
    </row>
    <row r="3149" spans="5:44">
      <c r="E3149" s="11"/>
      <c r="F31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49" s="13" t="s">
        <v>2992</v>
      </c>
      <c r="H3149" s="13" t="s">
        <v>1</v>
      </c>
      <c r="I3149" s="12" t="str">
        <f>Table1[[#This Row],[type]]</f>
        <v>text</v>
      </c>
      <c r="J3149" s="62" t="str">
        <f>Table1[[#This Row],[Column42]]&amp;IF(Table1[[#This Row],[Column13]]="","",Table1[[#This Row],[Column13]])&amp;IF(Table1[[#This Row],[mod]]="","",Table1[[#This Row],[mod]])</f>
        <v>text--truncate</v>
      </c>
      <c r="K31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9" t="s">
        <v>403</v>
      </c>
      <c r="Q31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</v>
      </c>
      <c r="R3149" t="s">
        <v>3418</v>
      </c>
      <c r="U31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49" s="29"/>
      <c r="AC3149" s="25"/>
      <c r="AD3149" s="41"/>
      <c r="AE3149" s="41"/>
      <c r="AF3149" s="11"/>
      <c r="AH3149" s="1" t="str">
        <f>Table1[[#This Row],[html_tag]]&amp;Table1[[#This Row],[html_type]]&amp;Table1[[#This Row],[html_modifier]]</f>
        <v/>
      </c>
      <c r="AL3149" s="22" t="str">
        <f>IFERROR(_xlfn.XLOOKUP(Table1[[#This Row],[word]],Table57[English style name],Table57[Style type]),"")</f>
        <v/>
      </c>
      <c r="AM3149" s="20"/>
      <c r="AN3149" s="11"/>
      <c r="AQ3149" s="6" t="s">
        <v>2804</v>
      </c>
      <c r="AR3149" t="s">
        <v>2805</v>
      </c>
    </row>
    <row r="3150" spans="5:44">
      <c r="E3150" s="11"/>
      <c r="F31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50" s="13" t="s">
        <v>2992</v>
      </c>
      <c r="H3150" s="13" t="s">
        <v>1</v>
      </c>
      <c r="I3150" s="12" t="str">
        <f>Table1[[#This Row],[type]]</f>
        <v>text</v>
      </c>
      <c r="J3150" s="62" t="str">
        <f>Table1[[#This Row],[Column42]]&amp;IF(Table1[[#This Row],[Column13]]="","",Table1[[#This Row],[Column13]])&amp;IF(Table1[[#This Row],[mod]]="","",Table1[[#This Row],[mod]])</f>
        <v>text--truncate-2</v>
      </c>
      <c r="K31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0" t="s">
        <v>403</v>
      </c>
      <c r="Q31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--truncate-2</v>
      </c>
      <c r="R3150" t="s">
        <v>3419</v>
      </c>
      <c r="U31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50" s="29"/>
      <c r="AC3150" s="25"/>
      <c r="AD3150" s="41"/>
      <c r="AE3150" s="41"/>
      <c r="AF3150" s="11"/>
      <c r="AH3150" s="1" t="str">
        <f>Table1[[#This Row],[html_tag]]&amp;Table1[[#This Row],[html_type]]&amp;Table1[[#This Row],[html_modifier]]</f>
        <v/>
      </c>
      <c r="AL3150" s="22" t="str">
        <f>IFERROR(_xlfn.XLOOKUP(Table1[[#This Row],[word]],Table57[English style name],Table57[Style type]),"")</f>
        <v/>
      </c>
      <c r="AM3150" s="20"/>
      <c r="AN3150" s="11"/>
      <c r="AQ3150" s="6" t="s">
        <v>2806</v>
      </c>
      <c r="AR3150" t="s">
        <v>2805</v>
      </c>
    </row>
    <row r="3151" spans="5:44">
      <c r="E3151" s="11"/>
      <c r="F31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51" s="13" t="s">
        <v>2992</v>
      </c>
      <c r="H3151" s="13" t="s">
        <v>1</v>
      </c>
      <c r="I3151" s="12" t="str">
        <f>Table1[[#This Row],[type]]</f>
        <v>text</v>
      </c>
      <c r="J3151" s="62" t="str">
        <f>Table1[[#This Row],[Column42]]&amp;IF(Table1[[#This Row],[Column13]]="","",Table1[[#This Row],[Column13]])&amp;IF(Table1[[#This Row],[mod]]="","",Table1[[#This Row],[mod]])</f>
        <v>text--truncate-3</v>
      </c>
      <c r="K31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1" t="s">
        <v>403</v>
      </c>
      <c r="Q31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--truncate-3</v>
      </c>
      <c r="R3151" t="s">
        <v>3420</v>
      </c>
      <c r="U31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51" s="29"/>
      <c r="AC3151" s="25"/>
      <c r="AD3151" s="41"/>
      <c r="AE3151" s="41"/>
      <c r="AF3151" s="11"/>
      <c r="AH3151" s="1" t="str">
        <f>Table1[[#This Row],[html_tag]]&amp;Table1[[#This Row],[html_type]]&amp;Table1[[#This Row],[html_modifier]]</f>
        <v/>
      </c>
      <c r="AL3151" s="22" t="str">
        <f>IFERROR(_xlfn.XLOOKUP(Table1[[#This Row],[word]],Table57[English style name],Table57[Style type]),"")</f>
        <v/>
      </c>
      <c r="AM3151" s="20"/>
      <c r="AN3151" s="11"/>
      <c r="AQ3151" s="6" t="s">
        <v>2807</v>
      </c>
      <c r="AR3151" t="s">
        <v>2805</v>
      </c>
    </row>
    <row r="3152" spans="5:44">
      <c r="E3152" s="11"/>
      <c r="F31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52" s="13" t="s">
        <v>2992</v>
      </c>
      <c r="H3152" s="13" t="s">
        <v>1</v>
      </c>
      <c r="I3152" s="12" t="str">
        <f>Table1[[#This Row],[type]]</f>
        <v>text</v>
      </c>
      <c r="J3152" s="62" t="str">
        <f>Table1[[#This Row],[Column42]]&amp;IF(Table1[[#This Row],[Column13]]="","",Table1[[#This Row],[Column13]])&amp;IF(Table1[[#This Row],[mod]]="","",Table1[[#This Row],[mod]])</f>
        <v>text--truncate-lines</v>
      </c>
      <c r="K31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2" t="s">
        <v>403</v>
      </c>
      <c r="Q31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--truncate-lines</v>
      </c>
      <c r="R3152" t="s">
        <v>3421</v>
      </c>
      <c r="U31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52" s="29"/>
      <c r="AC3152" s="25"/>
      <c r="AD3152" s="41"/>
      <c r="AE3152" s="41"/>
      <c r="AF3152" s="11"/>
      <c r="AH3152" s="1" t="str">
        <f>Table1[[#This Row],[html_tag]]&amp;Table1[[#This Row],[html_type]]&amp;Table1[[#This Row],[html_modifier]]</f>
        <v/>
      </c>
      <c r="AL3152" s="22" t="str">
        <f>IFERROR(_xlfn.XLOOKUP(Table1[[#This Row],[word]],Table57[English style name],Table57[Style type]),"")</f>
        <v/>
      </c>
      <c r="AM3152" s="20"/>
      <c r="AN3152" s="11"/>
      <c r="AQ3152" s="6" t="s">
        <v>2808</v>
      </c>
      <c r="AR3152" t="s">
        <v>2805</v>
      </c>
    </row>
    <row r="3153" spans="5:44">
      <c r="E3153" s="11"/>
      <c r="F31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53" s="13"/>
      <c r="H3153" s="13"/>
      <c r="I3153" s="12" t="str">
        <f>Table1[[#This Row],[type]]</f>
        <v>text</v>
      </c>
      <c r="J3153" s="62" t="str">
        <f>Table1[[#This Row],[Column42]]&amp;IF(Table1[[#This Row],[Column13]]="","",Table1[[#This Row],[Column13]])&amp;IF(Table1[[#This Row],[mod]]="","",Table1[[#This Row],[mod]])</f>
        <v>text--warning</v>
      </c>
      <c r="K31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3" t="s">
        <v>403</v>
      </c>
      <c r="Q31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153" t="s">
        <v>3121</v>
      </c>
      <c r="AB3153" s="29"/>
      <c r="AC3153" s="25" t="s">
        <v>3864</v>
      </c>
      <c r="AD3153" s="41"/>
      <c r="AE3153" s="41"/>
      <c r="AF3153" s="11"/>
      <c r="AH3153" s="7" t="str">
        <f>Table1[[#This Row],[html_tag]]&amp;Table1[[#This Row],[html_type]]&amp;Table1[[#This Row],[html_modifier]]</f>
        <v/>
      </c>
      <c r="AL3153" s="23" t="str">
        <f>IFERROR(_xlfn.XLOOKUP(Table1[[#This Row],[word]],Table57[English style name],Table57[Style type]),"")</f>
        <v/>
      </c>
      <c r="AM3153" s="21"/>
      <c r="AN3153" s="11"/>
    </row>
    <row r="3154" spans="5:44">
      <c r="E3154" s="11"/>
      <c r="F31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54" s="13"/>
      <c r="H3154" s="13"/>
      <c r="I3154" s="12" t="str">
        <f>Table1[[#This Row],[type]]</f>
        <v>text</v>
      </c>
      <c r="J3154" s="62" t="str">
        <f>Table1[[#This Row],[Column42]]&amp;IF(Table1[[#This Row],[Column13]]="","",Table1[[#This Row],[Column13]])&amp;IF(Table1[[#This Row],[mod]]="","",Table1[[#This Row],[mod]])</f>
        <v>text--white</v>
      </c>
      <c r="K31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4" t="s">
        <v>403</v>
      </c>
      <c r="Q31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3154" t="s">
        <v>3591</v>
      </c>
      <c r="AB3154" s="29"/>
      <c r="AC3154" s="25" t="s">
        <v>3865</v>
      </c>
      <c r="AD3154" s="41"/>
      <c r="AE3154" s="41"/>
      <c r="AF3154" s="11"/>
      <c r="AH3154" s="7" t="str">
        <f>Table1[[#This Row],[html_tag]]&amp;Table1[[#This Row],[html_type]]&amp;Table1[[#This Row],[html_modifier]]</f>
        <v/>
      </c>
      <c r="AL3154" s="23" t="str">
        <f>IFERROR(_xlfn.XLOOKUP(Table1[[#This Row],[word]],Table57[English style name],Table57[Style type]),"")</f>
        <v/>
      </c>
      <c r="AM3154" s="21"/>
      <c r="AN3154" s="11"/>
    </row>
    <row r="3155" spans="5:44">
      <c r="E3155" s="11"/>
      <c r="F31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55" s="13" t="s">
        <v>2992</v>
      </c>
      <c r="H3155" s="13" t="s">
        <v>1</v>
      </c>
      <c r="I3155" s="12" t="str">
        <f>Table1[[#This Row],[type]]</f>
        <v>text</v>
      </c>
      <c r="J3155" s="62" t="str">
        <f>Table1[[#This Row],[Column42]]&amp;IF(Table1[[#This Row],[Column13]]="","",Table1[[#This Row],[Column13]])&amp;IF(Table1[[#This Row],[mod]]="","",Table1[[#This Row],[mod]])</f>
        <v>text--wrap</v>
      </c>
      <c r="K31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5" t="s">
        <v>403</v>
      </c>
      <c r="Q31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</v>
      </c>
      <c r="R3155" t="s">
        <v>3422</v>
      </c>
      <c r="U31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55" s="29"/>
      <c r="AC3155" s="25"/>
      <c r="AD3155" s="41"/>
      <c r="AE3155" s="41"/>
      <c r="AF3155" s="11"/>
      <c r="AH3155" s="1" t="str">
        <f>Table1[[#This Row],[html_tag]]&amp;Table1[[#This Row],[html_type]]&amp;Table1[[#This Row],[html_modifier]]</f>
        <v/>
      </c>
      <c r="AL3155" s="22" t="str">
        <f>IFERROR(_xlfn.XLOOKUP(Table1[[#This Row],[word]],Table57[English style name],Table57[Style type]),"")</f>
        <v/>
      </c>
      <c r="AM3155" s="20"/>
      <c r="AN3155" s="11"/>
      <c r="AQ3155" s="6" t="s">
        <v>2812</v>
      </c>
      <c r="AR3155" t="s">
        <v>2810</v>
      </c>
    </row>
    <row r="3156" spans="5:44">
      <c r="E3156" s="11"/>
      <c r="F31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56" s="13"/>
      <c r="H3156" s="13"/>
      <c r="I3156" s="12" t="str">
        <f>Table1[[#This Row],[type]]</f>
        <v>text</v>
      </c>
      <c r="J3156" s="62" t="str">
        <f>Table1[[#This Row],[Column42]]&amp;IF(Table1[[#This Row],[Column13]]="","",Table1[[#This Row],[Column13]])&amp;IF(Table1[[#This Row],[mod]]="","",Table1[[#This Row],[mod]])</f>
        <v>text--xl</v>
      </c>
      <c r="K31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6" t="s">
        <v>403</v>
      </c>
      <c r="P3156" s="24" t="s">
        <v>3830</v>
      </c>
      <c r="Q31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56" t="s">
        <v>3126</v>
      </c>
      <c r="AB3156" s="29"/>
      <c r="AC3156" s="25" t="s">
        <v>3830</v>
      </c>
      <c r="AD3156" s="41"/>
      <c r="AE3156" s="41"/>
      <c r="AF3156" s="11"/>
      <c r="AH3156" s="7" t="str">
        <f>Table1[[#This Row],[html_tag]]&amp;Table1[[#This Row],[html_type]]&amp;Table1[[#This Row],[html_modifier]]</f>
        <v/>
      </c>
      <c r="AL3156" s="23" t="str">
        <f>IFERROR(_xlfn.XLOOKUP(Table1[[#This Row],[word]],Table57[English style name],Table57[Style type]),"")</f>
        <v/>
      </c>
      <c r="AM3156" s="21"/>
      <c r="AN3156" s="11"/>
    </row>
    <row r="3157" spans="5:44">
      <c r="E3157" s="11"/>
      <c r="F31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57" s="13"/>
      <c r="H3157" s="13"/>
      <c r="I3157" s="12" t="str">
        <f>Table1[[#This Row],[type]]</f>
        <v>text</v>
      </c>
      <c r="J3157" s="62" t="str">
        <f>Table1[[#This Row],[Column42]]&amp;IF(Table1[[#This Row],[Column13]]="","",Table1[[#This Row],[Column13]])&amp;IF(Table1[[#This Row],[mod]]="","",Table1[[#This Row],[mod]])</f>
        <v>text--xxl</v>
      </c>
      <c r="K31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7" t="s">
        <v>403</v>
      </c>
      <c r="P3157" s="24" t="s">
        <v>3833</v>
      </c>
      <c r="Q31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3157" t="s">
        <v>3869</v>
      </c>
      <c r="AB3157" s="29"/>
      <c r="AC3157" s="25" t="s">
        <v>3833</v>
      </c>
      <c r="AD3157" s="41"/>
      <c r="AE3157" s="41"/>
      <c r="AF3157" s="11"/>
      <c r="AH3157" s="7" t="str">
        <f>Table1[[#This Row],[html_tag]]&amp;Table1[[#This Row],[html_type]]&amp;Table1[[#This Row],[html_modifier]]</f>
        <v/>
      </c>
      <c r="AL3157" s="23" t="str">
        <f>IFERROR(_xlfn.XLOOKUP(Table1[[#This Row],[word]],Table57[English style name],Table57[Style type]),"")</f>
        <v/>
      </c>
      <c r="AM3157" s="21"/>
      <c r="AN3157" s="11"/>
    </row>
    <row r="3158" spans="5:44">
      <c r="E3158" s="11"/>
      <c r="F31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58" s="13" t="s">
        <v>337</v>
      </c>
      <c r="H3158" s="13" t="s">
        <v>2988</v>
      </c>
      <c r="I3158" s="12" t="str">
        <f>Table1[[#This Row],[type]]</f>
        <v>ticker</v>
      </c>
      <c r="J3158" s="62" t="str">
        <f>Table1[[#This Row],[Column42]]&amp;IF(Table1[[#This Row],[Column13]]="","",Table1[[#This Row],[Column13]])&amp;IF(Table1[[#This Row],[mod]]="","",Table1[[#This Row],[mod]])</f>
        <v>ticker__bottom--horizontal</v>
      </c>
      <c r="K31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ticker__bottom</v>
      </c>
      <c r="L3158" t="s">
        <v>3142</v>
      </c>
      <c r="N3158" t="s">
        <v>3186</v>
      </c>
      <c r="P3158" s="6" t="s">
        <v>2819</v>
      </c>
      <c r="Q31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158" s="3" t="s">
        <v>3205</v>
      </c>
      <c r="AB3158" s="29"/>
      <c r="AC3158" s="25"/>
      <c r="AD3158" s="41"/>
      <c r="AE3158" s="41"/>
      <c r="AF3158" s="11"/>
      <c r="AH3158" s="1" t="str">
        <f>Table1[[#This Row],[html_tag]]&amp;Table1[[#This Row],[html_type]]&amp;Table1[[#This Row],[html_modifier]]</f>
        <v/>
      </c>
      <c r="AL3158" s="22" t="str">
        <f>IFERROR(_xlfn.XLOOKUP(Table1[[#This Row],[word]],Table57[English style name],Table57[Style type]),"")</f>
        <v/>
      </c>
      <c r="AM3158" s="20"/>
      <c r="AN3158" s="11"/>
      <c r="AQ3158" s="6" t="s">
        <v>2819</v>
      </c>
      <c r="AR3158" t="s">
        <v>2817</v>
      </c>
    </row>
    <row r="3159" spans="5:44">
      <c r="E3159" s="11"/>
      <c r="F31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59" s="13" t="s">
        <v>337</v>
      </c>
      <c r="H3159" s="13" t="s">
        <v>2988</v>
      </c>
      <c r="I3159" s="12" t="str">
        <f>Table1[[#This Row],[type]]</f>
        <v>ticker</v>
      </c>
      <c r="J3159" s="62" t="str">
        <f>Table1[[#This Row],[Column42]]&amp;IF(Table1[[#This Row],[Column13]]="","",Table1[[#This Row],[Column13]])&amp;IF(Table1[[#This Row],[mod]]="","",Table1[[#This Row],[mod]])</f>
        <v>ticker__left--vertical</v>
      </c>
      <c r="K31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ticker__left</v>
      </c>
      <c r="L3159" t="s">
        <v>3142</v>
      </c>
      <c r="N3159" s="3" t="s">
        <v>616</v>
      </c>
      <c r="P3159" s="6" t="s">
        <v>2826</v>
      </c>
      <c r="Q31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59" t="s">
        <v>2943</v>
      </c>
      <c r="AB3159" s="29"/>
      <c r="AC3159" s="25"/>
      <c r="AD3159" s="41"/>
      <c r="AE3159" s="41"/>
      <c r="AF3159" s="11"/>
      <c r="AH3159" s="1" t="str">
        <f>Table1[[#This Row],[html_tag]]&amp;Table1[[#This Row],[html_type]]&amp;Table1[[#This Row],[html_modifier]]</f>
        <v/>
      </c>
      <c r="AL3159" s="22" t="str">
        <f>IFERROR(_xlfn.XLOOKUP(Table1[[#This Row],[word]],Table57[English style name],Table57[Style type]),"")</f>
        <v/>
      </c>
      <c r="AM3159" s="20"/>
      <c r="AN3159" s="11"/>
      <c r="AQ3159" s="6" t="s">
        <v>2826</v>
      </c>
      <c r="AR3159" t="s">
        <v>2817</v>
      </c>
    </row>
    <row r="3160" spans="5:44">
      <c r="E3160" s="11"/>
      <c r="F31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0" s="13" t="s">
        <v>337</v>
      </c>
      <c r="H3160" s="13" t="s">
        <v>2988</v>
      </c>
      <c r="I3160" s="12" t="str">
        <f>Table1[[#This Row],[type]]</f>
        <v>ticker</v>
      </c>
      <c r="J3160" s="62" t="str">
        <f>Table1[[#This Row],[Column42]]&amp;IF(Table1[[#This Row],[Column13]]="","",Table1[[#This Row],[Column13]])&amp;IF(Table1[[#This Row],[mod]]="","",Table1[[#This Row],[mod]])</f>
        <v>ticker__right--vertical</v>
      </c>
      <c r="K31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ticker__right</v>
      </c>
      <c r="L3160" t="s">
        <v>3142</v>
      </c>
      <c r="N3160" t="s">
        <v>617</v>
      </c>
      <c r="P3160" s="6" t="s">
        <v>2827</v>
      </c>
      <c r="Q31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60" t="s">
        <v>2943</v>
      </c>
      <c r="AB3160" s="29"/>
      <c r="AC3160" s="25"/>
      <c r="AD3160" s="41"/>
      <c r="AE3160" s="41"/>
      <c r="AF3160" s="11"/>
      <c r="AH3160" s="1" t="str">
        <f>Table1[[#This Row],[html_tag]]&amp;Table1[[#This Row],[html_type]]&amp;Table1[[#This Row],[html_modifier]]</f>
        <v/>
      </c>
      <c r="AL3160" s="22" t="str">
        <f>IFERROR(_xlfn.XLOOKUP(Table1[[#This Row],[word]],Table57[English style name],Table57[Style type]),"")</f>
        <v/>
      </c>
      <c r="AM3160" s="20"/>
      <c r="AN3160" s="11"/>
      <c r="AQ3160" s="6" t="s">
        <v>2827</v>
      </c>
      <c r="AR3160" t="s">
        <v>2817</v>
      </c>
    </row>
    <row r="3161" spans="5:44">
      <c r="E3161" s="11"/>
      <c r="F31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1" s="13" t="s">
        <v>337</v>
      </c>
      <c r="H3161" s="13" t="s">
        <v>2988</v>
      </c>
      <c r="I3161" s="12" t="str">
        <f>Table1[[#This Row],[type]]</f>
        <v>ticker</v>
      </c>
      <c r="J3161" s="62" t="str">
        <f>Table1[[#This Row],[Column42]]&amp;IF(Table1[[#This Row],[Column13]]="","",Table1[[#This Row],[Column13]])&amp;IF(Table1[[#This Row],[mod]]="","",Table1[[#This Row],[mod]])</f>
        <v>ticker__top--horizontal</v>
      </c>
      <c r="K31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ticker__top</v>
      </c>
      <c r="L3161" t="s">
        <v>3142</v>
      </c>
      <c r="N3161" t="s">
        <v>3182</v>
      </c>
      <c r="P3161" s="6" t="s">
        <v>2820</v>
      </c>
      <c r="Q31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161" t="s">
        <v>3205</v>
      </c>
      <c r="AB3161" s="29"/>
      <c r="AC3161" s="25"/>
      <c r="AD3161" s="41"/>
      <c r="AE3161" s="41"/>
      <c r="AF3161" s="11"/>
      <c r="AH3161" s="1" t="str">
        <f>Table1[[#This Row],[html_tag]]&amp;Table1[[#This Row],[html_type]]&amp;Table1[[#This Row],[html_modifier]]</f>
        <v/>
      </c>
      <c r="AL3161" s="22" t="str">
        <f>IFERROR(_xlfn.XLOOKUP(Table1[[#This Row],[word]],Table57[English style name],Table57[Style type]),"")</f>
        <v/>
      </c>
      <c r="AM3161" s="20"/>
      <c r="AN3161" s="11"/>
      <c r="AQ3161" s="6" t="s">
        <v>2820</v>
      </c>
      <c r="AR3161" t="s">
        <v>2817</v>
      </c>
    </row>
    <row r="3162" spans="5:44">
      <c r="E3162" s="11"/>
      <c r="F31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2" s="13" t="s">
        <v>337</v>
      </c>
      <c r="H3162" s="13" t="s">
        <v>2988</v>
      </c>
      <c r="I3162" s="12" t="str">
        <f>Table1[[#This Row],[type]]</f>
        <v>ticker</v>
      </c>
      <c r="J3162" s="62" t="str">
        <f>Table1[[#This Row],[Column42]]&amp;IF(Table1[[#This Row],[Column13]]="","",Table1[[#This Row],[Column13]])&amp;IF(Table1[[#This Row],[mod]]="","",Table1[[#This Row],[mod]])</f>
        <v>ticker__track--horizontal</v>
      </c>
      <c r="K31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ticker__track</v>
      </c>
      <c r="L3162" t="s">
        <v>3142</v>
      </c>
      <c r="M3162" t="s">
        <v>602</v>
      </c>
      <c r="P3162" s="6" t="s">
        <v>2823</v>
      </c>
      <c r="Q31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162" t="s">
        <v>3205</v>
      </c>
      <c r="AB3162" s="29"/>
      <c r="AC3162" s="25"/>
      <c r="AD3162" s="41"/>
      <c r="AE3162" s="41"/>
      <c r="AF3162" s="11"/>
      <c r="AH3162" s="1" t="str">
        <f>Table1[[#This Row],[html_tag]]&amp;Table1[[#This Row],[html_type]]&amp;Table1[[#This Row],[html_modifier]]</f>
        <v/>
      </c>
      <c r="AL3162" s="22" t="str">
        <f>IFERROR(_xlfn.XLOOKUP(Table1[[#This Row],[word]],Table57[English style name],Table57[Style type]),"")</f>
        <v/>
      </c>
      <c r="AM3162" s="20"/>
      <c r="AN3162" s="11"/>
      <c r="AQ3162" s="6" t="s">
        <v>2823</v>
      </c>
      <c r="AR3162" t="s">
        <v>2817</v>
      </c>
    </row>
    <row r="3163" spans="5:44">
      <c r="E3163" s="11"/>
      <c r="F31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3" s="13" t="s">
        <v>337</v>
      </c>
      <c r="H3163" s="13" t="s">
        <v>2988</v>
      </c>
      <c r="I3163" s="12" t="str">
        <f>Table1[[#This Row],[type]]</f>
        <v>ticker</v>
      </c>
      <c r="J3163" s="62" t="str">
        <f>Table1[[#This Row],[Column42]]&amp;IF(Table1[[#This Row],[Column13]]="","",Table1[[#This Row],[Column13]])&amp;IF(Table1[[#This Row],[mod]]="","",Table1[[#This Row],[mod]])</f>
        <v>ticker__track--vertical</v>
      </c>
      <c r="K31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ticker__track</v>
      </c>
      <c r="L3163" t="s">
        <v>3142</v>
      </c>
      <c r="M3163" t="s">
        <v>602</v>
      </c>
      <c r="P3163" s="6" t="s">
        <v>2824</v>
      </c>
      <c r="Q31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63" t="s">
        <v>2943</v>
      </c>
      <c r="AB3163" s="29"/>
      <c r="AC3163" s="25"/>
      <c r="AD3163" s="41"/>
      <c r="AE3163" s="41"/>
      <c r="AF3163" s="11"/>
      <c r="AH3163" s="1" t="str">
        <f>Table1[[#This Row],[html_tag]]&amp;Table1[[#This Row],[html_type]]&amp;Table1[[#This Row],[html_modifier]]</f>
        <v/>
      </c>
      <c r="AL3163" s="22" t="str">
        <f>IFERROR(_xlfn.XLOOKUP(Table1[[#This Row],[word]],Table57[English style name],Table57[Style type]),"")</f>
        <v/>
      </c>
      <c r="AM3163" s="20"/>
      <c r="AN3163" s="11"/>
      <c r="AQ3163" s="6" t="s">
        <v>2824</v>
      </c>
      <c r="AR3163" t="s">
        <v>2817</v>
      </c>
    </row>
    <row r="3164" spans="5:44">
      <c r="E3164" s="11"/>
      <c r="F31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4" s="13" t="s">
        <v>337</v>
      </c>
      <c r="H3164" s="13" t="s">
        <v>2988</v>
      </c>
      <c r="I3164" s="12" t="str">
        <f>Table1[[#This Row],[type]]</f>
        <v>ticker</v>
      </c>
      <c r="J3164" s="62" t="str">
        <f>Table1[[#This Row],[Column42]]&amp;IF(Table1[[#This Row],[Column13]]="","",Table1[[#This Row],[Column13]])&amp;IF(Table1[[#This Row],[mod]]="","",Table1[[#This Row],[mod]])</f>
        <v>ticker--base</v>
      </c>
      <c r="K31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164" t="s">
        <v>3142</v>
      </c>
      <c r="P3164" s="6" t="s">
        <v>2816</v>
      </c>
      <c r="Q31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164" t="s">
        <v>338</v>
      </c>
      <c r="AB3164" s="29"/>
      <c r="AC3164" s="25"/>
      <c r="AD3164" s="41"/>
      <c r="AE3164" s="41"/>
      <c r="AF3164" s="11"/>
      <c r="AH3164" s="1" t="str">
        <f>Table1[[#This Row],[html_tag]]&amp;Table1[[#This Row],[html_type]]&amp;Table1[[#This Row],[html_modifier]]</f>
        <v/>
      </c>
      <c r="AL3164" s="22" t="str">
        <f>IFERROR(_xlfn.XLOOKUP(Table1[[#This Row],[word]],Table57[English style name],Table57[Style type]),"")</f>
        <v/>
      </c>
      <c r="AM3164" s="20"/>
      <c r="AN3164" s="11"/>
      <c r="AQ3164" s="6" t="s">
        <v>2816</v>
      </c>
      <c r="AR3164" t="s">
        <v>2817</v>
      </c>
    </row>
    <row r="3165" spans="5:44">
      <c r="E3165" s="11"/>
      <c r="F31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5" s="13" t="s">
        <v>337</v>
      </c>
      <c r="H3165" s="13" t="s">
        <v>2988</v>
      </c>
      <c r="I3165" s="12" t="str">
        <f>Table1[[#This Row],[type]]</f>
        <v>ticker</v>
      </c>
      <c r="J3165" s="62" t="str">
        <f>Table1[[#This Row],[Column42]]&amp;IF(Table1[[#This Row],[Column13]]="","",Table1[[#This Row],[Column13]])&amp;IF(Table1[[#This Row],[mod]]="","",Table1[[#This Row],[mod]])</f>
        <v>ticker--horizontal</v>
      </c>
      <c r="K31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165" t="s">
        <v>3142</v>
      </c>
      <c r="P3165" s="6" t="s">
        <v>2818</v>
      </c>
      <c r="Q31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165" t="s">
        <v>3205</v>
      </c>
      <c r="AB3165" s="29"/>
      <c r="AC3165" s="25"/>
      <c r="AD3165" s="41"/>
      <c r="AE3165" s="41"/>
      <c r="AF3165" s="11"/>
      <c r="AH3165" s="1" t="str">
        <f>Table1[[#This Row],[html_tag]]&amp;Table1[[#This Row],[html_type]]&amp;Table1[[#This Row],[html_modifier]]</f>
        <v/>
      </c>
      <c r="AL3165" s="22" t="str">
        <f>IFERROR(_xlfn.XLOOKUP(Table1[[#This Row],[word]],Table57[English style name],Table57[Style type]),"")</f>
        <v/>
      </c>
      <c r="AM3165" s="20"/>
      <c r="AN3165" s="11"/>
      <c r="AQ3165" s="6" t="s">
        <v>2818</v>
      </c>
      <c r="AR3165" t="s">
        <v>2817</v>
      </c>
    </row>
    <row r="3166" spans="5:44">
      <c r="E3166" s="11"/>
      <c r="F31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6" s="13" t="s">
        <v>337</v>
      </c>
      <c r="H3166" s="13" t="s">
        <v>2988</v>
      </c>
      <c r="I3166" s="12" t="str">
        <f>Table1[[#This Row],[type]]</f>
        <v>ticker</v>
      </c>
      <c r="J3166" s="62" t="str">
        <f>Table1[[#This Row],[Column42]]&amp;IF(Table1[[#This Row],[Column13]]="","",Table1[[#This Row],[Column13]])&amp;IF(Table1[[#This Row],[mod]]="","",Table1[[#This Row],[mod]])</f>
        <v>ticker--inverted</v>
      </c>
      <c r="K31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166" t="s">
        <v>3142</v>
      </c>
      <c r="P3166" s="6" t="s">
        <v>2821</v>
      </c>
      <c r="Q31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--inverted</v>
      </c>
      <c r="S3166" t="s">
        <v>10178</v>
      </c>
      <c r="U31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66" s="29"/>
      <c r="AC3166" s="25"/>
      <c r="AD3166" s="41"/>
      <c r="AE3166" s="41"/>
      <c r="AF3166" s="11"/>
      <c r="AH3166" s="1" t="str">
        <f>Table1[[#This Row],[html_tag]]&amp;Table1[[#This Row],[html_type]]&amp;Table1[[#This Row],[html_modifier]]</f>
        <v/>
      </c>
      <c r="AL3166" s="22" t="str">
        <f>IFERROR(_xlfn.XLOOKUP(Table1[[#This Row],[word]],Table57[English style name],Table57[Style type]),"")</f>
        <v/>
      </c>
      <c r="AM3166" s="20"/>
      <c r="AN3166" s="11"/>
      <c r="AQ3166" s="6" t="s">
        <v>2821</v>
      </c>
      <c r="AR3166" t="s">
        <v>2817</v>
      </c>
    </row>
    <row r="3167" spans="5:44">
      <c r="E3167" s="11"/>
      <c r="F31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7" s="13" t="s">
        <v>337</v>
      </c>
      <c r="H3167" s="13" t="s">
        <v>2988</v>
      </c>
      <c r="I3167" s="12" t="str">
        <f>Table1[[#This Row],[type]]</f>
        <v>ticker</v>
      </c>
      <c r="J3167" s="62" t="str">
        <f>Table1[[#This Row],[Column42]]&amp;IF(Table1[[#This Row],[Column13]]="","",Table1[[#This Row],[Column13]])&amp;IF(Table1[[#This Row],[mod]]="","",Table1[[#This Row],[mod]])</f>
        <v>ticker--loop</v>
      </c>
      <c r="K31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167" t="s">
        <v>3142</v>
      </c>
      <c r="P3167" s="6" t="s">
        <v>2822</v>
      </c>
      <c r="Q31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--loop</v>
      </c>
      <c r="S3167" t="s">
        <v>10223</v>
      </c>
      <c r="U31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67" s="29"/>
      <c r="AC3167" s="25"/>
      <c r="AD3167" s="41"/>
      <c r="AE3167" s="41"/>
      <c r="AF3167" s="11"/>
      <c r="AH3167" s="1" t="str">
        <f>Table1[[#This Row],[html_tag]]&amp;Table1[[#This Row],[html_type]]&amp;Table1[[#This Row],[html_modifier]]</f>
        <v/>
      </c>
      <c r="AL3167" s="22" t="str">
        <f>IFERROR(_xlfn.XLOOKUP(Table1[[#This Row],[word]],Table57[English style name],Table57[Style type]),"")</f>
        <v/>
      </c>
      <c r="AM3167" s="20"/>
      <c r="AN3167" s="11"/>
      <c r="AQ3167" s="6" t="s">
        <v>2822</v>
      </c>
      <c r="AR3167" t="s">
        <v>2817</v>
      </c>
    </row>
    <row r="3168" spans="5:44">
      <c r="E3168" s="11"/>
      <c r="F31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8" s="13" t="s">
        <v>337</v>
      </c>
      <c r="H3168" s="13" t="s">
        <v>2988</v>
      </c>
      <c r="I3168" s="12" t="str">
        <f>Table1[[#This Row],[type]]</f>
        <v>ticker</v>
      </c>
      <c r="J3168" s="62" t="str">
        <f>Table1[[#This Row],[Column42]]&amp;IF(Table1[[#This Row],[Column13]]="","",Table1[[#This Row],[Column13]])&amp;IF(Table1[[#This Row],[mod]]="","",Table1[[#This Row],[mod]])</f>
        <v>ticker--vertical</v>
      </c>
      <c r="K31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168" t="s">
        <v>3142</v>
      </c>
      <c r="P3168" s="6" t="s">
        <v>2825</v>
      </c>
      <c r="Q31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68" t="s">
        <v>2943</v>
      </c>
      <c r="AB3168" s="29"/>
      <c r="AC3168" s="25"/>
      <c r="AD3168" s="41"/>
      <c r="AE3168" s="41"/>
      <c r="AF3168" s="11"/>
      <c r="AH3168" s="1" t="str">
        <f>Table1[[#This Row],[html_tag]]&amp;Table1[[#This Row],[html_type]]&amp;Table1[[#This Row],[html_modifier]]</f>
        <v/>
      </c>
      <c r="AL3168" s="22" t="str">
        <f>IFERROR(_xlfn.XLOOKUP(Table1[[#This Row],[word]],Table57[English style name],Table57[Style type]),"")</f>
        <v/>
      </c>
      <c r="AM3168" s="20"/>
      <c r="AN3168" s="11"/>
      <c r="AQ3168" s="6" t="s">
        <v>2825</v>
      </c>
      <c r="AR3168" t="s">
        <v>2817</v>
      </c>
    </row>
    <row r="3169" spans="1:47">
      <c r="E3169" s="11"/>
      <c r="F31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69" s="13"/>
      <c r="H3169" s="13"/>
      <c r="I3169" s="12" t="str">
        <f>Table1[[#This Row],[type]]</f>
        <v>tile</v>
      </c>
      <c r="J3169" s="62" t="str">
        <f>Table1[[#This Row],[Column42]]&amp;IF(Table1[[#This Row],[Column13]]="","",Table1[[#This Row],[Column13]])&amp;IF(Table1[[#This Row],[mod]]="","",Table1[[#This Row],[mod]])</f>
        <v>tile</v>
      </c>
      <c r="K31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69" t="s">
        <v>6138</v>
      </c>
      <c r="Q31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69" s="29" t="s">
        <v>4552</v>
      </c>
      <c r="AC3169" s="25"/>
      <c r="AD3169" s="41"/>
      <c r="AE3169" s="41"/>
      <c r="AF3169" s="11"/>
      <c r="AH3169" s="7" t="str">
        <f>Table1[[#This Row],[html_tag]]&amp;Table1[[#This Row],[html_type]]&amp;Table1[[#This Row],[html_modifier]]</f>
        <v/>
      </c>
      <c r="AL3169" s="23" t="str">
        <f>IFERROR(_xlfn.XLOOKUP(Table1[[#This Row],[word]],Table57[English style name],Table57[Style type]),"")</f>
        <v/>
      </c>
      <c r="AM3169" s="21"/>
      <c r="AN3169" s="11"/>
    </row>
    <row r="3170" spans="1:47">
      <c r="A3170" s="68"/>
      <c r="B3170" s="68"/>
      <c r="C3170" s="68"/>
      <c r="D3170" s="69"/>
      <c r="E3170" s="70"/>
      <c r="F3170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0" s="13"/>
      <c r="H3170" s="13"/>
      <c r="I3170" s="85" t="str">
        <f>Table1[[#This Row],[type]]</f>
        <v>tile</v>
      </c>
      <c r="J3170" s="72" t="str">
        <f>Table1[[#This Row],[Column42]]&amp;IF(Table1[[#This Row],[Column13]]="","",Table1[[#This Row],[Column13]])&amp;IF(Table1[[#This Row],[mod]]="","",Table1[[#This Row],[mod]])</f>
        <v>tile--active</v>
      </c>
      <c r="K3170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0" t="s">
        <v>6138</v>
      </c>
      <c r="Q3170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0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170" t="s">
        <v>350</v>
      </c>
      <c r="AB3170" s="29"/>
      <c r="AC3170" s="25"/>
      <c r="AD3170" s="41"/>
      <c r="AE3170" s="41"/>
      <c r="AF3170" s="11"/>
      <c r="AH3170" s="75" t="str">
        <f>Table1[[#This Row],[html_tag]]&amp;Table1[[#This Row],[html_type]]&amp;Table1[[#This Row],[html_modifier]]</f>
        <v/>
      </c>
      <c r="AL3170" s="23" t="str">
        <f>IFERROR(_xlfn.XLOOKUP(Table1[[#This Row],[word]],Table57[English style name],Table57[Style type]),"")</f>
        <v/>
      </c>
      <c r="AM3170" s="21"/>
      <c r="AN3170" s="70"/>
      <c r="AO3170" s="67"/>
      <c r="AP3170" s="67"/>
      <c r="AQ3170" s="67"/>
      <c r="AR3170" s="67"/>
      <c r="AS3170" s="67"/>
      <c r="AT3170" s="67"/>
      <c r="AU3170" s="67"/>
    </row>
    <row r="3171" spans="1:47">
      <c r="E3171" s="11"/>
      <c r="F31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1" s="13"/>
      <c r="H3171" s="13"/>
      <c r="I3171" s="12" t="str">
        <f>Table1[[#This Row],[type]]</f>
        <v>tile</v>
      </c>
      <c r="J3171" s="62" t="str">
        <f>Table1[[#This Row],[Column42]]&amp;IF(Table1[[#This Row],[Column13]]="","",Table1[[#This Row],[Column13]])&amp;IF(Table1[[#This Row],[mod]]="","",Table1[[#This Row],[mod]])</f>
        <v>tile--ancestor</v>
      </c>
      <c r="K31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1" t="s">
        <v>6138</v>
      </c>
      <c r="Q31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--ancestor</v>
      </c>
      <c r="S3171" t="s">
        <v>10227</v>
      </c>
      <c r="U31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1" s="48" t="s">
        <v>4553</v>
      </c>
      <c r="AC3171" s="25"/>
      <c r="AD3171" s="41"/>
      <c r="AE3171" s="41"/>
      <c r="AF3171" s="11"/>
      <c r="AH3171" s="7" t="str">
        <f>Table1[[#This Row],[html_tag]]&amp;Table1[[#This Row],[html_type]]&amp;Table1[[#This Row],[html_modifier]]</f>
        <v/>
      </c>
      <c r="AL3171" s="23" t="str">
        <f>IFERROR(_xlfn.XLOOKUP(Table1[[#This Row],[word]],Table57[English style name],Table57[Style type]),"")</f>
        <v/>
      </c>
      <c r="AM3171" s="21"/>
      <c r="AN3171" s="11"/>
    </row>
    <row r="3172" spans="1:47">
      <c r="E3172" s="11"/>
      <c r="F31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2" s="13"/>
      <c r="H3172" s="13"/>
      <c r="I3172" s="12" t="str">
        <f>Table1[[#This Row],[type]]</f>
        <v>tile</v>
      </c>
      <c r="J3172" s="62" t="str">
        <f>Table1[[#This Row],[Column42]]&amp;IF(Table1[[#This Row],[Column13]]="","",Table1[[#This Row],[Column13]])&amp;IF(Table1[[#This Row],[mod]]="","",Table1[[#This Row],[mod]])</f>
        <v>tile--child</v>
      </c>
      <c r="K31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2" t="s">
        <v>6138</v>
      </c>
      <c r="Q31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--child</v>
      </c>
      <c r="S3172" t="s">
        <v>7421</v>
      </c>
      <c r="U31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2" s="29" t="s">
        <v>4554</v>
      </c>
      <c r="AC3172" s="25"/>
      <c r="AD3172" s="41"/>
      <c r="AE3172" s="41"/>
      <c r="AF3172" s="11"/>
      <c r="AH3172" s="7" t="str">
        <f>Table1[[#This Row],[html_tag]]&amp;Table1[[#This Row],[html_type]]&amp;Table1[[#This Row],[html_modifier]]</f>
        <v/>
      </c>
      <c r="AL3172" s="23" t="str">
        <f>IFERROR(_xlfn.XLOOKUP(Table1[[#This Row],[word]],Table57[English style name],Table57[Style type]),"")</f>
        <v/>
      </c>
      <c r="AM3172" s="21"/>
      <c r="AN3172" s="11"/>
    </row>
    <row r="3173" spans="1:47">
      <c r="A3173" s="68"/>
      <c r="B3173" s="68"/>
      <c r="C3173" s="68"/>
      <c r="D3173" s="69"/>
      <c r="E3173" s="70"/>
      <c r="F3173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3" s="13"/>
      <c r="H3173" s="13"/>
      <c r="I3173" s="85" t="str">
        <f>Table1[[#This Row],[type]]</f>
        <v>tile</v>
      </c>
      <c r="J3173" s="72" t="str">
        <f>Table1[[#This Row],[Column42]]&amp;IF(Table1[[#This Row],[Column13]]="","",Table1[[#This Row],[Column13]])&amp;IF(Table1[[#This Row],[mod]]="","",Table1[[#This Row],[mod]])</f>
        <v>tile--disabled</v>
      </c>
      <c r="K3173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3" t="s">
        <v>6138</v>
      </c>
      <c r="Q3173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3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3173" t="s">
        <v>3032</v>
      </c>
      <c r="AB3173" s="29"/>
      <c r="AC3173" s="25"/>
      <c r="AD3173" s="41"/>
      <c r="AE3173" s="41"/>
      <c r="AF3173" s="11"/>
      <c r="AH3173" s="75" t="str">
        <f>Table1[[#This Row],[html_tag]]&amp;Table1[[#This Row],[html_type]]&amp;Table1[[#This Row],[html_modifier]]</f>
        <v/>
      </c>
      <c r="AL3173" s="23" t="str">
        <f>IFERROR(_xlfn.XLOOKUP(Table1[[#This Row],[word]],Table57[English style name],Table57[Style type]),"")</f>
        <v/>
      </c>
      <c r="AM3173" s="21"/>
      <c r="AN3173" s="70"/>
      <c r="AO3173" s="67"/>
      <c r="AP3173" s="67"/>
      <c r="AQ3173" s="67"/>
      <c r="AR3173" s="67"/>
      <c r="AS3173" s="67"/>
      <c r="AT3173" s="67"/>
      <c r="AU3173" s="67"/>
    </row>
    <row r="3174" spans="1:47">
      <c r="E3174" s="11"/>
      <c r="F31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4" s="13"/>
      <c r="H3174" s="13"/>
      <c r="I3174" s="12" t="str">
        <f>Table1[[#This Row],[type]]</f>
        <v>tile</v>
      </c>
      <c r="J3174" s="62" t="str">
        <f>Table1[[#This Row],[Column42]]&amp;IF(Table1[[#This Row],[Column13]]="","",Table1[[#This Row],[Column13]])&amp;IF(Table1[[#This Row],[mod]]="","",Table1[[#This Row],[mod]])</f>
        <v>tile--parent</v>
      </c>
      <c r="K31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4" t="s">
        <v>6138</v>
      </c>
      <c r="Q31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--parent</v>
      </c>
      <c r="S3174" t="s">
        <v>10228</v>
      </c>
      <c r="U31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4" s="29" t="s">
        <v>4555</v>
      </c>
      <c r="AC3174" s="25"/>
      <c r="AD3174" s="41"/>
      <c r="AE3174" s="41"/>
      <c r="AF3174" s="11"/>
      <c r="AH3174" s="7" t="str">
        <f>Table1[[#This Row],[html_tag]]&amp;Table1[[#This Row],[html_type]]&amp;Table1[[#This Row],[html_modifier]]</f>
        <v/>
      </c>
      <c r="AL3174" s="23" t="str">
        <f>IFERROR(_xlfn.XLOOKUP(Table1[[#This Row],[word]],Table57[English style name],Table57[Style type]),"")</f>
        <v/>
      </c>
      <c r="AM3174" s="21"/>
      <c r="AN3174" s="11"/>
    </row>
    <row r="3175" spans="1:47">
      <c r="A3175" s="68"/>
      <c r="B3175" s="68"/>
      <c r="C3175" s="68"/>
      <c r="D3175" s="69"/>
      <c r="E3175" s="70"/>
      <c r="F3175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5" s="13"/>
      <c r="H3175" s="13"/>
      <c r="I3175" s="85" t="str">
        <f>Table1[[#This Row],[type]]</f>
        <v>tile</v>
      </c>
      <c r="J3175" s="72" t="str">
        <f>Table1[[#This Row],[Column42]]&amp;IF(Table1[[#This Row],[Column13]]="","",Table1[[#This Row],[Column13]])&amp;IF(Table1[[#This Row],[mod]]="","",Table1[[#This Row],[mod]])</f>
        <v>tile--selected</v>
      </c>
      <c r="K3175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5" t="s">
        <v>6138</v>
      </c>
      <c r="Q3175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5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--selected</v>
      </c>
      <c r="Z3175" t="s">
        <v>3474</v>
      </c>
      <c r="AB3175" s="29"/>
      <c r="AC3175" s="25"/>
      <c r="AD3175" s="41"/>
      <c r="AE3175" s="41"/>
      <c r="AF3175" s="11"/>
      <c r="AH3175" s="75" t="str">
        <f>Table1[[#This Row],[html_tag]]&amp;Table1[[#This Row],[html_type]]&amp;Table1[[#This Row],[html_modifier]]</f>
        <v/>
      </c>
      <c r="AL3175" s="23" t="str">
        <f>IFERROR(_xlfn.XLOOKUP(Table1[[#This Row],[word]],Table57[English style name],Table57[Style type]),"")</f>
        <v/>
      </c>
      <c r="AM3175" s="21"/>
      <c r="AN3175" s="70"/>
      <c r="AO3175" s="67"/>
      <c r="AP3175" s="67"/>
      <c r="AQ3175" s="67"/>
      <c r="AR3175" s="67"/>
      <c r="AS3175" s="67"/>
      <c r="AT3175" s="67"/>
      <c r="AU3175" s="67"/>
    </row>
    <row r="3176" spans="1:47">
      <c r="E3176" s="11"/>
      <c r="F31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6" s="13"/>
      <c r="H3176" s="13"/>
      <c r="I3176" s="12" t="str">
        <f>Table1[[#This Row],[type]]</f>
        <v>tile</v>
      </c>
      <c r="J3176" s="62" t="str">
        <f>Table1[[#This Row],[Column42]]&amp;IF(Table1[[#This Row],[Column13]]="","",Table1[[#This Row],[Column13]])&amp;IF(Table1[[#This Row],[mod]]="","",Table1[[#This Row],[mod]])</f>
        <v>tile--vertical</v>
      </c>
      <c r="K31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6" t="s">
        <v>6138</v>
      </c>
      <c r="Q31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76" t="s">
        <v>2943</v>
      </c>
      <c r="AB3176" s="29" t="s">
        <v>4556</v>
      </c>
      <c r="AC3176" s="25"/>
      <c r="AD3176" s="41"/>
      <c r="AE3176" s="41"/>
      <c r="AF3176" s="11"/>
      <c r="AH3176" s="7" t="str">
        <f>Table1[[#This Row],[html_tag]]&amp;Table1[[#This Row],[html_type]]&amp;Table1[[#This Row],[html_modifier]]</f>
        <v/>
      </c>
      <c r="AL3176" s="23" t="str">
        <f>IFERROR(_xlfn.XLOOKUP(Table1[[#This Row],[word]],Table57[English style name],Table57[Style type]),"")</f>
        <v/>
      </c>
      <c r="AM3176" s="21"/>
      <c r="AN3176" s="11"/>
    </row>
    <row r="3177" spans="1:47">
      <c r="E3177" s="11"/>
      <c r="F31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time.scss</v>
      </c>
      <c r="G3177" s="13"/>
      <c r="H3177" s="13"/>
      <c r="I3177" s="12" t="str">
        <f>Table1[[#This Row],[type]]</f>
        <v>time</v>
      </c>
      <c r="J3177" s="62" t="str">
        <f>Table1[[#This Row],[Column42]]&amp;IF(Table1[[#This Row],[Column13]]="","",Table1[[#This Row],[Column13]])&amp;IF(Table1[[#This Row],[mod]]="","",Table1[[#This Row],[mod]])</f>
        <v>time</v>
      </c>
      <c r="K31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</v>
      </c>
      <c r="L3177" t="s">
        <v>600</v>
      </c>
      <c r="Q31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7" s="29"/>
      <c r="AC3177" s="25"/>
      <c r="AD3177" s="41"/>
      <c r="AE3177" s="41"/>
      <c r="AF3177" s="11" t="s">
        <v>298</v>
      </c>
      <c r="AH3177" s="1" t="str">
        <f>Table1[[#This Row],[html_tag]]&amp;Table1[[#This Row],[html_type]]&amp;Table1[[#This Row],[html_modifier]]</f>
        <v>&lt;time&gt;</v>
      </c>
      <c r="AI3177" t="s">
        <v>298</v>
      </c>
      <c r="AL3177" s="22" t="str">
        <f>IFERROR(_xlfn.XLOOKUP(Table1[[#This Row],[word]],Table57[English style name],Table57[Style type]),"")</f>
        <v/>
      </c>
      <c r="AM3177" s="20"/>
      <c r="AN3177" s="11"/>
    </row>
    <row r="3178" spans="1:47">
      <c r="E3178" s="11"/>
      <c r="F31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78" s="13" t="s">
        <v>337</v>
      </c>
      <c r="H3178" s="13" t="s">
        <v>2987</v>
      </c>
      <c r="I3178" s="12" t="str">
        <f>Table1[[#This Row],[type]]</f>
        <v>timeline</v>
      </c>
      <c r="J3178" s="62" t="str">
        <f>Table1[[#This Row],[Column42]]&amp;IF(Table1[[#This Row],[Column13]]="","",Table1[[#This Row],[Column13]])&amp;IF(Table1[[#This Row],[mod]]="","",Table1[[#This Row],[mod]])</f>
        <v>timeline</v>
      </c>
      <c r="K31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178" t="s">
        <v>2828</v>
      </c>
      <c r="Q31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8" s="29"/>
      <c r="AC3178" s="25"/>
      <c r="AD3178" s="41" t="s">
        <v>7379</v>
      </c>
      <c r="AE3178" s="41"/>
      <c r="AF3178" s="11" t="s">
        <v>231</v>
      </c>
      <c r="AH3178" s="1" t="str">
        <f>Table1[[#This Row],[html_tag]]&amp;Table1[[#This Row],[html_type]]&amp;Table1[[#This Row],[html_modifier]]</f>
        <v/>
      </c>
      <c r="AL3178" s="22" t="str">
        <f>IFERROR(_xlfn.XLOOKUP(Table1[[#This Row],[word]],Table57[English style name],Table57[Style type]),"")</f>
        <v/>
      </c>
      <c r="AM3178" s="20"/>
      <c r="AN3178" s="11"/>
      <c r="AQ3178" s="6" t="s">
        <v>2828</v>
      </c>
      <c r="AR3178" t="s">
        <v>2829</v>
      </c>
    </row>
    <row r="3179" spans="1:47">
      <c r="A3179" s="68"/>
      <c r="B3179" s="68"/>
      <c r="C3179" s="68"/>
      <c r="D3179" s="69"/>
      <c r="E3179" s="70"/>
      <c r="F3179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79" s="13" t="s">
        <v>337</v>
      </c>
      <c r="H3179" s="13" t="s">
        <v>2987</v>
      </c>
      <c r="I3179" s="85" t="str">
        <f>Table1[[#This Row],[type]]</f>
        <v>timeline</v>
      </c>
      <c r="J3179" s="72" t="str">
        <f>Table1[[#This Row],[Column42]]&amp;IF(Table1[[#This Row],[Column13]]="","",Table1[[#This Row],[Column13]])&amp;IF(Table1[[#This Row],[mod]]="","",Table1[[#This Row],[mod]])</f>
        <v>timeline__event</v>
      </c>
      <c r="K3179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</v>
      </c>
      <c r="L3179" t="s">
        <v>2828</v>
      </c>
      <c r="M3179" t="s">
        <v>10232</v>
      </c>
      <c r="Q3179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9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9" s="29"/>
      <c r="AC3179" s="25"/>
      <c r="AD3179" s="41"/>
      <c r="AE3179" s="41"/>
      <c r="AF3179" s="11" t="s">
        <v>211</v>
      </c>
      <c r="AH3179" s="75" t="str">
        <f>Table1[[#This Row],[html_tag]]&amp;Table1[[#This Row],[html_type]]&amp;Table1[[#This Row],[html_modifier]]</f>
        <v/>
      </c>
      <c r="AL3179" s="23" t="str">
        <f>IFERROR(_xlfn.XLOOKUP(Table1[[#This Row],[word]],Table57[English style name],Table57[Style type]),"")</f>
        <v/>
      </c>
      <c r="AM3179" s="21"/>
      <c r="AN3179" s="70"/>
      <c r="AO3179" s="67"/>
      <c r="AP3179" s="67"/>
      <c r="AQ3179" s="67"/>
      <c r="AR3179" s="67"/>
      <c r="AS3179" s="67"/>
      <c r="AT3179" s="67"/>
      <c r="AU3179" s="67"/>
    </row>
    <row r="3180" spans="1:47">
      <c r="A3180" s="68"/>
      <c r="B3180" s="68"/>
      <c r="C3180" s="68"/>
      <c r="D3180" s="69"/>
      <c r="E3180" s="70"/>
      <c r="F3180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0" s="13" t="s">
        <v>337</v>
      </c>
      <c r="H3180" s="13" t="s">
        <v>2987</v>
      </c>
      <c r="I3180" s="85" t="str">
        <f>Table1[[#This Row],[type]]</f>
        <v>timeline</v>
      </c>
      <c r="J3180" s="72" t="str">
        <f>Table1[[#This Row],[Column42]]&amp;IF(Table1[[#This Row],[Column13]]="","",Table1[[#This Row],[Column13]])&amp;IF(Table1[[#This Row],[mod]]="","",Table1[[#This Row],[mod]])</f>
        <v>timeline__event__content</v>
      </c>
      <c r="K3180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timeline__event__content</v>
      </c>
      <c r="L3180" t="s">
        <v>2828</v>
      </c>
      <c r="M3180" t="s">
        <v>10232</v>
      </c>
      <c r="N3180" t="s">
        <v>2990</v>
      </c>
      <c r="Q3180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0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0" s="29"/>
      <c r="AC3180" s="25"/>
      <c r="AD3180" s="41"/>
      <c r="AE3180" s="41"/>
      <c r="AF3180" s="11" t="s">
        <v>239</v>
      </c>
      <c r="AH3180" s="75" t="str">
        <f>Table1[[#This Row],[html_tag]]&amp;Table1[[#This Row],[html_type]]&amp;Table1[[#This Row],[html_modifier]]</f>
        <v/>
      </c>
      <c r="AL3180" s="23" t="str">
        <f>IFERROR(_xlfn.XLOOKUP(Table1[[#This Row],[word]],Table57[English style name],Table57[Style type]),"")</f>
        <v/>
      </c>
      <c r="AM3180" s="21"/>
      <c r="AN3180" s="70"/>
      <c r="AO3180" s="67"/>
      <c r="AP3180" s="67"/>
      <c r="AQ3180" s="67"/>
      <c r="AR3180" s="67"/>
      <c r="AS3180" s="67"/>
      <c r="AT3180" s="67"/>
      <c r="AU3180" s="67"/>
    </row>
    <row r="3181" spans="1:47">
      <c r="E3181" s="11"/>
      <c r="F31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1" s="13" t="s">
        <v>337</v>
      </c>
      <c r="H3181" s="13" t="s">
        <v>2987</v>
      </c>
      <c r="I3181" s="12" t="str">
        <f>Table1[[#This Row],[type]]</f>
        <v>timeline</v>
      </c>
      <c r="J3181" s="62" t="str">
        <f>Table1[[#This Row],[Column42]]&amp;IF(Table1[[#This Row],[Column13]]="","",Table1[[#This Row],[Column13]])&amp;IF(Table1[[#This Row],[mod]]="","",Table1[[#This Row],[mod]])</f>
        <v>timeline__event__end</v>
      </c>
      <c r="K31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timeline__event__end</v>
      </c>
      <c r="L3181" t="s">
        <v>2828</v>
      </c>
      <c r="M3181" t="s">
        <v>10232</v>
      </c>
      <c r="N3181" t="s">
        <v>3194</v>
      </c>
      <c r="Q31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1" s="29"/>
      <c r="AC3181" s="25"/>
      <c r="AD3181" s="41" t="s">
        <v>7382</v>
      </c>
      <c r="AE3181" s="41"/>
      <c r="AF3181" s="11" t="s">
        <v>166</v>
      </c>
      <c r="AH3181" s="7" t="str">
        <f>Table1[[#This Row],[html_tag]]&amp;Table1[[#This Row],[html_type]]&amp;Table1[[#This Row],[html_modifier]]</f>
        <v/>
      </c>
      <c r="AL3181" s="23" t="str">
        <f>IFERROR(_xlfn.XLOOKUP(Table1[[#This Row],[word]],Table57[English style name],Table57[Style type]),"")</f>
        <v/>
      </c>
      <c r="AM3181" s="21"/>
      <c r="AN3181" s="11"/>
    </row>
    <row r="3182" spans="1:47">
      <c r="E3182" s="11"/>
      <c r="F31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2" s="13" t="s">
        <v>337</v>
      </c>
      <c r="H3182" s="13" t="s">
        <v>2987</v>
      </c>
      <c r="I3182" s="12" t="str">
        <f>Table1[[#This Row],[type]]</f>
        <v>timeline</v>
      </c>
      <c r="J3182" s="62" t="str">
        <f>Table1[[#This Row],[Column42]]&amp;IF(Table1[[#This Row],[Column13]]="","",Table1[[#This Row],[Column13]])&amp;IF(Table1[[#This Row],[mod]]="","",Table1[[#This Row],[mod]])</f>
        <v>timeline__event__icon</v>
      </c>
      <c r="K31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timeline__event__icon</v>
      </c>
      <c r="L3182" t="s">
        <v>2828</v>
      </c>
      <c r="M3182" t="s">
        <v>10232</v>
      </c>
      <c r="N3182" t="s">
        <v>3101</v>
      </c>
      <c r="Q31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2" s="29"/>
      <c r="AC3182" s="25"/>
      <c r="AD3182" s="41" t="s">
        <v>7383</v>
      </c>
      <c r="AE3182" s="41"/>
      <c r="AF3182" s="11" t="s">
        <v>201</v>
      </c>
      <c r="AH3182" s="7" t="str">
        <f>Table1[[#This Row],[html_tag]]&amp;Table1[[#This Row],[html_type]]&amp;Table1[[#This Row],[html_modifier]]</f>
        <v/>
      </c>
      <c r="AL3182" s="23" t="str">
        <f>IFERROR(_xlfn.XLOOKUP(Table1[[#This Row],[word]],Table57[English style name],Table57[Style type]),"")</f>
        <v/>
      </c>
      <c r="AM3182" s="21"/>
      <c r="AN3182" s="11"/>
    </row>
    <row r="3183" spans="1:47">
      <c r="E3183" s="11"/>
      <c r="F31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3" s="13" t="s">
        <v>337</v>
      </c>
      <c r="H3183" s="13" t="s">
        <v>2987</v>
      </c>
      <c r="I3183" s="77" t="str">
        <f>Table1[[#This Row],[type]]</f>
        <v>timeline</v>
      </c>
      <c r="J3183" s="62" t="str">
        <f>Table1[[#This Row],[Column42]]&amp;IF(Table1[[#This Row],[Column13]]="","",Table1[[#This Row],[Column13]])&amp;IF(Table1[[#This Row],[mod]]="","",Table1[[#This Row],[mod]])</f>
        <v>timeline__event__middle</v>
      </c>
      <c r="K31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timeline__event__middle</v>
      </c>
      <c r="L3183" t="s">
        <v>2828</v>
      </c>
      <c r="M3183" t="s">
        <v>10232</v>
      </c>
      <c r="N3183" t="s">
        <v>3450</v>
      </c>
      <c r="Q31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3" s="29"/>
      <c r="AC3183" s="25"/>
      <c r="AD3183" s="41" t="s">
        <v>7381</v>
      </c>
      <c r="AE3183" s="41"/>
      <c r="AF3183" s="11" t="s">
        <v>166</v>
      </c>
      <c r="AH3183" s="7" t="str">
        <f>Table1[[#This Row],[html_tag]]&amp;Table1[[#This Row],[html_type]]&amp;Table1[[#This Row],[html_modifier]]</f>
        <v/>
      </c>
      <c r="AL3183" s="23" t="str">
        <f>IFERROR(_xlfn.XLOOKUP(Table1[[#This Row],[word]],Table57[English style name],Table57[Style type]),"")</f>
        <v/>
      </c>
      <c r="AM3183" s="21"/>
      <c r="AN3183" s="11"/>
    </row>
    <row r="3184" spans="1:47">
      <c r="E3184" s="11"/>
      <c r="F31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4" s="13" t="s">
        <v>337</v>
      </c>
      <c r="H3184" s="13" t="s">
        <v>2987</v>
      </c>
      <c r="I3184" s="77" t="str">
        <f>Table1[[#This Row],[type]]</f>
        <v>timeline</v>
      </c>
      <c r="J3184" s="62" t="str">
        <f>Table1[[#This Row],[Column42]]&amp;IF(Table1[[#This Row],[Column13]]="","",Table1[[#This Row],[Column13]])&amp;IF(Table1[[#This Row],[mod]]="","",Table1[[#This Row],[mod]])</f>
        <v>timeline__event__start</v>
      </c>
      <c r="K31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timeline__event__start</v>
      </c>
      <c r="L3184" t="s">
        <v>2828</v>
      </c>
      <c r="M3184" t="s">
        <v>10232</v>
      </c>
      <c r="N3184" t="s">
        <v>3193</v>
      </c>
      <c r="Q31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4" s="29"/>
      <c r="AC3184" s="25"/>
      <c r="AD3184" s="41" t="s">
        <v>7380</v>
      </c>
      <c r="AE3184" s="41"/>
      <c r="AF3184" s="11" t="s">
        <v>166</v>
      </c>
      <c r="AH3184" s="7" t="str">
        <f>Table1[[#This Row],[html_tag]]&amp;Table1[[#This Row],[html_type]]&amp;Table1[[#This Row],[html_modifier]]</f>
        <v/>
      </c>
      <c r="AL3184" s="23" t="str">
        <f>IFERROR(_xlfn.XLOOKUP(Table1[[#This Row],[word]],Table57[English style name],Table57[Style type]),"")</f>
        <v/>
      </c>
      <c r="AM3184" s="21"/>
      <c r="AN3184" s="11"/>
    </row>
    <row r="3185" spans="1:47">
      <c r="A3185" s="68"/>
      <c r="B3185" s="68"/>
      <c r="C3185" s="68"/>
      <c r="D3185" s="69"/>
      <c r="E3185" s="70"/>
      <c r="F3185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5" s="13" t="s">
        <v>337</v>
      </c>
      <c r="H3185" s="13" t="s">
        <v>2987</v>
      </c>
      <c r="I3185" s="85" t="str">
        <f>Table1[[#This Row],[type]]</f>
        <v>timeline</v>
      </c>
      <c r="J3185" s="72" t="str">
        <f>Table1[[#This Row],[Column42]]&amp;IF(Table1[[#This Row],[Column13]]="","",Table1[[#This Row],[Column13]])&amp;IF(Table1[[#This Row],[mod]]="","",Table1[[#This Row],[mod]])</f>
        <v>timeline__event__time</v>
      </c>
      <c r="K3185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timeline__event__time</v>
      </c>
      <c r="L3185" t="s">
        <v>2828</v>
      </c>
      <c r="M3185" t="s">
        <v>10232</v>
      </c>
      <c r="N3185" t="s">
        <v>600</v>
      </c>
      <c r="Q3185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5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5" s="29"/>
      <c r="AC3185" s="25"/>
      <c r="AD3185" s="41"/>
      <c r="AE3185" s="41"/>
      <c r="AF3185" s="11" t="s">
        <v>298</v>
      </c>
      <c r="AH3185" s="75" t="str">
        <f>Table1[[#This Row],[html_tag]]&amp;Table1[[#This Row],[html_type]]&amp;Table1[[#This Row],[html_modifier]]</f>
        <v/>
      </c>
      <c r="AL3185" s="23" t="str">
        <f>IFERROR(_xlfn.XLOOKUP(Table1[[#This Row],[word]],Table57[English style name],Table57[Style type]),"")</f>
        <v/>
      </c>
      <c r="AM3185" s="21"/>
      <c r="AN3185" s="70"/>
      <c r="AO3185" s="67"/>
      <c r="AP3185" s="67"/>
      <c r="AQ3185" s="67"/>
      <c r="AR3185" s="67"/>
      <c r="AS3185" s="67"/>
      <c r="AT3185" s="67"/>
      <c r="AU3185" s="67"/>
    </row>
    <row r="3186" spans="1:47">
      <c r="A3186" s="68"/>
      <c r="B3186" s="68"/>
      <c r="C3186" s="68"/>
      <c r="D3186" s="69"/>
      <c r="E3186" s="70"/>
      <c r="F3186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6" s="13" t="s">
        <v>337</v>
      </c>
      <c r="H3186" s="13" t="s">
        <v>2987</v>
      </c>
      <c r="I3186" s="85" t="str">
        <f>Table1[[#This Row],[type]]</f>
        <v>timeline</v>
      </c>
      <c r="J3186" s="72" t="str">
        <f>Table1[[#This Row],[Column42]]&amp;IF(Table1[[#This Row],[Column13]]="","",Table1[[#This Row],[Column13]])&amp;IF(Table1[[#This Row],[mod]]="","",Table1[[#This Row],[mod]])</f>
        <v>timeline__event__title</v>
      </c>
      <c r="K3186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timeline__event__title</v>
      </c>
      <c r="L3186" t="s">
        <v>2828</v>
      </c>
      <c r="M3186" t="s">
        <v>10232</v>
      </c>
      <c r="N3186" t="s">
        <v>333</v>
      </c>
      <c r="Q3186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6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6" s="29"/>
      <c r="AC3186" s="25"/>
      <c r="AD3186" s="41"/>
      <c r="AE3186" s="41"/>
      <c r="AF3186" s="11" t="s">
        <v>1139</v>
      </c>
      <c r="AH3186" s="75" t="str">
        <f>Table1[[#This Row],[html_tag]]&amp;Table1[[#This Row],[html_type]]&amp;Table1[[#This Row],[html_modifier]]</f>
        <v/>
      </c>
      <c r="AL3186" s="23" t="str">
        <f>IFERROR(_xlfn.XLOOKUP(Table1[[#This Row],[word]],Table57[English style name],Table57[Style type]),"")</f>
        <v/>
      </c>
      <c r="AM3186" s="21"/>
      <c r="AN3186" s="70"/>
      <c r="AO3186" s="67"/>
      <c r="AP3186" s="67"/>
      <c r="AQ3186" s="67"/>
      <c r="AR3186" s="67"/>
      <c r="AS3186" s="67"/>
      <c r="AT3186" s="67"/>
      <c r="AU3186" s="67"/>
    </row>
    <row r="3187" spans="1:47">
      <c r="A3187" s="68"/>
      <c r="B3187" s="68"/>
      <c r="C3187" s="68"/>
      <c r="D3187" s="69"/>
      <c r="E3187" s="70"/>
      <c r="F3187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7" s="13" t="s">
        <v>337</v>
      </c>
      <c r="H3187" s="13" t="s">
        <v>2987</v>
      </c>
      <c r="I3187" s="85" t="str">
        <f>Table1[[#This Row],[type]]</f>
        <v>timeline</v>
      </c>
      <c r="J3187" s="72" t="str">
        <f>Table1[[#This Row],[Column42]]&amp;IF(Table1[[#This Row],[Column13]]="","",Table1[[#This Row],[Column13]])&amp;IF(Table1[[#This Row],[mod]]="","",Table1[[#This Row],[mod]])</f>
        <v>timeline__event--current</v>
      </c>
      <c r="K3187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</v>
      </c>
      <c r="L3187" t="s">
        <v>2828</v>
      </c>
      <c r="M3187" t="s">
        <v>10232</v>
      </c>
      <c r="Q3187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7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--current</v>
      </c>
      <c r="Z3187" t="s">
        <v>10220</v>
      </c>
      <c r="AB3187" s="29"/>
      <c r="AC3187" s="25"/>
      <c r="AD3187" s="41"/>
      <c r="AE3187" s="41"/>
      <c r="AF3187" s="11" t="s">
        <v>211</v>
      </c>
      <c r="AH3187" s="75" t="str">
        <f>Table1[[#This Row],[html_tag]]&amp;Table1[[#This Row],[html_type]]&amp;Table1[[#This Row],[html_modifier]]</f>
        <v/>
      </c>
      <c r="AL3187" s="23" t="str">
        <f>IFERROR(_xlfn.XLOOKUP(Table1[[#This Row],[word]],Table57[English style name],Table57[Style type]),"")</f>
        <v/>
      </c>
      <c r="AM3187" s="21"/>
      <c r="AN3187" s="70"/>
      <c r="AO3187" s="67"/>
      <c r="AP3187" s="67"/>
      <c r="AQ3187" s="67"/>
      <c r="AR3187" s="67"/>
      <c r="AS3187" s="67"/>
      <c r="AT3187" s="67"/>
      <c r="AU3187" s="67"/>
    </row>
    <row r="3188" spans="1:47">
      <c r="E3188" s="11"/>
      <c r="F31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8" s="13" t="s">
        <v>337</v>
      </c>
      <c r="H3188" s="13" t="s">
        <v>2987</v>
      </c>
      <c r="I3188" s="12" t="str">
        <f>Table1[[#This Row],[type]]</f>
        <v>timeline</v>
      </c>
      <c r="J3188" s="62" t="str">
        <f>Table1[[#This Row],[Column42]]&amp;IF(Table1[[#This Row],[Column13]]="","",Table1[[#This Row],[Column13]])&amp;IF(Table1[[#This Row],[mod]]="","",Table1[[#This Row],[mod]])</f>
        <v>timeline--box</v>
      </c>
      <c r="K31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188" t="s">
        <v>2828</v>
      </c>
      <c r="Q31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--box</v>
      </c>
      <c r="S3188" t="s">
        <v>3206</v>
      </c>
      <c r="U31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8" s="29"/>
      <c r="AC3188" s="25"/>
      <c r="AD3188" s="41" t="s">
        <v>7384</v>
      </c>
      <c r="AE3188" s="41"/>
      <c r="AF3188" s="11" t="s">
        <v>231</v>
      </c>
      <c r="AH3188" s="7" t="str">
        <f>Table1[[#This Row],[html_tag]]&amp;Table1[[#This Row],[html_type]]&amp;Table1[[#This Row],[html_modifier]]</f>
        <v/>
      </c>
      <c r="AL3188" s="23" t="str">
        <f>IFERROR(_xlfn.XLOOKUP(Table1[[#This Row],[word]],Table57[English style name],Table57[Style type]),"")</f>
        <v/>
      </c>
      <c r="AM3188" s="21"/>
      <c r="AN3188" s="11"/>
    </row>
    <row r="3189" spans="1:47">
      <c r="E3189" s="11"/>
      <c r="F31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9" s="13" t="s">
        <v>337</v>
      </c>
      <c r="H3189" s="13" t="s">
        <v>2987</v>
      </c>
      <c r="I3189" s="12" t="str">
        <f>Table1[[#This Row],[type]]</f>
        <v>timeline</v>
      </c>
      <c r="J3189" s="62" t="str">
        <f>Table1[[#This Row],[Column42]]&amp;IF(Table1[[#This Row],[Column13]]="","",Table1[[#This Row],[Column13]])&amp;IF(Table1[[#This Row],[mod]]="","",Table1[[#This Row],[mod]])</f>
        <v>timeline--compact</v>
      </c>
      <c r="K31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189" t="s">
        <v>2828</v>
      </c>
      <c r="Q31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--compact</v>
      </c>
      <c r="S3189" t="s">
        <v>10215</v>
      </c>
      <c r="U31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9" s="29"/>
      <c r="AC3189" s="25"/>
      <c r="AD3189" s="41" t="s">
        <v>7385</v>
      </c>
      <c r="AE3189" s="41"/>
      <c r="AF3189" s="11" t="s">
        <v>231</v>
      </c>
      <c r="AH3189" s="7" t="str">
        <f>Table1[[#This Row],[html_tag]]&amp;Table1[[#This Row],[html_type]]&amp;Table1[[#This Row],[html_modifier]]</f>
        <v/>
      </c>
      <c r="AL3189" s="23" t="str">
        <f>IFERROR(_xlfn.XLOOKUP(Table1[[#This Row],[word]],Table57[English style name],Table57[Style type]),"")</f>
        <v/>
      </c>
      <c r="AM3189" s="21"/>
      <c r="AN3189" s="11"/>
    </row>
    <row r="3190" spans="1:47">
      <c r="E3190" s="11"/>
      <c r="F31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90" s="13" t="s">
        <v>337</v>
      </c>
      <c r="H3190" s="13" t="s">
        <v>2987</v>
      </c>
      <c r="I3190" s="77" t="str">
        <f>Table1[[#This Row],[type]]</f>
        <v>timeline</v>
      </c>
      <c r="J3190" s="62" t="str">
        <f>Table1[[#This Row],[Column42]]&amp;IF(Table1[[#This Row],[Column13]]="","",Table1[[#This Row],[Column13]])&amp;IF(Table1[[#This Row],[mod]]="","",Table1[[#This Row],[mod]])</f>
        <v>timeline--horizontal</v>
      </c>
      <c r="K31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190" t="s">
        <v>2828</v>
      </c>
      <c r="Q31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190" t="s">
        <v>3205</v>
      </c>
      <c r="AB3190" s="29"/>
      <c r="AC3190" s="25"/>
      <c r="AD3190" s="41" t="s">
        <v>7386</v>
      </c>
      <c r="AE3190" s="41"/>
      <c r="AF3190" s="11" t="s">
        <v>231</v>
      </c>
      <c r="AH3190" s="7" t="str">
        <f>Table1[[#This Row],[html_tag]]&amp;Table1[[#This Row],[html_type]]&amp;Table1[[#This Row],[html_modifier]]</f>
        <v/>
      </c>
      <c r="AL3190" s="23" t="str">
        <f>IFERROR(_xlfn.XLOOKUP(Table1[[#This Row],[word]],Table57[English style name],Table57[Style type]),"")</f>
        <v/>
      </c>
      <c r="AM3190" s="21"/>
      <c r="AN3190" s="11"/>
    </row>
    <row r="3191" spans="1:47">
      <c r="E3191" s="11"/>
      <c r="F31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91" s="13" t="s">
        <v>337</v>
      </c>
      <c r="H3191" s="13" t="s">
        <v>2987</v>
      </c>
      <c r="I3191" s="77" t="str">
        <f>Table1[[#This Row],[type]]</f>
        <v>timeline</v>
      </c>
      <c r="J3191" s="62" t="str">
        <f>Table1[[#This Row],[Column42]]&amp;IF(Table1[[#This Row],[Column13]]="","",Table1[[#This Row],[Column13]])&amp;IF(Table1[[#This Row],[mod]]="","",Table1[[#This Row],[mod]])</f>
        <v>timeline--vertical</v>
      </c>
      <c r="K31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191" t="s">
        <v>2828</v>
      </c>
      <c r="Q31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91" t="s">
        <v>2943</v>
      </c>
      <c r="AB3191" s="29"/>
      <c r="AC3191" s="25"/>
      <c r="AD3191" s="41" t="s">
        <v>7387</v>
      </c>
      <c r="AE3191" s="41"/>
      <c r="AF3191" s="11" t="s">
        <v>231</v>
      </c>
      <c r="AH3191" s="7" t="str">
        <f>Table1[[#This Row],[html_tag]]&amp;Table1[[#This Row],[html_type]]&amp;Table1[[#This Row],[html_modifier]]</f>
        <v/>
      </c>
      <c r="AL3191" s="23" t="str">
        <f>IFERROR(_xlfn.XLOOKUP(Table1[[#This Row],[word]],Table57[English style name],Table57[Style type]),"")</f>
        <v/>
      </c>
      <c r="AM3191" s="21"/>
      <c r="AN3191" s="11"/>
    </row>
    <row r="3192" spans="1:47">
      <c r="E3192" s="11"/>
      <c r="F31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2" s="13" t="s">
        <v>337</v>
      </c>
      <c r="H3192" s="13" t="s">
        <v>2987</v>
      </c>
      <c r="I3192" s="12" t="str">
        <f>Table1[[#This Row],[type]]</f>
        <v>timestamp</v>
      </c>
      <c r="J3192" s="62" t="str">
        <f>Table1[[#This Row],[Column42]]&amp;IF(Table1[[#This Row],[Column13]]="","",Table1[[#This Row],[Column13]])&amp;IF(Table1[[#This Row],[mod]]="","",Table1[[#This Row],[mod]])</f>
        <v>timestamp</v>
      </c>
      <c r="K31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2" t="s">
        <v>2830</v>
      </c>
      <c r="Q31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2" s="29"/>
      <c r="AC3192" s="25"/>
      <c r="AD3192" s="41"/>
      <c r="AE3192" s="41"/>
      <c r="AF3192" s="11" t="s">
        <v>298</v>
      </c>
      <c r="AH3192" s="1" t="str">
        <f>Table1[[#This Row],[html_tag]]&amp;Table1[[#This Row],[html_type]]&amp;Table1[[#This Row],[html_modifier]]</f>
        <v/>
      </c>
      <c r="AL3192" s="22" t="str">
        <f>IFERROR(_xlfn.XLOOKUP(Table1[[#This Row],[word]],Table57[English style name],Table57[Style type]),"")</f>
        <v/>
      </c>
      <c r="AM3192" s="20"/>
      <c r="AN3192" s="11"/>
      <c r="AQ3192" s="6" t="s">
        <v>2830</v>
      </c>
      <c r="AR3192" t="s">
        <v>2831</v>
      </c>
    </row>
    <row r="3193" spans="1:47">
      <c r="E3193" s="11"/>
      <c r="F31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3" s="13" t="s">
        <v>337</v>
      </c>
      <c r="H3193" s="13" t="s">
        <v>2987</v>
      </c>
      <c r="I3193" s="12" t="str">
        <f>Table1[[#This Row],[type]]</f>
        <v>timestamp</v>
      </c>
      <c r="J3193" s="62" t="str">
        <f>Table1[[#This Row],[Column42]]&amp;IF(Table1[[#This Row],[Column13]]="","",Table1[[#This Row],[Column13]])&amp;IF(Table1[[#This Row],[mod]]="","",Table1[[#This Row],[mod]])</f>
        <v>timestamp--active</v>
      </c>
      <c r="K31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3" t="s">
        <v>2830</v>
      </c>
      <c r="Q31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193" t="s">
        <v>350</v>
      </c>
      <c r="AB3193" s="29"/>
      <c r="AC3193" s="25"/>
      <c r="AD3193" s="41"/>
      <c r="AE3193" s="41"/>
      <c r="AF3193" s="11"/>
      <c r="AH3193" s="1" t="str">
        <f>Table1[[#This Row],[html_tag]]&amp;Table1[[#This Row],[html_type]]&amp;Table1[[#This Row],[html_modifier]]</f>
        <v>:active</v>
      </c>
      <c r="AK3193" t="s">
        <v>3015</v>
      </c>
      <c r="AL3193" s="22" t="str">
        <f>IFERROR(_xlfn.XLOOKUP(Table1[[#This Row],[word]],Table57[English style name],Table57[Style type]),"")</f>
        <v/>
      </c>
      <c r="AM3193" s="20"/>
      <c r="AN3193" s="11"/>
      <c r="AQ3193" s="6" t="s">
        <v>2832</v>
      </c>
      <c r="AR3193" t="s">
        <v>2831</v>
      </c>
    </row>
    <row r="3194" spans="1:47">
      <c r="E3194" s="11"/>
      <c r="F31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4" s="13" t="s">
        <v>337</v>
      </c>
      <c r="H3194" s="13" t="s">
        <v>2987</v>
      </c>
      <c r="I3194" s="12" t="str">
        <f>Table1[[#This Row],[type]]</f>
        <v>timestamp</v>
      </c>
      <c r="J3194" s="62" t="str">
        <f>Table1[[#This Row],[Column42]]&amp;IF(Table1[[#This Row],[Column13]]="","",Table1[[#This Row],[Column13]])&amp;IF(Table1[[#This Row],[mod]]="","",Table1[[#This Row],[mod]])</f>
        <v>timestamp--container</v>
      </c>
      <c r="K31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4" t="s">
        <v>2830</v>
      </c>
      <c r="Q31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194" t="s">
        <v>3445</v>
      </c>
      <c r="AB3194" s="29"/>
      <c r="AC3194" s="25"/>
      <c r="AD3194" s="41"/>
      <c r="AE3194" s="41"/>
      <c r="AF3194" s="11"/>
      <c r="AH3194" s="1" t="str">
        <f>Table1[[#This Row],[html_tag]]&amp;Table1[[#This Row],[html_type]]&amp;Table1[[#This Row],[html_modifier]]</f>
        <v/>
      </c>
      <c r="AL3194" s="22" t="str">
        <f>IFERROR(_xlfn.XLOOKUP(Table1[[#This Row],[word]],Table57[English style name],Table57[Style type]),"")</f>
        <v/>
      </c>
      <c r="AM3194" s="20"/>
      <c r="AN3194" s="11"/>
      <c r="AQ3194" s="6" t="s">
        <v>2833</v>
      </c>
      <c r="AR3194" t="s">
        <v>2831</v>
      </c>
    </row>
    <row r="3195" spans="1:47">
      <c r="E3195" s="11"/>
      <c r="F31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5" s="13" t="s">
        <v>337</v>
      </c>
      <c r="H3195" s="13" t="s">
        <v>2987</v>
      </c>
      <c r="I3195" s="12" t="str">
        <f>Table1[[#This Row],[type]]</f>
        <v>timestamp</v>
      </c>
      <c r="J3195" s="62" t="str">
        <f>Table1[[#This Row],[Column42]]&amp;IF(Table1[[#This Row],[Column13]]="","",Table1[[#This Row],[Column13]])&amp;IF(Table1[[#This Row],[mod]]="","",Table1[[#This Row],[mod]])</f>
        <v>timestamp--detail</v>
      </c>
      <c r="K31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5" t="s">
        <v>2830</v>
      </c>
      <c r="Q31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--detail</v>
      </c>
      <c r="S3195" t="s">
        <v>10237</v>
      </c>
      <c r="U31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5" s="29"/>
      <c r="AC3195" s="25"/>
      <c r="AD3195" s="41"/>
      <c r="AE3195" s="41"/>
      <c r="AF3195" s="11"/>
      <c r="AH3195" s="1" t="str">
        <f>Table1[[#This Row],[html_tag]]&amp;Table1[[#This Row],[html_type]]&amp;Table1[[#This Row],[html_modifier]]</f>
        <v/>
      </c>
      <c r="AL3195" s="22" t="str">
        <f>IFERROR(_xlfn.XLOOKUP(Table1[[#This Row],[word]],Table57[English style name],Table57[Style type]),"")</f>
        <v/>
      </c>
      <c r="AM3195" s="20"/>
      <c r="AN3195" s="11"/>
      <c r="AQ3195" s="6" t="s">
        <v>2834</v>
      </c>
      <c r="AR3195" t="s">
        <v>2831</v>
      </c>
    </row>
    <row r="3196" spans="1:47">
      <c r="E3196" s="11"/>
      <c r="F31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6" s="13" t="s">
        <v>337</v>
      </c>
      <c r="H3196" s="13" t="s">
        <v>2987</v>
      </c>
      <c r="I3196" s="77" t="str">
        <f>Table1[[#This Row],[type]]</f>
        <v>timestamp</v>
      </c>
      <c r="J3196" s="62" t="str">
        <f>Table1[[#This Row],[Column42]]&amp;IF(Table1[[#This Row],[Column13]]="","",Table1[[#This Row],[Column13]])&amp;IF(Table1[[#This Row],[mod]]="","",Table1[[#This Row],[mod]])</f>
        <v>timestamp--elevate</v>
      </c>
      <c r="K31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6" t="s">
        <v>2830</v>
      </c>
      <c r="Q31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--elevate</v>
      </c>
      <c r="S3196" t="s">
        <v>10238</v>
      </c>
      <c r="U31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6" s="29"/>
      <c r="AC3196" s="25"/>
      <c r="AD3196" s="41"/>
      <c r="AE3196" s="41"/>
      <c r="AF3196" s="11"/>
      <c r="AH3196" s="1" t="str">
        <f>Table1[[#This Row],[html_tag]]&amp;Table1[[#This Row],[html_type]]&amp;Table1[[#This Row],[html_modifier]]</f>
        <v/>
      </c>
      <c r="AL3196" s="22" t="str">
        <f>IFERROR(_xlfn.XLOOKUP(Table1[[#This Row],[word]],Table57[English style name],Table57[Style type]),"")</f>
        <v/>
      </c>
      <c r="AM3196" s="20"/>
      <c r="AN3196" s="11"/>
      <c r="AQ3196" s="6" t="s">
        <v>2835</v>
      </c>
      <c r="AR3196" t="s">
        <v>2831</v>
      </c>
    </row>
    <row r="3197" spans="1:47">
      <c r="E3197" s="11"/>
      <c r="F31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7" s="13" t="s">
        <v>337</v>
      </c>
      <c r="H3197" s="13" t="s">
        <v>2987</v>
      </c>
      <c r="I3197" s="77" t="str">
        <f>Table1[[#This Row],[type]]</f>
        <v>timestamp</v>
      </c>
      <c r="J3197" s="62" t="str">
        <f>Table1[[#This Row],[Column42]]&amp;IF(Table1[[#This Row],[Column13]]="","",Table1[[#This Row],[Column13]])&amp;IF(Table1[[#This Row],[mod]]="","",Table1[[#This Row],[mod]])</f>
        <v>timestamp--expand--button</v>
      </c>
      <c r="K31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7" t="s">
        <v>2830</v>
      </c>
      <c r="Q31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--expand--button</v>
      </c>
      <c r="S3197" t="s">
        <v>10239</v>
      </c>
      <c r="T3197" t="s">
        <v>414</v>
      </c>
      <c r="U31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7" s="29"/>
      <c r="AC3197" s="25"/>
      <c r="AD3197" s="41"/>
      <c r="AE3197" s="41"/>
      <c r="AF3197" s="11"/>
      <c r="AH3197" s="1" t="str">
        <f>Table1[[#This Row],[html_tag]]&amp;Table1[[#This Row],[html_type]]&amp;Table1[[#This Row],[html_modifier]]</f>
        <v/>
      </c>
      <c r="AL3197" s="22" t="str">
        <f>IFERROR(_xlfn.XLOOKUP(Table1[[#This Row],[word]],Table57[English style name],Table57[Style type]),"")</f>
        <v/>
      </c>
      <c r="AM3197" s="20"/>
      <c r="AN3197" s="11"/>
      <c r="AQ3197" s="6" t="s">
        <v>2836</v>
      </c>
      <c r="AR3197" t="s">
        <v>2831</v>
      </c>
    </row>
    <row r="3198" spans="1:47">
      <c r="E3198" s="11"/>
      <c r="F31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8" s="13" t="s">
        <v>337</v>
      </c>
      <c r="H3198" s="13" t="s">
        <v>2987</v>
      </c>
      <c r="I3198" s="77" t="str">
        <f>Table1[[#This Row],[type]]</f>
        <v>timestamp</v>
      </c>
      <c r="J3198" s="62" t="str">
        <f>Table1[[#This Row],[Column42]]&amp;IF(Table1[[#This Row],[Column13]]="","",Table1[[#This Row],[Column13]])&amp;IF(Table1[[#This Row],[mod]]="","",Table1[[#This Row],[mod]])</f>
        <v>timestamp--hover</v>
      </c>
      <c r="K31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8" t="s">
        <v>2830</v>
      </c>
      <c r="Q31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3198" t="s">
        <v>3019</v>
      </c>
      <c r="AB3198" s="29"/>
      <c r="AC3198" s="25"/>
      <c r="AD3198" s="41"/>
      <c r="AE3198" s="41"/>
      <c r="AF3198" s="11"/>
      <c r="AH3198" s="1" t="str">
        <f>Table1[[#This Row],[html_tag]]&amp;Table1[[#This Row],[html_type]]&amp;Table1[[#This Row],[html_modifier]]</f>
        <v/>
      </c>
      <c r="AL3198" s="22" t="str">
        <f>IFERROR(_xlfn.XLOOKUP(Table1[[#This Row],[word]],Table57[English style name],Table57[Style type]),"")</f>
        <v/>
      </c>
      <c r="AM3198" s="20"/>
      <c r="AN3198" s="11"/>
      <c r="AQ3198" s="6" t="s">
        <v>2837</v>
      </c>
      <c r="AR3198" t="s">
        <v>2831</v>
      </c>
    </row>
    <row r="3199" spans="1:47">
      <c r="E3199" s="11"/>
      <c r="F31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199" s="13" t="s">
        <v>337</v>
      </c>
      <c r="H3199" s="13" t="s">
        <v>2987</v>
      </c>
      <c r="I3199" s="12" t="str">
        <f>Table1[[#This Row],[type]]</f>
        <v>toast</v>
      </c>
      <c r="J3199" s="62" t="str">
        <f>Table1[[#This Row],[Column42]]&amp;IF(Table1[[#This Row],[Column13]]="","",Table1[[#This Row],[Column13]])&amp;IF(Table1[[#This Row],[mod]]="","",Table1[[#This Row],[mod]])</f>
        <v>toast__body</v>
      </c>
      <c r="K31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toast__body</v>
      </c>
      <c r="L3199" t="s">
        <v>3143</v>
      </c>
      <c r="O3199" t="s">
        <v>337</v>
      </c>
      <c r="Q31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9" s="29"/>
      <c r="AC3199" s="25" t="s">
        <v>3622</v>
      </c>
      <c r="AD3199" s="41"/>
      <c r="AE3199" s="41"/>
      <c r="AF3199" s="11" t="s">
        <v>166</v>
      </c>
      <c r="AH3199" s="1" t="str">
        <f>Table1[[#This Row],[html_tag]]&amp;Table1[[#This Row],[html_type]]&amp;Table1[[#This Row],[html_modifier]]</f>
        <v/>
      </c>
      <c r="AL3199" s="22" t="str">
        <f>IFERROR(_xlfn.XLOOKUP(Table1[[#This Row],[word]],Table57[English style name],Table57[Style type]),"")</f>
        <v/>
      </c>
      <c r="AM3199" s="20"/>
      <c r="AN3199" s="11"/>
      <c r="AQ3199" s="6" t="s">
        <v>2841</v>
      </c>
      <c r="AR3199" t="s">
        <v>2839</v>
      </c>
    </row>
    <row r="3200" spans="1:47">
      <c r="E3200" s="11"/>
      <c r="F32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0" s="13" t="s">
        <v>337</v>
      </c>
      <c r="H3200" s="13" t="s">
        <v>2987</v>
      </c>
      <c r="I3200" s="12" t="str">
        <f>Table1[[#This Row],[type]]</f>
        <v>toast</v>
      </c>
      <c r="J3200" s="62" t="str">
        <f>Table1[[#This Row],[Column42]]&amp;IF(Table1[[#This Row],[Column13]]="","",Table1[[#This Row],[Column13]])&amp;IF(Table1[[#This Row],[mod]]="","",Table1[[#This Row],[mod]])</f>
        <v>toast__container--bottom_center</v>
      </c>
      <c r="K32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0" t="s">
        <v>3143</v>
      </c>
      <c r="M3200" t="s">
        <v>3445</v>
      </c>
      <c r="Q32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--bottom_center</v>
      </c>
      <c r="Y3200" t="s">
        <v>3187</v>
      </c>
      <c r="AB3200" s="29"/>
      <c r="AC3200" s="25"/>
      <c r="AD3200" s="41"/>
      <c r="AE3200" s="41"/>
      <c r="AF3200" s="11" t="s">
        <v>166</v>
      </c>
      <c r="AH3200" s="1" t="str">
        <f>Table1[[#This Row],[html_tag]]&amp;Table1[[#This Row],[html_type]]&amp;Table1[[#This Row],[html_modifier]]</f>
        <v/>
      </c>
      <c r="AL3200" s="22" t="str">
        <f>IFERROR(_xlfn.XLOOKUP(Table1[[#This Row],[word]],Table57[English style name],Table57[Style type]),"")</f>
        <v/>
      </c>
      <c r="AM3200" s="20"/>
      <c r="AN3200" s="11"/>
      <c r="AQ3200" s="6" t="s">
        <v>2859</v>
      </c>
      <c r="AR3200" t="s">
        <v>2839</v>
      </c>
    </row>
    <row r="3201" spans="5:44">
      <c r="E3201" s="11"/>
      <c r="F32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1" s="13" t="s">
        <v>337</v>
      </c>
      <c r="H3201" s="13" t="s">
        <v>2987</v>
      </c>
      <c r="I3201" s="12" t="str">
        <f>Table1[[#This Row],[type]]</f>
        <v>toast</v>
      </c>
      <c r="J3201" s="62" t="str">
        <f>Table1[[#This Row],[Column42]]&amp;IF(Table1[[#This Row],[Column13]]="","",Table1[[#This Row],[Column13]])&amp;IF(Table1[[#This Row],[mod]]="","",Table1[[#This Row],[mod]])</f>
        <v>toast__container--bottom_left</v>
      </c>
      <c r="K32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1" t="s">
        <v>3143</v>
      </c>
      <c r="M3201" t="s">
        <v>3445</v>
      </c>
      <c r="Q32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--bottom_left</v>
      </c>
      <c r="Y3201" s="3" t="s">
        <v>3188</v>
      </c>
      <c r="AB3201" s="29"/>
      <c r="AC3201" s="25"/>
      <c r="AD3201" s="41"/>
      <c r="AE3201" s="41"/>
      <c r="AF3201" s="11" t="s">
        <v>166</v>
      </c>
      <c r="AH3201" s="1" t="str">
        <f>Table1[[#This Row],[html_tag]]&amp;Table1[[#This Row],[html_type]]&amp;Table1[[#This Row],[html_modifier]]</f>
        <v/>
      </c>
      <c r="AL3201" s="22" t="str">
        <f>IFERROR(_xlfn.XLOOKUP(Table1[[#This Row],[word]],Table57[English style name],Table57[Style type]),"")</f>
        <v/>
      </c>
      <c r="AM3201" s="20"/>
      <c r="AN3201" s="11"/>
      <c r="AQ3201" s="6" t="s">
        <v>2861</v>
      </c>
      <c r="AR3201" t="s">
        <v>2839</v>
      </c>
    </row>
    <row r="3202" spans="5:44">
      <c r="E3202" s="11"/>
      <c r="F32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2" s="13" t="s">
        <v>337</v>
      </c>
      <c r="H3202" s="13" t="s">
        <v>2987</v>
      </c>
      <c r="I3202" s="12" t="str">
        <f>Table1[[#This Row],[type]]</f>
        <v>toast</v>
      </c>
      <c r="J3202" s="62" t="str">
        <f>Table1[[#This Row],[Column42]]&amp;IF(Table1[[#This Row],[Column13]]="","",Table1[[#This Row],[Column13]])&amp;IF(Table1[[#This Row],[mod]]="","",Table1[[#This Row],[mod]])</f>
        <v>toast__container--bottom_right</v>
      </c>
      <c r="K32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2" t="s">
        <v>3143</v>
      </c>
      <c r="M3202" t="s">
        <v>3445</v>
      </c>
      <c r="Q32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--bottom_right</v>
      </c>
      <c r="Y3202" t="s">
        <v>3189</v>
      </c>
      <c r="AB3202" s="29"/>
      <c r="AC3202" s="25"/>
      <c r="AD3202" s="41"/>
      <c r="AE3202" s="41"/>
      <c r="AF3202" s="11" t="s">
        <v>166</v>
      </c>
      <c r="AH3202" s="1" t="str">
        <f>Table1[[#This Row],[html_tag]]&amp;Table1[[#This Row],[html_type]]&amp;Table1[[#This Row],[html_modifier]]</f>
        <v/>
      </c>
      <c r="AL3202" s="22" t="str">
        <f>IFERROR(_xlfn.XLOOKUP(Table1[[#This Row],[word]],Table57[English style name],Table57[Style type]),"")</f>
        <v/>
      </c>
      <c r="AM3202" s="20"/>
      <c r="AN3202" s="11"/>
      <c r="AQ3202" s="6" t="s">
        <v>2860</v>
      </c>
      <c r="AR3202" t="s">
        <v>2839</v>
      </c>
    </row>
    <row r="3203" spans="5:44">
      <c r="E3203" s="11"/>
      <c r="F32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3" s="13" t="s">
        <v>337</v>
      </c>
      <c r="H3203" s="13" t="s">
        <v>2987</v>
      </c>
      <c r="I3203" s="12" t="str">
        <f>Table1[[#This Row],[type]]</f>
        <v>toast</v>
      </c>
      <c r="J3203" s="62" t="str">
        <f>Table1[[#This Row],[Column42]]&amp;IF(Table1[[#This Row],[Column13]]="","",Table1[[#This Row],[Column13]])&amp;IF(Table1[[#This Row],[mod]]="","",Table1[[#This Row],[mod]])</f>
        <v>toast__container--container</v>
      </c>
      <c r="K32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3" t="s">
        <v>3143</v>
      </c>
      <c r="M3203" t="s">
        <v>3445</v>
      </c>
      <c r="Q32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203" t="s">
        <v>3445</v>
      </c>
      <c r="AB3203" s="29"/>
      <c r="AC3203" s="25"/>
      <c r="AD3203" s="41"/>
      <c r="AE3203" s="41"/>
      <c r="AF3203" s="11" t="s">
        <v>166</v>
      </c>
      <c r="AH3203" s="1" t="str">
        <f>Table1[[#This Row],[html_tag]]&amp;Table1[[#This Row],[html_type]]&amp;Table1[[#This Row],[html_modifier]]</f>
        <v/>
      </c>
      <c r="AL3203" s="22" t="str">
        <f>IFERROR(_xlfn.XLOOKUP(Table1[[#This Row],[word]],Table57[English style name],Table57[Style type]),"")</f>
        <v/>
      </c>
      <c r="AM3203" s="20"/>
      <c r="AN3203" s="11"/>
      <c r="AQ3203" s="6" t="s">
        <v>2843</v>
      </c>
      <c r="AR3203" t="s">
        <v>2839</v>
      </c>
    </row>
    <row r="3204" spans="5:44">
      <c r="E3204" s="11"/>
      <c r="F32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4" s="13" t="s">
        <v>337</v>
      </c>
      <c r="H3204" s="13" t="s">
        <v>2987</v>
      </c>
      <c r="I3204" s="12" t="str">
        <f>Table1[[#This Row],[type]]</f>
        <v>toast</v>
      </c>
      <c r="J3204" s="62" t="str">
        <f>Table1[[#This Row],[Column42]]&amp;IF(Table1[[#This Row],[Column13]]="","",Table1[[#This Row],[Column13]])&amp;IF(Table1[[#This Row],[mod]]="","",Table1[[#This Row],[mod]])</f>
        <v>toast__container--middle_center</v>
      </c>
      <c r="K32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4" t="s">
        <v>3143</v>
      </c>
      <c r="M3204" t="s">
        <v>3445</v>
      </c>
      <c r="Q32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--middle_center</v>
      </c>
      <c r="Y3204" t="s">
        <v>3191</v>
      </c>
      <c r="AB3204" s="29"/>
      <c r="AC3204" s="25"/>
      <c r="AD3204" s="41"/>
      <c r="AE3204" s="41"/>
      <c r="AF3204" s="11" t="s">
        <v>166</v>
      </c>
      <c r="AH3204" s="1" t="str">
        <f>Table1[[#This Row],[html_tag]]&amp;Table1[[#This Row],[html_type]]&amp;Table1[[#This Row],[html_modifier]]</f>
        <v/>
      </c>
      <c r="AL3204" s="22" t="str">
        <f>IFERROR(_xlfn.XLOOKUP(Table1[[#This Row],[word]],Table57[English style name],Table57[Style type]),"")</f>
        <v/>
      </c>
      <c r="AM3204" s="20"/>
      <c r="AN3204" s="11"/>
      <c r="AQ3204" s="6" t="s">
        <v>2862</v>
      </c>
      <c r="AR3204" t="s">
        <v>2839</v>
      </c>
    </row>
    <row r="3205" spans="5:44">
      <c r="E3205" s="11"/>
      <c r="F32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5" s="13" t="s">
        <v>337</v>
      </c>
      <c r="H3205" s="13" t="s">
        <v>2987</v>
      </c>
      <c r="I3205" s="12" t="str">
        <f>Table1[[#This Row],[type]]</f>
        <v>toast</v>
      </c>
      <c r="J3205" s="62" t="str">
        <f>Table1[[#This Row],[Column42]]&amp;IF(Table1[[#This Row],[Column13]]="","",Table1[[#This Row],[Column13]])&amp;IF(Table1[[#This Row],[mod]]="","",Table1[[#This Row],[mod]])</f>
        <v>toast__container--middle_left</v>
      </c>
      <c r="K32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5" t="s">
        <v>3143</v>
      </c>
      <c r="M3205" t="s">
        <v>3445</v>
      </c>
      <c r="Q32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--middle_left</v>
      </c>
      <c r="Y3205" t="s">
        <v>3190</v>
      </c>
      <c r="AB3205" s="29"/>
      <c r="AC3205" s="25"/>
      <c r="AD3205" s="41"/>
      <c r="AE3205" s="41"/>
      <c r="AF3205" s="11" t="s">
        <v>166</v>
      </c>
      <c r="AH3205" s="1" t="str">
        <f>Table1[[#This Row],[html_tag]]&amp;Table1[[#This Row],[html_type]]&amp;Table1[[#This Row],[html_modifier]]</f>
        <v/>
      </c>
      <c r="AL3205" s="22" t="str">
        <f>IFERROR(_xlfn.XLOOKUP(Table1[[#This Row],[word]],Table57[English style name],Table57[Style type]),"")</f>
        <v/>
      </c>
      <c r="AM3205" s="20"/>
      <c r="AN3205" s="11"/>
      <c r="AQ3205" s="6" t="s">
        <v>2864</v>
      </c>
      <c r="AR3205" t="s">
        <v>2839</v>
      </c>
    </row>
    <row r="3206" spans="5:44">
      <c r="E3206" s="11"/>
      <c r="F32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6" s="13" t="s">
        <v>337</v>
      </c>
      <c r="H3206" s="13" t="s">
        <v>2987</v>
      </c>
      <c r="I3206" s="12" t="str">
        <f>Table1[[#This Row],[type]]</f>
        <v>toast</v>
      </c>
      <c r="J3206" s="62" t="str">
        <f>Table1[[#This Row],[Column42]]&amp;IF(Table1[[#This Row],[Column13]]="","",Table1[[#This Row],[Column13]])&amp;IF(Table1[[#This Row],[mod]]="","",Table1[[#This Row],[mod]])</f>
        <v>toast__container--middle_right</v>
      </c>
      <c r="K32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6" t="s">
        <v>3143</v>
      </c>
      <c r="M3206" t="s">
        <v>3445</v>
      </c>
      <c r="Q32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--middle_right</v>
      </c>
      <c r="Y3206" t="s">
        <v>3192</v>
      </c>
      <c r="AB3206" s="29"/>
      <c r="AC3206" s="25"/>
      <c r="AD3206" s="41"/>
      <c r="AE3206" s="41"/>
      <c r="AF3206" s="11" t="s">
        <v>166</v>
      </c>
      <c r="AH3206" s="1" t="str">
        <f>Table1[[#This Row],[html_tag]]&amp;Table1[[#This Row],[html_type]]&amp;Table1[[#This Row],[html_modifier]]</f>
        <v/>
      </c>
      <c r="AL3206" s="22" t="str">
        <f>IFERROR(_xlfn.XLOOKUP(Table1[[#This Row],[word]],Table57[English style name],Table57[Style type]),"")</f>
        <v/>
      </c>
      <c r="AM3206" s="20"/>
      <c r="AN3206" s="11"/>
      <c r="AQ3206" s="6" t="s">
        <v>2863</v>
      </c>
      <c r="AR3206" t="s">
        <v>2839</v>
      </c>
    </row>
    <row r="3207" spans="5:44">
      <c r="E3207" s="11"/>
      <c r="F32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7" s="13" t="s">
        <v>337</v>
      </c>
      <c r="H3207" s="13" t="s">
        <v>2987</v>
      </c>
      <c r="I3207" s="12" t="str">
        <f>Table1[[#This Row],[type]]</f>
        <v>toast</v>
      </c>
      <c r="J3207" s="62" t="str">
        <f>Table1[[#This Row],[Column42]]&amp;IF(Table1[[#This Row],[Column13]]="","",Table1[[#This Row],[Column13]])&amp;IF(Table1[[#This Row],[mod]]="","",Table1[[#This Row],[mod]])</f>
        <v>toast__container--placement--container</v>
      </c>
      <c r="K32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7" t="s">
        <v>3143</v>
      </c>
      <c r="M3207" t="s">
        <v>3445</v>
      </c>
      <c r="Q32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--placement</v>
      </c>
      <c r="S3207" t="s">
        <v>3625</v>
      </c>
      <c r="U32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207" t="s">
        <v>3445</v>
      </c>
      <c r="AB3207" s="29"/>
      <c r="AC3207" s="25"/>
      <c r="AD3207" s="41"/>
      <c r="AE3207" s="41"/>
      <c r="AF3207" s="11" t="s">
        <v>166</v>
      </c>
      <c r="AH3207" s="1" t="str">
        <f>Table1[[#This Row],[html_tag]]&amp;Table1[[#This Row],[html_type]]&amp;Table1[[#This Row],[html_modifier]]</f>
        <v/>
      </c>
      <c r="AL3207" s="22" t="str">
        <f>IFERROR(_xlfn.XLOOKUP(Table1[[#This Row],[word]],Table57[English style name],Table57[Style type]),"")</f>
        <v/>
      </c>
      <c r="AM3207" s="20"/>
      <c r="AN3207" s="11"/>
      <c r="AQ3207" s="6" t="s">
        <v>2844</v>
      </c>
      <c r="AR3207" t="s">
        <v>2839</v>
      </c>
    </row>
    <row r="3208" spans="5:44">
      <c r="E3208" s="11"/>
      <c r="F32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8" s="13" t="s">
        <v>337</v>
      </c>
      <c r="H3208" s="13" t="s">
        <v>2987</v>
      </c>
      <c r="I3208" s="12" t="str">
        <f>Table1[[#This Row],[type]]</f>
        <v>toast</v>
      </c>
      <c r="J3208" s="62" t="str">
        <f>Table1[[#This Row],[Column42]]&amp;IF(Table1[[#This Row],[Column13]]="","",Table1[[#This Row],[Column13]])&amp;IF(Table1[[#This Row],[mod]]="","",Table1[[#This Row],[mod]])</f>
        <v>toast__container--top_center</v>
      </c>
      <c r="K32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8" t="s">
        <v>3143</v>
      </c>
      <c r="M3208" t="s">
        <v>3445</v>
      </c>
      <c r="Q32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--top_center</v>
      </c>
      <c r="Y3208" t="s">
        <v>3183</v>
      </c>
      <c r="AB3208" s="29"/>
      <c r="AC3208" s="25"/>
      <c r="AD3208" s="41"/>
      <c r="AE3208" s="41"/>
      <c r="AF3208" s="11" t="s">
        <v>166</v>
      </c>
      <c r="AH3208" s="1" t="str">
        <f>Table1[[#This Row],[html_tag]]&amp;Table1[[#This Row],[html_type]]&amp;Table1[[#This Row],[html_modifier]]</f>
        <v/>
      </c>
      <c r="AL3208" s="22" t="str">
        <f>IFERROR(_xlfn.XLOOKUP(Table1[[#This Row],[word]],Table57[English style name],Table57[Style type]),"")</f>
        <v/>
      </c>
      <c r="AM3208" s="20"/>
      <c r="AN3208" s="11"/>
      <c r="AQ3208" s="6" t="s">
        <v>2865</v>
      </c>
      <c r="AR3208" t="s">
        <v>2839</v>
      </c>
    </row>
    <row r="3209" spans="5:44">
      <c r="E3209" s="11"/>
      <c r="F32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9" s="13" t="s">
        <v>337</v>
      </c>
      <c r="H3209" s="13" t="s">
        <v>2987</v>
      </c>
      <c r="I3209" s="12" t="str">
        <f>Table1[[#This Row],[type]]</f>
        <v>toast</v>
      </c>
      <c r="J3209" s="62" t="str">
        <f>Table1[[#This Row],[Column42]]&amp;IF(Table1[[#This Row],[Column13]]="","",Table1[[#This Row],[Column13]])&amp;IF(Table1[[#This Row],[mod]]="","",Table1[[#This Row],[mod]])</f>
        <v>toast__container--top_left</v>
      </c>
      <c r="K32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9" t="s">
        <v>3143</v>
      </c>
      <c r="M3209" t="s">
        <v>3445</v>
      </c>
      <c r="Q32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--top_left</v>
      </c>
      <c r="Y3209" t="s">
        <v>3184</v>
      </c>
      <c r="AB3209" s="29"/>
      <c r="AC3209" s="25"/>
      <c r="AD3209" s="41"/>
      <c r="AE3209" s="41"/>
      <c r="AF3209" s="11" t="s">
        <v>166</v>
      </c>
      <c r="AH3209" s="1" t="str">
        <f>Table1[[#This Row],[html_tag]]&amp;Table1[[#This Row],[html_type]]&amp;Table1[[#This Row],[html_modifier]]</f>
        <v/>
      </c>
      <c r="AL3209" s="22" t="str">
        <f>IFERROR(_xlfn.XLOOKUP(Table1[[#This Row],[word]],Table57[English style name],Table57[Style type]),"")</f>
        <v/>
      </c>
      <c r="AM3209" s="20"/>
      <c r="AN3209" s="11"/>
      <c r="AQ3209" s="6" t="s">
        <v>2866</v>
      </c>
      <c r="AR3209" t="s">
        <v>2839</v>
      </c>
    </row>
    <row r="3210" spans="5:44">
      <c r="E3210" s="11"/>
      <c r="F32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0" s="13" t="s">
        <v>337</v>
      </c>
      <c r="H3210" s="13" t="s">
        <v>2987</v>
      </c>
      <c r="I3210" s="12" t="str">
        <f>Table1[[#This Row],[type]]</f>
        <v>toast</v>
      </c>
      <c r="J3210" s="62" t="str">
        <f>Table1[[#This Row],[Column42]]&amp;IF(Table1[[#This Row],[Column13]]="","",Table1[[#This Row],[Column13]])&amp;IF(Table1[[#This Row],[mod]]="","",Table1[[#This Row],[mod]])</f>
        <v>toast__container--top_right</v>
      </c>
      <c r="K32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10" t="s">
        <v>3143</v>
      </c>
      <c r="M3210" t="s">
        <v>3445</v>
      </c>
      <c r="Q32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--top_right</v>
      </c>
      <c r="Y3210" t="s">
        <v>3185</v>
      </c>
      <c r="AB3210" s="29"/>
      <c r="AC3210" s="25"/>
      <c r="AD3210" s="41"/>
      <c r="AE3210" s="41"/>
      <c r="AF3210" s="11" t="s">
        <v>166</v>
      </c>
      <c r="AH3210" s="1" t="str">
        <f>Table1[[#This Row],[html_tag]]&amp;Table1[[#This Row],[html_type]]&amp;Table1[[#This Row],[html_modifier]]</f>
        <v/>
      </c>
      <c r="AL3210" s="22" t="str">
        <f>IFERROR(_xlfn.XLOOKUP(Table1[[#This Row],[word]],Table57[English style name],Table57[Style type]),"")</f>
        <v/>
      </c>
      <c r="AM3210" s="20"/>
      <c r="AN3210" s="11"/>
      <c r="AQ3210" s="6" t="s">
        <v>2867</v>
      </c>
      <c r="AR3210" t="s">
        <v>2839</v>
      </c>
    </row>
    <row r="3211" spans="5:44">
      <c r="E3211" s="11"/>
      <c r="F32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1" s="13" t="s">
        <v>337</v>
      </c>
      <c r="H3211" s="13" t="s">
        <v>2987</v>
      </c>
      <c r="I3211" s="12" t="str">
        <f>Table1[[#This Row],[type]]</f>
        <v>toast</v>
      </c>
      <c r="J3211" s="62" t="str">
        <f>Table1[[#This Row],[Column42]]&amp;IF(Table1[[#This Row],[Column13]]="","",Table1[[#This Row],[Column13]])&amp;IF(Table1[[#This Row],[mod]]="","",Table1[[#This Row],[mod]])</f>
        <v>toast__header</v>
      </c>
      <c r="K32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toast__header</v>
      </c>
      <c r="L3211" t="s">
        <v>3143</v>
      </c>
      <c r="O3211" t="s">
        <v>465</v>
      </c>
      <c r="Q32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11" s="29"/>
      <c r="AC3211" s="25" t="s">
        <v>3623</v>
      </c>
      <c r="AD3211" s="41"/>
      <c r="AE3211" s="41"/>
      <c r="AF3211" s="11" t="s">
        <v>166</v>
      </c>
      <c r="AH3211" s="1" t="str">
        <f>Table1[[#This Row],[html_tag]]&amp;Table1[[#This Row],[html_type]]&amp;Table1[[#This Row],[html_modifier]]</f>
        <v/>
      </c>
      <c r="AL3211" s="22" t="str">
        <f>IFERROR(_xlfn.XLOOKUP(Table1[[#This Row],[word]],Table57[English style name],Table57[Style type]),"")</f>
        <v/>
      </c>
      <c r="AM3211" s="20"/>
      <c r="AN3211" s="11"/>
      <c r="AQ3211" s="6" t="s">
        <v>2849</v>
      </c>
      <c r="AR3211" t="s">
        <v>2839</v>
      </c>
    </row>
    <row r="3212" spans="5:44">
      <c r="E3212" s="11"/>
      <c r="F32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2" s="13" t="s">
        <v>337</v>
      </c>
      <c r="H3212" s="13" t="s">
        <v>2987</v>
      </c>
      <c r="I3212" s="12" t="str">
        <f>Table1[[#This Row],[type]]</f>
        <v>toast</v>
      </c>
      <c r="J3212" s="62" t="str">
        <f>Table1[[#This Row],[Column42]]&amp;IF(Table1[[#This Row],[Column13]]="","",Table1[[#This Row],[Column13]])&amp;IF(Table1[[#This Row],[mod]]="","",Table1[[#This Row],[mod]])</f>
        <v>toast__icon</v>
      </c>
      <c r="K32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toast__icon</v>
      </c>
      <c r="L3212" t="s">
        <v>3143</v>
      </c>
      <c r="O3212" t="s">
        <v>3101</v>
      </c>
      <c r="Q32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12" s="29"/>
      <c r="AC3212" s="25"/>
      <c r="AD3212" s="41"/>
      <c r="AE3212" s="41"/>
      <c r="AF3212" s="11" t="s">
        <v>166</v>
      </c>
      <c r="AH3212" s="1" t="str">
        <f>Table1[[#This Row],[html_tag]]&amp;Table1[[#This Row],[html_type]]&amp;Table1[[#This Row],[html_modifier]]</f>
        <v/>
      </c>
      <c r="AL3212" s="22" t="str">
        <f>IFERROR(_xlfn.XLOOKUP(Table1[[#This Row],[word]],Table57[English style name],Table57[Style type]),"")</f>
        <v/>
      </c>
      <c r="AM3212" s="20"/>
      <c r="AN3212" s="11"/>
      <c r="AQ3212" s="6" t="s">
        <v>2858</v>
      </c>
      <c r="AR3212" t="s">
        <v>2839</v>
      </c>
    </row>
    <row r="3213" spans="5:44">
      <c r="E3213" s="11"/>
      <c r="F32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3" s="13" t="s">
        <v>337</v>
      </c>
      <c r="H3213" s="13" t="s">
        <v>2987</v>
      </c>
      <c r="I3213" s="12" t="str">
        <f>Table1[[#This Row],[type]]</f>
        <v>toast</v>
      </c>
      <c r="J3213" s="62" t="str">
        <f>Table1[[#This Row],[Column42]]&amp;IF(Table1[[#This Row],[Column13]]="","",Table1[[#This Row],[Column13]])&amp;IF(Table1[[#This Row],[mod]]="","",Table1[[#This Row],[mod]])</f>
        <v>toast__slide--right</v>
      </c>
      <c r="K32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toast__slide</v>
      </c>
      <c r="L3213" t="s">
        <v>3143</v>
      </c>
      <c r="M3213" t="s">
        <v>3624</v>
      </c>
      <c r="Q32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213" t="s">
        <v>617</v>
      </c>
      <c r="AB3213" s="29"/>
      <c r="AC3213" s="25"/>
      <c r="AD3213" s="41"/>
      <c r="AE3213" s="41"/>
      <c r="AF3213" s="11" t="s">
        <v>166</v>
      </c>
      <c r="AH3213" s="1" t="str">
        <f>Table1[[#This Row],[html_tag]]&amp;Table1[[#This Row],[html_type]]&amp;Table1[[#This Row],[html_modifier]]</f>
        <v/>
      </c>
      <c r="AL3213" s="22" t="str">
        <f>IFERROR(_xlfn.XLOOKUP(Table1[[#This Row],[word]],Table57[English style name],Table57[Style type]),"")</f>
        <v/>
      </c>
      <c r="AM3213" s="20"/>
      <c r="AN3213" s="11"/>
      <c r="AQ3213" s="6" t="s">
        <v>2852</v>
      </c>
      <c r="AR3213" t="s">
        <v>2839</v>
      </c>
    </row>
    <row r="3214" spans="5:44">
      <c r="E3214" s="11"/>
      <c r="F32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4" s="13" t="s">
        <v>337</v>
      </c>
      <c r="H3214" s="13" t="s">
        <v>2987</v>
      </c>
      <c r="I3214" s="12" t="str">
        <f>Table1[[#This Row],[type]]</f>
        <v>toast</v>
      </c>
      <c r="J3214" s="62" t="str">
        <f>Table1[[#This Row],[Column42]]&amp;IF(Table1[[#This Row],[Column13]]="","",Table1[[#This Row],[Column13]])&amp;IF(Table1[[#This Row],[mod]]="","",Table1[[#This Row],[mod]])</f>
        <v>toast__slide--top</v>
      </c>
      <c r="K32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toast__slide</v>
      </c>
      <c r="L3214" t="s">
        <v>3143</v>
      </c>
      <c r="M3214" t="s">
        <v>3624</v>
      </c>
      <c r="Q32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214" t="s">
        <v>3182</v>
      </c>
      <c r="AB3214" s="29"/>
      <c r="AC3214" s="25"/>
      <c r="AD3214" s="41" t="s">
        <v>6567</v>
      </c>
      <c r="AE3214" s="41"/>
      <c r="AF3214" s="11" t="s">
        <v>166</v>
      </c>
      <c r="AH3214" s="1" t="str">
        <f>Table1[[#This Row],[html_tag]]&amp;Table1[[#This Row],[html_type]]&amp;Table1[[#This Row],[html_modifier]]</f>
        <v/>
      </c>
      <c r="AL3214" s="22" t="str">
        <f>IFERROR(_xlfn.XLOOKUP(Table1[[#This Row],[word]],Table57[English style name],Table57[Style type]),"")</f>
        <v/>
      </c>
      <c r="AM3214" s="20"/>
      <c r="AN3214" s="11"/>
      <c r="AQ3214" s="6" t="s">
        <v>2853</v>
      </c>
      <c r="AR3214" t="s">
        <v>2839</v>
      </c>
    </row>
    <row r="3215" spans="5:44">
      <c r="E3215" s="11"/>
      <c r="F32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5" s="13" t="s">
        <v>337</v>
      </c>
      <c r="H3215" s="13" t="s">
        <v>2987</v>
      </c>
      <c r="I3215" s="12" t="str">
        <f>Table1[[#This Row],[type]]</f>
        <v>toast</v>
      </c>
      <c r="J3215" s="62" t="str">
        <f>Table1[[#This Row],[Column42]]&amp;IF(Table1[[#This Row],[Column13]]="","",Table1[[#This Row],[Column13]])&amp;IF(Table1[[#This Row],[mod]]="","",Table1[[#This Row],[mod]])</f>
        <v>toast--action</v>
      </c>
      <c r="K32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15" t="s">
        <v>3143</v>
      </c>
      <c r="Q32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--action</v>
      </c>
      <c r="S3215" t="s">
        <v>10124</v>
      </c>
      <c r="U32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15" s="29"/>
      <c r="AC3215" s="25"/>
      <c r="AD3215" s="41"/>
      <c r="AE3215" s="41"/>
      <c r="AF3215" s="11" t="s">
        <v>166</v>
      </c>
      <c r="AH3215" s="1" t="str">
        <f>Table1[[#This Row],[html_tag]]&amp;Table1[[#This Row],[html_type]]&amp;Table1[[#This Row],[html_modifier]]</f>
        <v/>
      </c>
      <c r="AL3215" s="22" t="str">
        <f>IFERROR(_xlfn.XLOOKUP(Table1[[#This Row],[word]],Table57[English style name],Table57[Style type]),"")</f>
        <v/>
      </c>
      <c r="AM3215" s="20"/>
      <c r="AN3215" s="11"/>
      <c r="AQ3215" s="6" t="s">
        <v>2838</v>
      </c>
      <c r="AR3215" t="s">
        <v>2839</v>
      </c>
    </row>
    <row r="3216" spans="5:44">
      <c r="E3216" s="11"/>
      <c r="F32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6" s="13" t="s">
        <v>337</v>
      </c>
      <c r="H3216" s="13" t="s">
        <v>2987</v>
      </c>
      <c r="I3216" s="12" t="str">
        <f>Table1[[#This Row],[type]]</f>
        <v>toast</v>
      </c>
      <c r="J3216" s="62" t="str">
        <f>Table1[[#This Row],[Column42]]&amp;IF(Table1[[#This Row],[Column13]]="","",Table1[[#This Row],[Column13]])&amp;IF(Table1[[#This Row],[mod]]="","",Table1[[#This Row],[mod]])</f>
        <v>toast--base</v>
      </c>
      <c r="K32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16" t="s">
        <v>3143</v>
      </c>
      <c r="Q32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216" t="s">
        <v>338</v>
      </c>
      <c r="AB3216" s="29"/>
      <c r="AC3216" s="25" t="s">
        <v>3564</v>
      </c>
      <c r="AD3216" s="41" t="s">
        <v>3564</v>
      </c>
      <c r="AE3216" s="41"/>
      <c r="AF3216" s="11" t="s">
        <v>166</v>
      </c>
      <c r="AH3216" s="1" t="str">
        <f>Table1[[#This Row],[html_tag]]&amp;Table1[[#This Row],[html_type]]&amp;Table1[[#This Row],[html_modifier]]</f>
        <v/>
      </c>
      <c r="AL3216" s="22" t="str">
        <f>IFERROR(_xlfn.XLOOKUP(Table1[[#This Row],[word]],Table57[English style name],Table57[Style type]),"")</f>
        <v/>
      </c>
      <c r="AM3216" s="20"/>
      <c r="AN3216" s="11"/>
      <c r="AQ3216" s="6" t="s">
        <v>2840</v>
      </c>
      <c r="AR3216" t="s">
        <v>2839</v>
      </c>
    </row>
    <row r="3217" spans="5:44">
      <c r="E3217" s="11"/>
      <c r="F32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217" s="13"/>
      <c r="H3217" s="13"/>
      <c r="I3217" s="12" t="str">
        <f>Table1[[#This Row],[type]]</f>
        <v>toast</v>
      </c>
      <c r="J3217" s="62" t="str">
        <f>Table1[[#This Row],[Column42]]&amp;IF(Table1[[#This Row],[Column13]]="","",Table1[[#This Row],[Column13]])&amp;IF(Table1[[#This Row],[mod]]="","",Table1[[#This Row],[mod]])</f>
        <v>toast--bottom</v>
      </c>
      <c r="K32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17" t="s">
        <v>3143</v>
      </c>
      <c r="Q32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217" t="s">
        <v>3186</v>
      </c>
      <c r="AB3217" s="29"/>
      <c r="AC3217" s="25"/>
      <c r="AD3217" s="41" t="s">
        <v>6569</v>
      </c>
      <c r="AE3217" s="41"/>
      <c r="AF3217" s="11" t="s">
        <v>166</v>
      </c>
      <c r="AH3217" s="7" t="str">
        <f>Table1[[#This Row],[html_tag]]&amp;Table1[[#This Row],[html_type]]&amp;Table1[[#This Row],[html_modifier]]</f>
        <v/>
      </c>
      <c r="AL3217" s="23" t="str">
        <f>IFERROR(_xlfn.XLOOKUP(Table1[[#This Row],[word]],Table57[English style name],Table57[Style type]),"")</f>
        <v/>
      </c>
      <c r="AM3217" s="21"/>
      <c r="AN3217" s="11"/>
    </row>
    <row r="3218" spans="5:44">
      <c r="E3218" s="11"/>
      <c r="F32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218" s="13"/>
      <c r="H3218" s="13"/>
      <c r="I3218" s="12" t="str">
        <f>Table1[[#This Row],[type]]</f>
        <v>toast</v>
      </c>
      <c r="J3218" s="62" t="str">
        <f>Table1[[#This Row],[Column42]]&amp;IF(Table1[[#This Row],[Column13]]="","",Table1[[#This Row],[Column13]])&amp;IF(Table1[[#This Row],[mod]]="","",Table1[[#This Row],[mod]])</f>
        <v>toast--center</v>
      </c>
      <c r="K32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18" t="s">
        <v>3143</v>
      </c>
      <c r="Q32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Y3218" t="s">
        <v>425</v>
      </c>
      <c r="AB3218" s="29"/>
      <c r="AC3218" s="25"/>
      <c r="AD3218" s="41" t="s">
        <v>6565</v>
      </c>
      <c r="AE3218" s="41"/>
      <c r="AF3218" s="11" t="s">
        <v>166</v>
      </c>
      <c r="AH3218" s="7" t="str">
        <f>Table1[[#This Row],[html_tag]]&amp;Table1[[#This Row],[html_type]]&amp;Table1[[#This Row],[html_modifier]]</f>
        <v/>
      </c>
      <c r="AL3218" s="23" t="str">
        <f>IFERROR(_xlfn.XLOOKUP(Table1[[#This Row],[word]],Table57[English style name],Table57[Style type]),"")</f>
        <v/>
      </c>
      <c r="AM3218" s="21"/>
      <c r="AN3218" s="11"/>
    </row>
    <row r="3219" spans="5:44">
      <c r="E3219" s="11"/>
      <c r="F32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9" s="13" t="s">
        <v>337</v>
      </c>
      <c r="H3219" s="13" t="s">
        <v>2987</v>
      </c>
      <c r="I3219" s="12" t="str">
        <f>Table1[[#This Row],[type]]</f>
        <v>toast</v>
      </c>
      <c r="J3219" s="62" t="str">
        <f>Table1[[#This Row],[Column42]]&amp;IF(Table1[[#This Row],[Column13]]="","",Table1[[#This Row],[Column13]])&amp;IF(Table1[[#This Row],[mod]]="","",Table1[[#This Row],[mod]])</f>
        <v>toast--close</v>
      </c>
      <c r="K32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19" t="s">
        <v>3143</v>
      </c>
      <c r="Q32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S3219" t="s">
        <v>3590</v>
      </c>
      <c r="U32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19" s="29"/>
      <c r="AC3219" s="25"/>
      <c r="AD3219" s="41"/>
      <c r="AE3219" s="41"/>
      <c r="AF3219" s="11" t="s">
        <v>166</v>
      </c>
      <c r="AH3219" s="1" t="str">
        <f>Table1[[#This Row],[html_tag]]&amp;Table1[[#This Row],[html_type]]&amp;Table1[[#This Row],[html_modifier]]</f>
        <v/>
      </c>
      <c r="AL3219" s="22" t="str">
        <f>IFERROR(_xlfn.XLOOKUP(Table1[[#This Row],[word]],Table57[English style name],Table57[Style type]),"")</f>
        <v/>
      </c>
      <c r="AM3219" s="20"/>
      <c r="AN3219" s="11"/>
      <c r="AQ3219" s="6" t="s">
        <v>2842</v>
      </c>
      <c r="AR3219" t="s">
        <v>2839</v>
      </c>
    </row>
    <row r="3220" spans="5:44">
      <c r="E3220" s="11"/>
      <c r="F32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0" s="13" t="s">
        <v>337</v>
      </c>
      <c r="H3220" s="13" t="s">
        <v>2987</v>
      </c>
      <c r="I3220" s="12" t="str">
        <f>Table1[[#This Row],[type]]</f>
        <v>toast</v>
      </c>
      <c r="J3220" s="62" t="str">
        <f>Table1[[#This Row],[Column42]]&amp;IF(Table1[[#This Row],[Column13]]="","",Table1[[#This Row],[Column13]])&amp;IF(Table1[[#This Row],[mod]]="","",Table1[[#This Row],[mod]])</f>
        <v>toast--container</v>
      </c>
      <c r="K32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0" t="s">
        <v>3143</v>
      </c>
      <c r="Q32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220" t="s">
        <v>3445</v>
      </c>
      <c r="AB3220" s="29"/>
      <c r="AC3220" s="25"/>
      <c r="AD3220" s="41"/>
      <c r="AE3220" s="41"/>
      <c r="AF3220" s="11" t="s">
        <v>166</v>
      </c>
      <c r="AH3220" s="1" t="str">
        <f>Table1[[#This Row],[html_tag]]&amp;Table1[[#This Row],[html_type]]&amp;Table1[[#This Row],[html_modifier]]</f>
        <v/>
      </c>
      <c r="AL3220" s="22" t="str">
        <f>IFERROR(_xlfn.XLOOKUP(Table1[[#This Row],[word]],Table57[English style name],Table57[Style type]),"")</f>
        <v/>
      </c>
      <c r="AM3220" s="20"/>
      <c r="AN3220" s="11"/>
      <c r="AQ3220" s="6" t="s">
        <v>2848</v>
      </c>
      <c r="AR3220" t="s">
        <v>2839</v>
      </c>
    </row>
    <row r="3221" spans="5:44">
      <c r="E3221" s="11"/>
      <c r="F32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1" s="13" t="s">
        <v>337</v>
      </c>
      <c r="H3221" s="13" t="s">
        <v>2987</v>
      </c>
      <c r="I3221" s="12" t="str">
        <f>Table1[[#This Row],[type]]</f>
        <v>toast</v>
      </c>
      <c r="J3221" s="62" t="str">
        <f>Table1[[#This Row],[Column42]]&amp;IF(Table1[[#This Row],[Column13]]="","",Table1[[#This Row],[Column13]])&amp;IF(Table1[[#This Row],[mod]]="","",Table1[[#This Row],[mod]])</f>
        <v>toast--dark</v>
      </c>
      <c r="K32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1" t="s">
        <v>3143</v>
      </c>
      <c r="Q32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221" t="s">
        <v>3501</v>
      </c>
      <c r="AB3221" s="29"/>
      <c r="AC3221" s="25"/>
      <c r="AD3221" s="41"/>
      <c r="AE3221" s="41"/>
      <c r="AF3221" s="11" t="s">
        <v>166</v>
      </c>
      <c r="AH3221" s="1" t="str">
        <f>Table1[[#This Row],[html_tag]]&amp;Table1[[#This Row],[html_type]]&amp;Table1[[#This Row],[html_modifier]]</f>
        <v/>
      </c>
      <c r="AL3221" s="22" t="str">
        <f>IFERROR(_xlfn.XLOOKUP(Table1[[#This Row],[word]],Table57[English style name],Table57[Style type]),"")</f>
        <v/>
      </c>
      <c r="AM3221" s="20"/>
      <c r="AN3221" s="11"/>
      <c r="AQ3221" s="6" t="s">
        <v>2845</v>
      </c>
      <c r="AR3221" t="s">
        <v>2839</v>
      </c>
    </row>
    <row r="3222" spans="5:44">
      <c r="E3222" s="11"/>
      <c r="F32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222" s="13"/>
      <c r="H3222" s="13"/>
      <c r="I3222" s="12" t="str">
        <f>Table1[[#This Row],[type]]</f>
        <v>toast</v>
      </c>
      <c r="J3222" s="62" t="str">
        <f>Table1[[#This Row],[Column42]]&amp;IF(Table1[[#This Row],[Column13]]="","",Table1[[#This Row],[Column13]])&amp;IF(Table1[[#This Row],[mod]]="","",Table1[[#This Row],[mod]])</f>
        <v>toast--end</v>
      </c>
      <c r="K32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2" t="s">
        <v>3143</v>
      </c>
      <c r="Q32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--end</v>
      </c>
      <c r="Y3222" t="s">
        <v>3194</v>
      </c>
      <c r="AB3222" s="29"/>
      <c r="AC3222" s="25"/>
      <c r="AD3222" s="41" t="s">
        <v>6566</v>
      </c>
      <c r="AE3222" s="41"/>
      <c r="AF3222" s="11" t="s">
        <v>166</v>
      </c>
      <c r="AH3222" s="7" t="str">
        <f>Table1[[#This Row],[html_tag]]&amp;Table1[[#This Row],[html_type]]&amp;Table1[[#This Row],[html_modifier]]</f>
        <v/>
      </c>
      <c r="AL3222" s="23" t="str">
        <f>IFERROR(_xlfn.XLOOKUP(Table1[[#This Row],[word]],Table57[English style name],Table57[Style type]),"")</f>
        <v/>
      </c>
      <c r="AM3222" s="21"/>
      <c r="AN3222" s="11"/>
    </row>
    <row r="3223" spans="5:44">
      <c r="E3223" s="11"/>
      <c r="F32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3" s="13" t="s">
        <v>337</v>
      </c>
      <c r="H3223" s="13" t="s">
        <v>2987</v>
      </c>
      <c r="I3223" s="12" t="str">
        <f>Table1[[#This Row],[type]]</f>
        <v>toast</v>
      </c>
      <c r="J3223" s="62" t="str">
        <f>Table1[[#This Row],[Column42]]&amp;IF(Table1[[#This Row],[Column13]]="","",Table1[[#This Row],[Column13]])&amp;IF(Table1[[#This Row],[mod]]="","",Table1[[#This Row],[mod]])</f>
        <v>toast--error</v>
      </c>
      <c r="K32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3" t="s">
        <v>3143</v>
      </c>
      <c r="Q32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3223" t="s">
        <v>3117</v>
      </c>
      <c r="AB3223" s="29"/>
      <c r="AC3223" s="25"/>
      <c r="AD3223" s="41"/>
      <c r="AE3223" s="41"/>
      <c r="AF3223" s="11" t="s">
        <v>166</v>
      </c>
      <c r="AH3223" s="1" t="str">
        <f>Table1[[#This Row],[html_tag]]&amp;Table1[[#This Row],[html_type]]&amp;Table1[[#This Row],[html_modifier]]</f>
        <v/>
      </c>
      <c r="AL3223" s="22" t="str">
        <f>IFERROR(_xlfn.XLOOKUP(Table1[[#This Row],[word]],Table57[English style name],Table57[Style type]),"")</f>
        <v/>
      </c>
      <c r="AM3223" s="20"/>
      <c r="AN3223" s="11"/>
      <c r="AQ3223" s="6" t="s">
        <v>2846</v>
      </c>
      <c r="AR3223" t="s">
        <v>2839</v>
      </c>
    </row>
    <row r="3224" spans="5:44">
      <c r="E3224" s="11"/>
      <c r="F32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4" s="13" t="s">
        <v>337</v>
      </c>
      <c r="H3224" s="13" t="s">
        <v>2987</v>
      </c>
      <c r="I3224" s="12" t="str">
        <f>Table1[[#This Row],[type]]</f>
        <v>toast</v>
      </c>
      <c r="J3224" s="62" t="str">
        <f>Table1[[#This Row],[Column42]]&amp;IF(Table1[[#This Row],[Column13]]="","",Table1[[#This Row],[Column13]])&amp;IF(Table1[[#This Row],[mod]]="","",Table1[[#This Row],[mod]])</f>
        <v>toast--fade</v>
      </c>
      <c r="K32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4" t="s">
        <v>3143</v>
      </c>
      <c r="Q32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--fade</v>
      </c>
      <c r="W3224" t="s">
        <v>3505</v>
      </c>
      <c r="AB3224" s="29"/>
      <c r="AC3224" s="25"/>
      <c r="AD3224" s="41"/>
      <c r="AE3224" s="41"/>
      <c r="AF3224" s="11" t="s">
        <v>166</v>
      </c>
      <c r="AH3224" s="1" t="str">
        <f>Table1[[#This Row],[html_tag]]&amp;Table1[[#This Row],[html_type]]&amp;Table1[[#This Row],[html_modifier]]</f>
        <v/>
      </c>
      <c r="AL3224" s="22" t="str">
        <f>IFERROR(_xlfn.XLOOKUP(Table1[[#This Row],[word]],Table57[English style name],Table57[Style type]),"")</f>
        <v/>
      </c>
      <c r="AM3224" s="20"/>
      <c r="AN3224" s="11"/>
      <c r="AQ3224" s="6" t="s">
        <v>2847</v>
      </c>
      <c r="AR3224" t="s">
        <v>2839</v>
      </c>
    </row>
    <row r="3225" spans="5:44">
      <c r="E3225" s="11"/>
      <c r="F32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5" s="13" t="s">
        <v>337</v>
      </c>
      <c r="H3225" s="13" t="s">
        <v>2987</v>
      </c>
      <c r="I3225" s="12" t="str">
        <f>Table1[[#This Row],[type]]</f>
        <v>toast</v>
      </c>
      <c r="J3225" s="62" t="str">
        <f>Table1[[#This Row],[Column42]]&amp;IF(Table1[[#This Row],[Column13]]="","",Table1[[#This Row],[Column13]])&amp;IF(Table1[[#This Row],[mod]]="","",Table1[[#This Row],[mod]])</f>
        <v>toast--info</v>
      </c>
      <c r="K32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5" t="s">
        <v>3143</v>
      </c>
      <c r="Q32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225" t="s">
        <v>3119</v>
      </c>
      <c r="AB3225" s="29"/>
      <c r="AC3225" s="25"/>
      <c r="AD3225" s="41"/>
      <c r="AE3225" s="41"/>
      <c r="AF3225" s="11" t="s">
        <v>166</v>
      </c>
      <c r="AH3225" s="1" t="str">
        <f>Table1[[#This Row],[html_tag]]&amp;Table1[[#This Row],[html_type]]&amp;Table1[[#This Row],[html_modifier]]</f>
        <v/>
      </c>
      <c r="AL3225" s="22" t="str">
        <f>IFERROR(_xlfn.XLOOKUP(Table1[[#This Row],[word]],Table57[English style name],Table57[Style type]),"")</f>
        <v/>
      </c>
      <c r="AM3225" s="20"/>
      <c r="AN3225" s="11"/>
      <c r="AQ3225" s="6" t="s">
        <v>2850</v>
      </c>
      <c r="AR3225" t="s">
        <v>2839</v>
      </c>
    </row>
    <row r="3226" spans="5:44">
      <c r="E3226" s="11"/>
      <c r="F32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226" s="13"/>
      <c r="H3226" s="13"/>
      <c r="I3226" s="12" t="str">
        <f>Table1[[#This Row],[type]]</f>
        <v>toast</v>
      </c>
      <c r="J3226" s="62" t="str">
        <f>Table1[[#This Row],[Column42]]&amp;IF(Table1[[#This Row],[Column13]]="","",Table1[[#This Row],[Column13]])&amp;IF(Table1[[#This Row],[mod]]="","",Table1[[#This Row],[mod]])</f>
        <v>toast--middle</v>
      </c>
      <c r="K32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6" t="s">
        <v>3143</v>
      </c>
      <c r="Q32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</v>
      </c>
      <c r="Y3226" t="s">
        <v>3450</v>
      </c>
      <c r="AB3226" s="29"/>
      <c r="AC3226" s="25"/>
      <c r="AD3226" s="41" t="s">
        <v>6568</v>
      </c>
      <c r="AE3226" s="41"/>
      <c r="AF3226" s="11" t="s">
        <v>166</v>
      </c>
      <c r="AH3226" s="7" t="str">
        <f>Table1[[#This Row],[html_tag]]&amp;Table1[[#This Row],[html_type]]&amp;Table1[[#This Row],[html_modifier]]</f>
        <v/>
      </c>
      <c r="AL3226" s="23" t="str">
        <f>IFERROR(_xlfn.XLOOKUP(Table1[[#This Row],[word]],Table57[English style name],Table57[Style type]),"")</f>
        <v/>
      </c>
      <c r="AM3226" s="21"/>
      <c r="AN3226" s="11"/>
    </row>
    <row r="3227" spans="5:44">
      <c r="E3227" s="11"/>
      <c r="F32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7" s="13" t="s">
        <v>337</v>
      </c>
      <c r="H3227" s="13" t="s">
        <v>2987</v>
      </c>
      <c r="I3227" s="12" t="str">
        <f>Table1[[#This Row],[type]]</f>
        <v>toast</v>
      </c>
      <c r="J3227" s="62" t="str">
        <f>Table1[[#This Row],[Column42]]&amp;IF(Table1[[#This Row],[Column13]]="","",Table1[[#This Row],[Column13]])&amp;IF(Table1[[#This Row],[mod]]="","",Table1[[#This Row],[mod]])</f>
        <v>toast--round</v>
      </c>
      <c r="K32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7" t="s">
        <v>3143</v>
      </c>
      <c r="Q32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3227" t="s">
        <v>3204</v>
      </c>
      <c r="AB3227" s="29"/>
      <c r="AC3227" s="25"/>
      <c r="AD3227" s="41"/>
      <c r="AE3227" s="41"/>
      <c r="AF3227" s="11" t="s">
        <v>166</v>
      </c>
      <c r="AH3227" s="1" t="str">
        <f>Table1[[#This Row],[html_tag]]&amp;Table1[[#This Row],[html_type]]&amp;Table1[[#This Row],[html_modifier]]</f>
        <v/>
      </c>
      <c r="AL3227" s="22" t="str">
        <f>IFERROR(_xlfn.XLOOKUP(Table1[[#This Row],[word]],Table57[English style name],Table57[Style type]),"")</f>
        <v/>
      </c>
      <c r="AM3227" s="20"/>
      <c r="AN3227" s="11"/>
      <c r="AQ3227" s="6" t="s">
        <v>2851</v>
      </c>
      <c r="AR3227" t="s">
        <v>2839</v>
      </c>
    </row>
    <row r="3228" spans="5:44">
      <c r="E3228" s="11"/>
      <c r="F32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228" s="13"/>
      <c r="H3228" s="13"/>
      <c r="I3228" s="12" t="str">
        <f>Table1[[#This Row],[type]]</f>
        <v>toast</v>
      </c>
      <c r="J3228" s="62" t="str">
        <f>Table1[[#This Row],[Column42]]&amp;IF(Table1[[#This Row],[Column13]]="","",Table1[[#This Row],[Column13]])&amp;IF(Table1[[#This Row],[mod]]="","",Table1[[#This Row],[mod]])</f>
        <v>toast--start</v>
      </c>
      <c r="K32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8" t="s">
        <v>3143</v>
      </c>
      <c r="Q32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--start</v>
      </c>
      <c r="Y3228" t="s">
        <v>3193</v>
      </c>
      <c r="AB3228" s="80"/>
      <c r="AC3228" s="25"/>
      <c r="AD3228" s="41" t="s">
        <v>6564</v>
      </c>
      <c r="AE3228" s="41"/>
      <c r="AF3228" s="11" t="s">
        <v>166</v>
      </c>
      <c r="AH3228" s="7" t="str">
        <f>Table1[[#This Row],[html_tag]]&amp;Table1[[#This Row],[html_type]]&amp;Table1[[#This Row],[html_modifier]]</f>
        <v/>
      </c>
      <c r="AL3228" s="23" t="str">
        <f>IFERROR(_xlfn.XLOOKUP(Table1[[#This Row],[word]],Table57[English style name],Table57[Style type]),"")</f>
        <v/>
      </c>
      <c r="AM3228" s="21"/>
      <c r="AN3228" s="11"/>
    </row>
    <row r="3229" spans="5:44">
      <c r="E3229" s="11"/>
      <c r="F32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9" s="13" t="s">
        <v>337</v>
      </c>
      <c r="H3229" s="13" t="s">
        <v>2987</v>
      </c>
      <c r="I3229" s="12" t="str">
        <f>Table1[[#This Row],[type]]</f>
        <v>toast</v>
      </c>
      <c r="J3229" s="62" t="str">
        <f>Table1[[#This Row],[Column42]]&amp;IF(Table1[[#This Row],[Column13]]="","",Table1[[#This Row],[Column13]])&amp;IF(Table1[[#This Row],[mod]]="","",Table1[[#This Row],[mod]])</f>
        <v>toast--success</v>
      </c>
      <c r="K32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9" t="s">
        <v>3143</v>
      </c>
      <c r="Q32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229" t="s">
        <v>3120</v>
      </c>
      <c r="AB3229" s="80"/>
      <c r="AC3229" s="25"/>
      <c r="AD3229" s="41"/>
      <c r="AE3229" s="41"/>
      <c r="AF3229" s="11" t="s">
        <v>166</v>
      </c>
      <c r="AH3229" s="1" t="str">
        <f>Table1[[#This Row],[html_tag]]&amp;Table1[[#This Row],[html_type]]&amp;Table1[[#This Row],[html_modifier]]</f>
        <v/>
      </c>
      <c r="AL3229" s="22" t="str">
        <f>IFERROR(_xlfn.XLOOKUP(Table1[[#This Row],[word]],Table57[English style name],Table57[Style type]),"")</f>
        <v/>
      </c>
      <c r="AM3229" s="20"/>
      <c r="AN3229" s="11"/>
      <c r="AQ3229" s="6" t="s">
        <v>2854</v>
      </c>
      <c r="AR3229" t="s">
        <v>2839</v>
      </c>
    </row>
    <row r="3230" spans="5:44">
      <c r="E3230" s="11"/>
      <c r="F32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30" s="13" t="s">
        <v>337</v>
      </c>
      <c r="H3230" s="13" t="s">
        <v>2987</v>
      </c>
      <c r="I3230" s="77" t="str">
        <f>Table1[[#This Row],[type]]</f>
        <v>toast</v>
      </c>
      <c r="J3230" s="62" t="str">
        <f>Table1[[#This Row],[Column42]]&amp;IF(Table1[[#This Row],[Column13]]="","",Table1[[#This Row],[Column13]])&amp;IF(Table1[[#This Row],[mod]]="","",Table1[[#This Row],[mod]])</f>
        <v>toast--timer--indicator</v>
      </c>
      <c r="K32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30" t="s">
        <v>3143</v>
      </c>
      <c r="Q32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--timer--indicator</v>
      </c>
      <c r="S3230" t="s">
        <v>10226</v>
      </c>
      <c r="T3230" t="s">
        <v>6709</v>
      </c>
      <c r="U32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30" s="29"/>
      <c r="AC3230" s="25"/>
      <c r="AD3230" s="41"/>
      <c r="AE3230" s="41"/>
      <c r="AF3230" s="11" t="s">
        <v>166</v>
      </c>
      <c r="AH3230" s="1" t="str">
        <f>Table1[[#This Row],[html_tag]]&amp;Table1[[#This Row],[html_type]]&amp;Table1[[#This Row],[html_modifier]]</f>
        <v/>
      </c>
      <c r="AL3230" s="22" t="str">
        <f>IFERROR(_xlfn.XLOOKUP(Table1[[#This Row],[word]],Table57[English style name],Table57[Style type]),"")</f>
        <v/>
      </c>
      <c r="AM3230" s="20"/>
      <c r="AN3230" s="11"/>
      <c r="AQ3230" s="6" t="s">
        <v>2855</v>
      </c>
      <c r="AR3230" t="s">
        <v>2839</v>
      </c>
    </row>
    <row r="3231" spans="5:44">
      <c r="E3231" s="11"/>
      <c r="F32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31" s="13" t="s">
        <v>337</v>
      </c>
      <c r="H3231" s="13" t="s">
        <v>2987</v>
      </c>
      <c r="I3231" s="12" t="str">
        <f>Table1[[#This Row],[type]]</f>
        <v>toast</v>
      </c>
      <c r="J3231" s="62" t="str">
        <f>Table1[[#This Row],[Column42]]&amp;IF(Table1[[#This Row],[Column13]]="","",Table1[[#This Row],[Column13]])&amp;IF(Table1[[#This Row],[mod]]="","",Table1[[#This Row],[mod]])</f>
        <v>toast--translucent</v>
      </c>
      <c r="K32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31" t="s">
        <v>3143</v>
      </c>
      <c r="Q32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--translucent</v>
      </c>
      <c r="W3231" t="s">
        <v>10225</v>
      </c>
      <c r="AB3231" s="29"/>
      <c r="AC3231" s="25"/>
      <c r="AD3231" s="41"/>
      <c r="AE3231" s="41"/>
      <c r="AF3231" s="11" t="s">
        <v>166</v>
      </c>
      <c r="AH3231" s="1" t="str">
        <f>Table1[[#This Row],[html_tag]]&amp;Table1[[#This Row],[html_type]]&amp;Table1[[#This Row],[html_modifier]]</f>
        <v/>
      </c>
      <c r="AL3231" s="22" t="str">
        <f>IFERROR(_xlfn.XLOOKUP(Table1[[#This Row],[word]],Table57[English style name],Table57[Style type]),"")</f>
        <v/>
      </c>
      <c r="AM3231" s="20"/>
      <c r="AN3231" s="11"/>
      <c r="AQ3231" s="6" t="s">
        <v>2856</v>
      </c>
      <c r="AR3231" t="s">
        <v>2839</v>
      </c>
    </row>
    <row r="3232" spans="5:44">
      <c r="E3232" s="11"/>
      <c r="F32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32" s="13" t="s">
        <v>337</v>
      </c>
      <c r="H3232" s="13" t="s">
        <v>2987</v>
      </c>
      <c r="I3232" s="12" t="str">
        <f>Table1[[#This Row],[type]]</f>
        <v>toast</v>
      </c>
      <c r="J3232" s="62" t="str">
        <f>Table1[[#This Row],[Column42]]&amp;IF(Table1[[#This Row],[Column13]]="","",Table1[[#This Row],[Column13]])&amp;IF(Table1[[#This Row],[mod]]="","",Table1[[#This Row],[mod]])</f>
        <v>toast--warning</v>
      </c>
      <c r="K32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32" t="s">
        <v>3143</v>
      </c>
      <c r="Q32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232" t="s">
        <v>3121</v>
      </c>
      <c r="AB3232" s="80"/>
      <c r="AC3232" s="25"/>
      <c r="AD3232" s="41"/>
      <c r="AE3232" s="41"/>
      <c r="AF3232" s="11" t="s">
        <v>166</v>
      </c>
      <c r="AH3232" s="1" t="str">
        <f>Table1[[#This Row],[html_tag]]&amp;Table1[[#This Row],[html_type]]&amp;Table1[[#This Row],[html_modifier]]</f>
        <v/>
      </c>
      <c r="AL3232" s="22" t="str">
        <f>IFERROR(_xlfn.XLOOKUP(Table1[[#This Row],[word]],Table57[English style name],Table57[Style type]),"")</f>
        <v/>
      </c>
      <c r="AM3232" s="20"/>
      <c r="AN3232" s="11"/>
      <c r="AQ3232" s="6" t="s">
        <v>2857</v>
      </c>
      <c r="AR3232" t="s">
        <v>2839</v>
      </c>
    </row>
    <row r="3233" spans="5:44">
      <c r="E3233" s="11"/>
      <c r="F32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body/molecules/toc.scss</v>
      </c>
      <c r="G3233" s="13" t="s">
        <v>337</v>
      </c>
      <c r="H3233" s="13" t="s">
        <v>2987</v>
      </c>
      <c r="I3233" s="12" t="str">
        <f>Table1[[#This Row],[type]]</f>
        <v>toc</v>
      </c>
      <c r="J3233" s="62" t="str">
        <f>Table1[[#This Row],[Column42]]&amp;IF(Table1[[#This Row],[Column13]]="","",Table1[[#This Row],[Column13]])&amp;IF(Table1[[#This Row],[mod]]="","",Table1[[#This Row],[mod]])</f>
        <v>toc</v>
      </c>
      <c r="K32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toc</v>
      </c>
      <c r="L3233" t="s">
        <v>2870</v>
      </c>
      <c r="P3233" s="6" t="s">
        <v>2870</v>
      </c>
      <c r="Q32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33" s="80"/>
      <c r="AC3233" s="25"/>
      <c r="AD3233" s="41"/>
      <c r="AE3233" s="41"/>
      <c r="AF3233" s="11"/>
      <c r="AH3233" s="1" t="str">
        <f>Table1[[#This Row],[html_tag]]&amp;Table1[[#This Row],[html_type]]&amp;Table1[[#This Row],[html_modifier]]</f>
        <v/>
      </c>
      <c r="AL3233" s="22" t="str">
        <f>IFERROR(_xlfn.XLOOKUP(Table1[[#This Row],[word]],Table57[English style name],Table57[Style type]),"")</f>
        <v/>
      </c>
      <c r="AM3233" s="20"/>
      <c r="AN3233" s="11"/>
      <c r="AQ3233" s="6" t="s">
        <v>2870</v>
      </c>
      <c r="AR3233" t="s">
        <v>2869</v>
      </c>
    </row>
    <row r="3234" spans="5:44">
      <c r="E3234" s="11"/>
      <c r="F32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4" s="13" t="s">
        <v>337</v>
      </c>
      <c r="H3234" s="13" t="s">
        <v>2986</v>
      </c>
      <c r="I3234" s="12" t="str">
        <f>Table1[[#This Row],[type]]</f>
        <v>tooltip</v>
      </c>
      <c r="J3234" s="62" t="str">
        <f>Table1[[#This Row],[Column42]]&amp;IF(Table1[[#This Row],[Column13]]="","",Table1[[#This Row],[Column13]])&amp;IF(Table1[[#This Row],[mod]]="","",Table1[[#This Row],[mod]])</f>
        <v>tooltip</v>
      </c>
      <c r="K32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34" t="s">
        <v>2871</v>
      </c>
      <c r="Q32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34" s="80"/>
      <c r="AC3234" s="25" t="s">
        <v>3566</v>
      </c>
      <c r="AD3234" s="41" t="s">
        <v>3566</v>
      </c>
      <c r="AE3234" s="41"/>
      <c r="AF3234" s="11"/>
      <c r="AH3234" s="1" t="str">
        <f>Table1[[#This Row],[html_tag]]&amp;Table1[[#This Row],[html_type]]&amp;Table1[[#This Row],[html_modifier]]</f>
        <v/>
      </c>
      <c r="AL3234" s="22" t="str">
        <f>IFERROR(_xlfn.XLOOKUP(Table1[[#This Row],[word]],Table57[English style name],Table57[Style type]),"")</f>
        <v/>
      </c>
      <c r="AM3234" s="20"/>
      <c r="AN3234" s="11"/>
      <c r="AQ3234" s="6" t="s">
        <v>2871</v>
      </c>
      <c r="AR3234" t="s">
        <v>2872</v>
      </c>
    </row>
    <row r="3235" spans="5:44">
      <c r="E3235" s="11"/>
      <c r="F32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5" s="13" t="s">
        <v>337</v>
      </c>
      <c r="H3235" s="13" t="s">
        <v>2986</v>
      </c>
      <c r="I3235" s="12" t="str">
        <f>Table1[[#This Row],[type]]</f>
        <v>tooltip</v>
      </c>
      <c r="J3235" s="62" t="str">
        <f>Table1[[#This Row],[Column42]]&amp;IF(Table1[[#This Row],[Column13]]="","",Table1[[#This Row],[Column13]])&amp;IF(Table1[[#This Row],[mod]]="","",Table1[[#This Row],[mod]])</f>
        <v>tooltip__arrow</v>
      </c>
      <c r="K32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35" t="s">
        <v>2871</v>
      </c>
      <c r="M3235" t="s">
        <v>3447</v>
      </c>
      <c r="Q32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35" s="80"/>
      <c r="AC3235" s="25"/>
      <c r="AD3235" s="41"/>
      <c r="AE3235" s="41"/>
      <c r="AF3235" s="11"/>
      <c r="AH3235" s="1" t="str">
        <f>Table1[[#This Row],[html_tag]]&amp;Table1[[#This Row],[html_type]]&amp;Table1[[#This Row],[html_modifier]]</f>
        <v/>
      </c>
      <c r="AL3235" s="22" t="str">
        <f>IFERROR(_xlfn.XLOOKUP(Table1[[#This Row],[word]],Table57[English style name],Table57[Style type]),"")</f>
        <v/>
      </c>
      <c r="AM3235" s="20"/>
      <c r="AN3235" s="11"/>
      <c r="AQ3235" s="6" t="s">
        <v>2883</v>
      </c>
      <c r="AR3235" t="s">
        <v>2872</v>
      </c>
    </row>
    <row r="3236" spans="5:44">
      <c r="E3236" s="11"/>
      <c r="F32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6" s="13" t="s">
        <v>337</v>
      </c>
      <c r="H3236" s="13" t="s">
        <v>2986</v>
      </c>
      <c r="I3236" s="12" t="str">
        <f>Table1[[#This Row],[type]]</f>
        <v>tooltip</v>
      </c>
      <c r="J3236" s="62" t="str">
        <f>Table1[[#This Row],[Column42]]&amp;IF(Table1[[#This Row],[Column13]]="","",Table1[[#This Row],[Column13]])&amp;IF(Table1[[#This Row],[mod]]="","",Table1[[#This Row],[mod]])</f>
        <v>tooltip__arrow--accent--right</v>
      </c>
      <c r="K32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36" t="s">
        <v>2871</v>
      </c>
      <c r="M3236" t="s">
        <v>3447</v>
      </c>
      <c r="Q32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--accent--right</v>
      </c>
      <c r="W3236" t="s">
        <v>7394</v>
      </c>
      <c r="Y3236" t="s">
        <v>617</v>
      </c>
      <c r="AB3236" s="80"/>
      <c r="AC3236" s="25"/>
      <c r="AD3236" s="41"/>
      <c r="AE3236" s="41"/>
      <c r="AF3236" s="11"/>
      <c r="AH3236" s="1" t="str">
        <f>Table1[[#This Row],[html_tag]]&amp;Table1[[#This Row],[html_type]]&amp;Table1[[#This Row],[html_modifier]]</f>
        <v/>
      </c>
      <c r="AL3236" s="22" t="str">
        <f>IFERROR(_xlfn.XLOOKUP(Table1[[#This Row],[word]],Table57[English style name],Table57[Style type]),"")</f>
        <v/>
      </c>
      <c r="AM3236" s="20"/>
      <c r="AN3236" s="11"/>
      <c r="AQ3236" s="6" t="s">
        <v>2887</v>
      </c>
      <c r="AR3236" t="s">
        <v>2872</v>
      </c>
    </row>
    <row r="3237" spans="5:44">
      <c r="E3237" s="11"/>
      <c r="F32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7" s="13" t="s">
        <v>337</v>
      </c>
      <c r="H3237" s="13" t="s">
        <v>2986</v>
      </c>
      <c r="I3237" s="12" t="str">
        <f>Table1[[#This Row],[type]]</f>
        <v>tooltip</v>
      </c>
      <c r="J3237" s="62" t="str">
        <f>Table1[[#This Row],[Column42]]&amp;IF(Table1[[#This Row],[Column13]]="","",Table1[[#This Row],[Column13]])&amp;IF(Table1[[#This Row],[mod]]="","",Table1[[#This Row],[mod]])</f>
        <v>tooltip__arrow--bottom</v>
      </c>
      <c r="K32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37" t="s">
        <v>2871</v>
      </c>
      <c r="M3237" t="s">
        <v>3447</v>
      </c>
      <c r="Q32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237" t="s">
        <v>3186</v>
      </c>
      <c r="AB3237" s="80"/>
      <c r="AC3237" s="25"/>
      <c r="AD3237" s="41"/>
      <c r="AE3237" s="41"/>
      <c r="AF3237" s="11"/>
      <c r="AH3237" s="1" t="str">
        <f>Table1[[#This Row],[html_tag]]&amp;Table1[[#This Row],[html_type]]&amp;Table1[[#This Row],[html_modifier]]</f>
        <v/>
      </c>
      <c r="AL3237" s="22" t="str">
        <f>IFERROR(_xlfn.XLOOKUP(Table1[[#This Row],[word]],Table57[English style name],Table57[Style type]),"")</f>
        <v/>
      </c>
      <c r="AM3237" s="20"/>
      <c r="AN3237" s="11"/>
      <c r="AQ3237" s="6" t="s">
        <v>2884</v>
      </c>
      <c r="AR3237" t="s">
        <v>2872</v>
      </c>
    </row>
    <row r="3238" spans="5:44">
      <c r="E3238" s="11"/>
      <c r="F32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8" s="13" t="s">
        <v>337</v>
      </c>
      <c r="H3238" s="13" t="s">
        <v>2986</v>
      </c>
      <c r="I3238" s="12" t="str">
        <f>Table1[[#This Row],[type]]</f>
        <v>tooltip</v>
      </c>
      <c r="J3238" s="62" t="str">
        <f>Table1[[#This Row],[Column42]]&amp;IF(Table1[[#This Row],[Column13]]="","",Table1[[#This Row],[Column13]])&amp;IF(Table1[[#This Row],[mod]]="","",Table1[[#This Row],[mod]])</f>
        <v>tooltip__arrow--left</v>
      </c>
      <c r="K32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38" t="s">
        <v>2871</v>
      </c>
      <c r="M3238" t="s">
        <v>3447</v>
      </c>
      <c r="Q32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238" s="3" t="s">
        <v>616</v>
      </c>
      <c r="AB3238" s="80"/>
      <c r="AC3238" s="25"/>
      <c r="AD3238" s="41"/>
      <c r="AE3238" s="41"/>
      <c r="AF3238" s="11"/>
      <c r="AH3238" s="1" t="str">
        <f>Table1[[#This Row],[html_tag]]&amp;Table1[[#This Row],[html_type]]&amp;Table1[[#This Row],[html_modifier]]</f>
        <v/>
      </c>
      <c r="AL3238" s="22" t="str">
        <f>IFERROR(_xlfn.XLOOKUP(Table1[[#This Row],[word]],Table57[English style name],Table57[Style type]),"")</f>
        <v/>
      </c>
      <c r="AM3238" s="20"/>
      <c r="AN3238" s="11"/>
      <c r="AQ3238" s="6" t="s">
        <v>2885</v>
      </c>
      <c r="AR3238" t="s">
        <v>2872</v>
      </c>
    </row>
    <row r="3239" spans="5:44">
      <c r="E3239" s="11"/>
      <c r="F32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9" s="13" t="s">
        <v>337</v>
      </c>
      <c r="H3239" s="13" t="s">
        <v>2986</v>
      </c>
      <c r="I3239" s="12" t="str">
        <f>Table1[[#This Row],[type]]</f>
        <v>tooltip</v>
      </c>
      <c r="J3239" s="62" t="str">
        <f>Table1[[#This Row],[Column42]]&amp;IF(Table1[[#This Row],[Column13]]="","",Table1[[#This Row],[Column13]])&amp;IF(Table1[[#This Row],[mod]]="","",Table1[[#This Row],[mod]])</f>
        <v>tooltip__arrow--right</v>
      </c>
      <c r="K32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39" t="s">
        <v>2871</v>
      </c>
      <c r="M3239" t="s">
        <v>3447</v>
      </c>
      <c r="Q32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239" t="s">
        <v>617</v>
      </c>
      <c r="AB3239" s="80"/>
      <c r="AC3239" s="25"/>
      <c r="AD3239" s="41"/>
      <c r="AE3239" s="41"/>
      <c r="AF3239" s="11"/>
      <c r="AH3239" s="1" t="str">
        <f>Table1[[#This Row],[html_tag]]&amp;Table1[[#This Row],[html_type]]&amp;Table1[[#This Row],[html_modifier]]</f>
        <v/>
      </c>
      <c r="AL3239" s="22" t="str">
        <f>IFERROR(_xlfn.XLOOKUP(Table1[[#This Row],[word]],Table57[English style name],Table57[Style type]),"")</f>
        <v/>
      </c>
      <c r="AM3239" s="20"/>
      <c r="AN3239" s="11"/>
      <c r="AQ3239" s="6" t="s">
        <v>2886</v>
      </c>
      <c r="AR3239" t="s">
        <v>2872</v>
      </c>
    </row>
    <row r="3240" spans="5:44">
      <c r="E3240" s="11"/>
      <c r="F32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0" s="13" t="s">
        <v>337</v>
      </c>
      <c r="H3240" s="13" t="s">
        <v>2986</v>
      </c>
      <c r="I3240" s="12" t="str">
        <f>Table1[[#This Row],[type]]</f>
        <v>tooltip</v>
      </c>
      <c r="J3240" s="62" t="str">
        <f>Table1[[#This Row],[Column42]]&amp;IF(Table1[[#This Row],[Column13]]="","",Table1[[#This Row],[Column13]])&amp;IF(Table1[[#This Row],[mod]]="","",Table1[[#This Row],[mod]])</f>
        <v>tooltip__arrow--top</v>
      </c>
      <c r="K32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40" t="s">
        <v>2871</v>
      </c>
      <c r="M3240" t="s">
        <v>3447</v>
      </c>
      <c r="Q32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240" t="s">
        <v>3182</v>
      </c>
      <c r="AB3240" s="80"/>
      <c r="AC3240" s="25"/>
      <c r="AD3240" s="41"/>
      <c r="AE3240" s="41"/>
      <c r="AF3240" s="11"/>
      <c r="AH3240" s="1" t="str">
        <f>Table1[[#This Row],[html_tag]]&amp;Table1[[#This Row],[html_type]]&amp;Table1[[#This Row],[html_modifier]]</f>
        <v/>
      </c>
      <c r="AL3240" s="22" t="str">
        <f>IFERROR(_xlfn.XLOOKUP(Table1[[#This Row],[word]],Table57[English style name],Table57[Style type]),"")</f>
        <v/>
      </c>
      <c r="AM3240" s="20"/>
      <c r="AN3240" s="11"/>
      <c r="AQ3240" s="6" t="s">
        <v>2888</v>
      </c>
      <c r="AR3240" t="s">
        <v>2872</v>
      </c>
    </row>
    <row r="3241" spans="5:44">
      <c r="E3241" s="11"/>
      <c r="F32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1" s="13" t="s">
        <v>337</v>
      </c>
      <c r="H3241" s="13" t="s">
        <v>2986</v>
      </c>
      <c r="I3241" s="12" t="str">
        <f>Table1[[#This Row],[type]]</f>
        <v>tooltip</v>
      </c>
      <c r="J3241" s="62" t="str">
        <f>Table1[[#This Row],[Column42]]&amp;IF(Table1[[#This Row],[Column13]]="","",Table1[[#This Row],[Column13]])&amp;IF(Table1[[#This Row],[mod]]="","",Table1[[#This Row],[mod]])</f>
        <v>tooltip__box</v>
      </c>
      <c r="K32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241" t="s">
        <v>2871</v>
      </c>
      <c r="M3241" t="s">
        <v>3206</v>
      </c>
      <c r="Q32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41" s="80"/>
      <c r="AC3241" s="25"/>
      <c r="AD3241" s="41"/>
      <c r="AE3241" s="41"/>
      <c r="AF3241" s="11"/>
      <c r="AH3241" s="1" t="str">
        <f>Table1[[#This Row],[html_tag]]&amp;Table1[[#This Row],[html_type]]&amp;Table1[[#This Row],[html_modifier]]</f>
        <v/>
      </c>
      <c r="AL3241" s="22" t="str">
        <f>IFERROR(_xlfn.XLOOKUP(Table1[[#This Row],[word]],Table57[English style name],Table57[Style type]),"")</f>
        <v/>
      </c>
      <c r="AM3241" s="20"/>
      <c r="AN3241" s="11"/>
      <c r="AQ3241" s="6" t="s">
        <v>2875</v>
      </c>
      <c r="AR3241" t="s">
        <v>2872</v>
      </c>
    </row>
    <row r="3242" spans="5:44">
      <c r="E3242" s="11"/>
      <c r="F32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2" s="13" t="s">
        <v>337</v>
      </c>
      <c r="H3242" s="13" t="s">
        <v>2986</v>
      </c>
      <c r="I3242" s="12" t="str">
        <f>Table1[[#This Row],[type]]</f>
        <v>tooltip</v>
      </c>
      <c r="J3242" s="62" t="str">
        <f>Table1[[#This Row],[Column42]]&amp;IF(Table1[[#This Row],[Column13]]="","",Table1[[#This Row],[Column13]])&amp;IF(Table1[[#This Row],[mod]]="","",Table1[[#This Row],[mod]])</f>
        <v>tooltip__box--bottom</v>
      </c>
      <c r="K32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242" t="s">
        <v>2871</v>
      </c>
      <c r="M3242" t="s">
        <v>3206</v>
      </c>
      <c r="Q32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242" t="s">
        <v>3186</v>
      </c>
      <c r="AB3242" s="80"/>
      <c r="AC3242" s="25"/>
      <c r="AD3242" s="41"/>
      <c r="AE3242" s="41"/>
      <c r="AF3242" s="11"/>
      <c r="AH3242" s="1" t="str">
        <f>Table1[[#This Row],[html_tag]]&amp;Table1[[#This Row],[html_type]]&amp;Table1[[#This Row],[html_modifier]]</f>
        <v/>
      </c>
      <c r="AL3242" s="22" t="str">
        <f>IFERROR(_xlfn.XLOOKUP(Table1[[#This Row],[word]],Table57[English style name],Table57[Style type]),"")</f>
        <v/>
      </c>
      <c r="AM3242" s="20"/>
      <c r="AN3242" s="11"/>
      <c r="AQ3242" s="6" t="s">
        <v>2889</v>
      </c>
      <c r="AR3242" t="s">
        <v>2872</v>
      </c>
    </row>
    <row r="3243" spans="5:44">
      <c r="E3243" s="11"/>
      <c r="F32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3" s="13" t="s">
        <v>337</v>
      </c>
      <c r="H3243" s="13" t="s">
        <v>2986</v>
      </c>
      <c r="I3243" s="12" t="str">
        <f>Table1[[#This Row],[type]]</f>
        <v>tooltip</v>
      </c>
      <c r="J3243" s="62" t="str">
        <f>Table1[[#This Row],[Column42]]&amp;IF(Table1[[#This Row],[Column13]]="","",Table1[[#This Row],[Column13]])&amp;IF(Table1[[#This Row],[mod]]="","",Table1[[#This Row],[mod]])</f>
        <v>tooltip__box--left</v>
      </c>
      <c r="K32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243" t="s">
        <v>2871</v>
      </c>
      <c r="M3243" t="s">
        <v>3206</v>
      </c>
      <c r="Q32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243" s="3" t="s">
        <v>616</v>
      </c>
      <c r="AB3243" s="80"/>
      <c r="AC3243" s="25"/>
      <c r="AD3243" s="41"/>
      <c r="AE3243" s="41"/>
      <c r="AF3243" s="11"/>
      <c r="AH3243" s="1" t="str">
        <f>Table1[[#This Row],[html_tag]]&amp;Table1[[#This Row],[html_type]]&amp;Table1[[#This Row],[html_modifier]]</f>
        <v/>
      </c>
      <c r="AL3243" s="22" t="str">
        <f>IFERROR(_xlfn.XLOOKUP(Table1[[#This Row],[word]],Table57[English style name],Table57[Style type]),"")</f>
        <v/>
      </c>
      <c r="AM3243" s="20"/>
      <c r="AN3243" s="11"/>
      <c r="AQ3243" s="6" t="s">
        <v>2890</v>
      </c>
      <c r="AR3243" t="s">
        <v>2872</v>
      </c>
    </row>
    <row r="3244" spans="5:44">
      <c r="E3244" s="11"/>
      <c r="F32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4" s="13" t="s">
        <v>337</v>
      </c>
      <c r="H3244" s="13" t="s">
        <v>2986</v>
      </c>
      <c r="I3244" s="12" t="str">
        <f>Table1[[#This Row],[type]]</f>
        <v>tooltip</v>
      </c>
      <c r="J3244" s="62" t="str">
        <f>Table1[[#This Row],[Column42]]&amp;IF(Table1[[#This Row],[Column13]]="","",Table1[[#This Row],[Column13]])&amp;IF(Table1[[#This Row],[mod]]="","",Table1[[#This Row],[mod]])</f>
        <v>tooltip__box--right</v>
      </c>
      <c r="K32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244" t="s">
        <v>2871</v>
      </c>
      <c r="M3244" t="s">
        <v>3206</v>
      </c>
      <c r="Q32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244" t="s">
        <v>617</v>
      </c>
      <c r="AB3244" s="80"/>
      <c r="AC3244" s="25"/>
      <c r="AD3244" s="41"/>
      <c r="AE3244" s="41"/>
      <c r="AF3244" s="11"/>
      <c r="AH3244" s="1" t="str">
        <f>Table1[[#This Row],[html_tag]]&amp;Table1[[#This Row],[html_type]]&amp;Table1[[#This Row],[html_modifier]]</f>
        <v/>
      </c>
      <c r="AL3244" s="22" t="str">
        <f>IFERROR(_xlfn.XLOOKUP(Table1[[#This Row],[word]],Table57[English style name],Table57[Style type]),"")</f>
        <v/>
      </c>
      <c r="AM3244" s="20"/>
      <c r="AN3244" s="11"/>
      <c r="AQ3244" s="6" t="s">
        <v>2891</v>
      </c>
      <c r="AR3244" t="s">
        <v>2872</v>
      </c>
    </row>
    <row r="3245" spans="5:44">
      <c r="E3245" s="11"/>
      <c r="F32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5" s="13" t="s">
        <v>337</v>
      </c>
      <c r="H3245" s="13" t="s">
        <v>2986</v>
      </c>
      <c r="I3245" s="12" t="str">
        <f>Table1[[#This Row],[type]]</f>
        <v>tooltip</v>
      </c>
      <c r="J3245" s="62" t="str">
        <f>Table1[[#This Row],[Column42]]&amp;IF(Table1[[#This Row],[Column13]]="","",Table1[[#This Row],[Column13]])&amp;IF(Table1[[#This Row],[mod]]="","",Table1[[#This Row],[mod]])</f>
        <v>tooltip__box--top</v>
      </c>
      <c r="K32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245" t="s">
        <v>2871</v>
      </c>
      <c r="M3245" t="s">
        <v>3206</v>
      </c>
      <c r="Q32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245" t="s">
        <v>3182</v>
      </c>
      <c r="AB3245" s="80"/>
      <c r="AC3245" s="25"/>
      <c r="AD3245" s="41"/>
      <c r="AE3245" s="41"/>
      <c r="AF3245" s="11"/>
      <c r="AH3245" s="1" t="str">
        <f>Table1[[#This Row],[html_tag]]&amp;Table1[[#This Row],[html_type]]&amp;Table1[[#This Row],[html_modifier]]</f>
        <v/>
      </c>
      <c r="AL3245" s="22" t="str">
        <f>IFERROR(_xlfn.XLOOKUP(Table1[[#This Row],[word]],Table57[English style name],Table57[Style type]),"")</f>
        <v/>
      </c>
      <c r="AM3245" s="20"/>
      <c r="AN3245" s="11"/>
      <c r="AQ3245" s="6" t="s">
        <v>2892</v>
      </c>
      <c r="AR3245" t="s">
        <v>2872</v>
      </c>
    </row>
    <row r="3246" spans="5:44">
      <c r="E3246" s="11"/>
      <c r="F32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6" s="13" t="s">
        <v>337</v>
      </c>
      <c r="H3246" s="13" t="s">
        <v>2986</v>
      </c>
      <c r="I3246" s="12" t="str">
        <f>Table1[[#This Row],[type]]</f>
        <v>tooltip</v>
      </c>
      <c r="J3246" s="62" t="str">
        <f>Table1[[#This Row],[Column42]]&amp;IF(Table1[[#This Row],[Column13]]="","",Table1[[#This Row],[Column13]])&amp;IF(Table1[[#This Row],[mod]]="","",Table1[[#This Row],[mod]])</f>
        <v>tooltip__content</v>
      </c>
      <c r="K32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tooltip__content</v>
      </c>
      <c r="L3246" t="s">
        <v>2871</v>
      </c>
      <c r="M3246" t="s">
        <v>2990</v>
      </c>
      <c r="Q32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46" s="80"/>
      <c r="AC3246" s="25"/>
      <c r="AD3246" s="41" t="s">
        <v>6606</v>
      </c>
      <c r="AE3246" s="41"/>
      <c r="AF3246" s="11"/>
      <c r="AH3246" s="7" t="str">
        <f>Table1[[#This Row],[html_tag]]&amp;Table1[[#This Row],[html_type]]&amp;Table1[[#This Row],[html_modifier]]</f>
        <v/>
      </c>
      <c r="AL3246" s="23" t="str">
        <f>IFERROR(_xlfn.XLOOKUP(Table1[[#This Row],[word]],Table57[English style name],Table57[Style type]),"")</f>
        <v/>
      </c>
      <c r="AM3246" s="21"/>
      <c r="AN3246" s="11"/>
    </row>
    <row r="3247" spans="5:44">
      <c r="E3247" s="11"/>
      <c r="F32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7" s="13" t="s">
        <v>337</v>
      </c>
      <c r="H3247" s="13" t="s">
        <v>2986</v>
      </c>
      <c r="I3247" s="12" t="str">
        <f>Table1[[#This Row],[type]]</f>
        <v>tooltip</v>
      </c>
      <c r="J3247" s="62" t="str">
        <f>Table1[[#This Row],[Column42]]&amp;IF(Table1[[#This Row],[Column13]]="","",Table1[[#This Row],[Column13]])&amp;IF(Table1[[#This Row],[mod]]="","",Table1[[#This Row],[mod]])</f>
        <v>tooltip__popup</v>
      </c>
      <c r="K32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47" t="s">
        <v>2871</v>
      </c>
      <c r="M3247" t="s">
        <v>3449</v>
      </c>
      <c r="Q32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47" s="60"/>
      <c r="AC3247" s="25"/>
      <c r="AD3247" s="41"/>
      <c r="AE3247" s="41"/>
      <c r="AF3247" s="11"/>
      <c r="AH3247" s="1" t="str">
        <f>Table1[[#This Row],[html_tag]]&amp;Table1[[#This Row],[html_type]]&amp;Table1[[#This Row],[html_modifier]]</f>
        <v/>
      </c>
      <c r="AL3247" s="22" t="str">
        <f>IFERROR(_xlfn.XLOOKUP(Table1[[#This Row],[word]],Table57[English style name],Table57[Style type]),"")</f>
        <v/>
      </c>
      <c r="AM3247" s="20"/>
      <c r="AN3247" s="11"/>
      <c r="AQ3247" s="6" t="s">
        <v>2893</v>
      </c>
      <c r="AR3247" t="s">
        <v>2872</v>
      </c>
    </row>
    <row r="3248" spans="5:44">
      <c r="E3248" s="11"/>
      <c r="F32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8" s="13" t="s">
        <v>337</v>
      </c>
      <c r="H3248" s="13" t="s">
        <v>2986</v>
      </c>
      <c r="I3248" s="12" t="str">
        <f>Table1[[#This Row],[type]]</f>
        <v>tooltip</v>
      </c>
      <c r="J3248" s="62" t="str">
        <f>Table1[[#This Row],[Column42]]&amp;IF(Table1[[#This Row],[Column13]]="","",Table1[[#This Row],[Column13]])&amp;IF(Table1[[#This Row],[mod]]="","",Table1[[#This Row],[mod]])</f>
        <v>tooltip__popup--bottom</v>
      </c>
      <c r="K32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48" t="s">
        <v>2871</v>
      </c>
      <c r="M3248" t="s">
        <v>3449</v>
      </c>
      <c r="Q32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248" t="s">
        <v>3186</v>
      </c>
      <c r="AB3248" s="60"/>
      <c r="AC3248" s="25"/>
      <c r="AD3248" s="41"/>
      <c r="AE3248" s="41"/>
      <c r="AF3248" s="11"/>
      <c r="AH3248" s="1" t="str">
        <f>Table1[[#This Row],[html_tag]]&amp;Table1[[#This Row],[html_type]]&amp;Table1[[#This Row],[html_modifier]]</f>
        <v/>
      </c>
      <c r="AL3248" s="22" t="str">
        <f>IFERROR(_xlfn.XLOOKUP(Table1[[#This Row],[word]],Table57[English style name],Table57[Style type]),"")</f>
        <v/>
      </c>
      <c r="AM3248" s="20"/>
      <c r="AN3248" s="11"/>
      <c r="AQ3248" s="6" t="s">
        <v>2894</v>
      </c>
      <c r="AR3248" t="s">
        <v>2872</v>
      </c>
    </row>
    <row r="3249" spans="5:44">
      <c r="E3249" s="11"/>
      <c r="F32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9" s="13" t="s">
        <v>337</v>
      </c>
      <c r="H3249" s="13" t="s">
        <v>2986</v>
      </c>
      <c r="I3249" s="12" t="str">
        <f>Table1[[#This Row],[type]]</f>
        <v>tooltip</v>
      </c>
      <c r="J3249" s="62" t="str">
        <f>Table1[[#This Row],[Column42]]&amp;IF(Table1[[#This Row],[Column13]]="","",Table1[[#This Row],[Column13]])&amp;IF(Table1[[#This Row],[mod]]="","",Table1[[#This Row],[mod]])</f>
        <v>tooltip__popup--left</v>
      </c>
      <c r="K32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49" t="s">
        <v>2871</v>
      </c>
      <c r="M3249" t="s">
        <v>3449</v>
      </c>
      <c r="Q32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249" s="3" t="s">
        <v>616</v>
      </c>
      <c r="AB3249" s="60"/>
      <c r="AC3249" s="25"/>
      <c r="AD3249" s="41"/>
      <c r="AE3249" s="41"/>
      <c r="AF3249" s="11"/>
      <c r="AH3249" s="1" t="str">
        <f>Table1[[#This Row],[html_tag]]&amp;Table1[[#This Row],[html_type]]&amp;Table1[[#This Row],[html_modifier]]</f>
        <v/>
      </c>
      <c r="AL3249" s="22" t="str">
        <f>IFERROR(_xlfn.XLOOKUP(Table1[[#This Row],[word]],Table57[English style name],Table57[Style type]),"")</f>
        <v/>
      </c>
      <c r="AM3249" s="20"/>
      <c r="AN3249" s="11"/>
      <c r="AQ3249" s="6" t="s">
        <v>2895</v>
      </c>
      <c r="AR3249" t="s">
        <v>2872</v>
      </c>
    </row>
    <row r="3250" spans="5:44">
      <c r="E3250" s="11"/>
      <c r="F32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0" s="13" t="s">
        <v>337</v>
      </c>
      <c r="H3250" s="13" t="s">
        <v>2986</v>
      </c>
      <c r="I3250" s="12" t="str">
        <f>Table1[[#This Row],[type]]</f>
        <v>tooltip</v>
      </c>
      <c r="J3250" s="62" t="str">
        <f>Table1[[#This Row],[Column42]]&amp;IF(Table1[[#This Row],[Column13]]="","",Table1[[#This Row],[Column13]])&amp;IF(Table1[[#This Row],[mod]]="","",Table1[[#This Row],[mod]])</f>
        <v>tooltip__popup--right</v>
      </c>
      <c r="K32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50" t="s">
        <v>2871</v>
      </c>
      <c r="M3250" t="s">
        <v>3449</v>
      </c>
      <c r="Q32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250" t="s">
        <v>617</v>
      </c>
      <c r="AB3250" s="60"/>
      <c r="AC3250" s="25"/>
      <c r="AD3250" s="41"/>
      <c r="AE3250" s="41"/>
      <c r="AF3250" s="11"/>
      <c r="AH3250" s="1" t="str">
        <f>Table1[[#This Row],[html_tag]]&amp;Table1[[#This Row],[html_type]]&amp;Table1[[#This Row],[html_modifier]]</f>
        <v/>
      </c>
      <c r="AL3250" s="22" t="str">
        <f>IFERROR(_xlfn.XLOOKUP(Table1[[#This Row],[word]],Table57[English style name],Table57[Style type]),"")</f>
        <v/>
      </c>
      <c r="AM3250" s="20"/>
      <c r="AN3250" s="11"/>
      <c r="AQ3250" s="6" t="s">
        <v>2896</v>
      </c>
      <c r="AR3250" t="s">
        <v>2872</v>
      </c>
    </row>
    <row r="3251" spans="5:44">
      <c r="E3251" s="11"/>
      <c r="F32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1" s="13" t="s">
        <v>337</v>
      </c>
      <c r="H3251" s="13" t="s">
        <v>2986</v>
      </c>
      <c r="I3251" s="12" t="str">
        <f>Table1[[#This Row],[type]]</f>
        <v>tooltip</v>
      </c>
      <c r="J3251" s="62" t="str">
        <f>Table1[[#This Row],[Column42]]&amp;IF(Table1[[#This Row],[Column13]]="","",Table1[[#This Row],[Column13]])&amp;IF(Table1[[#This Row],[mod]]="","",Table1[[#This Row],[mod]])</f>
        <v>tooltip__popup--top</v>
      </c>
      <c r="K32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51" t="s">
        <v>2871</v>
      </c>
      <c r="M3251" t="s">
        <v>3449</v>
      </c>
      <c r="Q32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251" t="s">
        <v>3182</v>
      </c>
      <c r="AB3251" s="60"/>
      <c r="AC3251" s="25"/>
      <c r="AD3251" s="41"/>
      <c r="AE3251" s="41"/>
      <c r="AF3251" s="11"/>
      <c r="AH3251" s="1" t="str">
        <f>Table1[[#This Row],[html_tag]]&amp;Table1[[#This Row],[html_type]]&amp;Table1[[#This Row],[html_modifier]]</f>
        <v/>
      </c>
      <c r="AL3251" s="22" t="str">
        <f>IFERROR(_xlfn.XLOOKUP(Table1[[#This Row],[word]],Table57[English style name],Table57[Style type]),"")</f>
        <v/>
      </c>
      <c r="AM3251" s="20"/>
      <c r="AN3251" s="11"/>
      <c r="AQ3251" s="6" t="s">
        <v>2897</v>
      </c>
      <c r="AR3251" t="s">
        <v>2872</v>
      </c>
    </row>
    <row r="3252" spans="5:44">
      <c r="E3252" s="11"/>
      <c r="F32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2" s="13" t="s">
        <v>337</v>
      </c>
      <c r="H3252" s="13" t="s">
        <v>2986</v>
      </c>
      <c r="I3252" s="12" t="str">
        <f>Table1[[#This Row],[type]]</f>
        <v>tooltip</v>
      </c>
      <c r="J3252" s="62" t="str">
        <f>Table1[[#This Row],[Column42]]&amp;IF(Table1[[#This Row],[Column13]]="","",Table1[[#This Row],[Column13]])&amp;IF(Table1[[#This Row],[mod]]="","",Table1[[#This Row],[mod]])</f>
        <v>tooltip__popup--visible</v>
      </c>
      <c r="K32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52" t="s">
        <v>2871</v>
      </c>
      <c r="M3252" t="s">
        <v>3449</v>
      </c>
      <c r="Q32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--visible</v>
      </c>
      <c r="W3252" t="s">
        <v>2967</v>
      </c>
      <c r="AB3252" s="60"/>
      <c r="AC3252" s="25"/>
      <c r="AD3252" s="41"/>
      <c r="AE3252" s="41"/>
      <c r="AF3252" s="11"/>
      <c r="AH3252" s="1" t="str">
        <f>Table1[[#This Row],[html_tag]]&amp;Table1[[#This Row],[html_type]]&amp;Table1[[#This Row],[html_modifier]]</f>
        <v/>
      </c>
      <c r="AL3252" s="22" t="str">
        <f>IFERROR(_xlfn.XLOOKUP(Table1[[#This Row],[word]],Table57[English style name],Table57[Style type]),"")</f>
        <v/>
      </c>
      <c r="AM3252" s="20"/>
      <c r="AN3252" s="11"/>
      <c r="AQ3252" s="6" t="s">
        <v>2898</v>
      </c>
      <c r="AR3252" t="s">
        <v>2872</v>
      </c>
    </row>
    <row r="3253" spans="5:44">
      <c r="E3253" s="11"/>
      <c r="F32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3" s="13" t="s">
        <v>337</v>
      </c>
      <c r="H3253" s="13" t="s">
        <v>2986</v>
      </c>
      <c r="I3253" s="12" t="str">
        <f>Table1[[#This Row],[type]]</f>
        <v>tooltip</v>
      </c>
      <c r="J3253" s="62" t="str">
        <f>Table1[[#This Row],[Column42]]&amp;IF(Table1[[#This Row],[Column13]]="","",Table1[[#This Row],[Column13]])&amp;IF(Table1[[#This Row],[mod]]="","",Table1[[#This Row],[mod]])</f>
        <v>tooltip--accent</v>
      </c>
      <c r="K32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3" t="s">
        <v>2871</v>
      </c>
      <c r="Q32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3253" t="s">
        <v>7394</v>
      </c>
      <c r="AB3253" s="60"/>
      <c r="AC3253" s="25"/>
      <c r="AD3253" s="41" t="s">
        <v>6615</v>
      </c>
      <c r="AE3253" s="41"/>
      <c r="AF3253" s="11"/>
      <c r="AH3253" s="1" t="str">
        <f>Table1[[#This Row],[html_tag]]&amp;Table1[[#This Row],[html_type]]&amp;Table1[[#This Row],[html_modifier]]</f>
        <v/>
      </c>
      <c r="AL3253" s="22" t="str">
        <f>IFERROR(_xlfn.XLOOKUP(Table1[[#This Row],[word]],Table57[English style name],Table57[Style type]),"")</f>
        <v/>
      </c>
      <c r="AM3253" s="20"/>
      <c r="AN3253" s="11"/>
      <c r="AQ3253" s="6" t="s">
        <v>2879</v>
      </c>
      <c r="AR3253" t="s">
        <v>2872</v>
      </c>
    </row>
    <row r="3254" spans="5:44">
      <c r="E3254" s="11"/>
      <c r="F32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4" s="13" t="s">
        <v>337</v>
      </c>
      <c r="H3254" s="13" t="s">
        <v>2986</v>
      </c>
      <c r="I3254" s="12" t="str">
        <f>Table1[[#This Row],[type]]</f>
        <v>tooltip</v>
      </c>
      <c r="J3254" s="62" t="str">
        <f>Table1[[#This Row],[Column42]]&amp;IF(Table1[[#This Row],[Column13]]="","",Table1[[#This Row],[Column13]])&amp;IF(Table1[[#This Row],[mod]]="","",Table1[[#This Row],[mod]])</f>
        <v>tooltip--active</v>
      </c>
      <c r="K32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4" t="s">
        <v>2871</v>
      </c>
      <c r="Q32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254" t="s">
        <v>350</v>
      </c>
      <c r="AB3254" s="60"/>
      <c r="AC3254" s="25"/>
      <c r="AD3254" s="41" t="s">
        <v>6611</v>
      </c>
      <c r="AE3254" s="41"/>
      <c r="AF3254" s="11"/>
      <c r="AH3254" s="7" t="str">
        <f>Table1[[#This Row],[html_tag]]&amp;Table1[[#This Row],[html_type]]&amp;Table1[[#This Row],[html_modifier]]</f>
        <v/>
      </c>
      <c r="AL3254" s="23" t="str">
        <f>IFERROR(_xlfn.XLOOKUP(Table1[[#This Row],[word]],Table57[English style name],Table57[Style type]),"")</f>
        <v/>
      </c>
      <c r="AM3254" s="21"/>
      <c r="AN3254" s="11"/>
    </row>
    <row r="3255" spans="5:44">
      <c r="E3255" s="11"/>
      <c r="F32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5" s="13" t="s">
        <v>337</v>
      </c>
      <c r="H3255" s="13" t="s">
        <v>2986</v>
      </c>
      <c r="I3255" s="12" t="str">
        <f>Table1[[#This Row],[type]]</f>
        <v>tooltip</v>
      </c>
      <c r="J3255" s="62" t="str">
        <f>Table1[[#This Row],[Column42]]&amp;IF(Table1[[#This Row],[Column13]]="","",Table1[[#This Row],[Column13]])&amp;IF(Table1[[#This Row],[mod]]="","",Table1[[#This Row],[mod]])</f>
        <v>tooltip--base</v>
      </c>
      <c r="K32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5" t="s">
        <v>2871</v>
      </c>
      <c r="Q32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255" t="s">
        <v>338</v>
      </c>
      <c r="AB3255" s="60"/>
      <c r="AC3255" s="25"/>
      <c r="AD3255" s="41"/>
      <c r="AE3255" s="41"/>
      <c r="AF3255" s="11"/>
      <c r="AH3255" s="1" t="str">
        <f>Table1[[#This Row],[html_tag]]&amp;Table1[[#This Row],[html_type]]&amp;Table1[[#This Row],[html_modifier]]</f>
        <v/>
      </c>
      <c r="AL3255" s="22" t="str">
        <f>IFERROR(_xlfn.XLOOKUP(Table1[[#This Row],[word]],Table57[English style name],Table57[Style type]),"")</f>
        <v/>
      </c>
      <c r="AM3255" s="20"/>
      <c r="AN3255" s="11"/>
      <c r="AQ3255" s="6" t="s">
        <v>2873</v>
      </c>
      <c r="AR3255" t="s">
        <v>2872</v>
      </c>
    </row>
    <row r="3256" spans="5:44">
      <c r="E3256" s="11"/>
      <c r="F32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6" s="13" t="s">
        <v>337</v>
      </c>
      <c r="H3256" s="13" t="s">
        <v>2986</v>
      </c>
      <c r="I3256" s="12" t="str">
        <f>Table1[[#This Row],[type]]</f>
        <v>tooltip</v>
      </c>
      <c r="J3256" s="62" t="str">
        <f>Table1[[#This Row],[Column42]]&amp;IF(Table1[[#This Row],[Column13]]="","",Table1[[#This Row],[Column13]])&amp;IF(Table1[[#This Row],[mod]]="","",Table1[[#This Row],[mod]])</f>
        <v>tooltip--bottom</v>
      </c>
      <c r="K32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6" t="s">
        <v>2871</v>
      </c>
      <c r="Q32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256" t="s">
        <v>3186</v>
      </c>
      <c r="AB3256" s="60"/>
      <c r="AC3256" s="25"/>
      <c r="AD3256" s="41" t="s">
        <v>6608</v>
      </c>
      <c r="AE3256" s="41"/>
      <c r="AF3256" s="11"/>
      <c r="AH3256" s="1" t="str">
        <f>Table1[[#This Row],[html_tag]]&amp;Table1[[#This Row],[html_type]]&amp;Table1[[#This Row],[html_modifier]]</f>
        <v/>
      </c>
      <c r="AL3256" s="22" t="str">
        <f>IFERROR(_xlfn.XLOOKUP(Table1[[#This Row],[word]],Table57[English style name],Table57[Style type]),"")</f>
        <v/>
      </c>
      <c r="AM3256" s="20"/>
      <c r="AN3256" s="11"/>
      <c r="AQ3256" s="6" t="s">
        <v>2874</v>
      </c>
      <c r="AR3256" t="s">
        <v>2872</v>
      </c>
    </row>
    <row r="3257" spans="5:44">
      <c r="E3257" s="11"/>
      <c r="F32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7" s="13" t="s">
        <v>337</v>
      </c>
      <c r="H3257" s="13" t="s">
        <v>2986</v>
      </c>
      <c r="I3257" s="12" t="str">
        <f>Table1[[#This Row],[type]]</f>
        <v>tooltip</v>
      </c>
      <c r="J3257" s="62" t="str">
        <f>Table1[[#This Row],[Column42]]&amp;IF(Table1[[#This Row],[Column13]]="","",Table1[[#This Row],[Column13]])&amp;IF(Table1[[#This Row],[mod]]="","",Table1[[#This Row],[mod]])</f>
        <v>tooltip--dark</v>
      </c>
      <c r="K32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7" t="s">
        <v>2871</v>
      </c>
      <c r="Q32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257" t="s">
        <v>3501</v>
      </c>
      <c r="AB3257" s="60"/>
      <c r="AC3257" s="25"/>
      <c r="AD3257" s="41"/>
      <c r="AE3257" s="41"/>
      <c r="AF3257" s="11"/>
      <c r="AH3257" s="1" t="str">
        <f>Table1[[#This Row],[html_tag]]&amp;Table1[[#This Row],[html_type]]&amp;Table1[[#This Row],[html_modifier]]</f>
        <v/>
      </c>
      <c r="AL3257" s="22" t="str">
        <f>IFERROR(_xlfn.XLOOKUP(Table1[[#This Row],[word]],Table57[English style name],Table57[Style type]),"")</f>
        <v/>
      </c>
      <c r="AM3257" s="20"/>
      <c r="AN3257" s="11"/>
      <c r="AQ3257" s="6" t="s">
        <v>2880</v>
      </c>
      <c r="AR3257" t="s">
        <v>2872</v>
      </c>
    </row>
    <row r="3258" spans="5:44">
      <c r="E3258" s="11"/>
      <c r="F32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8" s="13" t="s">
        <v>337</v>
      </c>
      <c r="H3258" s="13" t="s">
        <v>2986</v>
      </c>
      <c r="I3258" s="12" t="str">
        <f>Table1[[#This Row],[type]]</f>
        <v>tooltip</v>
      </c>
      <c r="J3258" s="62" t="str">
        <f>Table1[[#This Row],[Column42]]&amp;IF(Table1[[#This Row],[Column13]]="","",Table1[[#This Row],[Column13]])&amp;IF(Table1[[#This Row],[mod]]="","",Table1[[#This Row],[mod]])</f>
        <v>tooltip--error</v>
      </c>
      <c r="K32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8" t="s">
        <v>2871</v>
      </c>
      <c r="Q32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3258" t="s">
        <v>3117</v>
      </c>
      <c r="AB3258" s="60"/>
      <c r="AC3258" s="25"/>
      <c r="AD3258" s="41" t="s">
        <v>6619</v>
      </c>
      <c r="AE3258" s="41"/>
      <c r="AF3258" s="11"/>
      <c r="AH3258" s="7" t="str">
        <f>Table1[[#This Row],[html_tag]]&amp;Table1[[#This Row],[html_type]]&amp;Table1[[#This Row],[html_modifier]]</f>
        <v/>
      </c>
      <c r="AL3258" s="23" t="str">
        <f>IFERROR(_xlfn.XLOOKUP(Table1[[#This Row],[word]],Table57[English style name],Table57[Style type]),"")</f>
        <v/>
      </c>
      <c r="AM3258" s="21"/>
      <c r="AN3258" s="11"/>
    </row>
    <row r="3259" spans="5:44">
      <c r="E3259" s="11"/>
      <c r="F32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9" s="13" t="s">
        <v>337</v>
      </c>
      <c r="H3259" s="13" t="s">
        <v>2986</v>
      </c>
      <c r="I3259" s="12" t="str">
        <f>Table1[[#This Row],[type]]</f>
        <v>tooltip</v>
      </c>
      <c r="J3259" s="62" t="str">
        <f>Table1[[#This Row],[Column42]]&amp;IF(Table1[[#This Row],[Column13]]="","",Table1[[#This Row],[Column13]])&amp;IF(Table1[[#This Row],[mod]]="","",Table1[[#This Row],[mod]])</f>
        <v>tooltip--hover</v>
      </c>
      <c r="K32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9" t="s">
        <v>2871</v>
      </c>
      <c r="Q32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3259" t="s">
        <v>3019</v>
      </c>
      <c r="AB3259" s="60"/>
      <c r="AC3259" s="25"/>
      <c r="AD3259" s="41"/>
      <c r="AE3259" s="41"/>
      <c r="AF3259" s="11"/>
      <c r="AH3259" s="1" t="str">
        <f>Table1[[#This Row],[html_tag]]&amp;Table1[[#This Row],[html_type]]&amp;Table1[[#This Row],[html_modifier]]</f>
        <v/>
      </c>
      <c r="AL3259" s="22" t="str">
        <f>IFERROR(_xlfn.XLOOKUP(Table1[[#This Row],[word]],Table57[English style name],Table57[Style type]),"")</f>
        <v/>
      </c>
      <c r="AM3259" s="20"/>
      <c r="AN3259" s="11"/>
      <c r="AQ3259" s="6" t="s">
        <v>2881</v>
      </c>
      <c r="AR3259" t="s">
        <v>2872</v>
      </c>
    </row>
    <row r="3260" spans="5:44">
      <c r="E3260" s="11"/>
      <c r="F32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0" s="13" t="s">
        <v>337</v>
      </c>
      <c r="H3260" s="13" t="s">
        <v>2986</v>
      </c>
      <c r="I3260" s="12" t="str">
        <f>Table1[[#This Row],[type]]</f>
        <v>tooltip</v>
      </c>
      <c r="J3260" s="62" t="str">
        <f>Table1[[#This Row],[Column42]]&amp;IF(Table1[[#This Row],[Column13]]="","",Table1[[#This Row],[Column13]])&amp;IF(Table1[[#This Row],[mod]]="","",Table1[[#This Row],[mod]])</f>
        <v>tooltip--info</v>
      </c>
      <c r="K32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0" t="s">
        <v>2871</v>
      </c>
      <c r="Q32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260" t="s">
        <v>3119</v>
      </c>
      <c r="AB3260" s="60"/>
      <c r="AC3260" s="25"/>
      <c r="AD3260" s="41" t="s">
        <v>6616</v>
      </c>
      <c r="AE3260" s="41"/>
      <c r="AF3260" s="11"/>
      <c r="AH3260" s="7" t="str">
        <f>Table1[[#This Row],[html_tag]]&amp;Table1[[#This Row],[html_type]]&amp;Table1[[#This Row],[html_modifier]]</f>
        <v/>
      </c>
      <c r="AL3260" s="23" t="str">
        <f>IFERROR(_xlfn.XLOOKUP(Table1[[#This Row],[word]],Table57[English style name],Table57[Style type]),"")</f>
        <v/>
      </c>
      <c r="AM3260" s="21"/>
      <c r="AN3260" s="11"/>
    </row>
    <row r="3261" spans="5:44">
      <c r="E3261" s="11"/>
      <c r="F32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1" s="13" t="s">
        <v>337</v>
      </c>
      <c r="H3261" s="13" t="s">
        <v>2986</v>
      </c>
      <c r="I3261" s="12" t="str">
        <f>Table1[[#This Row],[type]]</f>
        <v>tooltip</v>
      </c>
      <c r="J3261" s="62" t="str">
        <f>Table1[[#This Row],[Column42]]&amp;IF(Table1[[#This Row],[Column13]]="","",Table1[[#This Row],[Column13]])&amp;IF(Table1[[#This Row],[mod]]="","",Table1[[#This Row],[mod]])</f>
        <v>tooltip--left</v>
      </c>
      <c r="K32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1" t="s">
        <v>2871</v>
      </c>
      <c r="Q32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261" s="3" t="s">
        <v>616</v>
      </c>
      <c r="AB3261" s="60"/>
      <c r="AC3261" s="25"/>
      <c r="AD3261" s="41" t="s">
        <v>6609</v>
      </c>
      <c r="AE3261" s="41"/>
      <c r="AF3261" s="11"/>
      <c r="AH3261" s="1" t="str">
        <f>Table1[[#This Row],[html_tag]]&amp;Table1[[#This Row],[html_type]]&amp;Table1[[#This Row],[html_modifier]]</f>
        <v/>
      </c>
      <c r="AL3261" s="22" t="str">
        <f>IFERROR(_xlfn.XLOOKUP(Table1[[#This Row],[word]],Table57[English style name],Table57[Style type]),"")</f>
        <v/>
      </c>
      <c r="AM3261" s="20"/>
      <c r="AN3261" s="11"/>
      <c r="AQ3261" s="6" t="s">
        <v>2876</v>
      </c>
      <c r="AR3261" t="s">
        <v>2872</v>
      </c>
    </row>
    <row r="3262" spans="5:44">
      <c r="E3262" s="11"/>
      <c r="F32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2" s="13" t="s">
        <v>337</v>
      </c>
      <c r="H3262" s="13" t="s">
        <v>2986</v>
      </c>
      <c r="I3262" s="12" t="str">
        <f>Table1[[#This Row],[type]]</f>
        <v>tooltip</v>
      </c>
      <c r="J3262" s="62" t="str">
        <f>Table1[[#This Row],[Column42]]&amp;IF(Table1[[#This Row],[Column13]]="","",Table1[[#This Row],[Column13]])&amp;IF(Table1[[#This Row],[mod]]="","",Table1[[#This Row],[mod]])</f>
        <v>tooltip--neutral</v>
      </c>
      <c r="K32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2" t="s">
        <v>2871</v>
      </c>
      <c r="Q32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3262" t="s">
        <v>7393</v>
      </c>
      <c r="AB3262" s="60"/>
      <c r="AC3262" s="25"/>
      <c r="AD3262" s="41" t="s">
        <v>6612</v>
      </c>
      <c r="AE3262" s="41"/>
      <c r="AF3262" s="11"/>
      <c r="AH3262" s="7" t="str">
        <f>Table1[[#This Row],[html_tag]]&amp;Table1[[#This Row],[html_type]]&amp;Table1[[#This Row],[html_modifier]]</f>
        <v/>
      </c>
      <c r="AL3262" s="23" t="str">
        <f>IFERROR(_xlfn.XLOOKUP(Table1[[#This Row],[word]],Table57[English style name],Table57[Style type]),"")</f>
        <v/>
      </c>
      <c r="AM3262" s="21"/>
      <c r="AN3262" s="11"/>
    </row>
    <row r="3263" spans="5:44">
      <c r="E3263" s="11"/>
      <c r="F32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3" s="13" t="s">
        <v>337</v>
      </c>
      <c r="H3263" s="13" t="s">
        <v>2986</v>
      </c>
      <c r="I3263" s="12" t="str">
        <f>Table1[[#This Row],[type]]</f>
        <v>tooltip</v>
      </c>
      <c r="J3263" s="62" t="str">
        <f>Table1[[#This Row],[Column42]]&amp;IF(Table1[[#This Row],[Column13]]="","",Table1[[#This Row],[Column13]])&amp;IF(Table1[[#This Row],[mod]]="","",Table1[[#This Row],[mod]])</f>
        <v>tooltip--primary</v>
      </c>
      <c r="K32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3" t="s">
        <v>2871</v>
      </c>
      <c r="Q32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3263" t="s">
        <v>3164</v>
      </c>
      <c r="AB3263" s="60"/>
      <c r="AC3263" s="25"/>
      <c r="AD3263" s="41" t="s">
        <v>6613</v>
      </c>
      <c r="AE3263" s="41"/>
      <c r="AF3263" s="11"/>
      <c r="AH3263" s="7" t="str">
        <f>Table1[[#This Row],[html_tag]]&amp;Table1[[#This Row],[html_type]]&amp;Table1[[#This Row],[html_modifier]]</f>
        <v/>
      </c>
      <c r="AL3263" s="23" t="str">
        <f>IFERROR(_xlfn.XLOOKUP(Table1[[#This Row],[word]],Table57[English style name],Table57[Style type]),"")</f>
        <v/>
      </c>
      <c r="AM3263" s="21"/>
      <c r="AN3263" s="11"/>
    </row>
    <row r="3264" spans="5:44">
      <c r="E3264" s="11"/>
      <c r="F32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4" s="13" t="s">
        <v>337</v>
      </c>
      <c r="H3264" s="13" t="s">
        <v>2986</v>
      </c>
      <c r="I3264" s="12" t="str">
        <f>Table1[[#This Row],[type]]</f>
        <v>tooltip</v>
      </c>
      <c r="J3264" s="62" t="str">
        <f>Table1[[#This Row],[Column42]]&amp;IF(Table1[[#This Row],[Column13]]="","",Table1[[#This Row],[Column13]])&amp;IF(Table1[[#This Row],[mod]]="","",Table1[[#This Row],[mod]])</f>
        <v>tooltip--right</v>
      </c>
      <c r="K32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4" t="s">
        <v>2871</v>
      </c>
      <c r="Q32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264" t="s">
        <v>617</v>
      </c>
      <c r="AB3264" s="60"/>
      <c r="AC3264" s="25"/>
      <c r="AD3264" s="41" t="s">
        <v>6610</v>
      </c>
      <c r="AE3264" s="41"/>
      <c r="AF3264" s="11"/>
      <c r="AH3264" s="1" t="str">
        <f>Table1[[#This Row],[html_tag]]&amp;Table1[[#This Row],[html_type]]&amp;Table1[[#This Row],[html_modifier]]</f>
        <v/>
      </c>
      <c r="AL3264" s="22" t="str">
        <f>IFERROR(_xlfn.XLOOKUP(Table1[[#This Row],[word]],Table57[English style name],Table57[Style type]),"")</f>
        <v/>
      </c>
      <c r="AM3264" s="20"/>
      <c r="AN3264" s="11"/>
      <c r="AQ3264" s="6" t="s">
        <v>2877</v>
      </c>
      <c r="AR3264" t="s">
        <v>2872</v>
      </c>
    </row>
    <row r="3265" spans="5:44">
      <c r="E3265" s="11"/>
      <c r="F32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5" s="13" t="s">
        <v>337</v>
      </c>
      <c r="H3265" s="13" t="s">
        <v>2986</v>
      </c>
      <c r="I3265" s="12" t="str">
        <f>Table1[[#This Row],[type]]</f>
        <v>tooltip</v>
      </c>
      <c r="J3265" s="62" t="str">
        <f>Table1[[#This Row],[Column42]]&amp;IF(Table1[[#This Row],[Column13]]="","",Table1[[#This Row],[Column13]])&amp;IF(Table1[[#This Row],[mod]]="","",Table1[[#This Row],[mod]])</f>
        <v>tooltip--secondary</v>
      </c>
      <c r="K32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5" t="s">
        <v>2871</v>
      </c>
      <c r="Q32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3265" t="s">
        <v>3502</v>
      </c>
      <c r="AB3265" s="60"/>
      <c r="AC3265" s="25"/>
      <c r="AD3265" s="41" t="s">
        <v>6614</v>
      </c>
      <c r="AE3265" s="41"/>
      <c r="AF3265" s="11"/>
      <c r="AH3265" s="7" t="str">
        <f>Table1[[#This Row],[html_tag]]&amp;Table1[[#This Row],[html_type]]&amp;Table1[[#This Row],[html_modifier]]</f>
        <v/>
      </c>
      <c r="AL3265" s="23" t="str">
        <f>IFERROR(_xlfn.XLOOKUP(Table1[[#This Row],[word]],Table57[English style name],Table57[Style type]),"")</f>
        <v/>
      </c>
      <c r="AM3265" s="21"/>
      <c r="AN3265" s="11"/>
    </row>
    <row r="3266" spans="5:44">
      <c r="E3266" s="11"/>
      <c r="F32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6" s="13" t="s">
        <v>337</v>
      </c>
      <c r="H3266" s="13" t="s">
        <v>2986</v>
      </c>
      <c r="I3266" s="12" t="str">
        <f>Table1[[#This Row],[type]]</f>
        <v>tooltip</v>
      </c>
      <c r="J3266" s="62" t="str">
        <f>Table1[[#This Row],[Column42]]&amp;IF(Table1[[#This Row],[Column13]]="","",Table1[[#This Row],[Column13]])&amp;IF(Table1[[#This Row],[mod]]="","",Table1[[#This Row],[mod]])</f>
        <v>tooltip--static</v>
      </c>
      <c r="K32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6" t="s">
        <v>2871</v>
      </c>
      <c r="Q32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--static</v>
      </c>
      <c r="S3266" t="s">
        <v>3448</v>
      </c>
      <c r="U32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66" s="60"/>
      <c r="AC3266" s="25"/>
      <c r="AD3266" s="41"/>
      <c r="AE3266" s="41"/>
      <c r="AF3266" s="11"/>
      <c r="AH3266" s="1" t="str">
        <f>Table1[[#This Row],[html_tag]]&amp;Table1[[#This Row],[html_type]]&amp;Table1[[#This Row],[html_modifier]]</f>
        <v/>
      </c>
      <c r="AL3266" s="22" t="str">
        <f>IFERROR(_xlfn.XLOOKUP(Table1[[#This Row],[word]],Table57[English style name],Table57[Style type]),"")</f>
        <v/>
      </c>
      <c r="AM3266" s="20"/>
      <c r="AN3266" s="11"/>
      <c r="AQ3266" s="6" t="s">
        <v>2878</v>
      </c>
      <c r="AR3266" t="s">
        <v>2872</v>
      </c>
    </row>
    <row r="3267" spans="5:44">
      <c r="E3267" s="11"/>
      <c r="F32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7" s="13" t="s">
        <v>337</v>
      </c>
      <c r="H3267" s="13" t="s">
        <v>2986</v>
      </c>
      <c r="I3267" s="12" t="str">
        <f>Table1[[#This Row],[type]]</f>
        <v>tooltip</v>
      </c>
      <c r="J3267" s="62" t="str">
        <f>Table1[[#This Row],[Column42]]&amp;IF(Table1[[#This Row],[Column13]]="","",Table1[[#This Row],[Column13]])&amp;IF(Table1[[#This Row],[mod]]="","",Table1[[#This Row],[mod]])</f>
        <v>tooltip--success</v>
      </c>
      <c r="K32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7" t="s">
        <v>2871</v>
      </c>
      <c r="Q32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267" t="s">
        <v>3120</v>
      </c>
      <c r="AB3267" s="60"/>
      <c r="AC3267" s="25"/>
      <c r="AD3267" s="41" t="s">
        <v>6617</v>
      </c>
      <c r="AE3267" s="41"/>
      <c r="AF3267" s="11"/>
      <c r="AH3267" s="7" t="str">
        <f>Table1[[#This Row],[html_tag]]&amp;Table1[[#This Row],[html_type]]&amp;Table1[[#This Row],[html_modifier]]</f>
        <v/>
      </c>
      <c r="AL3267" s="23" t="str">
        <f>IFERROR(_xlfn.XLOOKUP(Table1[[#This Row],[word]],Table57[English style name],Table57[Style type]),"")</f>
        <v/>
      </c>
      <c r="AM3267" s="21"/>
      <c r="AN3267" s="11"/>
    </row>
    <row r="3268" spans="5:44">
      <c r="E3268" s="11"/>
      <c r="F32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8" s="13" t="s">
        <v>337</v>
      </c>
      <c r="H3268" s="13" t="s">
        <v>2986</v>
      </c>
      <c r="I3268" s="12" t="str">
        <f>Table1[[#This Row],[type]]</f>
        <v>tooltip</v>
      </c>
      <c r="J3268" s="62" t="str">
        <f>Table1[[#This Row],[Column42]]&amp;IF(Table1[[#This Row],[Column13]]="","",Table1[[#This Row],[Column13]])&amp;IF(Table1[[#This Row],[mod]]="","",Table1[[#This Row],[mod]])</f>
        <v>tooltip--top</v>
      </c>
      <c r="K32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8" t="s">
        <v>2871</v>
      </c>
      <c r="Q32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268" t="s">
        <v>3182</v>
      </c>
      <c r="AB3268" s="60"/>
      <c r="AC3268" s="25"/>
      <c r="AD3268" s="41" t="s">
        <v>6607</v>
      </c>
      <c r="AE3268" s="41"/>
      <c r="AF3268" s="11"/>
      <c r="AH3268" s="1" t="str">
        <f>Table1[[#This Row],[html_tag]]&amp;Table1[[#This Row],[html_type]]&amp;Table1[[#This Row],[html_modifier]]</f>
        <v/>
      </c>
      <c r="AL3268" s="22" t="str">
        <f>IFERROR(_xlfn.XLOOKUP(Table1[[#This Row],[word]],Table57[English style name],Table57[Style type]),"")</f>
        <v/>
      </c>
      <c r="AM3268" s="20"/>
      <c r="AN3268" s="11"/>
      <c r="AQ3268" s="6" t="s">
        <v>2882</v>
      </c>
      <c r="AR3268" t="s">
        <v>2872</v>
      </c>
    </row>
    <row r="3269" spans="5:44">
      <c r="E3269" s="11"/>
      <c r="F32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9" s="13" t="s">
        <v>337</v>
      </c>
      <c r="H3269" s="13" t="s">
        <v>2986</v>
      </c>
      <c r="I3269" s="12" t="str">
        <f>Table1[[#This Row],[type]]</f>
        <v>tooltip</v>
      </c>
      <c r="J3269" s="62" t="str">
        <f>Table1[[#This Row],[Column42]]&amp;IF(Table1[[#This Row],[Column13]]="","",Table1[[#This Row],[Column13]])&amp;IF(Table1[[#This Row],[mod]]="","",Table1[[#This Row],[mod]])</f>
        <v>tooltip--warning</v>
      </c>
      <c r="K32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9" t="s">
        <v>2871</v>
      </c>
      <c r="Q32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269" t="s">
        <v>3121</v>
      </c>
      <c r="AB3269" s="60"/>
      <c r="AC3269" s="25"/>
      <c r="AD3269" s="41" t="s">
        <v>6618</v>
      </c>
      <c r="AE3269" s="41"/>
      <c r="AF3269" s="11"/>
      <c r="AH3269" s="7" t="str">
        <f>Table1[[#This Row],[html_tag]]&amp;Table1[[#This Row],[html_type]]&amp;Table1[[#This Row],[html_modifier]]</f>
        <v/>
      </c>
      <c r="AL3269" s="23" t="str">
        <f>IFERROR(_xlfn.XLOOKUP(Table1[[#This Row],[word]],Table57[English style name],Table57[Style type]),"")</f>
        <v/>
      </c>
      <c r="AM3269" s="21"/>
      <c r="AN3269" s="11"/>
    </row>
    <row r="3270" spans="5:44">
      <c r="E3270" s="11"/>
      <c r="F32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270" s="13" t="s">
        <v>337</v>
      </c>
      <c r="H3270" s="13" t="s">
        <v>2987</v>
      </c>
      <c r="I3270" s="12" t="str">
        <f>Table1[[#This Row],[type]]</f>
        <v>vcard</v>
      </c>
      <c r="J3270" s="62" t="str">
        <f>Table1[[#This Row],[Column42]]&amp;IF(Table1[[#This Row],[Column13]]="","",Table1[[#This Row],[Column13]])&amp;IF(Table1[[#This Row],[mod]]="","",Table1[[#This Row],[mod]])</f>
        <v>vcard--base</v>
      </c>
      <c r="K32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vcard</v>
      </c>
      <c r="L3270" t="s">
        <v>3170</v>
      </c>
      <c r="P3270" s="6"/>
      <c r="Q32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270" t="s">
        <v>338</v>
      </c>
      <c r="AB3270" s="60"/>
      <c r="AC3270" s="25"/>
      <c r="AD3270" s="41"/>
      <c r="AE3270" s="41"/>
      <c r="AF3270" s="11" t="s">
        <v>109</v>
      </c>
      <c r="AH3270" s="1" t="str">
        <f>Table1[[#This Row],[html_tag]]&amp;Table1[[#This Row],[html_type]]&amp;Table1[[#This Row],[html_modifier]]</f>
        <v/>
      </c>
      <c r="AL3270" s="22" t="str">
        <f>IFERROR(_xlfn.XLOOKUP(Table1[[#This Row],[word]],Table57[English style name],Table57[Style type]),"")</f>
        <v/>
      </c>
      <c r="AM3270" s="20"/>
      <c r="AN3270" s="11"/>
      <c r="AQ3270" s="6" t="s">
        <v>2940</v>
      </c>
      <c r="AR3270" t="s">
        <v>2941</v>
      </c>
    </row>
    <row r="3271" spans="5:44">
      <c r="E3271" s="11"/>
      <c r="F32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271" s="13" t="s">
        <v>337</v>
      </c>
      <c r="H3271" s="13" t="s">
        <v>2987</v>
      </c>
      <c r="I3271" s="12" t="str">
        <f>Table1[[#This Row],[type]]</f>
        <v>vcard</v>
      </c>
      <c r="J3271" s="62" t="str">
        <f>Table1[[#This Row],[Column42]]&amp;IF(Table1[[#This Row],[Column13]]="","",Table1[[#This Row],[Column13]])&amp;IF(Table1[[#This Row],[mod]]="","",Table1[[#This Row],[mod]])</f>
        <v>vcard--org</v>
      </c>
      <c r="K32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vcard</v>
      </c>
      <c r="L3271" t="s">
        <v>3170</v>
      </c>
      <c r="P3271" s="6"/>
      <c r="Q32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--org</v>
      </c>
      <c r="R3271" t="s">
        <v>3452</v>
      </c>
      <c r="U32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71" s="60"/>
      <c r="AC3271" s="25"/>
      <c r="AD3271" s="41"/>
      <c r="AE3271" s="41"/>
      <c r="AF3271" s="11" t="s">
        <v>109</v>
      </c>
      <c r="AH3271" s="1" t="str">
        <f>Table1[[#This Row],[html_tag]]&amp;Table1[[#This Row],[html_type]]&amp;Table1[[#This Row],[html_modifier]]</f>
        <v/>
      </c>
      <c r="AL3271" s="22" t="str">
        <f>IFERROR(_xlfn.XLOOKUP(Table1[[#This Row],[word]],Table57[English style name],Table57[Style type]),"")</f>
        <v/>
      </c>
      <c r="AM3271" s="20"/>
      <c r="AN3271" s="11"/>
      <c r="AQ3271" s="6" t="s">
        <v>2942</v>
      </c>
      <c r="AR3271" t="s">
        <v>2941</v>
      </c>
    </row>
    <row r="3272" spans="5:44">
      <c r="E3272" s="11"/>
      <c r="F32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soul/line/vertical.scss</v>
      </c>
      <c r="G3272" s="13" t="s">
        <v>2992</v>
      </c>
      <c r="H3272" s="13" t="s">
        <v>2993</v>
      </c>
      <c r="I3272" s="12" t="str">
        <f>Table1[[#This Row],[type]]</f>
        <v>vertical</v>
      </c>
      <c r="J3272" s="62" t="str">
        <f>Table1[[#This Row],[Column42]]&amp;IF(Table1[[#This Row],[Column13]]="","",Table1[[#This Row],[Column13]])&amp;IF(Table1[[#This Row],[mod]]="","",Table1[[#This Row],[mod]])</f>
        <v>vertical__rule--vertical</v>
      </c>
      <c r="K32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vertical__rule</v>
      </c>
      <c r="L3272" t="s">
        <v>2943</v>
      </c>
      <c r="M3272" t="s">
        <v>3137</v>
      </c>
      <c r="P3272" s="6" t="s">
        <v>2951</v>
      </c>
      <c r="Q32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272" t="s">
        <v>2943</v>
      </c>
      <c r="AB3272" s="60"/>
      <c r="AC3272" s="25"/>
      <c r="AD3272" s="41"/>
      <c r="AE3272" s="41"/>
      <c r="AF3272" s="11"/>
      <c r="AH3272" s="1" t="str">
        <f>Table1[[#This Row],[html_tag]]&amp;Table1[[#This Row],[html_type]]&amp;Table1[[#This Row],[html_modifier]]</f>
        <v/>
      </c>
      <c r="AL3272" s="22" t="str">
        <f>IFERROR(_xlfn.XLOOKUP(Table1[[#This Row],[word]],Table57[English style name],Table57[Style type]),"")</f>
        <v/>
      </c>
      <c r="AM3272" s="20"/>
      <c r="AN3272" s="11"/>
      <c r="AQ3272" s="6" t="s">
        <v>2951</v>
      </c>
      <c r="AR3272" t="s">
        <v>2952</v>
      </c>
    </row>
    <row r="3273" spans="5:44">
      <c r="E3273" s="11"/>
      <c r="F32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3" s="13" t="s">
        <v>461</v>
      </c>
      <c r="H3273" s="13" t="s">
        <v>2991</v>
      </c>
      <c r="I3273" s="12" t="str">
        <f>Table1[[#This Row],[type]]</f>
        <v>vertical</v>
      </c>
      <c r="J3273" s="62" t="str">
        <f>Table1[[#This Row],[Column42]]&amp;IF(Table1[[#This Row],[Column13]]="","",Table1[[#This Row],[Column13]])&amp;IF(Table1[[#This Row],[mod]]="","",Table1[[#This Row],[mod]])</f>
        <v>vertical__text--vertical--bottom</v>
      </c>
      <c r="K32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vertical__text</v>
      </c>
      <c r="L3273" t="s">
        <v>2943</v>
      </c>
      <c r="O3273" t="s">
        <v>403</v>
      </c>
      <c r="P3273" s="6" t="s">
        <v>2948</v>
      </c>
      <c r="Q32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--vertical--bottom</v>
      </c>
      <c r="X3273" t="s">
        <v>2943</v>
      </c>
      <c r="Y3273" t="s">
        <v>3186</v>
      </c>
      <c r="AB3273" s="60"/>
      <c r="AC3273" s="25"/>
      <c r="AD3273" s="41"/>
      <c r="AE3273" s="41"/>
      <c r="AF3273" s="11"/>
      <c r="AH3273" s="1" t="str">
        <f>Table1[[#This Row],[html_tag]]&amp;Table1[[#This Row],[html_type]]&amp;Table1[[#This Row],[html_modifier]]</f>
        <v/>
      </c>
      <c r="AL3273" s="22" t="str">
        <f>IFERROR(_xlfn.XLOOKUP(Table1[[#This Row],[word]],Table57[English style name],Table57[Style type]),"")</f>
        <v/>
      </c>
      <c r="AM3273" s="20"/>
      <c r="AN3273" s="11"/>
      <c r="AQ3273" s="6" t="s">
        <v>2948</v>
      </c>
      <c r="AR3273" t="s">
        <v>2944</v>
      </c>
    </row>
    <row r="3274" spans="5:44">
      <c r="E3274" s="11"/>
      <c r="F32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4" s="13" t="s">
        <v>461</v>
      </c>
      <c r="H3274" s="13" t="s">
        <v>2991</v>
      </c>
      <c r="I3274" s="12" t="str">
        <f>Table1[[#This Row],[type]]</f>
        <v>vertical</v>
      </c>
      <c r="J3274" s="62" t="str">
        <f>Table1[[#This Row],[Column42]]&amp;IF(Table1[[#This Row],[Column13]]="","",Table1[[#This Row],[Column13]])&amp;IF(Table1[[#This Row],[mod]]="","",Table1[[#This Row],[mod]])</f>
        <v>vertical__text--vertical--top</v>
      </c>
      <c r="K32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vertical__text</v>
      </c>
      <c r="L3274" t="s">
        <v>2943</v>
      </c>
      <c r="O3274" t="s">
        <v>403</v>
      </c>
      <c r="P3274" s="6" t="s">
        <v>2949</v>
      </c>
      <c r="Q32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--vertical--top</v>
      </c>
      <c r="X3274" t="s">
        <v>2943</v>
      </c>
      <c r="Y3274" t="s">
        <v>3182</v>
      </c>
      <c r="AB3274" s="60"/>
      <c r="AC3274" s="25"/>
      <c r="AD3274" s="41"/>
      <c r="AE3274" s="41"/>
      <c r="AF3274" s="11"/>
      <c r="AH3274" s="1" t="str">
        <f>Table1[[#This Row],[html_tag]]&amp;Table1[[#This Row],[html_type]]&amp;Table1[[#This Row],[html_modifier]]</f>
        <v/>
      </c>
      <c r="AL3274" s="22" t="str">
        <f>IFERROR(_xlfn.XLOOKUP(Table1[[#This Row],[word]],Table57[English style name],Table57[Style type]),"")</f>
        <v/>
      </c>
      <c r="AM3274" s="20"/>
      <c r="AN3274" s="11"/>
      <c r="AQ3274" s="6" t="s">
        <v>2949</v>
      </c>
      <c r="AR3274" t="s">
        <v>2944</v>
      </c>
    </row>
    <row r="3275" spans="5:44">
      <c r="E3275" s="11"/>
      <c r="F32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5" s="13" t="s">
        <v>461</v>
      </c>
      <c r="H3275" s="13" t="s">
        <v>2991</v>
      </c>
      <c r="I3275" s="12" t="str">
        <f>Table1[[#This Row],[type]]</f>
        <v>vertical</v>
      </c>
      <c r="J3275" s="62" t="str">
        <f>Table1[[#This Row],[Column42]]&amp;IF(Table1[[#This Row],[Column13]]="","",Table1[[#This Row],[Column13]])&amp;IF(Table1[[#This Row],[mod]]="","",Table1[[#This Row],[mod]])</f>
        <v>vertical--vertical</v>
      </c>
      <c r="K32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275" t="s">
        <v>2943</v>
      </c>
      <c r="P3275" s="6" t="s">
        <v>2943</v>
      </c>
      <c r="Q32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275" t="s">
        <v>2943</v>
      </c>
      <c r="AB3275" s="60"/>
      <c r="AC3275" s="25"/>
      <c r="AD3275" s="41"/>
      <c r="AE3275" s="41"/>
      <c r="AF3275" s="11"/>
      <c r="AH3275" s="1" t="str">
        <f>Table1[[#This Row],[html_tag]]&amp;Table1[[#This Row],[html_type]]&amp;Table1[[#This Row],[html_modifier]]</f>
        <v/>
      </c>
      <c r="AL3275" s="22" t="str">
        <f>IFERROR(_xlfn.XLOOKUP(Table1[[#This Row],[word]],Table57[English style name],Table57[Style type]),"")</f>
        <v/>
      </c>
      <c r="AM3275" s="20"/>
      <c r="AN3275" s="11"/>
      <c r="AQ3275" s="6" t="s">
        <v>2943</v>
      </c>
      <c r="AR3275" t="s">
        <v>2944</v>
      </c>
    </row>
    <row r="3276" spans="5:44">
      <c r="E3276" s="11"/>
      <c r="F32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6" s="13" t="s">
        <v>461</v>
      </c>
      <c r="H3276" s="13" t="s">
        <v>2991</v>
      </c>
      <c r="I3276" s="12" t="str">
        <f>Table1[[#This Row],[type]]</f>
        <v>vertical</v>
      </c>
      <c r="J3276" s="62" t="str">
        <f>Table1[[#This Row],[Column42]]&amp;IF(Table1[[#This Row],[Column13]]="","",Table1[[#This Row],[Column13]])&amp;IF(Table1[[#This Row],[mod]]="","",Table1[[#This Row],[mod]])</f>
        <v>vertical--vertical--baseline</v>
      </c>
      <c r="K32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276" t="s">
        <v>2943</v>
      </c>
      <c r="P3276" s="6" t="s">
        <v>2945</v>
      </c>
      <c r="Q32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--vertical--baseline</v>
      </c>
      <c r="X3276" t="s">
        <v>2943</v>
      </c>
      <c r="Y3276" t="s">
        <v>3201</v>
      </c>
      <c r="AB3276" s="80"/>
      <c r="AC3276" s="25"/>
      <c r="AD3276" s="41"/>
      <c r="AE3276" s="41"/>
      <c r="AF3276" s="11"/>
      <c r="AH3276" s="1" t="str">
        <f>Table1[[#This Row],[html_tag]]&amp;Table1[[#This Row],[html_type]]&amp;Table1[[#This Row],[html_modifier]]</f>
        <v/>
      </c>
      <c r="AL3276" s="22" t="str">
        <f>IFERROR(_xlfn.XLOOKUP(Table1[[#This Row],[word]],Table57[English style name],Table57[Style type]),"")</f>
        <v/>
      </c>
      <c r="AM3276" s="20"/>
      <c r="AN3276" s="11"/>
      <c r="AQ3276" s="6" t="s">
        <v>2945</v>
      </c>
      <c r="AR3276" t="s">
        <v>2944</v>
      </c>
    </row>
    <row r="3277" spans="5:44">
      <c r="E3277" s="11"/>
      <c r="F32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7" s="13" t="s">
        <v>461</v>
      </c>
      <c r="H3277" s="13" t="s">
        <v>2991</v>
      </c>
      <c r="I3277" s="12" t="str">
        <f>Table1[[#This Row],[type]]</f>
        <v>vertical</v>
      </c>
      <c r="J3277" s="62" t="str">
        <f>Table1[[#This Row],[Column42]]&amp;IF(Table1[[#This Row],[Column13]]="","",Table1[[#This Row],[Column13]])&amp;IF(Table1[[#This Row],[mod]]="","",Table1[[#This Row],[mod]])</f>
        <v>vertical--vertical--bottom</v>
      </c>
      <c r="K32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277" t="s">
        <v>2943</v>
      </c>
      <c r="P3277" s="6" t="s">
        <v>2946</v>
      </c>
      <c r="Q32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--vertical--bottom</v>
      </c>
      <c r="X3277" t="s">
        <v>2943</v>
      </c>
      <c r="Y3277" t="s">
        <v>3186</v>
      </c>
      <c r="AB3277" s="80"/>
      <c r="AC3277" s="25"/>
      <c r="AD3277" s="41"/>
      <c r="AE3277" s="41"/>
      <c r="AF3277" s="11"/>
      <c r="AH3277" s="1" t="str">
        <f>Table1[[#This Row],[html_tag]]&amp;Table1[[#This Row],[html_type]]&amp;Table1[[#This Row],[html_modifier]]</f>
        <v/>
      </c>
      <c r="AL3277" s="22" t="str">
        <f>IFERROR(_xlfn.XLOOKUP(Table1[[#This Row],[word]],Table57[English style name],Table57[Style type]),"")</f>
        <v/>
      </c>
      <c r="AM3277" s="20"/>
      <c r="AN3277" s="11"/>
      <c r="AQ3277" s="6" t="s">
        <v>2946</v>
      </c>
      <c r="AR3277" t="s">
        <v>2944</v>
      </c>
    </row>
    <row r="3278" spans="5:44">
      <c r="E3278" s="11"/>
      <c r="F32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8" s="13" t="s">
        <v>461</v>
      </c>
      <c r="H3278" s="13" t="s">
        <v>2991</v>
      </c>
      <c r="I3278" s="12" t="str">
        <f>Table1[[#This Row],[type]]</f>
        <v>vertical</v>
      </c>
      <c r="J3278" s="62" t="str">
        <f>Table1[[#This Row],[Column42]]&amp;IF(Table1[[#This Row],[Column13]]="","",Table1[[#This Row],[Column13]])&amp;IF(Table1[[#This Row],[mod]]="","",Table1[[#This Row],[mod]])</f>
        <v>vertical--vertical--middle</v>
      </c>
      <c r="K32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278" t="s">
        <v>2943</v>
      </c>
      <c r="P3278" s="6" t="s">
        <v>2947</v>
      </c>
      <c r="Q32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--vertical--middle</v>
      </c>
      <c r="X3278" t="s">
        <v>2943</v>
      </c>
      <c r="Y3278" t="s">
        <v>3450</v>
      </c>
      <c r="AB3278" s="80"/>
      <c r="AC3278" s="25"/>
      <c r="AD3278" s="41"/>
      <c r="AE3278" s="41"/>
      <c r="AF3278" s="11"/>
      <c r="AH3278" s="1" t="str">
        <f>Table1[[#This Row],[html_tag]]&amp;Table1[[#This Row],[html_type]]&amp;Table1[[#This Row],[html_modifier]]</f>
        <v/>
      </c>
      <c r="AL3278" s="22" t="str">
        <f>IFERROR(_xlfn.XLOOKUP(Table1[[#This Row],[word]],Table57[English style name],Table57[Style type]),"")</f>
        <v/>
      </c>
      <c r="AM3278" s="20"/>
      <c r="AN3278" s="11"/>
      <c r="AQ3278" s="6" t="s">
        <v>2947</v>
      </c>
      <c r="AR3278" t="s">
        <v>2944</v>
      </c>
    </row>
    <row r="3279" spans="5:44">
      <c r="E3279" s="11"/>
      <c r="F32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9" s="13" t="s">
        <v>461</v>
      </c>
      <c r="H3279" s="13" t="s">
        <v>2991</v>
      </c>
      <c r="I3279" s="12" t="str">
        <f>Table1[[#This Row],[type]]</f>
        <v>vertical</v>
      </c>
      <c r="J3279" s="62" t="str">
        <f>Table1[[#This Row],[Column42]]&amp;IF(Table1[[#This Row],[Column13]]="","",Table1[[#This Row],[Column13]])&amp;IF(Table1[[#This Row],[mod]]="","",Table1[[#This Row],[mod]])</f>
        <v>vertical--vertical--top</v>
      </c>
      <c r="K32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279" t="s">
        <v>2943</v>
      </c>
      <c r="P3279" s="6" t="s">
        <v>2950</v>
      </c>
      <c r="Q32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--vertical--top</v>
      </c>
      <c r="X3279" t="s">
        <v>2943</v>
      </c>
      <c r="Y3279" t="s">
        <v>3182</v>
      </c>
      <c r="AB3279" s="29"/>
      <c r="AC3279" s="25"/>
      <c r="AD3279" s="41"/>
      <c r="AE3279" s="41"/>
      <c r="AF3279" s="11"/>
      <c r="AH3279" s="1" t="str">
        <f>Table1[[#This Row],[html_tag]]&amp;Table1[[#This Row],[html_type]]&amp;Table1[[#This Row],[html_modifier]]</f>
        <v/>
      </c>
      <c r="AL3279" s="22" t="str">
        <f>IFERROR(_xlfn.XLOOKUP(Table1[[#This Row],[word]],Table57[English style name],Table57[Style type]),"")</f>
        <v/>
      </c>
      <c r="AM3279" s="20"/>
      <c r="AN3279" s="11"/>
      <c r="AQ3279" s="6" t="s">
        <v>2950</v>
      </c>
      <c r="AR3279" t="s">
        <v>2944</v>
      </c>
    </row>
    <row r="3280" spans="5:44">
      <c r="E3280" s="11"/>
      <c r="F32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3280" s="13" t="s">
        <v>461</v>
      </c>
      <c r="H3280" s="13" t="s">
        <v>2991</v>
      </c>
      <c r="I3280" s="13" t="s">
        <v>3009</v>
      </c>
      <c r="J3280" s="62" t="str">
        <f>Table1[[#This Row],[Column42]]&amp;IF(Table1[[#This Row],[Column13]]="","",Table1[[#This Row],[Column13]])&amp;IF(Table1[[#This Row],[mod]]="","",Table1[[#This Row],[mod]])</f>
        <v>visible</v>
      </c>
      <c r="K32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visible</v>
      </c>
      <c r="L3280" t="s">
        <v>2967</v>
      </c>
      <c r="Q32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0" s="29"/>
      <c r="AC3280" s="25" t="s">
        <v>6053</v>
      </c>
      <c r="AD3280" s="41"/>
      <c r="AE3280" s="41"/>
      <c r="AF3280" s="11"/>
      <c r="AH3280" s="1" t="str">
        <f>Table1[[#This Row],[html_tag]]&amp;Table1[[#This Row],[html_type]]&amp;Table1[[#This Row],[html_modifier]]</f>
        <v/>
      </c>
      <c r="AL3280" s="22" t="str">
        <f>IFERROR(_xlfn.XLOOKUP(Table1[[#This Row],[word]],Table57[English style name],Table57[Style type]),"")</f>
        <v/>
      </c>
      <c r="AM3280" s="20"/>
      <c r="AN3280" s="11"/>
      <c r="AQ3280" s="6" t="s">
        <v>2967</v>
      </c>
      <c r="AR3280" t="s">
        <v>2966</v>
      </c>
    </row>
    <row r="3281" spans="1:47">
      <c r="E3281" s="11"/>
      <c r="F32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3281" s="13" t="s">
        <v>461</v>
      </c>
      <c r="H3281" s="13" t="s">
        <v>2991</v>
      </c>
      <c r="I3281" s="13" t="s">
        <v>3009</v>
      </c>
      <c r="J3281" s="62" t="str">
        <f>Table1[[#This Row],[Column42]]&amp;IF(Table1[[#This Row],[Column13]]="","",Table1[[#This Row],[Column13]])&amp;IF(Table1[[#This Row],[mod]]="","",Table1[[#This Row],[mod]])</f>
        <v>visually_hidden</v>
      </c>
      <c r="K32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visually_hidden</v>
      </c>
      <c r="L3281" t="s">
        <v>3455</v>
      </c>
      <c r="Q32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1" s="29"/>
      <c r="AC3281" s="25" t="s">
        <v>6054</v>
      </c>
      <c r="AD3281" s="41"/>
      <c r="AE3281" s="41"/>
      <c r="AF3281" s="11"/>
      <c r="AH3281" s="1" t="str">
        <f>Table1[[#This Row],[html_tag]]&amp;Table1[[#This Row],[html_type]]&amp;Table1[[#This Row],[html_modifier]]</f>
        <v/>
      </c>
      <c r="AL3281" s="22" t="str">
        <f>IFERROR(_xlfn.XLOOKUP(Table1[[#This Row],[word]],Table57[English style name],Table57[Style type]),"")</f>
        <v/>
      </c>
      <c r="AM3281" s="20"/>
      <c r="AN3281" s="11"/>
      <c r="AQ3281" s="6" t="s">
        <v>2968</v>
      </c>
      <c r="AR3281" t="s">
        <v>2966</v>
      </c>
    </row>
    <row r="3282" spans="1:47">
      <c r="A3282" s="68"/>
      <c r="B3282" s="68"/>
      <c r="C3282" s="68"/>
      <c r="D3282" s="69"/>
      <c r="E3282" s="70"/>
      <c r="F3282" s="6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3282" s="13" t="s">
        <v>461</v>
      </c>
      <c r="H3282" s="13" t="s">
        <v>2991</v>
      </c>
      <c r="I3282" s="13" t="s">
        <v>3009</v>
      </c>
      <c r="J3282" s="72" t="str">
        <f>Table1[[#This Row],[Column42]]&amp;IF(Table1[[#This Row],[Column13]]="","",Table1[[#This Row],[Column13]])&amp;IF(Table1[[#This Row],[mod]]="","",Table1[[#This Row],[mod]])</f>
        <v>visually_hidden--focusable</v>
      </c>
      <c r="K3282" s="78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visually_hidden</v>
      </c>
      <c r="L3282" t="s">
        <v>3455</v>
      </c>
      <c r="Q3282" s="74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--focusable</v>
      </c>
      <c r="S3282" t="s">
        <v>10180</v>
      </c>
      <c r="U3282" s="6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2" s="29"/>
      <c r="AC3282" s="25" t="s">
        <v>6055</v>
      </c>
      <c r="AD3282" s="41"/>
      <c r="AE3282" s="41"/>
      <c r="AF3282" s="11"/>
      <c r="AH3282" s="75" t="str">
        <f>Table1[[#This Row],[html_tag]]&amp;Table1[[#This Row],[html_type]]&amp;Table1[[#This Row],[html_modifier]]</f>
        <v/>
      </c>
      <c r="AL3282" s="23" t="str">
        <f>IFERROR(_xlfn.XLOOKUP(Table1[[#This Row],[word]],Table57[English style name],Table57[Style type]),"")</f>
        <v/>
      </c>
      <c r="AM3282" s="21"/>
      <c r="AN3282" s="70"/>
      <c r="AO3282" s="67"/>
      <c r="AP3282" s="67"/>
      <c r="AQ3282" s="67"/>
      <c r="AR3282" s="67"/>
      <c r="AS3282" s="67"/>
      <c r="AT3282" s="67"/>
      <c r="AU3282" s="67"/>
    </row>
    <row r="3283" spans="1:47">
      <c r="E3283" s="11"/>
      <c r="F32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3283" s="13" t="s">
        <v>461</v>
      </c>
      <c r="H3283" s="13" t="s">
        <v>2991</v>
      </c>
      <c r="I3283" s="13" t="s">
        <v>3009</v>
      </c>
      <c r="J3283" s="62" t="str">
        <f>Table1[[#This Row],[Column42]]&amp;IF(Table1[[#This Row],[Column13]]="","",Table1[[#This Row],[Column13]])&amp;IF(Table1[[#This Row],[mod]]="","",Table1[[#This Row],[mod]])</f>
        <v>visually_hidden--reset</v>
      </c>
      <c r="K32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visually_hidden</v>
      </c>
      <c r="L3283" t="s">
        <v>3455</v>
      </c>
      <c r="Q32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3283" t="s">
        <v>3093</v>
      </c>
      <c r="AB3283" s="29"/>
      <c r="AC3283" s="25"/>
      <c r="AD3283" s="41"/>
      <c r="AE3283" s="41"/>
      <c r="AF3283" s="11"/>
      <c r="AH3283" s="1" t="str">
        <f>Table1[[#This Row],[html_tag]]&amp;Table1[[#This Row],[html_type]]&amp;Table1[[#This Row],[html_modifier]]</f>
        <v/>
      </c>
      <c r="AL3283" s="22" t="str">
        <f>IFERROR(_xlfn.XLOOKUP(Table1[[#This Row],[word]],Table57[English style name],Table57[Style type]),"")</f>
        <v/>
      </c>
      <c r="AM3283" s="20"/>
      <c r="AN3283" s="11"/>
      <c r="AQ3283" s="6" t="s">
        <v>2969</v>
      </c>
      <c r="AR3283" t="s">
        <v>2966</v>
      </c>
    </row>
    <row r="3284" spans="1:47">
      <c r="E3284" s="11"/>
      <c r="F32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284" s="13" t="s">
        <v>337</v>
      </c>
      <c r="H3284" s="13" t="s">
        <v>2988</v>
      </c>
      <c r="I3284" s="12" t="str">
        <f>Table1[[#This Row],[type]]</f>
        <v>widget</v>
      </c>
      <c r="J3284" s="62" t="str">
        <f>Table1[[#This Row],[Column42]]&amp;IF(Table1[[#This Row],[Column13]]="","",Table1[[#This Row],[Column13]])&amp;IF(Table1[[#This Row],[mod]]="","",Table1[[#This Row],[mod]])</f>
        <v>widget--base</v>
      </c>
      <c r="K32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284" t="s">
        <v>3166</v>
      </c>
      <c r="P3284" s="6"/>
      <c r="Q32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284" t="s">
        <v>338</v>
      </c>
      <c r="AB3284" s="29"/>
      <c r="AC3284" s="25"/>
      <c r="AD3284" s="41"/>
      <c r="AE3284" s="41"/>
      <c r="AF3284" s="11"/>
      <c r="AH3284" s="1" t="str">
        <f>Table1[[#This Row],[html_tag]]&amp;Table1[[#This Row],[html_type]]&amp;Table1[[#This Row],[html_modifier]]</f>
        <v/>
      </c>
      <c r="AL3284" s="22" t="str">
        <f>IFERROR(_xlfn.XLOOKUP(Table1[[#This Row],[word]],Table57[English style name],Table57[Style type]),"")</f>
        <v/>
      </c>
      <c r="AM3284" s="20"/>
      <c r="AN3284" s="11"/>
      <c r="AQ3284" s="6" t="s">
        <v>2972</v>
      </c>
      <c r="AR3284" t="s">
        <v>2973</v>
      </c>
    </row>
    <row r="3285" spans="1:47">
      <c r="E3285" s="11"/>
      <c r="F32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285" s="13" t="s">
        <v>337</v>
      </c>
      <c r="H3285" s="13" t="s">
        <v>2988</v>
      </c>
      <c r="I3285" s="12" t="str">
        <f>Table1[[#This Row],[type]]</f>
        <v>widget</v>
      </c>
      <c r="J3285" s="62" t="str">
        <f>Table1[[#This Row],[Column42]]&amp;IF(Table1[[#This Row],[Column13]]="","",Table1[[#This Row],[Column13]])&amp;IF(Table1[[#This Row],[mod]]="","",Table1[[#This Row],[mod]])</f>
        <v>widget--pill</v>
      </c>
      <c r="K32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285" t="s">
        <v>3166</v>
      </c>
      <c r="P3285" s="6"/>
      <c r="Q32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--pill</v>
      </c>
      <c r="W3285" t="s">
        <v>3453</v>
      </c>
      <c r="AB3285" s="29"/>
      <c r="AC3285" s="25"/>
      <c r="AD3285" s="41"/>
      <c r="AE3285" s="41"/>
      <c r="AF3285" s="11"/>
      <c r="AH3285" s="1" t="str">
        <f>Table1[[#This Row],[html_tag]]&amp;Table1[[#This Row],[html_type]]&amp;Table1[[#This Row],[html_modifier]]</f>
        <v/>
      </c>
      <c r="AL3285" s="22" t="str">
        <f>IFERROR(_xlfn.XLOOKUP(Table1[[#This Row],[word]],Table57[English style name],Table57[Style type]),"")</f>
        <v/>
      </c>
      <c r="AM3285" s="20"/>
      <c r="AN3285" s="11"/>
      <c r="AQ3285" s="6" t="s">
        <v>2974</v>
      </c>
      <c r="AR3285" t="s">
        <v>2973</v>
      </c>
    </row>
    <row r="3286" spans="1:47">
      <c r="E3286" s="11"/>
      <c r="F32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286" s="13" t="s">
        <v>337</v>
      </c>
      <c r="H3286" s="13" t="s">
        <v>2988</v>
      </c>
      <c r="I3286" s="12" t="str">
        <f>Table1[[#This Row],[type]]</f>
        <v>widget</v>
      </c>
      <c r="J3286" s="62" t="str">
        <f>Table1[[#This Row],[Column42]]&amp;IF(Table1[[#This Row],[Column13]]="","",Table1[[#This Row],[Column13]])&amp;IF(Table1[[#This Row],[mod]]="","",Table1[[#This Row],[mod]])</f>
        <v>widget--round</v>
      </c>
      <c r="K32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286" t="s">
        <v>3166</v>
      </c>
      <c r="P3286" s="6"/>
      <c r="Q32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3286" s="3" t="s">
        <v>3204</v>
      </c>
      <c r="X3286" s="3"/>
      <c r="AB3286" s="29"/>
      <c r="AC3286" s="25"/>
      <c r="AD3286" s="41"/>
      <c r="AE3286" s="41"/>
      <c r="AF3286" s="11"/>
      <c r="AH3286" s="1" t="str">
        <f>Table1[[#This Row],[html_tag]]&amp;Table1[[#This Row],[html_type]]&amp;Table1[[#This Row],[html_modifier]]</f>
        <v/>
      </c>
      <c r="AL3286" s="22" t="str">
        <f>IFERROR(_xlfn.XLOOKUP(Table1[[#This Row],[word]],Table57[English style name],Table57[Style type]),"")</f>
        <v/>
      </c>
      <c r="AM3286" s="20"/>
      <c r="AN3286" s="11"/>
      <c r="AQ3286" s="6" t="s">
        <v>2975</v>
      </c>
      <c r="AR3286" t="s">
        <v>2973</v>
      </c>
    </row>
    <row r="3287" spans="1:47">
      <c r="E3287" s="11"/>
      <c r="F32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287" s="13" t="s">
        <v>337</v>
      </c>
      <c r="H3287" s="13" t="s">
        <v>2988</v>
      </c>
      <c r="I3287" s="12" t="str">
        <f>Table1[[#This Row],[type]]</f>
        <v>widget</v>
      </c>
      <c r="J3287" s="62" t="str">
        <f>Table1[[#This Row],[Column42]]&amp;IF(Table1[[#This Row],[Column13]]="","",Table1[[#This Row],[Column13]])&amp;IF(Table1[[#This Row],[mod]]="","",Table1[[#This Row],[mod]])</f>
        <v>widget--square</v>
      </c>
      <c r="K32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287" t="s">
        <v>3166</v>
      </c>
      <c r="P3287" s="6"/>
      <c r="Q32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3287" t="s">
        <v>3122</v>
      </c>
      <c r="AB3287" s="29"/>
      <c r="AC3287" s="25"/>
      <c r="AD3287" s="41"/>
      <c r="AE3287" s="41"/>
      <c r="AF3287" s="11"/>
      <c r="AH3287" s="1" t="str">
        <f>Table1[[#This Row],[html_tag]]&amp;Table1[[#This Row],[html_type]]&amp;Table1[[#This Row],[html_modifier]]</f>
        <v/>
      </c>
      <c r="AL3287" s="22" t="str">
        <f>IFERROR(_xlfn.XLOOKUP(Table1[[#This Row],[word]],Table57[English style name],Table57[Style type]),"")</f>
        <v/>
      </c>
      <c r="AM3287" s="20"/>
      <c r="AN3287" s="11"/>
      <c r="AQ3287" s="6" t="s">
        <v>2976</v>
      </c>
      <c r="AR3287" t="s">
        <v>2973</v>
      </c>
    </row>
    <row r="3288" spans="1:47">
      <c r="E3288" s="11"/>
      <c r="F32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body/organisms/x.scss</v>
      </c>
      <c r="G3288" s="13" t="s">
        <v>337</v>
      </c>
      <c r="H3288" s="13" t="s">
        <v>2988</v>
      </c>
      <c r="I3288" s="12" t="str">
        <f>Table1[[#This Row],[type]]</f>
        <v>x</v>
      </c>
      <c r="J3288" s="62" t="str">
        <f>Table1[[#This Row],[Column42]]&amp;IF(Table1[[#This Row],[Column13]]="","",Table1[[#This Row],[Column13]])&amp;IF(Table1[[#This Row],[mod]]="","",Table1[[#This Row],[mod]])</f>
        <v>x</v>
      </c>
      <c r="K32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x</v>
      </c>
      <c r="L3288" t="s">
        <v>3150</v>
      </c>
      <c r="P3288" s="6" t="s">
        <v>1369</v>
      </c>
      <c r="Q32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8" s="29"/>
      <c r="AC3288" s="25"/>
      <c r="AD3288" s="41"/>
      <c r="AE3288" s="41"/>
      <c r="AF3288" s="11"/>
      <c r="AH3288" s="1" t="str">
        <f>Table1[[#This Row],[html_tag]]&amp;Table1[[#This Row],[html_type]]&amp;Table1[[#This Row],[html_modifier]]</f>
        <v/>
      </c>
      <c r="AL3288" s="22" t="str">
        <f>IFERROR(_xlfn.XLOOKUP(Table1[[#This Row],[word]],Table57[English style name],Table57[Style type]),"")</f>
        <v/>
      </c>
      <c r="AM3288" s="20"/>
      <c r="AN3288" s="11"/>
      <c r="AQ3288" s="6" t="s">
        <v>1369</v>
      </c>
      <c r="AR3288" t="s">
        <v>1365</v>
      </c>
    </row>
    <row r="3289" spans="1:47">
      <c r="E3289" s="11"/>
      <c r="F32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x.scss</v>
      </c>
      <c r="G3289" s="13"/>
      <c r="H3289" s="13"/>
      <c r="I3289" s="12" t="str">
        <f>Table1[[#This Row],[type]]</f>
        <v>x</v>
      </c>
      <c r="J3289" s="62" t="str">
        <f>Table1[[#This Row],[Column42]]&amp;IF(Table1[[#This Row],[Column13]]="","",Table1[[#This Row],[Column13]])&amp;IF(Table1[[#This Row],[mod]]="","",Table1[[#This Row],[mod]])</f>
        <v>x</v>
      </c>
      <c r="K32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x</v>
      </c>
      <c r="L3289" t="s">
        <v>3150</v>
      </c>
      <c r="Q32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9" s="29"/>
      <c r="AC3289" s="25"/>
      <c r="AD3289" s="41"/>
      <c r="AE3289" s="41"/>
      <c r="AF3289" s="11"/>
      <c r="AH3289" s="7" t="str">
        <f>Table1[[#This Row],[html_tag]]&amp;Table1[[#This Row],[html_type]]&amp;Table1[[#This Row],[html_modifier]]</f>
        <v/>
      </c>
      <c r="AL3289" s="23" t="str">
        <f>IFERROR(_xlfn.XLOOKUP(Table1[[#This Row],[word]],Table57[English style name],Table57[Style type]),"")</f>
        <v/>
      </c>
      <c r="AM3289" s="21"/>
      <c r="AN3289" s="11"/>
    </row>
    <row r="3290" spans="1:47">
      <c r="E3290" s="11"/>
      <c r="F3290" s="16"/>
      <c r="G3290" s="13"/>
      <c r="H3290" s="13"/>
      <c r="I3290" s="12"/>
      <c r="J3290" s="62"/>
      <c r="K3290" s="10"/>
      <c r="L3290" t="s">
        <v>4567</v>
      </c>
      <c r="Q3290" s="17"/>
      <c r="U3290" s="10"/>
      <c r="X3290" t="s">
        <v>2943</v>
      </c>
      <c r="AB3290" s="29"/>
      <c r="AC3290" s="25"/>
      <c r="AD3290" s="41"/>
      <c r="AE3290" s="41"/>
      <c r="AF3290" s="11"/>
      <c r="AH3290" s="7"/>
      <c r="AL3290" s="23"/>
      <c r="AM3290" s="21"/>
      <c r="AN3290" s="11"/>
    </row>
    <row r="3291" spans="1:47">
      <c r="E3291" s="11"/>
      <c r="F3291" s="16"/>
      <c r="G3291" s="13"/>
      <c r="H3291" s="13"/>
      <c r="I3291" s="12"/>
      <c r="J3291" s="62"/>
      <c r="K3291" s="10"/>
      <c r="L3291" t="s">
        <v>4567</v>
      </c>
      <c r="Q3291" s="17"/>
      <c r="U3291" s="10"/>
      <c r="X3291" t="s">
        <v>3205</v>
      </c>
      <c r="AB3291" s="29"/>
      <c r="AC3291" s="25"/>
      <c r="AD3291" s="41"/>
      <c r="AE3291" s="41"/>
      <c r="AF3291" s="11"/>
      <c r="AH3291" s="7"/>
      <c r="AL3291" s="23"/>
      <c r="AM3291" s="21"/>
      <c r="AN3291" s="11"/>
    </row>
    <row r="3292" spans="1:47">
      <c r="E3292" s="11"/>
      <c r="F3292" s="16"/>
      <c r="G3292" s="13"/>
      <c r="H3292" s="13"/>
      <c r="I3292" s="12"/>
      <c r="J3292" s="62"/>
      <c r="K3292" s="10"/>
      <c r="Q3292" s="17"/>
      <c r="U3292" s="10"/>
      <c r="AB3292" s="29"/>
      <c r="AC3292" s="25"/>
      <c r="AD3292" s="41"/>
      <c r="AE3292" s="41"/>
      <c r="AF3292" s="11"/>
      <c r="AH3292" s="7"/>
      <c r="AL3292" s="23"/>
      <c r="AM3292" s="21"/>
      <c r="AN3292" s="11"/>
    </row>
    <row r="3293" spans="1:47">
      <c r="E3293" s="11"/>
      <c r="F3293" s="16"/>
      <c r="G3293" s="13"/>
      <c r="H3293" s="13"/>
      <c r="I3293" s="12"/>
      <c r="J3293" s="62"/>
      <c r="K3293" s="10"/>
      <c r="Q3293" s="17"/>
      <c r="U3293" s="10"/>
      <c r="AB3293" s="29"/>
      <c r="AC3293" s="25"/>
      <c r="AD3293" s="41"/>
      <c r="AE3293" s="41"/>
      <c r="AF3293" s="11"/>
      <c r="AH3293" s="7"/>
      <c r="AL3293" s="23"/>
      <c r="AM3293" s="21"/>
      <c r="AN3293" s="11"/>
    </row>
    <row r="3294" spans="1:47">
      <c r="E3294" s="11"/>
      <c r="F3294" s="16"/>
      <c r="G3294" s="13"/>
      <c r="H3294" s="13"/>
      <c r="I3294" s="12"/>
      <c r="J3294" s="62"/>
      <c r="K3294" s="10"/>
      <c r="Q3294" s="17"/>
      <c r="U3294" s="10"/>
      <c r="AB3294" s="29"/>
      <c r="AC3294" s="25"/>
      <c r="AD3294" s="41"/>
      <c r="AE3294" s="41"/>
      <c r="AF3294" s="11"/>
      <c r="AH3294" s="7"/>
      <c r="AL3294" s="23"/>
      <c r="AM3294" s="21"/>
      <c r="AN3294" s="11"/>
    </row>
    <row r="3295" spans="1:47">
      <c r="E3295" s="11"/>
      <c r="F3295" s="16"/>
      <c r="G3295" s="13"/>
      <c r="H3295" s="13"/>
      <c r="I3295" s="12"/>
      <c r="J3295" s="62"/>
      <c r="K3295" s="10"/>
      <c r="Q3295" s="17"/>
      <c r="U3295" s="10"/>
      <c r="AB3295" s="29"/>
      <c r="AC3295" s="25"/>
      <c r="AD3295" s="41"/>
      <c r="AE3295" s="41"/>
      <c r="AF3295" s="11"/>
      <c r="AH3295" s="7"/>
      <c r="AL3295" s="23"/>
      <c r="AM3295" s="21"/>
      <c r="AN3295" s="11"/>
    </row>
    <row r="3296" spans="1:47">
      <c r="E3296" s="11"/>
      <c r="F3296" s="16"/>
      <c r="G3296" s="13"/>
      <c r="H3296" s="13"/>
      <c r="I3296" s="12"/>
      <c r="J3296" s="62"/>
      <c r="K3296" s="10"/>
      <c r="Q3296" s="17"/>
      <c r="U3296" s="10"/>
      <c r="AB3296" s="29"/>
      <c r="AC3296" s="25"/>
      <c r="AD3296" s="41"/>
      <c r="AE3296" s="41"/>
      <c r="AF3296" s="11"/>
      <c r="AH3296" s="7"/>
      <c r="AL3296" s="23"/>
      <c r="AM3296" s="21"/>
      <c r="AN3296" s="11"/>
    </row>
    <row r="3297" spans="5:44">
      <c r="E3297" s="11"/>
      <c r="F3297" s="10"/>
      <c r="G3297" s="13"/>
      <c r="H3297" s="13"/>
      <c r="I3297" s="12"/>
      <c r="J3297" s="62"/>
      <c r="K3297" s="10"/>
      <c r="Q3297" s="18"/>
      <c r="U3297" s="10"/>
      <c r="AB3297" s="29"/>
      <c r="AC3297" s="25"/>
      <c r="AD3297" s="41"/>
      <c r="AE3297" s="41"/>
      <c r="AF3297" s="11"/>
      <c r="AH3297" s="1"/>
      <c r="AL3297" s="22"/>
      <c r="AM3297" s="20"/>
      <c r="AN3297" s="11"/>
      <c r="AQ3297" s="67"/>
      <c r="AR3297" s="67"/>
    </row>
    <row r="3298" spans="5:44">
      <c r="E3298" s="11"/>
      <c r="F3298" s="16"/>
      <c r="G3298" s="13"/>
      <c r="H3298" s="13"/>
      <c r="I3298" s="12"/>
      <c r="J3298" s="62"/>
      <c r="K3298" s="10"/>
      <c r="Q3298" s="17"/>
      <c r="U3298" s="10"/>
      <c r="AB3298" s="29"/>
      <c r="AC3298" s="25"/>
      <c r="AD3298" s="41"/>
      <c r="AE3298" s="41"/>
      <c r="AF3298" s="11"/>
      <c r="AH3298" s="7"/>
      <c r="AL3298" s="23"/>
      <c r="AM3298" s="21"/>
      <c r="AN3298" s="11"/>
    </row>
    <row r="3299" spans="5:44">
      <c r="E3299" s="11"/>
      <c r="F3299" s="16"/>
      <c r="G3299" s="13"/>
      <c r="H3299" s="13"/>
      <c r="I3299" s="12"/>
      <c r="J3299" s="62"/>
      <c r="K3299" s="10"/>
      <c r="Q3299" s="17"/>
      <c r="U3299" s="10"/>
      <c r="AB3299" s="29"/>
      <c r="AC3299" s="25"/>
      <c r="AD3299" s="41"/>
      <c r="AE3299" s="41"/>
      <c r="AF3299" s="11"/>
      <c r="AH3299" s="1"/>
      <c r="AL3299" s="22"/>
      <c r="AM3299" s="20"/>
      <c r="AN3299" s="11"/>
    </row>
    <row r="3300" spans="5:44">
      <c r="E3300" s="11"/>
      <c r="F3300" s="10"/>
      <c r="G3300" s="13"/>
      <c r="H3300" s="13"/>
      <c r="I3300" s="12"/>
      <c r="J3300" s="62"/>
      <c r="K3300" s="10"/>
      <c r="P3300" s="6"/>
      <c r="Q3300" s="18"/>
      <c r="U3300" s="10"/>
      <c r="AB3300" s="29"/>
      <c r="AC3300" s="25"/>
      <c r="AD3300" s="41"/>
      <c r="AE3300" s="41"/>
      <c r="AF3300" s="11"/>
      <c r="AH3300" s="1"/>
      <c r="AL3300" s="22"/>
      <c r="AM3300" s="20"/>
      <c r="AN3300" s="11"/>
      <c r="AQ3300" s="67"/>
      <c r="AR3300" s="67"/>
    </row>
    <row r="3301" spans="5:44">
      <c r="E3301" s="11"/>
      <c r="F3301" s="16"/>
      <c r="G3301" s="13"/>
      <c r="H3301" s="13"/>
      <c r="I3301" s="12"/>
      <c r="J3301" s="62"/>
      <c r="K3301" s="10"/>
      <c r="Q3301" s="17"/>
      <c r="U3301" s="16"/>
      <c r="AB3301" s="29"/>
      <c r="AC3301" s="25"/>
      <c r="AD3301" s="41"/>
      <c r="AE3301" s="59"/>
      <c r="AF3301" s="11"/>
      <c r="AH3301" s="7"/>
      <c r="AL3301" s="23"/>
      <c r="AM3301" s="21"/>
      <c r="AN3301" s="11"/>
    </row>
    <row r="3302" spans="5:44">
      <c r="E3302" s="11"/>
      <c r="F3302" s="16"/>
      <c r="G3302" s="13"/>
      <c r="H3302" s="13"/>
      <c r="I3302" s="12"/>
      <c r="J3302" s="62"/>
      <c r="K3302" s="10"/>
      <c r="Q3302" s="17"/>
      <c r="U3302" s="16"/>
      <c r="AB3302" s="29"/>
      <c r="AC3302" s="25"/>
      <c r="AD3302" s="41"/>
      <c r="AE3302" s="59"/>
      <c r="AF3302" s="11"/>
      <c r="AH3302" s="7"/>
      <c r="AL3302" s="23"/>
      <c r="AM3302" s="21"/>
      <c r="AN3302" s="11"/>
    </row>
    <row r="3303" spans="5:44">
      <c r="E3303" s="11"/>
      <c r="F3303" s="16"/>
      <c r="G3303" s="13"/>
      <c r="H3303" s="13"/>
      <c r="I3303" s="12"/>
      <c r="J3303" s="62"/>
      <c r="K3303" s="10"/>
      <c r="Q3303" s="17"/>
      <c r="U3303" s="16"/>
      <c r="AB3303" s="29"/>
      <c r="AC3303" s="25"/>
      <c r="AD3303" s="41"/>
      <c r="AE3303" s="59"/>
      <c r="AF3303" s="11"/>
      <c r="AH3303" s="7"/>
      <c r="AL3303" s="23"/>
      <c r="AM3303" s="21"/>
      <c r="AN3303" s="11"/>
    </row>
    <row r="3304" spans="5:44">
      <c r="E3304" s="11"/>
      <c r="F3304" s="16"/>
      <c r="G3304" s="13"/>
      <c r="H3304" s="13"/>
      <c r="I3304" s="12"/>
      <c r="J3304" s="62"/>
      <c r="K3304" s="10"/>
      <c r="Q3304" s="17"/>
      <c r="U3304" s="16"/>
      <c r="AB3304" s="29"/>
      <c r="AC3304" s="25"/>
      <c r="AD3304" s="41"/>
      <c r="AE3304" s="59"/>
      <c r="AF3304" s="11"/>
      <c r="AH3304" s="7"/>
      <c r="AL3304" s="23"/>
      <c r="AM3304" s="21"/>
      <c r="AN3304" s="11"/>
    </row>
    <row r="3305" spans="5:44">
      <c r="E3305" s="11"/>
      <c r="F3305" s="16"/>
      <c r="G3305" s="13"/>
      <c r="H3305" s="13"/>
      <c r="I3305" s="12"/>
      <c r="J3305" s="62"/>
      <c r="K3305" s="10"/>
      <c r="Q3305" s="17"/>
      <c r="U3305" s="16"/>
      <c r="AB3305" s="29"/>
      <c r="AC3305" s="25"/>
      <c r="AD3305" s="41"/>
      <c r="AE3305" s="59"/>
      <c r="AF3305" s="11"/>
      <c r="AH3305" s="7"/>
      <c r="AL3305" s="23"/>
      <c r="AM3305" s="21"/>
      <c r="AN3305" s="11"/>
    </row>
    <row r="3306" spans="5:44">
      <c r="E3306" s="11"/>
      <c r="F3306" s="16"/>
      <c r="G3306" s="13"/>
      <c r="H3306" s="13"/>
      <c r="I3306" s="12"/>
      <c r="J3306" s="62"/>
      <c r="K3306" s="10"/>
      <c r="Q3306" s="17"/>
      <c r="U3306" s="16"/>
      <c r="AB3306" s="29"/>
      <c r="AC3306" s="25"/>
      <c r="AD3306" s="41"/>
      <c r="AE3306" s="59"/>
      <c r="AF3306" s="11"/>
      <c r="AH3306" s="7"/>
      <c r="AL3306" s="23"/>
      <c r="AM3306" s="21"/>
      <c r="AN3306" s="11"/>
    </row>
    <row r="3307" spans="5:44">
      <c r="E3307" s="11"/>
      <c r="F3307" s="10"/>
      <c r="G3307" s="13"/>
      <c r="H3307" s="13"/>
      <c r="I3307" s="12"/>
      <c r="J3307" s="62"/>
      <c r="K3307" s="10"/>
      <c r="Q3307" s="18"/>
      <c r="U3307" s="10"/>
      <c r="AB3307" s="29"/>
      <c r="AC3307" s="25"/>
      <c r="AD3307" s="41"/>
      <c r="AE3307" s="41"/>
      <c r="AF3307" s="11"/>
      <c r="AH3307" s="1"/>
      <c r="AL3307" s="22"/>
      <c r="AM3307" s="20"/>
      <c r="AN3307" s="11"/>
      <c r="AQ3307" s="6"/>
    </row>
    <row r="3308" spans="5:44">
      <c r="E3308" s="11"/>
      <c r="F3308" s="16"/>
      <c r="G3308" s="13"/>
      <c r="H3308" s="13"/>
      <c r="I3308" s="12"/>
      <c r="J3308" s="62"/>
      <c r="K3308" s="10"/>
      <c r="Q3308" s="17"/>
      <c r="U3308" s="10"/>
      <c r="AB3308" s="29"/>
      <c r="AC3308" s="25"/>
      <c r="AD3308" s="41"/>
      <c r="AE3308" s="41"/>
      <c r="AF3308" s="11"/>
      <c r="AH3308" s="7"/>
      <c r="AL3308" s="23"/>
      <c r="AM3308" s="21"/>
      <c r="AN3308" s="11"/>
    </row>
    <row r="3309" spans="5:44">
      <c r="E3309" s="11"/>
      <c r="F3309" s="10"/>
      <c r="G3309" s="13"/>
      <c r="H3309" s="13"/>
      <c r="I3309" s="12"/>
      <c r="J3309" s="62"/>
      <c r="K3309" s="10"/>
      <c r="P3309" s="6"/>
      <c r="Q3309" s="18"/>
      <c r="U3309" s="10"/>
      <c r="AB3309" s="29"/>
      <c r="AC3309" s="25"/>
      <c r="AD3309" s="41"/>
      <c r="AE3309" s="41"/>
      <c r="AF3309" s="11"/>
      <c r="AH3309" s="1"/>
      <c r="AL3309" s="22"/>
      <c r="AM3309" s="20"/>
      <c r="AN3309" s="11"/>
      <c r="AQ3309" s="67"/>
      <c r="AR3309" s="67"/>
    </row>
    <row r="3310" spans="5:44">
      <c r="E3310" s="11"/>
      <c r="F3310" s="10"/>
      <c r="G3310" s="13"/>
      <c r="H3310" s="13"/>
      <c r="I3310" s="12"/>
      <c r="J3310" s="62"/>
      <c r="K3310" s="10"/>
      <c r="P3310" s="6"/>
      <c r="Q3310" s="18"/>
      <c r="U3310" s="10"/>
      <c r="AB3310" s="29"/>
      <c r="AC3310" s="25"/>
      <c r="AD3310" s="41"/>
      <c r="AE3310" s="41"/>
      <c r="AF3310" s="11"/>
      <c r="AH3310" s="1"/>
      <c r="AL3310" s="22"/>
      <c r="AM3310" s="20"/>
      <c r="AN3310" s="11"/>
      <c r="AQ3310" s="67"/>
      <c r="AR3310" s="67"/>
    </row>
    <row r="3311" spans="5:44">
      <c r="E3311" s="11"/>
      <c r="F3311" s="10"/>
      <c r="G3311" s="13"/>
      <c r="H3311" s="13"/>
      <c r="I3311" s="12"/>
      <c r="J3311" s="62"/>
      <c r="K3311" s="10"/>
      <c r="Q3311" s="18"/>
      <c r="U3311" s="10"/>
      <c r="AB3311" s="29"/>
      <c r="AC3311" s="25"/>
      <c r="AD3311" s="41"/>
      <c r="AE3311" s="41"/>
      <c r="AF3311" s="11"/>
      <c r="AH3311" s="1"/>
      <c r="AL3311" s="22"/>
      <c r="AM3311" s="20"/>
      <c r="AN3311" s="11"/>
      <c r="AQ3311" s="67"/>
      <c r="AR3311" s="67"/>
    </row>
    <row r="3312" spans="5:44">
      <c r="E3312" s="11"/>
      <c r="F3312" s="10"/>
      <c r="G3312" s="13"/>
      <c r="H3312" s="13"/>
      <c r="I3312" s="12"/>
      <c r="J3312" s="62"/>
      <c r="K3312" s="10"/>
      <c r="Q3312" s="18"/>
      <c r="U3312" s="10"/>
      <c r="AB3312" s="29"/>
      <c r="AC3312" s="25"/>
      <c r="AD3312" s="41"/>
      <c r="AE3312" s="41"/>
      <c r="AF3312" s="11"/>
      <c r="AH3312" s="1"/>
      <c r="AL3312" s="22"/>
      <c r="AM3312" s="20"/>
      <c r="AN3312" s="11"/>
      <c r="AQ3312" s="67"/>
      <c r="AR3312" s="67"/>
    </row>
    <row r="3313" spans="5:44">
      <c r="E3313" s="11"/>
      <c r="F3313" s="10"/>
      <c r="G3313" s="13"/>
      <c r="H3313" s="13"/>
      <c r="I3313" s="12"/>
      <c r="J3313" s="62"/>
      <c r="K3313" s="10"/>
      <c r="Q3313" s="18"/>
      <c r="U3313" s="10"/>
      <c r="AB3313" s="29"/>
      <c r="AC3313" s="25"/>
      <c r="AD3313" s="41"/>
      <c r="AE3313" s="41"/>
      <c r="AF3313" s="11"/>
      <c r="AH3313" s="1"/>
      <c r="AL3313" s="22"/>
      <c r="AM3313" s="20"/>
      <c r="AN3313" s="11"/>
      <c r="AQ3313" s="67"/>
      <c r="AR3313" s="67"/>
    </row>
    <row r="3314" spans="5:44">
      <c r="E3314" s="11"/>
      <c r="F3314" s="10"/>
      <c r="G3314" s="13"/>
      <c r="H3314" s="13"/>
      <c r="I3314" s="12"/>
      <c r="J3314" s="62"/>
      <c r="K3314" s="10"/>
      <c r="Q3314" s="18"/>
      <c r="U3314" s="10"/>
      <c r="AB3314" s="29"/>
      <c r="AC3314" s="25"/>
      <c r="AD3314" s="41"/>
      <c r="AE3314" s="41"/>
      <c r="AF3314" s="11"/>
      <c r="AH3314" s="1"/>
      <c r="AL3314" s="22"/>
      <c r="AM3314" s="20"/>
      <c r="AN3314" s="11"/>
      <c r="AQ3314" s="67"/>
      <c r="AR3314" s="67"/>
    </row>
    <row r="3315" spans="5:44">
      <c r="E3315" s="11"/>
      <c r="F3315" s="10"/>
      <c r="G3315" s="13"/>
      <c r="H3315" s="13"/>
      <c r="I3315" s="12"/>
      <c r="J3315" s="62"/>
      <c r="K3315" s="10"/>
      <c r="Q3315" s="18"/>
      <c r="U3315" s="10"/>
      <c r="AB3315" s="29"/>
      <c r="AC3315" s="25"/>
      <c r="AD3315" s="41"/>
      <c r="AE3315" s="41"/>
      <c r="AF3315" s="11"/>
      <c r="AH3315" s="1"/>
      <c r="AL3315" s="22"/>
      <c r="AM3315" s="20"/>
      <c r="AN3315" s="11"/>
      <c r="AQ3315" s="67"/>
      <c r="AR3315" s="67"/>
    </row>
    <row r="3316" spans="5:44">
      <c r="E3316" s="11"/>
      <c r="F3316" s="10"/>
      <c r="G3316" s="13"/>
      <c r="H3316" s="13"/>
      <c r="I3316" s="12"/>
      <c r="J3316" s="62"/>
      <c r="K3316" s="10"/>
      <c r="Q3316" s="18"/>
      <c r="U3316" s="10"/>
      <c r="AB3316" s="29"/>
      <c r="AC3316" s="25"/>
      <c r="AD3316" s="41"/>
      <c r="AE3316" s="41"/>
      <c r="AF3316" s="11"/>
      <c r="AH3316" s="1"/>
      <c r="AL3316" s="22"/>
      <c r="AM3316" s="20"/>
      <c r="AN3316" s="11"/>
      <c r="AQ3316" s="67"/>
      <c r="AR3316" s="67"/>
    </row>
    <row r="3317" spans="5:44">
      <c r="E3317" s="11"/>
      <c r="F3317" s="10"/>
      <c r="G3317" s="13"/>
      <c r="H3317" s="13"/>
      <c r="I3317" s="12"/>
      <c r="J3317" s="62"/>
      <c r="K3317" s="10"/>
      <c r="P3317" s="6"/>
      <c r="Q3317" s="18"/>
      <c r="U3317" s="10"/>
      <c r="AB3317" s="29"/>
      <c r="AC3317" s="25"/>
      <c r="AD3317" s="41"/>
      <c r="AE3317" s="41"/>
      <c r="AF3317" s="11"/>
      <c r="AH3317" s="1"/>
      <c r="AL3317" s="22"/>
      <c r="AM3317" s="20"/>
      <c r="AN3317" s="11"/>
      <c r="AQ3317" s="67"/>
      <c r="AR3317" s="67"/>
    </row>
    <row r="3318" spans="5:44">
      <c r="E3318" s="11"/>
      <c r="F3318" s="16"/>
      <c r="G3318" s="13"/>
      <c r="H3318" s="13"/>
      <c r="I3318" s="12"/>
      <c r="J3318" s="62"/>
      <c r="K3318" s="10"/>
      <c r="Q3318" s="17"/>
      <c r="U3318" s="10"/>
      <c r="AB3318" s="29"/>
      <c r="AC3318" s="25"/>
      <c r="AD3318" s="41"/>
      <c r="AE3318" s="41"/>
      <c r="AF3318" s="11"/>
      <c r="AH3318" s="7"/>
      <c r="AL3318" s="23"/>
      <c r="AM3318" s="21"/>
      <c r="AN3318" s="11"/>
    </row>
    <row r="3319" spans="5:44">
      <c r="E3319" s="11"/>
      <c r="F3319" s="16"/>
      <c r="G3319" s="13"/>
      <c r="H3319" s="13"/>
      <c r="I3319" s="12"/>
      <c r="J3319" s="62"/>
      <c r="K3319" s="10"/>
      <c r="Q3319" s="17"/>
      <c r="U3319" s="10"/>
      <c r="AB3319" s="29"/>
      <c r="AC3319" s="25"/>
      <c r="AD3319" s="41"/>
      <c r="AE3319" s="41"/>
      <c r="AF3319" s="11"/>
      <c r="AH3319" s="7"/>
      <c r="AL3319" s="23"/>
      <c r="AM3319" s="21"/>
      <c r="AN3319" s="11"/>
    </row>
    <row r="3320" spans="5:44">
      <c r="E3320" s="11"/>
      <c r="F3320" s="16"/>
      <c r="G3320" s="13"/>
      <c r="H3320" s="13"/>
      <c r="I3320" s="12"/>
      <c r="J3320" s="62"/>
      <c r="K3320" s="10"/>
      <c r="Q3320" s="17"/>
      <c r="U3320" s="10"/>
      <c r="AB3320" s="29"/>
      <c r="AC3320" s="25"/>
      <c r="AD3320" s="41"/>
      <c r="AE3320" s="41"/>
      <c r="AF3320" s="11"/>
      <c r="AH3320" s="7"/>
      <c r="AL3320" s="23"/>
      <c r="AM3320" s="21"/>
      <c r="AN3320" s="11"/>
    </row>
    <row r="3321" spans="5:44">
      <c r="E3321" s="11"/>
      <c r="F3321" s="16"/>
      <c r="G3321" s="13"/>
      <c r="H3321" s="13"/>
      <c r="I3321" s="12"/>
      <c r="J3321" s="62"/>
      <c r="K3321" s="10"/>
      <c r="Q3321" s="17"/>
      <c r="U3321" s="10"/>
      <c r="AB3321" s="29"/>
      <c r="AC3321" s="25"/>
      <c r="AD3321" s="41"/>
      <c r="AE3321" s="41"/>
      <c r="AF3321" s="11"/>
      <c r="AH3321" s="7"/>
      <c r="AL3321" s="23"/>
      <c r="AM3321" s="21"/>
      <c r="AN3321" s="11"/>
    </row>
    <row r="3322" spans="5:44">
      <c r="E3322" s="11"/>
      <c r="F3322" s="16"/>
      <c r="G3322" s="13"/>
      <c r="H3322" s="13"/>
      <c r="I3322" s="12"/>
      <c r="J3322" s="62"/>
      <c r="K3322" s="10"/>
      <c r="O3322" s="29"/>
      <c r="Q3322" s="17"/>
      <c r="U3322" s="16"/>
      <c r="AB3322" s="29"/>
      <c r="AC3322" s="25"/>
      <c r="AD3322" s="41"/>
      <c r="AE3322" s="41"/>
      <c r="AF3322" s="11"/>
      <c r="AH3322" s="7"/>
      <c r="AL3322" s="23"/>
      <c r="AM3322" s="21"/>
      <c r="AN3322" s="11"/>
    </row>
    <row r="3323" spans="5:44">
      <c r="E3323" s="11"/>
      <c r="F3323" s="16"/>
      <c r="G3323" s="13"/>
      <c r="H3323" s="13"/>
      <c r="I3323" s="12"/>
      <c r="J3323" s="62"/>
      <c r="K3323" s="10"/>
      <c r="O3323" s="25"/>
      <c r="Q3323" s="17"/>
      <c r="U3323" s="16"/>
      <c r="AB3323" s="29"/>
      <c r="AC3323" s="25"/>
      <c r="AD3323" s="41"/>
      <c r="AE3323" s="41"/>
      <c r="AF3323" s="11"/>
      <c r="AH3323" s="7"/>
      <c r="AL3323" s="23"/>
      <c r="AM3323" s="21"/>
      <c r="AN3323" s="11"/>
    </row>
    <row r="3324" spans="5:44">
      <c r="E3324" s="11"/>
      <c r="F3324" s="16"/>
      <c r="G3324" s="13"/>
      <c r="H3324" s="13"/>
      <c r="I3324" s="12"/>
      <c r="J3324" s="62"/>
      <c r="K3324" s="10"/>
      <c r="O3324" s="25"/>
      <c r="Q3324" s="17"/>
      <c r="U3324" s="16"/>
      <c r="AB3324" s="29"/>
      <c r="AC3324" s="25"/>
      <c r="AD3324" s="41"/>
      <c r="AE3324" s="41"/>
      <c r="AF3324" s="11"/>
      <c r="AH3324" s="7"/>
      <c r="AL3324" s="23"/>
      <c r="AM3324" s="21"/>
      <c r="AN3324" s="11"/>
    </row>
    <row r="3325" spans="5:44">
      <c r="E3325" s="11"/>
      <c r="F3325" s="16"/>
      <c r="G3325" s="13"/>
      <c r="H3325" s="13"/>
      <c r="I3325" s="12"/>
      <c r="J3325" s="62"/>
      <c r="K3325" s="10"/>
      <c r="O3325" s="25"/>
      <c r="Q3325" s="17"/>
      <c r="U3325" s="16"/>
      <c r="AB3325" s="29"/>
      <c r="AC3325" s="25"/>
      <c r="AD3325" s="41"/>
      <c r="AE3325" s="41"/>
      <c r="AF3325" s="11"/>
      <c r="AH3325" s="7"/>
      <c r="AL3325" s="23"/>
      <c r="AM3325" s="21"/>
      <c r="AN3325" s="11"/>
    </row>
    <row r="3326" spans="5:44">
      <c r="E3326" s="11"/>
      <c r="F3326" s="16"/>
      <c r="G3326" s="13"/>
      <c r="H3326" s="13"/>
      <c r="I3326" s="12"/>
      <c r="J3326" s="62"/>
      <c r="K3326" s="10"/>
      <c r="O3326" s="25"/>
      <c r="Q3326" s="17"/>
      <c r="U3326" s="16"/>
      <c r="AB3326" s="29"/>
      <c r="AC3326" s="25"/>
      <c r="AD3326" s="41"/>
      <c r="AE3326" s="41"/>
      <c r="AF3326" s="11"/>
      <c r="AH3326" s="7"/>
      <c r="AL3326" s="23"/>
      <c r="AM3326" s="21"/>
      <c r="AN3326" s="11"/>
    </row>
    <row r="3327" spans="5:44">
      <c r="E3327" s="11"/>
      <c r="F3327" s="16"/>
      <c r="G3327" s="13"/>
      <c r="H3327" s="13"/>
      <c r="I3327" s="12"/>
      <c r="J3327" s="62"/>
      <c r="K3327" s="10"/>
      <c r="O3327" s="25"/>
      <c r="Q3327" s="17"/>
      <c r="U3327" s="16"/>
      <c r="AB3327" s="29"/>
      <c r="AC3327" s="25"/>
      <c r="AD3327" s="41"/>
      <c r="AE3327" s="41"/>
      <c r="AF3327" s="11"/>
      <c r="AH3327" s="7"/>
      <c r="AL3327" s="23"/>
      <c r="AM3327" s="21"/>
      <c r="AN3327" s="11"/>
    </row>
    <row r="3328" spans="5:44">
      <c r="E3328" s="11"/>
      <c r="F3328" s="16"/>
      <c r="G3328" s="13"/>
      <c r="H3328" s="13"/>
      <c r="I3328" s="12"/>
      <c r="J3328" s="62"/>
      <c r="K3328" s="10"/>
      <c r="O3328" s="25"/>
      <c r="Q3328" s="17"/>
      <c r="U3328" s="16"/>
      <c r="AB3328" s="29"/>
      <c r="AC3328" s="25"/>
      <c r="AD3328" s="41"/>
      <c r="AE3328" s="41"/>
      <c r="AF3328" s="11"/>
      <c r="AH3328" s="7"/>
      <c r="AL3328" s="23"/>
      <c r="AM3328" s="21"/>
      <c r="AN3328" s="11"/>
    </row>
    <row r="3329" spans="5:44">
      <c r="E3329" s="11"/>
      <c r="F3329" s="16"/>
      <c r="G3329" s="13"/>
      <c r="H3329" s="13"/>
      <c r="I3329" s="12"/>
      <c r="J3329" s="62"/>
      <c r="K3329" s="10"/>
      <c r="Q3329" s="17"/>
      <c r="U3329" s="10"/>
      <c r="AB3329" s="29"/>
      <c r="AC3329" s="25"/>
      <c r="AD3329" s="41"/>
      <c r="AE3329" s="41"/>
      <c r="AF3329" s="11"/>
      <c r="AH3329" s="7"/>
      <c r="AL3329" s="23"/>
      <c r="AM3329" s="21"/>
      <c r="AN3329" s="11"/>
    </row>
    <row r="3330" spans="5:44">
      <c r="E3330" s="11"/>
      <c r="F3330" s="16"/>
      <c r="G3330" s="13"/>
      <c r="H3330" s="13"/>
      <c r="I3330" s="12"/>
      <c r="J3330" s="62"/>
      <c r="K3330" s="10"/>
      <c r="Q3330" s="17"/>
      <c r="U3330" s="10"/>
      <c r="AB3330" s="29"/>
      <c r="AC3330" s="25"/>
      <c r="AD3330" s="41"/>
      <c r="AE3330" s="41"/>
      <c r="AF3330" s="11"/>
      <c r="AH3330" s="1"/>
      <c r="AL3330" s="22"/>
      <c r="AM3330" s="20"/>
      <c r="AN3330" s="11"/>
    </row>
    <row r="3331" spans="5:44">
      <c r="E3331" s="11"/>
      <c r="F3331" s="16"/>
      <c r="G3331" s="13"/>
      <c r="H3331" s="13"/>
      <c r="I3331" s="12"/>
      <c r="J3331" s="62"/>
      <c r="K3331" s="10"/>
      <c r="Q3331" s="17"/>
      <c r="U3331" s="10"/>
      <c r="AB3331" s="29"/>
      <c r="AC3331" s="25"/>
      <c r="AD3331" s="41"/>
      <c r="AE3331" s="41"/>
      <c r="AF3331" s="11"/>
      <c r="AH3331" s="1"/>
      <c r="AL3331" s="22"/>
      <c r="AM3331" s="20"/>
      <c r="AN3331" s="11"/>
    </row>
    <row r="3332" spans="5:44">
      <c r="E3332" s="11"/>
      <c r="F3332" s="16"/>
      <c r="G3332" s="13"/>
      <c r="H3332" s="13"/>
      <c r="I3332" s="12"/>
      <c r="J3332" s="62"/>
      <c r="K3332" s="10"/>
      <c r="Q3332" s="17"/>
      <c r="U3332" s="10"/>
      <c r="AB3332" s="29"/>
      <c r="AC3332" s="25"/>
      <c r="AD3332" s="41"/>
      <c r="AE3332" s="41"/>
      <c r="AF3332" s="11"/>
      <c r="AH3332" s="1"/>
      <c r="AL3332" s="22"/>
      <c r="AM3332" s="20"/>
      <c r="AN3332" s="11"/>
    </row>
    <row r="3333" spans="5:44">
      <c r="E3333" s="11"/>
      <c r="F3333" s="16"/>
      <c r="G3333" s="13"/>
      <c r="H3333" s="13"/>
      <c r="I3333" s="12"/>
      <c r="J3333" s="62"/>
      <c r="K3333" s="10"/>
      <c r="Q3333" s="17"/>
      <c r="U3333" s="10"/>
      <c r="AB3333" s="29"/>
      <c r="AC3333" s="25"/>
      <c r="AD3333" s="41"/>
      <c r="AE3333" s="41"/>
      <c r="AF3333" s="11"/>
      <c r="AH3333" s="1"/>
      <c r="AL3333" s="22"/>
      <c r="AM3333" s="20"/>
      <c r="AN3333" s="11"/>
    </row>
    <row r="3334" spans="5:44">
      <c r="E3334" s="11"/>
      <c r="F3334" s="16"/>
      <c r="G3334" s="13"/>
      <c r="H3334" s="13"/>
      <c r="I3334" s="12"/>
      <c r="J3334" s="62"/>
      <c r="K3334" s="10"/>
      <c r="Q3334" s="17"/>
      <c r="U3334" s="10"/>
      <c r="AB3334" s="29"/>
      <c r="AC3334" s="25"/>
      <c r="AD3334" s="41"/>
      <c r="AE3334" s="41"/>
      <c r="AF3334" s="11"/>
      <c r="AH3334" s="1"/>
      <c r="AL3334" s="22"/>
      <c r="AM3334" s="20"/>
      <c r="AN3334" s="11"/>
    </row>
    <row r="3335" spans="5:44">
      <c r="E3335" s="11"/>
      <c r="F3335" s="16"/>
      <c r="G3335" s="13"/>
      <c r="H3335" s="13"/>
      <c r="I3335" s="12"/>
      <c r="J3335" s="62"/>
      <c r="K3335" s="10"/>
      <c r="Q3335" s="17"/>
      <c r="U3335" s="10"/>
      <c r="AB3335" s="29"/>
      <c r="AC3335" s="25"/>
      <c r="AD3335" s="41"/>
      <c r="AE3335" s="41"/>
      <c r="AF3335" s="11"/>
      <c r="AH3335" s="1"/>
      <c r="AL3335" s="22"/>
      <c r="AM3335" s="20"/>
      <c r="AN3335" s="11"/>
    </row>
    <row r="3336" spans="5:44">
      <c r="E3336" s="11"/>
      <c r="F3336" s="16"/>
      <c r="G3336" s="13"/>
      <c r="H3336" s="13"/>
      <c r="I3336" s="12"/>
      <c r="J3336" s="62"/>
      <c r="K3336" s="10"/>
      <c r="Q3336" s="17"/>
      <c r="U3336" s="10"/>
      <c r="AB3336" s="29"/>
      <c r="AC3336" s="25"/>
      <c r="AD3336" s="41"/>
      <c r="AE3336" s="41"/>
      <c r="AF3336" s="11"/>
      <c r="AH3336" s="1"/>
      <c r="AL3336" s="22"/>
      <c r="AM3336" s="20"/>
      <c r="AN3336" s="11"/>
    </row>
    <row r="3337" spans="5:44">
      <c r="E3337" s="11"/>
      <c r="F3337" s="10"/>
      <c r="G3337" s="13"/>
      <c r="H3337" s="13"/>
      <c r="I3337" s="12"/>
      <c r="J3337" s="62"/>
      <c r="K3337" s="10"/>
      <c r="P3337" s="6"/>
      <c r="Q3337" s="18"/>
      <c r="U3337" s="10"/>
      <c r="AB3337" s="29"/>
      <c r="AC3337" s="25"/>
      <c r="AD3337" s="41"/>
      <c r="AE3337" s="41"/>
      <c r="AF3337" s="11"/>
      <c r="AH3337" s="1"/>
      <c r="AL3337" s="22"/>
      <c r="AM3337" s="20"/>
      <c r="AN3337" s="11"/>
    </row>
    <row r="3338" spans="5:44">
      <c r="E3338" s="11"/>
      <c r="F3338" s="16"/>
      <c r="G3338" s="13"/>
      <c r="H3338" s="13"/>
      <c r="I3338" s="12"/>
      <c r="J3338" s="62"/>
      <c r="K3338" s="10"/>
      <c r="Q3338" s="17"/>
      <c r="U3338" s="10"/>
      <c r="AB3338" s="29"/>
      <c r="AC3338" s="25"/>
      <c r="AD3338" s="41"/>
      <c r="AE3338" s="41"/>
      <c r="AF3338" s="11"/>
      <c r="AH3338" s="7"/>
      <c r="AL3338" s="23"/>
      <c r="AM3338" s="21"/>
      <c r="AN3338" s="11"/>
    </row>
    <row r="3339" spans="5:44">
      <c r="E3339" s="11"/>
      <c r="F3339" s="16"/>
      <c r="G3339" s="13"/>
      <c r="H3339" s="13"/>
      <c r="I3339" s="12"/>
      <c r="J3339" s="62"/>
      <c r="K3339" s="10"/>
      <c r="Q3339" s="17"/>
      <c r="U3339" s="10"/>
      <c r="AB3339" s="29"/>
      <c r="AC3339" s="25"/>
      <c r="AD3339" s="41"/>
      <c r="AE3339" s="41"/>
      <c r="AF3339" s="11"/>
      <c r="AH3339" s="7"/>
      <c r="AL3339" s="23"/>
      <c r="AM3339" s="21"/>
      <c r="AN3339" s="11"/>
    </row>
    <row r="3340" spans="5:44">
      <c r="E3340" s="11"/>
      <c r="F3340" s="10"/>
      <c r="G3340" s="13"/>
      <c r="H3340" s="13"/>
      <c r="I3340" s="12"/>
      <c r="J3340" s="62"/>
      <c r="K3340" s="10"/>
      <c r="Q3340" s="18"/>
      <c r="U3340" s="66"/>
      <c r="AB3340" s="29"/>
      <c r="AC3340" s="25"/>
      <c r="AD3340" s="41"/>
      <c r="AE3340" s="41"/>
      <c r="AF3340" s="11"/>
      <c r="AH3340" s="1"/>
      <c r="AL3340" s="22"/>
      <c r="AM3340" s="20"/>
      <c r="AN3340" s="11"/>
      <c r="AQ3340" s="67"/>
      <c r="AR3340" s="67"/>
    </row>
    <row r="3341" spans="5:44">
      <c r="E3341" s="11"/>
      <c r="F3341" s="10"/>
      <c r="G3341" s="13"/>
      <c r="H3341" s="13"/>
      <c r="I3341" s="12"/>
      <c r="J3341" s="62"/>
      <c r="K3341" s="10"/>
      <c r="Q3341" s="18"/>
      <c r="U3341" s="10"/>
      <c r="AB3341" s="29"/>
      <c r="AC3341" s="25"/>
      <c r="AD3341" s="41"/>
      <c r="AE3341" s="41"/>
      <c r="AF3341" s="11"/>
      <c r="AH3341" s="7"/>
      <c r="AL3341" s="22"/>
      <c r="AM3341" s="20"/>
      <c r="AN3341" s="11"/>
      <c r="AQ3341" s="67"/>
      <c r="AR3341" s="67"/>
    </row>
    <row r="3342" spans="5:44">
      <c r="E3342" s="11"/>
      <c r="F3342" s="16"/>
      <c r="G3342" s="13"/>
      <c r="H3342" s="13"/>
      <c r="I3342" s="12"/>
      <c r="J3342" s="62"/>
      <c r="K3342" s="10"/>
      <c r="Q3342" s="17"/>
      <c r="U3342" s="10"/>
      <c r="AB3342" s="29"/>
      <c r="AC3342" s="25"/>
      <c r="AD3342" s="41"/>
      <c r="AE3342" s="41"/>
      <c r="AF3342" s="11"/>
      <c r="AH3342" s="1"/>
      <c r="AL3342" s="22"/>
      <c r="AM3342" s="20"/>
      <c r="AN3342" s="11"/>
    </row>
    <row r="3343" spans="5:44">
      <c r="E3343" s="11"/>
      <c r="F3343" s="16"/>
      <c r="G3343" s="13"/>
      <c r="H3343" s="13"/>
      <c r="I3343" s="12"/>
      <c r="J3343" s="62"/>
      <c r="K3343" s="10"/>
      <c r="Q3343" s="17"/>
      <c r="U3343" s="10"/>
      <c r="AB3343" s="29"/>
      <c r="AC3343" s="25"/>
      <c r="AD3343" s="41"/>
      <c r="AE3343" s="41"/>
      <c r="AF3343" s="11"/>
      <c r="AH3343" s="1"/>
      <c r="AL3343" s="22"/>
      <c r="AM3343" s="20"/>
      <c r="AN3343" s="11"/>
    </row>
    <row r="3344" spans="5:44">
      <c r="E3344" s="11"/>
      <c r="F3344" s="16"/>
      <c r="G3344" s="13"/>
      <c r="H3344" s="13"/>
      <c r="I3344" s="12"/>
      <c r="J3344" s="62"/>
      <c r="K3344" s="10"/>
      <c r="Q3344" s="17"/>
      <c r="U3344" s="10"/>
      <c r="AB3344" s="29"/>
      <c r="AC3344" s="25"/>
      <c r="AD3344" s="41"/>
      <c r="AE3344" s="41"/>
      <c r="AF3344" s="11"/>
      <c r="AH3344" s="1"/>
      <c r="AL3344" s="22"/>
      <c r="AM3344" s="20"/>
      <c r="AN3344" s="11"/>
    </row>
    <row r="3345" spans="5:40">
      <c r="E3345" s="11"/>
      <c r="F3345" s="10"/>
      <c r="G3345" s="13"/>
      <c r="H3345" s="13"/>
      <c r="I3345" s="12"/>
      <c r="J3345" s="62"/>
      <c r="K3345" s="10"/>
      <c r="P3345" s="4"/>
      <c r="Q3345" s="18"/>
      <c r="U3345" s="10"/>
      <c r="AB3345" s="29"/>
      <c r="AC3345" s="25"/>
      <c r="AD3345" s="41"/>
      <c r="AE3345" s="41"/>
      <c r="AF3345" s="11"/>
      <c r="AH3345" s="1"/>
      <c r="AL3345" s="22"/>
      <c r="AM3345" s="20"/>
      <c r="AN3345" s="11"/>
    </row>
    <row r="3346" spans="5:40">
      <c r="E3346" s="11"/>
      <c r="F3346" s="10"/>
      <c r="G3346" s="13"/>
      <c r="H3346" s="13"/>
      <c r="I3346" s="12"/>
      <c r="J3346" s="62"/>
      <c r="K3346" s="10"/>
      <c r="P3346" s="4"/>
      <c r="Q3346" s="18"/>
      <c r="U3346" s="10"/>
      <c r="AB3346" s="29"/>
      <c r="AC3346" s="25"/>
      <c r="AD3346" s="41"/>
      <c r="AE3346" s="41"/>
      <c r="AF3346" s="11"/>
      <c r="AH3346" s="1"/>
      <c r="AL3346" s="22"/>
      <c r="AM3346" s="20"/>
      <c r="AN3346" s="11"/>
    </row>
    <row r="3347" spans="5:40">
      <c r="E3347" s="11"/>
      <c r="F3347" s="10"/>
      <c r="G3347" s="13"/>
      <c r="H3347" s="13"/>
      <c r="I3347" s="12"/>
      <c r="J3347" s="62"/>
      <c r="K3347" s="10"/>
      <c r="P3347" s="4"/>
      <c r="Q3347" s="18"/>
      <c r="U3347" s="10"/>
      <c r="AB3347" s="29"/>
      <c r="AC3347" s="25"/>
      <c r="AD3347" s="41"/>
      <c r="AE3347" s="41"/>
      <c r="AF3347" s="11"/>
      <c r="AH3347" s="1"/>
      <c r="AL3347" s="22"/>
      <c r="AM3347" s="20"/>
      <c r="AN3347" s="11"/>
    </row>
    <row r="3348" spans="5:40">
      <c r="E3348" s="11"/>
      <c r="F3348" s="10"/>
      <c r="G3348" s="13"/>
      <c r="H3348" s="13"/>
      <c r="I3348" s="12"/>
      <c r="J3348" s="62"/>
      <c r="K3348" s="10"/>
      <c r="P3348" s="4"/>
      <c r="Q3348" s="18"/>
      <c r="U3348" s="10"/>
      <c r="AB3348" s="29"/>
      <c r="AC3348" s="25"/>
      <c r="AD3348" s="41"/>
      <c r="AE3348" s="41"/>
      <c r="AF3348" s="11"/>
      <c r="AH3348" s="1"/>
      <c r="AL3348" s="22"/>
      <c r="AM3348" s="20"/>
      <c r="AN3348" s="11"/>
    </row>
    <row r="3349" spans="5:40">
      <c r="E3349" s="11"/>
      <c r="F3349" s="10"/>
      <c r="G3349" s="13"/>
      <c r="H3349" s="13"/>
      <c r="I3349" s="12"/>
      <c r="J3349" s="62"/>
      <c r="K3349" s="10"/>
      <c r="P3349" s="4"/>
      <c r="Q3349" s="18"/>
      <c r="U3349" s="10"/>
      <c r="AB3349" s="29"/>
      <c r="AC3349" s="25"/>
      <c r="AD3349" s="41"/>
      <c r="AE3349" s="41"/>
      <c r="AF3349" s="11"/>
      <c r="AH3349" s="1"/>
      <c r="AL3349" s="22"/>
      <c r="AM3349" s="20"/>
      <c r="AN3349" s="11"/>
    </row>
    <row r="3350" spans="5:40">
      <c r="E3350" s="11"/>
      <c r="F3350" s="10"/>
      <c r="G3350" s="13"/>
      <c r="H3350" s="13"/>
      <c r="I3350" s="12"/>
      <c r="J3350" s="62"/>
      <c r="K3350" s="10"/>
      <c r="P3350" s="4"/>
      <c r="Q3350" s="18"/>
      <c r="U3350" s="10"/>
      <c r="AB3350" s="29"/>
      <c r="AC3350" s="25"/>
      <c r="AD3350" s="41"/>
      <c r="AE3350" s="41"/>
      <c r="AF3350" s="11"/>
      <c r="AH3350" s="1"/>
      <c r="AL3350" s="22"/>
      <c r="AM3350" s="20"/>
      <c r="AN3350" s="11"/>
    </row>
    <row r="3351" spans="5:40">
      <c r="E3351" s="11"/>
      <c r="F3351" s="10"/>
      <c r="G3351" s="13"/>
      <c r="H3351" s="13"/>
      <c r="I3351" s="12"/>
      <c r="J3351" s="62"/>
      <c r="K3351" s="10"/>
      <c r="P3351" s="14"/>
      <c r="Q3351" s="18"/>
      <c r="U3351" s="10"/>
      <c r="AB3351" s="29"/>
      <c r="AC3351" s="25"/>
      <c r="AD3351" s="41"/>
      <c r="AE3351" s="41"/>
      <c r="AF3351" s="11"/>
      <c r="AH3351" s="1"/>
      <c r="AL3351" s="22"/>
      <c r="AM3351" s="20"/>
      <c r="AN3351" s="11"/>
    </row>
    <row r="3352" spans="5:40">
      <c r="E3352" s="11"/>
      <c r="F3352" s="10"/>
      <c r="G3352" s="13"/>
      <c r="H3352" s="13"/>
      <c r="I3352" s="12"/>
      <c r="J3352" s="62"/>
      <c r="K3352" s="10"/>
      <c r="P3352" s="14"/>
      <c r="Q3352" s="18"/>
      <c r="U3352" s="10"/>
      <c r="AB3352" s="29"/>
      <c r="AC3352" s="25"/>
      <c r="AD3352" s="41"/>
      <c r="AE3352" s="41"/>
      <c r="AF3352" s="11"/>
      <c r="AH3352" s="1"/>
      <c r="AL3352" s="22"/>
      <c r="AM3352" s="20"/>
      <c r="AN3352" s="11"/>
    </row>
    <row r="3353" spans="5:40">
      <c r="E3353" s="11"/>
      <c r="F3353" s="10"/>
      <c r="G3353" s="13"/>
      <c r="H3353" s="13"/>
      <c r="I3353" s="12"/>
      <c r="J3353" s="62"/>
      <c r="K3353" s="10"/>
      <c r="P3353" s="14"/>
      <c r="Q3353" s="18"/>
      <c r="U3353" s="10"/>
      <c r="AA3353" s="3"/>
      <c r="AB3353" s="29"/>
      <c r="AC3353" s="25"/>
      <c r="AD3353" s="41"/>
      <c r="AE3353" s="41"/>
      <c r="AF3353" s="11"/>
      <c r="AH3353" s="1"/>
      <c r="AL3353" s="22"/>
      <c r="AM3353" s="20"/>
      <c r="AN3353" s="11"/>
    </row>
    <row r="3354" spans="5:40">
      <c r="E3354" s="11"/>
      <c r="F3354" s="16"/>
      <c r="G3354" s="13"/>
      <c r="H3354" s="13"/>
      <c r="I3354" s="12"/>
      <c r="J3354" s="62"/>
      <c r="K3354" s="10"/>
      <c r="Q3354" s="17"/>
      <c r="U3354" s="16"/>
      <c r="AB3354" s="29"/>
      <c r="AC3354" s="25"/>
      <c r="AD3354" s="41"/>
      <c r="AE3354" s="41"/>
      <c r="AF3354" s="11"/>
      <c r="AH3354" s="7"/>
      <c r="AL3354" s="23"/>
      <c r="AM3354" s="21"/>
      <c r="AN3354" s="11"/>
    </row>
    <row r="3355" spans="5:40">
      <c r="E3355" s="11"/>
      <c r="F3355" s="16"/>
      <c r="G3355" s="13"/>
      <c r="H3355" s="13"/>
      <c r="I3355" s="12"/>
      <c r="J3355" s="62"/>
      <c r="K3355" s="10"/>
      <c r="Q3355" s="17"/>
      <c r="U3355" s="16"/>
      <c r="AB3355" s="29"/>
      <c r="AC3355" s="25"/>
      <c r="AD3355" s="41"/>
      <c r="AE3355" s="41"/>
      <c r="AF3355" s="11"/>
      <c r="AH3355" s="7"/>
      <c r="AL3355" s="23"/>
      <c r="AM3355" s="21"/>
      <c r="AN3355" s="11"/>
    </row>
    <row r="3356" spans="5:40">
      <c r="E3356" s="11"/>
      <c r="F3356" s="16"/>
      <c r="G3356" s="13"/>
      <c r="H3356" s="13"/>
      <c r="I3356" s="12"/>
      <c r="J3356" s="62"/>
      <c r="K3356" s="10"/>
      <c r="Q3356" s="17"/>
      <c r="U3356" s="16"/>
      <c r="AB3356" s="29"/>
      <c r="AC3356" s="25"/>
      <c r="AD3356" s="41"/>
      <c r="AE3356" s="41"/>
      <c r="AF3356" s="11"/>
      <c r="AH3356" s="7"/>
      <c r="AL3356" s="23"/>
      <c r="AM3356" s="21"/>
      <c r="AN3356" s="11"/>
    </row>
    <row r="3357" spans="5:40">
      <c r="E3357" s="11"/>
      <c r="F3357" s="16"/>
      <c r="G3357" s="13"/>
      <c r="H3357" s="13"/>
      <c r="I3357" s="12"/>
      <c r="J3357" s="62"/>
      <c r="K3357" s="10"/>
      <c r="Q3357" s="17"/>
      <c r="U3357" s="16"/>
      <c r="AB3357" s="29"/>
      <c r="AC3357" s="25"/>
      <c r="AD3357" s="41"/>
      <c r="AE3357" s="41"/>
      <c r="AF3357" s="11"/>
      <c r="AH3357" s="7"/>
      <c r="AL3357" s="23"/>
      <c r="AM3357" s="21"/>
      <c r="AN3357" s="11"/>
    </row>
    <row r="3358" spans="5:40">
      <c r="E3358" s="11"/>
      <c r="F3358" s="10"/>
      <c r="G3358" s="13"/>
      <c r="H3358" s="13"/>
      <c r="I3358" s="12"/>
      <c r="J3358" s="62"/>
      <c r="K3358" s="10"/>
      <c r="Q3358" s="18"/>
      <c r="U3358" s="10"/>
      <c r="AB3358" s="29"/>
      <c r="AC3358" s="25"/>
      <c r="AD3358" s="41"/>
      <c r="AE3358" s="41"/>
      <c r="AF3358" s="11"/>
      <c r="AH3358" s="1"/>
      <c r="AL3358" s="22"/>
      <c r="AM3358" s="20"/>
      <c r="AN3358" s="11"/>
    </row>
    <row r="3359" spans="5:40">
      <c r="E3359" s="11"/>
      <c r="F3359" s="10"/>
      <c r="G3359" s="13"/>
      <c r="H3359" s="13"/>
      <c r="I3359" s="12"/>
      <c r="J3359" s="62"/>
      <c r="K3359" s="10"/>
      <c r="Q3359" s="18"/>
      <c r="U3359" s="10"/>
      <c r="AB3359" s="29"/>
      <c r="AC3359" s="25"/>
      <c r="AD3359" s="41"/>
      <c r="AE3359" s="41"/>
      <c r="AF3359" s="11"/>
      <c r="AH3359" s="1"/>
      <c r="AL3359" s="22"/>
      <c r="AM3359" s="20"/>
      <c r="AN3359" s="11"/>
    </row>
    <row r="3360" spans="5:40">
      <c r="E3360" s="11"/>
      <c r="F3360" s="16"/>
      <c r="G3360" s="13"/>
      <c r="H3360" s="13"/>
      <c r="I3360" s="12"/>
      <c r="J3360" s="62"/>
      <c r="K3360" s="10"/>
      <c r="Q3360" s="17"/>
      <c r="U3360" s="10"/>
      <c r="AB3360" s="29"/>
      <c r="AC3360" s="25"/>
      <c r="AD3360" s="41"/>
      <c r="AE3360" s="41"/>
      <c r="AF3360" s="11"/>
      <c r="AH3360" s="1"/>
      <c r="AL3360" s="22"/>
      <c r="AM3360" s="20"/>
      <c r="AN3360" s="11"/>
    </row>
    <row r="3361" spans="5:40">
      <c r="E3361" s="11"/>
      <c r="F3361" s="16"/>
      <c r="G3361" s="13"/>
      <c r="H3361" s="13"/>
      <c r="I3361" s="12"/>
      <c r="J3361" s="62"/>
      <c r="K3361" s="10"/>
      <c r="Q3361" s="17"/>
      <c r="U3361" s="10"/>
      <c r="AB3361" s="29"/>
      <c r="AC3361" s="25"/>
      <c r="AD3361" s="41"/>
      <c r="AE3361" s="41"/>
      <c r="AF3361" s="11"/>
      <c r="AH3361" s="1"/>
      <c r="AL3361" s="22"/>
      <c r="AM3361" s="20"/>
      <c r="AN3361" s="11"/>
    </row>
    <row r="3362" spans="5:40">
      <c r="E3362" s="11"/>
      <c r="F3362" s="16"/>
      <c r="G3362" s="13"/>
      <c r="H3362" s="13"/>
      <c r="I3362" s="12"/>
      <c r="J3362" s="62"/>
      <c r="K3362" s="10"/>
      <c r="Q3362" s="17"/>
      <c r="U3362" s="10"/>
      <c r="AB3362" s="29"/>
      <c r="AC3362" s="25"/>
      <c r="AD3362" s="41"/>
      <c r="AE3362" s="41"/>
      <c r="AF3362" s="11"/>
      <c r="AH3362" s="1"/>
      <c r="AL3362" s="22"/>
      <c r="AM3362" s="20"/>
      <c r="AN3362" s="11"/>
    </row>
    <row r="3363" spans="5:40">
      <c r="E3363" s="11"/>
      <c r="F3363" s="16"/>
      <c r="G3363" s="13"/>
      <c r="H3363" s="13"/>
      <c r="I3363" s="12"/>
      <c r="J3363" s="62"/>
      <c r="K3363" s="10"/>
      <c r="Q3363" s="17"/>
      <c r="U3363" s="10"/>
      <c r="AB3363" s="29"/>
      <c r="AC3363" s="25"/>
      <c r="AD3363" s="41"/>
      <c r="AE3363" s="41"/>
      <c r="AF3363" s="11"/>
      <c r="AH3363" s="7"/>
      <c r="AL3363" s="23"/>
      <c r="AM3363" s="21"/>
      <c r="AN3363" s="11"/>
    </row>
    <row r="3364" spans="5:40">
      <c r="E3364" s="11"/>
      <c r="F3364" s="16"/>
      <c r="G3364" s="13"/>
      <c r="H3364" s="13"/>
      <c r="I3364" s="12"/>
      <c r="J3364" s="62"/>
      <c r="K3364" s="10"/>
      <c r="Q3364" s="17"/>
      <c r="U3364" s="10"/>
      <c r="AB3364" s="29"/>
      <c r="AC3364" s="25"/>
      <c r="AD3364" s="41"/>
      <c r="AE3364" s="41"/>
      <c r="AF3364" s="11"/>
      <c r="AH3364" s="7"/>
      <c r="AL3364" s="23"/>
      <c r="AM3364" s="21"/>
      <c r="AN3364" s="11"/>
    </row>
    <row r="3365" spans="5:40">
      <c r="E3365" s="11"/>
      <c r="F3365" s="16"/>
      <c r="G3365" s="13"/>
      <c r="H3365" s="13"/>
      <c r="I3365" s="12"/>
      <c r="J3365" s="62"/>
      <c r="K3365" s="10"/>
      <c r="Q3365" s="17"/>
      <c r="U3365" s="10"/>
      <c r="AB3365" s="29"/>
      <c r="AC3365" s="25"/>
      <c r="AD3365" s="41"/>
      <c r="AE3365" s="41"/>
      <c r="AF3365" s="11"/>
      <c r="AH3365" s="7"/>
      <c r="AL3365" s="23"/>
      <c r="AM3365" s="21"/>
      <c r="AN3365" s="11"/>
    </row>
    <row r="3366" spans="5:40">
      <c r="E3366" s="11"/>
      <c r="F3366" s="16"/>
      <c r="G3366" s="13"/>
      <c r="H3366" s="13"/>
      <c r="I3366" s="12"/>
      <c r="J3366" s="62"/>
      <c r="K3366" s="10"/>
      <c r="Q3366" s="17"/>
      <c r="U3366" s="10"/>
      <c r="AB3366" s="29"/>
      <c r="AC3366" s="25"/>
      <c r="AD3366" s="41"/>
      <c r="AE3366" s="41"/>
      <c r="AF3366" s="11"/>
      <c r="AH3366" s="7"/>
      <c r="AL3366" s="23"/>
      <c r="AM3366" s="21"/>
      <c r="AN3366" s="11"/>
    </row>
    <row r="3367" spans="5:40">
      <c r="E3367" s="11"/>
      <c r="F3367" s="16"/>
      <c r="G3367" s="13"/>
      <c r="H3367" s="13"/>
      <c r="I3367" s="12"/>
      <c r="J3367" s="62"/>
      <c r="K3367" s="10"/>
      <c r="Q3367" s="17"/>
      <c r="U3367" s="10"/>
      <c r="AB3367" s="29"/>
      <c r="AC3367" s="25"/>
      <c r="AD3367" s="41"/>
      <c r="AE3367" s="41"/>
      <c r="AF3367" s="11"/>
      <c r="AH3367" s="7"/>
      <c r="AL3367" s="23"/>
      <c r="AM3367" s="21"/>
      <c r="AN3367" s="11"/>
    </row>
    <row r="3368" spans="5:40">
      <c r="E3368" s="11"/>
      <c r="F3368" s="16"/>
      <c r="G3368" s="13"/>
      <c r="H3368" s="13"/>
      <c r="I3368" s="12"/>
      <c r="J3368" s="62"/>
      <c r="K3368" s="10"/>
      <c r="Q3368" s="17"/>
      <c r="U3368" s="10"/>
      <c r="AB3368" s="29"/>
      <c r="AC3368" s="25"/>
      <c r="AD3368" s="41"/>
      <c r="AE3368" s="41"/>
      <c r="AF3368" s="11"/>
      <c r="AH3368" s="7"/>
      <c r="AL3368" s="23"/>
      <c r="AM3368" s="21"/>
      <c r="AN3368" s="11"/>
    </row>
    <row r="3369" spans="5:40">
      <c r="E3369" s="11"/>
      <c r="F3369" s="16"/>
      <c r="G3369" s="13"/>
      <c r="H3369" s="13"/>
      <c r="I3369" s="63"/>
      <c r="J3369" s="62"/>
      <c r="K3369" s="79"/>
      <c r="Q3369" s="17"/>
      <c r="U3369" s="10"/>
      <c r="AB3369" s="29"/>
      <c r="AC3369" s="25"/>
      <c r="AD3369" s="41"/>
      <c r="AE3369" s="41"/>
      <c r="AF3369" s="11"/>
      <c r="AH3369" s="7"/>
      <c r="AL3369" s="23"/>
      <c r="AM3369" s="21"/>
      <c r="AN3369" s="11"/>
    </row>
    <row r="3370" spans="5:40">
      <c r="E3370" s="11"/>
      <c r="F3370" s="16"/>
      <c r="G3370" s="13"/>
      <c r="H3370" s="13"/>
      <c r="I3370" s="63"/>
      <c r="J3370" s="62"/>
      <c r="K3370" s="79"/>
      <c r="Q3370" s="17"/>
      <c r="U3370" s="10"/>
      <c r="AB3370" s="29"/>
      <c r="AC3370" s="25"/>
      <c r="AD3370" s="41"/>
      <c r="AE3370" s="41"/>
      <c r="AF3370" s="11"/>
      <c r="AH3370" s="7"/>
      <c r="AL3370" s="23"/>
      <c r="AM3370" s="21"/>
      <c r="AN3370" s="11"/>
    </row>
    <row r="3371" spans="5:40">
      <c r="E3371" s="11"/>
      <c r="F3371" s="16"/>
      <c r="G3371" s="13"/>
      <c r="H3371" s="13"/>
      <c r="I3371" s="63"/>
      <c r="J3371" s="62"/>
      <c r="K3371" s="79"/>
      <c r="Q3371" s="17"/>
      <c r="U3371" s="10"/>
      <c r="AB3371" s="29"/>
      <c r="AC3371" s="25"/>
      <c r="AD3371" s="41"/>
      <c r="AE3371" s="41"/>
      <c r="AF3371" s="11"/>
      <c r="AH3371" s="7"/>
      <c r="AL3371" s="23"/>
      <c r="AM3371" s="21"/>
      <c r="AN3371" s="11"/>
    </row>
    <row r="3372" spans="5:40">
      <c r="E3372" s="11"/>
      <c r="F3372" s="10"/>
      <c r="G3372" s="13"/>
      <c r="H3372" s="13"/>
      <c r="I3372" s="63"/>
      <c r="J3372" s="62"/>
      <c r="K3372" s="79"/>
      <c r="Q3372" s="18"/>
      <c r="U3372" s="10"/>
      <c r="AB3372" s="29"/>
      <c r="AC3372" s="25"/>
      <c r="AD3372" s="41"/>
      <c r="AE3372" s="41"/>
      <c r="AF3372" s="11"/>
      <c r="AH3372" s="1"/>
      <c r="AL3372" s="22"/>
      <c r="AM3372" s="20"/>
      <c r="AN3372" s="11"/>
    </row>
    <row r="3373" spans="5:40">
      <c r="E3373" s="11"/>
      <c r="F3373" s="16"/>
      <c r="G3373" s="13"/>
      <c r="H3373" s="13"/>
      <c r="I3373" s="63"/>
      <c r="J3373" s="62"/>
      <c r="K3373" s="79"/>
      <c r="Q3373" s="17"/>
      <c r="U3373" s="10"/>
      <c r="AB3373" s="29"/>
      <c r="AC3373" s="25"/>
      <c r="AD3373" s="41"/>
      <c r="AE3373" s="41"/>
      <c r="AF3373" s="11"/>
      <c r="AH3373" s="1"/>
      <c r="AL3373" s="22"/>
      <c r="AM3373" s="20"/>
      <c r="AN3373" s="11"/>
    </row>
    <row r="3374" spans="5:40">
      <c r="E3374" s="11"/>
      <c r="F3374" s="16"/>
      <c r="G3374" s="13"/>
      <c r="H3374" s="13"/>
      <c r="I3374" s="63"/>
      <c r="J3374" s="62"/>
      <c r="K3374" s="79"/>
      <c r="Q3374" s="17"/>
      <c r="U3374" s="10"/>
      <c r="AB3374" s="29"/>
      <c r="AC3374" s="25"/>
      <c r="AD3374" s="41"/>
      <c r="AE3374" s="41"/>
      <c r="AF3374" s="11"/>
      <c r="AH3374" s="1"/>
      <c r="AL3374" s="22"/>
      <c r="AM3374" s="20"/>
      <c r="AN3374" s="11"/>
    </row>
    <row r="3375" spans="5:40">
      <c r="E3375" s="11"/>
      <c r="F3375" s="16"/>
      <c r="G3375" s="13"/>
      <c r="H3375" s="13"/>
      <c r="I3375" s="63"/>
      <c r="J3375" s="62"/>
      <c r="K3375" s="79"/>
      <c r="Q3375" s="17"/>
      <c r="U3375" s="10"/>
      <c r="AB3375" s="29"/>
      <c r="AC3375" s="25"/>
      <c r="AD3375" s="41"/>
      <c r="AE3375" s="41"/>
      <c r="AF3375" s="11"/>
      <c r="AH3375" s="7"/>
      <c r="AL3375" s="23"/>
      <c r="AM3375" s="21"/>
      <c r="AN3375" s="11"/>
    </row>
    <row r="3376" spans="5:40">
      <c r="E3376" s="11"/>
      <c r="F3376" s="16"/>
      <c r="G3376" s="13"/>
      <c r="H3376" s="13"/>
      <c r="I3376" s="63"/>
      <c r="J3376" s="62"/>
      <c r="K3376" s="79"/>
      <c r="Q3376" s="17"/>
      <c r="U3376" s="10"/>
      <c r="AB3376" s="29"/>
      <c r="AC3376" s="25"/>
      <c r="AD3376" s="41"/>
      <c r="AE3376" s="41"/>
      <c r="AF3376" s="11"/>
      <c r="AH3376" s="1"/>
      <c r="AL3376" s="22"/>
      <c r="AM3376" s="20"/>
      <c r="AN3376" s="11"/>
    </row>
    <row r="3377" spans="5:40">
      <c r="E3377" s="11"/>
      <c r="F3377" s="16"/>
      <c r="G3377" s="13"/>
      <c r="H3377" s="13"/>
      <c r="I3377" s="63"/>
      <c r="J3377" s="62"/>
      <c r="K3377" s="79"/>
      <c r="Q3377" s="17"/>
      <c r="U3377" s="10"/>
      <c r="AB3377" s="29"/>
      <c r="AC3377" s="25"/>
      <c r="AD3377" s="41"/>
      <c r="AE3377" s="41"/>
      <c r="AF3377" s="11"/>
      <c r="AH3377" s="1"/>
      <c r="AL3377" s="22"/>
      <c r="AM3377" s="20"/>
      <c r="AN3377" s="11"/>
    </row>
    <row r="3378" spans="5:40">
      <c r="E3378" s="11"/>
      <c r="F3378" s="16"/>
      <c r="G3378" s="13"/>
      <c r="H3378" s="13"/>
      <c r="I3378" s="63"/>
      <c r="J3378" s="62"/>
      <c r="K3378" s="79"/>
      <c r="Q3378" s="17"/>
      <c r="U3378" s="10"/>
      <c r="AB3378" s="29"/>
      <c r="AC3378" s="25"/>
      <c r="AD3378" s="41"/>
      <c r="AE3378" s="41"/>
      <c r="AF3378" s="11"/>
      <c r="AH3378" s="1"/>
      <c r="AL3378" s="22"/>
      <c r="AM3378" s="20"/>
      <c r="AN3378" s="11"/>
    </row>
    <row r="3379" spans="5:40">
      <c r="E3379" s="11"/>
      <c r="F3379" s="16"/>
      <c r="G3379" s="13"/>
      <c r="H3379" s="13"/>
      <c r="I3379" s="63"/>
      <c r="J3379" s="62"/>
      <c r="K3379" s="79"/>
      <c r="Q3379" s="17"/>
      <c r="U3379" s="10"/>
      <c r="AB3379" s="29"/>
      <c r="AC3379" s="25"/>
      <c r="AD3379" s="41"/>
      <c r="AE3379" s="41"/>
      <c r="AF3379" s="11"/>
      <c r="AH3379" s="1"/>
      <c r="AL3379" s="22"/>
      <c r="AM3379" s="20"/>
      <c r="AN3379" s="11"/>
    </row>
    <row r="3380" spans="5:40">
      <c r="E3380" s="11"/>
      <c r="F3380" s="16"/>
      <c r="G3380" s="13"/>
      <c r="H3380" s="13"/>
      <c r="I3380" s="63"/>
      <c r="J3380" s="62"/>
      <c r="K3380" s="79"/>
      <c r="Q3380" s="17"/>
      <c r="U3380" s="10"/>
      <c r="AB3380" s="29"/>
      <c r="AC3380" s="25"/>
      <c r="AD3380" s="41"/>
      <c r="AE3380" s="41"/>
      <c r="AF3380" s="11"/>
      <c r="AH3380" s="1"/>
      <c r="AL3380" s="22"/>
      <c r="AM3380" s="20"/>
      <c r="AN3380" s="11"/>
    </row>
    <row r="3381" spans="5:40">
      <c r="E3381" s="11"/>
      <c r="F3381" s="16"/>
      <c r="G3381" s="13"/>
      <c r="H3381" s="13"/>
      <c r="I3381" s="63"/>
      <c r="J3381" s="62"/>
      <c r="K3381" s="79"/>
      <c r="Q3381" s="17"/>
      <c r="U3381" s="10"/>
      <c r="AB3381" s="29"/>
      <c r="AC3381" s="25"/>
      <c r="AD3381" s="41"/>
      <c r="AE3381" s="41"/>
      <c r="AF3381" s="11"/>
      <c r="AH3381" s="1"/>
      <c r="AL3381" s="22"/>
      <c r="AM3381" s="20"/>
      <c r="AN3381" s="11"/>
    </row>
    <row r="3382" spans="5:40">
      <c r="E3382" s="11"/>
      <c r="F3382" s="16"/>
      <c r="G3382" s="13"/>
      <c r="H3382" s="13"/>
      <c r="I3382" s="63"/>
      <c r="J3382" s="62"/>
      <c r="K3382" s="79"/>
      <c r="Q3382" s="17"/>
      <c r="U3382" s="10"/>
      <c r="AB3382" s="29"/>
      <c r="AC3382" s="25"/>
      <c r="AD3382" s="41"/>
      <c r="AE3382" s="41"/>
      <c r="AF3382" s="11"/>
      <c r="AH3382" s="1"/>
      <c r="AL3382" s="22"/>
      <c r="AM3382" s="20"/>
      <c r="AN3382" s="11"/>
    </row>
    <row r="3383" spans="5:40">
      <c r="E3383" s="11"/>
      <c r="F3383" s="16"/>
      <c r="G3383" s="13"/>
      <c r="H3383" s="13"/>
      <c r="I3383" s="63"/>
      <c r="J3383" s="62"/>
      <c r="K3383" s="79"/>
      <c r="Q3383" s="17"/>
      <c r="U3383" s="10"/>
      <c r="AB3383" s="29"/>
      <c r="AC3383" s="25"/>
      <c r="AD3383" s="41"/>
      <c r="AE3383" s="41"/>
      <c r="AF3383" s="11"/>
      <c r="AH3383" s="1"/>
      <c r="AL3383" s="22"/>
      <c r="AM3383" s="20"/>
      <c r="AN3383" s="11"/>
    </row>
    <row r="3384" spans="5:40">
      <c r="E3384" s="11"/>
      <c r="F3384" s="16"/>
      <c r="G3384" s="13"/>
      <c r="H3384" s="13"/>
      <c r="I3384" s="63"/>
      <c r="J3384" s="62"/>
      <c r="K3384" s="79"/>
      <c r="Q3384" s="17"/>
      <c r="U3384" s="10"/>
      <c r="AB3384" s="29"/>
      <c r="AC3384" s="25"/>
      <c r="AD3384" s="41"/>
      <c r="AE3384" s="41"/>
      <c r="AF3384" s="11"/>
      <c r="AH3384" s="1"/>
      <c r="AL3384" s="22"/>
      <c r="AM3384" s="20"/>
      <c r="AN3384" s="11"/>
    </row>
    <row r="3385" spans="5:40">
      <c r="E3385" s="11"/>
      <c r="F3385" s="16"/>
      <c r="G3385" s="13"/>
      <c r="H3385" s="13"/>
      <c r="I3385" s="63"/>
      <c r="J3385" s="62"/>
      <c r="K3385" s="79"/>
      <c r="Q3385" s="17"/>
      <c r="U3385" s="10"/>
      <c r="AB3385" s="29"/>
      <c r="AC3385" s="25"/>
      <c r="AD3385" s="41"/>
      <c r="AE3385" s="41"/>
      <c r="AF3385" s="11"/>
      <c r="AH3385" s="7"/>
      <c r="AL3385" s="23"/>
      <c r="AM3385" s="21"/>
      <c r="AN3385" s="11"/>
    </row>
    <row r="3386" spans="5:40">
      <c r="E3386" s="11"/>
      <c r="F3386" s="16"/>
      <c r="G3386" s="13"/>
      <c r="H3386" s="13"/>
      <c r="I3386" s="63"/>
      <c r="J3386" s="62"/>
      <c r="K3386" s="79"/>
      <c r="Q3386" s="17"/>
      <c r="U3386" s="10"/>
      <c r="AB3386" s="29"/>
      <c r="AC3386" s="25"/>
      <c r="AD3386" s="41"/>
      <c r="AE3386" s="41"/>
      <c r="AF3386" s="11"/>
      <c r="AH3386" s="7"/>
      <c r="AL3386" s="23"/>
      <c r="AM3386" s="21"/>
      <c r="AN3386" s="11"/>
    </row>
    <row r="3387" spans="5:40">
      <c r="E3387" s="11"/>
      <c r="F3387" s="16"/>
      <c r="G3387" s="13"/>
      <c r="H3387" s="13"/>
      <c r="I3387" s="63"/>
      <c r="J3387" s="62"/>
      <c r="K3387" s="79"/>
      <c r="Q3387" s="17"/>
      <c r="U3387" s="10"/>
      <c r="AB3387" s="29"/>
      <c r="AC3387" s="25"/>
      <c r="AD3387" s="41"/>
      <c r="AE3387" s="41"/>
      <c r="AF3387" s="11"/>
      <c r="AH3387" s="7"/>
      <c r="AL3387" s="23"/>
      <c r="AM3387" s="21"/>
      <c r="AN3387" s="11"/>
    </row>
    <row r="3388" spans="5:40">
      <c r="E3388" s="11"/>
      <c r="F3388" s="16"/>
      <c r="G3388" s="13"/>
      <c r="H3388" s="13"/>
      <c r="I3388" s="63"/>
      <c r="J3388" s="62"/>
      <c r="K3388" s="79"/>
      <c r="O3388" s="29"/>
      <c r="Q3388" s="17"/>
      <c r="U3388" s="16"/>
      <c r="AB3388" s="29"/>
      <c r="AC3388" s="25"/>
      <c r="AD3388" s="41"/>
      <c r="AE3388" s="41"/>
      <c r="AF3388" s="11"/>
      <c r="AH3388" s="7"/>
      <c r="AL3388" s="23"/>
      <c r="AM3388" s="21"/>
      <c r="AN3388" s="11"/>
    </row>
    <row r="3389" spans="5:40">
      <c r="E3389" s="11"/>
      <c r="F3389" s="16"/>
      <c r="G3389" s="13"/>
      <c r="H3389" s="13"/>
      <c r="I3389" s="63"/>
      <c r="J3389" s="62"/>
      <c r="K3389" s="79"/>
      <c r="Q3389" s="17"/>
      <c r="U3389" s="10"/>
      <c r="AB3389" s="29"/>
      <c r="AC3389" s="25"/>
      <c r="AD3389" s="41"/>
      <c r="AE3389" s="41"/>
      <c r="AF3389" s="11"/>
      <c r="AH3389" s="1"/>
      <c r="AL3389" s="22"/>
      <c r="AM3389" s="20"/>
      <c r="AN3389" s="11"/>
    </row>
    <row r="3390" spans="5:40">
      <c r="E3390" s="11"/>
      <c r="F3390" s="16"/>
      <c r="G3390" s="13"/>
      <c r="H3390" s="13"/>
      <c r="I3390" s="63"/>
      <c r="J3390" s="62"/>
      <c r="K3390" s="79"/>
      <c r="Q3390" s="17"/>
      <c r="U3390" s="10"/>
      <c r="AB3390" s="29"/>
      <c r="AC3390" s="25"/>
      <c r="AD3390" s="41"/>
      <c r="AE3390" s="41"/>
      <c r="AF3390" s="11"/>
      <c r="AH3390" s="1"/>
      <c r="AL3390" s="22"/>
      <c r="AM3390" s="20"/>
      <c r="AN3390" s="11"/>
    </row>
    <row r="3391" spans="5:40">
      <c r="E3391" s="11"/>
      <c r="F3391" s="16"/>
      <c r="G3391" s="13"/>
      <c r="H3391" s="13"/>
      <c r="I3391" s="63"/>
      <c r="J3391" s="62"/>
      <c r="K3391" s="79"/>
      <c r="Q3391" s="17"/>
      <c r="U3391" s="10"/>
      <c r="AB3391" s="29"/>
      <c r="AC3391" s="25"/>
      <c r="AD3391" s="41"/>
      <c r="AE3391" s="41"/>
      <c r="AF3391" s="11"/>
      <c r="AH3391" s="1"/>
      <c r="AL3391" s="22"/>
      <c r="AM3391" s="20"/>
      <c r="AN3391" s="11"/>
    </row>
    <row r="3392" spans="5:40">
      <c r="E3392" s="11"/>
      <c r="F3392" s="16"/>
      <c r="G3392" s="13"/>
      <c r="H3392" s="13"/>
      <c r="I3392" s="63"/>
      <c r="J3392" s="62"/>
      <c r="K3392" s="79"/>
      <c r="Q3392" s="17"/>
      <c r="U3392" s="10"/>
      <c r="AB3392" s="29"/>
      <c r="AC3392" s="25"/>
      <c r="AD3392" s="41"/>
      <c r="AE3392" s="41"/>
      <c r="AF3392" s="11"/>
      <c r="AH3392" s="7"/>
      <c r="AL3392" s="23"/>
      <c r="AM3392" s="21"/>
      <c r="AN3392" s="11"/>
    </row>
    <row r="3393" spans="5:43">
      <c r="E3393" s="11"/>
      <c r="F3393" s="16"/>
      <c r="G3393" s="13"/>
      <c r="H3393" s="13"/>
      <c r="I3393" s="63"/>
      <c r="J3393" s="62"/>
      <c r="K3393" s="79"/>
      <c r="Q3393" s="17"/>
      <c r="U3393" s="10"/>
      <c r="AB3393" s="29"/>
      <c r="AC3393" s="25"/>
      <c r="AD3393" s="41"/>
      <c r="AE3393" s="41"/>
      <c r="AF3393" s="11"/>
      <c r="AH3393" s="1"/>
      <c r="AL3393" s="22"/>
      <c r="AM3393" s="20"/>
      <c r="AN3393" s="11"/>
    </row>
    <row r="3394" spans="5:43">
      <c r="E3394" s="11"/>
      <c r="F3394" s="16"/>
      <c r="G3394" s="13"/>
      <c r="H3394" s="13"/>
      <c r="I3394" s="63"/>
      <c r="J3394" s="62"/>
      <c r="K3394" s="79"/>
      <c r="Q3394" s="17"/>
      <c r="U3394" s="10"/>
      <c r="AB3394" s="29"/>
      <c r="AC3394" s="25"/>
      <c r="AD3394" s="41"/>
      <c r="AE3394" s="41"/>
      <c r="AF3394" s="11"/>
      <c r="AH3394" s="7"/>
      <c r="AL3394" s="23"/>
      <c r="AM3394" s="21"/>
      <c r="AN3394" s="11"/>
    </row>
    <row r="3395" spans="5:43">
      <c r="E3395" s="11"/>
      <c r="F3395" s="16"/>
      <c r="G3395" s="13"/>
      <c r="H3395" s="13"/>
      <c r="I3395" s="63"/>
      <c r="J3395" s="62"/>
      <c r="K3395" s="79"/>
      <c r="Q3395" s="17"/>
      <c r="U3395" s="10"/>
      <c r="AB3395" s="29"/>
      <c r="AC3395" s="25"/>
      <c r="AD3395" s="41"/>
      <c r="AE3395" s="41"/>
      <c r="AF3395" s="11"/>
      <c r="AH3395" s="7"/>
      <c r="AL3395" s="23"/>
      <c r="AM3395" s="21"/>
      <c r="AN3395" s="11"/>
    </row>
    <row r="3396" spans="5:43">
      <c r="E3396" s="11"/>
      <c r="F3396" s="16"/>
      <c r="G3396" s="13"/>
      <c r="H3396" s="13"/>
      <c r="I3396" s="63"/>
      <c r="J3396" s="62"/>
      <c r="K3396" s="79"/>
      <c r="Q3396" s="17"/>
      <c r="U3396" s="10"/>
      <c r="AB3396" s="29"/>
      <c r="AC3396" s="25"/>
      <c r="AD3396" s="41"/>
      <c r="AE3396" s="41"/>
      <c r="AF3396" s="11"/>
      <c r="AH3396" s="7"/>
      <c r="AL3396" s="23"/>
      <c r="AM3396" s="21"/>
      <c r="AN3396" s="11"/>
    </row>
    <row r="3397" spans="5:43">
      <c r="E3397" s="11"/>
      <c r="F3397" s="16"/>
      <c r="G3397" s="13"/>
      <c r="H3397" s="13"/>
      <c r="I3397" s="63"/>
      <c r="J3397" s="62"/>
      <c r="K3397" s="79"/>
      <c r="Q3397" s="17"/>
      <c r="U3397" s="10"/>
      <c r="AB3397" s="29"/>
      <c r="AC3397" s="25"/>
      <c r="AD3397" s="41"/>
      <c r="AE3397" s="41"/>
      <c r="AF3397" s="11"/>
      <c r="AH3397" s="7"/>
      <c r="AL3397" s="23"/>
      <c r="AM3397" s="21"/>
      <c r="AN3397" s="11"/>
    </row>
    <row r="3398" spans="5:43">
      <c r="E3398" s="11"/>
      <c r="F3398" s="16"/>
      <c r="G3398" s="13"/>
      <c r="H3398" s="13"/>
      <c r="I3398" s="63"/>
      <c r="J3398" s="62"/>
      <c r="K3398" s="79"/>
      <c r="Q3398" s="17"/>
      <c r="U3398" s="10"/>
      <c r="AB3398" s="29"/>
      <c r="AC3398" s="25"/>
      <c r="AD3398" s="41"/>
      <c r="AE3398" s="41"/>
      <c r="AF3398" s="11"/>
      <c r="AH3398" s="1"/>
      <c r="AL3398" s="22"/>
      <c r="AM3398" s="20"/>
      <c r="AN3398" s="11"/>
    </row>
    <row r="3399" spans="5:43">
      <c r="E3399" s="11"/>
      <c r="F3399" s="10"/>
      <c r="G3399" s="13"/>
      <c r="H3399" s="13"/>
      <c r="I3399" s="63"/>
      <c r="J3399" s="62"/>
      <c r="K3399" s="79"/>
      <c r="P3399" s="6"/>
      <c r="Q3399" s="18"/>
      <c r="U3399" s="10"/>
      <c r="AB3399" s="29"/>
      <c r="AC3399" s="25"/>
      <c r="AD3399" s="41"/>
      <c r="AE3399" s="41"/>
      <c r="AF3399" s="11"/>
      <c r="AH3399" s="1"/>
      <c r="AL3399" s="22"/>
      <c r="AM3399" s="20"/>
      <c r="AN3399" s="11"/>
    </row>
    <row r="3400" spans="5:43">
      <c r="E3400" s="11"/>
      <c r="F3400" s="16"/>
      <c r="G3400" s="13"/>
      <c r="H3400" s="13"/>
      <c r="I3400" s="63"/>
      <c r="J3400" s="62"/>
      <c r="K3400" s="79"/>
      <c r="Q3400" s="17"/>
      <c r="U3400" s="16"/>
      <c r="AB3400" s="29"/>
      <c r="AC3400" s="25"/>
      <c r="AD3400" s="41"/>
      <c r="AE3400" s="41"/>
      <c r="AF3400" s="11"/>
      <c r="AH3400" s="7"/>
      <c r="AL3400" s="23"/>
      <c r="AM3400" s="21"/>
      <c r="AN3400" s="11"/>
    </row>
    <row r="3401" spans="5:43">
      <c r="E3401" s="11"/>
      <c r="F3401" s="10"/>
      <c r="G3401" s="13"/>
      <c r="H3401" s="13"/>
      <c r="I3401" s="63"/>
      <c r="J3401" s="62"/>
      <c r="K3401" s="79"/>
      <c r="Q3401" s="18"/>
      <c r="U3401" s="10"/>
      <c r="AB3401" s="29"/>
      <c r="AC3401" s="25"/>
      <c r="AD3401" s="41"/>
      <c r="AE3401" s="41"/>
      <c r="AF3401" s="11"/>
      <c r="AH3401" s="1"/>
      <c r="AL3401" s="22"/>
      <c r="AM3401" s="20"/>
      <c r="AN3401" s="11"/>
    </row>
    <row r="3402" spans="5:43">
      <c r="E3402" s="11"/>
      <c r="F3402" s="16"/>
      <c r="G3402" s="13"/>
      <c r="H3402" s="13"/>
      <c r="I3402" s="77"/>
      <c r="J3402" s="62"/>
      <c r="K3402" s="79"/>
      <c r="Q3402" s="17"/>
      <c r="U3402" s="10"/>
      <c r="AB3402" s="29"/>
      <c r="AC3402" s="25"/>
      <c r="AD3402" s="41"/>
      <c r="AE3402" s="41"/>
      <c r="AF3402" s="11"/>
      <c r="AH3402" s="7"/>
      <c r="AL3402" s="23"/>
      <c r="AM3402" s="21"/>
      <c r="AN3402" s="11"/>
    </row>
    <row r="3403" spans="5:43">
      <c r="E3403" s="11"/>
      <c r="F3403" s="16"/>
      <c r="G3403" s="13"/>
      <c r="H3403" s="13"/>
      <c r="I3403" s="77"/>
      <c r="J3403" s="62"/>
      <c r="K3403" s="79"/>
      <c r="Q3403" s="17"/>
      <c r="U3403" s="10"/>
      <c r="AB3403" s="29"/>
      <c r="AC3403" s="25"/>
      <c r="AD3403" s="41"/>
      <c r="AE3403" s="41"/>
      <c r="AF3403" s="11"/>
      <c r="AH3403" s="7"/>
      <c r="AL3403" s="23"/>
      <c r="AM3403" s="21"/>
      <c r="AN3403" s="11"/>
    </row>
    <row r="3404" spans="5:43">
      <c r="E3404" s="11"/>
      <c r="F3404" s="16"/>
      <c r="G3404" s="13"/>
      <c r="H3404" s="13"/>
      <c r="I3404" s="77"/>
      <c r="J3404" s="62"/>
      <c r="K3404" s="79"/>
      <c r="Q3404" s="17"/>
      <c r="U3404" s="10"/>
      <c r="AB3404" s="29"/>
      <c r="AC3404" s="25"/>
      <c r="AD3404" s="41"/>
      <c r="AE3404" s="41"/>
      <c r="AF3404" s="11"/>
      <c r="AH3404" s="7"/>
      <c r="AL3404" s="23"/>
      <c r="AM3404" s="21"/>
      <c r="AN3404" s="11"/>
    </row>
    <row r="3405" spans="5:43">
      <c r="E3405" s="11"/>
      <c r="F3405" s="16"/>
      <c r="G3405" s="13"/>
      <c r="H3405" s="13"/>
      <c r="I3405" s="77"/>
      <c r="J3405" s="62"/>
      <c r="K3405" s="79"/>
      <c r="Q3405" s="17"/>
      <c r="U3405" s="10"/>
      <c r="AB3405" s="29"/>
      <c r="AC3405" s="25"/>
      <c r="AD3405" s="41"/>
      <c r="AE3405" s="41"/>
      <c r="AF3405" s="11"/>
      <c r="AH3405" s="7"/>
      <c r="AL3405" s="23"/>
      <c r="AM3405" s="21"/>
      <c r="AN3405" s="11"/>
    </row>
    <row r="3406" spans="5:43">
      <c r="E3406" s="11"/>
      <c r="F3406" s="16"/>
      <c r="G3406" s="13"/>
      <c r="H3406" s="13"/>
      <c r="I3406" s="77"/>
      <c r="J3406" s="62"/>
      <c r="K3406" s="79"/>
      <c r="Q3406" s="17"/>
      <c r="U3406" s="10"/>
      <c r="AB3406" s="29"/>
      <c r="AC3406" s="25"/>
      <c r="AD3406" s="41"/>
      <c r="AE3406" s="41"/>
      <c r="AF3406" s="11"/>
      <c r="AH3406" s="7"/>
      <c r="AL3406" s="23"/>
      <c r="AM3406" s="21"/>
      <c r="AN3406" s="11"/>
    </row>
    <row r="3407" spans="5:43">
      <c r="E3407" s="11"/>
      <c r="F3407" s="10"/>
      <c r="G3407" s="13"/>
      <c r="H3407" s="13"/>
      <c r="I3407" s="63"/>
      <c r="J3407" s="62"/>
      <c r="K3407" s="1"/>
      <c r="P3407" s="6"/>
      <c r="Q3407" s="18"/>
      <c r="U3407" s="10"/>
      <c r="AB3407" s="29"/>
      <c r="AC3407" s="25"/>
      <c r="AD3407" s="41"/>
      <c r="AE3407" s="41"/>
      <c r="AF3407" s="11"/>
      <c r="AH3407" s="1"/>
      <c r="AL3407" s="22"/>
      <c r="AM3407" s="20"/>
      <c r="AN3407" s="11"/>
      <c r="AQ3407" s="6"/>
    </row>
    <row r="3408" spans="5:43">
      <c r="E3408" s="11"/>
      <c r="F3408" s="16"/>
      <c r="G3408" s="13"/>
      <c r="H3408" s="13"/>
      <c r="I3408" s="63"/>
      <c r="J3408" s="62"/>
      <c r="K3408" s="1"/>
      <c r="Q3408" s="17"/>
      <c r="U3408" s="10"/>
      <c r="AB3408" s="29"/>
      <c r="AC3408" s="25"/>
      <c r="AD3408" s="41"/>
      <c r="AE3408" s="41"/>
      <c r="AF3408" s="11"/>
      <c r="AH3408" s="7"/>
      <c r="AL3408" s="23"/>
      <c r="AM3408" s="21"/>
      <c r="AN3408" s="11"/>
    </row>
    <row r="3409" spans="5:43">
      <c r="E3409" s="11"/>
      <c r="F3409" s="10"/>
      <c r="G3409" s="13"/>
      <c r="H3409" s="13"/>
      <c r="I3409" s="63"/>
      <c r="J3409" s="62"/>
      <c r="K3409" s="1"/>
      <c r="P3409" s="6"/>
      <c r="Q3409" s="18"/>
      <c r="U3409" s="10"/>
      <c r="AB3409" s="29"/>
      <c r="AC3409" s="25"/>
      <c r="AD3409" s="41"/>
      <c r="AE3409" s="41"/>
      <c r="AF3409" s="11"/>
      <c r="AH3409" s="1"/>
      <c r="AL3409" s="22"/>
      <c r="AM3409" s="20"/>
      <c r="AN3409" s="11"/>
      <c r="AQ3409" s="6"/>
    </row>
    <row r="3410" spans="5:43">
      <c r="E3410" s="11"/>
      <c r="F3410" s="16"/>
      <c r="G3410" s="13"/>
      <c r="H3410" s="13"/>
      <c r="I3410" s="63"/>
      <c r="J3410" s="62"/>
      <c r="K3410" s="1"/>
      <c r="Q3410" s="17"/>
      <c r="U3410" s="10"/>
      <c r="AB3410" s="29"/>
      <c r="AC3410" s="25"/>
      <c r="AD3410" s="41"/>
      <c r="AE3410" s="41"/>
      <c r="AF3410" s="11"/>
      <c r="AH3410" s="7"/>
      <c r="AL3410" s="23"/>
      <c r="AM3410" s="21"/>
      <c r="AN3410" s="11"/>
    </row>
    <row r="3411" spans="5:43">
      <c r="E3411" s="11"/>
      <c r="F3411" s="16"/>
      <c r="G3411" s="13"/>
      <c r="H3411" s="13"/>
      <c r="I3411" s="63"/>
      <c r="J3411" s="62"/>
      <c r="K3411" s="1"/>
      <c r="Q3411" s="17"/>
      <c r="U3411" s="10"/>
      <c r="AB3411" s="29"/>
      <c r="AC3411" s="25"/>
      <c r="AD3411" s="41"/>
      <c r="AE3411" s="41"/>
      <c r="AF3411" s="11"/>
      <c r="AH3411" s="7"/>
      <c r="AL3411" s="23"/>
      <c r="AM3411" s="21"/>
      <c r="AN3411" s="11"/>
    </row>
    <row r="3412" spans="5:43">
      <c r="E3412" s="11"/>
      <c r="F3412" s="16"/>
      <c r="G3412" s="13"/>
      <c r="H3412" s="13"/>
      <c r="I3412" s="63"/>
      <c r="J3412" s="62"/>
      <c r="K3412" s="1"/>
      <c r="Q3412" s="17"/>
      <c r="U34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12" s="29"/>
      <c r="AC3412" s="25"/>
      <c r="AD3412" s="41"/>
      <c r="AE3412" s="41"/>
      <c r="AF3412" s="11"/>
      <c r="AH3412" s="1"/>
      <c r="AL3412" s="22" t="str">
        <f>IFERROR(_xlfn.XLOOKUP(Table1[[#This Row],[word]],Table57[English style name],Table57[Style type]),"")</f>
        <v/>
      </c>
      <c r="AM3412" s="20"/>
      <c r="AN3412" s="11"/>
    </row>
    <row r="3413" spans="5:43">
      <c r="E3413" s="11"/>
      <c r="F3413" s="16"/>
      <c r="G3413" s="13"/>
      <c r="H3413" s="13"/>
      <c r="I3413" s="63"/>
      <c r="J3413" s="62"/>
      <c r="K3413" s="1"/>
      <c r="Q3413" s="17"/>
      <c r="U34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13" s="29"/>
      <c r="AC3413" s="25"/>
      <c r="AD3413" s="41"/>
      <c r="AE3413" s="41"/>
      <c r="AF3413" s="11"/>
      <c r="AH3413" s="1"/>
      <c r="AL3413" s="22" t="str">
        <f>IFERROR(_xlfn.XLOOKUP(Table1[[#This Row],[word]],Table57[English style name],Table57[Style type]),"")</f>
        <v/>
      </c>
      <c r="AM3413" s="20"/>
      <c r="AN3413" s="11"/>
    </row>
    <row r="3414" spans="5:43">
      <c r="E3414" s="11"/>
      <c r="F3414" s="16"/>
      <c r="G3414" s="13"/>
      <c r="H3414" s="13"/>
      <c r="I3414" s="63"/>
      <c r="J3414" s="62"/>
      <c r="K3414" s="1"/>
      <c r="Q3414" s="17"/>
      <c r="U34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14" s="29"/>
      <c r="AC3414" s="25"/>
      <c r="AD3414" s="41"/>
      <c r="AE3414" s="41"/>
      <c r="AF3414" s="11"/>
      <c r="AH3414" s="1"/>
      <c r="AL3414" s="22" t="str">
        <f>IFERROR(_xlfn.XLOOKUP(Table1[[#This Row],[word]],Table57[English style name],Table57[Style type]),"")</f>
        <v/>
      </c>
      <c r="AM3414" s="20"/>
      <c r="AN3414" s="11"/>
    </row>
    <row r="3415" spans="5:43">
      <c r="E3415" s="11"/>
      <c r="F3415" s="16"/>
      <c r="G3415" s="13"/>
      <c r="H3415" s="13"/>
      <c r="I3415" s="63"/>
      <c r="J3415" s="62"/>
      <c r="K3415" s="1"/>
      <c r="Q3415" s="17"/>
      <c r="U3415" s="10"/>
      <c r="AB3415" s="29"/>
      <c r="AC3415" s="25"/>
      <c r="AD3415" s="41"/>
      <c r="AE3415" s="41"/>
      <c r="AF3415" s="11"/>
      <c r="AH3415" s="7"/>
      <c r="AL3415" s="23"/>
      <c r="AM3415" s="21"/>
      <c r="AN3415" s="11"/>
    </row>
    <row r="3416" spans="5:43">
      <c r="E3416" s="11"/>
      <c r="F3416" s="16"/>
      <c r="G3416" s="13"/>
      <c r="H3416" s="13"/>
      <c r="I3416" s="63"/>
      <c r="J3416" s="62"/>
      <c r="K3416" s="1"/>
      <c r="Q3416" s="17"/>
      <c r="U3416" s="10"/>
      <c r="AB3416" s="29"/>
      <c r="AC3416" s="25"/>
      <c r="AD3416" s="41"/>
      <c r="AE3416" s="41"/>
      <c r="AF3416" s="11"/>
      <c r="AH3416" s="7"/>
      <c r="AL3416" s="23"/>
      <c r="AM3416" s="21"/>
      <c r="AN3416" s="11"/>
    </row>
    <row r="3417" spans="5:43">
      <c r="E3417" s="11"/>
      <c r="F3417" s="16"/>
      <c r="G3417" s="13"/>
      <c r="H3417" s="13"/>
      <c r="I3417" s="63"/>
      <c r="J3417" s="62"/>
      <c r="K3417" s="1"/>
      <c r="Q3417" s="17"/>
      <c r="U3417" s="16"/>
      <c r="AB3417" s="29"/>
      <c r="AC3417" s="25"/>
      <c r="AD3417" s="41"/>
      <c r="AE3417" s="41"/>
      <c r="AF3417" s="11"/>
      <c r="AH3417" s="7"/>
      <c r="AL3417" s="23"/>
      <c r="AM3417" s="21"/>
      <c r="AN3417" s="11"/>
    </row>
    <row r="3418" spans="5:43">
      <c r="E3418" s="11"/>
      <c r="F3418" s="16"/>
      <c r="G3418" s="13"/>
      <c r="H3418" s="13"/>
      <c r="I3418" s="63"/>
      <c r="J3418" s="62"/>
      <c r="K3418" s="1"/>
      <c r="Q3418" s="17"/>
      <c r="U3418" s="16"/>
      <c r="AB3418" s="29"/>
      <c r="AC3418" s="25"/>
      <c r="AD3418" s="41"/>
      <c r="AE3418" s="41"/>
      <c r="AF3418" s="11"/>
      <c r="AH3418" s="7"/>
      <c r="AL3418" s="23"/>
      <c r="AM3418" s="21"/>
      <c r="AN3418" s="11"/>
    </row>
    <row r="3419" spans="5:43">
      <c r="E3419" s="11"/>
      <c r="F3419" s="16"/>
      <c r="G3419" s="13"/>
      <c r="H3419" s="13"/>
      <c r="I3419" s="63"/>
      <c r="J3419" s="62"/>
      <c r="K3419" s="1"/>
      <c r="Q3419" s="17"/>
      <c r="U3419" s="16"/>
      <c r="AB3419" s="29"/>
      <c r="AC3419" s="25"/>
      <c r="AD3419" s="41"/>
      <c r="AE3419" s="41"/>
      <c r="AF3419" s="11"/>
      <c r="AH3419" s="7"/>
      <c r="AL3419" s="23"/>
      <c r="AM3419" s="21"/>
      <c r="AN3419" s="11"/>
    </row>
    <row r="3420" spans="5:43">
      <c r="E3420" s="11"/>
      <c r="F3420" s="16"/>
      <c r="G3420" s="13"/>
      <c r="H3420" s="13"/>
      <c r="I3420" s="63"/>
      <c r="J3420" s="62"/>
      <c r="K3420" s="1"/>
      <c r="Q3420" s="17"/>
      <c r="U3420" s="16"/>
      <c r="AB3420" s="29"/>
      <c r="AC3420" s="25"/>
      <c r="AD3420" s="41"/>
      <c r="AE3420" s="41"/>
      <c r="AF3420" s="11"/>
      <c r="AH3420" s="7"/>
      <c r="AL3420" s="23"/>
      <c r="AM3420" s="21"/>
      <c r="AN3420" s="11"/>
    </row>
    <row r="3421" spans="5:43">
      <c r="E3421" s="11"/>
      <c r="F3421" s="16"/>
      <c r="G3421" s="13"/>
      <c r="H3421" s="13"/>
      <c r="I3421" s="63"/>
      <c r="J3421" s="62"/>
      <c r="K3421" s="1"/>
      <c r="Q3421" s="17"/>
      <c r="U3421" s="16"/>
      <c r="AB3421" s="29"/>
      <c r="AC3421" s="25"/>
      <c r="AD3421" s="41"/>
      <c r="AE3421" s="41"/>
      <c r="AF3421" s="11"/>
      <c r="AH3421" s="7"/>
      <c r="AL3421" s="23"/>
      <c r="AM3421" s="21"/>
      <c r="AN3421" s="11"/>
    </row>
    <row r="3422" spans="5:43">
      <c r="E3422" s="11"/>
      <c r="F3422" s="16"/>
      <c r="G3422" s="13"/>
      <c r="H3422" s="13"/>
      <c r="I3422" s="63"/>
      <c r="J3422" s="62"/>
      <c r="K3422" s="1"/>
      <c r="L3422" t="s">
        <v>3099</v>
      </c>
      <c r="O3422" s="29"/>
      <c r="Q3422" s="17"/>
      <c r="U3422" s="16"/>
      <c r="AB3422" s="29"/>
      <c r="AC3422" s="25"/>
      <c r="AD3422" s="41"/>
      <c r="AE3422" s="41"/>
      <c r="AF3422" s="11"/>
      <c r="AH3422" s="7"/>
      <c r="AL3422" s="23"/>
      <c r="AM3422" s="21"/>
      <c r="AN3422" s="11"/>
    </row>
    <row r="3423" spans="5:43">
      <c r="E3423" s="11"/>
      <c r="F3423" s="16"/>
      <c r="G3423" s="13"/>
      <c r="H3423" s="13"/>
      <c r="I3423" s="63"/>
      <c r="J3423" s="62"/>
      <c r="K3423" s="1"/>
      <c r="O3423" s="29"/>
      <c r="Q3423" s="17"/>
      <c r="U3423" s="16"/>
      <c r="AB3423" s="29"/>
      <c r="AC3423" s="25"/>
      <c r="AD3423" s="41"/>
      <c r="AE3423" s="41"/>
      <c r="AF3423" s="11"/>
      <c r="AH3423" s="7"/>
      <c r="AL3423" s="23"/>
      <c r="AM3423" s="21"/>
      <c r="AN3423" s="11"/>
    </row>
    <row r="3424" spans="5:43">
      <c r="E3424" s="11"/>
      <c r="F3424" s="16"/>
      <c r="G3424" s="13"/>
      <c r="H3424" s="13"/>
      <c r="I3424" s="63"/>
      <c r="J3424" s="62"/>
      <c r="K3424" s="1"/>
      <c r="O3424" s="25"/>
      <c r="Q3424" s="17"/>
      <c r="U3424" s="16"/>
      <c r="AB3424" s="29"/>
      <c r="AC3424" s="25"/>
      <c r="AD3424" s="41"/>
      <c r="AE3424" s="41"/>
      <c r="AF3424" s="11"/>
      <c r="AH3424" s="7"/>
      <c r="AL3424" s="23"/>
      <c r="AM3424" s="21"/>
      <c r="AN3424" s="11"/>
    </row>
    <row r="3425" spans="1:47">
      <c r="E3425" s="11"/>
      <c r="F3425" s="16"/>
      <c r="G3425" s="13"/>
      <c r="H3425" s="13"/>
      <c r="I3425" s="63"/>
      <c r="J3425" s="62"/>
      <c r="K3425" s="1"/>
      <c r="O3425" s="25"/>
      <c r="Q3425" s="17"/>
      <c r="U3425" s="16"/>
      <c r="AB3425" s="29"/>
      <c r="AC3425" s="25"/>
      <c r="AD3425" s="41"/>
      <c r="AE3425" s="41"/>
      <c r="AF3425" s="11"/>
      <c r="AH3425" s="7"/>
      <c r="AL3425" s="23"/>
      <c r="AM3425" s="21"/>
      <c r="AN3425" s="11"/>
    </row>
    <row r="3426" spans="1:47">
      <c r="E3426" s="11"/>
      <c r="F3426" s="16"/>
      <c r="G3426" s="13"/>
      <c r="H3426" s="13"/>
      <c r="I3426" s="63"/>
      <c r="J3426" s="62"/>
      <c r="K3426" s="1"/>
      <c r="O3426" s="25"/>
      <c r="Q3426" s="17"/>
      <c r="U3426" s="16"/>
      <c r="AB3426" s="29"/>
      <c r="AC3426" s="25"/>
      <c r="AD3426" s="41"/>
      <c r="AE3426" s="41"/>
      <c r="AF3426" s="11"/>
      <c r="AH3426" s="7"/>
      <c r="AL3426" s="23"/>
      <c r="AM3426" s="21"/>
      <c r="AN3426" s="11"/>
    </row>
    <row r="3427" spans="1:47">
      <c r="E3427" s="11"/>
      <c r="F3427" s="16"/>
      <c r="G3427" s="13"/>
      <c r="H3427" s="13"/>
      <c r="I3427" s="63"/>
      <c r="J3427" s="62"/>
      <c r="K3427" s="1"/>
      <c r="O3427" s="25"/>
      <c r="Q3427" s="17"/>
      <c r="U3427" s="16"/>
      <c r="AB3427" s="29"/>
      <c r="AC3427" s="25"/>
      <c r="AD3427" s="41"/>
      <c r="AE3427" s="41"/>
      <c r="AF3427" s="11"/>
      <c r="AH3427" s="7"/>
      <c r="AL3427" s="23"/>
      <c r="AM3427" s="21"/>
      <c r="AN3427" s="11"/>
    </row>
    <row r="3428" spans="1:47">
      <c r="E3428" s="11"/>
      <c r="F3428" s="10"/>
      <c r="G3428" s="13"/>
      <c r="H3428" s="13"/>
      <c r="I3428" s="63"/>
      <c r="J3428" s="62"/>
      <c r="K3428" s="1"/>
      <c r="P3428" s="6"/>
      <c r="Q3428" s="18"/>
      <c r="U3428" s="10"/>
      <c r="AB3428" s="29"/>
      <c r="AC3428" s="25"/>
      <c r="AD3428" s="41"/>
      <c r="AE3428" s="41"/>
      <c r="AF3428" s="11"/>
      <c r="AH3428" s="1"/>
      <c r="AL3428" s="22"/>
      <c r="AM3428" s="20"/>
      <c r="AN3428" s="11"/>
    </row>
    <row r="3429" spans="1:47">
      <c r="E3429" s="11"/>
      <c r="F3429" s="16"/>
      <c r="G3429" s="13"/>
      <c r="H3429" s="13"/>
      <c r="I3429" s="63"/>
      <c r="J3429" s="62"/>
      <c r="K3429" s="1"/>
      <c r="Q3429" s="17"/>
      <c r="U3429" s="16"/>
      <c r="AB3429" s="29"/>
      <c r="AC3429" s="25"/>
      <c r="AD3429" s="41"/>
      <c r="AE3429" s="41"/>
      <c r="AF3429" s="11"/>
      <c r="AH3429" s="7"/>
      <c r="AL3429" s="23"/>
      <c r="AM3429" s="21"/>
      <c r="AN3429" s="11"/>
    </row>
    <row r="3430" spans="1:47">
      <c r="E3430" s="11"/>
      <c r="F3430" s="16"/>
      <c r="G3430" s="13"/>
      <c r="H3430" s="13"/>
      <c r="I3430" s="63"/>
      <c r="J3430" s="62"/>
      <c r="K3430" s="1"/>
      <c r="Q3430" s="17"/>
      <c r="U3430" s="16"/>
      <c r="AB3430" s="29"/>
      <c r="AC3430" s="25"/>
      <c r="AD3430" s="41"/>
      <c r="AE3430" s="41"/>
      <c r="AF3430" s="11"/>
      <c r="AH3430" s="7"/>
      <c r="AL3430" s="23"/>
      <c r="AM3430" s="21"/>
      <c r="AN3430" s="11"/>
    </row>
    <row r="3431" spans="1:47">
      <c r="E3431" s="11"/>
      <c r="F3431" s="16"/>
      <c r="G3431" s="13"/>
      <c r="H3431" s="13"/>
      <c r="I3431" s="63"/>
      <c r="J3431" s="62"/>
      <c r="K3431" s="1"/>
      <c r="Q3431" s="17"/>
      <c r="U3431" s="16"/>
      <c r="AB3431" s="29"/>
      <c r="AC3431" s="25"/>
      <c r="AD3431" s="41"/>
      <c r="AE3431" s="41"/>
      <c r="AF3431" s="11"/>
      <c r="AH3431" s="7"/>
      <c r="AL3431" s="23"/>
      <c r="AM3431" s="21"/>
      <c r="AN3431" s="11"/>
    </row>
    <row r="3432" spans="1:47">
      <c r="E3432" s="11"/>
      <c r="F3432" s="16"/>
      <c r="G3432" s="13"/>
      <c r="H3432" s="13"/>
      <c r="I3432" s="63"/>
      <c r="J3432" s="62"/>
      <c r="K3432" s="1"/>
      <c r="Q3432" s="17"/>
      <c r="U3432" s="16"/>
      <c r="AB3432" s="29"/>
      <c r="AC3432" s="25"/>
      <c r="AD3432" s="41"/>
      <c r="AE3432" s="41"/>
      <c r="AF3432" s="11"/>
      <c r="AH3432" s="7"/>
      <c r="AL3432" s="23"/>
      <c r="AM3432" s="21"/>
      <c r="AN3432" s="11"/>
    </row>
    <row r="3433" spans="1:47">
      <c r="E3433" s="11"/>
      <c r="F3433" s="16"/>
      <c r="G3433" s="13"/>
      <c r="H3433" s="13"/>
      <c r="I3433" s="63"/>
      <c r="J3433" s="62"/>
      <c r="K3433" s="1"/>
      <c r="Q3433" s="17"/>
      <c r="U3433" s="16"/>
      <c r="AB3433" s="29"/>
      <c r="AC3433" s="25"/>
      <c r="AD3433" s="41"/>
      <c r="AE3433" s="41"/>
      <c r="AF3433" s="11"/>
      <c r="AH3433" s="7"/>
      <c r="AL3433" s="23"/>
      <c r="AM3433" s="21"/>
      <c r="AN3433" s="11"/>
    </row>
    <row r="3434" spans="1:47">
      <c r="E3434" s="11"/>
      <c r="F3434" s="16"/>
      <c r="G3434" s="13"/>
      <c r="H3434" s="13"/>
      <c r="I3434" s="63"/>
      <c r="J3434" s="62"/>
      <c r="K3434" s="1"/>
      <c r="Q3434" s="17"/>
      <c r="U3434" s="16"/>
      <c r="AB3434" s="29"/>
      <c r="AC3434" s="25"/>
      <c r="AD3434" s="41"/>
      <c r="AE3434" s="41"/>
      <c r="AF3434" s="11"/>
      <c r="AH3434" s="7"/>
      <c r="AL3434" s="23"/>
      <c r="AM3434" s="21"/>
      <c r="AN3434" s="11"/>
    </row>
    <row r="3435" spans="1:47">
      <c r="E3435" s="11"/>
      <c r="F3435" s="16"/>
      <c r="G3435" s="13"/>
      <c r="H3435" s="13"/>
      <c r="I3435" s="63"/>
      <c r="J3435" s="62"/>
      <c r="K3435" s="1"/>
      <c r="Q3435" s="17"/>
      <c r="U3435" s="16"/>
      <c r="AB3435" s="29"/>
      <c r="AC3435" s="25"/>
      <c r="AD3435" s="41"/>
      <c r="AE3435" s="41"/>
      <c r="AF3435" s="11"/>
      <c r="AH3435" s="7"/>
      <c r="AL3435" s="23"/>
      <c r="AM3435" s="21"/>
      <c r="AN3435" s="11"/>
    </row>
    <row r="3436" spans="1:47">
      <c r="E3436" s="11"/>
      <c r="F3436" s="16"/>
      <c r="G3436" s="13"/>
      <c r="H3436" s="13"/>
      <c r="I3436" s="63"/>
      <c r="J3436" s="62"/>
      <c r="K3436" s="1"/>
      <c r="Q3436" s="17"/>
      <c r="U3436" s="16"/>
      <c r="AB3436" s="29"/>
      <c r="AC3436" s="25"/>
      <c r="AD3436" s="41"/>
      <c r="AE3436" s="41"/>
      <c r="AF3436" s="11"/>
      <c r="AH3436" s="7"/>
      <c r="AL3436" s="23"/>
      <c r="AM3436" s="21"/>
      <c r="AN3436" s="11"/>
    </row>
    <row r="3437" spans="1:47">
      <c r="E3437" s="11"/>
      <c r="F3437" s="16"/>
      <c r="G3437" s="13"/>
      <c r="H3437" s="13"/>
      <c r="I3437" s="63"/>
      <c r="J3437" s="62"/>
      <c r="K3437" s="1"/>
      <c r="Q3437" s="17"/>
      <c r="U3437" s="16"/>
      <c r="AB3437" s="29"/>
      <c r="AC3437" s="25"/>
      <c r="AD3437" s="41"/>
      <c r="AE3437" s="41"/>
      <c r="AF3437" s="11"/>
      <c r="AH3437" s="7"/>
      <c r="AL3437" s="23"/>
      <c r="AM3437" s="21"/>
      <c r="AN3437" s="11"/>
    </row>
    <row r="3438" spans="1:47">
      <c r="E3438" s="11"/>
      <c r="F3438" s="10"/>
      <c r="G3438" s="13"/>
      <c r="H3438" s="13"/>
      <c r="I3438" s="63"/>
      <c r="J3438" s="62"/>
      <c r="K3438" s="1"/>
      <c r="Q3438" s="18"/>
      <c r="U3438" s="10"/>
      <c r="AB3438" s="29"/>
      <c r="AC3438" s="25"/>
      <c r="AD3438" s="41"/>
      <c r="AE3438" s="41"/>
      <c r="AF3438" s="11"/>
      <c r="AH3438" s="1"/>
      <c r="AL3438" s="22"/>
      <c r="AM3438" s="20"/>
      <c r="AN3438" s="11"/>
    </row>
    <row r="3439" spans="1:47">
      <c r="E3439" s="11"/>
      <c r="F3439" s="10"/>
      <c r="G3439" s="13"/>
      <c r="H3439" s="13"/>
      <c r="I3439" s="63"/>
      <c r="J3439" s="62"/>
      <c r="K3439" s="1"/>
      <c r="Q3439" s="18"/>
      <c r="U3439" s="10"/>
      <c r="AB3439" s="29"/>
      <c r="AC3439" s="25"/>
      <c r="AD3439" s="41"/>
      <c r="AE3439" s="41"/>
      <c r="AF3439" s="11"/>
      <c r="AH3439" s="1"/>
      <c r="AL3439" s="22"/>
      <c r="AM3439" s="20"/>
      <c r="AN3439" s="11"/>
    </row>
    <row r="3440" spans="1:47">
      <c r="A3440" s="68"/>
      <c r="B3440" s="68"/>
      <c r="C3440" s="68"/>
      <c r="D3440" s="69"/>
      <c r="E3440" s="70"/>
      <c r="F3440" s="66"/>
      <c r="G3440" s="13"/>
      <c r="H3440" s="13"/>
      <c r="I3440" s="86"/>
      <c r="J3440" s="72"/>
      <c r="K3440" s="73"/>
      <c r="L3440" s="64"/>
      <c r="Q3440" s="74"/>
      <c r="U3440" s="66"/>
      <c r="AB3440" s="29"/>
      <c r="AC3440" s="25"/>
      <c r="AD3440" s="41"/>
      <c r="AE3440" s="41"/>
      <c r="AF3440" s="11"/>
      <c r="AH3440" s="75"/>
      <c r="AL3440" s="23"/>
      <c r="AM3440" s="21"/>
      <c r="AN3440" s="70"/>
      <c r="AO3440" s="67"/>
      <c r="AP3440" s="67"/>
      <c r="AQ3440" s="67"/>
      <c r="AR3440" s="67"/>
      <c r="AS3440" s="67"/>
      <c r="AT3440" s="67"/>
      <c r="AU3440" s="67"/>
    </row>
    <row r="3441" spans="1:47">
      <c r="A3441" s="68"/>
      <c r="B3441" s="68"/>
      <c r="C3441" s="68"/>
      <c r="D3441" s="69"/>
      <c r="E3441" s="70"/>
      <c r="F3441" s="66"/>
      <c r="G3441" s="13"/>
      <c r="H3441" s="13"/>
      <c r="I3441" s="86"/>
      <c r="J3441" s="72"/>
      <c r="K3441" s="73"/>
      <c r="Q3441" s="74"/>
      <c r="U3441" s="66"/>
      <c r="AB3441" s="29"/>
      <c r="AC3441" s="25"/>
      <c r="AD3441" s="41"/>
      <c r="AE3441" s="41"/>
      <c r="AF3441" s="11"/>
      <c r="AH3441" s="75"/>
      <c r="AL3441" s="23"/>
      <c r="AM3441" s="21"/>
      <c r="AN3441" s="70"/>
      <c r="AO3441" s="67"/>
      <c r="AP3441" s="67"/>
      <c r="AQ3441" s="67"/>
      <c r="AR3441" s="67"/>
      <c r="AS3441" s="67"/>
      <c r="AT3441" s="67"/>
      <c r="AU3441" s="67"/>
    </row>
    <row r="3442" spans="1:47">
      <c r="A3442" s="68"/>
      <c r="B3442" s="68"/>
      <c r="C3442" s="68"/>
      <c r="D3442" s="69"/>
      <c r="E3442" s="70"/>
      <c r="F3442" s="66"/>
      <c r="G3442" s="13"/>
      <c r="H3442" s="13"/>
      <c r="I3442" s="71"/>
      <c r="J3442" s="72"/>
      <c r="K3442" s="73"/>
      <c r="Q3442" s="74"/>
      <c r="U3442" s="66"/>
      <c r="AB3442" s="29"/>
      <c r="AC3442" s="25"/>
      <c r="AD3442" s="41"/>
      <c r="AE3442" s="41"/>
      <c r="AF3442" s="11"/>
      <c r="AH3442" s="75"/>
      <c r="AL3442" s="23"/>
      <c r="AM3442" s="21"/>
      <c r="AN3442" s="70"/>
      <c r="AO3442" s="67"/>
      <c r="AP3442" s="67"/>
      <c r="AQ3442" s="67"/>
      <c r="AR3442" s="67"/>
      <c r="AS3442" s="67"/>
      <c r="AT3442" s="67"/>
      <c r="AU3442" s="67"/>
    </row>
    <row r="3443" spans="1:47">
      <c r="A3443" s="68"/>
      <c r="B3443" s="68"/>
      <c r="C3443" s="68"/>
      <c r="D3443" s="69"/>
      <c r="E3443" s="70"/>
      <c r="F3443" s="66"/>
      <c r="G3443" s="13"/>
      <c r="H3443" s="13"/>
      <c r="I3443" s="71"/>
      <c r="J3443" s="72"/>
      <c r="K3443" s="73"/>
      <c r="Q3443" s="74"/>
      <c r="U3443" s="66"/>
      <c r="AB3443" s="29"/>
      <c r="AC3443" s="25"/>
      <c r="AD3443" s="41"/>
      <c r="AE3443" s="41"/>
      <c r="AF3443" s="11"/>
      <c r="AH3443" s="75"/>
      <c r="AL3443" s="23"/>
      <c r="AM3443" s="21"/>
      <c r="AN3443" s="70"/>
      <c r="AO3443" s="67"/>
      <c r="AP3443" s="67"/>
      <c r="AQ3443" s="67"/>
      <c r="AR3443" s="67"/>
      <c r="AS3443" s="67"/>
      <c r="AT3443" s="67"/>
      <c r="AU3443" s="67"/>
    </row>
    <row r="3444" spans="1:47">
      <c r="E3444" s="11"/>
      <c r="F3444" s="16"/>
      <c r="G3444" s="13"/>
      <c r="H3444" s="13"/>
      <c r="I3444" s="63"/>
      <c r="J3444" s="62"/>
      <c r="K3444" s="79"/>
      <c r="Q3444" s="17"/>
      <c r="U3444" s="10"/>
      <c r="AB3444" s="29"/>
      <c r="AC3444" s="25"/>
      <c r="AD3444" s="41"/>
      <c r="AE3444" s="41"/>
      <c r="AF3444" s="11"/>
      <c r="AH3444" s="7"/>
      <c r="AL3444" s="23"/>
      <c r="AM3444" s="21"/>
      <c r="AN3444" s="11"/>
    </row>
    <row r="3445" spans="1:47">
      <c r="E3445" s="11"/>
      <c r="F3445" s="16"/>
      <c r="G3445" s="13"/>
      <c r="H3445" s="13"/>
      <c r="I3445" s="63"/>
      <c r="J3445" s="62"/>
      <c r="K3445" s="79"/>
      <c r="Q3445" s="17"/>
      <c r="U3445" s="10"/>
      <c r="AB3445" s="29"/>
      <c r="AC3445" s="25"/>
      <c r="AD3445" s="41"/>
      <c r="AE3445" s="41"/>
      <c r="AF3445" s="11"/>
      <c r="AH3445" s="7"/>
      <c r="AL3445" s="23"/>
      <c r="AM3445" s="21"/>
      <c r="AN3445" s="11"/>
    </row>
    <row r="3446" spans="1:47">
      <c r="A3446" s="68"/>
      <c r="B3446" s="68"/>
      <c r="C3446" s="68"/>
      <c r="D3446" s="69"/>
      <c r="E3446" s="70"/>
      <c r="F3446" s="66"/>
      <c r="G3446" s="13"/>
      <c r="H3446" s="13"/>
      <c r="I3446" s="71"/>
      <c r="J3446" s="72"/>
      <c r="K3446" s="73"/>
      <c r="Q3446" s="74"/>
      <c r="U3446" s="66"/>
      <c r="AB3446" s="29"/>
      <c r="AC3446" s="25"/>
      <c r="AD3446" s="41"/>
      <c r="AE3446" s="41"/>
      <c r="AF3446" s="11"/>
      <c r="AH3446" s="75"/>
      <c r="AL3446" s="23"/>
      <c r="AM3446" s="21"/>
      <c r="AN3446" s="70"/>
      <c r="AO3446" s="67"/>
      <c r="AP3446" s="67"/>
      <c r="AQ3446" s="67"/>
      <c r="AR3446" s="67"/>
      <c r="AS3446" s="67"/>
      <c r="AT3446" s="67"/>
      <c r="AU3446" s="67"/>
    </row>
    <row r="3447" spans="1:47">
      <c r="A3447" s="68"/>
      <c r="B3447" s="68"/>
      <c r="C3447" s="68"/>
      <c r="D3447" s="69"/>
      <c r="E3447" s="70"/>
      <c r="F3447" s="66"/>
      <c r="G3447" s="13"/>
      <c r="H3447" s="13"/>
      <c r="I3447" s="71"/>
      <c r="J3447" s="72"/>
      <c r="K3447" s="73"/>
      <c r="Q3447" s="74"/>
      <c r="U3447" s="66"/>
      <c r="AB3447" s="29"/>
      <c r="AC3447" s="25"/>
      <c r="AD3447" s="41"/>
      <c r="AE3447" s="41"/>
      <c r="AF3447" s="11"/>
      <c r="AH3447" s="75"/>
      <c r="AL3447" s="23"/>
      <c r="AM3447" s="21"/>
      <c r="AN3447" s="70"/>
      <c r="AO3447" s="67"/>
      <c r="AP3447" s="67"/>
      <c r="AQ3447" s="67"/>
      <c r="AR3447" s="67"/>
      <c r="AS3447" s="67"/>
      <c r="AT3447" s="67"/>
      <c r="AU3447" s="67"/>
    </row>
    <row r="3448" spans="1:47">
      <c r="E3448" s="11"/>
      <c r="F3448" s="16"/>
      <c r="G3448" s="13"/>
      <c r="H3448" s="13"/>
      <c r="I3448" s="63"/>
      <c r="J3448" s="62"/>
      <c r="K3448" s="7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3448" t="s">
        <v>3100</v>
      </c>
      <c r="Q3448" s="17"/>
      <c r="U3448" s="10"/>
      <c r="AA3448" t="s">
        <v>3115</v>
      </c>
      <c r="AB3448" s="29"/>
      <c r="AC3448" s="25"/>
      <c r="AD3448" s="41"/>
      <c r="AE3448" s="41"/>
      <c r="AF3448" s="11" t="s">
        <v>226</v>
      </c>
      <c r="AH3448" s="7"/>
      <c r="AL3448" s="23"/>
      <c r="AM3448" s="21"/>
      <c r="AN3448" s="11"/>
    </row>
    <row r="3449" spans="1:47">
      <c r="E3449" s="11"/>
      <c r="F3449" s="16"/>
      <c r="G3449" s="13"/>
      <c r="H3449" s="13"/>
      <c r="I3449" s="63"/>
      <c r="J3449" s="62"/>
      <c r="K3449" s="79"/>
      <c r="Q3449" s="17"/>
      <c r="U3449" s="10"/>
      <c r="AB3449" s="29"/>
      <c r="AC3449" s="25"/>
      <c r="AD3449" s="41"/>
      <c r="AE3449" s="41"/>
      <c r="AF3449" s="11"/>
      <c r="AH3449" s="7"/>
      <c r="AL3449" s="23"/>
      <c r="AM3449" s="21"/>
      <c r="AN3449" s="11"/>
    </row>
    <row r="3450" spans="1:47">
      <c r="E3450" s="11"/>
      <c r="F3450" s="16"/>
      <c r="G3450" s="13"/>
      <c r="H3450" s="13"/>
      <c r="I3450" s="63"/>
      <c r="J3450" s="62"/>
      <c r="K3450" s="79"/>
      <c r="Q3450" s="17"/>
      <c r="U3450" s="10"/>
      <c r="AB3450" s="29"/>
      <c r="AC3450" s="25"/>
      <c r="AD3450" s="41"/>
      <c r="AE3450" s="41"/>
      <c r="AF3450" s="11"/>
      <c r="AH3450" s="7"/>
      <c r="AL3450" s="23"/>
      <c r="AM3450" s="21"/>
      <c r="AN3450" s="11"/>
    </row>
  </sheetData>
  <phoneticPr fontId="3" type="noConversion"/>
  <conditionalFormatting sqref="AH3 AH5:AH162 AH1127:AH1259 AH164:AH1125">
    <cfRule type="uniqueValues" dxfId="3" priority="104" stopIfTrue="1"/>
  </conditionalFormatting>
  <conditionalFormatting sqref="J3:J3450">
    <cfRule type="duplicateValues" dxfId="1" priority="158"/>
  </conditionalFormatting>
  <conditionalFormatting sqref="AM3:AM1632">
    <cfRule type="duplicateValues" dxfId="0" priority="162"/>
  </conditionalFormatting>
  <hyperlinks>
    <hyperlink ref="AC3216" r:id="rId1" display="https://bootstrapshuffle.com/classes/toasts/toast" xr:uid="{2A63FBD8-4E6E-734A-A454-0F321C165131}"/>
    <hyperlink ref="AC3234" r:id="rId2" display="https://bootstrapshuffle.com/classes/tooltips/tooltip" xr:uid="{5EE2844C-CDA6-FF4B-81F2-6ABDE8569732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092DD8-D764-824B-964C-B24E04FC32BA}">
          <x14:formula1>
            <xm:f>html_tags!$A$2:$A$129</xm:f>
          </x14:formula1>
          <xm:sqref>AI3:AI3450 AF3:AF3450</xm:sqref>
        </x14:dataValidation>
        <x14:dataValidation type="list" allowBlank="1" showInputMessage="1" showErrorMessage="1" xr:uid="{D2C51CB1-D539-DB4A-9CDA-CB8BE5710CF0}">
          <x14:formula1>
            <xm:f>html_pseudo!$A$2:$A$128</xm:f>
          </x14:formula1>
          <xm:sqref>AK3:AK1632</xm:sqref>
        </x14:dataValidation>
        <x14:dataValidation type="list" allowBlank="1" showInputMessage="1" showErrorMessage="1" xr:uid="{883FC439-1D5B-7644-8F6A-BD378744E62C}">
          <x14:formula1>
            <xm:f>word!$I$2:$I$376</xm:f>
          </x14:formula1>
          <xm:sqref>AM3:AM1632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199D-220D-8146-9D37-491F65281769}">
  <dimension ref="C4:C4415"/>
  <sheetViews>
    <sheetView workbookViewId="0">
      <selection activeCell="B7" sqref="B7:B4912"/>
    </sheetView>
  </sheetViews>
  <sheetFormatPr baseColWidth="10" defaultRowHeight="16"/>
  <sheetData>
    <row r="4" spans="3:3" ht="31">
      <c r="C4" s="53" t="s">
        <v>7432</v>
      </c>
    </row>
    <row r="5" spans="3:3" ht="26">
      <c r="C5" s="54" t="s">
        <v>7433</v>
      </c>
    </row>
    <row r="6" spans="3:3">
      <c r="C6" s="2" t="s">
        <v>7434</v>
      </c>
    </row>
    <row r="7" spans="3:3" ht="19">
      <c r="C7" s="55" t="s">
        <v>7435</v>
      </c>
    </row>
    <row r="8" spans="3:3" ht="19">
      <c r="C8" s="55" t="s">
        <v>7436</v>
      </c>
    </row>
    <row r="9" spans="3:3" ht="19">
      <c r="C9" s="55" t="s">
        <v>7437</v>
      </c>
    </row>
    <row r="10" spans="3:3" ht="19">
      <c r="C10" s="55" t="s">
        <v>7438</v>
      </c>
    </row>
    <row r="11" spans="3:3">
      <c r="C11" s="2" t="s">
        <v>7439</v>
      </c>
    </row>
    <row r="12" spans="3:3" ht="19">
      <c r="C12" s="55" t="s">
        <v>7440</v>
      </c>
    </row>
    <row r="13" spans="3:3" ht="19">
      <c r="C13" s="55" t="s">
        <v>7441</v>
      </c>
    </row>
    <row r="14" spans="3:3" ht="19">
      <c r="C14" s="55" t="s">
        <v>7442</v>
      </c>
    </row>
    <row r="15" spans="3:3">
      <c r="C15" s="2" t="s">
        <v>7443</v>
      </c>
    </row>
    <row r="16" spans="3:3" ht="19">
      <c r="C16" s="55" t="s">
        <v>7444</v>
      </c>
    </row>
    <row r="17" spans="3:3">
      <c r="C17" s="2" t="s">
        <v>7445</v>
      </c>
    </row>
    <row r="18" spans="3:3" ht="19">
      <c r="C18" s="55" t="s">
        <v>7446</v>
      </c>
    </row>
    <row r="19" spans="3:3" ht="19">
      <c r="C19" s="55" t="s">
        <v>7441</v>
      </c>
    </row>
    <row r="20" spans="3:3" ht="19">
      <c r="C20" s="55" t="s">
        <v>7447</v>
      </c>
    </row>
    <row r="21" spans="3:3">
      <c r="C21" s="2" t="s">
        <v>7448</v>
      </c>
    </row>
    <row r="22" spans="3:3" ht="19">
      <c r="C22" s="55" t="s">
        <v>7436</v>
      </c>
    </row>
    <row r="23" spans="3:3">
      <c r="C23" s="2" t="s">
        <v>7449</v>
      </c>
    </row>
    <row r="24" spans="3:3" ht="19">
      <c r="C24" s="55" t="s">
        <v>7450</v>
      </c>
    </row>
    <row r="25" spans="3:3" ht="19">
      <c r="C25" s="55" t="s">
        <v>7451</v>
      </c>
    </row>
    <row r="26" spans="3:3" ht="19">
      <c r="C26" s="55" t="s">
        <v>7436</v>
      </c>
    </row>
    <row r="27" spans="3:3" ht="19">
      <c r="C27" s="55" t="s">
        <v>7437</v>
      </c>
    </row>
    <row r="28" spans="3:3" ht="19">
      <c r="C28" s="55" t="s">
        <v>7447</v>
      </c>
    </row>
    <row r="29" spans="3:3" ht="19">
      <c r="C29" s="55" t="s">
        <v>7452</v>
      </c>
    </row>
    <row r="30" spans="3:3">
      <c r="C30" s="2" t="s">
        <v>7453</v>
      </c>
    </row>
    <row r="31" spans="3:3" ht="19">
      <c r="C31" s="55" t="s">
        <v>7454</v>
      </c>
    </row>
    <row r="32" spans="3:3" ht="19">
      <c r="C32" s="55" t="s">
        <v>7455</v>
      </c>
    </row>
    <row r="33" spans="3:3" ht="19">
      <c r="C33" s="55" t="s">
        <v>7436</v>
      </c>
    </row>
    <row r="34" spans="3:3" ht="19">
      <c r="C34" s="55" t="s">
        <v>7437</v>
      </c>
    </row>
    <row r="35" spans="3:3" ht="19">
      <c r="C35" s="55" t="s">
        <v>7456</v>
      </c>
    </row>
    <row r="36" spans="3:3" ht="19">
      <c r="C36" s="55" t="s">
        <v>7457</v>
      </c>
    </row>
    <row r="37" spans="3:3">
      <c r="C37" s="2" t="s">
        <v>7458</v>
      </c>
    </row>
    <row r="38" spans="3:3" ht="19">
      <c r="C38" s="55" t="s">
        <v>7459</v>
      </c>
    </row>
    <row r="39" spans="3:3" ht="19">
      <c r="C39" s="55" t="s">
        <v>7460</v>
      </c>
    </row>
    <row r="40" spans="3:3" ht="19">
      <c r="C40" s="55" t="s">
        <v>7461</v>
      </c>
    </row>
    <row r="41" spans="3:3" ht="19">
      <c r="C41" s="55" t="s">
        <v>7462</v>
      </c>
    </row>
    <row r="42" spans="3:3">
      <c r="C42" s="2" t="s">
        <v>7463</v>
      </c>
    </row>
    <row r="43" spans="3:3" ht="19">
      <c r="C43" s="55" t="s">
        <v>7464</v>
      </c>
    </row>
    <row r="44" spans="3:3" ht="19">
      <c r="C44" s="55" t="s">
        <v>7465</v>
      </c>
    </row>
    <row r="45" spans="3:3">
      <c r="C45" s="2" t="s">
        <v>7466</v>
      </c>
    </row>
    <row r="46" spans="3:3" ht="19">
      <c r="C46" s="55" t="s">
        <v>7467</v>
      </c>
    </row>
    <row r="47" spans="3:3" ht="19">
      <c r="C47" s="55" t="s">
        <v>7468</v>
      </c>
    </row>
    <row r="48" spans="3:3" ht="19">
      <c r="C48" s="55" t="s">
        <v>7469</v>
      </c>
    </row>
    <row r="49" spans="3:3">
      <c r="C49" s="2" t="s">
        <v>7470</v>
      </c>
    </row>
    <row r="50" spans="3:3" ht="19">
      <c r="C50" s="55" t="s">
        <v>7471</v>
      </c>
    </row>
    <row r="51" spans="3:3" ht="19">
      <c r="C51" s="55" t="s">
        <v>7436</v>
      </c>
    </row>
    <row r="52" spans="3:3" ht="19">
      <c r="C52" s="55" t="s">
        <v>7437</v>
      </c>
    </row>
    <row r="53" spans="3:3" ht="19">
      <c r="C53" s="55" t="s">
        <v>7442</v>
      </c>
    </row>
    <row r="54" spans="3:3" ht="19">
      <c r="C54" s="55" t="s">
        <v>7457</v>
      </c>
    </row>
    <row r="55" spans="3:3">
      <c r="C55" s="2" t="s">
        <v>7472</v>
      </c>
    </row>
    <row r="56" spans="3:3" ht="19">
      <c r="C56" s="55" t="s">
        <v>7473</v>
      </c>
    </row>
    <row r="57" spans="3:3" ht="19">
      <c r="C57" s="55" t="s">
        <v>7474</v>
      </c>
    </row>
    <row r="58" spans="3:3" ht="19">
      <c r="C58" s="55" t="s">
        <v>7475</v>
      </c>
    </row>
    <row r="59" spans="3:3">
      <c r="C59" s="2" t="s">
        <v>7476</v>
      </c>
    </row>
    <row r="60" spans="3:3" ht="19">
      <c r="C60" s="55" t="s">
        <v>7473</v>
      </c>
    </row>
    <row r="61" spans="3:3" ht="19">
      <c r="C61" s="55" t="s">
        <v>7477</v>
      </c>
    </row>
    <row r="62" spans="3:3" ht="19">
      <c r="C62" s="55" t="s">
        <v>7478</v>
      </c>
    </row>
    <row r="63" spans="3:3">
      <c r="C63" s="2" t="s">
        <v>7479</v>
      </c>
    </row>
    <row r="64" spans="3:3" ht="19">
      <c r="C64" s="55" t="s">
        <v>7480</v>
      </c>
    </row>
    <row r="65" spans="3:3" ht="19">
      <c r="C65" s="55" t="s">
        <v>7481</v>
      </c>
    </row>
    <row r="66" spans="3:3" ht="19">
      <c r="C66" s="55" t="s">
        <v>7474</v>
      </c>
    </row>
    <row r="67" spans="3:3" ht="19">
      <c r="C67" s="55" t="s">
        <v>7482</v>
      </c>
    </row>
    <row r="68" spans="3:3" ht="19">
      <c r="C68" s="55" t="s">
        <v>7483</v>
      </c>
    </row>
    <row r="69" spans="3:3" ht="19">
      <c r="C69" s="55" t="s">
        <v>7484</v>
      </c>
    </row>
    <row r="70" spans="3:3" ht="19">
      <c r="C70" s="55" t="s">
        <v>7485</v>
      </c>
    </row>
    <row r="71" spans="3:3" ht="19">
      <c r="C71" s="55" t="s">
        <v>7486</v>
      </c>
    </row>
    <row r="72" spans="3:3">
      <c r="C72" s="2" t="s">
        <v>7487</v>
      </c>
    </row>
    <row r="73" spans="3:3" ht="19">
      <c r="C73" s="55" t="s">
        <v>7488</v>
      </c>
    </row>
    <row r="74" spans="3:3" ht="19">
      <c r="C74" s="55" t="s">
        <v>7483</v>
      </c>
    </row>
    <row r="75" spans="3:3" ht="19">
      <c r="C75" s="55" t="s">
        <v>7489</v>
      </c>
    </row>
    <row r="76" spans="3:3">
      <c r="C76" s="2" t="s">
        <v>7490</v>
      </c>
    </row>
    <row r="77" spans="3:3" ht="19">
      <c r="C77" s="55" t="s">
        <v>7491</v>
      </c>
    </row>
    <row r="78" spans="3:3">
      <c r="C78" s="2" t="s">
        <v>7492</v>
      </c>
    </row>
    <row r="79" spans="3:3" ht="19">
      <c r="C79" s="55" t="s">
        <v>7493</v>
      </c>
    </row>
    <row r="80" spans="3:3" ht="19">
      <c r="C80" s="55" t="s">
        <v>7494</v>
      </c>
    </row>
    <row r="81" spans="3:3" ht="19">
      <c r="C81" s="55" t="s">
        <v>7495</v>
      </c>
    </row>
    <row r="82" spans="3:3" ht="19">
      <c r="C82" s="55" t="s">
        <v>7496</v>
      </c>
    </row>
    <row r="83" spans="3:3" ht="19">
      <c r="C83" s="55" t="s">
        <v>7497</v>
      </c>
    </row>
    <row r="84" spans="3:3" ht="19">
      <c r="C84" s="55" t="s">
        <v>7498</v>
      </c>
    </row>
    <row r="85" spans="3:3" ht="19">
      <c r="C85" s="55" t="s">
        <v>7499</v>
      </c>
    </row>
    <row r="86" spans="3:3" ht="19">
      <c r="C86" s="55" t="s">
        <v>7500</v>
      </c>
    </row>
    <row r="87" spans="3:3" ht="19">
      <c r="C87" s="55" t="s">
        <v>7501</v>
      </c>
    </row>
    <row r="88" spans="3:3" ht="19">
      <c r="C88" s="55" t="s">
        <v>7502</v>
      </c>
    </row>
    <row r="89" spans="3:3">
      <c r="C89" s="2" t="s">
        <v>6190</v>
      </c>
    </row>
    <row r="90" spans="3:3" ht="19">
      <c r="C90" s="55" t="s">
        <v>7473</v>
      </c>
    </row>
    <row r="91" spans="3:3" ht="19">
      <c r="C91" s="55" t="s">
        <v>7474</v>
      </c>
    </row>
    <row r="92" spans="3:3" ht="19">
      <c r="C92" s="55" t="s">
        <v>7503</v>
      </c>
    </row>
    <row r="93" spans="3:3" ht="19">
      <c r="C93" s="55" t="s">
        <v>7504</v>
      </c>
    </row>
    <row r="94" spans="3:3" ht="19">
      <c r="C94" s="55" t="s">
        <v>7501</v>
      </c>
    </row>
    <row r="95" spans="3:3">
      <c r="C95" s="2" t="s">
        <v>7505</v>
      </c>
    </row>
    <row r="96" spans="3:3" ht="19">
      <c r="C96" s="55" t="s">
        <v>7493</v>
      </c>
    </row>
    <row r="97" spans="3:3" ht="19">
      <c r="C97" s="55" t="s">
        <v>7506</v>
      </c>
    </row>
    <row r="98" spans="3:3" ht="19">
      <c r="C98" s="55" t="s">
        <v>7507</v>
      </c>
    </row>
    <row r="99" spans="3:3" ht="19">
      <c r="C99" s="55" t="s">
        <v>7508</v>
      </c>
    </row>
    <row r="100" spans="3:3" ht="19">
      <c r="C100" s="55" t="s">
        <v>7509</v>
      </c>
    </row>
    <row r="101" spans="3:3" ht="19">
      <c r="C101" s="55" t="s">
        <v>7510</v>
      </c>
    </row>
    <row r="102" spans="3:3">
      <c r="C102" s="2" t="s">
        <v>7511</v>
      </c>
    </row>
    <row r="103" spans="3:3" ht="19">
      <c r="C103" s="55" t="s">
        <v>7473</v>
      </c>
    </row>
    <row r="104" spans="3:3" ht="19">
      <c r="C104" s="55" t="s">
        <v>7512</v>
      </c>
    </row>
    <row r="105" spans="3:3">
      <c r="C105" s="2" t="s">
        <v>7513</v>
      </c>
    </row>
    <row r="106" spans="3:3" ht="19">
      <c r="C106" s="55" t="s">
        <v>7514</v>
      </c>
    </row>
    <row r="107" spans="3:3" ht="19">
      <c r="C107" s="55" t="s">
        <v>7503</v>
      </c>
    </row>
    <row r="108" spans="3:3">
      <c r="C108" s="2" t="s">
        <v>7515</v>
      </c>
    </row>
    <row r="109" spans="3:3" ht="19">
      <c r="C109" s="55" t="s">
        <v>7516</v>
      </c>
    </row>
    <row r="110" spans="3:3">
      <c r="C110" s="2" t="s">
        <v>7517</v>
      </c>
    </row>
    <row r="111" spans="3:3" ht="19">
      <c r="C111" s="55" t="s">
        <v>7509</v>
      </c>
    </row>
    <row r="112" spans="3:3">
      <c r="C112" s="2" t="s">
        <v>7518</v>
      </c>
    </row>
    <row r="113" spans="3:3" ht="19">
      <c r="C113" s="55" t="s">
        <v>7519</v>
      </c>
    </row>
    <row r="114" spans="3:3" ht="19">
      <c r="C114" s="55" t="s">
        <v>7520</v>
      </c>
    </row>
    <row r="115" spans="3:3" ht="19">
      <c r="C115" s="55" t="s">
        <v>7521</v>
      </c>
    </row>
    <row r="116" spans="3:3">
      <c r="C116" s="2" t="s">
        <v>7522</v>
      </c>
    </row>
    <row r="117" spans="3:3" ht="19">
      <c r="C117" s="55" t="s">
        <v>7523</v>
      </c>
    </row>
    <row r="118" spans="3:3" ht="19">
      <c r="C118" s="55" t="s">
        <v>7524</v>
      </c>
    </row>
    <row r="119" spans="3:3">
      <c r="C119" s="2" t="s">
        <v>7525</v>
      </c>
    </row>
    <row r="120" spans="3:3" ht="19">
      <c r="C120" s="55" t="s">
        <v>7493</v>
      </c>
    </row>
    <row r="121" spans="3:3" ht="19">
      <c r="C121" s="55" t="s">
        <v>7480</v>
      </c>
    </row>
    <row r="122" spans="3:3" ht="19">
      <c r="C122" s="55" t="s">
        <v>7526</v>
      </c>
    </row>
    <row r="123" spans="3:3" ht="19">
      <c r="C123" s="55" t="s">
        <v>7527</v>
      </c>
    </row>
    <row r="124" spans="3:3" ht="19">
      <c r="C124" s="55" t="s">
        <v>7509</v>
      </c>
    </row>
    <row r="125" spans="3:3" ht="19">
      <c r="C125" s="55" t="s">
        <v>7528</v>
      </c>
    </row>
    <row r="126" spans="3:3">
      <c r="C126" s="2" t="s">
        <v>7529</v>
      </c>
    </row>
    <row r="127" spans="3:3" ht="19">
      <c r="C127" s="55" t="s">
        <v>7530</v>
      </c>
    </row>
    <row r="128" spans="3:3" ht="19">
      <c r="C128" s="55" t="s">
        <v>7531</v>
      </c>
    </row>
    <row r="129" spans="3:3">
      <c r="C129" s="2" t="s">
        <v>7532</v>
      </c>
    </row>
    <row r="130" spans="3:3" ht="19">
      <c r="C130" s="55" t="s">
        <v>7516</v>
      </c>
    </row>
    <row r="131" spans="3:3" ht="19">
      <c r="C131" s="55" t="s">
        <v>7533</v>
      </c>
    </row>
    <row r="132" spans="3:3" ht="19">
      <c r="C132" s="55" t="s">
        <v>7526</v>
      </c>
    </row>
    <row r="133" spans="3:3">
      <c r="C133" s="2" t="s">
        <v>7534</v>
      </c>
    </row>
    <row r="134" spans="3:3" ht="19">
      <c r="C134" s="55" t="s">
        <v>7493</v>
      </c>
    </row>
    <row r="135" spans="3:3">
      <c r="C135" s="2" t="s">
        <v>7535</v>
      </c>
    </row>
    <row r="136" spans="3:3" ht="19">
      <c r="C136" s="55" t="s">
        <v>7520</v>
      </c>
    </row>
    <row r="137" spans="3:3" ht="19">
      <c r="C137" s="55" t="s">
        <v>7536</v>
      </c>
    </row>
    <row r="138" spans="3:3" ht="19">
      <c r="C138" s="55" t="s">
        <v>7537</v>
      </c>
    </row>
    <row r="139" spans="3:3" ht="19">
      <c r="C139" s="55" t="s">
        <v>7538</v>
      </c>
    </row>
    <row r="140" spans="3:3">
      <c r="C140" s="2" t="s">
        <v>7539</v>
      </c>
    </row>
    <row r="141" spans="3:3" ht="19">
      <c r="C141" s="55" t="s">
        <v>7524</v>
      </c>
    </row>
    <row r="142" spans="3:3">
      <c r="C142" s="2" t="s">
        <v>7540</v>
      </c>
    </row>
    <row r="143" spans="3:3" ht="19">
      <c r="C143" s="55" t="s">
        <v>7541</v>
      </c>
    </row>
    <row r="144" spans="3:3" ht="19">
      <c r="C144" s="55" t="s">
        <v>7521</v>
      </c>
    </row>
    <row r="145" spans="3:3">
      <c r="C145" s="2" t="s">
        <v>7542</v>
      </c>
    </row>
    <row r="146" spans="3:3" ht="19">
      <c r="C146" s="55" t="s">
        <v>7543</v>
      </c>
    </row>
    <row r="147" spans="3:3">
      <c r="C147" s="2" t="s">
        <v>7544</v>
      </c>
    </row>
    <row r="148" spans="3:3" ht="19">
      <c r="C148" s="55" t="s">
        <v>7545</v>
      </c>
    </row>
    <row r="149" spans="3:3" ht="19">
      <c r="C149" s="55" t="s">
        <v>7546</v>
      </c>
    </row>
    <row r="150" spans="3:3">
      <c r="C150" s="2" t="s">
        <v>7547</v>
      </c>
    </row>
    <row r="151" spans="3:3" ht="19">
      <c r="C151" s="55" t="s">
        <v>7520</v>
      </c>
    </row>
    <row r="152" spans="3:3" ht="19">
      <c r="C152" s="55" t="s">
        <v>7548</v>
      </c>
    </row>
    <row r="153" spans="3:3">
      <c r="C153" s="2" t="s">
        <v>7549</v>
      </c>
    </row>
    <row r="154" spans="3:3" ht="19">
      <c r="C154" s="55" t="s">
        <v>7550</v>
      </c>
    </row>
    <row r="155" spans="3:3" ht="19">
      <c r="C155" s="55" t="s">
        <v>7500</v>
      </c>
    </row>
    <row r="156" spans="3:3">
      <c r="C156" s="2" t="s">
        <v>7551</v>
      </c>
    </row>
    <row r="157" spans="3:3" ht="19">
      <c r="C157" s="55" t="s">
        <v>7516</v>
      </c>
    </row>
    <row r="158" spans="3:3" ht="19">
      <c r="C158" s="55" t="s">
        <v>7552</v>
      </c>
    </row>
    <row r="159" spans="3:3" ht="19">
      <c r="C159" s="55" t="s">
        <v>7550</v>
      </c>
    </row>
    <row r="160" spans="3:3" ht="19">
      <c r="C160" s="55" t="s">
        <v>7553</v>
      </c>
    </row>
    <row r="161" spans="3:3" ht="19">
      <c r="C161" s="55" t="s">
        <v>7526</v>
      </c>
    </row>
    <row r="162" spans="3:3" ht="19">
      <c r="C162" s="55" t="s">
        <v>7554</v>
      </c>
    </row>
    <row r="163" spans="3:3" ht="19">
      <c r="C163" s="55" t="s">
        <v>7555</v>
      </c>
    </row>
    <row r="164" spans="3:3" ht="19">
      <c r="C164" s="55" t="s">
        <v>7508</v>
      </c>
    </row>
    <row r="165" spans="3:3" ht="19">
      <c r="C165" s="55" t="s">
        <v>7556</v>
      </c>
    </row>
    <row r="166" spans="3:3" ht="19">
      <c r="C166" s="55" t="s">
        <v>7509</v>
      </c>
    </row>
    <row r="167" spans="3:3" ht="19">
      <c r="C167" s="55" t="s">
        <v>7557</v>
      </c>
    </row>
    <row r="168" spans="3:3">
      <c r="C168" s="2" t="s">
        <v>7558</v>
      </c>
    </row>
    <row r="169" spans="3:3" ht="19">
      <c r="C169" s="55" t="s">
        <v>7509</v>
      </c>
    </row>
    <row r="170" spans="3:3">
      <c r="C170" s="2" t="s">
        <v>7559</v>
      </c>
    </row>
    <row r="171" spans="3:3" ht="19">
      <c r="C171" s="55" t="s">
        <v>7560</v>
      </c>
    </row>
    <row r="172" spans="3:3">
      <c r="C172" s="2" t="s">
        <v>7561</v>
      </c>
    </row>
    <row r="173" spans="3:3" ht="19">
      <c r="C173" s="55" t="s">
        <v>7519</v>
      </c>
    </row>
    <row r="174" spans="3:3" ht="19">
      <c r="C174" s="55" t="s">
        <v>7537</v>
      </c>
    </row>
    <row r="175" spans="3:3">
      <c r="C175" s="2" t="s">
        <v>7562</v>
      </c>
    </row>
    <row r="176" spans="3:3" ht="19">
      <c r="C176" s="55" t="s">
        <v>7563</v>
      </c>
    </row>
    <row r="177" spans="3:3" ht="19">
      <c r="C177" s="55" t="s">
        <v>7450</v>
      </c>
    </row>
    <row r="178" spans="3:3">
      <c r="C178" s="2" t="s">
        <v>7564</v>
      </c>
    </row>
    <row r="179" spans="3:3" ht="19">
      <c r="C179" s="55" t="s">
        <v>7565</v>
      </c>
    </row>
    <row r="180" spans="3:3">
      <c r="C180" s="2" t="s">
        <v>7566</v>
      </c>
    </row>
    <row r="181" spans="3:3" ht="19">
      <c r="C181" s="55" t="s">
        <v>7567</v>
      </c>
    </row>
    <row r="182" spans="3:3">
      <c r="C182" s="2" t="s">
        <v>7568</v>
      </c>
    </row>
    <row r="183" spans="3:3" ht="19">
      <c r="C183" s="55" t="s">
        <v>7550</v>
      </c>
    </row>
    <row r="184" spans="3:3" ht="19">
      <c r="C184" s="55" t="s">
        <v>7569</v>
      </c>
    </row>
    <row r="185" spans="3:3">
      <c r="C185" s="2" t="s">
        <v>7570</v>
      </c>
    </row>
    <row r="186" spans="3:3" ht="19">
      <c r="C186" s="55" t="s">
        <v>7571</v>
      </c>
    </row>
    <row r="187" spans="3:3">
      <c r="C187" s="2" t="s">
        <v>7572</v>
      </c>
    </row>
    <row r="188" spans="3:3" ht="19">
      <c r="C188" s="55" t="s">
        <v>7573</v>
      </c>
    </row>
    <row r="189" spans="3:3">
      <c r="C189" s="2" t="s">
        <v>7574</v>
      </c>
    </row>
    <row r="190" spans="3:3" ht="19">
      <c r="C190" s="55" t="s">
        <v>7575</v>
      </c>
    </row>
    <row r="191" spans="3:3">
      <c r="C191" s="2" t="s">
        <v>7576</v>
      </c>
    </row>
    <row r="192" spans="3:3" ht="19">
      <c r="C192" s="55" t="s">
        <v>7577</v>
      </c>
    </row>
    <row r="193" spans="3:3">
      <c r="C193" s="2" t="s">
        <v>7578</v>
      </c>
    </row>
    <row r="194" spans="3:3" ht="19">
      <c r="C194" s="55" t="s">
        <v>7579</v>
      </c>
    </row>
    <row r="195" spans="3:3">
      <c r="C195" s="2" t="s">
        <v>7580</v>
      </c>
    </row>
    <row r="196" spans="3:3" ht="19">
      <c r="C196" s="55" t="s">
        <v>7581</v>
      </c>
    </row>
    <row r="197" spans="3:3">
      <c r="C197" s="2" t="s">
        <v>7582</v>
      </c>
    </row>
    <row r="198" spans="3:3" ht="19">
      <c r="C198" s="55" t="s">
        <v>7583</v>
      </c>
    </row>
    <row r="199" spans="3:3">
      <c r="C199" s="2" t="s">
        <v>7584</v>
      </c>
    </row>
    <row r="200" spans="3:3" ht="19">
      <c r="C200" s="55" t="s">
        <v>7585</v>
      </c>
    </row>
    <row r="201" spans="3:3">
      <c r="C201" s="2" t="s">
        <v>7586</v>
      </c>
    </row>
    <row r="202" spans="3:3" ht="19">
      <c r="C202" s="55" t="s">
        <v>7575</v>
      </c>
    </row>
    <row r="203" spans="3:3">
      <c r="C203" s="2" t="s">
        <v>7587</v>
      </c>
    </row>
    <row r="204" spans="3:3" ht="19">
      <c r="C204" s="55" t="s">
        <v>7588</v>
      </c>
    </row>
    <row r="205" spans="3:3">
      <c r="C205" s="2" t="s">
        <v>7589</v>
      </c>
    </row>
    <row r="206" spans="3:3" ht="19">
      <c r="C206" s="55" t="s">
        <v>7590</v>
      </c>
    </row>
    <row r="207" spans="3:3">
      <c r="C207" s="2" t="s">
        <v>7591</v>
      </c>
    </row>
    <row r="208" spans="3:3" ht="19">
      <c r="C208" s="55" t="s">
        <v>7592</v>
      </c>
    </row>
    <row r="209" spans="3:3">
      <c r="C209" s="2" t="s">
        <v>7593</v>
      </c>
    </row>
    <row r="210" spans="3:3" ht="19">
      <c r="C210" s="55" t="s">
        <v>7594</v>
      </c>
    </row>
    <row r="211" spans="3:3">
      <c r="C211" s="2" t="s">
        <v>7595</v>
      </c>
    </row>
    <row r="212" spans="3:3" ht="19">
      <c r="C212" s="55" t="s">
        <v>7577</v>
      </c>
    </row>
    <row r="213" spans="3:3">
      <c r="C213" s="2" t="s">
        <v>7596</v>
      </c>
    </row>
    <row r="214" spans="3:3" ht="19">
      <c r="C214" s="55" t="s">
        <v>7597</v>
      </c>
    </row>
    <row r="215" spans="3:3">
      <c r="C215" s="2" t="s">
        <v>7598</v>
      </c>
    </row>
    <row r="216" spans="3:3" ht="19">
      <c r="C216" s="55" t="s">
        <v>7599</v>
      </c>
    </row>
    <row r="217" spans="3:3">
      <c r="C217" s="2" t="s">
        <v>7600</v>
      </c>
    </row>
    <row r="218" spans="3:3" ht="19">
      <c r="C218" s="55" t="s">
        <v>7597</v>
      </c>
    </row>
    <row r="219" spans="3:3">
      <c r="C219" s="2" t="s">
        <v>7601</v>
      </c>
    </row>
    <row r="220" spans="3:3" ht="19">
      <c r="C220" s="55" t="s">
        <v>7602</v>
      </c>
    </row>
    <row r="221" spans="3:3">
      <c r="C221" s="2" t="s">
        <v>7603</v>
      </c>
    </row>
    <row r="222" spans="3:3" ht="19">
      <c r="C222" s="55" t="s">
        <v>7604</v>
      </c>
    </row>
    <row r="223" spans="3:3">
      <c r="C223" s="2" t="s">
        <v>7605</v>
      </c>
    </row>
    <row r="224" spans="3:3" ht="19">
      <c r="C224" s="55" t="s">
        <v>7606</v>
      </c>
    </row>
    <row r="225" spans="3:3">
      <c r="C225" s="2" t="s">
        <v>7607</v>
      </c>
    </row>
    <row r="226" spans="3:3" ht="19">
      <c r="C226" s="55" t="s">
        <v>7608</v>
      </c>
    </row>
    <row r="227" spans="3:3">
      <c r="C227" s="2" t="s">
        <v>7609</v>
      </c>
    </row>
    <row r="228" spans="3:3" ht="19">
      <c r="C228" s="55" t="s">
        <v>7610</v>
      </c>
    </row>
    <row r="229" spans="3:3">
      <c r="C229" s="2" t="s">
        <v>7611</v>
      </c>
    </row>
    <row r="230" spans="3:3" ht="19">
      <c r="C230" s="55" t="s">
        <v>7612</v>
      </c>
    </row>
    <row r="231" spans="3:3">
      <c r="C231" s="2" t="s">
        <v>7613</v>
      </c>
    </row>
    <row r="232" spans="3:3" ht="19">
      <c r="C232" s="55" t="s">
        <v>7614</v>
      </c>
    </row>
    <row r="233" spans="3:3">
      <c r="C233" s="2" t="s">
        <v>7615</v>
      </c>
    </row>
    <row r="234" spans="3:3" ht="19">
      <c r="C234" s="55" t="s">
        <v>7616</v>
      </c>
    </row>
    <row r="235" spans="3:3">
      <c r="C235" s="2" t="s">
        <v>7617</v>
      </c>
    </row>
    <row r="236" spans="3:3" ht="19">
      <c r="C236" s="55" t="s">
        <v>7616</v>
      </c>
    </row>
    <row r="237" spans="3:3">
      <c r="C237" s="2" t="s">
        <v>7618</v>
      </c>
    </row>
    <row r="238" spans="3:3" ht="19">
      <c r="C238" s="55" t="s">
        <v>7599</v>
      </c>
    </row>
    <row r="239" spans="3:3">
      <c r="C239" s="2" t="s">
        <v>7619</v>
      </c>
    </row>
    <row r="240" spans="3:3" ht="19">
      <c r="C240" s="55" t="s">
        <v>7620</v>
      </c>
    </row>
    <row r="241" spans="3:3">
      <c r="C241" s="2" t="s">
        <v>7621</v>
      </c>
    </row>
    <row r="242" spans="3:3" ht="19">
      <c r="C242" s="55" t="s">
        <v>7622</v>
      </c>
    </row>
    <row r="243" spans="3:3">
      <c r="C243" s="2" t="s">
        <v>7623</v>
      </c>
    </row>
    <row r="244" spans="3:3" ht="19">
      <c r="C244" s="55" t="s">
        <v>7624</v>
      </c>
    </row>
    <row r="245" spans="3:3">
      <c r="C245" s="2" t="s">
        <v>7625</v>
      </c>
    </row>
    <row r="246" spans="3:3" ht="19">
      <c r="C246" s="55" t="s">
        <v>7626</v>
      </c>
    </row>
    <row r="247" spans="3:3">
      <c r="C247" s="2" t="s">
        <v>7627</v>
      </c>
    </row>
    <row r="248" spans="3:3" ht="19">
      <c r="C248" s="55" t="s">
        <v>7628</v>
      </c>
    </row>
    <row r="249" spans="3:3">
      <c r="C249" s="2" t="s">
        <v>7629</v>
      </c>
    </row>
    <row r="250" spans="3:3" ht="19">
      <c r="C250" s="55" t="s">
        <v>7630</v>
      </c>
    </row>
    <row r="251" spans="3:3">
      <c r="C251" s="2" t="s">
        <v>7631</v>
      </c>
    </row>
    <row r="252" spans="3:3" ht="19">
      <c r="C252" s="55" t="s">
        <v>7620</v>
      </c>
    </row>
    <row r="253" spans="3:3">
      <c r="C253" s="2" t="s">
        <v>7632</v>
      </c>
    </row>
    <row r="254" spans="3:3" ht="19">
      <c r="C254" s="55" t="s">
        <v>7633</v>
      </c>
    </row>
    <row r="255" spans="3:3">
      <c r="C255" s="2" t="s">
        <v>7634</v>
      </c>
    </row>
    <row r="256" spans="3:3" ht="19">
      <c r="C256" s="55" t="s">
        <v>7635</v>
      </c>
    </row>
    <row r="257" spans="3:3">
      <c r="C257" s="2" t="s">
        <v>7636</v>
      </c>
    </row>
    <row r="258" spans="3:3" ht="19">
      <c r="C258" s="55" t="s">
        <v>7637</v>
      </c>
    </row>
    <row r="259" spans="3:3">
      <c r="C259" s="2" t="s">
        <v>7638</v>
      </c>
    </row>
    <row r="260" spans="3:3" ht="19">
      <c r="C260" s="55" t="s">
        <v>7639</v>
      </c>
    </row>
    <row r="261" spans="3:3">
      <c r="C261" s="2" t="s">
        <v>7640</v>
      </c>
    </row>
    <row r="262" spans="3:3" ht="19">
      <c r="C262" s="55" t="s">
        <v>7624</v>
      </c>
    </row>
    <row r="263" spans="3:3">
      <c r="C263" s="2" t="s">
        <v>7641</v>
      </c>
    </row>
    <row r="264" spans="3:3" ht="19">
      <c r="C264" s="55" t="s">
        <v>7642</v>
      </c>
    </row>
    <row r="265" spans="3:3">
      <c r="C265" s="2" t="s">
        <v>7643</v>
      </c>
    </row>
    <row r="266" spans="3:3" ht="19">
      <c r="C266" s="55" t="s">
        <v>7644</v>
      </c>
    </row>
    <row r="267" spans="3:3">
      <c r="C267" s="2" t="s">
        <v>7645</v>
      </c>
    </row>
    <row r="268" spans="3:3" ht="19">
      <c r="C268" s="55" t="s">
        <v>7646</v>
      </c>
    </row>
    <row r="269" spans="3:3">
      <c r="C269" s="2" t="s">
        <v>7647</v>
      </c>
    </row>
    <row r="270" spans="3:3" ht="19">
      <c r="C270" s="55" t="s">
        <v>7648</v>
      </c>
    </row>
    <row r="271" spans="3:3">
      <c r="C271" s="2" t="s">
        <v>7649</v>
      </c>
    </row>
    <row r="272" spans="3:3" ht="19">
      <c r="C272" s="55" t="s">
        <v>7650</v>
      </c>
    </row>
    <row r="273" spans="3:3">
      <c r="C273" s="2" t="s">
        <v>7651</v>
      </c>
    </row>
    <row r="274" spans="3:3" ht="19">
      <c r="C274" s="55" t="s">
        <v>7652</v>
      </c>
    </row>
    <row r="275" spans="3:3">
      <c r="C275" s="2" t="s">
        <v>7653</v>
      </c>
    </row>
    <row r="276" spans="3:3" ht="19">
      <c r="C276" s="55" t="s">
        <v>7654</v>
      </c>
    </row>
    <row r="277" spans="3:3">
      <c r="C277" s="2" t="s">
        <v>7655</v>
      </c>
    </row>
    <row r="278" spans="3:3" ht="19">
      <c r="C278" s="55" t="s">
        <v>7656</v>
      </c>
    </row>
    <row r="279" spans="3:3">
      <c r="C279" s="2" t="s">
        <v>7657</v>
      </c>
    </row>
    <row r="280" spans="3:3" ht="19">
      <c r="C280" s="55" t="s">
        <v>7658</v>
      </c>
    </row>
    <row r="281" spans="3:3">
      <c r="C281" s="2" t="s">
        <v>7659</v>
      </c>
    </row>
    <row r="282" spans="3:3" ht="19">
      <c r="C282" s="55" t="s">
        <v>7660</v>
      </c>
    </row>
    <row r="283" spans="3:3">
      <c r="C283" s="2" t="s">
        <v>7661</v>
      </c>
    </row>
    <row r="284" spans="3:3" ht="19">
      <c r="C284" s="55" t="s">
        <v>7662</v>
      </c>
    </row>
    <row r="285" spans="3:3">
      <c r="C285" s="2" t="s">
        <v>7663</v>
      </c>
    </row>
    <row r="286" spans="3:3" ht="19">
      <c r="C286" s="55" t="s">
        <v>7664</v>
      </c>
    </row>
    <row r="287" spans="3:3">
      <c r="C287" s="2" t="s">
        <v>7665</v>
      </c>
    </row>
    <row r="288" spans="3:3" ht="19">
      <c r="C288" s="55" t="s">
        <v>7666</v>
      </c>
    </row>
    <row r="289" spans="3:3">
      <c r="C289" s="2" t="s">
        <v>7667</v>
      </c>
    </row>
    <row r="290" spans="3:3" ht="19">
      <c r="C290" s="55" t="s">
        <v>7668</v>
      </c>
    </row>
    <row r="291" spans="3:3">
      <c r="C291" s="2" t="s">
        <v>7669</v>
      </c>
    </row>
    <row r="292" spans="3:3" ht="19">
      <c r="C292" s="55" t="s">
        <v>7670</v>
      </c>
    </row>
    <row r="293" spans="3:3">
      <c r="C293" s="2" t="s">
        <v>7671</v>
      </c>
    </row>
    <row r="294" spans="3:3" ht="19">
      <c r="C294" s="55" t="s">
        <v>7672</v>
      </c>
    </row>
    <row r="295" spans="3:3">
      <c r="C295" s="2" t="s">
        <v>7673</v>
      </c>
    </row>
    <row r="296" spans="3:3" ht="19">
      <c r="C296" s="55" t="s">
        <v>7662</v>
      </c>
    </row>
    <row r="297" spans="3:3">
      <c r="C297" s="2" t="s">
        <v>7674</v>
      </c>
    </row>
    <row r="298" spans="3:3" ht="19">
      <c r="C298" s="55" t="s">
        <v>7675</v>
      </c>
    </row>
    <row r="299" spans="3:3">
      <c r="C299" s="2" t="s">
        <v>7676</v>
      </c>
    </row>
    <row r="300" spans="3:3" ht="19">
      <c r="C300" s="55" t="s">
        <v>7677</v>
      </c>
    </row>
    <row r="301" spans="3:3">
      <c r="C301" s="2" t="s">
        <v>7678</v>
      </c>
    </row>
    <row r="302" spans="3:3" ht="19">
      <c r="C302" s="55" t="s">
        <v>7679</v>
      </c>
    </row>
    <row r="303" spans="3:3">
      <c r="C303" s="2" t="s">
        <v>7680</v>
      </c>
    </row>
    <row r="304" spans="3:3" ht="19">
      <c r="C304" s="55" t="s">
        <v>7681</v>
      </c>
    </row>
    <row r="305" spans="3:3">
      <c r="C305" s="2" t="s">
        <v>7682</v>
      </c>
    </row>
    <row r="306" spans="3:3" ht="19">
      <c r="C306" s="55" t="s">
        <v>7683</v>
      </c>
    </row>
    <row r="307" spans="3:3">
      <c r="C307" s="2" t="s">
        <v>7684</v>
      </c>
    </row>
    <row r="308" spans="3:3" ht="19">
      <c r="C308" s="55" t="s">
        <v>7685</v>
      </c>
    </row>
    <row r="309" spans="3:3">
      <c r="C309" s="2" t="s">
        <v>7686</v>
      </c>
    </row>
    <row r="310" spans="3:3" ht="19">
      <c r="C310" s="55" t="s">
        <v>7687</v>
      </c>
    </row>
    <row r="311" spans="3:3">
      <c r="C311" s="2" t="s">
        <v>7688</v>
      </c>
    </row>
    <row r="312" spans="3:3" ht="19">
      <c r="C312" s="55" t="s">
        <v>7689</v>
      </c>
    </row>
    <row r="313" spans="3:3">
      <c r="C313" s="2" t="s">
        <v>7690</v>
      </c>
    </row>
    <row r="314" spans="3:3" ht="19">
      <c r="C314" s="55" t="s">
        <v>7691</v>
      </c>
    </row>
    <row r="315" spans="3:3">
      <c r="C315" s="2" t="s">
        <v>7692</v>
      </c>
    </row>
    <row r="316" spans="3:3" ht="19">
      <c r="C316" s="55" t="s">
        <v>7693</v>
      </c>
    </row>
    <row r="317" spans="3:3">
      <c r="C317" s="2" t="s">
        <v>7694</v>
      </c>
    </row>
    <row r="318" spans="3:3" ht="19">
      <c r="C318" s="55" t="s">
        <v>7683</v>
      </c>
    </row>
    <row r="319" spans="3:3">
      <c r="C319" s="2" t="s">
        <v>7695</v>
      </c>
    </row>
    <row r="320" spans="3:3" ht="19">
      <c r="C320" s="55" t="s">
        <v>7696</v>
      </c>
    </row>
    <row r="321" spans="3:3">
      <c r="C321" s="2" t="s">
        <v>7697</v>
      </c>
    </row>
    <row r="322" spans="3:3" ht="19">
      <c r="C322" s="55" t="s">
        <v>7698</v>
      </c>
    </row>
    <row r="323" spans="3:3">
      <c r="C323" s="2" t="s">
        <v>7699</v>
      </c>
    </row>
    <row r="324" spans="3:3" ht="19">
      <c r="C324" s="55" t="s">
        <v>7700</v>
      </c>
    </row>
    <row r="325" spans="3:3">
      <c r="C325" s="2" t="s">
        <v>7701</v>
      </c>
    </row>
    <row r="326" spans="3:3" ht="19">
      <c r="C326" s="55" t="s">
        <v>7702</v>
      </c>
    </row>
    <row r="327" spans="3:3">
      <c r="C327" s="2" t="s">
        <v>7703</v>
      </c>
    </row>
    <row r="328" spans="3:3" ht="19">
      <c r="C328" s="55" t="s">
        <v>7685</v>
      </c>
    </row>
    <row r="329" spans="3:3">
      <c r="C329" s="2" t="s">
        <v>7704</v>
      </c>
    </row>
    <row r="330" spans="3:3" ht="19">
      <c r="C330" s="55" t="s">
        <v>7705</v>
      </c>
    </row>
    <row r="331" spans="3:3">
      <c r="C331" s="2" t="s">
        <v>7706</v>
      </c>
    </row>
    <row r="332" spans="3:3" ht="19">
      <c r="C332" s="55" t="s">
        <v>7707</v>
      </c>
    </row>
    <row r="333" spans="3:3">
      <c r="C333" s="2" t="s">
        <v>7708</v>
      </c>
    </row>
    <row r="334" spans="3:3" ht="19">
      <c r="C334" s="55" t="s">
        <v>7709</v>
      </c>
    </row>
    <row r="335" spans="3:3">
      <c r="C335" s="2" t="s">
        <v>7710</v>
      </c>
    </row>
    <row r="336" spans="3:3" ht="19">
      <c r="C336" s="55" t="s">
        <v>7711</v>
      </c>
    </row>
    <row r="337" spans="3:3">
      <c r="C337" s="2" t="s">
        <v>7712</v>
      </c>
    </row>
    <row r="338" spans="3:3" ht="19">
      <c r="C338" s="55" t="s">
        <v>7713</v>
      </c>
    </row>
    <row r="339" spans="3:3">
      <c r="C339" s="2" t="s">
        <v>7714</v>
      </c>
    </row>
    <row r="340" spans="3:3" ht="19">
      <c r="C340" s="55" t="s">
        <v>7715</v>
      </c>
    </row>
    <row r="341" spans="3:3">
      <c r="C341" s="2" t="s">
        <v>7716</v>
      </c>
    </row>
    <row r="342" spans="3:3" ht="19">
      <c r="C342" s="55" t="s">
        <v>7705</v>
      </c>
    </row>
    <row r="343" spans="3:3">
      <c r="C343" s="2" t="s">
        <v>7717</v>
      </c>
    </row>
    <row r="344" spans="3:3" ht="19">
      <c r="C344" s="55" t="s">
        <v>7718</v>
      </c>
    </row>
    <row r="345" spans="3:3">
      <c r="C345" s="2" t="s">
        <v>7719</v>
      </c>
    </row>
    <row r="346" spans="3:3" ht="19">
      <c r="C346" s="55" t="s">
        <v>7720</v>
      </c>
    </row>
    <row r="347" spans="3:3">
      <c r="C347" s="2" t="s">
        <v>7721</v>
      </c>
    </row>
    <row r="348" spans="3:3" ht="19">
      <c r="C348" s="55" t="s">
        <v>7722</v>
      </c>
    </row>
    <row r="349" spans="3:3">
      <c r="C349" s="2" t="s">
        <v>7723</v>
      </c>
    </row>
    <row r="350" spans="3:3" ht="19">
      <c r="C350" s="55" t="s">
        <v>7724</v>
      </c>
    </row>
    <row r="351" spans="3:3">
      <c r="C351" s="2" t="s">
        <v>7725</v>
      </c>
    </row>
    <row r="352" spans="3:3" ht="19">
      <c r="C352" s="55" t="s">
        <v>7709</v>
      </c>
    </row>
    <row r="353" spans="3:3">
      <c r="C353" s="2" t="s">
        <v>7726</v>
      </c>
    </row>
    <row r="354" spans="3:3" ht="19">
      <c r="C354" s="55" t="s">
        <v>7727</v>
      </c>
    </row>
    <row r="355" spans="3:3" ht="19">
      <c r="C355" s="55" t="s">
        <v>7728</v>
      </c>
    </row>
    <row r="356" spans="3:3" ht="19">
      <c r="C356" s="55" t="s">
        <v>7729</v>
      </c>
    </row>
    <row r="357" spans="3:3">
      <c r="C357" s="2" t="s">
        <v>3848</v>
      </c>
    </row>
    <row r="358" spans="3:3" ht="19">
      <c r="C358" s="55" t="s">
        <v>7730</v>
      </c>
    </row>
    <row r="359" spans="3:3">
      <c r="C359" s="2" t="s">
        <v>7731</v>
      </c>
    </row>
    <row r="360" spans="3:3" ht="19">
      <c r="C360" s="55" t="s">
        <v>7732</v>
      </c>
    </row>
    <row r="361" spans="3:3">
      <c r="C361" s="2" t="s">
        <v>7733</v>
      </c>
    </row>
    <row r="362" spans="3:3" ht="19">
      <c r="C362" s="55" t="s">
        <v>7734</v>
      </c>
    </row>
    <row r="363" spans="3:3">
      <c r="C363" s="2" t="s">
        <v>7735</v>
      </c>
    </row>
    <row r="364" spans="3:3" ht="19">
      <c r="C364" s="55" t="s">
        <v>7736</v>
      </c>
    </row>
    <row r="365" spans="3:3">
      <c r="C365" s="2" t="s">
        <v>7737</v>
      </c>
    </row>
    <row r="366" spans="3:3" ht="19">
      <c r="C366" s="55" t="s">
        <v>7738</v>
      </c>
    </row>
    <row r="367" spans="3:3">
      <c r="C367" s="2" t="s">
        <v>7739</v>
      </c>
    </row>
    <row r="368" spans="3:3" ht="19">
      <c r="C368" s="55" t="s">
        <v>7740</v>
      </c>
    </row>
    <row r="369" spans="3:3">
      <c r="C369" s="2" t="s">
        <v>7741</v>
      </c>
    </row>
    <row r="370" spans="3:3" ht="19">
      <c r="C370" s="55" t="s">
        <v>7742</v>
      </c>
    </row>
    <row r="371" spans="3:3">
      <c r="C371" s="2" t="s">
        <v>7743</v>
      </c>
    </row>
    <row r="372" spans="3:3" ht="19">
      <c r="C372" s="55" t="s">
        <v>7732</v>
      </c>
    </row>
    <row r="373" spans="3:3">
      <c r="C373" s="2" t="s">
        <v>7744</v>
      </c>
    </row>
    <row r="374" spans="3:3" ht="19">
      <c r="C374" s="55" t="s">
        <v>7745</v>
      </c>
    </row>
    <row r="375" spans="3:3">
      <c r="C375" s="2" t="s">
        <v>7746</v>
      </c>
    </row>
    <row r="376" spans="3:3" ht="19">
      <c r="C376" s="55" t="s">
        <v>7747</v>
      </c>
    </row>
    <row r="377" spans="3:3">
      <c r="C377" s="2" t="s">
        <v>7748</v>
      </c>
    </row>
    <row r="378" spans="3:3" ht="19">
      <c r="C378" s="55" t="s">
        <v>7749</v>
      </c>
    </row>
    <row r="379" spans="3:3">
      <c r="C379" s="2" t="s">
        <v>7750</v>
      </c>
    </row>
    <row r="380" spans="3:3" ht="19">
      <c r="C380" s="55" t="s">
        <v>7751</v>
      </c>
    </row>
    <row r="381" spans="3:3">
      <c r="C381" s="2" t="s">
        <v>7752</v>
      </c>
    </row>
    <row r="382" spans="3:3" ht="19">
      <c r="C382" s="55" t="s">
        <v>7747</v>
      </c>
    </row>
    <row r="383" spans="3:3">
      <c r="C383" s="2" t="s">
        <v>7753</v>
      </c>
    </row>
    <row r="384" spans="3:3" ht="19">
      <c r="C384" s="55" t="s">
        <v>7738</v>
      </c>
    </row>
    <row r="385" spans="3:3">
      <c r="C385" s="2" t="s">
        <v>7754</v>
      </c>
    </row>
    <row r="386" spans="3:3" ht="19">
      <c r="C386" s="55" t="s">
        <v>7516</v>
      </c>
    </row>
    <row r="387" spans="3:3" ht="19">
      <c r="C387" s="55" t="s">
        <v>7755</v>
      </c>
    </row>
    <row r="388" spans="3:3" ht="19">
      <c r="C388" s="55" t="s">
        <v>7756</v>
      </c>
    </row>
    <row r="389" spans="3:3">
      <c r="C389" s="2" t="s">
        <v>7757</v>
      </c>
    </row>
    <row r="390" spans="3:3" ht="19">
      <c r="C390" s="55" t="s">
        <v>7758</v>
      </c>
    </row>
    <row r="391" spans="3:3" ht="19">
      <c r="C391" s="55" t="s">
        <v>7759</v>
      </c>
    </row>
    <row r="392" spans="3:3" ht="19">
      <c r="C392" s="55" t="s">
        <v>7500</v>
      </c>
    </row>
    <row r="393" spans="3:3" ht="19">
      <c r="C393" s="55" t="s">
        <v>7760</v>
      </c>
    </row>
    <row r="394" spans="3:3" ht="19">
      <c r="C394" s="55" t="s">
        <v>7501</v>
      </c>
    </row>
    <row r="395" spans="3:3">
      <c r="C395" s="2" t="s">
        <v>7761</v>
      </c>
    </row>
    <row r="396" spans="3:3" ht="19">
      <c r="C396" s="55" t="s">
        <v>7762</v>
      </c>
    </row>
    <row r="397" spans="3:3" ht="19">
      <c r="C397" s="55" t="s">
        <v>7763</v>
      </c>
    </row>
    <row r="398" spans="3:3">
      <c r="C398" s="2" t="s">
        <v>7764</v>
      </c>
    </row>
    <row r="399" spans="3:3" ht="19">
      <c r="C399" s="55" t="s">
        <v>7765</v>
      </c>
    </row>
    <row r="400" spans="3:3">
      <c r="C400" s="2" t="s">
        <v>7766</v>
      </c>
    </row>
    <row r="401" spans="3:3" ht="19">
      <c r="C401" s="55" t="s">
        <v>7767</v>
      </c>
    </row>
    <row r="402" spans="3:3">
      <c r="C402" s="2" t="s">
        <v>7768</v>
      </c>
    </row>
    <row r="403" spans="3:3" ht="19">
      <c r="C403" s="55" t="s">
        <v>7769</v>
      </c>
    </row>
    <row r="404" spans="3:3" ht="19">
      <c r="C404" s="55" t="s">
        <v>7770</v>
      </c>
    </row>
    <row r="405" spans="3:3" ht="19">
      <c r="C405" s="55" t="s">
        <v>7771</v>
      </c>
    </row>
    <row r="406" spans="3:3" ht="19">
      <c r="C406" s="55" t="s">
        <v>7772</v>
      </c>
    </row>
    <row r="407" spans="3:3">
      <c r="C407" s="2" t="s">
        <v>7773</v>
      </c>
    </row>
    <row r="408" spans="3:3" ht="19">
      <c r="C408" s="55" t="s">
        <v>7774</v>
      </c>
    </row>
    <row r="409" spans="3:3" ht="19">
      <c r="C409" s="55" t="s">
        <v>7775</v>
      </c>
    </row>
    <row r="410" spans="3:3">
      <c r="C410" s="2" t="s">
        <v>7776</v>
      </c>
    </row>
    <row r="411" spans="3:3" ht="19">
      <c r="C411" s="55" t="s">
        <v>7777</v>
      </c>
    </row>
    <row r="412" spans="3:3" ht="19">
      <c r="C412" s="55" t="s">
        <v>7778</v>
      </c>
    </row>
    <row r="413" spans="3:3">
      <c r="C413" s="2" t="s">
        <v>7779</v>
      </c>
    </row>
    <row r="414" spans="3:3" ht="19">
      <c r="C414" s="55" t="s">
        <v>7780</v>
      </c>
    </row>
    <row r="415" spans="3:3">
      <c r="C415" s="2" t="s">
        <v>7781</v>
      </c>
    </row>
    <row r="416" spans="3:3" ht="19">
      <c r="C416" s="55" t="s">
        <v>7782</v>
      </c>
    </row>
    <row r="417" spans="3:3" ht="19">
      <c r="C417" s="55" t="s">
        <v>7783</v>
      </c>
    </row>
    <row r="418" spans="3:3">
      <c r="C418" s="2" t="s">
        <v>7784</v>
      </c>
    </row>
    <row r="419" spans="3:3" ht="19">
      <c r="C419" s="55" t="s">
        <v>7785</v>
      </c>
    </row>
    <row r="420" spans="3:3">
      <c r="C420" s="2" t="s">
        <v>3683</v>
      </c>
    </row>
    <row r="421" spans="3:3" ht="19">
      <c r="C421" s="55" t="s">
        <v>7786</v>
      </c>
    </row>
    <row r="422" spans="3:3">
      <c r="C422" s="2" t="s">
        <v>4686</v>
      </c>
    </row>
    <row r="423" spans="3:3" ht="19">
      <c r="C423" s="55" t="s">
        <v>7787</v>
      </c>
    </row>
    <row r="424" spans="3:3">
      <c r="C424" s="2" t="s">
        <v>7788</v>
      </c>
    </row>
    <row r="425" spans="3:3" ht="19">
      <c r="C425" s="55" t="s">
        <v>7789</v>
      </c>
    </row>
    <row r="426" spans="3:3">
      <c r="C426" s="2" t="s">
        <v>7790</v>
      </c>
    </row>
    <row r="427" spans="3:3" ht="19">
      <c r="C427" s="55" t="s">
        <v>7791</v>
      </c>
    </row>
    <row r="428" spans="3:3">
      <c r="C428" s="2" t="s">
        <v>7792</v>
      </c>
    </row>
    <row r="429" spans="3:3" ht="19">
      <c r="C429" s="55" t="s">
        <v>7793</v>
      </c>
    </row>
    <row r="430" spans="3:3">
      <c r="C430" s="2" t="s">
        <v>4691</v>
      </c>
    </row>
    <row r="431" spans="3:3" ht="19">
      <c r="C431" s="55" t="s">
        <v>7794</v>
      </c>
    </row>
    <row r="432" spans="3:3">
      <c r="C432" s="2" t="s">
        <v>4692</v>
      </c>
    </row>
    <row r="433" spans="3:3" ht="19">
      <c r="C433" s="55" t="s">
        <v>7795</v>
      </c>
    </row>
    <row r="434" spans="3:3">
      <c r="C434" s="2" t="s">
        <v>7796</v>
      </c>
    </row>
    <row r="435" spans="3:3" ht="19">
      <c r="C435" s="55" t="s">
        <v>7797</v>
      </c>
    </row>
    <row r="436" spans="3:3">
      <c r="C436" s="2" t="s">
        <v>7798</v>
      </c>
    </row>
    <row r="437" spans="3:3" ht="19">
      <c r="C437" s="55" t="s">
        <v>7799</v>
      </c>
    </row>
    <row r="438" spans="3:3">
      <c r="C438" s="2" t="s">
        <v>7800</v>
      </c>
    </row>
    <row r="439" spans="3:3" ht="19">
      <c r="C439" s="55" t="s">
        <v>7801</v>
      </c>
    </row>
    <row r="440" spans="3:3">
      <c r="C440" s="2" t="s">
        <v>7802</v>
      </c>
    </row>
    <row r="441" spans="3:3" ht="19">
      <c r="C441" s="55" t="s">
        <v>7803</v>
      </c>
    </row>
    <row r="442" spans="3:3">
      <c r="C442" s="2" t="s">
        <v>7804</v>
      </c>
    </row>
    <row r="443" spans="3:3" ht="19">
      <c r="C443" s="55" t="s">
        <v>7805</v>
      </c>
    </row>
    <row r="444" spans="3:3">
      <c r="C444" s="2" t="s">
        <v>7806</v>
      </c>
    </row>
    <row r="445" spans="3:3" ht="19">
      <c r="C445" s="55" t="s">
        <v>7807</v>
      </c>
    </row>
    <row r="446" spans="3:3">
      <c r="C446" s="2" t="s">
        <v>7808</v>
      </c>
    </row>
    <row r="447" spans="3:3" ht="19">
      <c r="C447" s="55" t="s">
        <v>7809</v>
      </c>
    </row>
    <row r="448" spans="3:3">
      <c r="C448" s="2" t="s">
        <v>7810</v>
      </c>
    </row>
    <row r="449" spans="3:3" ht="19">
      <c r="C449" s="55" t="s">
        <v>7811</v>
      </c>
    </row>
    <row r="450" spans="3:3">
      <c r="C450" s="2" t="s">
        <v>7812</v>
      </c>
    </row>
    <row r="451" spans="3:3" ht="19">
      <c r="C451" s="55" t="s">
        <v>7813</v>
      </c>
    </row>
    <row r="452" spans="3:3">
      <c r="C452" s="2" t="s">
        <v>7814</v>
      </c>
    </row>
    <row r="453" spans="3:3" ht="19">
      <c r="C453" s="55" t="s">
        <v>7815</v>
      </c>
    </row>
    <row r="454" spans="3:3">
      <c r="C454" s="2" t="s">
        <v>7816</v>
      </c>
    </row>
    <row r="455" spans="3:3" ht="19">
      <c r="C455" s="55" t="s">
        <v>7817</v>
      </c>
    </row>
    <row r="456" spans="3:3">
      <c r="C456" s="2" t="s">
        <v>7818</v>
      </c>
    </row>
    <row r="457" spans="3:3" ht="19">
      <c r="C457" s="55" t="s">
        <v>7819</v>
      </c>
    </row>
    <row r="458" spans="3:3">
      <c r="C458" s="2" t="s">
        <v>4697</v>
      </c>
    </row>
    <row r="459" spans="3:3" ht="19">
      <c r="C459" s="55" t="s">
        <v>7820</v>
      </c>
    </row>
    <row r="460" spans="3:3">
      <c r="C460" s="2" t="s">
        <v>4698</v>
      </c>
    </row>
    <row r="461" spans="3:3" ht="19">
      <c r="C461" s="55" t="s">
        <v>7821</v>
      </c>
    </row>
    <row r="462" spans="3:3">
      <c r="C462" s="2" t="s">
        <v>7822</v>
      </c>
    </row>
    <row r="463" spans="3:3" ht="19">
      <c r="C463" s="55" t="s">
        <v>7823</v>
      </c>
    </row>
    <row r="464" spans="3:3">
      <c r="C464" s="2" t="s">
        <v>7824</v>
      </c>
    </row>
    <row r="465" spans="3:3" ht="19">
      <c r="C465" s="55" t="s">
        <v>7823</v>
      </c>
    </row>
    <row r="466" spans="3:3">
      <c r="C466" s="2" t="s">
        <v>7825</v>
      </c>
    </row>
    <row r="467" spans="3:3" ht="19">
      <c r="C467" s="55" t="s">
        <v>7826</v>
      </c>
    </row>
    <row r="468" spans="3:3">
      <c r="C468" s="2" t="s">
        <v>7827</v>
      </c>
    </row>
    <row r="469" spans="3:3" ht="19">
      <c r="C469" s="55" t="s">
        <v>7828</v>
      </c>
    </row>
    <row r="470" spans="3:3">
      <c r="C470" s="2" t="s">
        <v>7829</v>
      </c>
    </row>
    <row r="471" spans="3:3" ht="19">
      <c r="C471" s="55" t="s">
        <v>7830</v>
      </c>
    </row>
    <row r="472" spans="3:3">
      <c r="C472" s="2" t="s">
        <v>7831</v>
      </c>
    </row>
    <row r="473" spans="3:3" ht="19">
      <c r="C473" s="55" t="s">
        <v>7832</v>
      </c>
    </row>
    <row r="474" spans="3:3">
      <c r="C474" s="2" t="s">
        <v>7833</v>
      </c>
    </row>
    <row r="475" spans="3:3" ht="19">
      <c r="C475" s="55" t="s">
        <v>7817</v>
      </c>
    </row>
    <row r="476" spans="3:3" ht="19">
      <c r="C476" s="55" t="s">
        <v>7807</v>
      </c>
    </row>
    <row r="477" spans="3:3">
      <c r="C477" s="2" t="s">
        <v>7834</v>
      </c>
    </row>
    <row r="478" spans="3:3" ht="19">
      <c r="C478" s="55" t="s">
        <v>7820</v>
      </c>
    </row>
    <row r="479" spans="3:3" ht="19">
      <c r="C479" s="55" t="s">
        <v>7794</v>
      </c>
    </row>
    <row r="480" spans="3:3">
      <c r="C480" s="2" t="s">
        <v>7835</v>
      </c>
    </row>
    <row r="481" spans="3:3" ht="19">
      <c r="C481" s="55" t="s">
        <v>7836</v>
      </c>
    </row>
    <row r="482" spans="3:3">
      <c r="C482" s="2" t="s">
        <v>4699</v>
      </c>
    </row>
    <row r="483" spans="3:3" ht="19">
      <c r="C483" s="55" t="s">
        <v>7837</v>
      </c>
    </row>
    <row r="484" spans="3:3">
      <c r="C484" s="2" t="s">
        <v>4699</v>
      </c>
    </row>
    <row r="485" spans="3:3" ht="19">
      <c r="C485" s="55" t="s">
        <v>7837</v>
      </c>
    </row>
    <row r="486" spans="3:3">
      <c r="C486" s="2" t="s">
        <v>7838</v>
      </c>
    </row>
    <row r="487" spans="3:3" ht="19">
      <c r="C487" s="55" t="s">
        <v>7839</v>
      </c>
    </row>
    <row r="488" spans="3:3">
      <c r="C488" s="2" t="s">
        <v>7840</v>
      </c>
    </row>
    <row r="489" spans="3:3" ht="19">
      <c r="C489" s="55" t="s">
        <v>7841</v>
      </c>
    </row>
    <row r="490" spans="3:3">
      <c r="C490" s="2" t="s">
        <v>7842</v>
      </c>
    </row>
    <row r="491" spans="3:3" ht="19">
      <c r="C491" s="55" t="s">
        <v>7843</v>
      </c>
    </row>
    <row r="492" spans="3:3">
      <c r="C492" s="2" t="s">
        <v>7844</v>
      </c>
    </row>
    <row r="493" spans="3:3" ht="19">
      <c r="C493" s="55" t="s">
        <v>7845</v>
      </c>
    </row>
    <row r="494" spans="3:3">
      <c r="C494" s="2" t="s">
        <v>7846</v>
      </c>
    </row>
    <row r="495" spans="3:3" ht="19">
      <c r="C495" s="55" t="s">
        <v>7847</v>
      </c>
    </row>
    <row r="496" spans="3:3">
      <c r="C496" s="2" t="s">
        <v>7848</v>
      </c>
    </row>
    <row r="497" spans="3:3" ht="19">
      <c r="C497" s="55" t="s">
        <v>7849</v>
      </c>
    </row>
    <row r="498" spans="3:3">
      <c r="C498" s="2" t="s">
        <v>7850</v>
      </c>
    </row>
    <row r="499" spans="3:3" ht="19">
      <c r="C499" s="55" t="s">
        <v>7851</v>
      </c>
    </row>
    <row r="500" spans="3:3">
      <c r="C500" s="2" t="s">
        <v>7852</v>
      </c>
    </row>
    <row r="501" spans="3:3" ht="19">
      <c r="C501" s="55" t="s">
        <v>7853</v>
      </c>
    </row>
    <row r="502" spans="3:3">
      <c r="C502" s="2" t="s">
        <v>7854</v>
      </c>
    </row>
    <row r="503" spans="3:3" ht="19">
      <c r="C503" s="55" t="s">
        <v>7855</v>
      </c>
    </row>
    <row r="504" spans="3:3">
      <c r="C504" s="2" t="s">
        <v>7856</v>
      </c>
    </row>
    <row r="505" spans="3:3" ht="19">
      <c r="C505" s="55" t="s">
        <v>7857</v>
      </c>
    </row>
    <row r="506" spans="3:3">
      <c r="C506" s="2" t="s">
        <v>7858</v>
      </c>
    </row>
    <row r="507" spans="3:3" ht="19">
      <c r="C507" s="55" t="s">
        <v>7859</v>
      </c>
    </row>
    <row r="508" spans="3:3">
      <c r="C508" s="2" t="s">
        <v>7860</v>
      </c>
    </row>
    <row r="509" spans="3:3" ht="19">
      <c r="C509" s="55" t="s">
        <v>7861</v>
      </c>
    </row>
    <row r="510" spans="3:3">
      <c r="C510" s="2" t="s">
        <v>7862</v>
      </c>
    </row>
    <row r="511" spans="3:3" ht="19">
      <c r="C511" s="55" t="s">
        <v>7837</v>
      </c>
    </row>
    <row r="512" spans="3:3">
      <c r="C512" s="2" t="s">
        <v>7863</v>
      </c>
    </row>
    <row r="513" spans="3:3" ht="19">
      <c r="C513" s="55" t="s">
        <v>7864</v>
      </c>
    </row>
    <row r="514" spans="3:3">
      <c r="C514" s="2" t="s">
        <v>7865</v>
      </c>
    </row>
    <row r="515" spans="3:3" ht="19">
      <c r="C515" s="55" t="s">
        <v>7866</v>
      </c>
    </row>
    <row r="516" spans="3:3">
      <c r="C516" s="2" t="s">
        <v>7867</v>
      </c>
    </row>
    <row r="517" spans="3:3" ht="19">
      <c r="C517" s="55" t="s">
        <v>7868</v>
      </c>
    </row>
    <row r="518" spans="3:3">
      <c r="C518" s="2" t="s">
        <v>7869</v>
      </c>
    </row>
    <row r="519" spans="3:3" ht="19">
      <c r="C519" s="55" t="s">
        <v>7870</v>
      </c>
    </row>
    <row r="520" spans="3:3">
      <c r="C520" s="2" t="s">
        <v>7871</v>
      </c>
    </row>
    <row r="521" spans="3:3" ht="19">
      <c r="C521" s="55" t="s">
        <v>7872</v>
      </c>
    </row>
    <row r="522" spans="3:3">
      <c r="C522" s="2" t="s">
        <v>7873</v>
      </c>
    </row>
    <row r="523" spans="3:3" ht="19">
      <c r="C523" s="55" t="s">
        <v>7874</v>
      </c>
    </row>
    <row r="524" spans="3:3">
      <c r="C524" s="2" t="s">
        <v>7875</v>
      </c>
    </row>
    <row r="525" spans="3:3" ht="19">
      <c r="C525" s="55" t="s">
        <v>7876</v>
      </c>
    </row>
    <row r="526" spans="3:3">
      <c r="C526" s="2" t="s">
        <v>7877</v>
      </c>
    </row>
    <row r="527" spans="3:3" ht="19">
      <c r="C527" s="55" t="s">
        <v>7878</v>
      </c>
    </row>
    <row r="528" spans="3:3">
      <c r="C528" s="2" t="s">
        <v>7879</v>
      </c>
    </row>
    <row r="529" spans="3:3" ht="19">
      <c r="C529" s="55" t="s">
        <v>7880</v>
      </c>
    </row>
    <row r="530" spans="3:3">
      <c r="C530" s="2" t="s">
        <v>7881</v>
      </c>
    </row>
    <row r="531" spans="3:3" ht="19">
      <c r="C531" s="55" t="s">
        <v>7882</v>
      </c>
    </row>
    <row r="532" spans="3:3">
      <c r="C532" s="2" t="s">
        <v>7883</v>
      </c>
    </row>
    <row r="533" spans="3:3" ht="19">
      <c r="C533" s="55" t="s">
        <v>7884</v>
      </c>
    </row>
    <row r="534" spans="3:3">
      <c r="C534" s="2" t="s">
        <v>7885</v>
      </c>
    </row>
    <row r="535" spans="3:3" ht="19">
      <c r="C535" s="55" t="s">
        <v>7886</v>
      </c>
    </row>
    <row r="536" spans="3:3">
      <c r="C536" s="2" t="s">
        <v>7887</v>
      </c>
    </row>
    <row r="537" spans="3:3" ht="19">
      <c r="C537" s="55" t="s">
        <v>7508</v>
      </c>
    </row>
    <row r="538" spans="3:3" ht="19">
      <c r="C538" s="55" t="s">
        <v>7888</v>
      </c>
    </row>
    <row r="539" spans="3:3" ht="19">
      <c r="C539" s="55" t="s">
        <v>7501</v>
      </c>
    </row>
    <row r="540" spans="3:3">
      <c r="C540" s="2" t="s">
        <v>7889</v>
      </c>
    </row>
    <row r="541" spans="3:3" ht="19">
      <c r="C541" s="55" t="s">
        <v>7890</v>
      </c>
    </row>
    <row r="542" spans="3:3">
      <c r="C542" s="2" t="s">
        <v>7891</v>
      </c>
    </row>
    <row r="543" spans="3:3" ht="19">
      <c r="C543" s="55" t="s">
        <v>7890</v>
      </c>
    </row>
    <row r="544" spans="3:3">
      <c r="C544" s="2" t="s">
        <v>7892</v>
      </c>
    </row>
    <row r="545" spans="3:3" ht="19">
      <c r="C545" s="55" t="s">
        <v>7890</v>
      </c>
    </row>
    <row r="546" spans="3:3">
      <c r="C546" s="2" t="s">
        <v>7893</v>
      </c>
    </row>
    <row r="547" spans="3:3" ht="19">
      <c r="C547" s="55" t="s">
        <v>7894</v>
      </c>
    </row>
    <row r="548" spans="3:3" ht="19">
      <c r="C548" s="55" t="s">
        <v>7890</v>
      </c>
    </row>
    <row r="549" spans="3:3">
      <c r="C549" s="2" t="s">
        <v>7895</v>
      </c>
    </row>
    <row r="550" spans="3:3" ht="19">
      <c r="C550" s="55" t="s">
        <v>7890</v>
      </c>
    </row>
    <row r="551" spans="3:3">
      <c r="C551" s="2" t="s">
        <v>7896</v>
      </c>
    </row>
    <row r="552" spans="3:3" ht="19">
      <c r="C552" s="55" t="s">
        <v>7897</v>
      </c>
    </row>
    <row r="553" spans="3:3">
      <c r="C553" s="2" t="s">
        <v>7898</v>
      </c>
    </row>
    <row r="554" spans="3:3" ht="19">
      <c r="C554" s="55" t="s">
        <v>7899</v>
      </c>
    </row>
    <row r="555" spans="3:3">
      <c r="C555" s="2" t="s">
        <v>7900</v>
      </c>
    </row>
    <row r="556" spans="3:3" ht="19">
      <c r="C556" s="55" t="s">
        <v>7899</v>
      </c>
    </row>
    <row r="557" spans="3:3" ht="19">
      <c r="C557" s="55" t="s">
        <v>7901</v>
      </c>
    </row>
    <row r="558" spans="3:3" ht="19">
      <c r="C558" s="55" t="s">
        <v>7897</v>
      </c>
    </row>
    <row r="559" spans="3:3">
      <c r="C559" s="2" t="s">
        <v>7902</v>
      </c>
    </row>
    <row r="560" spans="3:3" ht="19">
      <c r="C560" s="55" t="s">
        <v>7899</v>
      </c>
    </row>
    <row r="561" spans="3:3">
      <c r="C561" s="2" t="s">
        <v>7903</v>
      </c>
    </row>
    <row r="562" spans="3:3" ht="19">
      <c r="C562" s="55" t="s">
        <v>7899</v>
      </c>
    </row>
    <row r="563" spans="3:3">
      <c r="C563" s="2" t="s">
        <v>7904</v>
      </c>
    </row>
    <row r="564" spans="3:3" ht="19">
      <c r="C564" s="55" t="s">
        <v>7899</v>
      </c>
    </row>
    <row r="565" spans="3:3">
      <c r="C565" s="2" t="s">
        <v>7905</v>
      </c>
    </row>
    <row r="566" spans="3:3" ht="19">
      <c r="C566" s="55" t="s">
        <v>7906</v>
      </c>
    </row>
    <row r="567" spans="3:3">
      <c r="C567" s="2" t="s">
        <v>7907</v>
      </c>
    </row>
    <row r="568" spans="3:3" ht="19">
      <c r="C568" s="55" t="s">
        <v>7906</v>
      </c>
    </row>
    <row r="569" spans="3:3">
      <c r="C569" s="2" t="s">
        <v>7908</v>
      </c>
    </row>
    <row r="570" spans="3:3" ht="19">
      <c r="C570" s="55" t="s">
        <v>7906</v>
      </c>
    </row>
    <row r="571" spans="3:3">
      <c r="C571" s="2" t="s">
        <v>7909</v>
      </c>
    </row>
    <row r="572" spans="3:3" ht="19">
      <c r="C572" s="55" t="s">
        <v>7910</v>
      </c>
    </row>
    <row r="573" spans="3:3" ht="19">
      <c r="C573" s="55" t="s">
        <v>7911</v>
      </c>
    </row>
    <row r="574" spans="3:3">
      <c r="C574" s="2" t="s">
        <v>7912</v>
      </c>
    </row>
    <row r="575" spans="3:3" ht="19">
      <c r="C575" s="55" t="s">
        <v>7913</v>
      </c>
    </row>
    <row r="576" spans="3:3">
      <c r="C576" s="2" t="s">
        <v>7914</v>
      </c>
    </row>
    <row r="577" spans="3:3" ht="19">
      <c r="C577" s="55" t="s">
        <v>7913</v>
      </c>
    </row>
    <row r="578" spans="3:3" ht="19">
      <c r="C578" s="55" t="s">
        <v>7915</v>
      </c>
    </row>
    <row r="579" spans="3:3">
      <c r="C579" s="2" t="s">
        <v>7916</v>
      </c>
    </row>
    <row r="580" spans="3:3" ht="19">
      <c r="C580" s="55" t="s">
        <v>7913</v>
      </c>
    </row>
    <row r="581" spans="3:3">
      <c r="C581" s="2" t="s">
        <v>7917</v>
      </c>
    </row>
    <row r="582" spans="3:3" ht="19">
      <c r="C582" s="55" t="s">
        <v>7913</v>
      </c>
    </row>
    <row r="583" spans="3:3" ht="19">
      <c r="C583" s="55" t="s">
        <v>7897</v>
      </c>
    </row>
    <row r="584" spans="3:3">
      <c r="C584" s="2" t="s">
        <v>7918</v>
      </c>
    </row>
    <row r="585" spans="3:3" ht="19">
      <c r="C585" s="55" t="s">
        <v>7913</v>
      </c>
    </row>
    <row r="586" spans="3:3">
      <c r="C586" s="2" t="s">
        <v>7919</v>
      </c>
    </row>
    <row r="587" spans="3:3" ht="19">
      <c r="C587" s="55" t="s">
        <v>7920</v>
      </c>
    </row>
    <row r="588" spans="3:3">
      <c r="C588" s="2" t="s">
        <v>7921</v>
      </c>
    </row>
    <row r="589" spans="3:3" ht="19">
      <c r="C589" s="55" t="s">
        <v>7922</v>
      </c>
    </row>
    <row r="590" spans="3:3" ht="19">
      <c r="C590" s="55" t="s">
        <v>7923</v>
      </c>
    </row>
    <row r="591" spans="3:3">
      <c r="C591" s="2" t="s">
        <v>7924</v>
      </c>
    </row>
    <row r="592" spans="3:3" ht="19">
      <c r="C592" s="55" t="s">
        <v>7925</v>
      </c>
    </row>
    <row r="593" spans="3:3" ht="19">
      <c r="C593" s="55" t="s">
        <v>7926</v>
      </c>
    </row>
    <row r="594" spans="3:3" ht="19">
      <c r="C594" s="55" t="s">
        <v>7927</v>
      </c>
    </row>
    <row r="595" spans="3:3">
      <c r="C595" s="2" t="s">
        <v>7928</v>
      </c>
    </row>
    <row r="596" spans="3:3" ht="19">
      <c r="C596" s="55" t="s">
        <v>7929</v>
      </c>
    </row>
    <row r="597" spans="3:3" ht="19">
      <c r="C597" s="55" t="s">
        <v>7930</v>
      </c>
    </row>
    <row r="598" spans="3:3" ht="19">
      <c r="C598" s="55" t="s">
        <v>7931</v>
      </c>
    </row>
    <row r="599" spans="3:3">
      <c r="C599" s="2" t="s">
        <v>7932</v>
      </c>
    </row>
    <row r="600" spans="3:3" ht="19">
      <c r="C600" s="55" t="s">
        <v>7922</v>
      </c>
    </row>
    <row r="601" spans="3:3" ht="19">
      <c r="C601" s="55" t="s">
        <v>7933</v>
      </c>
    </row>
    <row r="602" spans="3:3" ht="19">
      <c r="C602" s="55" t="s">
        <v>7934</v>
      </c>
    </row>
    <row r="603" spans="3:3">
      <c r="C603" s="2" t="s">
        <v>7935</v>
      </c>
    </row>
    <row r="604" spans="3:3" ht="19">
      <c r="C604" s="55" t="s">
        <v>7922</v>
      </c>
    </row>
    <row r="605" spans="3:3" ht="19">
      <c r="C605" s="55" t="s">
        <v>7936</v>
      </c>
    </row>
    <row r="606" spans="3:3" ht="19">
      <c r="C606" s="55" t="s">
        <v>7937</v>
      </c>
    </row>
    <row r="607" spans="3:3" ht="19">
      <c r="C607" s="55" t="s">
        <v>7938</v>
      </c>
    </row>
    <row r="608" spans="3:3" ht="19">
      <c r="C608" s="55" t="s">
        <v>7939</v>
      </c>
    </row>
    <row r="609" spans="3:3" ht="19">
      <c r="C609" s="55" t="s">
        <v>7940</v>
      </c>
    </row>
    <row r="610" spans="3:3" ht="19">
      <c r="C610" s="55" t="s">
        <v>7941</v>
      </c>
    </row>
    <row r="611" spans="3:3" ht="19">
      <c r="C611" s="55" t="s">
        <v>7942</v>
      </c>
    </row>
    <row r="612" spans="3:3">
      <c r="C612" s="2" t="s">
        <v>7943</v>
      </c>
    </row>
    <row r="613" spans="3:3" ht="19">
      <c r="C613" s="55" t="s">
        <v>7894</v>
      </c>
    </row>
    <row r="614" spans="3:3" ht="19">
      <c r="C614" s="55" t="s">
        <v>7890</v>
      </c>
    </row>
    <row r="615" spans="3:3">
      <c r="C615" s="2" t="s">
        <v>7944</v>
      </c>
    </row>
    <row r="616" spans="3:3" ht="19">
      <c r="C616" s="55" t="s">
        <v>7922</v>
      </c>
    </row>
    <row r="617" spans="3:3" ht="19">
      <c r="C617" s="55" t="s">
        <v>7933</v>
      </c>
    </row>
    <row r="618" spans="3:3" ht="19">
      <c r="C618" s="55" t="s">
        <v>7945</v>
      </c>
    </row>
    <row r="619" spans="3:3" ht="19">
      <c r="C619" s="55" t="s">
        <v>7934</v>
      </c>
    </row>
    <row r="620" spans="3:3">
      <c r="C620" s="2" t="s">
        <v>7946</v>
      </c>
    </row>
    <row r="621" spans="3:3" ht="19">
      <c r="C621" s="55" t="s">
        <v>7894</v>
      </c>
    </row>
    <row r="622" spans="3:3">
      <c r="C622" s="2" t="s">
        <v>7947</v>
      </c>
    </row>
    <row r="623" spans="3:3" ht="19">
      <c r="C623" s="55" t="s">
        <v>7450</v>
      </c>
    </row>
    <row r="624" spans="3:3">
      <c r="C624" s="2" t="s">
        <v>7948</v>
      </c>
    </row>
    <row r="625" spans="3:3" ht="19">
      <c r="C625" s="55" t="s">
        <v>7894</v>
      </c>
    </row>
    <row r="626" spans="3:3">
      <c r="C626" s="2" t="s">
        <v>7949</v>
      </c>
    </row>
    <row r="627" spans="3:3" ht="19">
      <c r="C627" s="55" t="s">
        <v>7937</v>
      </c>
    </row>
    <row r="628" spans="3:3">
      <c r="C628" s="2" t="s">
        <v>7950</v>
      </c>
    </row>
    <row r="629" spans="3:3" ht="19">
      <c r="C629" s="55" t="s">
        <v>7937</v>
      </c>
    </row>
    <row r="630" spans="3:3">
      <c r="C630" s="2" t="s">
        <v>7951</v>
      </c>
    </row>
    <row r="631" spans="3:3" ht="19">
      <c r="C631" s="55" t="s">
        <v>7894</v>
      </c>
    </row>
    <row r="632" spans="3:3">
      <c r="C632" s="2" t="s">
        <v>7952</v>
      </c>
    </row>
    <row r="633" spans="3:3" ht="19">
      <c r="C633" s="55" t="s">
        <v>7937</v>
      </c>
    </row>
    <row r="634" spans="3:3">
      <c r="C634" s="2" t="s">
        <v>7953</v>
      </c>
    </row>
    <row r="635" spans="3:3" ht="19">
      <c r="C635" s="55" t="s">
        <v>7954</v>
      </c>
    </row>
    <row r="636" spans="3:3">
      <c r="C636" s="2" t="s">
        <v>7955</v>
      </c>
    </row>
    <row r="637" spans="3:3" ht="19">
      <c r="C637" s="55" t="s">
        <v>7956</v>
      </c>
    </row>
    <row r="638" spans="3:3" ht="19">
      <c r="C638" s="55" t="s">
        <v>7957</v>
      </c>
    </row>
    <row r="639" spans="3:3" ht="19">
      <c r="C639" s="55" t="s">
        <v>7958</v>
      </c>
    </row>
    <row r="640" spans="3:3">
      <c r="C640" s="2" t="s">
        <v>7959</v>
      </c>
    </row>
    <row r="641" spans="3:3" ht="19">
      <c r="C641" s="55" t="s">
        <v>7926</v>
      </c>
    </row>
    <row r="642" spans="3:3" ht="19">
      <c r="C642" s="55" t="s">
        <v>7927</v>
      </c>
    </row>
    <row r="643" spans="3:3">
      <c r="C643" s="2" t="s">
        <v>7960</v>
      </c>
    </row>
    <row r="644" spans="3:3" ht="19">
      <c r="C644" s="55" t="s">
        <v>7961</v>
      </c>
    </row>
    <row r="645" spans="3:3">
      <c r="C645" s="2" t="s">
        <v>7962</v>
      </c>
    </row>
    <row r="646" spans="3:3" ht="19">
      <c r="C646" s="55" t="s">
        <v>7963</v>
      </c>
    </row>
    <row r="647" spans="3:3" ht="19">
      <c r="C647" s="55" t="s">
        <v>7964</v>
      </c>
    </row>
    <row r="648" spans="3:3" ht="19">
      <c r="C648" s="55" t="s">
        <v>7965</v>
      </c>
    </row>
    <row r="649" spans="3:3">
      <c r="C649" s="2" t="s">
        <v>7966</v>
      </c>
    </row>
    <row r="650" spans="3:3" ht="19">
      <c r="C650" s="55" t="s">
        <v>7967</v>
      </c>
    </row>
    <row r="651" spans="3:3">
      <c r="C651" s="2" t="s">
        <v>7968</v>
      </c>
    </row>
    <row r="652" spans="3:3" ht="19">
      <c r="C652" s="55" t="s">
        <v>7969</v>
      </c>
    </row>
    <row r="653" spans="3:3">
      <c r="C653" s="2" t="s">
        <v>7970</v>
      </c>
    </row>
    <row r="654" spans="3:3" ht="19">
      <c r="C654" s="55" t="s">
        <v>7937</v>
      </c>
    </row>
    <row r="655" spans="3:3">
      <c r="C655" s="2" t="s">
        <v>7971</v>
      </c>
    </row>
    <row r="656" spans="3:3" ht="19">
      <c r="C656" s="55" t="s">
        <v>7450</v>
      </c>
    </row>
    <row r="657" spans="3:3">
      <c r="C657" s="2" t="s">
        <v>7972</v>
      </c>
    </row>
    <row r="658" spans="3:3" ht="19">
      <c r="C658" s="55" t="s">
        <v>7973</v>
      </c>
    </row>
    <row r="659" spans="3:3">
      <c r="C659" s="2" t="s">
        <v>7974</v>
      </c>
    </row>
    <row r="660" spans="3:3" ht="19">
      <c r="C660" s="55" t="s">
        <v>7975</v>
      </c>
    </row>
    <row r="661" spans="3:3">
      <c r="C661" s="2" t="s">
        <v>7976</v>
      </c>
    </row>
    <row r="662" spans="3:3" ht="19">
      <c r="C662" s="55" t="s">
        <v>7977</v>
      </c>
    </row>
    <row r="663" spans="3:3">
      <c r="C663" s="2" t="s">
        <v>7978</v>
      </c>
    </row>
    <row r="664" spans="3:3" ht="19">
      <c r="C664" s="55" t="s">
        <v>7979</v>
      </c>
    </row>
    <row r="665" spans="3:3">
      <c r="C665" s="2" t="s">
        <v>7980</v>
      </c>
    </row>
    <row r="666" spans="3:3" ht="19">
      <c r="C666" s="55" t="s">
        <v>7981</v>
      </c>
    </row>
    <row r="667" spans="3:3">
      <c r="C667" s="2" t="s">
        <v>7982</v>
      </c>
    </row>
    <row r="668" spans="3:3" ht="19">
      <c r="C668" s="55" t="s">
        <v>7759</v>
      </c>
    </row>
    <row r="669" spans="3:3" ht="19">
      <c r="C669" s="55" t="s">
        <v>7482</v>
      </c>
    </row>
    <row r="670" spans="3:3">
      <c r="C670" s="2" t="s">
        <v>7983</v>
      </c>
    </row>
    <row r="671" spans="3:3" ht="19">
      <c r="C671" s="55" t="s">
        <v>7473</v>
      </c>
    </row>
    <row r="672" spans="3:3" ht="19">
      <c r="C672" s="55" t="s">
        <v>7984</v>
      </c>
    </row>
    <row r="673" spans="3:3" ht="19">
      <c r="C673" s="55" t="s">
        <v>7985</v>
      </c>
    </row>
    <row r="674" spans="3:3" ht="19">
      <c r="C674" s="55" t="s">
        <v>7986</v>
      </c>
    </row>
    <row r="675" spans="3:3" ht="19">
      <c r="C675" s="55" t="s">
        <v>7987</v>
      </c>
    </row>
    <row r="676" spans="3:3" ht="19">
      <c r="C676" s="55" t="s">
        <v>7501</v>
      </c>
    </row>
    <row r="677" spans="3:3">
      <c r="C677" s="2" t="s">
        <v>7988</v>
      </c>
    </row>
    <row r="678" spans="3:3" ht="19">
      <c r="C678" s="55" t="s">
        <v>7989</v>
      </c>
    </row>
    <row r="679" spans="3:3" ht="19">
      <c r="C679" s="55" t="s">
        <v>7990</v>
      </c>
    </row>
    <row r="680" spans="3:3">
      <c r="C680" s="2" t="s">
        <v>3569</v>
      </c>
    </row>
    <row r="681" spans="3:3" ht="19">
      <c r="C681" s="55" t="s">
        <v>7473</v>
      </c>
    </row>
    <row r="682" spans="3:3" ht="19">
      <c r="C682" s="55" t="s">
        <v>7991</v>
      </c>
    </row>
    <row r="683" spans="3:3" ht="19">
      <c r="C683" s="55" t="s">
        <v>7485</v>
      </c>
    </row>
    <row r="684" spans="3:3" ht="19">
      <c r="C684" s="55" t="s">
        <v>7499</v>
      </c>
    </row>
    <row r="685" spans="3:3">
      <c r="C685" s="2" t="s">
        <v>7992</v>
      </c>
    </row>
    <row r="686" spans="3:3" ht="19">
      <c r="C686" s="55" t="s">
        <v>7993</v>
      </c>
    </row>
    <row r="687" spans="3:3">
      <c r="C687" s="2" t="s">
        <v>7994</v>
      </c>
    </row>
    <row r="688" spans="3:3" ht="19">
      <c r="C688" s="55" t="s">
        <v>7995</v>
      </c>
    </row>
    <row r="689" spans="3:3" ht="19">
      <c r="C689" s="55" t="s">
        <v>7996</v>
      </c>
    </row>
    <row r="690" spans="3:3" ht="19">
      <c r="C690" s="55" t="s">
        <v>7997</v>
      </c>
    </row>
    <row r="691" spans="3:3" ht="19">
      <c r="C691" s="55" t="s">
        <v>7998</v>
      </c>
    </row>
    <row r="692" spans="3:3">
      <c r="C692" s="2" t="s">
        <v>7999</v>
      </c>
    </row>
    <row r="693" spans="3:3" ht="19">
      <c r="C693" s="55" t="s">
        <v>8000</v>
      </c>
    </row>
    <row r="694" spans="3:3">
      <c r="C694" s="2" t="s">
        <v>8001</v>
      </c>
    </row>
    <row r="695" spans="3:3" ht="19">
      <c r="C695" s="55" t="s">
        <v>8002</v>
      </c>
    </row>
    <row r="696" spans="3:3" ht="19">
      <c r="C696" s="55" t="s">
        <v>8003</v>
      </c>
    </row>
    <row r="697" spans="3:3" ht="19">
      <c r="C697" s="55" t="s">
        <v>8004</v>
      </c>
    </row>
    <row r="698" spans="3:3">
      <c r="C698" s="2" t="s">
        <v>3570</v>
      </c>
    </row>
    <row r="699" spans="3:3" ht="19">
      <c r="C699" s="55" t="s">
        <v>7516</v>
      </c>
    </row>
    <row r="700" spans="3:3" ht="19">
      <c r="C700" s="55" t="s">
        <v>7473</v>
      </c>
    </row>
    <row r="701" spans="3:3" ht="19">
      <c r="C701" s="55" t="s">
        <v>8005</v>
      </c>
    </row>
    <row r="702" spans="3:3" ht="19">
      <c r="C702" s="55" t="s">
        <v>7759</v>
      </c>
    </row>
    <row r="703" spans="3:3" ht="19">
      <c r="C703" s="55" t="s">
        <v>7482</v>
      </c>
    </row>
    <row r="704" spans="3:3" ht="19">
      <c r="C704" s="55" t="s">
        <v>8006</v>
      </c>
    </row>
    <row r="705" spans="3:3" ht="19">
      <c r="C705" s="55" t="s">
        <v>7485</v>
      </c>
    </row>
    <row r="706" spans="3:3" ht="19">
      <c r="C706" s="55" t="s">
        <v>7504</v>
      </c>
    </row>
    <row r="707" spans="3:3" ht="19">
      <c r="C707" s="55" t="s">
        <v>7486</v>
      </c>
    </row>
    <row r="708" spans="3:3" ht="19">
      <c r="C708" s="55" t="s">
        <v>8007</v>
      </c>
    </row>
    <row r="709" spans="3:3" ht="19">
      <c r="C709" s="55" t="s">
        <v>8008</v>
      </c>
    </row>
    <row r="710" spans="3:3" ht="19">
      <c r="C710" s="55" t="s">
        <v>8009</v>
      </c>
    </row>
    <row r="711" spans="3:3" ht="19">
      <c r="C711" s="55" t="s">
        <v>8010</v>
      </c>
    </row>
    <row r="712" spans="3:3" ht="19">
      <c r="C712" s="55" t="s">
        <v>8011</v>
      </c>
    </row>
    <row r="713" spans="3:3" ht="19">
      <c r="C713" s="55" t="s">
        <v>8012</v>
      </c>
    </row>
    <row r="714" spans="3:3" ht="19">
      <c r="C714" s="55" t="s">
        <v>8013</v>
      </c>
    </row>
    <row r="715" spans="3:3" ht="19">
      <c r="C715" s="55" t="s">
        <v>8014</v>
      </c>
    </row>
    <row r="716" spans="3:3" ht="19">
      <c r="C716" s="55" t="s">
        <v>8015</v>
      </c>
    </row>
    <row r="717" spans="3:3" ht="19">
      <c r="C717" s="55" t="s">
        <v>8016</v>
      </c>
    </row>
    <row r="718" spans="3:3" ht="19">
      <c r="C718" s="55" t="s">
        <v>8017</v>
      </c>
    </row>
    <row r="719" spans="3:3" ht="19">
      <c r="C719" s="55" t="s">
        <v>8018</v>
      </c>
    </row>
    <row r="720" spans="3:3">
      <c r="C720" s="2" t="s">
        <v>3570</v>
      </c>
    </row>
    <row r="721" spans="3:3" ht="19">
      <c r="C721" s="55" t="s">
        <v>8019</v>
      </c>
    </row>
    <row r="722" spans="3:3" ht="19">
      <c r="C722" s="55" t="s">
        <v>8020</v>
      </c>
    </row>
    <row r="723" spans="3:3" ht="19">
      <c r="C723" s="55" t="s">
        <v>8021</v>
      </c>
    </row>
    <row r="724" spans="3:3">
      <c r="C724" s="2" t="s">
        <v>8022</v>
      </c>
    </row>
    <row r="725" spans="3:3" ht="19">
      <c r="C725" s="55" t="s">
        <v>8023</v>
      </c>
    </row>
    <row r="726" spans="3:3" ht="19">
      <c r="C726" s="55" t="s">
        <v>8024</v>
      </c>
    </row>
    <row r="727" spans="3:3" ht="19">
      <c r="C727" s="55" t="s">
        <v>8025</v>
      </c>
    </row>
    <row r="728" spans="3:3">
      <c r="C728" s="2" t="s">
        <v>8026</v>
      </c>
    </row>
    <row r="729" spans="3:3" ht="19">
      <c r="C729" s="55" t="s">
        <v>8027</v>
      </c>
    </row>
    <row r="730" spans="3:3" ht="19">
      <c r="C730" s="55" t="s">
        <v>8028</v>
      </c>
    </row>
    <row r="731" spans="3:3" ht="19">
      <c r="C731" s="55" t="s">
        <v>8029</v>
      </c>
    </row>
    <row r="732" spans="3:3">
      <c r="C732" s="2" t="s">
        <v>8030</v>
      </c>
    </row>
    <row r="733" spans="3:3" ht="19">
      <c r="C733" s="55" t="s">
        <v>8031</v>
      </c>
    </row>
    <row r="734" spans="3:3">
      <c r="C734" s="2" t="s">
        <v>8032</v>
      </c>
    </row>
    <row r="735" spans="3:3" ht="19">
      <c r="C735" s="55" t="s">
        <v>8033</v>
      </c>
    </row>
    <row r="736" spans="3:3" ht="19">
      <c r="C736" s="55" t="s">
        <v>8034</v>
      </c>
    </row>
    <row r="737" spans="3:3" ht="19">
      <c r="C737" s="55" t="s">
        <v>8035</v>
      </c>
    </row>
    <row r="738" spans="3:3">
      <c r="C738" s="2" t="s">
        <v>3599</v>
      </c>
    </row>
    <row r="739" spans="3:3" ht="19">
      <c r="C739" s="55" t="s">
        <v>7480</v>
      </c>
    </row>
    <row r="740" spans="3:3" ht="19">
      <c r="C740" s="55" t="s">
        <v>7495</v>
      </c>
    </row>
    <row r="741" spans="3:3" ht="19">
      <c r="C741" s="55" t="s">
        <v>7756</v>
      </c>
    </row>
    <row r="742" spans="3:3">
      <c r="C742" s="2" t="s">
        <v>8036</v>
      </c>
    </row>
    <row r="743" spans="3:3" ht="19">
      <c r="C743" s="55" t="s">
        <v>7488</v>
      </c>
    </row>
    <row r="744" spans="3:3" ht="19">
      <c r="C744" s="55" t="s">
        <v>8037</v>
      </c>
    </row>
    <row r="745" spans="3:3" ht="19">
      <c r="C745" s="55" t="s">
        <v>8038</v>
      </c>
    </row>
    <row r="746" spans="3:3">
      <c r="C746" s="2" t="s">
        <v>8039</v>
      </c>
    </row>
    <row r="747" spans="3:3" ht="19">
      <c r="C747" s="55" t="s">
        <v>7963</v>
      </c>
    </row>
    <row r="748" spans="3:3" ht="19">
      <c r="C748" s="55" t="s">
        <v>7508</v>
      </c>
    </row>
    <row r="749" spans="3:3">
      <c r="C749" s="2" t="s">
        <v>8040</v>
      </c>
    </row>
    <row r="750" spans="3:3" ht="19">
      <c r="C750" s="55" t="s">
        <v>8041</v>
      </c>
    </row>
    <row r="751" spans="3:3" ht="19">
      <c r="C751" s="55" t="s">
        <v>8042</v>
      </c>
    </row>
    <row r="752" spans="3:3" ht="19">
      <c r="C752" s="55" t="s">
        <v>8043</v>
      </c>
    </row>
    <row r="753" spans="3:3" ht="19">
      <c r="C753" s="55" t="s">
        <v>8044</v>
      </c>
    </row>
    <row r="754" spans="3:3">
      <c r="C754" s="2" t="s">
        <v>8045</v>
      </c>
    </row>
    <row r="755" spans="3:3" ht="19">
      <c r="C755" s="55" t="s">
        <v>8046</v>
      </c>
    </row>
    <row r="756" spans="3:3" ht="19">
      <c r="C756" s="55" t="s">
        <v>8047</v>
      </c>
    </row>
    <row r="757" spans="3:3" ht="19">
      <c r="C757" s="55" t="s">
        <v>8042</v>
      </c>
    </row>
    <row r="758" spans="3:3" ht="19">
      <c r="C758" s="55" t="s">
        <v>8048</v>
      </c>
    </row>
    <row r="759" spans="3:3" ht="19">
      <c r="C759" s="55" t="s">
        <v>8049</v>
      </c>
    </row>
    <row r="760" spans="3:3">
      <c r="C760" s="2" t="s">
        <v>8050</v>
      </c>
    </row>
    <row r="761" spans="3:3" ht="19">
      <c r="C761" s="55" t="s">
        <v>8051</v>
      </c>
    </row>
    <row r="762" spans="3:3">
      <c r="C762" s="2" t="s">
        <v>8052</v>
      </c>
    </row>
    <row r="763" spans="3:3" ht="19">
      <c r="C763" s="55" t="s">
        <v>8053</v>
      </c>
    </row>
    <row r="764" spans="3:3" ht="19">
      <c r="C764" s="55" t="s">
        <v>8054</v>
      </c>
    </row>
    <row r="765" spans="3:3" ht="19">
      <c r="C765" s="55" t="s">
        <v>8055</v>
      </c>
    </row>
    <row r="766" spans="3:3" ht="19">
      <c r="C766" s="55" t="s">
        <v>8043</v>
      </c>
    </row>
    <row r="767" spans="3:3">
      <c r="C767" s="2" t="s">
        <v>3573</v>
      </c>
    </row>
    <row r="768" spans="3:3" ht="19">
      <c r="C768" s="55" t="s">
        <v>8056</v>
      </c>
    </row>
    <row r="769" spans="3:3" ht="19">
      <c r="C769" s="55" t="s">
        <v>7969</v>
      </c>
    </row>
    <row r="770" spans="3:3" ht="19">
      <c r="C770" s="55" t="s">
        <v>8021</v>
      </c>
    </row>
    <row r="771" spans="3:3">
      <c r="C771" s="2" t="s">
        <v>8057</v>
      </c>
    </row>
    <row r="772" spans="3:3" ht="19">
      <c r="C772" s="55" t="s">
        <v>7488</v>
      </c>
    </row>
    <row r="773" spans="3:3" ht="19">
      <c r="C773" s="55" t="s">
        <v>8058</v>
      </c>
    </row>
    <row r="774" spans="3:3" ht="19">
      <c r="C774" s="55" t="s">
        <v>8042</v>
      </c>
    </row>
    <row r="775" spans="3:3" ht="19">
      <c r="C775" s="55" t="s">
        <v>8043</v>
      </c>
    </row>
    <row r="776" spans="3:3" ht="19">
      <c r="C776" s="55" t="s">
        <v>8044</v>
      </c>
    </row>
    <row r="777" spans="3:3">
      <c r="C777" s="2" t="s">
        <v>8059</v>
      </c>
    </row>
    <row r="778" spans="3:3" ht="19">
      <c r="C778" s="55" t="s">
        <v>8060</v>
      </c>
    </row>
    <row r="779" spans="3:3" ht="19">
      <c r="C779" s="55" t="s">
        <v>8020</v>
      </c>
    </row>
    <row r="780" spans="3:3" ht="19">
      <c r="C780" s="55" t="s">
        <v>8042</v>
      </c>
    </row>
    <row r="781" spans="3:3" ht="19">
      <c r="C781" s="55" t="s">
        <v>8048</v>
      </c>
    </row>
    <row r="782" spans="3:3" ht="19">
      <c r="C782" s="55" t="s">
        <v>8049</v>
      </c>
    </row>
    <row r="783" spans="3:3">
      <c r="C783" s="2" t="s">
        <v>8061</v>
      </c>
    </row>
    <row r="784" spans="3:3" ht="19">
      <c r="C784" s="55" t="s">
        <v>8062</v>
      </c>
    </row>
    <row r="785" spans="3:3">
      <c r="C785" s="2" t="s">
        <v>8063</v>
      </c>
    </row>
    <row r="786" spans="3:3" ht="19">
      <c r="C786" s="55" t="s">
        <v>7488</v>
      </c>
    </row>
    <row r="787" spans="3:3" ht="19">
      <c r="C787" s="55" t="s">
        <v>8064</v>
      </c>
    </row>
    <row r="788" spans="3:3" ht="19">
      <c r="C788" s="55" t="s">
        <v>8065</v>
      </c>
    </row>
    <row r="789" spans="3:3" ht="19">
      <c r="C789" s="55" t="s">
        <v>8043</v>
      </c>
    </row>
    <row r="790" spans="3:3">
      <c r="C790" s="2" t="s">
        <v>8066</v>
      </c>
    </row>
    <row r="791" spans="3:3" ht="19">
      <c r="C791" s="55" t="s">
        <v>7488</v>
      </c>
    </row>
    <row r="792" spans="3:3">
      <c r="C792" s="2" t="s">
        <v>8067</v>
      </c>
    </row>
    <row r="793" spans="3:3" ht="19">
      <c r="C793" s="55" t="s">
        <v>7963</v>
      </c>
    </row>
    <row r="794" spans="3:3" ht="19">
      <c r="C794" s="55" t="s">
        <v>7508</v>
      </c>
    </row>
    <row r="795" spans="3:3" ht="19">
      <c r="C795" s="55" t="s">
        <v>8042</v>
      </c>
    </row>
    <row r="796" spans="3:3" ht="19">
      <c r="C796" s="55" t="s">
        <v>7767</v>
      </c>
    </row>
    <row r="797" spans="3:3">
      <c r="C797" s="2" t="s">
        <v>8068</v>
      </c>
    </row>
    <row r="798" spans="3:3" ht="19">
      <c r="C798" s="55" t="s">
        <v>7963</v>
      </c>
    </row>
    <row r="799" spans="3:3" ht="19">
      <c r="C799" s="55" t="s">
        <v>8069</v>
      </c>
    </row>
    <row r="800" spans="3:3" ht="19">
      <c r="C800" s="55" t="s">
        <v>8070</v>
      </c>
    </row>
    <row r="801" spans="3:3" ht="19">
      <c r="C801" s="55" t="s">
        <v>8049</v>
      </c>
    </row>
    <row r="802" spans="3:3">
      <c r="C802" s="2" t="s">
        <v>8071</v>
      </c>
    </row>
    <row r="803" spans="3:3" ht="19">
      <c r="C803" s="55" t="s">
        <v>8072</v>
      </c>
    </row>
    <row r="804" spans="3:3" ht="19">
      <c r="C804" s="55" t="s">
        <v>8073</v>
      </c>
    </row>
    <row r="805" spans="3:3" ht="19">
      <c r="C805" s="55" t="s">
        <v>8074</v>
      </c>
    </row>
    <row r="806" spans="3:3">
      <c r="C806" s="2" t="s">
        <v>8075</v>
      </c>
    </row>
    <row r="807" spans="3:3" ht="19">
      <c r="C807" s="55" t="s">
        <v>8076</v>
      </c>
    </row>
    <row r="808" spans="3:3" ht="19">
      <c r="C808" s="55" t="s">
        <v>7780</v>
      </c>
    </row>
    <row r="809" spans="3:3">
      <c r="C809" s="2" t="s">
        <v>3577</v>
      </c>
    </row>
    <row r="810" spans="3:3" ht="19">
      <c r="C810" s="55" t="s">
        <v>7473</v>
      </c>
    </row>
    <row r="811" spans="3:3" ht="19">
      <c r="C811" s="55" t="s">
        <v>8028</v>
      </c>
    </row>
    <row r="812" spans="3:3" ht="19">
      <c r="C812" s="55" t="s">
        <v>8073</v>
      </c>
    </row>
    <row r="813" spans="3:3" ht="19">
      <c r="C813" s="55" t="s">
        <v>7963</v>
      </c>
    </row>
    <row r="814" spans="3:3" ht="19">
      <c r="C814" s="55" t="s">
        <v>7483</v>
      </c>
    </row>
    <row r="815" spans="3:3" ht="19">
      <c r="C815" s="55" t="s">
        <v>7485</v>
      </c>
    </row>
    <row r="816" spans="3:3" ht="19">
      <c r="C816" s="55" t="s">
        <v>7486</v>
      </c>
    </row>
    <row r="817" spans="3:3" ht="19">
      <c r="C817" s="55" t="s">
        <v>8007</v>
      </c>
    </row>
    <row r="818" spans="3:3" ht="19">
      <c r="C818" s="55" t="s">
        <v>8008</v>
      </c>
    </row>
    <row r="819" spans="3:3" ht="19">
      <c r="C819" s="55" t="s">
        <v>8009</v>
      </c>
    </row>
    <row r="820" spans="3:3" ht="19">
      <c r="C820" s="55" t="s">
        <v>8010</v>
      </c>
    </row>
    <row r="821" spans="3:3" ht="19">
      <c r="C821" s="55" t="s">
        <v>8077</v>
      </c>
    </row>
    <row r="822" spans="3:3" ht="19">
      <c r="C822" s="55" t="s">
        <v>7767</v>
      </c>
    </row>
    <row r="823" spans="3:3" ht="19">
      <c r="C823" s="55" t="s">
        <v>8016</v>
      </c>
    </row>
    <row r="824" spans="3:3" ht="19">
      <c r="C824" s="55" t="s">
        <v>8017</v>
      </c>
    </row>
    <row r="825" spans="3:3" ht="19">
      <c r="C825" s="55" t="s">
        <v>8018</v>
      </c>
    </row>
    <row r="826" spans="3:3">
      <c r="C826" s="2" t="s">
        <v>8078</v>
      </c>
    </row>
    <row r="827" spans="3:3" ht="19">
      <c r="C827" s="55" t="s">
        <v>8079</v>
      </c>
    </row>
    <row r="828" spans="3:3" ht="19">
      <c r="C828" s="55" t="s">
        <v>8080</v>
      </c>
    </row>
    <row r="829" spans="3:3">
      <c r="C829" s="2" t="s">
        <v>8081</v>
      </c>
    </row>
    <row r="830" spans="3:3" ht="19">
      <c r="C830" s="55" t="s">
        <v>8082</v>
      </c>
    </row>
    <row r="831" spans="3:3">
      <c r="C831" s="2" t="s">
        <v>8083</v>
      </c>
    </row>
    <row r="832" spans="3:3" ht="19">
      <c r="C832" s="55" t="s">
        <v>7473</v>
      </c>
    </row>
    <row r="833" spans="3:3" ht="19">
      <c r="C833" s="55" t="s">
        <v>8084</v>
      </c>
    </row>
    <row r="834" spans="3:3" ht="19">
      <c r="C834" s="55" t="s">
        <v>7759</v>
      </c>
    </row>
    <row r="835" spans="3:3" ht="19">
      <c r="C835" s="55" t="s">
        <v>8034</v>
      </c>
    </row>
    <row r="836" spans="3:3" ht="19">
      <c r="C836" s="55" t="s">
        <v>7488</v>
      </c>
    </row>
    <row r="837" spans="3:3" ht="19">
      <c r="C837" s="55" t="s">
        <v>7485</v>
      </c>
    </row>
    <row r="838" spans="3:3" ht="19">
      <c r="C838" s="55" t="s">
        <v>7504</v>
      </c>
    </row>
    <row r="839" spans="3:3" ht="19">
      <c r="C839" s="55" t="s">
        <v>7486</v>
      </c>
    </row>
    <row r="840" spans="3:3" ht="19">
      <c r="C840" s="55" t="s">
        <v>8007</v>
      </c>
    </row>
    <row r="841" spans="3:3" ht="19">
      <c r="C841" s="55" t="s">
        <v>8008</v>
      </c>
    </row>
    <row r="842" spans="3:3" ht="19">
      <c r="C842" s="55" t="s">
        <v>8009</v>
      </c>
    </row>
    <row r="843" spans="3:3" ht="19">
      <c r="C843" s="55" t="s">
        <v>8010</v>
      </c>
    </row>
    <row r="844" spans="3:3" ht="19">
      <c r="C844" s="55" t="s">
        <v>8085</v>
      </c>
    </row>
    <row r="845" spans="3:3" ht="19">
      <c r="C845" s="55" t="s">
        <v>8086</v>
      </c>
    </row>
    <row r="846" spans="3:3" ht="19">
      <c r="C846" s="55" t="s">
        <v>7501</v>
      </c>
    </row>
    <row r="847" spans="3:3" ht="19">
      <c r="C847" s="55" t="s">
        <v>8087</v>
      </c>
    </row>
    <row r="848" spans="3:3" ht="19">
      <c r="C848" s="55" t="s">
        <v>8016</v>
      </c>
    </row>
    <row r="849" spans="3:3" ht="19">
      <c r="C849" s="55" t="s">
        <v>8017</v>
      </c>
    </row>
    <row r="850" spans="3:3" ht="19">
      <c r="C850" s="55" t="s">
        <v>8018</v>
      </c>
    </row>
    <row r="851" spans="3:3">
      <c r="C851" s="2" t="s">
        <v>8088</v>
      </c>
    </row>
    <row r="852" spans="3:3" ht="19">
      <c r="C852" s="55" t="s">
        <v>8089</v>
      </c>
    </row>
    <row r="853" spans="3:3" ht="19">
      <c r="C853" s="55" t="s">
        <v>8080</v>
      </c>
    </row>
    <row r="854" spans="3:3" ht="19">
      <c r="C854" s="55" t="s">
        <v>8090</v>
      </c>
    </row>
    <row r="855" spans="3:3">
      <c r="C855" s="2" t="s">
        <v>8091</v>
      </c>
    </row>
    <row r="856" spans="3:3" ht="19">
      <c r="C856" s="55" t="s">
        <v>8092</v>
      </c>
    </row>
    <row r="857" spans="3:3" ht="19">
      <c r="C857" s="55" t="s">
        <v>8093</v>
      </c>
    </row>
    <row r="858" spans="3:3">
      <c r="C858" s="2" t="s">
        <v>8094</v>
      </c>
    </row>
    <row r="859" spans="3:3" ht="19">
      <c r="C859" s="55" t="s">
        <v>7483</v>
      </c>
    </row>
    <row r="860" spans="3:3" ht="19">
      <c r="C860" s="55" t="s">
        <v>7489</v>
      </c>
    </row>
    <row r="861" spans="3:3" ht="19">
      <c r="C861" s="55" t="s">
        <v>8095</v>
      </c>
    </row>
    <row r="862" spans="3:3">
      <c r="C862" s="2" t="s">
        <v>8096</v>
      </c>
    </row>
    <row r="863" spans="3:3" ht="19">
      <c r="C863" s="55" t="s">
        <v>7473</v>
      </c>
    </row>
    <row r="864" spans="3:3" ht="19">
      <c r="C864" s="55" t="s">
        <v>8097</v>
      </c>
    </row>
    <row r="865" spans="3:3" ht="19">
      <c r="C865" s="55" t="s">
        <v>8098</v>
      </c>
    </row>
    <row r="866" spans="3:3" ht="19">
      <c r="C866" s="55" t="s">
        <v>7503</v>
      </c>
    </row>
    <row r="867" spans="3:3" ht="19">
      <c r="C867" s="55" t="s">
        <v>8023</v>
      </c>
    </row>
    <row r="868" spans="3:3" ht="19">
      <c r="C868" s="55" t="s">
        <v>7504</v>
      </c>
    </row>
    <row r="869" spans="3:3" ht="19">
      <c r="C869" s="55" t="s">
        <v>8099</v>
      </c>
    </row>
    <row r="870" spans="3:3" ht="19">
      <c r="C870" s="55" t="s">
        <v>7767</v>
      </c>
    </row>
    <row r="871" spans="3:3">
      <c r="C871" s="2" t="s">
        <v>8100</v>
      </c>
    </row>
    <row r="872" spans="3:3" ht="19">
      <c r="C872" s="55" t="s">
        <v>8056</v>
      </c>
    </row>
    <row r="873" spans="3:3">
      <c r="C873" s="2" t="s">
        <v>8101</v>
      </c>
    </row>
    <row r="874" spans="3:3" ht="19">
      <c r="C874" s="55" t="s">
        <v>7963</v>
      </c>
    </row>
    <row r="875" spans="3:3">
      <c r="C875" s="2" t="s">
        <v>8102</v>
      </c>
    </row>
    <row r="876" spans="3:3" ht="19">
      <c r="C876" s="55" t="s">
        <v>8103</v>
      </c>
    </row>
    <row r="877" spans="3:3" ht="19">
      <c r="C877" s="55" t="s">
        <v>8080</v>
      </c>
    </row>
    <row r="878" spans="3:3">
      <c r="C878" s="2" t="s">
        <v>8104</v>
      </c>
    </row>
    <row r="879" spans="3:3" ht="19">
      <c r="C879" s="55" t="s">
        <v>8103</v>
      </c>
    </row>
    <row r="880" spans="3:3">
      <c r="C880" s="2" t="s">
        <v>6292</v>
      </c>
    </row>
    <row r="881" spans="3:3" ht="19">
      <c r="C881" s="55" t="s">
        <v>7963</v>
      </c>
    </row>
    <row r="882" spans="3:3" ht="19">
      <c r="C882" s="55" t="s">
        <v>7508</v>
      </c>
    </row>
    <row r="883" spans="3:3" ht="19">
      <c r="C883" s="55" t="s">
        <v>8042</v>
      </c>
    </row>
    <row r="884" spans="3:3">
      <c r="C884" s="2" t="s">
        <v>8105</v>
      </c>
    </row>
    <row r="885" spans="3:3" ht="19">
      <c r="C885" s="55" t="s">
        <v>8106</v>
      </c>
    </row>
    <row r="886" spans="3:3">
      <c r="C886" s="2" t="s">
        <v>8107</v>
      </c>
    </row>
    <row r="887" spans="3:3" ht="19">
      <c r="C887" s="55" t="s">
        <v>8108</v>
      </c>
    </row>
    <row r="888" spans="3:3" ht="19">
      <c r="C888" s="55" t="s">
        <v>8109</v>
      </c>
    </row>
    <row r="889" spans="3:3" ht="19">
      <c r="C889" s="55" t="s">
        <v>8110</v>
      </c>
    </row>
    <row r="890" spans="3:3">
      <c r="C890" s="2" t="s">
        <v>8111</v>
      </c>
    </row>
    <row r="891" spans="3:3" ht="19">
      <c r="C891" s="55" t="s">
        <v>7963</v>
      </c>
    </row>
    <row r="892" spans="3:3" ht="19">
      <c r="C892" s="55" t="s">
        <v>7483</v>
      </c>
    </row>
    <row r="893" spans="3:3" ht="19">
      <c r="C893" s="55" t="s">
        <v>8109</v>
      </c>
    </row>
    <row r="894" spans="3:3" ht="19">
      <c r="C894" s="55" t="s">
        <v>8112</v>
      </c>
    </row>
    <row r="895" spans="3:3">
      <c r="C895" s="2" t="s">
        <v>8113</v>
      </c>
    </row>
    <row r="896" spans="3:3" ht="19">
      <c r="C896" s="55" t="s">
        <v>8114</v>
      </c>
    </row>
    <row r="897" spans="3:3" ht="19">
      <c r="C897" s="55" t="s">
        <v>7508</v>
      </c>
    </row>
    <row r="898" spans="3:3" ht="19">
      <c r="C898" s="55" t="s">
        <v>8115</v>
      </c>
    </row>
    <row r="899" spans="3:3" ht="19">
      <c r="C899" s="55" t="s">
        <v>8049</v>
      </c>
    </row>
    <row r="900" spans="3:3">
      <c r="C900" s="2" t="s">
        <v>8116</v>
      </c>
    </row>
    <row r="901" spans="3:3" ht="19">
      <c r="C901" s="55" t="s">
        <v>8095</v>
      </c>
    </row>
    <row r="902" spans="3:3" ht="19">
      <c r="C902" s="55" t="s">
        <v>8117</v>
      </c>
    </row>
    <row r="903" spans="3:3">
      <c r="C903" s="2" t="s">
        <v>8118</v>
      </c>
    </row>
    <row r="904" spans="3:3" ht="19">
      <c r="C904" s="55" t="s">
        <v>7488</v>
      </c>
    </row>
    <row r="905" spans="3:3" ht="19">
      <c r="C905" s="55" t="s">
        <v>7489</v>
      </c>
    </row>
    <row r="906" spans="3:3" ht="19">
      <c r="C906" s="55" t="s">
        <v>8042</v>
      </c>
    </row>
    <row r="907" spans="3:3" ht="19">
      <c r="C907" s="55" t="s">
        <v>8095</v>
      </c>
    </row>
    <row r="908" spans="3:3">
      <c r="C908" s="2" t="s">
        <v>8119</v>
      </c>
    </row>
    <row r="909" spans="3:3" ht="19">
      <c r="C909" s="55" t="s">
        <v>7963</v>
      </c>
    </row>
    <row r="910" spans="3:3" ht="19">
      <c r="C910" s="55" t="s">
        <v>7508</v>
      </c>
    </row>
    <row r="911" spans="3:3">
      <c r="C911" s="2" t="s">
        <v>3586</v>
      </c>
    </row>
    <row r="912" spans="3:3" ht="19">
      <c r="C912" s="55" t="s">
        <v>7488</v>
      </c>
    </row>
    <row r="913" spans="3:3" ht="19">
      <c r="C913" s="55" t="s">
        <v>8120</v>
      </c>
    </row>
    <row r="914" spans="3:3" ht="19">
      <c r="C914" s="55" t="s">
        <v>8121</v>
      </c>
    </row>
    <row r="915" spans="3:3">
      <c r="C915" s="2" t="s">
        <v>8122</v>
      </c>
    </row>
    <row r="916" spans="3:3" ht="19">
      <c r="C916" s="55" t="s">
        <v>8123</v>
      </c>
    </row>
    <row r="917" spans="3:3" ht="19">
      <c r="C917" s="55" t="s">
        <v>7508</v>
      </c>
    </row>
    <row r="918" spans="3:3">
      <c r="C918" s="2" t="s">
        <v>8124</v>
      </c>
    </row>
    <row r="919" spans="3:3" ht="19">
      <c r="C919" s="55" t="s">
        <v>8125</v>
      </c>
    </row>
    <row r="920" spans="3:3" ht="19">
      <c r="C920" s="55" t="s">
        <v>8126</v>
      </c>
    </row>
    <row r="921" spans="3:3">
      <c r="C921" s="2" t="s">
        <v>8127</v>
      </c>
    </row>
    <row r="922" spans="3:3" ht="19">
      <c r="C922" s="55" t="s">
        <v>8128</v>
      </c>
    </row>
    <row r="923" spans="3:3">
      <c r="C923" s="2" t="s">
        <v>8129</v>
      </c>
    </row>
    <row r="924" spans="3:3" ht="19">
      <c r="C924" s="55" t="s">
        <v>8120</v>
      </c>
    </row>
    <row r="925" spans="3:3" ht="19">
      <c r="C925" s="55" t="s">
        <v>8130</v>
      </c>
    </row>
    <row r="926" spans="3:3">
      <c r="C926" s="2" t="s">
        <v>8131</v>
      </c>
    </row>
    <row r="927" spans="3:3" ht="19">
      <c r="C927" s="55" t="s">
        <v>8132</v>
      </c>
    </row>
    <row r="928" spans="3:3" ht="19">
      <c r="C928" s="55" t="s">
        <v>8042</v>
      </c>
    </row>
    <row r="929" spans="3:3" ht="19">
      <c r="C929" s="55" t="s">
        <v>8043</v>
      </c>
    </row>
    <row r="930" spans="3:3" ht="19">
      <c r="C930" s="55" t="s">
        <v>8044</v>
      </c>
    </row>
    <row r="931" spans="3:3">
      <c r="C931" s="2" t="s">
        <v>8133</v>
      </c>
    </row>
    <row r="932" spans="3:3" ht="19">
      <c r="C932" s="55" t="s">
        <v>8046</v>
      </c>
    </row>
    <row r="933" spans="3:3" ht="19">
      <c r="C933" s="55" t="s">
        <v>8134</v>
      </c>
    </row>
    <row r="934" spans="3:3" ht="19">
      <c r="C934" s="55" t="s">
        <v>8042</v>
      </c>
    </row>
    <row r="935" spans="3:3" ht="19">
      <c r="C935" s="55" t="s">
        <v>8048</v>
      </c>
    </row>
    <row r="936" spans="3:3" ht="19">
      <c r="C936" s="55" t="s">
        <v>8049</v>
      </c>
    </row>
    <row r="937" spans="3:3">
      <c r="C937" s="2" t="s">
        <v>8135</v>
      </c>
    </row>
    <row r="938" spans="3:3" ht="19">
      <c r="C938" s="55" t="s">
        <v>8136</v>
      </c>
    </row>
    <row r="939" spans="3:3">
      <c r="C939" s="2" t="s">
        <v>8137</v>
      </c>
    </row>
    <row r="940" spans="3:3" ht="19">
      <c r="C940" s="55" t="s">
        <v>8138</v>
      </c>
    </row>
    <row r="941" spans="3:3" ht="19">
      <c r="C941" s="55" t="s">
        <v>8139</v>
      </c>
    </row>
    <row r="942" spans="3:3" ht="19">
      <c r="C942" s="55" t="s">
        <v>8055</v>
      </c>
    </row>
    <row r="943" spans="3:3" ht="19">
      <c r="C943" s="55" t="s">
        <v>8043</v>
      </c>
    </row>
    <row r="944" spans="3:3">
      <c r="C944" s="2" t="s">
        <v>3601</v>
      </c>
    </row>
    <row r="945" spans="3:3" ht="19">
      <c r="C945" s="55" t="s">
        <v>8140</v>
      </c>
    </row>
    <row r="946" spans="3:3" ht="19">
      <c r="C946" s="55" t="s">
        <v>8141</v>
      </c>
    </row>
    <row r="947" spans="3:3" ht="19">
      <c r="C947" s="55" t="s">
        <v>8006</v>
      </c>
    </row>
    <row r="948" spans="3:3">
      <c r="C948" s="2" t="s">
        <v>8142</v>
      </c>
    </row>
    <row r="949" spans="3:3" ht="19">
      <c r="C949" s="55" t="s">
        <v>7488</v>
      </c>
    </row>
    <row r="950" spans="3:3" ht="19">
      <c r="C950" s="55" t="s">
        <v>8077</v>
      </c>
    </row>
    <row r="951" spans="3:3" ht="19">
      <c r="C951" s="55" t="s">
        <v>8042</v>
      </c>
    </row>
    <row r="952" spans="3:3" ht="19">
      <c r="C952" s="55" t="s">
        <v>8143</v>
      </c>
    </row>
    <row r="953" spans="3:3">
      <c r="C953" s="2" t="s">
        <v>8144</v>
      </c>
    </row>
    <row r="954" spans="3:3" ht="19">
      <c r="C954" s="55" t="s">
        <v>8145</v>
      </c>
    </row>
    <row r="955" spans="3:3" ht="19">
      <c r="C955" s="55" t="s">
        <v>7508</v>
      </c>
    </row>
    <row r="956" spans="3:3" ht="19">
      <c r="C956" s="55" t="s">
        <v>8042</v>
      </c>
    </row>
    <row r="957" spans="3:3" ht="19">
      <c r="C957" s="55" t="s">
        <v>8146</v>
      </c>
    </row>
    <row r="958" spans="3:3">
      <c r="C958" s="2" t="s">
        <v>8147</v>
      </c>
    </row>
    <row r="959" spans="3:3" ht="19">
      <c r="C959" s="55" t="s">
        <v>7514</v>
      </c>
    </row>
    <row r="960" spans="3:3" ht="19">
      <c r="C960" s="55" t="s">
        <v>8148</v>
      </c>
    </row>
    <row r="961" spans="3:3" ht="19">
      <c r="C961" s="55" t="s">
        <v>8149</v>
      </c>
    </row>
    <row r="962" spans="3:3">
      <c r="C962" s="2" t="s">
        <v>8150</v>
      </c>
    </row>
    <row r="963" spans="3:3" ht="19">
      <c r="C963" s="55" t="s">
        <v>8042</v>
      </c>
    </row>
    <row r="964" spans="3:3">
      <c r="C964" s="2" t="s">
        <v>8151</v>
      </c>
    </row>
    <row r="965" spans="3:3" ht="19">
      <c r="C965" s="55" t="s">
        <v>8152</v>
      </c>
    </row>
    <row r="966" spans="3:3" ht="19">
      <c r="C966" s="55" t="s">
        <v>8042</v>
      </c>
    </row>
    <row r="967" spans="3:3" ht="19">
      <c r="C967" s="55" t="s">
        <v>8153</v>
      </c>
    </row>
    <row r="968" spans="3:3" ht="19">
      <c r="C968" s="55" t="s">
        <v>8044</v>
      </c>
    </row>
    <row r="969" spans="3:3">
      <c r="C969" s="2" t="s">
        <v>8154</v>
      </c>
    </row>
    <row r="970" spans="3:3" ht="19">
      <c r="C970" s="55" t="s">
        <v>8080</v>
      </c>
    </row>
    <row r="971" spans="3:3" ht="19">
      <c r="C971" s="55" t="s">
        <v>8155</v>
      </c>
    </row>
    <row r="972" spans="3:3">
      <c r="C972" s="2" t="s">
        <v>8154</v>
      </c>
    </row>
    <row r="973" spans="3:3" ht="19">
      <c r="C973" s="55" t="s">
        <v>8156</v>
      </c>
    </row>
    <row r="974" spans="3:3" ht="19">
      <c r="C974" s="55" t="s">
        <v>8020</v>
      </c>
    </row>
    <row r="975" spans="3:3" ht="19">
      <c r="C975" s="55" t="s">
        <v>8042</v>
      </c>
    </row>
    <row r="976" spans="3:3" ht="19">
      <c r="C976" s="55" t="s">
        <v>8048</v>
      </c>
    </row>
    <row r="977" spans="3:3" ht="19">
      <c r="C977" s="55" t="s">
        <v>8049</v>
      </c>
    </row>
    <row r="978" spans="3:3">
      <c r="C978" s="2" t="s">
        <v>8157</v>
      </c>
    </row>
    <row r="979" spans="3:3" ht="19">
      <c r="C979" s="55" t="s">
        <v>8092</v>
      </c>
    </row>
    <row r="980" spans="3:3">
      <c r="C980" s="2" t="s">
        <v>8158</v>
      </c>
    </row>
    <row r="981" spans="3:3" ht="19">
      <c r="C981" s="55" t="s">
        <v>8093</v>
      </c>
    </row>
    <row r="982" spans="3:3">
      <c r="C982" s="2" t="s">
        <v>8159</v>
      </c>
    </row>
    <row r="983" spans="3:3" ht="19">
      <c r="C983" s="55" t="s">
        <v>7483</v>
      </c>
    </row>
    <row r="984" spans="3:3" ht="19">
      <c r="C984" s="55" t="s">
        <v>8011</v>
      </c>
    </row>
    <row r="985" spans="3:3">
      <c r="C985" s="2" t="s">
        <v>8160</v>
      </c>
    </row>
    <row r="986" spans="3:3" ht="19">
      <c r="C986" s="55" t="s">
        <v>8161</v>
      </c>
    </row>
    <row r="987" spans="3:3" ht="19">
      <c r="C987" s="55" t="s">
        <v>8162</v>
      </c>
    </row>
    <row r="988" spans="3:3" ht="19">
      <c r="C988" s="55" t="s">
        <v>8055</v>
      </c>
    </row>
    <row r="989" spans="3:3" ht="19">
      <c r="C989" s="55" t="s">
        <v>8153</v>
      </c>
    </row>
    <row r="990" spans="3:3">
      <c r="C990" s="2" t="s">
        <v>8163</v>
      </c>
    </row>
    <row r="991" spans="3:3" ht="19">
      <c r="C991" s="55" t="s">
        <v>7473</v>
      </c>
    </row>
    <row r="992" spans="3:3" ht="19">
      <c r="C992" s="55" t="s">
        <v>7504</v>
      </c>
    </row>
    <row r="993" spans="3:3">
      <c r="C993" s="2" t="s">
        <v>8164</v>
      </c>
    </row>
    <row r="994" spans="3:3" ht="19">
      <c r="C994" s="55" t="s">
        <v>7516</v>
      </c>
    </row>
    <row r="995" spans="3:3" ht="19">
      <c r="C995" s="55" t="s">
        <v>7514</v>
      </c>
    </row>
    <row r="996" spans="3:3" ht="19">
      <c r="C996" s="55" t="s">
        <v>8165</v>
      </c>
    </row>
    <row r="997" spans="3:3" ht="19">
      <c r="C997" s="55" t="s">
        <v>8166</v>
      </c>
    </row>
    <row r="998" spans="3:3">
      <c r="C998" s="2" t="s">
        <v>8167</v>
      </c>
    </row>
    <row r="999" spans="3:3" ht="19">
      <c r="C999" s="55" t="s">
        <v>7941</v>
      </c>
    </row>
    <row r="1000" spans="3:3" ht="19">
      <c r="C1000" s="55" t="s">
        <v>8168</v>
      </c>
    </row>
    <row r="1001" spans="3:3">
      <c r="C1001" s="2" t="s">
        <v>8169</v>
      </c>
    </row>
    <row r="1002" spans="3:3" ht="19">
      <c r="C1002" s="55" t="s">
        <v>7519</v>
      </c>
    </row>
    <row r="1003" spans="3:3">
      <c r="C1003" s="2" t="s">
        <v>8170</v>
      </c>
    </row>
    <row r="1004" spans="3:3" ht="19">
      <c r="C1004" s="55" t="s">
        <v>8171</v>
      </c>
    </row>
    <row r="1005" spans="3:3" ht="19">
      <c r="C1005" s="55" t="s">
        <v>7942</v>
      </c>
    </row>
    <row r="1006" spans="3:3" ht="19">
      <c r="C1006" s="55" t="s">
        <v>8172</v>
      </c>
    </row>
    <row r="1007" spans="3:3">
      <c r="C1007" s="2" t="s">
        <v>8173</v>
      </c>
    </row>
    <row r="1008" spans="3:3" ht="19">
      <c r="C1008" s="55" t="s">
        <v>8171</v>
      </c>
    </row>
    <row r="1009" spans="3:3">
      <c r="C1009" s="2" t="s">
        <v>8174</v>
      </c>
    </row>
    <row r="1010" spans="3:3" ht="19">
      <c r="C1010" s="55" t="s">
        <v>8175</v>
      </c>
    </row>
    <row r="1011" spans="3:3">
      <c r="C1011" s="2" t="s">
        <v>8176</v>
      </c>
    </row>
    <row r="1012" spans="3:3" ht="19">
      <c r="C1012" s="55" t="s">
        <v>7514</v>
      </c>
    </row>
    <row r="1013" spans="3:3">
      <c r="C1013" s="2" t="s">
        <v>8177</v>
      </c>
    </row>
    <row r="1014" spans="3:3" ht="19">
      <c r="C1014" s="55" t="s">
        <v>8165</v>
      </c>
    </row>
    <row r="1015" spans="3:3" ht="19">
      <c r="C1015" s="55" t="s">
        <v>8166</v>
      </c>
    </row>
    <row r="1016" spans="3:3">
      <c r="C1016" s="2" t="s">
        <v>8178</v>
      </c>
    </row>
    <row r="1017" spans="3:3" ht="19">
      <c r="C1017" s="55" t="s">
        <v>7941</v>
      </c>
    </row>
    <row r="1018" spans="3:3" ht="19">
      <c r="C1018" s="55" t="s">
        <v>8168</v>
      </c>
    </row>
    <row r="1019" spans="3:3">
      <c r="C1019" s="2" t="s">
        <v>8179</v>
      </c>
    </row>
    <row r="1020" spans="3:3" ht="19">
      <c r="C1020" s="55" t="s">
        <v>8171</v>
      </c>
    </row>
    <row r="1021" spans="3:3" ht="19">
      <c r="C1021" s="55" t="s">
        <v>7942</v>
      </c>
    </row>
    <row r="1022" spans="3:3" ht="19">
      <c r="C1022" s="55" t="s">
        <v>8172</v>
      </c>
    </row>
    <row r="1023" spans="3:3">
      <c r="C1023" s="2" t="s">
        <v>8180</v>
      </c>
    </row>
    <row r="1024" spans="3:3" ht="19">
      <c r="C1024" s="55" t="s">
        <v>8171</v>
      </c>
    </row>
    <row r="1025" spans="3:3">
      <c r="C1025" s="2" t="s">
        <v>8181</v>
      </c>
    </row>
    <row r="1026" spans="3:3" ht="19">
      <c r="C1026" s="55" t="s">
        <v>8175</v>
      </c>
    </row>
    <row r="1027" spans="3:3">
      <c r="C1027" s="2" t="s">
        <v>8182</v>
      </c>
    </row>
    <row r="1028" spans="3:3" ht="19">
      <c r="C1028" s="55" t="s">
        <v>8183</v>
      </c>
    </row>
    <row r="1029" spans="3:3" ht="19">
      <c r="C1029" s="55" t="s">
        <v>8184</v>
      </c>
    </row>
    <row r="1030" spans="3:3" ht="19">
      <c r="C1030" s="55" t="s">
        <v>7527</v>
      </c>
    </row>
    <row r="1031" spans="3:3">
      <c r="C1031" s="2" t="s">
        <v>8185</v>
      </c>
    </row>
    <row r="1032" spans="3:3" ht="19">
      <c r="C1032" s="55" t="s">
        <v>8183</v>
      </c>
    </row>
    <row r="1033" spans="3:3" ht="19">
      <c r="C1033" s="55" t="s">
        <v>7527</v>
      </c>
    </row>
    <row r="1034" spans="3:3">
      <c r="C1034" s="2" t="s">
        <v>8186</v>
      </c>
    </row>
    <row r="1035" spans="3:3" ht="19">
      <c r="C1035" s="55" t="s">
        <v>7771</v>
      </c>
    </row>
    <row r="1036" spans="3:3">
      <c r="C1036" s="2" t="s">
        <v>8187</v>
      </c>
    </row>
    <row r="1037" spans="3:3" ht="19">
      <c r="C1037" s="55" t="s">
        <v>8188</v>
      </c>
    </row>
    <row r="1038" spans="3:3">
      <c r="C1038" s="2" t="s">
        <v>8189</v>
      </c>
    </row>
    <row r="1039" spans="3:3" ht="19">
      <c r="C1039" s="55" t="s">
        <v>7550</v>
      </c>
    </row>
    <row r="1040" spans="3:3" ht="19">
      <c r="C1040" s="55" t="s">
        <v>8190</v>
      </c>
    </row>
    <row r="1041" spans="3:3" ht="19">
      <c r="C1041" s="55" t="s">
        <v>8191</v>
      </c>
    </row>
    <row r="1042" spans="3:3" ht="19">
      <c r="C1042" s="55" t="s">
        <v>7508</v>
      </c>
    </row>
    <row r="1043" spans="3:3" ht="19">
      <c r="C1043" s="55" t="s">
        <v>8192</v>
      </c>
    </row>
    <row r="1044" spans="3:3" ht="19">
      <c r="C1044" s="55" t="s">
        <v>8193</v>
      </c>
    </row>
    <row r="1045" spans="3:3">
      <c r="C1045" s="2" t="s">
        <v>8194</v>
      </c>
    </row>
    <row r="1046" spans="3:3" ht="19">
      <c r="C1046" s="55" t="s">
        <v>8195</v>
      </c>
    </row>
    <row r="1047" spans="3:3" ht="19">
      <c r="C1047" s="55" t="s">
        <v>8196</v>
      </c>
    </row>
    <row r="1048" spans="3:3">
      <c r="C1048" s="2" t="s">
        <v>8197</v>
      </c>
    </row>
    <row r="1049" spans="3:3" ht="19">
      <c r="C1049" s="55" t="s">
        <v>8198</v>
      </c>
    </row>
    <row r="1050" spans="3:3" ht="19">
      <c r="C1050" s="55" t="s">
        <v>8199</v>
      </c>
    </row>
    <row r="1051" spans="3:3">
      <c r="C1051" s="2" t="s">
        <v>8200</v>
      </c>
    </row>
    <row r="1052" spans="3:3" ht="19">
      <c r="C1052" s="55" t="s">
        <v>7762</v>
      </c>
    </row>
    <row r="1053" spans="3:3" ht="19">
      <c r="C1053" s="55" t="s">
        <v>7763</v>
      </c>
    </row>
    <row r="1054" spans="3:3">
      <c r="C1054" s="2" t="s">
        <v>8201</v>
      </c>
    </row>
    <row r="1055" spans="3:3" ht="19">
      <c r="C1055" s="55" t="s">
        <v>8202</v>
      </c>
    </row>
    <row r="1056" spans="3:3" ht="19">
      <c r="C1056" s="55" t="s">
        <v>8203</v>
      </c>
    </row>
    <row r="1057" spans="3:3" ht="19">
      <c r="C1057" s="55" t="s">
        <v>8204</v>
      </c>
    </row>
    <row r="1058" spans="3:3">
      <c r="C1058" s="2" t="s">
        <v>8205</v>
      </c>
    </row>
    <row r="1059" spans="3:3" ht="19">
      <c r="C1059" s="55" t="s">
        <v>8183</v>
      </c>
    </row>
    <row r="1060" spans="3:3" ht="19">
      <c r="C1060" s="55" t="s">
        <v>8184</v>
      </c>
    </row>
    <row r="1061" spans="3:3" ht="19">
      <c r="C1061" s="55" t="s">
        <v>7527</v>
      </c>
    </row>
    <row r="1062" spans="3:3">
      <c r="C1062" s="2" t="s">
        <v>8206</v>
      </c>
    </row>
    <row r="1063" spans="3:3" ht="19">
      <c r="C1063" s="55" t="s">
        <v>8183</v>
      </c>
    </row>
    <row r="1064" spans="3:3" ht="19">
      <c r="C1064" s="55" t="s">
        <v>7527</v>
      </c>
    </row>
    <row r="1065" spans="3:3">
      <c r="C1065" s="2" t="s">
        <v>8207</v>
      </c>
    </row>
    <row r="1066" spans="3:3" ht="19">
      <c r="C1066" s="55" t="s">
        <v>8028</v>
      </c>
    </row>
    <row r="1067" spans="3:3" ht="19">
      <c r="C1067" s="55" t="s">
        <v>8099</v>
      </c>
    </row>
    <row r="1068" spans="3:3" ht="19">
      <c r="C1068" s="55" t="s">
        <v>7767</v>
      </c>
    </row>
    <row r="1069" spans="3:3" ht="19">
      <c r="C1069" s="55" t="s">
        <v>8070</v>
      </c>
    </row>
    <row r="1070" spans="3:3">
      <c r="C1070" s="2" t="s">
        <v>4725</v>
      </c>
    </row>
    <row r="1071" spans="3:3" ht="19">
      <c r="C1071" s="55" t="s">
        <v>8208</v>
      </c>
    </row>
    <row r="1072" spans="3:3">
      <c r="C1072" s="2" t="s">
        <v>4726</v>
      </c>
    </row>
    <row r="1073" spans="3:3" ht="19">
      <c r="C1073" s="55" t="s">
        <v>8209</v>
      </c>
    </row>
    <row r="1074" spans="3:3">
      <c r="C1074" s="2" t="s">
        <v>4727</v>
      </c>
    </row>
    <row r="1075" spans="3:3" ht="19">
      <c r="C1075" s="55" t="s">
        <v>8210</v>
      </c>
    </row>
    <row r="1076" spans="3:3">
      <c r="C1076" s="2" t="s">
        <v>4728</v>
      </c>
    </row>
    <row r="1077" spans="3:3" ht="19">
      <c r="C1077" s="55" t="s">
        <v>7495</v>
      </c>
    </row>
    <row r="1078" spans="3:3">
      <c r="C1078" s="2" t="s">
        <v>4729</v>
      </c>
    </row>
    <row r="1079" spans="3:3" ht="19">
      <c r="C1079" s="55" t="s">
        <v>8211</v>
      </c>
    </row>
    <row r="1080" spans="3:3">
      <c r="C1080" s="2" t="s">
        <v>4730</v>
      </c>
    </row>
    <row r="1081" spans="3:3" ht="19">
      <c r="C1081" s="55" t="s">
        <v>8212</v>
      </c>
    </row>
    <row r="1082" spans="3:3">
      <c r="C1082" s="2" t="s">
        <v>4731</v>
      </c>
    </row>
    <row r="1083" spans="3:3" ht="19">
      <c r="C1083" s="55" t="s">
        <v>8213</v>
      </c>
    </row>
    <row r="1084" spans="3:3">
      <c r="C1084" s="2" t="s">
        <v>4732</v>
      </c>
    </row>
    <row r="1085" spans="3:3" ht="19">
      <c r="C1085" s="55" t="s">
        <v>8214</v>
      </c>
    </row>
    <row r="1086" spans="3:3">
      <c r="C1086" s="2" t="s">
        <v>4733</v>
      </c>
    </row>
    <row r="1087" spans="3:3" ht="19">
      <c r="C1087" s="55" t="s">
        <v>8215</v>
      </c>
    </row>
    <row r="1088" spans="3:3">
      <c r="C1088" s="2" t="s">
        <v>4734</v>
      </c>
    </row>
    <row r="1089" spans="3:3" ht="19">
      <c r="C1089" s="55" t="s">
        <v>8216</v>
      </c>
    </row>
    <row r="1090" spans="3:3">
      <c r="C1090" s="2" t="s">
        <v>4735</v>
      </c>
    </row>
    <row r="1091" spans="3:3" ht="19">
      <c r="C1091" s="55" t="s">
        <v>8217</v>
      </c>
    </row>
    <row r="1092" spans="3:3">
      <c r="C1092" s="2" t="s">
        <v>4736</v>
      </c>
    </row>
    <row r="1093" spans="3:3" ht="19">
      <c r="C1093" s="55" t="s">
        <v>8218</v>
      </c>
    </row>
    <row r="1094" spans="3:3">
      <c r="C1094" s="2" t="s">
        <v>8219</v>
      </c>
    </row>
    <row r="1095" spans="3:3" ht="19">
      <c r="C1095" s="55" t="s">
        <v>8220</v>
      </c>
    </row>
    <row r="1096" spans="3:3">
      <c r="C1096" s="2" t="s">
        <v>8221</v>
      </c>
    </row>
    <row r="1097" spans="3:3" ht="19">
      <c r="C1097" s="55" t="s">
        <v>8222</v>
      </c>
    </row>
    <row r="1098" spans="3:3">
      <c r="C1098" s="2" t="s">
        <v>8223</v>
      </c>
    </row>
    <row r="1099" spans="3:3" ht="19">
      <c r="C1099" s="55" t="s">
        <v>8224</v>
      </c>
    </row>
    <row r="1100" spans="3:3">
      <c r="C1100" s="2" t="s">
        <v>8225</v>
      </c>
    </row>
    <row r="1101" spans="3:3" ht="19">
      <c r="C1101" s="55" t="s">
        <v>8226</v>
      </c>
    </row>
    <row r="1102" spans="3:3">
      <c r="C1102" s="2" t="s">
        <v>8227</v>
      </c>
    </row>
    <row r="1103" spans="3:3" ht="19">
      <c r="C1103" s="55" t="s">
        <v>8228</v>
      </c>
    </row>
    <row r="1104" spans="3:3">
      <c r="C1104" s="2" t="s">
        <v>8229</v>
      </c>
    </row>
    <row r="1105" spans="3:3" ht="19">
      <c r="C1105" s="55" t="s">
        <v>8230</v>
      </c>
    </row>
    <row r="1106" spans="3:3">
      <c r="C1106" s="2" t="s">
        <v>8231</v>
      </c>
    </row>
    <row r="1107" spans="3:3" ht="19">
      <c r="C1107" s="55" t="s">
        <v>8232</v>
      </c>
    </row>
    <row r="1108" spans="3:3">
      <c r="C1108" s="2" t="s">
        <v>8233</v>
      </c>
    </row>
    <row r="1109" spans="3:3" ht="19">
      <c r="C1109" s="55" t="s">
        <v>8234</v>
      </c>
    </row>
    <row r="1110" spans="3:3">
      <c r="C1110" s="2" t="s">
        <v>8235</v>
      </c>
    </row>
    <row r="1111" spans="3:3" ht="19">
      <c r="C1111" s="55" t="s">
        <v>8236</v>
      </c>
    </row>
    <row r="1112" spans="3:3">
      <c r="C1112" s="2" t="s">
        <v>8237</v>
      </c>
    </row>
    <row r="1113" spans="3:3" ht="19">
      <c r="C1113" s="55" t="s">
        <v>8238</v>
      </c>
    </row>
    <row r="1114" spans="3:3">
      <c r="C1114" s="2" t="s">
        <v>8239</v>
      </c>
    </row>
    <row r="1115" spans="3:3" ht="19">
      <c r="C1115" s="55" t="s">
        <v>8240</v>
      </c>
    </row>
    <row r="1116" spans="3:3">
      <c r="C1116" s="2" t="s">
        <v>8241</v>
      </c>
    </row>
    <row r="1117" spans="3:3" ht="19">
      <c r="C1117" s="55" t="s">
        <v>8242</v>
      </c>
    </row>
    <row r="1118" spans="3:3">
      <c r="C1118" s="2" t="s">
        <v>8243</v>
      </c>
    </row>
    <row r="1119" spans="3:3" ht="19">
      <c r="C1119" s="55" t="s">
        <v>8244</v>
      </c>
    </row>
    <row r="1120" spans="3:3">
      <c r="C1120" s="2" t="s">
        <v>8245</v>
      </c>
    </row>
    <row r="1121" spans="3:3" ht="19">
      <c r="C1121" s="55" t="s">
        <v>8246</v>
      </c>
    </row>
    <row r="1122" spans="3:3">
      <c r="C1122" s="2" t="s">
        <v>8247</v>
      </c>
    </row>
    <row r="1123" spans="3:3" ht="19">
      <c r="C1123" s="55" t="s">
        <v>8248</v>
      </c>
    </row>
    <row r="1124" spans="3:3">
      <c r="C1124" s="2" t="s">
        <v>8249</v>
      </c>
    </row>
    <row r="1125" spans="3:3" ht="19">
      <c r="C1125" s="55" t="s">
        <v>8250</v>
      </c>
    </row>
    <row r="1126" spans="3:3">
      <c r="C1126" s="2" t="s">
        <v>8251</v>
      </c>
    </row>
    <row r="1127" spans="3:3" ht="19">
      <c r="C1127" s="55" t="s">
        <v>8252</v>
      </c>
    </row>
    <row r="1128" spans="3:3">
      <c r="C1128" s="2" t="s">
        <v>8253</v>
      </c>
    </row>
    <row r="1129" spans="3:3" ht="19">
      <c r="C1129" s="55" t="s">
        <v>8254</v>
      </c>
    </row>
    <row r="1130" spans="3:3">
      <c r="C1130" s="2" t="s">
        <v>8255</v>
      </c>
    </row>
    <row r="1131" spans="3:3" ht="19">
      <c r="C1131" s="55" t="s">
        <v>8256</v>
      </c>
    </row>
    <row r="1132" spans="3:3">
      <c r="C1132" s="2" t="s">
        <v>8257</v>
      </c>
    </row>
    <row r="1133" spans="3:3" ht="19">
      <c r="C1133" s="55" t="s">
        <v>8258</v>
      </c>
    </row>
    <row r="1134" spans="3:3">
      <c r="C1134" s="2" t="s">
        <v>8259</v>
      </c>
    </row>
    <row r="1135" spans="3:3" ht="19">
      <c r="C1135" s="55" t="s">
        <v>8260</v>
      </c>
    </row>
    <row r="1136" spans="3:3">
      <c r="C1136" s="2" t="s">
        <v>8261</v>
      </c>
    </row>
    <row r="1137" spans="3:3" ht="19">
      <c r="C1137" s="55" t="s">
        <v>8262</v>
      </c>
    </row>
    <row r="1138" spans="3:3">
      <c r="C1138" s="2" t="s">
        <v>8263</v>
      </c>
    </row>
    <row r="1139" spans="3:3" ht="19">
      <c r="C1139" s="55" t="s">
        <v>8264</v>
      </c>
    </row>
    <row r="1140" spans="3:3">
      <c r="C1140" s="2" t="s">
        <v>8265</v>
      </c>
    </row>
    <row r="1141" spans="3:3" ht="19">
      <c r="C1141" s="55" t="s">
        <v>8266</v>
      </c>
    </row>
    <row r="1142" spans="3:3">
      <c r="C1142" s="2" t="s">
        <v>8267</v>
      </c>
    </row>
    <row r="1143" spans="3:3" ht="19">
      <c r="C1143" s="55" t="s">
        <v>8268</v>
      </c>
    </row>
    <row r="1144" spans="3:3">
      <c r="C1144" s="2" t="s">
        <v>8269</v>
      </c>
    </row>
    <row r="1145" spans="3:3" ht="19">
      <c r="C1145" s="55" t="s">
        <v>8270</v>
      </c>
    </row>
    <row r="1146" spans="3:3">
      <c r="C1146" s="2" t="s">
        <v>8271</v>
      </c>
    </row>
    <row r="1147" spans="3:3" ht="19">
      <c r="C1147" s="55" t="s">
        <v>8272</v>
      </c>
    </row>
    <row r="1148" spans="3:3">
      <c r="C1148" s="2" t="s">
        <v>8273</v>
      </c>
    </row>
    <row r="1149" spans="3:3" ht="19">
      <c r="C1149" s="55" t="s">
        <v>8274</v>
      </c>
    </row>
    <row r="1150" spans="3:3">
      <c r="C1150" s="2" t="s">
        <v>8275</v>
      </c>
    </row>
    <row r="1151" spans="3:3" ht="19">
      <c r="C1151" s="55" t="s">
        <v>8276</v>
      </c>
    </row>
    <row r="1152" spans="3:3">
      <c r="C1152" s="2" t="s">
        <v>8277</v>
      </c>
    </row>
    <row r="1153" spans="3:3" ht="19">
      <c r="C1153" s="55" t="s">
        <v>8278</v>
      </c>
    </row>
    <row r="1154" spans="3:3">
      <c r="C1154" s="2" t="s">
        <v>8279</v>
      </c>
    </row>
    <row r="1155" spans="3:3" ht="19">
      <c r="C1155" s="55" t="s">
        <v>8280</v>
      </c>
    </row>
    <row r="1156" spans="3:3">
      <c r="C1156" s="2" t="s">
        <v>8281</v>
      </c>
    </row>
    <row r="1157" spans="3:3" ht="19">
      <c r="C1157" s="55" t="s">
        <v>8282</v>
      </c>
    </row>
    <row r="1158" spans="3:3">
      <c r="C1158" s="2" t="s">
        <v>8283</v>
      </c>
    </row>
    <row r="1159" spans="3:3" ht="19">
      <c r="C1159" s="55" t="s">
        <v>8284</v>
      </c>
    </row>
    <row r="1160" spans="3:3">
      <c r="C1160" s="2" t="s">
        <v>8285</v>
      </c>
    </row>
    <row r="1161" spans="3:3" ht="19">
      <c r="C1161" s="55" t="s">
        <v>8286</v>
      </c>
    </row>
    <row r="1162" spans="3:3">
      <c r="C1162" s="2" t="s">
        <v>8287</v>
      </c>
    </row>
    <row r="1163" spans="3:3" ht="19">
      <c r="C1163" s="55" t="s">
        <v>8288</v>
      </c>
    </row>
    <row r="1164" spans="3:3">
      <c r="C1164" s="2" t="s">
        <v>8289</v>
      </c>
    </row>
    <row r="1165" spans="3:3" ht="19">
      <c r="C1165" s="55" t="s">
        <v>8290</v>
      </c>
    </row>
    <row r="1166" spans="3:3">
      <c r="C1166" s="2" t="s">
        <v>8291</v>
      </c>
    </row>
    <row r="1167" spans="3:3" ht="19">
      <c r="C1167" s="55" t="s">
        <v>8292</v>
      </c>
    </row>
    <row r="1168" spans="3:3">
      <c r="C1168" s="2" t="s">
        <v>8293</v>
      </c>
    </row>
    <row r="1169" spans="3:3" ht="19">
      <c r="C1169" s="55" t="s">
        <v>8294</v>
      </c>
    </row>
    <row r="1170" spans="3:3">
      <c r="C1170" s="2" t="s">
        <v>8295</v>
      </c>
    </row>
    <row r="1171" spans="3:3" ht="19">
      <c r="C1171" s="55" t="s">
        <v>8296</v>
      </c>
    </row>
    <row r="1172" spans="3:3">
      <c r="C1172" s="2" t="s">
        <v>8297</v>
      </c>
    </row>
    <row r="1173" spans="3:3" ht="19">
      <c r="C1173" s="55" t="s">
        <v>8298</v>
      </c>
    </row>
    <row r="1174" spans="3:3">
      <c r="C1174" s="2" t="s">
        <v>8299</v>
      </c>
    </row>
    <row r="1175" spans="3:3" ht="19">
      <c r="C1175" s="55" t="s">
        <v>8300</v>
      </c>
    </row>
    <row r="1176" spans="3:3">
      <c r="C1176" s="2" t="s">
        <v>8301</v>
      </c>
    </row>
    <row r="1177" spans="3:3" ht="19">
      <c r="C1177" s="55" t="s">
        <v>8302</v>
      </c>
    </row>
    <row r="1178" spans="3:3">
      <c r="C1178" s="2" t="s">
        <v>8303</v>
      </c>
    </row>
    <row r="1179" spans="3:3" ht="19">
      <c r="C1179" s="55" t="s">
        <v>8304</v>
      </c>
    </row>
    <row r="1180" spans="3:3">
      <c r="C1180" s="2" t="s">
        <v>8305</v>
      </c>
    </row>
    <row r="1181" spans="3:3" ht="19">
      <c r="C1181" s="55" t="s">
        <v>8306</v>
      </c>
    </row>
    <row r="1182" spans="3:3">
      <c r="C1182" s="2" t="s">
        <v>8307</v>
      </c>
    </row>
    <row r="1183" spans="3:3" ht="19">
      <c r="C1183" s="55" t="s">
        <v>8308</v>
      </c>
    </row>
    <row r="1184" spans="3:3">
      <c r="C1184" s="2" t="s">
        <v>8309</v>
      </c>
    </row>
    <row r="1185" spans="3:3" ht="19">
      <c r="C1185" s="55" t="s">
        <v>8310</v>
      </c>
    </row>
    <row r="1186" spans="3:3">
      <c r="C1186" s="2" t="s">
        <v>8311</v>
      </c>
    </row>
    <row r="1187" spans="3:3" ht="19">
      <c r="C1187" s="55" t="s">
        <v>8312</v>
      </c>
    </row>
    <row r="1188" spans="3:3">
      <c r="C1188" s="2" t="s">
        <v>8313</v>
      </c>
    </row>
    <row r="1189" spans="3:3" ht="19">
      <c r="C1189" s="55" t="s">
        <v>8314</v>
      </c>
    </row>
    <row r="1190" spans="3:3">
      <c r="C1190" s="2" t="s">
        <v>8315</v>
      </c>
    </row>
    <row r="1191" spans="3:3" ht="19">
      <c r="C1191" s="55" t="s">
        <v>8316</v>
      </c>
    </row>
    <row r="1192" spans="3:3">
      <c r="C1192" s="2" t="s">
        <v>8317</v>
      </c>
    </row>
    <row r="1193" spans="3:3" ht="19">
      <c r="C1193" s="55" t="s">
        <v>8318</v>
      </c>
    </row>
    <row r="1194" spans="3:3">
      <c r="C1194" s="2" t="s">
        <v>8319</v>
      </c>
    </row>
    <row r="1195" spans="3:3" ht="19">
      <c r="C1195" s="55" t="s">
        <v>8320</v>
      </c>
    </row>
    <row r="1196" spans="3:3">
      <c r="C1196" s="2" t="s">
        <v>8321</v>
      </c>
    </row>
    <row r="1197" spans="3:3" ht="19">
      <c r="C1197" s="55" t="s">
        <v>8322</v>
      </c>
    </row>
    <row r="1198" spans="3:3">
      <c r="C1198" s="2" t="s">
        <v>8323</v>
      </c>
    </row>
    <row r="1199" spans="3:3" ht="19">
      <c r="C1199" s="55" t="s">
        <v>8324</v>
      </c>
    </row>
    <row r="1200" spans="3:3">
      <c r="C1200" s="2" t="s">
        <v>8325</v>
      </c>
    </row>
    <row r="1201" spans="3:3" ht="19">
      <c r="C1201" s="55" t="s">
        <v>8326</v>
      </c>
    </row>
    <row r="1202" spans="3:3">
      <c r="C1202" s="2" t="s">
        <v>8327</v>
      </c>
    </row>
    <row r="1203" spans="3:3" ht="19">
      <c r="C1203" s="55" t="s">
        <v>8328</v>
      </c>
    </row>
    <row r="1204" spans="3:3">
      <c r="C1204" s="2" t="s">
        <v>8329</v>
      </c>
    </row>
    <row r="1205" spans="3:3" ht="19">
      <c r="C1205" s="55" t="s">
        <v>8330</v>
      </c>
    </row>
    <row r="1206" spans="3:3">
      <c r="C1206" s="2" t="s">
        <v>8331</v>
      </c>
    </row>
    <row r="1207" spans="3:3" ht="19">
      <c r="C1207" s="55" t="s">
        <v>8332</v>
      </c>
    </row>
    <row r="1208" spans="3:3">
      <c r="C1208" s="2" t="s">
        <v>8333</v>
      </c>
    </row>
    <row r="1209" spans="3:3" ht="19">
      <c r="C1209" s="55" t="s">
        <v>8334</v>
      </c>
    </row>
    <row r="1210" spans="3:3">
      <c r="C1210" s="2" t="s">
        <v>8335</v>
      </c>
    </row>
    <row r="1211" spans="3:3" ht="19">
      <c r="C1211" s="55" t="s">
        <v>8336</v>
      </c>
    </row>
    <row r="1212" spans="3:3">
      <c r="C1212" s="2" t="s">
        <v>8337</v>
      </c>
    </row>
    <row r="1213" spans="3:3" ht="19">
      <c r="C1213" s="55" t="s">
        <v>8338</v>
      </c>
    </row>
    <row r="1214" spans="3:3">
      <c r="C1214" s="2" t="s">
        <v>8339</v>
      </c>
    </row>
    <row r="1215" spans="3:3" ht="19">
      <c r="C1215" s="55" t="s">
        <v>8340</v>
      </c>
    </row>
    <row r="1216" spans="3:3">
      <c r="C1216" s="2" t="s">
        <v>8341</v>
      </c>
    </row>
    <row r="1217" spans="3:3" ht="19">
      <c r="C1217" s="55" t="s">
        <v>8342</v>
      </c>
    </row>
    <row r="1218" spans="3:3">
      <c r="C1218" s="2" t="s">
        <v>8343</v>
      </c>
    </row>
    <row r="1219" spans="3:3" ht="19">
      <c r="C1219" s="55" t="s">
        <v>8344</v>
      </c>
    </row>
    <row r="1220" spans="3:3">
      <c r="C1220" s="2" t="s">
        <v>8345</v>
      </c>
    </row>
    <row r="1221" spans="3:3" ht="19">
      <c r="C1221" s="55" t="s">
        <v>8346</v>
      </c>
    </row>
    <row r="1222" spans="3:3">
      <c r="C1222" s="2" t="s">
        <v>8347</v>
      </c>
    </row>
    <row r="1223" spans="3:3" ht="19">
      <c r="C1223" s="55" t="s">
        <v>8348</v>
      </c>
    </row>
    <row r="1224" spans="3:3">
      <c r="C1224" s="2" t="s">
        <v>8349</v>
      </c>
    </row>
    <row r="1225" spans="3:3" ht="19">
      <c r="C1225" s="55" t="s">
        <v>8350</v>
      </c>
    </row>
    <row r="1226" spans="3:3">
      <c r="C1226" s="2" t="s">
        <v>8351</v>
      </c>
    </row>
    <row r="1227" spans="3:3" ht="19">
      <c r="C1227" s="55" t="s">
        <v>8352</v>
      </c>
    </row>
    <row r="1228" spans="3:3">
      <c r="C1228" s="2" t="s">
        <v>8353</v>
      </c>
    </row>
    <row r="1229" spans="3:3" ht="19">
      <c r="C1229" s="55" t="s">
        <v>8354</v>
      </c>
    </row>
    <row r="1230" spans="3:3">
      <c r="C1230" s="2" t="s">
        <v>8355</v>
      </c>
    </row>
    <row r="1231" spans="3:3" ht="19">
      <c r="C1231" s="55" t="s">
        <v>8356</v>
      </c>
    </row>
    <row r="1232" spans="3:3">
      <c r="C1232" s="2" t="s">
        <v>8357</v>
      </c>
    </row>
    <row r="1233" spans="3:3" ht="19">
      <c r="C1233" s="55" t="s">
        <v>8358</v>
      </c>
    </row>
    <row r="1234" spans="3:3">
      <c r="C1234" s="2" t="s">
        <v>8359</v>
      </c>
    </row>
    <row r="1235" spans="3:3" ht="19">
      <c r="C1235" s="55" t="s">
        <v>8360</v>
      </c>
    </row>
    <row r="1236" spans="3:3">
      <c r="C1236" s="2" t="s">
        <v>8361</v>
      </c>
    </row>
    <row r="1237" spans="3:3" ht="19">
      <c r="C1237" s="55" t="s">
        <v>8362</v>
      </c>
    </row>
    <row r="1238" spans="3:3">
      <c r="C1238" s="2" t="s">
        <v>8363</v>
      </c>
    </row>
    <row r="1239" spans="3:3" ht="19">
      <c r="C1239" s="55" t="s">
        <v>8364</v>
      </c>
    </row>
    <row r="1240" spans="3:3">
      <c r="C1240" s="2" t="s">
        <v>8365</v>
      </c>
    </row>
    <row r="1241" spans="3:3" ht="19">
      <c r="C1241" s="55" t="s">
        <v>8366</v>
      </c>
    </row>
    <row r="1242" spans="3:3">
      <c r="C1242" s="2" t="s">
        <v>8367</v>
      </c>
    </row>
    <row r="1243" spans="3:3" ht="19">
      <c r="C1243" s="55" t="s">
        <v>8368</v>
      </c>
    </row>
    <row r="1244" spans="3:3">
      <c r="C1244" s="2" t="s">
        <v>8369</v>
      </c>
    </row>
    <row r="1245" spans="3:3" ht="19">
      <c r="C1245" s="55" t="s">
        <v>8370</v>
      </c>
    </row>
    <row r="1246" spans="3:3">
      <c r="C1246" s="2" t="s">
        <v>8371</v>
      </c>
    </row>
    <row r="1247" spans="3:3" ht="19">
      <c r="C1247" s="55" t="s">
        <v>8372</v>
      </c>
    </row>
    <row r="1248" spans="3:3">
      <c r="C1248" s="2" t="s">
        <v>8373</v>
      </c>
    </row>
    <row r="1249" spans="3:3" ht="19">
      <c r="C1249" s="55" t="s">
        <v>8374</v>
      </c>
    </row>
    <row r="1250" spans="3:3">
      <c r="C1250" s="2" t="s">
        <v>8375</v>
      </c>
    </row>
    <row r="1251" spans="3:3" ht="19">
      <c r="C1251" s="55" t="s">
        <v>8376</v>
      </c>
    </row>
    <row r="1252" spans="3:3">
      <c r="C1252" s="2" t="s">
        <v>8377</v>
      </c>
    </row>
    <row r="1253" spans="3:3" ht="19">
      <c r="C1253" s="55" t="s">
        <v>8378</v>
      </c>
    </row>
    <row r="1254" spans="3:3">
      <c r="C1254" s="2" t="s">
        <v>8379</v>
      </c>
    </row>
    <row r="1255" spans="3:3" ht="19">
      <c r="C1255" s="55" t="s">
        <v>8380</v>
      </c>
    </row>
    <row r="1256" spans="3:3" ht="19">
      <c r="C1256" s="55" t="s">
        <v>8381</v>
      </c>
    </row>
    <row r="1257" spans="3:3">
      <c r="C1257" s="2" t="s">
        <v>8382</v>
      </c>
    </row>
    <row r="1258" spans="3:3" ht="19">
      <c r="C1258" s="55" t="s">
        <v>8383</v>
      </c>
    </row>
    <row r="1259" spans="3:3">
      <c r="C1259" s="2" t="s">
        <v>4815</v>
      </c>
    </row>
    <row r="1260" spans="3:3" ht="19">
      <c r="C1260" s="55" t="s">
        <v>8384</v>
      </c>
    </row>
    <row r="1261" spans="3:3" ht="19">
      <c r="C1261" s="55" t="s">
        <v>8385</v>
      </c>
    </row>
    <row r="1262" spans="3:3" ht="19">
      <c r="C1262" s="55" t="s">
        <v>8386</v>
      </c>
    </row>
    <row r="1263" spans="3:3">
      <c r="C1263" s="2" t="s">
        <v>4816</v>
      </c>
    </row>
    <row r="1264" spans="3:3" ht="19">
      <c r="C1264" s="55" t="s">
        <v>8387</v>
      </c>
    </row>
    <row r="1265" spans="3:3" ht="19">
      <c r="C1265" s="55" t="s">
        <v>8385</v>
      </c>
    </row>
    <row r="1266" spans="3:3" ht="19">
      <c r="C1266" s="55" t="s">
        <v>8386</v>
      </c>
    </row>
    <row r="1267" spans="3:3">
      <c r="C1267" s="2" t="s">
        <v>4817</v>
      </c>
    </row>
    <row r="1268" spans="3:3" ht="19">
      <c r="C1268" s="55" t="s">
        <v>8388</v>
      </c>
    </row>
    <row r="1269" spans="3:3" ht="19">
      <c r="C1269" s="55" t="s">
        <v>8385</v>
      </c>
    </row>
    <row r="1270" spans="3:3" ht="19">
      <c r="C1270" s="55" t="s">
        <v>8386</v>
      </c>
    </row>
    <row r="1271" spans="3:3">
      <c r="C1271" s="2" t="s">
        <v>4818</v>
      </c>
    </row>
    <row r="1272" spans="3:3" ht="19">
      <c r="C1272" s="55" t="s">
        <v>8389</v>
      </c>
    </row>
    <row r="1273" spans="3:3" ht="19">
      <c r="C1273" s="55" t="s">
        <v>8385</v>
      </c>
    </row>
    <row r="1274" spans="3:3" ht="19">
      <c r="C1274" s="55" t="s">
        <v>8386</v>
      </c>
    </row>
    <row r="1275" spans="3:3">
      <c r="C1275" s="2" t="s">
        <v>8390</v>
      </c>
    </row>
    <row r="1276" spans="3:3" ht="19">
      <c r="C1276" s="55" t="s">
        <v>7473</v>
      </c>
    </row>
    <row r="1277" spans="3:3" ht="19">
      <c r="C1277" s="55" t="s">
        <v>8391</v>
      </c>
    </row>
    <row r="1278" spans="3:3" ht="19">
      <c r="C1278" s="55" t="s">
        <v>8141</v>
      </c>
    </row>
    <row r="1279" spans="3:3" ht="19">
      <c r="C1279" s="55" t="s">
        <v>7482</v>
      </c>
    </row>
    <row r="1280" spans="3:3" ht="19">
      <c r="C1280" s="55" t="s">
        <v>7503</v>
      </c>
    </row>
    <row r="1281" spans="3:3" ht="19">
      <c r="C1281" s="55" t="s">
        <v>8023</v>
      </c>
    </row>
    <row r="1282" spans="3:3" ht="19">
      <c r="C1282" s="55" t="s">
        <v>8392</v>
      </c>
    </row>
    <row r="1283" spans="3:3" ht="19">
      <c r="C1283" s="55" t="s">
        <v>8393</v>
      </c>
    </row>
    <row r="1284" spans="3:3">
      <c r="C1284" s="2" t="s">
        <v>8394</v>
      </c>
    </row>
    <row r="1285" spans="3:3" ht="19">
      <c r="C1285" s="55" t="s">
        <v>7488</v>
      </c>
    </row>
    <row r="1286" spans="3:3" ht="19">
      <c r="C1286" s="55" t="s">
        <v>8395</v>
      </c>
    </row>
    <row r="1287" spans="3:3">
      <c r="C1287" s="2" t="s">
        <v>8396</v>
      </c>
    </row>
    <row r="1288" spans="3:3" ht="19">
      <c r="C1288" s="55" t="s">
        <v>8019</v>
      </c>
    </row>
    <row r="1289" spans="3:3" ht="19">
      <c r="C1289" s="55" t="s">
        <v>8397</v>
      </c>
    </row>
    <row r="1290" spans="3:3">
      <c r="C1290" s="2" t="s">
        <v>8398</v>
      </c>
    </row>
    <row r="1291" spans="3:3" ht="19">
      <c r="C1291" s="55" t="s">
        <v>8399</v>
      </c>
    </row>
    <row r="1292" spans="3:3">
      <c r="C1292" s="2" t="s">
        <v>8400</v>
      </c>
    </row>
    <row r="1293" spans="3:3" ht="19">
      <c r="C1293" s="55" t="s">
        <v>7474</v>
      </c>
    </row>
    <row r="1294" spans="3:3" ht="19">
      <c r="C1294" s="55" t="s">
        <v>7484</v>
      </c>
    </row>
    <row r="1295" spans="3:3" ht="19">
      <c r="C1295" s="55" t="s">
        <v>7485</v>
      </c>
    </row>
    <row r="1296" spans="3:3">
      <c r="C1296" s="2" t="s">
        <v>8401</v>
      </c>
    </row>
    <row r="1297" spans="3:3" ht="19">
      <c r="C1297" s="55" t="s">
        <v>7473</v>
      </c>
    </row>
    <row r="1298" spans="3:3" ht="19">
      <c r="C1298" s="55" t="s">
        <v>8402</v>
      </c>
    </row>
    <row r="1299" spans="3:3" ht="19">
      <c r="C1299" s="55" t="s">
        <v>8403</v>
      </c>
    </row>
    <row r="1300" spans="3:3">
      <c r="C1300" s="2" t="s">
        <v>8404</v>
      </c>
    </row>
    <row r="1301" spans="3:3" ht="19">
      <c r="C1301" s="55" t="s">
        <v>8405</v>
      </c>
    </row>
    <row r="1302" spans="3:3">
      <c r="C1302" s="2" t="s">
        <v>4820</v>
      </c>
    </row>
    <row r="1303" spans="3:3" ht="19">
      <c r="C1303" s="55" t="s">
        <v>8406</v>
      </c>
    </row>
    <row r="1304" spans="3:3">
      <c r="C1304" s="2" t="s">
        <v>4821</v>
      </c>
    </row>
    <row r="1305" spans="3:3" ht="19">
      <c r="C1305" s="55" t="s">
        <v>8407</v>
      </c>
    </row>
    <row r="1306" spans="3:3">
      <c r="C1306" s="2" t="s">
        <v>4823</v>
      </c>
    </row>
    <row r="1307" spans="3:3" ht="19">
      <c r="C1307" s="55" t="s">
        <v>8408</v>
      </c>
    </row>
    <row r="1308" spans="3:3">
      <c r="C1308" s="2" t="s">
        <v>4824</v>
      </c>
    </row>
    <row r="1309" spans="3:3" ht="19">
      <c r="C1309" s="55" t="s">
        <v>8409</v>
      </c>
    </row>
    <row r="1310" spans="3:3">
      <c r="C1310" s="2" t="s">
        <v>4825</v>
      </c>
    </row>
    <row r="1311" spans="3:3" ht="19">
      <c r="C1311" s="55" t="s">
        <v>8410</v>
      </c>
    </row>
    <row r="1312" spans="3:3">
      <c r="C1312" s="2" t="s">
        <v>4846</v>
      </c>
    </row>
    <row r="1313" spans="3:3" ht="19">
      <c r="C1313" s="55" t="s">
        <v>7567</v>
      </c>
    </row>
    <row r="1314" spans="3:3">
      <c r="C1314" s="2" t="s">
        <v>4867</v>
      </c>
    </row>
    <row r="1315" spans="3:3" ht="19">
      <c r="C1315" s="55" t="s">
        <v>8411</v>
      </c>
    </row>
    <row r="1316" spans="3:3">
      <c r="C1316" s="2" t="s">
        <v>4868</v>
      </c>
    </row>
    <row r="1317" spans="3:3" ht="19">
      <c r="C1317" s="55" t="s">
        <v>8412</v>
      </c>
    </row>
    <row r="1318" spans="3:3">
      <c r="C1318" s="2" t="s">
        <v>8413</v>
      </c>
    </row>
    <row r="1319" spans="3:3" ht="19">
      <c r="C1319" s="55" t="s">
        <v>7516</v>
      </c>
    </row>
    <row r="1320" spans="3:3">
      <c r="C1320" s="2" t="s">
        <v>8414</v>
      </c>
    </row>
    <row r="1321" spans="3:3" ht="19">
      <c r="C1321" s="55" t="s">
        <v>7516</v>
      </c>
    </row>
    <row r="1322" spans="3:3">
      <c r="C1322" s="2" t="s">
        <v>8415</v>
      </c>
    </row>
    <row r="1323" spans="3:3" ht="19">
      <c r="C1323" s="55" t="s">
        <v>7493</v>
      </c>
    </row>
    <row r="1324" spans="3:3" ht="19">
      <c r="C1324" s="55" t="s">
        <v>8416</v>
      </c>
    </row>
    <row r="1325" spans="3:3" ht="19">
      <c r="C1325" s="55" t="s">
        <v>8417</v>
      </c>
    </row>
    <row r="1326" spans="3:3" ht="19">
      <c r="C1326" s="55" t="s">
        <v>7495</v>
      </c>
    </row>
    <row r="1327" spans="3:3" ht="19">
      <c r="C1327" s="55" t="s">
        <v>7527</v>
      </c>
    </row>
    <row r="1328" spans="3:3" ht="19">
      <c r="C1328" s="55" t="s">
        <v>8418</v>
      </c>
    </row>
    <row r="1329" spans="3:3">
      <c r="C1329" s="2" t="s">
        <v>8419</v>
      </c>
    </row>
    <row r="1330" spans="3:3" ht="19">
      <c r="C1330" s="55" t="s">
        <v>7494</v>
      </c>
    </row>
    <row r="1331" spans="3:3" ht="19">
      <c r="C1331" s="55" t="s">
        <v>8420</v>
      </c>
    </row>
    <row r="1332" spans="3:3">
      <c r="C1332" s="2" t="s">
        <v>8421</v>
      </c>
    </row>
    <row r="1333" spans="3:3" ht="19">
      <c r="C1333" s="55" t="s">
        <v>8422</v>
      </c>
    </row>
    <row r="1334" spans="3:3" ht="19">
      <c r="C1334" s="55" t="s">
        <v>8027</v>
      </c>
    </row>
    <row r="1335" spans="3:3" ht="19">
      <c r="C1335" s="55" t="s">
        <v>7545</v>
      </c>
    </row>
    <row r="1336" spans="3:3" ht="19">
      <c r="C1336" s="55" t="s">
        <v>8423</v>
      </c>
    </row>
    <row r="1337" spans="3:3" ht="19">
      <c r="C1337" s="55" t="s">
        <v>8417</v>
      </c>
    </row>
    <row r="1338" spans="3:3" ht="19">
      <c r="C1338" s="55" t="s">
        <v>8424</v>
      </c>
    </row>
    <row r="1339" spans="3:3" ht="19">
      <c r="C1339" s="55" t="s">
        <v>7480</v>
      </c>
    </row>
    <row r="1340" spans="3:3" ht="19">
      <c r="C1340" s="55" t="s">
        <v>8080</v>
      </c>
    </row>
    <row r="1341" spans="3:3" ht="19">
      <c r="C1341" s="55" t="s">
        <v>8425</v>
      </c>
    </row>
    <row r="1342" spans="3:3" ht="19">
      <c r="C1342" s="55" t="s">
        <v>8099</v>
      </c>
    </row>
    <row r="1343" spans="3:3">
      <c r="C1343" s="2" t="s">
        <v>8426</v>
      </c>
    </row>
    <row r="1344" spans="3:3" ht="19">
      <c r="C1344" s="55" t="s">
        <v>7499</v>
      </c>
    </row>
    <row r="1345" spans="3:3">
      <c r="C1345" s="2" t="s">
        <v>8427</v>
      </c>
    </row>
    <row r="1346" spans="3:3" ht="19">
      <c r="C1346" s="55" t="s">
        <v>7563</v>
      </c>
    </row>
    <row r="1347" spans="3:3">
      <c r="C1347" s="2" t="s">
        <v>8428</v>
      </c>
    </row>
    <row r="1348" spans="3:3" ht="19">
      <c r="C1348" s="55" t="s">
        <v>7563</v>
      </c>
    </row>
    <row r="1349" spans="3:3">
      <c r="C1349" s="2" t="s">
        <v>8429</v>
      </c>
    </row>
    <row r="1350" spans="3:3" ht="19">
      <c r="C1350" s="55" t="s">
        <v>8141</v>
      </c>
    </row>
    <row r="1351" spans="3:3" ht="19">
      <c r="C1351" s="55" t="s">
        <v>7482</v>
      </c>
    </row>
    <row r="1352" spans="3:3" ht="19">
      <c r="C1352" s="55" t="s">
        <v>8023</v>
      </c>
    </row>
    <row r="1353" spans="3:3" ht="19">
      <c r="C1353" s="55" t="s">
        <v>7485</v>
      </c>
    </row>
    <row r="1354" spans="3:3" ht="19">
      <c r="C1354" s="55" t="s">
        <v>8080</v>
      </c>
    </row>
    <row r="1355" spans="3:3">
      <c r="C1355" s="2" t="s">
        <v>8430</v>
      </c>
    </row>
    <row r="1356" spans="3:3" ht="19">
      <c r="C1356" s="55" t="s">
        <v>8431</v>
      </c>
    </row>
    <row r="1357" spans="3:3">
      <c r="C1357" s="2" t="s">
        <v>8432</v>
      </c>
    </row>
    <row r="1358" spans="3:3" ht="19">
      <c r="C1358" s="55" t="s">
        <v>7473</v>
      </c>
    </row>
    <row r="1359" spans="3:3" ht="19">
      <c r="C1359" s="55" t="s">
        <v>8433</v>
      </c>
    </row>
    <row r="1360" spans="3:3" ht="19">
      <c r="C1360" s="55" t="s">
        <v>8434</v>
      </c>
    </row>
    <row r="1361" spans="3:3" ht="19">
      <c r="C1361" s="55" t="s">
        <v>8435</v>
      </c>
    </row>
    <row r="1362" spans="3:3">
      <c r="C1362" s="2" t="s">
        <v>8436</v>
      </c>
    </row>
    <row r="1363" spans="3:3" ht="19">
      <c r="C1363" s="55" t="s">
        <v>8064</v>
      </c>
    </row>
    <row r="1364" spans="3:3">
      <c r="C1364" s="2" t="s">
        <v>8437</v>
      </c>
    </row>
    <row r="1365" spans="3:3" ht="19">
      <c r="C1365" s="55" t="s">
        <v>8438</v>
      </c>
    </row>
    <row r="1366" spans="3:3">
      <c r="C1366" s="2" t="s">
        <v>8439</v>
      </c>
    </row>
    <row r="1367" spans="3:3" ht="19">
      <c r="C1367" s="55" t="s">
        <v>8440</v>
      </c>
    </row>
    <row r="1368" spans="3:3">
      <c r="C1368" s="2" t="s">
        <v>8441</v>
      </c>
    </row>
    <row r="1369" spans="3:3" ht="19">
      <c r="C1369" s="55" t="s">
        <v>8442</v>
      </c>
    </row>
    <row r="1370" spans="3:3">
      <c r="C1370" s="2" t="s">
        <v>8443</v>
      </c>
    </row>
    <row r="1371" spans="3:3" ht="19">
      <c r="C1371" s="55" t="s">
        <v>8444</v>
      </c>
    </row>
    <row r="1372" spans="3:3" ht="19">
      <c r="C1372" s="55" t="s">
        <v>8445</v>
      </c>
    </row>
    <row r="1373" spans="3:3" ht="19">
      <c r="C1373" s="55" t="s">
        <v>7498</v>
      </c>
    </row>
    <row r="1374" spans="3:3" ht="19">
      <c r="C1374" s="55" t="s">
        <v>8446</v>
      </c>
    </row>
    <row r="1375" spans="3:3" ht="19">
      <c r="C1375" s="55" t="s">
        <v>8023</v>
      </c>
    </row>
    <row r="1376" spans="3:3" ht="19">
      <c r="C1376" s="55" t="s">
        <v>7969</v>
      </c>
    </row>
    <row r="1377" spans="3:3" ht="19">
      <c r="C1377" s="55" t="s">
        <v>8447</v>
      </c>
    </row>
    <row r="1378" spans="3:3" ht="19">
      <c r="C1378" s="55" t="s">
        <v>8448</v>
      </c>
    </row>
    <row r="1379" spans="3:3" ht="19">
      <c r="C1379" s="55" t="s">
        <v>8172</v>
      </c>
    </row>
    <row r="1380" spans="3:3" ht="19">
      <c r="C1380" s="55" t="s">
        <v>8168</v>
      </c>
    </row>
    <row r="1381" spans="3:3">
      <c r="C1381" s="2" t="s">
        <v>8449</v>
      </c>
    </row>
    <row r="1382" spans="3:3" ht="19">
      <c r="C1382" s="55" t="s">
        <v>7563</v>
      </c>
    </row>
    <row r="1383" spans="3:3">
      <c r="C1383" s="2" t="s">
        <v>8450</v>
      </c>
    </row>
    <row r="1384" spans="3:3" ht="19">
      <c r="C1384" s="55" t="s">
        <v>8056</v>
      </c>
    </row>
    <row r="1385" spans="3:3">
      <c r="C1385" s="2" t="s">
        <v>8451</v>
      </c>
    </row>
    <row r="1386" spans="3:3" ht="19">
      <c r="C1386" s="55" t="s">
        <v>8403</v>
      </c>
    </row>
    <row r="1387" spans="3:3">
      <c r="C1387" s="2" t="s">
        <v>8452</v>
      </c>
    </row>
    <row r="1388" spans="3:3" ht="19">
      <c r="C1388" s="55" t="s">
        <v>8453</v>
      </c>
    </row>
    <row r="1389" spans="3:3" ht="19">
      <c r="C1389" s="55" t="s">
        <v>8023</v>
      </c>
    </row>
    <row r="1390" spans="3:3">
      <c r="C1390" s="2" t="s">
        <v>8454</v>
      </c>
    </row>
    <row r="1391" spans="3:3" ht="19">
      <c r="C1391" s="55" t="s">
        <v>7963</v>
      </c>
    </row>
    <row r="1392" spans="3:3">
      <c r="C1392" s="2" t="s">
        <v>8455</v>
      </c>
    </row>
    <row r="1393" spans="3:3" ht="19">
      <c r="C1393" s="55" t="s">
        <v>8456</v>
      </c>
    </row>
    <row r="1394" spans="3:3">
      <c r="C1394" s="2" t="s">
        <v>3724</v>
      </c>
    </row>
    <row r="1395" spans="3:3" ht="19">
      <c r="C1395" s="55" t="s">
        <v>7516</v>
      </c>
    </row>
    <row r="1396" spans="3:3">
      <c r="C1396" s="2" t="s">
        <v>8457</v>
      </c>
    </row>
    <row r="1397" spans="3:3" ht="19">
      <c r="C1397" s="55" t="s">
        <v>7473</v>
      </c>
    </row>
    <row r="1398" spans="3:3" ht="19">
      <c r="C1398" s="55" t="s">
        <v>8458</v>
      </c>
    </row>
    <row r="1399" spans="3:3" ht="19">
      <c r="C1399" s="55" t="s">
        <v>8459</v>
      </c>
    </row>
    <row r="1400" spans="3:3" ht="19">
      <c r="C1400" s="55" t="s">
        <v>7504</v>
      </c>
    </row>
    <row r="1401" spans="3:3" ht="19">
      <c r="C1401" s="55" t="s">
        <v>7527</v>
      </c>
    </row>
    <row r="1402" spans="3:3" ht="19">
      <c r="C1402" s="55" t="s">
        <v>7939</v>
      </c>
    </row>
    <row r="1403" spans="3:3" ht="19">
      <c r="C1403" s="55" t="s">
        <v>8460</v>
      </c>
    </row>
    <row r="1404" spans="3:3" ht="19">
      <c r="C1404" s="55" t="s">
        <v>8461</v>
      </c>
    </row>
    <row r="1405" spans="3:3" ht="19">
      <c r="C1405" s="55" t="s">
        <v>8462</v>
      </c>
    </row>
    <row r="1406" spans="3:3" ht="19">
      <c r="C1406" s="55" t="s">
        <v>8463</v>
      </c>
    </row>
    <row r="1407" spans="3:3">
      <c r="C1407" s="2" t="s">
        <v>3726</v>
      </c>
    </row>
    <row r="1408" spans="3:3" ht="19">
      <c r="C1408" s="55" t="s">
        <v>7480</v>
      </c>
    </row>
    <row r="1409" spans="3:3" ht="19">
      <c r="C1409" s="55" t="s">
        <v>8459</v>
      </c>
    </row>
    <row r="1410" spans="3:3" ht="19">
      <c r="C1410" s="55" t="s">
        <v>8464</v>
      </c>
    </row>
    <row r="1411" spans="3:3" ht="19">
      <c r="C1411" s="55" t="s">
        <v>8465</v>
      </c>
    </row>
    <row r="1412" spans="3:3">
      <c r="C1412" s="2" t="s">
        <v>3727</v>
      </c>
    </row>
    <row r="1413" spans="3:3" ht="19">
      <c r="C1413" s="55" t="s">
        <v>8466</v>
      </c>
    </row>
    <row r="1414" spans="3:3" ht="19">
      <c r="C1414" s="55" t="s">
        <v>8141</v>
      </c>
    </row>
    <row r="1415" spans="3:3" ht="19">
      <c r="C1415" s="55" t="s">
        <v>8023</v>
      </c>
    </row>
    <row r="1416" spans="3:3">
      <c r="C1416" s="2" t="s">
        <v>3728</v>
      </c>
    </row>
    <row r="1417" spans="3:3" ht="19">
      <c r="C1417" s="55" t="s">
        <v>7480</v>
      </c>
    </row>
    <row r="1418" spans="3:3" ht="19">
      <c r="C1418" s="55" t="s">
        <v>8467</v>
      </c>
    </row>
    <row r="1419" spans="3:3" ht="19">
      <c r="C1419" s="55" t="s">
        <v>7474</v>
      </c>
    </row>
    <row r="1420" spans="3:3" ht="19">
      <c r="C1420" s="55" t="s">
        <v>8019</v>
      </c>
    </row>
    <row r="1421" spans="3:3" ht="19">
      <c r="C1421" s="55" t="s">
        <v>7484</v>
      </c>
    </row>
    <row r="1422" spans="3:3" ht="19">
      <c r="C1422" s="55" t="s">
        <v>7485</v>
      </c>
    </row>
    <row r="1423" spans="3:3">
      <c r="C1423" s="2" t="s">
        <v>8468</v>
      </c>
    </row>
    <row r="1424" spans="3:3" ht="19">
      <c r="C1424" s="55" t="s">
        <v>7488</v>
      </c>
    </row>
    <row r="1425" spans="3:3" ht="19">
      <c r="C1425" s="55" t="s">
        <v>7483</v>
      </c>
    </row>
    <row r="1426" spans="3:3" ht="19">
      <c r="C1426" s="55" t="s">
        <v>7489</v>
      </c>
    </row>
    <row r="1427" spans="3:3" ht="19">
      <c r="C1427" s="55" t="s">
        <v>8070</v>
      </c>
    </row>
    <row r="1428" spans="3:3">
      <c r="C1428" s="2" t="s">
        <v>8469</v>
      </c>
    </row>
    <row r="1429" spans="3:3" ht="19">
      <c r="C1429" s="55" t="s">
        <v>8470</v>
      </c>
    </row>
    <row r="1430" spans="3:3" ht="19">
      <c r="C1430" s="55" t="s">
        <v>7569</v>
      </c>
    </row>
    <row r="1431" spans="3:3">
      <c r="C1431" s="2" t="s">
        <v>8471</v>
      </c>
    </row>
    <row r="1432" spans="3:3" ht="19">
      <c r="C1432" s="55" t="s">
        <v>7495</v>
      </c>
    </row>
    <row r="1433" spans="3:3" ht="19">
      <c r="C1433" s="55" t="s">
        <v>8472</v>
      </c>
    </row>
    <row r="1434" spans="3:3">
      <c r="C1434" s="2" t="s">
        <v>8473</v>
      </c>
    </row>
    <row r="1435" spans="3:3" ht="19">
      <c r="C1435" s="55" t="s">
        <v>7563</v>
      </c>
    </row>
    <row r="1436" spans="3:3">
      <c r="C1436" s="2" t="s">
        <v>3731</v>
      </c>
    </row>
    <row r="1437" spans="3:3" ht="19">
      <c r="C1437" s="55" t="s">
        <v>7493</v>
      </c>
    </row>
    <row r="1438" spans="3:3" ht="19">
      <c r="C1438" s="55" t="s">
        <v>8474</v>
      </c>
    </row>
    <row r="1439" spans="3:3" ht="19">
      <c r="C1439" s="55" t="s">
        <v>8417</v>
      </c>
    </row>
    <row r="1440" spans="3:3" ht="19">
      <c r="C1440" s="55" t="s">
        <v>8475</v>
      </c>
    </row>
    <row r="1441" spans="3:3" ht="19">
      <c r="C1441" s="55" t="s">
        <v>8476</v>
      </c>
    </row>
    <row r="1442" spans="3:3" ht="19">
      <c r="C1442" s="55" t="s">
        <v>8477</v>
      </c>
    </row>
    <row r="1443" spans="3:3" ht="19">
      <c r="C1443" s="55" t="s">
        <v>8478</v>
      </c>
    </row>
    <row r="1444" spans="3:3" ht="19">
      <c r="C1444" s="55" t="s">
        <v>8479</v>
      </c>
    </row>
    <row r="1445" spans="3:3" ht="19">
      <c r="C1445" s="55" t="s">
        <v>7499</v>
      </c>
    </row>
    <row r="1446" spans="3:3" ht="19">
      <c r="C1446" s="55" t="s">
        <v>7508</v>
      </c>
    </row>
    <row r="1447" spans="3:3" ht="19">
      <c r="C1447" s="55" t="s">
        <v>8480</v>
      </c>
    </row>
    <row r="1448" spans="3:3" ht="19">
      <c r="C1448" s="55" t="s">
        <v>8481</v>
      </c>
    </row>
    <row r="1449" spans="3:3" ht="19">
      <c r="C1449" s="55" t="s">
        <v>8482</v>
      </c>
    </row>
    <row r="1450" spans="3:3" ht="19">
      <c r="C1450" s="55" t="s">
        <v>8483</v>
      </c>
    </row>
    <row r="1451" spans="3:3">
      <c r="C1451" s="2" t="s">
        <v>3732</v>
      </c>
    </row>
    <row r="1452" spans="3:3" ht="19">
      <c r="C1452" s="55" t="s">
        <v>7488</v>
      </c>
    </row>
    <row r="1453" spans="3:3" ht="19">
      <c r="C1453" s="55" t="s">
        <v>8484</v>
      </c>
    </row>
    <row r="1454" spans="3:3" ht="19">
      <c r="C1454" s="55" t="s">
        <v>8485</v>
      </c>
    </row>
    <row r="1455" spans="3:3" ht="19">
      <c r="C1455" s="55" t="s">
        <v>8483</v>
      </c>
    </row>
    <row r="1456" spans="3:3">
      <c r="C1456" s="2" t="s">
        <v>8486</v>
      </c>
    </row>
    <row r="1457" spans="3:3" ht="19">
      <c r="C1457" s="55" t="s">
        <v>8487</v>
      </c>
    </row>
    <row r="1458" spans="3:3">
      <c r="C1458" s="2" t="s">
        <v>8488</v>
      </c>
    </row>
    <row r="1459" spans="3:3" ht="19">
      <c r="C1459" s="55" t="s">
        <v>8489</v>
      </c>
    </row>
    <row r="1460" spans="3:3">
      <c r="C1460" s="2" t="s">
        <v>8490</v>
      </c>
    </row>
    <row r="1461" spans="3:3" ht="19">
      <c r="C1461" s="55" t="s">
        <v>8470</v>
      </c>
    </row>
    <row r="1462" spans="3:3">
      <c r="C1462" s="2" t="s">
        <v>8491</v>
      </c>
    </row>
    <row r="1463" spans="3:3" ht="19">
      <c r="C1463" s="55" t="s">
        <v>8492</v>
      </c>
    </row>
    <row r="1464" spans="3:3">
      <c r="C1464" s="2" t="s">
        <v>8493</v>
      </c>
    </row>
    <row r="1465" spans="3:3" ht="19">
      <c r="C1465" s="55" t="s">
        <v>8494</v>
      </c>
    </row>
    <row r="1466" spans="3:3">
      <c r="C1466" s="2" t="s">
        <v>8495</v>
      </c>
    </row>
    <row r="1467" spans="3:3" ht="19">
      <c r="C1467" s="55" t="s">
        <v>8496</v>
      </c>
    </row>
    <row r="1468" spans="3:3">
      <c r="C1468" s="2" t="s">
        <v>8497</v>
      </c>
    </row>
    <row r="1469" spans="3:3" ht="19">
      <c r="C1469" s="55" t="s">
        <v>8498</v>
      </c>
    </row>
    <row r="1470" spans="3:3">
      <c r="C1470" s="2" t="s">
        <v>8499</v>
      </c>
    </row>
    <row r="1471" spans="3:3" ht="19">
      <c r="C1471" s="55" t="s">
        <v>8500</v>
      </c>
    </row>
    <row r="1472" spans="3:3">
      <c r="C1472" s="2" t="s">
        <v>8501</v>
      </c>
    </row>
    <row r="1473" spans="3:3" ht="19">
      <c r="C1473" s="55" t="s">
        <v>8502</v>
      </c>
    </row>
    <row r="1474" spans="3:3">
      <c r="C1474" s="2" t="s">
        <v>8503</v>
      </c>
    </row>
    <row r="1475" spans="3:3" ht="19">
      <c r="C1475" s="55" t="s">
        <v>8504</v>
      </c>
    </row>
    <row r="1476" spans="3:3">
      <c r="C1476" s="2" t="s">
        <v>8505</v>
      </c>
    </row>
    <row r="1477" spans="3:3" ht="19">
      <c r="C1477" s="55" t="s">
        <v>8506</v>
      </c>
    </row>
    <row r="1478" spans="3:3">
      <c r="C1478" s="2" t="s">
        <v>8507</v>
      </c>
    </row>
    <row r="1479" spans="3:3" ht="19">
      <c r="C1479" s="55" t="s">
        <v>8027</v>
      </c>
    </row>
    <row r="1480" spans="3:3" ht="19">
      <c r="C1480" s="55" t="s">
        <v>8508</v>
      </c>
    </row>
    <row r="1481" spans="3:3" ht="19">
      <c r="C1481" s="55" t="s">
        <v>8509</v>
      </c>
    </row>
    <row r="1482" spans="3:3" ht="19">
      <c r="C1482" s="55" t="s">
        <v>8510</v>
      </c>
    </row>
    <row r="1483" spans="3:3" ht="19">
      <c r="C1483" s="55" t="s">
        <v>8511</v>
      </c>
    </row>
    <row r="1484" spans="3:3">
      <c r="C1484" s="2" t="s">
        <v>8512</v>
      </c>
    </row>
    <row r="1485" spans="3:3" ht="19">
      <c r="C1485" s="55" t="s">
        <v>8513</v>
      </c>
    </row>
    <row r="1486" spans="3:3" ht="19">
      <c r="C1486" s="55" t="s">
        <v>8514</v>
      </c>
    </row>
    <row r="1487" spans="3:3" ht="19">
      <c r="C1487" s="55" t="s">
        <v>8515</v>
      </c>
    </row>
    <row r="1488" spans="3:3" ht="19">
      <c r="C1488" s="55" t="s">
        <v>8516</v>
      </c>
    </row>
    <row r="1489" spans="3:3">
      <c r="C1489" s="2" t="s">
        <v>8517</v>
      </c>
    </row>
    <row r="1490" spans="3:3" ht="19">
      <c r="C1490" s="55" t="s">
        <v>8518</v>
      </c>
    </row>
    <row r="1491" spans="3:3" ht="19">
      <c r="C1491" s="55" t="s">
        <v>8519</v>
      </c>
    </row>
    <row r="1492" spans="3:3" ht="19">
      <c r="C1492" s="55" t="s">
        <v>8515</v>
      </c>
    </row>
    <row r="1493" spans="3:3" ht="19">
      <c r="C1493" s="55" t="s">
        <v>8520</v>
      </c>
    </row>
    <row r="1494" spans="3:3">
      <c r="C1494" s="2" t="s">
        <v>8521</v>
      </c>
    </row>
    <row r="1495" spans="3:3" ht="19">
      <c r="C1495" s="55" t="s">
        <v>8522</v>
      </c>
    </row>
    <row r="1496" spans="3:3" ht="19">
      <c r="C1496" s="55" t="s">
        <v>8523</v>
      </c>
    </row>
    <row r="1497" spans="3:3" ht="19">
      <c r="C1497" s="55" t="s">
        <v>8417</v>
      </c>
    </row>
    <row r="1498" spans="3:3" ht="19">
      <c r="C1498" s="55" t="s">
        <v>7512</v>
      </c>
    </row>
    <row r="1499" spans="3:3">
      <c r="C1499" s="2" t="s">
        <v>8524</v>
      </c>
    </row>
    <row r="1500" spans="3:3" ht="19">
      <c r="C1500" s="55" t="s">
        <v>8525</v>
      </c>
    </row>
    <row r="1501" spans="3:3" ht="19">
      <c r="C1501" s="55" t="s">
        <v>8526</v>
      </c>
    </row>
    <row r="1502" spans="3:3" ht="19">
      <c r="C1502" s="55" t="s">
        <v>8527</v>
      </c>
    </row>
    <row r="1503" spans="3:3" ht="19">
      <c r="C1503" s="55" t="s">
        <v>8528</v>
      </c>
    </row>
    <row r="1504" spans="3:3" ht="19">
      <c r="C1504" s="55" t="s">
        <v>8529</v>
      </c>
    </row>
    <row r="1505" spans="3:3" ht="19">
      <c r="C1505" s="55" t="s">
        <v>8530</v>
      </c>
    </row>
    <row r="1506" spans="3:3">
      <c r="C1506" s="2" t="s">
        <v>8531</v>
      </c>
    </row>
    <row r="1507" spans="3:3" ht="19">
      <c r="C1507" s="55" t="s">
        <v>8522</v>
      </c>
    </row>
    <row r="1508" spans="3:3" ht="19">
      <c r="C1508" s="55" t="s">
        <v>8532</v>
      </c>
    </row>
    <row r="1509" spans="3:3">
      <c r="C1509" s="2" t="s">
        <v>8533</v>
      </c>
    </row>
    <row r="1510" spans="3:3" ht="19">
      <c r="C1510" s="55" t="s">
        <v>8534</v>
      </c>
    </row>
    <row r="1511" spans="3:3" ht="19">
      <c r="C1511" s="55" t="s">
        <v>8535</v>
      </c>
    </row>
    <row r="1512" spans="3:3" ht="19">
      <c r="C1512" s="55" t="s">
        <v>8536</v>
      </c>
    </row>
    <row r="1513" spans="3:3" ht="19">
      <c r="C1513" s="55" t="s">
        <v>8537</v>
      </c>
    </row>
    <row r="1514" spans="3:3" ht="19">
      <c r="C1514" s="55" t="s">
        <v>8529</v>
      </c>
    </row>
    <row r="1515" spans="3:3" ht="19">
      <c r="C1515" s="55" t="s">
        <v>8538</v>
      </c>
    </row>
    <row r="1516" spans="3:3">
      <c r="C1516" s="2" t="s">
        <v>8539</v>
      </c>
    </row>
    <row r="1517" spans="3:3" ht="19">
      <c r="C1517" s="55" t="s">
        <v>8509</v>
      </c>
    </row>
    <row r="1518" spans="3:3">
      <c r="C1518" s="2" t="s">
        <v>8540</v>
      </c>
    </row>
    <row r="1519" spans="3:3" ht="19">
      <c r="C1519" s="55" t="s">
        <v>8466</v>
      </c>
    </row>
    <row r="1520" spans="3:3" ht="19">
      <c r="C1520" s="55" t="s">
        <v>8541</v>
      </c>
    </row>
    <row r="1521" spans="3:3" ht="19">
      <c r="C1521" s="55" t="s">
        <v>8542</v>
      </c>
    </row>
    <row r="1522" spans="3:3">
      <c r="C1522" s="2" t="s">
        <v>8543</v>
      </c>
    </row>
    <row r="1523" spans="3:3" ht="19">
      <c r="C1523" s="55" t="s">
        <v>8544</v>
      </c>
    </row>
    <row r="1524" spans="3:3" ht="19">
      <c r="C1524" s="55" t="s">
        <v>8545</v>
      </c>
    </row>
    <row r="1525" spans="3:3" ht="19">
      <c r="C1525" s="55" t="s">
        <v>8546</v>
      </c>
    </row>
    <row r="1526" spans="3:3">
      <c r="C1526" s="2" t="s">
        <v>8547</v>
      </c>
    </row>
    <row r="1527" spans="3:3" ht="19">
      <c r="C1527" s="55" t="s">
        <v>8548</v>
      </c>
    </row>
    <row r="1528" spans="3:3" ht="19">
      <c r="C1528" s="55" t="s">
        <v>8544</v>
      </c>
    </row>
    <row r="1529" spans="3:3" ht="19">
      <c r="C1529" s="55" t="s">
        <v>8546</v>
      </c>
    </row>
    <row r="1530" spans="3:3">
      <c r="C1530" s="2" t="s">
        <v>8549</v>
      </c>
    </row>
    <row r="1531" spans="3:3" ht="19">
      <c r="C1531" s="55" t="s">
        <v>8550</v>
      </c>
    </row>
    <row r="1532" spans="3:3" ht="19">
      <c r="C1532" s="55" t="s">
        <v>8544</v>
      </c>
    </row>
    <row r="1533" spans="3:3" ht="19">
      <c r="C1533" s="55" t="s">
        <v>8546</v>
      </c>
    </row>
    <row r="1534" spans="3:3">
      <c r="C1534" s="2" t="s">
        <v>8551</v>
      </c>
    </row>
    <row r="1535" spans="3:3" ht="19">
      <c r="C1535" s="55" t="s">
        <v>8548</v>
      </c>
    </row>
    <row r="1536" spans="3:3" ht="19">
      <c r="C1536" s="55" t="s">
        <v>8526</v>
      </c>
    </row>
    <row r="1537" spans="3:3">
      <c r="C1537" s="2" t="s">
        <v>8552</v>
      </c>
    </row>
    <row r="1538" spans="3:3" ht="19">
      <c r="C1538" s="55" t="s">
        <v>8550</v>
      </c>
    </row>
    <row r="1539" spans="3:3" ht="19">
      <c r="C1539" s="55" t="s">
        <v>8535</v>
      </c>
    </row>
    <row r="1540" spans="3:3">
      <c r="C1540" s="2" t="s">
        <v>8553</v>
      </c>
    </row>
    <row r="1541" spans="3:3" ht="19">
      <c r="C1541" s="55" t="s">
        <v>7545</v>
      </c>
    </row>
    <row r="1542" spans="3:3" ht="19">
      <c r="C1542" s="55" t="s">
        <v>8545</v>
      </c>
    </row>
    <row r="1543" spans="3:3">
      <c r="C1543" s="2" t="s">
        <v>8554</v>
      </c>
    </row>
    <row r="1544" spans="3:3" ht="19">
      <c r="C1544" s="55" t="s">
        <v>8548</v>
      </c>
    </row>
    <row r="1545" spans="3:3" ht="19">
      <c r="C1545" s="55" t="s">
        <v>8555</v>
      </c>
    </row>
    <row r="1546" spans="3:3" ht="19">
      <c r="C1546" s="55" t="s">
        <v>8545</v>
      </c>
    </row>
    <row r="1547" spans="3:3">
      <c r="C1547" s="2" t="s">
        <v>8556</v>
      </c>
    </row>
    <row r="1548" spans="3:3" ht="19">
      <c r="C1548" s="55" t="s">
        <v>8550</v>
      </c>
    </row>
    <row r="1549" spans="3:3" ht="19">
      <c r="C1549" s="55" t="s">
        <v>8557</v>
      </c>
    </row>
    <row r="1550" spans="3:3" ht="19">
      <c r="C1550" s="55" t="s">
        <v>8545</v>
      </c>
    </row>
    <row r="1551" spans="3:3">
      <c r="C1551" s="2" t="s">
        <v>8558</v>
      </c>
    </row>
    <row r="1552" spans="3:3" ht="19">
      <c r="C1552" s="55" t="s">
        <v>8027</v>
      </c>
    </row>
    <row r="1553" spans="3:3" ht="19">
      <c r="C1553" s="55" t="s">
        <v>8559</v>
      </c>
    </row>
    <row r="1554" spans="3:3" ht="19">
      <c r="C1554" s="55" t="s">
        <v>8545</v>
      </c>
    </row>
    <row r="1555" spans="3:3" ht="19">
      <c r="C1555" s="55" t="s">
        <v>8509</v>
      </c>
    </row>
    <row r="1556" spans="3:3" ht="19">
      <c r="C1556" s="55" t="s">
        <v>8510</v>
      </c>
    </row>
    <row r="1557" spans="3:3" ht="19">
      <c r="C1557" s="55" t="s">
        <v>8560</v>
      </c>
    </row>
    <row r="1558" spans="3:3">
      <c r="C1558" s="2" t="s">
        <v>8561</v>
      </c>
    </row>
    <row r="1559" spans="3:3" ht="19">
      <c r="C1559" s="55" t="s">
        <v>8513</v>
      </c>
    </row>
    <row r="1560" spans="3:3" ht="19">
      <c r="C1560" s="55" t="s">
        <v>8562</v>
      </c>
    </row>
    <row r="1561" spans="3:3" ht="19">
      <c r="C1561" s="55" t="s">
        <v>8545</v>
      </c>
    </row>
    <row r="1562" spans="3:3" ht="19">
      <c r="C1562" s="55" t="s">
        <v>8515</v>
      </c>
    </row>
    <row r="1563" spans="3:3" ht="19">
      <c r="C1563" s="55" t="s">
        <v>8563</v>
      </c>
    </row>
    <row r="1564" spans="3:3">
      <c r="C1564" s="2" t="s">
        <v>8564</v>
      </c>
    </row>
    <row r="1565" spans="3:3" ht="19">
      <c r="C1565" s="55" t="s">
        <v>8565</v>
      </c>
    </row>
    <row r="1566" spans="3:3" ht="19">
      <c r="C1566" s="55" t="s">
        <v>8566</v>
      </c>
    </row>
    <row r="1567" spans="3:3" ht="19">
      <c r="C1567" s="55" t="s">
        <v>8545</v>
      </c>
    </row>
    <row r="1568" spans="3:3" ht="19">
      <c r="C1568" s="55" t="s">
        <v>8515</v>
      </c>
    </row>
    <row r="1569" spans="3:3" ht="19">
      <c r="C1569" s="55" t="s">
        <v>8567</v>
      </c>
    </row>
    <row r="1570" spans="3:3">
      <c r="C1570" s="2" t="s">
        <v>8568</v>
      </c>
    </row>
    <row r="1571" spans="3:3" ht="19">
      <c r="C1571" s="55" t="s">
        <v>8569</v>
      </c>
    </row>
    <row r="1572" spans="3:3" ht="19">
      <c r="C1572" s="55" t="s">
        <v>8570</v>
      </c>
    </row>
    <row r="1573" spans="3:3">
      <c r="C1573" s="2" t="s">
        <v>8571</v>
      </c>
    </row>
    <row r="1574" spans="3:3" ht="19">
      <c r="C1574" s="55" t="s">
        <v>7493</v>
      </c>
    </row>
    <row r="1575" spans="3:3" ht="19">
      <c r="C1575" s="55" t="s">
        <v>7473</v>
      </c>
    </row>
    <row r="1576" spans="3:3" ht="19">
      <c r="C1576" s="55" t="s">
        <v>7527</v>
      </c>
    </row>
    <row r="1577" spans="3:3">
      <c r="C1577" s="2" t="s">
        <v>8572</v>
      </c>
    </row>
    <row r="1578" spans="3:3" ht="19">
      <c r="C1578" s="55" t="s">
        <v>8573</v>
      </c>
    </row>
    <row r="1579" spans="3:3" ht="19">
      <c r="C1579" s="55" t="s">
        <v>8574</v>
      </c>
    </row>
    <row r="1580" spans="3:3">
      <c r="C1580" s="2" t="s">
        <v>8575</v>
      </c>
    </row>
    <row r="1581" spans="3:3" ht="19">
      <c r="C1581" s="55" t="s">
        <v>7499</v>
      </c>
    </row>
    <row r="1582" spans="3:3">
      <c r="C1582" s="2" t="s">
        <v>8576</v>
      </c>
    </row>
    <row r="1583" spans="3:3" ht="19">
      <c r="C1583" s="55" t="s">
        <v>7495</v>
      </c>
    </row>
    <row r="1584" spans="3:3" ht="19">
      <c r="C1584" s="55" t="s">
        <v>8472</v>
      </c>
    </row>
    <row r="1585" spans="3:3" ht="19">
      <c r="C1585" s="55" t="s">
        <v>8069</v>
      </c>
    </row>
    <row r="1586" spans="3:3" ht="19">
      <c r="C1586" s="55" t="s">
        <v>7767</v>
      </c>
    </row>
    <row r="1587" spans="3:3">
      <c r="C1587" s="2" t="s">
        <v>8577</v>
      </c>
    </row>
    <row r="1588" spans="3:3" ht="19">
      <c r="C1588" s="55" t="s">
        <v>8578</v>
      </c>
    </row>
    <row r="1589" spans="3:3" ht="19">
      <c r="C1589" s="55" t="s">
        <v>8579</v>
      </c>
    </row>
    <row r="1590" spans="3:3">
      <c r="C1590" s="2" t="s">
        <v>8580</v>
      </c>
    </row>
    <row r="1591" spans="3:3" ht="19">
      <c r="C1591" s="55" t="s">
        <v>8581</v>
      </c>
    </row>
    <row r="1592" spans="3:3" ht="19">
      <c r="C1592" s="55" t="s">
        <v>8579</v>
      </c>
    </row>
    <row r="1593" spans="3:3">
      <c r="C1593" s="2" t="s">
        <v>8582</v>
      </c>
    </row>
    <row r="1594" spans="3:3" ht="19">
      <c r="C1594" s="55" t="s">
        <v>8583</v>
      </c>
    </row>
    <row r="1595" spans="3:3">
      <c r="C1595" s="2" t="s">
        <v>8584</v>
      </c>
    </row>
    <row r="1596" spans="3:3" ht="19">
      <c r="C1596" s="55" t="s">
        <v>8583</v>
      </c>
    </row>
    <row r="1597" spans="3:3" ht="19">
      <c r="C1597" s="55" t="s">
        <v>8579</v>
      </c>
    </row>
    <row r="1598" spans="3:3">
      <c r="C1598" s="2" t="s">
        <v>8585</v>
      </c>
    </row>
    <row r="1599" spans="3:3" ht="19">
      <c r="C1599" s="55" t="s">
        <v>8586</v>
      </c>
    </row>
    <row r="1600" spans="3:3">
      <c r="C1600" s="2" t="s">
        <v>8587</v>
      </c>
    </row>
    <row r="1601" spans="3:3" ht="19">
      <c r="C1601" s="55" t="s">
        <v>8586</v>
      </c>
    </row>
    <row r="1602" spans="3:3" ht="19">
      <c r="C1602" s="55" t="s">
        <v>8579</v>
      </c>
    </row>
    <row r="1603" spans="3:3">
      <c r="C1603" s="2" t="s">
        <v>8588</v>
      </c>
    </row>
    <row r="1604" spans="3:3" ht="19">
      <c r="C1604" s="55" t="s">
        <v>8589</v>
      </c>
    </row>
    <row r="1605" spans="3:3">
      <c r="C1605" s="2" t="s">
        <v>8590</v>
      </c>
    </row>
    <row r="1606" spans="3:3" ht="19">
      <c r="C1606" s="55" t="s">
        <v>8589</v>
      </c>
    </row>
    <row r="1607" spans="3:3" ht="19">
      <c r="C1607" s="55" t="s">
        <v>8579</v>
      </c>
    </row>
    <row r="1608" spans="3:3">
      <c r="C1608" s="2" t="s">
        <v>8591</v>
      </c>
    </row>
    <row r="1609" spans="3:3" ht="19">
      <c r="C1609" s="55" t="s">
        <v>8592</v>
      </c>
    </row>
    <row r="1610" spans="3:3">
      <c r="C1610" s="2" t="s">
        <v>8593</v>
      </c>
    </row>
    <row r="1611" spans="3:3" ht="19">
      <c r="C1611" s="55" t="s">
        <v>8594</v>
      </c>
    </row>
    <row r="1612" spans="3:3">
      <c r="C1612" s="2" t="s">
        <v>8595</v>
      </c>
    </row>
    <row r="1613" spans="3:3" ht="19">
      <c r="C1613" s="55" t="s">
        <v>8596</v>
      </c>
    </row>
    <row r="1614" spans="3:3">
      <c r="C1614" s="2" t="s">
        <v>8597</v>
      </c>
    </row>
    <row r="1615" spans="3:3" ht="19">
      <c r="C1615" s="55" t="s">
        <v>7516</v>
      </c>
    </row>
    <row r="1616" spans="3:3" ht="19">
      <c r="C1616" s="55" t="s">
        <v>7480</v>
      </c>
    </row>
    <row r="1617" spans="3:3" ht="19">
      <c r="C1617" s="55" t="s">
        <v>8598</v>
      </c>
    </row>
    <row r="1618" spans="3:3" ht="19">
      <c r="C1618" s="55" t="s">
        <v>8599</v>
      </c>
    </row>
    <row r="1619" spans="3:3" ht="19">
      <c r="C1619" s="55" t="s">
        <v>7474</v>
      </c>
    </row>
    <row r="1620" spans="3:3" ht="19">
      <c r="C1620" s="55" t="s">
        <v>7759</v>
      </c>
    </row>
    <row r="1621" spans="3:3" ht="19">
      <c r="C1621" s="55" t="s">
        <v>8023</v>
      </c>
    </row>
    <row r="1622" spans="3:3" ht="19">
      <c r="C1622" s="55" t="s">
        <v>7483</v>
      </c>
    </row>
    <row r="1623" spans="3:3" ht="19">
      <c r="C1623" s="55" t="s">
        <v>7484</v>
      </c>
    </row>
    <row r="1624" spans="3:3" ht="19">
      <c r="C1624" s="55" t="s">
        <v>7485</v>
      </c>
    </row>
    <row r="1625" spans="3:3" ht="19">
      <c r="C1625" s="55" t="s">
        <v>7486</v>
      </c>
    </row>
    <row r="1626" spans="3:3" ht="19">
      <c r="C1626" s="55" t="s">
        <v>7501</v>
      </c>
    </row>
    <row r="1627" spans="3:3">
      <c r="C1627" s="2" t="s">
        <v>8600</v>
      </c>
    </row>
    <row r="1628" spans="3:3" ht="19">
      <c r="C1628" s="55" t="s">
        <v>7493</v>
      </c>
    </row>
    <row r="1629" spans="3:3" ht="19">
      <c r="C1629" s="55" t="s">
        <v>8601</v>
      </c>
    </row>
    <row r="1630" spans="3:3" ht="19">
      <c r="C1630" s="55" t="s">
        <v>7545</v>
      </c>
    </row>
    <row r="1631" spans="3:3" ht="19">
      <c r="C1631" s="55" t="s">
        <v>8602</v>
      </c>
    </row>
    <row r="1632" spans="3:3" ht="19">
      <c r="C1632" s="55" t="s">
        <v>8603</v>
      </c>
    </row>
    <row r="1633" spans="3:3" ht="19">
      <c r="C1633" s="55" t="s">
        <v>7473</v>
      </c>
    </row>
    <row r="1634" spans="3:3" ht="19">
      <c r="C1634" s="55" t="s">
        <v>8020</v>
      </c>
    </row>
    <row r="1635" spans="3:3">
      <c r="C1635" s="2" t="s">
        <v>8604</v>
      </c>
    </row>
    <row r="1636" spans="3:3" ht="19">
      <c r="C1636" s="55" t="s">
        <v>8605</v>
      </c>
    </row>
    <row r="1637" spans="3:3" ht="19">
      <c r="C1637" s="55" t="s">
        <v>7482</v>
      </c>
    </row>
    <row r="1638" spans="3:3">
      <c r="C1638" s="2" t="s">
        <v>8606</v>
      </c>
    </row>
    <row r="1639" spans="3:3" ht="19">
      <c r="C1639" s="55" t="s">
        <v>7483</v>
      </c>
    </row>
    <row r="1640" spans="3:3" ht="19">
      <c r="C1640" s="55" t="s">
        <v>8607</v>
      </c>
    </row>
    <row r="1641" spans="3:3">
      <c r="C1641" s="2" t="s">
        <v>8608</v>
      </c>
    </row>
    <row r="1642" spans="3:3" ht="19">
      <c r="C1642" s="55" t="s">
        <v>7488</v>
      </c>
    </row>
    <row r="1643" spans="3:3" ht="19">
      <c r="C1643" s="55" t="s">
        <v>7489</v>
      </c>
    </row>
    <row r="1644" spans="3:3">
      <c r="C1644" s="2" t="s">
        <v>8609</v>
      </c>
    </row>
    <row r="1645" spans="3:3" ht="19">
      <c r="C1645" s="55" t="s">
        <v>7945</v>
      </c>
    </row>
    <row r="1646" spans="3:3">
      <c r="C1646" s="2" t="s">
        <v>8610</v>
      </c>
    </row>
    <row r="1647" spans="3:3" ht="19">
      <c r="C1647" s="55" t="s">
        <v>8023</v>
      </c>
    </row>
    <row r="1648" spans="3:3" ht="19">
      <c r="C1648" s="55" t="s">
        <v>8077</v>
      </c>
    </row>
    <row r="1649" spans="3:3">
      <c r="C1649" s="2" t="s">
        <v>8611</v>
      </c>
    </row>
    <row r="1650" spans="3:3" ht="19">
      <c r="C1650" s="55" t="s">
        <v>7488</v>
      </c>
    </row>
    <row r="1651" spans="3:3" ht="19">
      <c r="C1651" s="55" t="s">
        <v>7489</v>
      </c>
    </row>
    <row r="1652" spans="3:3">
      <c r="C1652" s="2" t="s">
        <v>8612</v>
      </c>
    </row>
    <row r="1653" spans="3:3" ht="19">
      <c r="C1653" s="55" t="s">
        <v>8613</v>
      </c>
    </row>
    <row r="1654" spans="3:3" ht="19">
      <c r="C1654" s="55" t="s">
        <v>8614</v>
      </c>
    </row>
    <row r="1655" spans="3:3" ht="19">
      <c r="C1655" s="55" t="s">
        <v>8141</v>
      </c>
    </row>
    <row r="1656" spans="3:3">
      <c r="C1656" s="2" t="s">
        <v>8615</v>
      </c>
    </row>
    <row r="1657" spans="3:3" ht="19">
      <c r="C1657" s="55" t="s">
        <v>7516</v>
      </c>
    </row>
    <row r="1658" spans="3:3" ht="19">
      <c r="C1658" s="55" t="s">
        <v>7922</v>
      </c>
    </row>
    <row r="1659" spans="3:3" ht="19">
      <c r="C1659" s="55" t="s">
        <v>8616</v>
      </c>
    </row>
    <row r="1660" spans="3:3" ht="19">
      <c r="C1660" s="55" t="s">
        <v>8617</v>
      </c>
    </row>
    <row r="1661" spans="3:3" ht="19">
      <c r="C1661" s="55" t="s">
        <v>8481</v>
      </c>
    </row>
    <row r="1662" spans="3:3" ht="19">
      <c r="C1662" s="55" t="s">
        <v>7501</v>
      </c>
    </row>
    <row r="1663" spans="3:3">
      <c r="C1663" s="2" t="s">
        <v>8618</v>
      </c>
    </row>
    <row r="1664" spans="3:3" ht="19">
      <c r="C1664" s="55" t="s">
        <v>8619</v>
      </c>
    </row>
    <row r="1665" spans="3:3">
      <c r="C1665" s="2" t="s">
        <v>8620</v>
      </c>
    </row>
    <row r="1666" spans="3:3" ht="19">
      <c r="C1666" s="55" t="s">
        <v>8605</v>
      </c>
    </row>
    <row r="1667" spans="3:3" ht="19">
      <c r="C1667" s="55" t="s">
        <v>8621</v>
      </c>
    </row>
    <row r="1668" spans="3:3" ht="19">
      <c r="C1668" s="55" t="s">
        <v>8622</v>
      </c>
    </row>
    <row r="1669" spans="3:3">
      <c r="C1669" s="2" t="s">
        <v>8623</v>
      </c>
    </row>
    <row r="1670" spans="3:3" ht="19">
      <c r="C1670" s="55" t="s">
        <v>8422</v>
      </c>
    </row>
    <row r="1671" spans="3:3" ht="19">
      <c r="C1671" s="55" t="s">
        <v>8027</v>
      </c>
    </row>
    <row r="1672" spans="3:3" ht="19">
      <c r="C1672" s="55" t="s">
        <v>8624</v>
      </c>
    </row>
    <row r="1673" spans="3:3" ht="19">
      <c r="C1673" s="55" t="s">
        <v>7495</v>
      </c>
    </row>
    <row r="1674" spans="3:3" ht="19">
      <c r="C1674" s="55" t="s">
        <v>8448</v>
      </c>
    </row>
    <row r="1675" spans="3:3" ht="19">
      <c r="C1675" s="55" t="s">
        <v>7537</v>
      </c>
    </row>
    <row r="1676" spans="3:3" ht="19">
      <c r="C1676" s="55" t="s">
        <v>8625</v>
      </c>
    </row>
    <row r="1677" spans="3:3" ht="19">
      <c r="C1677" s="55" t="s">
        <v>8166</v>
      </c>
    </row>
    <row r="1678" spans="3:3">
      <c r="C1678" s="2" t="s">
        <v>8626</v>
      </c>
    </row>
    <row r="1679" spans="3:3" ht="19">
      <c r="C1679" s="55" t="s">
        <v>8605</v>
      </c>
    </row>
    <row r="1680" spans="3:3" ht="19">
      <c r="C1680" s="55" t="s">
        <v>7922</v>
      </c>
    </row>
    <row r="1681" spans="3:3" ht="19">
      <c r="C1681" s="55" t="s">
        <v>8627</v>
      </c>
    </row>
    <row r="1682" spans="3:3" ht="19">
      <c r="C1682" s="55" t="s">
        <v>8470</v>
      </c>
    </row>
    <row r="1683" spans="3:3" ht="19">
      <c r="C1683" s="55" t="s">
        <v>7756</v>
      </c>
    </row>
    <row r="1684" spans="3:3" ht="19">
      <c r="C1684" s="55" t="s">
        <v>7486</v>
      </c>
    </row>
    <row r="1685" spans="3:3" ht="19">
      <c r="C1685" s="55" t="s">
        <v>8069</v>
      </c>
    </row>
    <row r="1686" spans="3:3" ht="19">
      <c r="C1686" s="55" t="s">
        <v>7767</v>
      </c>
    </row>
    <row r="1687" spans="3:3" ht="19">
      <c r="C1687" s="55" t="s">
        <v>8016</v>
      </c>
    </row>
    <row r="1688" spans="3:3" ht="19">
      <c r="C1688" s="55" t="s">
        <v>8017</v>
      </c>
    </row>
    <row r="1689" spans="3:3" ht="19">
      <c r="C1689" s="55" t="s">
        <v>8018</v>
      </c>
    </row>
    <row r="1690" spans="3:3" ht="19">
      <c r="C1690" s="55" t="s">
        <v>8628</v>
      </c>
    </row>
    <row r="1691" spans="3:3">
      <c r="C1691" s="2" t="s">
        <v>8629</v>
      </c>
    </row>
    <row r="1692" spans="3:3" ht="19">
      <c r="C1692" s="55" t="s">
        <v>7569</v>
      </c>
    </row>
    <row r="1693" spans="3:3">
      <c r="C1693" s="2" t="s">
        <v>8630</v>
      </c>
    </row>
    <row r="1694" spans="3:3" ht="19">
      <c r="C1694" s="55" t="s">
        <v>8631</v>
      </c>
    </row>
    <row r="1695" spans="3:3" ht="19">
      <c r="C1695" s="55" t="s">
        <v>8632</v>
      </c>
    </row>
    <row r="1696" spans="3:3" ht="19">
      <c r="C1696" s="55" t="s">
        <v>8115</v>
      </c>
    </row>
    <row r="1697" spans="3:3">
      <c r="C1697" s="2" t="s">
        <v>8633</v>
      </c>
    </row>
    <row r="1698" spans="3:3" ht="19">
      <c r="C1698" s="55" t="s">
        <v>7933</v>
      </c>
    </row>
    <row r="1699" spans="3:3" ht="19">
      <c r="C1699" s="55" t="s">
        <v>8634</v>
      </c>
    </row>
    <row r="1700" spans="3:3" ht="19">
      <c r="C1700" s="55" t="s">
        <v>8166</v>
      </c>
    </row>
    <row r="1701" spans="3:3">
      <c r="C1701" s="2" t="s">
        <v>8635</v>
      </c>
    </row>
    <row r="1702" spans="3:3" ht="19">
      <c r="C1702" s="55" t="s">
        <v>8636</v>
      </c>
    </row>
    <row r="1703" spans="3:3">
      <c r="C1703" s="2" t="s">
        <v>8637</v>
      </c>
    </row>
    <row r="1704" spans="3:3" ht="19">
      <c r="C1704" s="55" t="s">
        <v>8638</v>
      </c>
    </row>
    <row r="1705" spans="3:3" ht="19">
      <c r="C1705" s="55" t="s">
        <v>8639</v>
      </c>
    </row>
    <row r="1706" spans="3:3" ht="19">
      <c r="C1706" s="55" t="s">
        <v>8115</v>
      </c>
    </row>
    <row r="1707" spans="3:3">
      <c r="C1707" s="2" t="s">
        <v>8640</v>
      </c>
    </row>
    <row r="1708" spans="3:3" ht="19">
      <c r="C1708" s="55" t="s">
        <v>8641</v>
      </c>
    </row>
    <row r="1709" spans="3:3" ht="19">
      <c r="C1709" s="55" t="s">
        <v>7954</v>
      </c>
    </row>
    <row r="1710" spans="3:3" ht="19">
      <c r="C1710" s="55" t="s">
        <v>8115</v>
      </c>
    </row>
    <row r="1711" spans="3:3">
      <c r="C1711" s="2" t="s">
        <v>8642</v>
      </c>
    </row>
    <row r="1712" spans="3:3" ht="19">
      <c r="C1712" s="55" t="s">
        <v>8643</v>
      </c>
    </row>
    <row r="1713" spans="3:3">
      <c r="C1713" s="2" t="s">
        <v>8644</v>
      </c>
    </row>
    <row r="1714" spans="3:3" ht="19">
      <c r="C1714" s="55" t="s">
        <v>8645</v>
      </c>
    </row>
    <row r="1715" spans="3:3">
      <c r="C1715" s="2" t="s">
        <v>4900</v>
      </c>
    </row>
    <row r="1716" spans="3:3" ht="19">
      <c r="C1716" s="55" t="s">
        <v>8646</v>
      </c>
    </row>
    <row r="1717" spans="3:3">
      <c r="C1717" s="2" t="s">
        <v>4901</v>
      </c>
    </row>
    <row r="1718" spans="3:3" ht="19">
      <c r="C1718" s="55" t="s">
        <v>8647</v>
      </c>
    </row>
    <row r="1719" spans="3:3">
      <c r="C1719" s="2" t="s">
        <v>8648</v>
      </c>
    </row>
    <row r="1720" spans="3:3" ht="19">
      <c r="C1720" s="55" t="s">
        <v>8649</v>
      </c>
    </row>
    <row r="1721" spans="3:3">
      <c r="C1721" s="2" t="s">
        <v>8650</v>
      </c>
    </row>
    <row r="1722" spans="3:3" ht="19">
      <c r="C1722" s="55" t="s">
        <v>8651</v>
      </c>
    </row>
    <row r="1723" spans="3:3">
      <c r="C1723" s="2" t="s">
        <v>8652</v>
      </c>
    </row>
    <row r="1724" spans="3:3" ht="19">
      <c r="C1724" s="55" t="s">
        <v>8653</v>
      </c>
    </row>
    <row r="1725" spans="3:3">
      <c r="C1725" s="2" t="s">
        <v>8654</v>
      </c>
    </row>
    <row r="1726" spans="3:3" ht="19">
      <c r="C1726" s="55" t="s">
        <v>8655</v>
      </c>
    </row>
    <row r="1727" spans="3:3">
      <c r="C1727" s="2" t="s">
        <v>8656</v>
      </c>
    </row>
    <row r="1728" spans="3:3" ht="19">
      <c r="C1728" s="55" t="s">
        <v>8657</v>
      </c>
    </row>
    <row r="1729" spans="3:3">
      <c r="C1729" s="2" t="s">
        <v>8658</v>
      </c>
    </row>
    <row r="1730" spans="3:3" ht="19">
      <c r="C1730" s="55" t="s">
        <v>8659</v>
      </c>
    </row>
    <row r="1731" spans="3:3">
      <c r="C1731" s="2" t="s">
        <v>4903</v>
      </c>
    </row>
    <row r="1732" spans="3:3" ht="19">
      <c r="C1732" s="55" t="s">
        <v>8660</v>
      </c>
    </row>
    <row r="1733" spans="3:3">
      <c r="C1733" s="2" t="s">
        <v>8661</v>
      </c>
    </row>
    <row r="1734" spans="3:3" ht="19">
      <c r="C1734" s="55" t="s">
        <v>8662</v>
      </c>
    </row>
    <row r="1735" spans="3:3">
      <c r="C1735" s="2" t="s">
        <v>8663</v>
      </c>
    </row>
    <row r="1736" spans="3:3" ht="19">
      <c r="C1736" s="55" t="s">
        <v>8664</v>
      </c>
    </row>
    <row r="1737" spans="3:3">
      <c r="C1737" s="2" t="s">
        <v>8665</v>
      </c>
    </row>
    <row r="1738" spans="3:3" ht="19">
      <c r="C1738" s="55" t="s">
        <v>8666</v>
      </c>
    </row>
    <row r="1739" spans="3:3">
      <c r="C1739" s="2" t="s">
        <v>8667</v>
      </c>
    </row>
    <row r="1740" spans="3:3" ht="19">
      <c r="C1740" s="55" t="s">
        <v>8668</v>
      </c>
    </row>
    <row r="1741" spans="3:3">
      <c r="C1741" s="2" t="s">
        <v>8669</v>
      </c>
    </row>
    <row r="1742" spans="3:3" ht="19">
      <c r="C1742" s="55" t="s">
        <v>8670</v>
      </c>
    </row>
    <row r="1743" spans="3:3">
      <c r="C1743" s="2" t="s">
        <v>8671</v>
      </c>
    </row>
    <row r="1744" spans="3:3" ht="19">
      <c r="C1744" s="55" t="s">
        <v>8672</v>
      </c>
    </row>
    <row r="1745" spans="3:3">
      <c r="C1745" s="2" t="s">
        <v>8673</v>
      </c>
    </row>
    <row r="1746" spans="3:3" ht="19">
      <c r="C1746" s="55" t="s">
        <v>8674</v>
      </c>
    </row>
    <row r="1747" spans="3:3">
      <c r="C1747" s="2" t="s">
        <v>8675</v>
      </c>
    </row>
    <row r="1748" spans="3:3" ht="19">
      <c r="C1748" s="55" t="s">
        <v>8676</v>
      </c>
    </row>
    <row r="1749" spans="3:3">
      <c r="C1749" s="2" t="s">
        <v>8677</v>
      </c>
    </row>
    <row r="1750" spans="3:3" ht="19">
      <c r="C1750" s="55" t="s">
        <v>8678</v>
      </c>
    </row>
    <row r="1751" spans="3:3">
      <c r="C1751" s="2" t="s">
        <v>8679</v>
      </c>
    </row>
    <row r="1752" spans="3:3" ht="19">
      <c r="C1752" s="55" t="s">
        <v>8680</v>
      </c>
    </row>
    <row r="1753" spans="3:3">
      <c r="C1753" s="2" t="s">
        <v>4929</v>
      </c>
    </row>
    <row r="1754" spans="3:3" ht="19">
      <c r="C1754" s="55" t="s">
        <v>8681</v>
      </c>
    </row>
    <row r="1755" spans="3:3">
      <c r="C1755" s="2" t="s">
        <v>8682</v>
      </c>
    </row>
    <row r="1756" spans="3:3" ht="19">
      <c r="C1756" s="55" t="s">
        <v>8683</v>
      </c>
    </row>
    <row r="1757" spans="3:3">
      <c r="C1757" s="2" t="s">
        <v>8684</v>
      </c>
    </row>
    <row r="1758" spans="3:3" ht="19">
      <c r="C1758" s="55" t="s">
        <v>8685</v>
      </c>
    </row>
    <row r="1759" spans="3:3">
      <c r="C1759" s="2" t="s">
        <v>8686</v>
      </c>
    </row>
    <row r="1760" spans="3:3" ht="19">
      <c r="C1760" s="55" t="s">
        <v>8687</v>
      </c>
    </row>
    <row r="1761" spans="3:3">
      <c r="C1761" s="2" t="s">
        <v>4930</v>
      </c>
    </row>
    <row r="1762" spans="3:3" ht="19">
      <c r="C1762" s="55" t="s">
        <v>8688</v>
      </c>
    </row>
    <row r="1763" spans="3:3">
      <c r="C1763" s="2" t="s">
        <v>4931</v>
      </c>
    </row>
    <row r="1764" spans="3:3" ht="19">
      <c r="C1764" s="55" t="s">
        <v>8689</v>
      </c>
    </row>
    <row r="1765" spans="3:3">
      <c r="C1765" s="2" t="s">
        <v>8690</v>
      </c>
    </row>
    <row r="1766" spans="3:3" ht="19">
      <c r="C1766" s="55" t="s">
        <v>8691</v>
      </c>
    </row>
    <row r="1767" spans="3:3">
      <c r="C1767" s="2" t="s">
        <v>8692</v>
      </c>
    </row>
    <row r="1768" spans="3:3" ht="19">
      <c r="C1768" s="55" t="s">
        <v>8693</v>
      </c>
    </row>
    <row r="1769" spans="3:3">
      <c r="C1769" s="2" t="s">
        <v>8694</v>
      </c>
    </row>
    <row r="1770" spans="3:3" ht="19">
      <c r="C1770" s="55" t="s">
        <v>8695</v>
      </c>
    </row>
    <row r="1771" spans="3:3">
      <c r="C1771" s="2" t="s">
        <v>8696</v>
      </c>
    </row>
    <row r="1772" spans="3:3" ht="19">
      <c r="C1772" s="55" t="s">
        <v>8697</v>
      </c>
    </row>
    <row r="1773" spans="3:3">
      <c r="C1773" s="2" t="s">
        <v>8698</v>
      </c>
    </row>
    <row r="1774" spans="3:3" ht="19">
      <c r="C1774" s="55" t="s">
        <v>8699</v>
      </c>
    </row>
    <row r="1775" spans="3:3">
      <c r="C1775" s="2" t="s">
        <v>8700</v>
      </c>
    </row>
    <row r="1776" spans="3:3" ht="19">
      <c r="C1776" s="55" t="s">
        <v>8701</v>
      </c>
    </row>
    <row r="1777" spans="3:3">
      <c r="C1777" s="2" t="s">
        <v>4932</v>
      </c>
    </row>
    <row r="1778" spans="3:3" ht="19">
      <c r="C1778" s="55" t="s">
        <v>8702</v>
      </c>
    </row>
    <row r="1779" spans="3:3">
      <c r="C1779" s="2" t="s">
        <v>4946</v>
      </c>
    </row>
    <row r="1780" spans="3:3" ht="19">
      <c r="C1780" s="55" t="s">
        <v>8703</v>
      </c>
    </row>
    <row r="1781" spans="3:3">
      <c r="C1781" s="2" t="s">
        <v>8704</v>
      </c>
    </row>
    <row r="1782" spans="3:3" ht="19">
      <c r="C1782" s="55" t="s">
        <v>8705</v>
      </c>
    </row>
    <row r="1783" spans="3:3">
      <c r="C1783" s="2" t="s">
        <v>4979</v>
      </c>
    </row>
    <row r="1784" spans="3:3" ht="19">
      <c r="C1784" s="55" t="s">
        <v>8706</v>
      </c>
    </row>
    <row r="1785" spans="3:3">
      <c r="C1785" s="2" t="s">
        <v>8707</v>
      </c>
    </row>
    <row r="1786" spans="3:3" ht="19">
      <c r="C1786" s="55" t="s">
        <v>8708</v>
      </c>
    </row>
    <row r="1787" spans="3:3">
      <c r="C1787" s="2" t="s">
        <v>8709</v>
      </c>
    </row>
    <row r="1788" spans="3:3" ht="19">
      <c r="C1788" s="55" t="s">
        <v>8710</v>
      </c>
    </row>
    <row r="1789" spans="3:3">
      <c r="C1789" s="2" t="s">
        <v>8711</v>
      </c>
    </row>
    <row r="1790" spans="3:3" ht="19">
      <c r="C1790" s="55" t="s">
        <v>8605</v>
      </c>
    </row>
    <row r="1791" spans="3:3">
      <c r="C1791" s="2" t="s">
        <v>8712</v>
      </c>
    </row>
    <row r="1792" spans="3:3" ht="19">
      <c r="C1792" s="55" t="s">
        <v>8713</v>
      </c>
    </row>
    <row r="1793" spans="3:3">
      <c r="C1793" s="2" t="s">
        <v>8714</v>
      </c>
    </row>
    <row r="1794" spans="3:3" ht="19">
      <c r="C1794" s="55" t="s">
        <v>8183</v>
      </c>
    </row>
    <row r="1795" spans="3:3" ht="19">
      <c r="C1795" s="55" t="s">
        <v>8184</v>
      </c>
    </row>
    <row r="1796" spans="3:3" ht="19">
      <c r="C1796" s="55" t="s">
        <v>7527</v>
      </c>
    </row>
    <row r="1797" spans="3:3">
      <c r="C1797" s="2" t="s">
        <v>8715</v>
      </c>
    </row>
    <row r="1798" spans="3:3" ht="19">
      <c r="C1798" s="55" t="s">
        <v>8183</v>
      </c>
    </row>
    <row r="1799" spans="3:3" ht="19">
      <c r="C1799" s="55" t="s">
        <v>7527</v>
      </c>
    </row>
    <row r="1800" spans="3:3">
      <c r="C1800" s="2" t="s">
        <v>8716</v>
      </c>
    </row>
    <row r="1801" spans="3:3" ht="19">
      <c r="C1801" s="55" t="s">
        <v>8717</v>
      </c>
    </row>
    <row r="1802" spans="3:3" ht="19">
      <c r="C1802" s="55" t="s">
        <v>8718</v>
      </c>
    </row>
    <row r="1803" spans="3:3" ht="19">
      <c r="C1803" s="55" t="s">
        <v>7504</v>
      </c>
    </row>
    <row r="1804" spans="3:3">
      <c r="C1804" s="2" t="s">
        <v>8719</v>
      </c>
    </row>
    <row r="1805" spans="3:3" ht="19">
      <c r="C1805" s="55" t="s">
        <v>7480</v>
      </c>
    </row>
    <row r="1806" spans="3:3" ht="19">
      <c r="C1806" s="55" t="s">
        <v>8445</v>
      </c>
    </row>
    <row r="1807" spans="3:3" ht="19">
      <c r="C1807" s="55" t="s">
        <v>8141</v>
      </c>
    </row>
    <row r="1808" spans="3:3" ht="19">
      <c r="C1808" s="55" t="s">
        <v>8453</v>
      </c>
    </row>
    <row r="1809" spans="3:3" ht="19">
      <c r="C1809" s="55" t="s">
        <v>8023</v>
      </c>
    </row>
    <row r="1810" spans="3:3">
      <c r="C1810" s="2" t="s">
        <v>8720</v>
      </c>
    </row>
    <row r="1811" spans="3:3" ht="19">
      <c r="C1811" s="55" t="s">
        <v>7514</v>
      </c>
    </row>
    <row r="1812" spans="3:3" ht="19">
      <c r="C1812" s="55" t="s">
        <v>8721</v>
      </c>
    </row>
    <row r="1813" spans="3:3" ht="19">
      <c r="C1813" s="55" t="s">
        <v>7504</v>
      </c>
    </row>
    <row r="1814" spans="3:3">
      <c r="C1814" s="2" t="s">
        <v>8722</v>
      </c>
    </row>
    <row r="1815" spans="3:3" ht="19">
      <c r="C1815" s="55" t="s">
        <v>7516</v>
      </c>
    </row>
    <row r="1816" spans="3:3" ht="19">
      <c r="C1816" s="55" t="s">
        <v>8723</v>
      </c>
    </row>
    <row r="1817" spans="3:3" ht="19">
      <c r="C1817" s="55" t="s">
        <v>8724</v>
      </c>
    </row>
    <row r="1818" spans="3:3" ht="19">
      <c r="C1818" s="55" t="s">
        <v>8033</v>
      </c>
    </row>
    <row r="1819" spans="3:3" ht="19">
      <c r="C1819" s="55" t="s">
        <v>8725</v>
      </c>
    </row>
    <row r="1820" spans="3:3" ht="19">
      <c r="C1820" s="55" t="s">
        <v>7501</v>
      </c>
    </row>
    <row r="1821" spans="3:3">
      <c r="C1821" s="2" t="s">
        <v>8726</v>
      </c>
    </row>
    <row r="1822" spans="3:3" ht="19">
      <c r="C1822" s="55" t="s">
        <v>7563</v>
      </c>
    </row>
    <row r="1823" spans="3:3">
      <c r="C1823" s="2" t="s">
        <v>8727</v>
      </c>
    </row>
    <row r="1824" spans="3:3" ht="19">
      <c r="C1824" s="55" t="s">
        <v>7480</v>
      </c>
    </row>
    <row r="1825" spans="3:3">
      <c r="C1825" s="2" t="s">
        <v>8728</v>
      </c>
    </row>
    <row r="1826" spans="3:3" ht="19">
      <c r="C1826" s="55" t="s">
        <v>8729</v>
      </c>
    </row>
    <row r="1827" spans="3:3" ht="19">
      <c r="C1827" s="55" t="s">
        <v>8730</v>
      </c>
    </row>
    <row r="1828" spans="3:3" ht="19">
      <c r="C1828" s="55" t="s">
        <v>7780</v>
      </c>
    </row>
    <row r="1829" spans="3:3" ht="19">
      <c r="C1829" s="55" t="s">
        <v>8006</v>
      </c>
    </row>
    <row r="1830" spans="3:3" ht="19">
      <c r="C1830" s="55" t="s">
        <v>8019</v>
      </c>
    </row>
    <row r="1831" spans="3:3" ht="19">
      <c r="C1831" s="55" t="s">
        <v>7504</v>
      </c>
    </row>
    <row r="1832" spans="3:3" ht="19">
      <c r="C1832" s="55" t="s">
        <v>7508</v>
      </c>
    </row>
    <row r="1833" spans="3:3" ht="19">
      <c r="C1833" s="55" t="s">
        <v>8731</v>
      </c>
    </row>
    <row r="1834" spans="3:3" ht="19">
      <c r="C1834" s="55" t="s">
        <v>8732</v>
      </c>
    </row>
    <row r="1835" spans="3:3" ht="19">
      <c r="C1835" s="55" t="s">
        <v>7888</v>
      </c>
    </row>
    <row r="1836" spans="3:3" ht="19">
      <c r="C1836" s="55" t="s">
        <v>7501</v>
      </c>
    </row>
    <row r="1837" spans="3:3" ht="19">
      <c r="C1837" s="55" t="s">
        <v>8070</v>
      </c>
    </row>
    <row r="1838" spans="3:3" ht="19">
      <c r="C1838" s="55" t="s">
        <v>8733</v>
      </c>
    </row>
    <row r="1839" spans="3:3">
      <c r="C1839" s="2" t="s">
        <v>8734</v>
      </c>
    </row>
    <row r="1840" spans="3:3" ht="19">
      <c r="C1840" s="55" t="s">
        <v>8735</v>
      </c>
    </row>
    <row r="1841" spans="3:3" ht="19">
      <c r="C1841" s="55" t="s">
        <v>8070</v>
      </c>
    </row>
    <row r="1842" spans="3:3" ht="19">
      <c r="C1842" s="55" t="s">
        <v>8736</v>
      </c>
    </row>
    <row r="1843" spans="3:3">
      <c r="C1843" s="2" t="s">
        <v>7424</v>
      </c>
    </row>
    <row r="1844" spans="3:3" ht="19">
      <c r="C1844" s="55" t="s">
        <v>8718</v>
      </c>
    </row>
    <row r="1845" spans="3:3">
      <c r="C1845" s="2" t="s">
        <v>8737</v>
      </c>
    </row>
    <row r="1846" spans="3:3" ht="19">
      <c r="C1846" s="55" t="s">
        <v>8738</v>
      </c>
    </row>
    <row r="1847" spans="3:3" ht="19">
      <c r="C1847" s="55" t="s">
        <v>8739</v>
      </c>
    </row>
    <row r="1848" spans="3:3" ht="19">
      <c r="C1848" s="55" t="s">
        <v>8713</v>
      </c>
    </row>
    <row r="1849" spans="3:3" ht="19">
      <c r="C1849" s="55" t="s">
        <v>7969</v>
      </c>
    </row>
    <row r="1850" spans="3:3">
      <c r="C1850" s="2" t="s">
        <v>8740</v>
      </c>
    </row>
    <row r="1851" spans="3:3" ht="19">
      <c r="C1851" s="55" t="s">
        <v>7508</v>
      </c>
    </row>
    <row r="1852" spans="3:3">
      <c r="C1852" s="2" t="s">
        <v>8741</v>
      </c>
    </row>
    <row r="1853" spans="3:3" ht="19">
      <c r="C1853" s="55" t="s">
        <v>7495</v>
      </c>
    </row>
    <row r="1854" spans="3:3">
      <c r="C1854" s="2" t="s">
        <v>8742</v>
      </c>
    </row>
    <row r="1855" spans="3:3" ht="19">
      <c r="C1855" s="55" t="s">
        <v>8743</v>
      </c>
    </row>
    <row r="1856" spans="3:3">
      <c r="C1856" s="2" t="s">
        <v>8744</v>
      </c>
    </row>
    <row r="1857" spans="3:3" ht="19">
      <c r="C1857" s="55" t="s">
        <v>8745</v>
      </c>
    </row>
    <row r="1858" spans="3:3">
      <c r="C1858" s="2" t="s">
        <v>8746</v>
      </c>
    </row>
    <row r="1859" spans="3:3" ht="19">
      <c r="C1859" s="55" t="s">
        <v>7563</v>
      </c>
    </row>
    <row r="1860" spans="3:3" ht="19">
      <c r="C1860" s="55" t="s">
        <v>8141</v>
      </c>
    </row>
    <row r="1861" spans="3:3" ht="19">
      <c r="C1861" s="55" t="s">
        <v>7482</v>
      </c>
    </row>
    <row r="1862" spans="3:3">
      <c r="C1862" s="2" t="s">
        <v>8747</v>
      </c>
    </row>
    <row r="1863" spans="3:3" ht="19">
      <c r="C1863" s="55" t="s">
        <v>8748</v>
      </c>
    </row>
    <row r="1864" spans="3:3">
      <c r="C1864" s="2" t="s">
        <v>8749</v>
      </c>
    </row>
    <row r="1865" spans="3:3" ht="19">
      <c r="C1865" s="55" t="s">
        <v>8056</v>
      </c>
    </row>
    <row r="1866" spans="3:3">
      <c r="C1866" s="2" t="s">
        <v>8750</v>
      </c>
    </row>
    <row r="1867" spans="3:3" ht="19">
      <c r="C1867" s="55" t="s">
        <v>8751</v>
      </c>
    </row>
    <row r="1868" spans="3:3">
      <c r="C1868" s="2" t="s">
        <v>8752</v>
      </c>
    </row>
    <row r="1869" spans="3:3" ht="19">
      <c r="C1869" s="55" t="s">
        <v>8510</v>
      </c>
    </row>
    <row r="1870" spans="3:3">
      <c r="C1870" s="2" t="s">
        <v>8753</v>
      </c>
    </row>
    <row r="1871" spans="3:3" ht="19">
      <c r="C1871" s="55" t="s">
        <v>8754</v>
      </c>
    </row>
    <row r="1872" spans="3:3">
      <c r="C1872" s="2" t="s">
        <v>8755</v>
      </c>
    </row>
    <row r="1873" spans="3:3" ht="19">
      <c r="C1873" s="55" t="s">
        <v>7516</v>
      </c>
    </row>
    <row r="1874" spans="3:3">
      <c r="C1874" s="2" t="s">
        <v>8755</v>
      </c>
    </row>
    <row r="1875" spans="3:3" ht="19">
      <c r="C1875" s="55" t="s">
        <v>8756</v>
      </c>
    </row>
    <row r="1876" spans="3:3">
      <c r="C1876" s="2" t="s">
        <v>8757</v>
      </c>
    </row>
    <row r="1877" spans="3:3" ht="19">
      <c r="C1877" s="55" t="s">
        <v>7495</v>
      </c>
    </row>
    <row r="1878" spans="3:3" ht="19">
      <c r="C1878" s="55" t="s">
        <v>8380</v>
      </c>
    </row>
    <row r="1879" spans="3:3" ht="19">
      <c r="C1879" s="55" t="s">
        <v>8381</v>
      </c>
    </row>
    <row r="1880" spans="3:3">
      <c r="C1880" s="2" t="s">
        <v>8758</v>
      </c>
    </row>
    <row r="1881" spans="3:3" ht="19">
      <c r="C1881" s="55" t="s">
        <v>8759</v>
      </c>
    </row>
    <row r="1882" spans="3:3" ht="19">
      <c r="C1882" s="55" t="s">
        <v>8760</v>
      </c>
    </row>
    <row r="1883" spans="3:3">
      <c r="C1883" s="2" t="s">
        <v>8761</v>
      </c>
    </row>
    <row r="1884" spans="3:3" ht="19">
      <c r="C1884" s="55" t="s">
        <v>8631</v>
      </c>
    </row>
    <row r="1885" spans="3:3" ht="19">
      <c r="C1885" s="55" t="s">
        <v>8632</v>
      </c>
    </row>
    <row r="1886" spans="3:3" ht="19">
      <c r="C1886" s="55" t="s">
        <v>8762</v>
      </c>
    </row>
    <row r="1887" spans="3:3">
      <c r="C1887" s="2" t="s">
        <v>8763</v>
      </c>
    </row>
    <row r="1888" spans="3:3" ht="19">
      <c r="C1888" s="55" t="s">
        <v>8764</v>
      </c>
    </row>
    <row r="1889" spans="3:3">
      <c r="C1889" s="2" t="s">
        <v>8765</v>
      </c>
    </row>
    <row r="1890" spans="3:3" ht="19">
      <c r="C1890" s="55" t="s">
        <v>8766</v>
      </c>
    </row>
    <row r="1891" spans="3:3">
      <c r="C1891" s="2" t="s">
        <v>8767</v>
      </c>
    </row>
    <row r="1892" spans="3:3" ht="19">
      <c r="C1892" s="55" t="s">
        <v>8056</v>
      </c>
    </row>
    <row r="1893" spans="3:3">
      <c r="C1893" s="2" t="s">
        <v>8768</v>
      </c>
    </row>
    <row r="1894" spans="3:3" ht="19">
      <c r="C1894" s="55" t="s">
        <v>8769</v>
      </c>
    </row>
    <row r="1895" spans="3:3">
      <c r="C1895" s="2" t="s">
        <v>8770</v>
      </c>
    </row>
    <row r="1896" spans="3:3" ht="19">
      <c r="C1896" s="55" t="s">
        <v>7514</v>
      </c>
    </row>
    <row r="1897" spans="3:3" ht="19">
      <c r="C1897" s="55" t="s">
        <v>8445</v>
      </c>
    </row>
    <row r="1898" spans="3:3" ht="19">
      <c r="C1898" s="55" t="s">
        <v>8769</v>
      </c>
    </row>
    <row r="1899" spans="3:3">
      <c r="C1899" s="2" t="s">
        <v>8771</v>
      </c>
    </row>
    <row r="1900" spans="3:3" ht="19">
      <c r="C1900" s="55" t="s">
        <v>8772</v>
      </c>
    </row>
    <row r="1901" spans="3:3">
      <c r="C1901" s="2" t="s">
        <v>8773</v>
      </c>
    </row>
    <row r="1902" spans="3:3" ht="19">
      <c r="C1902" s="55" t="s">
        <v>8774</v>
      </c>
    </row>
    <row r="1903" spans="3:3">
      <c r="C1903" s="2" t="s">
        <v>8775</v>
      </c>
    </row>
    <row r="1904" spans="3:3" ht="19">
      <c r="C1904" s="55" t="s">
        <v>7473</v>
      </c>
    </row>
    <row r="1905" spans="3:3" ht="19">
      <c r="C1905" s="55" t="s">
        <v>7504</v>
      </c>
    </row>
    <row r="1906" spans="3:3">
      <c r="C1906" s="2" t="s">
        <v>8776</v>
      </c>
    </row>
    <row r="1907" spans="3:3" ht="19">
      <c r="C1907" s="55" t="s">
        <v>8777</v>
      </c>
    </row>
    <row r="1908" spans="3:3" ht="19">
      <c r="C1908" s="55" t="s">
        <v>8056</v>
      </c>
    </row>
    <row r="1909" spans="3:3" ht="19">
      <c r="C1909" s="55" t="s">
        <v>8778</v>
      </c>
    </row>
    <row r="1910" spans="3:3">
      <c r="C1910" s="2" t="s">
        <v>8779</v>
      </c>
    </row>
    <row r="1911" spans="3:3" ht="19">
      <c r="C1911" s="55" t="s">
        <v>8774</v>
      </c>
    </row>
    <row r="1912" spans="3:3" ht="19">
      <c r="C1912" s="55" t="s">
        <v>8751</v>
      </c>
    </row>
    <row r="1913" spans="3:3">
      <c r="C1913" s="2" t="s">
        <v>8780</v>
      </c>
    </row>
    <row r="1914" spans="3:3" ht="19">
      <c r="C1914" s="55" t="s">
        <v>7493</v>
      </c>
    </row>
    <row r="1915" spans="3:3" ht="19">
      <c r="C1915" s="55" t="s">
        <v>8781</v>
      </c>
    </row>
    <row r="1916" spans="3:3" ht="19">
      <c r="C1916" s="55" t="s">
        <v>7480</v>
      </c>
    </row>
    <row r="1917" spans="3:3" ht="19">
      <c r="C1917" s="55" t="s">
        <v>8782</v>
      </c>
    </row>
    <row r="1918" spans="3:3" ht="19">
      <c r="C1918" s="55" t="s">
        <v>8783</v>
      </c>
    </row>
    <row r="1919" spans="3:3" ht="19">
      <c r="C1919" s="55" t="s">
        <v>8748</v>
      </c>
    </row>
    <row r="1920" spans="3:3" ht="19">
      <c r="C1920" s="55" t="s">
        <v>7498</v>
      </c>
    </row>
    <row r="1921" spans="3:3" ht="19">
      <c r="C1921" s="55" t="s">
        <v>8453</v>
      </c>
    </row>
    <row r="1922" spans="3:3" ht="19">
      <c r="C1922" s="55" t="s">
        <v>7939</v>
      </c>
    </row>
    <row r="1923" spans="3:3" ht="19">
      <c r="C1923" s="55" t="s">
        <v>7940</v>
      </c>
    </row>
    <row r="1924" spans="3:3" ht="19">
      <c r="C1924" s="55" t="s">
        <v>7501</v>
      </c>
    </row>
    <row r="1925" spans="3:3">
      <c r="C1925" s="2" t="s">
        <v>8784</v>
      </c>
    </row>
    <row r="1926" spans="3:3" ht="19">
      <c r="C1926" s="55" t="s">
        <v>8641</v>
      </c>
    </row>
    <row r="1927" spans="3:3" ht="19">
      <c r="C1927" s="55" t="s">
        <v>7954</v>
      </c>
    </row>
    <row r="1928" spans="3:3" ht="19">
      <c r="C1928" s="55" t="s">
        <v>8785</v>
      </c>
    </row>
    <row r="1929" spans="3:3">
      <c r="C1929" s="2" t="s">
        <v>8786</v>
      </c>
    </row>
    <row r="1930" spans="3:3" ht="19">
      <c r="C1930" s="55" t="s">
        <v>7493</v>
      </c>
    </row>
    <row r="1931" spans="3:3" ht="19">
      <c r="C1931" s="55" t="s">
        <v>8523</v>
      </c>
    </row>
    <row r="1932" spans="3:3" ht="19">
      <c r="C1932" s="55" t="s">
        <v>8526</v>
      </c>
    </row>
    <row r="1933" spans="3:3" ht="19">
      <c r="C1933" s="55" t="s">
        <v>8787</v>
      </c>
    </row>
    <row r="1934" spans="3:3" ht="19">
      <c r="C1934" s="55" t="s">
        <v>8458</v>
      </c>
    </row>
    <row r="1935" spans="3:3" ht="19">
      <c r="C1935" s="55" t="s">
        <v>8459</v>
      </c>
    </row>
    <row r="1936" spans="3:3" ht="19">
      <c r="C1936" s="55" t="s">
        <v>8089</v>
      </c>
    </row>
    <row r="1937" spans="3:3" ht="19">
      <c r="C1937" s="55" t="s">
        <v>8425</v>
      </c>
    </row>
    <row r="1938" spans="3:3" ht="19">
      <c r="C1938" s="55" t="s">
        <v>8788</v>
      </c>
    </row>
    <row r="1939" spans="3:3">
      <c r="C1939" s="2" t="s">
        <v>8789</v>
      </c>
    </row>
    <row r="1940" spans="3:3" ht="19">
      <c r="C1940" s="55" t="s">
        <v>8790</v>
      </c>
    </row>
    <row r="1941" spans="3:3">
      <c r="C1941" s="2" t="s">
        <v>8791</v>
      </c>
    </row>
    <row r="1942" spans="3:3" ht="19">
      <c r="C1942" s="55" t="s">
        <v>8792</v>
      </c>
    </row>
    <row r="1943" spans="3:3">
      <c r="C1943" s="2" t="s">
        <v>8793</v>
      </c>
    </row>
    <row r="1944" spans="3:3" ht="19">
      <c r="C1944" s="55" t="s">
        <v>8794</v>
      </c>
    </row>
    <row r="1945" spans="3:3" ht="19">
      <c r="C1945" s="55" t="s">
        <v>8795</v>
      </c>
    </row>
    <row r="1946" spans="3:3">
      <c r="C1946" s="2" t="s">
        <v>8796</v>
      </c>
    </row>
    <row r="1947" spans="3:3" ht="19">
      <c r="C1947" s="55" t="s">
        <v>8797</v>
      </c>
    </row>
    <row r="1948" spans="3:3">
      <c r="C1948" s="2" t="s">
        <v>5002</v>
      </c>
    </row>
    <row r="1949" spans="3:3" ht="19">
      <c r="C1949" s="55" t="s">
        <v>7473</v>
      </c>
    </row>
    <row r="1950" spans="3:3" ht="19">
      <c r="C1950" s="55" t="s">
        <v>8739</v>
      </c>
    </row>
    <row r="1951" spans="3:3" ht="19">
      <c r="C1951" s="55" t="s">
        <v>8798</v>
      </c>
    </row>
    <row r="1952" spans="3:3" ht="19">
      <c r="C1952" s="55" t="s">
        <v>8799</v>
      </c>
    </row>
    <row r="1953" spans="3:3" ht="19">
      <c r="C1953" s="55" t="s">
        <v>7508</v>
      </c>
    </row>
    <row r="1954" spans="3:3" ht="19">
      <c r="C1954" s="55" t="s">
        <v>8800</v>
      </c>
    </row>
    <row r="1955" spans="3:3" ht="19">
      <c r="C1955" s="55" t="s">
        <v>8731</v>
      </c>
    </row>
    <row r="1956" spans="3:3" ht="19">
      <c r="C1956" s="55" t="s">
        <v>8732</v>
      </c>
    </row>
    <row r="1957" spans="3:3" ht="19">
      <c r="C1957" s="55" t="s">
        <v>8801</v>
      </c>
    </row>
    <row r="1958" spans="3:3" ht="19">
      <c r="C1958" s="55" t="s">
        <v>8016</v>
      </c>
    </row>
    <row r="1959" spans="3:3" ht="19">
      <c r="C1959" s="55" t="s">
        <v>8017</v>
      </c>
    </row>
    <row r="1960" spans="3:3" ht="19">
      <c r="C1960" s="55" t="s">
        <v>8018</v>
      </c>
    </row>
    <row r="1961" spans="3:3">
      <c r="C1961" s="2" t="s">
        <v>8802</v>
      </c>
    </row>
    <row r="1962" spans="3:3" ht="19">
      <c r="C1962" s="55" t="s">
        <v>7450</v>
      </c>
    </row>
    <row r="1963" spans="3:3">
      <c r="C1963" s="2" t="s">
        <v>8803</v>
      </c>
    </row>
    <row r="1964" spans="3:3" ht="19">
      <c r="C1964" s="55" t="s">
        <v>8804</v>
      </c>
    </row>
    <row r="1965" spans="3:3">
      <c r="C1965" s="2" t="s">
        <v>8805</v>
      </c>
    </row>
    <row r="1966" spans="3:3" ht="19">
      <c r="C1966" s="55" t="s">
        <v>8598</v>
      </c>
    </row>
    <row r="1967" spans="3:3" ht="19">
      <c r="C1967" s="55" t="s">
        <v>8806</v>
      </c>
    </row>
    <row r="1968" spans="3:3" ht="19">
      <c r="C1968" s="55" t="s">
        <v>7759</v>
      </c>
    </row>
    <row r="1969" spans="3:3" ht="19">
      <c r="C1969" s="55" t="s">
        <v>8641</v>
      </c>
    </row>
    <row r="1970" spans="3:3" ht="19">
      <c r="C1970" s="55" t="s">
        <v>8725</v>
      </c>
    </row>
    <row r="1971" spans="3:3" ht="19">
      <c r="C1971" s="55" t="s">
        <v>8807</v>
      </c>
    </row>
    <row r="1972" spans="3:3" ht="19">
      <c r="C1972" s="55" t="s">
        <v>7501</v>
      </c>
    </row>
    <row r="1973" spans="3:3">
      <c r="C1973" s="2" t="s">
        <v>8808</v>
      </c>
    </row>
    <row r="1974" spans="3:3" ht="19">
      <c r="C1974" s="55" t="s">
        <v>7482</v>
      </c>
    </row>
    <row r="1975" spans="3:3">
      <c r="C1975" s="2" t="s">
        <v>8809</v>
      </c>
    </row>
    <row r="1976" spans="3:3" ht="19">
      <c r="C1976" s="55" t="s">
        <v>8445</v>
      </c>
    </row>
    <row r="1977" spans="3:3" ht="19">
      <c r="C1977" s="55" t="s">
        <v>7931</v>
      </c>
    </row>
    <row r="1978" spans="3:3">
      <c r="C1978" s="2" t="s">
        <v>8810</v>
      </c>
    </row>
    <row r="1979" spans="3:3" ht="19">
      <c r="C1979" s="55" t="s">
        <v>8811</v>
      </c>
    </row>
    <row r="1980" spans="3:3">
      <c r="C1980" s="2" t="s">
        <v>8812</v>
      </c>
    </row>
    <row r="1981" spans="3:3" ht="19">
      <c r="C1981" s="55" t="s">
        <v>8813</v>
      </c>
    </row>
    <row r="1982" spans="3:3" ht="19">
      <c r="C1982" s="55" t="s">
        <v>8814</v>
      </c>
    </row>
    <row r="1983" spans="3:3">
      <c r="C1983" s="2" t="s">
        <v>8815</v>
      </c>
    </row>
    <row r="1984" spans="3:3" ht="19">
      <c r="C1984" s="55" t="s">
        <v>8816</v>
      </c>
    </row>
    <row r="1985" spans="3:3" ht="19">
      <c r="C1985" s="55" t="s">
        <v>8817</v>
      </c>
    </row>
    <row r="1986" spans="3:3">
      <c r="C1986" s="2" t="s">
        <v>8818</v>
      </c>
    </row>
    <row r="1987" spans="3:3" ht="19">
      <c r="C1987" s="55" t="s">
        <v>8819</v>
      </c>
    </row>
    <row r="1988" spans="3:3" ht="19">
      <c r="C1988" s="55" t="s">
        <v>8820</v>
      </c>
    </row>
    <row r="1989" spans="3:3">
      <c r="C1989" s="2" t="s">
        <v>8821</v>
      </c>
    </row>
    <row r="1990" spans="3:3" ht="19">
      <c r="C1990" s="55" t="s">
        <v>8822</v>
      </c>
    </row>
    <row r="1991" spans="3:3" ht="19">
      <c r="C1991" s="55" t="s">
        <v>8823</v>
      </c>
    </row>
    <row r="1992" spans="3:3">
      <c r="C1992" s="2" t="s">
        <v>8824</v>
      </c>
    </row>
    <row r="1993" spans="3:3" ht="19">
      <c r="C1993" s="55" t="s">
        <v>8825</v>
      </c>
    </row>
    <row r="1994" spans="3:3" ht="19">
      <c r="C1994" s="55" t="s">
        <v>8826</v>
      </c>
    </row>
    <row r="1995" spans="3:3">
      <c r="C1995" s="2" t="s">
        <v>8827</v>
      </c>
    </row>
    <row r="1996" spans="3:3" ht="19">
      <c r="C1996" s="55" t="s">
        <v>8828</v>
      </c>
    </row>
    <row r="1997" spans="3:3" ht="19">
      <c r="C1997" s="55" t="s">
        <v>8829</v>
      </c>
    </row>
    <row r="1998" spans="3:3">
      <c r="C1998" s="2" t="s">
        <v>8830</v>
      </c>
    </row>
    <row r="1999" spans="3:3" ht="19">
      <c r="C1999" s="55" t="s">
        <v>8578</v>
      </c>
    </row>
    <row r="2000" spans="3:3">
      <c r="C2000" s="2" t="s">
        <v>8831</v>
      </c>
    </row>
    <row r="2001" spans="3:3" ht="19">
      <c r="C2001" s="55" t="s">
        <v>8581</v>
      </c>
    </row>
    <row r="2002" spans="3:3">
      <c r="C2002" s="2" t="s">
        <v>8832</v>
      </c>
    </row>
    <row r="2003" spans="3:3" ht="19">
      <c r="C2003" s="55" t="s">
        <v>8833</v>
      </c>
    </row>
    <row r="2004" spans="3:3" ht="19">
      <c r="C2004" s="55" t="s">
        <v>8034</v>
      </c>
    </row>
    <row r="2005" spans="3:3">
      <c r="C2005" s="2" t="s">
        <v>8834</v>
      </c>
    </row>
    <row r="2006" spans="3:3" ht="19">
      <c r="C2006" s="55" t="s">
        <v>8835</v>
      </c>
    </row>
    <row r="2007" spans="3:3">
      <c r="C2007" s="2" t="s">
        <v>3801</v>
      </c>
    </row>
    <row r="2008" spans="3:3" ht="19">
      <c r="C2008" s="55" t="s">
        <v>8583</v>
      </c>
    </row>
    <row r="2009" spans="3:3">
      <c r="C2009" s="2" t="s">
        <v>8836</v>
      </c>
    </row>
    <row r="2010" spans="3:3" ht="19">
      <c r="C2010" s="55" t="s">
        <v>8837</v>
      </c>
    </row>
    <row r="2011" spans="3:3">
      <c r="C2011" s="2" t="s">
        <v>8838</v>
      </c>
    </row>
    <row r="2012" spans="3:3" ht="19">
      <c r="C2012" s="55" t="s">
        <v>8583</v>
      </c>
    </row>
    <row r="2013" spans="3:3">
      <c r="C2013" s="2" t="s">
        <v>3802</v>
      </c>
    </row>
    <row r="2014" spans="3:3" ht="19">
      <c r="C2014" s="55" t="s">
        <v>8586</v>
      </c>
    </row>
    <row r="2015" spans="3:3">
      <c r="C2015" s="2" t="s">
        <v>8839</v>
      </c>
    </row>
    <row r="2016" spans="3:3" ht="19">
      <c r="C2016" s="55" t="s">
        <v>8586</v>
      </c>
    </row>
    <row r="2017" spans="3:3">
      <c r="C2017" s="2" t="s">
        <v>3803</v>
      </c>
    </row>
    <row r="2018" spans="3:3" ht="19">
      <c r="C2018" s="55" t="s">
        <v>8589</v>
      </c>
    </row>
    <row r="2019" spans="3:3">
      <c r="C2019" s="2" t="s">
        <v>8840</v>
      </c>
    </row>
    <row r="2020" spans="3:3" ht="19">
      <c r="C2020" s="55" t="s">
        <v>8589</v>
      </c>
    </row>
    <row r="2021" spans="3:3">
      <c r="C2021" s="2" t="s">
        <v>3804</v>
      </c>
    </row>
    <row r="2022" spans="3:3" ht="19">
      <c r="C2022" s="55" t="s">
        <v>8592</v>
      </c>
    </row>
    <row r="2023" spans="3:3">
      <c r="C2023" s="2" t="s">
        <v>8841</v>
      </c>
    </row>
    <row r="2024" spans="3:3" ht="19">
      <c r="C2024" s="55" t="s">
        <v>8592</v>
      </c>
    </row>
    <row r="2025" spans="3:3">
      <c r="C2025" s="2" t="s">
        <v>3805</v>
      </c>
    </row>
    <row r="2026" spans="3:3" ht="19">
      <c r="C2026" s="55" t="s">
        <v>8594</v>
      </c>
    </row>
    <row r="2027" spans="3:3">
      <c r="C2027" s="2" t="s">
        <v>8842</v>
      </c>
    </row>
    <row r="2028" spans="3:3" ht="19">
      <c r="C2028" s="55" t="s">
        <v>8594</v>
      </c>
    </row>
    <row r="2029" spans="3:3">
      <c r="C2029" s="2" t="s">
        <v>3806</v>
      </c>
    </row>
    <row r="2030" spans="3:3" ht="19">
      <c r="C2030" s="55" t="s">
        <v>8596</v>
      </c>
    </row>
    <row r="2031" spans="3:3">
      <c r="C2031" s="2" t="s">
        <v>8843</v>
      </c>
    </row>
    <row r="2032" spans="3:3" ht="19">
      <c r="C2032" s="55" t="s">
        <v>8596</v>
      </c>
    </row>
    <row r="2033" spans="3:3">
      <c r="C2033" s="2" t="s">
        <v>8844</v>
      </c>
    </row>
    <row r="2034" spans="3:3" ht="19">
      <c r="C2034" s="55" t="s">
        <v>8845</v>
      </c>
    </row>
    <row r="2035" spans="3:3" ht="19">
      <c r="C2035" s="55" t="s">
        <v>7550</v>
      </c>
    </row>
    <row r="2036" spans="3:3" ht="19">
      <c r="C2036" s="55" t="s">
        <v>7922</v>
      </c>
    </row>
    <row r="2037" spans="3:3" ht="19">
      <c r="C2037" s="55" t="s">
        <v>7759</v>
      </c>
    </row>
    <row r="2038" spans="3:3" ht="19">
      <c r="C2038" s="55" t="s">
        <v>7931</v>
      </c>
    </row>
    <row r="2039" spans="3:3" ht="19">
      <c r="C2039" s="55" t="s">
        <v>8846</v>
      </c>
    </row>
    <row r="2040" spans="3:3" ht="19">
      <c r="C2040" s="55" t="s">
        <v>8847</v>
      </c>
    </row>
    <row r="2041" spans="3:3" ht="19">
      <c r="C2041" s="55" t="s">
        <v>8190</v>
      </c>
    </row>
    <row r="2042" spans="3:3" ht="19">
      <c r="C2042" s="55" t="s">
        <v>8848</v>
      </c>
    </row>
    <row r="2043" spans="3:3">
      <c r="C2043" s="2" t="s">
        <v>8849</v>
      </c>
    </row>
    <row r="2044" spans="3:3" ht="19">
      <c r="C2044" s="55" t="s">
        <v>7550</v>
      </c>
    </row>
    <row r="2045" spans="3:3" ht="19">
      <c r="C2045" s="55" t="s">
        <v>8850</v>
      </c>
    </row>
    <row r="2046" spans="3:3" ht="19">
      <c r="C2046" s="55" t="s">
        <v>8851</v>
      </c>
    </row>
    <row r="2047" spans="3:3" ht="19">
      <c r="C2047" s="55" t="s">
        <v>8190</v>
      </c>
    </row>
    <row r="2048" spans="3:3" ht="19">
      <c r="C2048" s="55" t="s">
        <v>8848</v>
      </c>
    </row>
    <row r="2049" spans="3:3">
      <c r="C2049" s="2" t="s">
        <v>8852</v>
      </c>
    </row>
    <row r="2050" spans="3:3" ht="19">
      <c r="C2050" s="55" t="s">
        <v>8853</v>
      </c>
    </row>
    <row r="2051" spans="3:3">
      <c r="C2051" s="2" t="s">
        <v>8854</v>
      </c>
    </row>
    <row r="2052" spans="3:3" ht="19">
      <c r="C2052" s="55" t="s">
        <v>7482</v>
      </c>
    </row>
    <row r="2053" spans="3:3" ht="19">
      <c r="C2053" s="55" t="s">
        <v>7488</v>
      </c>
    </row>
    <row r="2054" spans="3:3" ht="19">
      <c r="C2054" s="55" t="s">
        <v>7485</v>
      </c>
    </row>
    <row r="2055" spans="3:3">
      <c r="C2055" s="2" t="s">
        <v>8855</v>
      </c>
    </row>
    <row r="2056" spans="3:3" ht="19">
      <c r="C2056" s="55" t="s">
        <v>8846</v>
      </c>
    </row>
    <row r="2057" spans="3:3" ht="19">
      <c r="C2057" s="55" t="s">
        <v>7483</v>
      </c>
    </row>
    <row r="2058" spans="3:3">
      <c r="C2058" s="2" t="s">
        <v>8856</v>
      </c>
    </row>
    <row r="2059" spans="3:3" ht="19">
      <c r="C2059" s="55" t="s">
        <v>8857</v>
      </c>
    </row>
    <row r="2060" spans="3:3">
      <c r="C2060" s="2" t="s">
        <v>8858</v>
      </c>
    </row>
    <row r="2061" spans="3:3" ht="19">
      <c r="C2061" s="55" t="s">
        <v>8859</v>
      </c>
    </row>
    <row r="2062" spans="3:3">
      <c r="C2062" s="2" t="s">
        <v>8860</v>
      </c>
    </row>
    <row r="2063" spans="3:3" ht="19">
      <c r="C2063" s="55" t="s">
        <v>8718</v>
      </c>
    </row>
    <row r="2064" spans="3:3">
      <c r="C2064" s="2" t="s">
        <v>8861</v>
      </c>
    </row>
    <row r="2065" spans="3:3" ht="19">
      <c r="C2065" s="55" t="s">
        <v>7514</v>
      </c>
    </row>
    <row r="2066" spans="3:3" ht="19">
      <c r="C2066" s="55" t="s">
        <v>8862</v>
      </c>
    </row>
    <row r="2067" spans="3:3">
      <c r="C2067" s="2" t="s">
        <v>8863</v>
      </c>
    </row>
    <row r="2068" spans="3:3" ht="19">
      <c r="C2068" s="55" t="s">
        <v>7514</v>
      </c>
    </row>
    <row r="2069" spans="3:3" ht="19">
      <c r="C2069" s="55" t="s">
        <v>8864</v>
      </c>
    </row>
    <row r="2070" spans="3:3">
      <c r="C2070" s="2" t="s">
        <v>8865</v>
      </c>
    </row>
    <row r="2071" spans="3:3" ht="19">
      <c r="C2071" s="55" t="s">
        <v>7516</v>
      </c>
    </row>
    <row r="2072" spans="3:3" ht="19">
      <c r="C2072" s="55" t="s">
        <v>8866</v>
      </c>
    </row>
    <row r="2073" spans="3:3">
      <c r="C2073" s="2" t="s">
        <v>8867</v>
      </c>
    </row>
    <row r="2074" spans="3:3" ht="19">
      <c r="C2074" s="55" t="s">
        <v>7473</v>
      </c>
    </row>
    <row r="2075" spans="3:3" ht="19">
      <c r="C2075" s="55" t="s">
        <v>8868</v>
      </c>
    </row>
    <row r="2076" spans="3:3" ht="19">
      <c r="C2076" s="55" t="s">
        <v>8023</v>
      </c>
    </row>
    <row r="2077" spans="3:3">
      <c r="C2077" s="2" t="s">
        <v>8869</v>
      </c>
    </row>
    <row r="2078" spans="3:3" ht="19">
      <c r="C2078" s="55" t="s">
        <v>8870</v>
      </c>
    </row>
    <row r="2079" spans="3:3">
      <c r="C2079" s="2" t="s">
        <v>8871</v>
      </c>
    </row>
    <row r="2080" spans="3:3" ht="19">
      <c r="C2080" s="55" t="s">
        <v>8183</v>
      </c>
    </row>
    <row r="2081" spans="3:3" ht="19">
      <c r="C2081" s="55" t="s">
        <v>8184</v>
      </c>
    </row>
    <row r="2082" spans="3:3" ht="19">
      <c r="C2082" s="55" t="s">
        <v>7527</v>
      </c>
    </row>
    <row r="2083" spans="3:3">
      <c r="C2083" s="2" t="s">
        <v>8872</v>
      </c>
    </row>
    <row r="2084" spans="3:3" ht="19">
      <c r="C2084" s="55" t="s">
        <v>8183</v>
      </c>
    </row>
    <row r="2085" spans="3:3" ht="19">
      <c r="C2085" s="55" t="s">
        <v>7527</v>
      </c>
    </row>
    <row r="2086" spans="3:3">
      <c r="C2086" s="2" t="s">
        <v>8873</v>
      </c>
    </row>
    <row r="2087" spans="3:3" ht="19">
      <c r="C2087" s="55" t="s">
        <v>7480</v>
      </c>
    </row>
    <row r="2088" spans="3:3">
      <c r="C2088" s="2" t="s">
        <v>8874</v>
      </c>
    </row>
    <row r="2089" spans="3:3" ht="19">
      <c r="C2089" s="55" t="s">
        <v>7473</v>
      </c>
    </row>
    <row r="2090" spans="3:3" ht="19">
      <c r="C2090" s="55" t="s">
        <v>8875</v>
      </c>
    </row>
    <row r="2091" spans="3:3" ht="19">
      <c r="C2091" s="55" t="s">
        <v>8876</v>
      </c>
    </row>
    <row r="2092" spans="3:3" ht="19">
      <c r="C2092" s="55" t="s">
        <v>8141</v>
      </c>
    </row>
    <row r="2093" spans="3:3" ht="19">
      <c r="C2093" s="55" t="s">
        <v>7482</v>
      </c>
    </row>
    <row r="2094" spans="3:3" ht="19">
      <c r="C2094" s="55" t="s">
        <v>8877</v>
      </c>
    </row>
    <row r="2095" spans="3:3" ht="19">
      <c r="C2095" s="55" t="s">
        <v>8878</v>
      </c>
    </row>
    <row r="2096" spans="3:3" ht="19">
      <c r="C2096" s="55" t="s">
        <v>7483</v>
      </c>
    </row>
    <row r="2097" spans="3:3" ht="19">
      <c r="C2097" s="55" t="s">
        <v>7504</v>
      </c>
    </row>
    <row r="2098" spans="3:3" ht="19">
      <c r="C2098" s="55" t="s">
        <v>8879</v>
      </c>
    </row>
    <row r="2099" spans="3:3" ht="19">
      <c r="C2099" s="55" t="s">
        <v>7767</v>
      </c>
    </row>
    <row r="2100" spans="3:3" ht="19">
      <c r="C2100" s="55" t="s">
        <v>8880</v>
      </c>
    </row>
    <row r="2101" spans="3:3">
      <c r="C2101" s="2" t="s">
        <v>8881</v>
      </c>
    </row>
    <row r="2102" spans="3:3" ht="19">
      <c r="C2102" s="55" t="s">
        <v>7488</v>
      </c>
    </row>
    <row r="2103" spans="3:3" ht="19">
      <c r="C2103" s="55" t="s">
        <v>8882</v>
      </c>
    </row>
    <row r="2104" spans="3:3">
      <c r="C2104" s="2" t="s">
        <v>8883</v>
      </c>
    </row>
    <row r="2105" spans="3:3" ht="19">
      <c r="C2105" s="55" t="s">
        <v>7483</v>
      </c>
    </row>
    <row r="2106" spans="3:3" ht="19">
      <c r="C2106" s="55" t="s">
        <v>8884</v>
      </c>
    </row>
    <row r="2107" spans="3:3">
      <c r="C2107" s="2" t="s">
        <v>8885</v>
      </c>
    </row>
    <row r="2108" spans="3:3" ht="19">
      <c r="C2108" s="55" t="s">
        <v>7516</v>
      </c>
    </row>
    <row r="2109" spans="3:3" ht="19">
      <c r="C2109" s="55" t="s">
        <v>8886</v>
      </c>
    </row>
    <row r="2110" spans="3:3" ht="19">
      <c r="C2110" s="55" t="s">
        <v>7473</v>
      </c>
    </row>
    <row r="2111" spans="3:3" ht="19">
      <c r="C2111" s="55" t="s">
        <v>8098</v>
      </c>
    </row>
    <row r="2112" spans="3:3" ht="19">
      <c r="C2112" s="55" t="s">
        <v>8887</v>
      </c>
    </row>
    <row r="2113" spans="3:3">
      <c r="C2113" s="2" t="s">
        <v>8888</v>
      </c>
    </row>
    <row r="2114" spans="3:3" ht="19">
      <c r="C2114" s="55" t="s">
        <v>8889</v>
      </c>
    </row>
    <row r="2115" spans="3:3" ht="19">
      <c r="C2115" s="55" t="s">
        <v>8890</v>
      </c>
    </row>
    <row r="2116" spans="3:3" ht="19">
      <c r="C2116" s="55" t="s">
        <v>8891</v>
      </c>
    </row>
    <row r="2117" spans="3:3">
      <c r="C2117" s="2" t="s">
        <v>8892</v>
      </c>
    </row>
    <row r="2118" spans="3:3" ht="19">
      <c r="C2118" s="55" t="s">
        <v>8893</v>
      </c>
    </row>
    <row r="2119" spans="3:3">
      <c r="C2119" s="2" t="s">
        <v>8894</v>
      </c>
    </row>
    <row r="2120" spans="3:3" ht="19">
      <c r="C2120" s="55" t="s">
        <v>7473</v>
      </c>
    </row>
    <row r="2121" spans="3:3">
      <c r="C2121" s="2" t="s">
        <v>8895</v>
      </c>
    </row>
    <row r="2122" spans="3:3" ht="19">
      <c r="C2122" s="55" t="s">
        <v>8077</v>
      </c>
    </row>
    <row r="2123" spans="3:3" ht="19">
      <c r="C2123" s="55" t="s">
        <v>7767</v>
      </c>
    </row>
    <row r="2124" spans="3:3">
      <c r="C2124" s="2" t="s">
        <v>8896</v>
      </c>
    </row>
    <row r="2125" spans="3:3" ht="19">
      <c r="C2125" s="55" t="s">
        <v>7480</v>
      </c>
    </row>
    <row r="2126" spans="3:3" ht="19">
      <c r="C2126" s="55" t="s">
        <v>7495</v>
      </c>
    </row>
    <row r="2127" spans="3:3">
      <c r="C2127" s="2" t="s">
        <v>8897</v>
      </c>
    </row>
    <row r="2128" spans="3:3" ht="19">
      <c r="C2128" s="55" t="s">
        <v>7969</v>
      </c>
    </row>
    <row r="2129" spans="3:3">
      <c r="C2129" s="2" t="s">
        <v>8898</v>
      </c>
    </row>
    <row r="2130" spans="3:3" ht="19">
      <c r="C2130" s="55" t="s">
        <v>7508</v>
      </c>
    </row>
    <row r="2131" spans="3:3">
      <c r="C2131" s="2" t="s">
        <v>8899</v>
      </c>
    </row>
    <row r="2132" spans="3:3" ht="19">
      <c r="C2132" s="55" t="s">
        <v>7488</v>
      </c>
    </row>
    <row r="2133" spans="3:3" ht="19">
      <c r="C2133" s="55" t="s">
        <v>8900</v>
      </c>
    </row>
    <row r="2134" spans="3:3" ht="19">
      <c r="C2134" s="55" t="s">
        <v>8515</v>
      </c>
    </row>
    <row r="2135" spans="3:3">
      <c r="C2135" s="2" t="s">
        <v>8901</v>
      </c>
    </row>
    <row r="2136" spans="3:3" ht="19">
      <c r="C2136" s="55" t="s">
        <v>8470</v>
      </c>
    </row>
    <row r="2137" spans="3:3" ht="19">
      <c r="C2137" s="55" t="s">
        <v>8628</v>
      </c>
    </row>
    <row r="2138" spans="3:3">
      <c r="C2138" s="2" t="s">
        <v>8902</v>
      </c>
    </row>
    <row r="2139" spans="3:3" ht="19">
      <c r="C2139" s="55" t="s">
        <v>8470</v>
      </c>
    </row>
    <row r="2140" spans="3:3" ht="19">
      <c r="C2140" s="55" t="s">
        <v>8628</v>
      </c>
    </row>
    <row r="2141" spans="3:3">
      <c r="C2141" s="2" t="s">
        <v>8903</v>
      </c>
    </row>
    <row r="2142" spans="3:3" ht="19">
      <c r="C2142" s="55" t="s">
        <v>8470</v>
      </c>
    </row>
    <row r="2143" spans="3:3" ht="19">
      <c r="C2143" s="55" t="s">
        <v>8628</v>
      </c>
    </row>
    <row r="2144" spans="3:3">
      <c r="C2144" s="2" t="s">
        <v>8904</v>
      </c>
    </row>
    <row r="2145" spans="3:3" ht="19">
      <c r="C2145" s="55" t="s">
        <v>8905</v>
      </c>
    </row>
    <row r="2146" spans="3:3" ht="19">
      <c r="C2146" s="55" t="s">
        <v>8906</v>
      </c>
    </row>
    <row r="2147" spans="3:3">
      <c r="C2147" s="2" t="s">
        <v>3871</v>
      </c>
    </row>
    <row r="2148" spans="3:3" ht="19">
      <c r="C2148" s="55" t="s">
        <v>8183</v>
      </c>
    </row>
    <row r="2149" spans="3:3">
      <c r="C2149" s="2" t="s">
        <v>8907</v>
      </c>
    </row>
    <row r="2150" spans="3:3" ht="19">
      <c r="C2150" s="55" t="s">
        <v>7516</v>
      </c>
    </row>
    <row r="2151" spans="3:3" ht="19">
      <c r="C2151" s="55" t="s">
        <v>7495</v>
      </c>
    </row>
    <row r="2152" spans="3:3">
      <c r="C2152" s="2" t="s">
        <v>8908</v>
      </c>
    </row>
    <row r="2153" spans="3:3" ht="19">
      <c r="C2153" s="55" t="s">
        <v>8909</v>
      </c>
    </row>
    <row r="2154" spans="3:3">
      <c r="C2154" s="2" t="s">
        <v>8910</v>
      </c>
    </row>
    <row r="2155" spans="3:3" ht="19">
      <c r="C2155" s="55" t="s">
        <v>8148</v>
      </c>
    </row>
    <row r="2156" spans="3:3" ht="19">
      <c r="C2156" s="55" t="s">
        <v>8149</v>
      </c>
    </row>
    <row r="2157" spans="3:3">
      <c r="C2157" s="2" t="s">
        <v>8911</v>
      </c>
    </row>
    <row r="2158" spans="3:3" ht="19">
      <c r="C2158" s="55" t="s">
        <v>7552</v>
      </c>
    </row>
    <row r="2159" spans="3:3">
      <c r="C2159" s="2" t="s">
        <v>8912</v>
      </c>
    </row>
    <row r="2160" spans="3:3" ht="19">
      <c r="C2160" s="55" t="s">
        <v>8913</v>
      </c>
    </row>
    <row r="2161" spans="3:3" ht="19">
      <c r="C2161" s="55" t="s">
        <v>8914</v>
      </c>
    </row>
    <row r="2162" spans="3:3">
      <c r="C2162" s="2" t="s">
        <v>8915</v>
      </c>
    </row>
    <row r="2163" spans="3:3" ht="19">
      <c r="C2163" s="55" t="s">
        <v>8000</v>
      </c>
    </row>
    <row r="2164" spans="3:3">
      <c r="C2164" s="2" t="s">
        <v>8916</v>
      </c>
    </row>
    <row r="2165" spans="3:3" ht="19">
      <c r="C2165" s="55" t="s">
        <v>8917</v>
      </c>
    </row>
    <row r="2166" spans="3:3" ht="19">
      <c r="C2166" s="55" t="s">
        <v>7504</v>
      </c>
    </row>
    <row r="2167" spans="3:3">
      <c r="C2167" s="2" t="s">
        <v>8918</v>
      </c>
    </row>
    <row r="2168" spans="3:3" ht="19">
      <c r="C2168" s="55" t="s">
        <v>8919</v>
      </c>
    </row>
    <row r="2169" spans="3:3">
      <c r="C2169" s="2" t="s">
        <v>8920</v>
      </c>
    </row>
    <row r="2170" spans="3:3" ht="19">
      <c r="C2170" s="55" t="s">
        <v>8794</v>
      </c>
    </row>
    <row r="2171" spans="3:3">
      <c r="C2171" s="2" t="s">
        <v>8921</v>
      </c>
    </row>
    <row r="2172" spans="3:3" ht="19">
      <c r="C2172" s="55" t="s">
        <v>8922</v>
      </c>
    </row>
    <row r="2173" spans="3:3">
      <c r="C2173" s="2" t="s">
        <v>8923</v>
      </c>
    </row>
    <row r="2174" spans="3:3" ht="19">
      <c r="C2174" s="55" t="s">
        <v>7493</v>
      </c>
    </row>
    <row r="2175" spans="3:3" ht="19">
      <c r="C2175" s="55" t="s">
        <v>7545</v>
      </c>
    </row>
    <row r="2176" spans="3:3" ht="19">
      <c r="C2176" s="55" t="s">
        <v>7567</v>
      </c>
    </row>
    <row r="2177" spans="3:3" ht="19">
      <c r="C2177" s="55" t="s">
        <v>8089</v>
      </c>
    </row>
    <row r="2178" spans="3:3" ht="19">
      <c r="C2178" s="55" t="s">
        <v>8399</v>
      </c>
    </row>
    <row r="2179" spans="3:3">
      <c r="C2179" s="2" t="s">
        <v>6759</v>
      </c>
    </row>
    <row r="2180" spans="3:3" ht="19">
      <c r="C2180" s="55" t="s">
        <v>8613</v>
      </c>
    </row>
    <row r="2181" spans="3:3" ht="19">
      <c r="C2181" s="55" t="s">
        <v>7780</v>
      </c>
    </row>
    <row r="2182" spans="3:3">
      <c r="C2182" s="2" t="s">
        <v>8924</v>
      </c>
    </row>
    <row r="2183" spans="3:3" ht="19">
      <c r="C2183" s="55" t="s">
        <v>8925</v>
      </c>
    </row>
    <row r="2184" spans="3:3">
      <c r="C2184" s="2" t="s">
        <v>6757</v>
      </c>
    </row>
    <row r="2185" spans="3:3" ht="19">
      <c r="C2185" s="55" t="s">
        <v>8926</v>
      </c>
    </row>
    <row r="2186" spans="3:3" ht="19">
      <c r="C2186" s="55" t="s">
        <v>8927</v>
      </c>
    </row>
    <row r="2187" spans="3:3" ht="19">
      <c r="C2187" s="55" t="s">
        <v>8928</v>
      </c>
    </row>
    <row r="2188" spans="3:3" ht="19">
      <c r="C2188" s="55" t="s">
        <v>8141</v>
      </c>
    </row>
    <row r="2189" spans="3:3" ht="19">
      <c r="C2189" s="55" t="s">
        <v>8006</v>
      </c>
    </row>
    <row r="2190" spans="3:3">
      <c r="C2190" s="2" t="s">
        <v>8929</v>
      </c>
    </row>
    <row r="2191" spans="3:3" ht="19">
      <c r="C2191" s="55" t="s">
        <v>7473</v>
      </c>
    </row>
    <row r="2192" spans="3:3">
      <c r="C2192" s="2" t="s">
        <v>8930</v>
      </c>
    </row>
    <row r="2193" spans="3:3" ht="19">
      <c r="C2193" s="55" t="s">
        <v>7473</v>
      </c>
    </row>
    <row r="2194" spans="3:3">
      <c r="C2194" s="2" t="s">
        <v>8931</v>
      </c>
    </row>
    <row r="2195" spans="3:3" ht="19">
      <c r="C2195" s="55" t="s">
        <v>7473</v>
      </c>
    </row>
    <row r="2196" spans="3:3">
      <c r="C2196" s="2" t="s">
        <v>8932</v>
      </c>
    </row>
    <row r="2197" spans="3:3" ht="19">
      <c r="C2197" s="55" t="s">
        <v>7473</v>
      </c>
    </row>
    <row r="2198" spans="3:3">
      <c r="C2198" s="2" t="s">
        <v>8933</v>
      </c>
    </row>
    <row r="2199" spans="3:3" ht="19">
      <c r="C2199" s="55" t="s">
        <v>7473</v>
      </c>
    </row>
    <row r="2200" spans="3:3">
      <c r="C2200" s="2" t="s">
        <v>8934</v>
      </c>
    </row>
    <row r="2201" spans="3:3" ht="19">
      <c r="C2201" s="55" t="s">
        <v>7473</v>
      </c>
    </row>
    <row r="2202" spans="3:3">
      <c r="C2202" s="2" t="s">
        <v>8935</v>
      </c>
    </row>
    <row r="2203" spans="3:3" ht="19">
      <c r="C2203" s="55" t="s">
        <v>7473</v>
      </c>
    </row>
    <row r="2204" spans="3:3">
      <c r="C2204" s="2" t="s">
        <v>8936</v>
      </c>
    </row>
    <row r="2205" spans="3:3" ht="19">
      <c r="C2205" s="55" t="s">
        <v>7473</v>
      </c>
    </row>
    <row r="2206" spans="3:3">
      <c r="C2206" s="2" t="s">
        <v>8937</v>
      </c>
    </row>
    <row r="2207" spans="3:3" ht="19">
      <c r="C2207" s="55" t="s">
        <v>7473</v>
      </c>
    </row>
    <row r="2208" spans="3:3">
      <c r="C2208" s="2" t="s">
        <v>8938</v>
      </c>
    </row>
    <row r="2209" spans="3:3" ht="19">
      <c r="C2209" s="55" t="s">
        <v>7473</v>
      </c>
    </row>
    <row r="2210" spans="3:3">
      <c r="C2210" s="2" t="s">
        <v>8939</v>
      </c>
    </row>
    <row r="2211" spans="3:3" ht="19">
      <c r="C2211" s="55" t="s">
        <v>7526</v>
      </c>
    </row>
    <row r="2212" spans="3:3" ht="19">
      <c r="C2212" s="55" t="s">
        <v>8940</v>
      </c>
    </row>
    <row r="2213" spans="3:3" ht="19">
      <c r="C2213" s="55" t="s">
        <v>8141</v>
      </c>
    </row>
    <row r="2214" spans="3:3" ht="19">
      <c r="C2214" s="55" t="s">
        <v>7482</v>
      </c>
    </row>
    <row r="2215" spans="3:3" ht="19">
      <c r="C2215" s="55" t="s">
        <v>8941</v>
      </c>
    </row>
    <row r="2216" spans="3:3" ht="19">
      <c r="C2216" s="55" t="s">
        <v>7509</v>
      </c>
    </row>
    <row r="2217" spans="3:3" ht="19">
      <c r="C2217" s="55" t="s">
        <v>8942</v>
      </c>
    </row>
    <row r="2218" spans="3:3">
      <c r="C2218" s="2" t="s">
        <v>8943</v>
      </c>
    </row>
    <row r="2219" spans="3:3" ht="19">
      <c r="C2219" s="55" t="s">
        <v>7516</v>
      </c>
    </row>
    <row r="2220" spans="3:3" ht="19">
      <c r="C2220" s="55" t="s">
        <v>8944</v>
      </c>
    </row>
    <row r="2221" spans="3:3" ht="19">
      <c r="C2221" s="55" t="s">
        <v>7473</v>
      </c>
    </row>
    <row r="2222" spans="3:3" ht="19">
      <c r="C2222" s="55" t="s">
        <v>8945</v>
      </c>
    </row>
    <row r="2223" spans="3:3" ht="19">
      <c r="C2223" s="55" t="s">
        <v>7503</v>
      </c>
    </row>
    <row r="2224" spans="3:3">
      <c r="C2224" s="2" t="s">
        <v>8946</v>
      </c>
    </row>
    <row r="2225" spans="3:3" ht="19">
      <c r="C2225" s="55" t="s">
        <v>7481</v>
      </c>
    </row>
    <row r="2226" spans="3:3" ht="19">
      <c r="C2226" s="55" t="s">
        <v>7759</v>
      </c>
    </row>
    <row r="2227" spans="3:3" ht="19">
      <c r="C2227" s="55" t="s">
        <v>7482</v>
      </c>
    </row>
    <row r="2228" spans="3:3" ht="19">
      <c r="C2228" s="55" t="s">
        <v>7501</v>
      </c>
    </row>
    <row r="2229" spans="3:3" ht="19">
      <c r="C2229" s="55" t="s">
        <v>8947</v>
      </c>
    </row>
    <row r="2230" spans="3:3">
      <c r="C2230" s="2" t="s">
        <v>8948</v>
      </c>
    </row>
    <row r="2231" spans="3:3" ht="19">
      <c r="C2231" s="55" t="s">
        <v>7473</v>
      </c>
    </row>
    <row r="2232" spans="3:3" ht="19">
      <c r="C2232" s="55" t="s">
        <v>7933</v>
      </c>
    </row>
    <row r="2233" spans="3:3">
      <c r="C2233" s="2" t="s">
        <v>8949</v>
      </c>
    </row>
    <row r="2234" spans="3:3" ht="19">
      <c r="C2234" s="55" t="s">
        <v>8950</v>
      </c>
    </row>
    <row r="2235" spans="3:3">
      <c r="C2235" s="2" t="s">
        <v>8951</v>
      </c>
    </row>
    <row r="2236" spans="3:3" ht="19">
      <c r="C2236" s="55" t="s">
        <v>7483</v>
      </c>
    </row>
    <row r="2237" spans="3:3">
      <c r="C2237" s="2" t="s">
        <v>8952</v>
      </c>
    </row>
    <row r="2238" spans="3:3" ht="19">
      <c r="C2238" s="55" t="s">
        <v>7473</v>
      </c>
    </row>
    <row r="2239" spans="3:3" ht="19">
      <c r="C2239" s="55" t="s">
        <v>8953</v>
      </c>
    </row>
    <row r="2240" spans="3:3" ht="19">
      <c r="C2240" s="55" t="s">
        <v>8141</v>
      </c>
    </row>
    <row r="2241" spans="3:3" ht="19">
      <c r="C2241" s="55" t="s">
        <v>7482</v>
      </c>
    </row>
    <row r="2242" spans="3:3" ht="19">
      <c r="C2242" s="55" t="s">
        <v>7503</v>
      </c>
    </row>
    <row r="2243" spans="3:3" ht="19">
      <c r="C2243" s="55" t="s">
        <v>7488</v>
      </c>
    </row>
    <row r="2244" spans="3:3" ht="19">
      <c r="C2244" s="55" t="s">
        <v>7509</v>
      </c>
    </row>
    <row r="2245" spans="3:3" ht="19">
      <c r="C2245" s="55" t="s">
        <v>8942</v>
      </c>
    </row>
    <row r="2246" spans="3:3">
      <c r="C2246" s="2" t="s">
        <v>8954</v>
      </c>
    </row>
    <row r="2247" spans="3:3" ht="19">
      <c r="C2247" s="55" t="s">
        <v>8023</v>
      </c>
    </row>
    <row r="2248" spans="3:3" ht="19">
      <c r="C2248" s="55" t="s">
        <v>8607</v>
      </c>
    </row>
    <row r="2249" spans="3:3">
      <c r="C2249" s="2" t="s">
        <v>8955</v>
      </c>
    </row>
    <row r="2250" spans="3:3" ht="19">
      <c r="C2250" s="55" t="s">
        <v>8395</v>
      </c>
    </row>
    <row r="2251" spans="3:3">
      <c r="C2251" s="2" t="s">
        <v>8956</v>
      </c>
    </row>
    <row r="2252" spans="3:3" ht="19">
      <c r="C2252" s="55" t="s">
        <v>8957</v>
      </c>
    </row>
    <row r="2253" spans="3:3">
      <c r="C2253" s="2" t="s">
        <v>8958</v>
      </c>
    </row>
    <row r="2254" spans="3:3" ht="19">
      <c r="C2254" s="55" t="s">
        <v>7933</v>
      </c>
    </row>
    <row r="2255" spans="3:3" ht="19">
      <c r="C2255" s="55" t="s">
        <v>7925</v>
      </c>
    </row>
    <row r="2256" spans="3:3" ht="19">
      <c r="C2256" s="55" t="s">
        <v>8453</v>
      </c>
    </row>
    <row r="2257" spans="3:3" ht="19">
      <c r="C2257" s="55" t="s">
        <v>8023</v>
      </c>
    </row>
    <row r="2258" spans="3:3" ht="19">
      <c r="C2258" s="55" t="s">
        <v>8077</v>
      </c>
    </row>
    <row r="2259" spans="3:3" ht="19">
      <c r="C2259" s="55" t="s">
        <v>8481</v>
      </c>
    </row>
    <row r="2260" spans="3:3" ht="19">
      <c r="C2260" s="55" t="s">
        <v>8049</v>
      </c>
    </row>
    <row r="2261" spans="3:3">
      <c r="C2261" s="2" t="s">
        <v>8959</v>
      </c>
    </row>
    <row r="2262" spans="3:3" ht="19">
      <c r="C2262" s="55" t="s">
        <v>8751</v>
      </c>
    </row>
    <row r="2263" spans="3:3" ht="19">
      <c r="C2263" s="55" t="s">
        <v>8960</v>
      </c>
    </row>
    <row r="2264" spans="3:3">
      <c r="C2264" s="2" t="s">
        <v>8961</v>
      </c>
    </row>
    <row r="2265" spans="3:3" ht="19">
      <c r="C2265" s="55" t="s">
        <v>7483</v>
      </c>
    </row>
    <row r="2266" spans="3:3">
      <c r="C2266" s="2" t="s">
        <v>8962</v>
      </c>
    </row>
    <row r="2267" spans="3:3" ht="19">
      <c r="C2267" s="55" t="s">
        <v>7516</v>
      </c>
    </row>
    <row r="2268" spans="3:3">
      <c r="C2268" s="2" t="s">
        <v>3807</v>
      </c>
    </row>
    <row r="2269" spans="3:3" ht="19">
      <c r="C2269" s="55" t="s">
        <v>8963</v>
      </c>
    </row>
    <row r="2270" spans="3:3" ht="19">
      <c r="C2270" s="55" t="s">
        <v>7920</v>
      </c>
    </row>
    <row r="2271" spans="3:3" ht="19">
      <c r="C2271" s="55" t="s">
        <v>8964</v>
      </c>
    </row>
    <row r="2272" spans="3:3" ht="19">
      <c r="C2272" s="55" t="s">
        <v>8023</v>
      </c>
    </row>
    <row r="2273" spans="3:3">
      <c r="C2273" s="2" t="s">
        <v>8965</v>
      </c>
    </row>
    <row r="2274" spans="3:3" ht="19">
      <c r="C2274" s="55" t="s">
        <v>7920</v>
      </c>
    </row>
    <row r="2275" spans="3:3" ht="19">
      <c r="C2275" s="55" t="s">
        <v>8453</v>
      </c>
    </row>
    <row r="2276" spans="3:3">
      <c r="C2276" s="2" t="s">
        <v>8966</v>
      </c>
    </row>
    <row r="2277" spans="3:3" ht="19">
      <c r="C2277" s="55" t="s">
        <v>8967</v>
      </c>
    </row>
    <row r="2278" spans="3:3">
      <c r="C2278" s="2" t="s">
        <v>8966</v>
      </c>
    </row>
    <row r="2279" spans="3:3" ht="19">
      <c r="C2279" s="55" t="s">
        <v>8967</v>
      </c>
    </row>
    <row r="2280" spans="3:3">
      <c r="C2280" s="2" t="s">
        <v>8968</v>
      </c>
    </row>
    <row r="2281" spans="3:3" ht="19">
      <c r="C2281" s="55" t="s">
        <v>8969</v>
      </c>
    </row>
    <row r="2282" spans="3:3">
      <c r="C2282" s="2" t="s">
        <v>8970</v>
      </c>
    </row>
    <row r="2283" spans="3:3" ht="19">
      <c r="C2283" s="55" t="s">
        <v>8971</v>
      </c>
    </row>
    <row r="2284" spans="3:3">
      <c r="C2284" s="2" t="s">
        <v>8972</v>
      </c>
    </row>
    <row r="2285" spans="3:3" ht="19">
      <c r="C2285" s="55" t="s">
        <v>8973</v>
      </c>
    </row>
    <row r="2286" spans="3:3">
      <c r="C2286" s="2" t="s">
        <v>8974</v>
      </c>
    </row>
    <row r="2287" spans="3:3" ht="19">
      <c r="C2287" s="55" t="s">
        <v>8975</v>
      </c>
    </row>
    <row r="2288" spans="3:3">
      <c r="C2288" s="2" t="s">
        <v>8976</v>
      </c>
    </row>
    <row r="2289" spans="3:3" ht="19">
      <c r="C2289" s="55" t="s">
        <v>8977</v>
      </c>
    </row>
    <row r="2290" spans="3:3">
      <c r="C2290" s="2" t="s">
        <v>8978</v>
      </c>
    </row>
    <row r="2291" spans="3:3" ht="19">
      <c r="C2291" s="55" t="s">
        <v>8979</v>
      </c>
    </row>
    <row r="2292" spans="3:3">
      <c r="C2292" s="2" t="s">
        <v>8980</v>
      </c>
    </row>
    <row r="2293" spans="3:3" ht="19">
      <c r="C2293" s="55" t="s">
        <v>8981</v>
      </c>
    </row>
    <row r="2294" spans="3:3">
      <c r="C2294" s="2" t="s">
        <v>8982</v>
      </c>
    </row>
    <row r="2295" spans="3:3" ht="19">
      <c r="C2295" s="55" t="s">
        <v>8983</v>
      </c>
    </row>
    <row r="2296" spans="3:3">
      <c r="C2296" s="2" t="s">
        <v>8984</v>
      </c>
    </row>
    <row r="2297" spans="3:3" ht="19">
      <c r="C2297" s="55" t="s">
        <v>8985</v>
      </c>
    </row>
    <row r="2298" spans="3:3">
      <c r="C2298" s="2" t="s">
        <v>8986</v>
      </c>
    </row>
    <row r="2299" spans="3:3" ht="19">
      <c r="C2299" s="55" t="s">
        <v>8987</v>
      </c>
    </row>
    <row r="2300" spans="3:3">
      <c r="C2300" s="2" t="s">
        <v>8988</v>
      </c>
    </row>
    <row r="2301" spans="3:3" ht="19">
      <c r="C2301" s="55" t="s">
        <v>8989</v>
      </c>
    </row>
    <row r="2302" spans="3:3">
      <c r="C2302" s="2" t="s">
        <v>8990</v>
      </c>
    </row>
    <row r="2303" spans="3:3" ht="19">
      <c r="C2303" s="55" t="s">
        <v>8991</v>
      </c>
    </row>
    <row r="2304" spans="3:3">
      <c r="C2304" s="2" t="s">
        <v>8992</v>
      </c>
    </row>
    <row r="2305" spans="3:3" ht="19">
      <c r="C2305" s="55" t="s">
        <v>8967</v>
      </c>
    </row>
    <row r="2306" spans="3:3">
      <c r="C2306" s="2" t="s">
        <v>8993</v>
      </c>
    </row>
    <row r="2307" spans="3:3" ht="19">
      <c r="C2307" s="55" t="s">
        <v>8994</v>
      </c>
    </row>
    <row r="2308" spans="3:3">
      <c r="C2308" s="2" t="s">
        <v>8995</v>
      </c>
    </row>
    <row r="2309" spans="3:3" ht="19">
      <c r="C2309" s="55" t="s">
        <v>8996</v>
      </c>
    </row>
    <row r="2310" spans="3:3">
      <c r="C2310" s="2" t="s">
        <v>8997</v>
      </c>
    </row>
    <row r="2311" spans="3:3" ht="19">
      <c r="C2311" s="55" t="s">
        <v>8998</v>
      </c>
    </row>
    <row r="2312" spans="3:3">
      <c r="C2312" s="2" t="s">
        <v>8999</v>
      </c>
    </row>
    <row r="2313" spans="3:3" ht="19">
      <c r="C2313" s="55" t="s">
        <v>9000</v>
      </c>
    </row>
    <row r="2314" spans="3:3">
      <c r="C2314" s="2" t="s">
        <v>9001</v>
      </c>
    </row>
    <row r="2315" spans="3:3" ht="19">
      <c r="C2315" s="55" t="s">
        <v>9002</v>
      </c>
    </row>
    <row r="2316" spans="3:3">
      <c r="C2316" s="2" t="s">
        <v>9003</v>
      </c>
    </row>
    <row r="2317" spans="3:3" ht="19">
      <c r="C2317" s="55" t="s">
        <v>9004</v>
      </c>
    </row>
    <row r="2318" spans="3:3">
      <c r="C2318" s="2" t="s">
        <v>9005</v>
      </c>
    </row>
    <row r="2319" spans="3:3" ht="19">
      <c r="C2319" s="55" t="s">
        <v>9006</v>
      </c>
    </row>
    <row r="2320" spans="3:3">
      <c r="C2320" s="2" t="s">
        <v>9007</v>
      </c>
    </row>
    <row r="2321" spans="3:3" ht="19">
      <c r="C2321" s="55" t="s">
        <v>9008</v>
      </c>
    </row>
    <row r="2322" spans="3:3">
      <c r="C2322" s="2" t="s">
        <v>9009</v>
      </c>
    </row>
    <row r="2323" spans="3:3" ht="19">
      <c r="C2323" s="55" t="s">
        <v>9010</v>
      </c>
    </row>
    <row r="2324" spans="3:3">
      <c r="C2324" s="2" t="s">
        <v>9011</v>
      </c>
    </row>
    <row r="2325" spans="3:3" ht="19">
      <c r="C2325" s="55" t="s">
        <v>9012</v>
      </c>
    </row>
    <row r="2326" spans="3:3">
      <c r="C2326" s="2" t="s">
        <v>9013</v>
      </c>
    </row>
    <row r="2327" spans="3:3" ht="19">
      <c r="C2327" s="55" t="s">
        <v>9014</v>
      </c>
    </row>
    <row r="2328" spans="3:3">
      <c r="C2328" s="2" t="s">
        <v>9015</v>
      </c>
    </row>
    <row r="2329" spans="3:3" ht="19">
      <c r="C2329" s="55" t="s">
        <v>9016</v>
      </c>
    </row>
    <row r="2330" spans="3:3">
      <c r="C2330" s="2" t="s">
        <v>9017</v>
      </c>
    </row>
    <row r="2331" spans="3:3" ht="19">
      <c r="C2331" s="55" t="s">
        <v>9018</v>
      </c>
    </row>
    <row r="2332" spans="3:3">
      <c r="C2332" s="2" t="s">
        <v>9019</v>
      </c>
    </row>
    <row r="2333" spans="3:3" ht="19">
      <c r="C2333" s="55" t="s">
        <v>9020</v>
      </c>
    </row>
    <row r="2334" spans="3:3">
      <c r="C2334" s="2" t="s">
        <v>9021</v>
      </c>
    </row>
    <row r="2335" spans="3:3" ht="19">
      <c r="C2335" s="55" t="s">
        <v>9022</v>
      </c>
    </row>
    <row r="2336" spans="3:3">
      <c r="C2336" s="2" t="s">
        <v>9023</v>
      </c>
    </row>
    <row r="2337" spans="3:3" ht="19">
      <c r="C2337" s="55" t="s">
        <v>9024</v>
      </c>
    </row>
    <row r="2338" spans="3:3">
      <c r="C2338" s="2" t="s">
        <v>9025</v>
      </c>
    </row>
    <row r="2339" spans="3:3" ht="19">
      <c r="C2339" s="55" t="s">
        <v>8252</v>
      </c>
    </row>
    <row r="2340" spans="3:3">
      <c r="C2340" s="2" t="s">
        <v>9026</v>
      </c>
    </row>
    <row r="2341" spans="3:3" ht="19">
      <c r="C2341" s="55" t="s">
        <v>8258</v>
      </c>
    </row>
    <row r="2342" spans="3:3">
      <c r="C2342" s="2" t="s">
        <v>9027</v>
      </c>
    </row>
    <row r="2343" spans="3:3" ht="19">
      <c r="C2343" s="55" t="s">
        <v>8230</v>
      </c>
    </row>
    <row r="2344" spans="3:3">
      <c r="C2344" s="2" t="s">
        <v>9028</v>
      </c>
    </row>
    <row r="2345" spans="3:3" ht="19">
      <c r="C2345" s="55" t="s">
        <v>8230</v>
      </c>
    </row>
    <row r="2346" spans="3:3">
      <c r="C2346" s="2" t="s">
        <v>9029</v>
      </c>
    </row>
    <row r="2347" spans="3:3" ht="19">
      <c r="C2347" s="55" t="s">
        <v>8230</v>
      </c>
    </row>
    <row r="2348" spans="3:3">
      <c r="C2348" s="2" t="s">
        <v>9030</v>
      </c>
    </row>
    <row r="2349" spans="3:3" ht="19">
      <c r="C2349" s="55" t="s">
        <v>9031</v>
      </c>
    </row>
    <row r="2350" spans="3:3">
      <c r="C2350" s="2" t="s">
        <v>5223</v>
      </c>
    </row>
    <row r="2351" spans="3:3" ht="19">
      <c r="C2351" s="55" t="s">
        <v>9032</v>
      </c>
    </row>
    <row r="2352" spans="3:3">
      <c r="C2352" s="2" t="s">
        <v>5224</v>
      </c>
    </row>
    <row r="2353" spans="3:3" ht="19">
      <c r="C2353" s="55" t="s">
        <v>9033</v>
      </c>
    </row>
    <row r="2354" spans="3:3">
      <c r="C2354" s="2" t="s">
        <v>5225</v>
      </c>
    </row>
    <row r="2355" spans="3:3" ht="19">
      <c r="C2355" s="55" t="s">
        <v>9034</v>
      </c>
    </row>
    <row r="2356" spans="3:3">
      <c r="C2356" s="2" t="s">
        <v>5226</v>
      </c>
    </row>
    <row r="2357" spans="3:3" ht="19">
      <c r="C2357" s="55" t="s">
        <v>9035</v>
      </c>
    </row>
    <row r="2358" spans="3:3">
      <c r="C2358" s="2" t="s">
        <v>5227</v>
      </c>
    </row>
    <row r="2359" spans="3:3" ht="19">
      <c r="C2359" s="55" t="s">
        <v>9036</v>
      </c>
    </row>
    <row r="2360" spans="3:3">
      <c r="C2360" s="2" t="s">
        <v>5228</v>
      </c>
    </row>
    <row r="2361" spans="3:3" ht="19">
      <c r="C2361" s="55" t="s">
        <v>9037</v>
      </c>
    </row>
    <row r="2362" spans="3:3">
      <c r="C2362" s="2" t="s">
        <v>9038</v>
      </c>
    </row>
    <row r="2363" spans="3:3" ht="19">
      <c r="C2363" s="55" t="s">
        <v>9039</v>
      </c>
    </row>
    <row r="2364" spans="3:3">
      <c r="C2364" s="2" t="s">
        <v>9040</v>
      </c>
    </row>
    <row r="2365" spans="3:3" ht="19">
      <c r="C2365" s="55" t="s">
        <v>7493</v>
      </c>
    </row>
    <row r="2366" spans="3:3" ht="19">
      <c r="C2366" s="55" t="s">
        <v>9041</v>
      </c>
    </row>
    <row r="2367" spans="3:3" ht="19">
      <c r="C2367" s="55" t="s">
        <v>8097</v>
      </c>
    </row>
    <row r="2368" spans="3:3" ht="19">
      <c r="C2368" s="55" t="s">
        <v>9042</v>
      </c>
    </row>
    <row r="2369" spans="3:3" ht="19">
      <c r="C2369" s="55" t="s">
        <v>7486</v>
      </c>
    </row>
    <row r="2370" spans="3:3" ht="19">
      <c r="C2370" s="55" t="s">
        <v>9043</v>
      </c>
    </row>
    <row r="2371" spans="3:3">
      <c r="C2371" s="2" t="s">
        <v>9044</v>
      </c>
    </row>
    <row r="2372" spans="3:3" ht="19">
      <c r="C2372" s="55" t="s">
        <v>8082</v>
      </c>
    </row>
    <row r="2373" spans="3:3">
      <c r="C2373" s="2" t="s">
        <v>9045</v>
      </c>
    </row>
    <row r="2374" spans="3:3" ht="19">
      <c r="C2374" s="55" t="s">
        <v>9046</v>
      </c>
    </row>
    <row r="2375" spans="3:3" ht="19">
      <c r="C2375" s="55" t="s">
        <v>7780</v>
      </c>
    </row>
    <row r="2376" spans="3:3" ht="19">
      <c r="C2376" s="55" t="s">
        <v>7931</v>
      </c>
    </row>
    <row r="2377" spans="3:3" ht="19">
      <c r="C2377" s="55" t="s">
        <v>9047</v>
      </c>
    </row>
    <row r="2378" spans="3:3">
      <c r="C2378" s="2" t="s">
        <v>9048</v>
      </c>
    </row>
    <row r="2379" spans="3:3" ht="19">
      <c r="C2379" s="55" t="s">
        <v>8056</v>
      </c>
    </row>
    <row r="2380" spans="3:3">
      <c r="C2380" s="2" t="s">
        <v>9049</v>
      </c>
    </row>
    <row r="2381" spans="3:3" ht="19">
      <c r="C2381" s="55" t="s">
        <v>7514</v>
      </c>
    </row>
    <row r="2382" spans="3:3" ht="19">
      <c r="C2382" s="55" t="s">
        <v>9050</v>
      </c>
    </row>
    <row r="2383" spans="3:3" ht="19">
      <c r="C2383" s="55" t="s">
        <v>9051</v>
      </c>
    </row>
    <row r="2384" spans="3:3" ht="19">
      <c r="C2384" s="55" t="s">
        <v>7503</v>
      </c>
    </row>
    <row r="2385" spans="3:3">
      <c r="C2385" s="2" t="s">
        <v>9052</v>
      </c>
    </row>
    <row r="2386" spans="3:3" ht="19">
      <c r="C2386" s="55" t="s">
        <v>8070</v>
      </c>
    </row>
    <row r="2387" spans="3:3">
      <c r="C2387" s="2" t="s">
        <v>9053</v>
      </c>
    </row>
    <row r="2388" spans="3:3" ht="19">
      <c r="C2388" s="55" t="s">
        <v>9054</v>
      </c>
    </row>
    <row r="2389" spans="3:3" ht="19">
      <c r="C2389" s="55" t="s">
        <v>9055</v>
      </c>
    </row>
    <row r="2390" spans="3:3" ht="19">
      <c r="C2390" s="55" t="s">
        <v>7500</v>
      </c>
    </row>
    <row r="2391" spans="3:3" ht="19">
      <c r="C2391" s="55" t="s">
        <v>7767</v>
      </c>
    </row>
    <row r="2392" spans="3:3">
      <c r="C2392" s="2" t="s">
        <v>9056</v>
      </c>
    </row>
    <row r="2393" spans="3:3" ht="19">
      <c r="C2393" s="55" t="s">
        <v>8097</v>
      </c>
    </row>
    <row r="2394" spans="3:3" ht="19">
      <c r="C2394" s="55" t="s">
        <v>7474</v>
      </c>
    </row>
    <row r="2395" spans="3:3" ht="19">
      <c r="C2395" s="55" t="s">
        <v>8141</v>
      </c>
    </row>
    <row r="2396" spans="3:3" ht="19">
      <c r="C2396" s="55" t="s">
        <v>7503</v>
      </c>
    </row>
    <row r="2397" spans="3:3" ht="19">
      <c r="C2397" s="55" t="s">
        <v>8472</v>
      </c>
    </row>
    <row r="2398" spans="3:3" ht="19">
      <c r="C2398" s="55" t="s">
        <v>7485</v>
      </c>
    </row>
    <row r="2399" spans="3:3">
      <c r="C2399" s="2" t="s">
        <v>9057</v>
      </c>
    </row>
    <row r="2400" spans="3:3" ht="19">
      <c r="C2400" s="55" t="s">
        <v>7482</v>
      </c>
    </row>
    <row r="2401" spans="3:3" ht="19">
      <c r="C2401" s="55" t="s">
        <v>7521</v>
      </c>
    </row>
    <row r="2402" spans="3:3" ht="19">
      <c r="C2402" s="55" t="s">
        <v>8448</v>
      </c>
    </row>
    <row r="2403" spans="3:3">
      <c r="C2403" s="2" t="s">
        <v>9058</v>
      </c>
    </row>
    <row r="2404" spans="3:3" ht="19">
      <c r="C2404" s="55" t="s">
        <v>8448</v>
      </c>
    </row>
    <row r="2405" spans="3:3">
      <c r="C2405" s="2" t="s">
        <v>9059</v>
      </c>
    </row>
    <row r="2406" spans="3:3" ht="19">
      <c r="C2406" s="55" t="s">
        <v>9060</v>
      </c>
    </row>
    <row r="2407" spans="3:3" ht="19">
      <c r="C2407" s="55" t="s">
        <v>8031</v>
      </c>
    </row>
    <row r="2408" spans="3:3" ht="19">
      <c r="C2408" s="55" t="s">
        <v>8077</v>
      </c>
    </row>
    <row r="2409" spans="3:3">
      <c r="C2409" s="2" t="s">
        <v>9061</v>
      </c>
    </row>
    <row r="2410" spans="3:3" ht="19">
      <c r="C2410" s="55" t="s">
        <v>9062</v>
      </c>
    </row>
    <row r="2411" spans="3:3">
      <c r="C2411" s="2" t="s">
        <v>9063</v>
      </c>
    </row>
    <row r="2412" spans="3:3" ht="19">
      <c r="C2412" s="55" t="s">
        <v>8619</v>
      </c>
    </row>
    <row r="2413" spans="3:3" ht="19">
      <c r="C2413" s="55" t="s">
        <v>9064</v>
      </c>
    </row>
    <row r="2414" spans="3:3">
      <c r="C2414" s="2" t="s">
        <v>9065</v>
      </c>
    </row>
    <row r="2415" spans="3:3" ht="19">
      <c r="C2415" s="55" t="s">
        <v>7922</v>
      </c>
    </row>
    <row r="2416" spans="3:3" ht="19">
      <c r="C2416" s="55" t="s">
        <v>9066</v>
      </c>
    </row>
    <row r="2417" spans="3:3" ht="19">
      <c r="C2417" s="55" t="s">
        <v>9067</v>
      </c>
    </row>
    <row r="2418" spans="3:3" ht="19">
      <c r="C2418" s="55" t="s">
        <v>9068</v>
      </c>
    </row>
    <row r="2419" spans="3:3" ht="19">
      <c r="C2419" s="55" t="s">
        <v>7937</v>
      </c>
    </row>
    <row r="2420" spans="3:3" ht="19">
      <c r="C2420" s="55" t="s">
        <v>7501</v>
      </c>
    </row>
    <row r="2421" spans="3:3">
      <c r="C2421" s="2" t="s">
        <v>9069</v>
      </c>
    </row>
    <row r="2422" spans="3:3" ht="19">
      <c r="C2422" s="55" t="s">
        <v>8470</v>
      </c>
    </row>
    <row r="2423" spans="3:3" ht="19">
      <c r="C2423" s="55" t="s">
        <v>7483</v>
      </c>
    </row>
    <row r="2424" spans="3:3">
      <c r="C2424" s="2" t="s">
        <v>9070</v>
      </c>
    </row>
    <row r="2425" spans="3:3" ht="19">
      <c r="C2425" s="55" t="s">
        <v>9071</v>
      </c>
    </row>
    <row r="2426" spans="3:3" ht="19">
      <c r="C2426" s="55" t="s">
        <v>9072</v>
      </c>
    </row>
    <row r="2427" spans="3:3" ht="19">
      <c r="C2427" s="55" t="s">
        <v>9073</v>
      </c>
    </row>
    <row r="2428" spans="3:3">
      <c r="C2428" s="2" t="s">
        <v>9074</v>
      </c>
    </row>
    <row r="2429" spans="3:3" ht="19">
      <c r="C2429" s="55" t="s">
        <v>8510</v>
      </c>
    </row>
    <row r="2430" spans="3:3">
      <c r="C2430" s="2" t="s">
        <v>9075</v>
      </c>
    </row>
    <row r="2431" spans="3:3" ht="19">
      <c r="C2431" s="55" t="s">
        <v>8619</v>
      </c>
    </row>
    <row r="2432" spans="3:3">
      <c r="C2432" s="2" t="s">
        <v>9076</v>
      </c>
    </row>
    <row r="2433" spans="3:3" ht="19">
      <c r="C2433" s="55" t="s">
        <v>9077</v>
      </c>
    </row>
    <row r="2434" spans="3:3" ht="19">
      <c r="C2434" s="55" t="s">
        <v>8445</v>
      </c>
    </row>
    <row r="2435" spans="3:3" ht="19">
      <c r="C2435" s="55" t="s">
        <v>9067</v>
      </c>
    </row>
    <row r="2436" spans="3:3" ht="19">
      <c r="C2436" s="55" t="s">
        <v>9078</v>
      </c>
    </row>
    <row r="2437" spans="3:3" ht="19">
      <c r="C2437" s="55" t="s">
        <v>7501</v>
      </c>
    </row>
    <row r="2438" spans="3:3">
      <c r="C2438" s="2" t="s">
        <v>9079</v>
      </c>
    </row>
    <row r="2439" spans="3:3" ht="19">
      <c r="C2439" s="55" t="s">
        <v>7563</v>
      </c>
    </row>
    <row r="2440" spans="3:3">
      <c r="C2440" s="2" t="s">
        <v>9080</v>
      </c>
    </row>
    <row r="2441" spans="3:3" ht="19">
      <c r="C2441" s="55" t="s">
        <v>9081</v>
      </c>
    </row>
    <row r="2442" spans="3:3">
      <c r="C2442" s="2" t="s">
        <v>9082</v>
      </c>
    </row>
    <row r="2443" spans="3:3" ht="19">
      <c r="C2443" s="55" t="s">
        <v>8028</v>
      </c>
    </row>
    <row r="2444" spans="3:3">
      <c r="C2444" s="2" t="s">
        <v>9083</v>
      </c>
    </row>
    <row r="2445" spans="3:3" ht="19">
      <c r="C2445" s="55" t="s">
        <v>9084</v>
      </c>
    </row>
    <row r="2446" spans="3:3" ht="19">
      <c r="C2446" s="55" t="s">
        <v>9062</v>
      </c>
    </row>
    <row r="2447" spans="3:3">
      <c r="C2447" s="2" t="s">
        <v>9085</v>
      </c>
    </row>
    <row r="2448" spans="3:3" ht="19">
      <c r="C2448" s="55" t="s">
        <v>8028</v>
      </c>
    </row>
    <row r="2449" spans="3:3" ht="19">
      <c r="C2449" s="55" t="s">
        <v>9086</v>
      </c>
    </row>
    <row r="2450" spans="3:3" ht="19">
      <c r="C2450" s="55" t="s">
        <v>8945</v>
      </c>
    </row>
    <row r="2451" spans="3:3" ht="19">
      <c r="C2451" s="55" t="s">
        <v>9087</v>
      </c>
    </row>
    <row r="2452" spans="3:3" ht="19">
      <c r="C2452" s="55" t="s">
        <v>7482</v>
      </c>
    </row>
    <row r="2453" spans="3:3">
      <c r="C2453" s="2" t="s">
        <v>9088</v>
      </c>
    </row>
    <row r="2454" spans="3:3" ht="19">
      <c r="C2454" s="55" t="s">
        <v>9089</v>
      </c>
    </row>
    <row r="2455" spans="3:3" ht="19">
      <c r="C2455" s="55" t="s">
        <v>9062</v>
      </c>
    </row>
    <row r="2456" spans="3:3" ht="19">
      <c r="C2456" s="55" t="s">
        <v>7482</v>
      </c>
    </row>
    <row r="2457" spans="3:3" ht="19">
      <c r="C2457" s="55" t="s">
        <v>7897</v>
      </c>
    </row>
    <row r="2458" spans="3:3">
      <c r="C2458" s="2" t="s">
        <v>9090</v>
      </c>
    </row>
    <row r="2459" spans="3:3" ht="19">
      <c r="C2459" s="55" t="s">
        <v>9091</v>
      </c>
    </row>
    <row r="2460" spans="3:3" ht="19">
      <c r="C2460" s="55" t="s">
        <v>9092</v>
      </c>
    </row>
    <row r="2461" spans="3:3" ht="19">
      <c r="C2461" s="55" t="s">
        <v>9093</v>
      </c>
    </row>
    <row r="2462" spans="3:3">
      <c r="C2462" s="2" t="s">
        <v>9094</v>
      </c>
    </row>
    <row r="2463" spans="3:3" ht="19">
      <c r="C2463" s="55" t="s">
        <v>9095</v>
      </c>
    </row>
    <row r="2464" spans="3:3" ht="19">
      <c r="C2464" s="55" t="s">
        <v>7504</v>
      </c>
    </row>
    <row r="2465" spans="3:3" ht="19">
      <c r="C2465" s="55" t="s">
        <v>8399</v>
      </c>
    </row>
    <row r="2466" spans="3:3">
      <c r="C2466" s="2" t="s">
        <v>9096</v>
      </c>
    </row>
    <row r="2467" spans="3:3" ht="19">
      <c r="C2467" s="55" t="s">
        <v>8073</v>
      </c>
    </row>
    <row r="2468" spans="3:3">
      <c r="C2468" s="2" t="s">
        <v>9097</v>
      </c>
    </row>
    <row r="2469" spans="3:3" ht="19">
      <c r="C2469" s="55" t="s">
        <v>7483</v>
      </c>
    </row>
    <row r="2470" spans="3:3">
      <c r="C2470" s="2" t="s">
        <v>9098</v>
      </c>
    </row>
    <row r="2471" spans="3:3" ht="19">
      <c r="C2471" s="55" t="s">
        <v>9099</v>
      </c>
    </row>
    <row r="2472" spans="3:3">
      <c r="C2472" s="2" t="s">
        <v>9100</v>
      </c>
    </row>
    <row r="2473" spans="3:3" ht="19">
      <c r="C2473" s="55" t="s">
        <v>9091</v>
      </c>
    </row>
    <row r="2474" spans="3:3" ht="19">
      <c r="C2474" s="55" t="s">
        <v>9101</v>
      </c>
    </row>
    <row r="2475" spans="3:3" ht="19">
      <c r="C2475" s="55" t="s">
        <v>9093</v>
      </c>
    </row>
    <row r="2476" spans="3:3">
      <c r="C2476" s="2" t="s">
        <v>9102</v>
      </c>
    </row>
    <row r="2477" spans="3:3" ht="19">
      <c r="C2477" s="55" t="s">
        <v>9103</v>
      </c>
    </row>
    <row r="2478" spans="3:3">
      <c r="C2478" s="2" t="s">
        <v>9104</v>
      </c>
    </row>
    <row r="2479" spans="3:3" ht="19">
      <c r="C2479" s="55" t="s">
        <v>8945</v>
      </c>
    </row>
    <row r="2480" spans="3:3">
      <c r="C2480" s="2" t="s">
        <v>9105</v>
      </c>
    </row>
    <row r="2481" spans="3:3" ht="19">
      <c r="C2481" s="55" t="s">
        <v>9106</v>
      </c>
    </row>
    <row r="2482" spans="3:3">
      <c r="C2482" s="2" t="s">
        <v>9107</v>
      </c>
    </row>
    <row r="2483" spans="3:3" ht="19">
      <c r="C2483" s="55" t="s">
        <v>9108</v>
      </c>
    </row>
    <row r="2484" spans="3:3" ht="19">
      <c r="C2484" s="55" t="s">
        <v>9072</v>
      </c>
    </row>
    <row r="2485" spans="3:3">
      <c r="C2485" s="2" t="s">
        <v>9109</v>
      </c>
    </row>
    <row r="2486" spans="3:3" ht="19">
      <c r="C2486" s="55" t="s">
        <v>9110</v>
      </c>
    </row>
    <row r="2487" spans="3:3" ht="19">
      <c r="C2487" s="55" t="s">
        <v>8028</v>
      </c>
    </row>
    <row r="2488" spans="3:3" ht="19">
      <c r="C2488" s="55" t="s">
        <v>9111</v>
      </c>
    </row>
    <row r="2489" spans="3:3" ht="19">
      <c r="C2489" s="55" t="s">
        <v>9112</v>
      </c>
    </row>
    <row r="2490" spans="3:3" ht="19">
      <c r="C2490" s="55" t="s">
        <v>7767</v>
      </c>
    </row>
    <row r="2491" spans="3:3">
      <c r="C2491" s="2" t="s">
        <v>9113</v>
      </c>
    </row>
    <row r="2492" spans="3:3" ht="19">
      <c r="C2492" s="55" t="s">
        <v>8739</v>
      </c>
    </row>
    <row r="2493" spans="3:3" ht="19">
      <c r="C2493" s="55" t="s">
        <v>7554</v>
      </c>
    </row>
    <row r="2494" spans="3:3" ht="19">
      <c r="C2494" s="55" t="s">
        <v>7508</v>
      </c>
    </row>
    <row r="2495" spans="3:3">
      <c r="C2495" s="2" t="s">
        <v>9114</v>
      </c>
    </row>
    <row r="2496" spans="3:3" ht="19">
      <c r="C2496" s="55" t="s">
        <v>9115</v>
      </c>
    </row>
    <row r="2497" spans="3:3">
      <c r="C2497" s="2" t="s">
        <v>9116</v>
      </c>
    </row>
    <row r="2498" spans="3:3" ht="19">
      <c r="C2498" s="55" t="s">
        <v>8717</v>
      </c>
    </row>
    <row r="2499" spans="3:3">
      <c r="C2499" s="2" t="s">
        <v>9117</v>
      </c>
    </row>
    <row r="2500" spans="3:3" ht="19">
      <c r="C2500" s="55" t="s">
        <v>7473</v>
      </c>
    </row>
    <row r="2501" spans="3:3" ht="19">
      <c r="C2501" s="55" t="s">
        <v>9118</v>
      </c>
    </row>
    <row r="2502" spans="3:3" ht="19">
      <c r="C2502" s="55" t="s">
        <v>9119</v>
      </c>
    </row>
    <row r="2503" spans="3:3" ht="19">
      <c r="C2503" s="55" t="s">
        <v>9120</v>
      </c>
    </row>
    <row r="2504" spans="3:3" ht="19">
      <c r="C2504" s="55" t="s">
        <v>8878</v>
      </c>
    </row>
    <row r="2505" spans="3:3" ht="19">
      <c r="C2505" s="55" t="s">
        <v>7504</v>
      </c>
    </row>
    <row r="2506" spans="3:3" ht="19">
      <c r="C2506" s="55" t="s">
        <v>7969</v>
      </c>
    </row>
    <row r="2507" spans="3:3" ht="19">
      <c r="C2507" s="55" t="s">
        <v>9121</v>
      </c>
    </row>
    <row r="2508" spans="3:3" ht="19">
      <c r="C2508" s="55" t="s">
        <v>9122</v>
      </c>
    </row>
    <row r="2509" spans="3:3" ht="19">
      <c r="C2509" s="55" t="s">
        <v>7501</v>
      </c>
    </row>
    <row r="2510" spans="3:3" ht="19">
      <c r="C2510" s="55" t="s">
        <v>9123</v>
      </c>
    </row>
    <row r="2511" spans="3:3">
      <c r="C2511" s="2" t="s">
        <v>9124</v>
      </c>
    </row>
    <row r="2512" spans="3:3" ht="19">
      <c r="C2512" s="55" t="s">
        <v>9125</v>
      </c>
    </row>
    <row r="2513" spans="3:3">
      <c r="C2513" s="2" t="s">
        <v>9126</v>
      </c>
    </row>
    <row r="2514" spans="3:3" ht="19">
      <c r="C2514" s="55" t="s">
        <v>9127</v>
      </c>
    </row>
    <row r="2515" spans="3:3">
      <c r="C2515" s="2" t="s">
        <v>9128</v>
      </c>
    </row>
    <row r="2516" spans="3:3" ht="19">
      <c r="C2516" s="55" t="s">
        <v>9086</v>
      </c>
    </row>
    <row r="2517" spans="3:3">
      <c r="C2517" s="2" t="s">
        <v>9129</v>
      </c>
    </row>
    <row r="2518" spans="3:3" ht="19">
      <c r="C2518" s="55" t="s">
        <v>8510</v>
      </c>
    </row>
    <row r="2519" spans="3:3" ht="19">
      <c r="C2519" s="55" t="s">
        <v>9062</v>
      </c>
    </row>
    <row r="2520" spans="3:3">
      <c r="C2520" s="2" t="s">
        <v>9130</v>
      </c>
    </row>
    <row r="2521" spans="3:3" ht="19">
      <c r="C2521" s="55" t="s">
        <v>9131</v>
      </c>
    </row>
    <row r="2522" spans="3:3">
      <c r="C2522" s="2" t="s">
        <v>9132</v>
      </c>
    </row>
    <row r="2523" spans="3:3" ht="19">
      <c r="C2523" s="55" t="s">
        <v>8774</v>
      </c>
    </row>
    <row r="2524" spans="3:3" ht="19">
      <c r="C2524" s="55" t="s">
        <v>9133</v>
      </c>
    </row>
    <row r="2525" spans="3:3" ht="19">
      <c r="C2525" s="55" t="s">
        <v>8028</v>
      </c>
    </row>
    <row r="2526" spans="3:3" ht="19">
      <c r="C2526" s="55" t="s">
        <v>8445</v>
      </c>
    </row>
    <row r="2527" spans="3:3" ht="19">
      <c r="C2527" s="55" t="s">
        <v>8541</v>
      </c>
    </row>
    <row r="2528" spans="3:3" ht="19">
      <c r="C2528" s="55" t="s">
        <v>9134</v>
      </c>
    </row>
    <row r="2529" spans="3:3" ht="19">
      <c r="C2529" s="55" t="s">
        <v>9131</v>
      </c>
    </row>
    <row r="2530" spans="3:3" ht="19">
      <c r="C2530" s="55" t="s">
        <v>8077</v>
      </c>
    </row>
    <row r="2531" spans="3:3" ht="19">
      <c r="C2531" s="55" t="s">
        <v>7767</v>
      </c>
    </row>
    <row r="2532" spans="3:3">
      <c r="C2532" s="2" t="s">
        <v>9135</v>
      </c>
    </row>
    <row r="2533" spans="3:3" ht="19">
      <c r="C2533" s="55" t="s">
        <v>8028</v>
      </c>
    </row>
    <row r="2534" spans="3:3" ht="19">
      <c r="C2534" s="55" t="s">
        <v>8445</v>
      </c>
    </row>
    <row r="2535" spans="3:3" ht="19">
      <c r="C2535" s="55" t="s">
        <v>9136</v>
      </c>
    </row>
    <row r="2536" spans="3:3" ht="19">
      <c r="C2536" s="55" t="s">
        <v>9064</v>
      </c>
    </row>
    <row r="2537" spans="3:3" ht="19">
      <c r="C2537" s="55" t="s">
        <v>9137</v>
      </c>
    </row>
    <row r="2538" spans="3:3" ht="19">
      <c r="C2538" s="55" t="s">
        <v>8099</v>
      </c>
    </row>
    <row r="2539" spans="3:3" ht="19">
      <c r="C2539" s="55" t="s">
        <v>7767</v>
      </c>
    </row>
    <row r="2540" spans="3:3">
      <c r="C2540" s="2" t="s">
        <v>9138</v>
      </c>
    </row>
    <row r="2541" spans="3:3" ht="19">
      <c r="C2541" s="55" t="s">
        <v>7480</v>
      </c>
    </row>
    <row r="2542" spans="3:3" ht="19">
      <c r="C2542" s="55" t="s">
        <v>7474</v>
      </c>
    </row>
    <row r="2543" spans="3:3" ht="19">
      <c r="C2543" s="55" t="s">
        <v>8184</v>
      </c>
    </row>
    <row r="2544" spans="3:3">
      <c r="C2544" s="2" t="s">
        <v>9139</v>
      </c>
    </row>
    <row r="2545" spans="3:3" ht="19">
      <c r="C2545" s="55" t="s">
        <v>7783</v>
      </c>
    </row>
    <row r="2546" spans="3:3" ht="19">
      <c r="C2546" s="55" t="s">
        <v>7756</v>
      </c>
    </row>
    <row r="2547" spans="3:3">
      <c r="C2547" s="2" t="s">
        <v>9140</v>
      </c>
    </row>
    <row r="2548" spans="3:3" ht="19">
      <c r="C2548" s="55" t="s">
        <v>7480</v>
      </c>
    </row>
    <row r="2549" spans="3:3" ht="19">
      <c r="C2549" s="55" t="s">
        <v>9141</v>
      </c>
    </row>
    <row r="2550" spans="3:3" ht="19">
      <c r="C2550" s="55" t="s">
        <v>7474</v>
      </c>
    </row>
    <row r="2551" spans="3:3" ht="19">
      <c r="C2551" s="55" t="s">
        <v>7756</v>
      </c>
    </row>
    <row r="2552" spans="3:3">
      <c r="C2552" s="2" t="s">
        <v>9142</v>
      </c>
    </row>
    <row r="2553" spans="3:3" ht="19">
      <c r="C2553" s="55" t="s">
        <v>7480</v>
      </c>
    </row>
    <row r="2554" spans="3:3" ht="19">
      <c r="C2554" s="55" t="s">
        <v>7474</v>
      </c>
    </row>
    <row r="2555" spans="3:3" ht="19">
      <c r="C2555" s="55" t="s">
        <v>8184</v>
      </c>
    </row>
    <row r="2556" spans="3:3">
      <c r="C2556" s="2" t="s">
        <v>9143</v>
      </c>
    </row>
    <row r="2557" spans="3:3" ht="19">
      <c r="C2557" s="55" t="s">
        <v>8445</v>
      </c>
    </row>
    <row r="2558" spans="3:3" ht="19">
      <c r="C2558" s="55" t="s">
        <v>9055</v>
      </c>
    </row>
    <row r="2559" spans="3:3">
      <c r="C2559" s="2" t="s">
        <v>9144</v>
      </c>
    </row>
    <row r="2560" spans="3:3" ht="19">
      <c r="C2560" s="55" t="s">
        <v>7480</v>
      </c>
    </row>
    <row r="2561" spans="3:3" ht="19">
      <c r="C2561" s="55" t="s">
        <v>9145</v>
      </c>
    </row>
    <row r="2562" spans="3:3" ht="19">
      <c r="C2562" s="55" t="s">
        <v>7474</v>
      </c>
    </row>
    <row r="2563" spans="3:3" ht="19">
      <c r="C2563" s="55" t="s">
        <v>9055</v>
      </c>
    </row>
    <row r="2564" spans="3:3">
      <c r="C2564" s="2" t="s">
        <v>9146</v>
      </c>
    </row>
    <row r="2565" spans="3:3" ht="19">
      <c r="C2565" s="55" t="s">
        <v>7480</v>
      </c>
    </row>
    <row r="2566" spans="3:3" ht="19">
      <c r="C2566" s="55" t="s">
        <v>7514</v>
      </c>
    </row>
    <row r="2567" spans="3:3" ht="19">
      <c r="C2567" s="55" t="s">
        <v>9147</v>
      </c>
    </row>
    <row r="2568" spans="3:3" ht="19">
      <c r="C2568" s="55" t="s">
        <v>7474</v>
      </c>
    </row>
    <row r="2569" spans="3:3">
      <c r="C2569" s="2" t="s">
        <v>9148</v>
      </c>
    </row>
    <row r="2570" spans="3:3" ht="19">
      <c r="C2570" s="55" t="s">
        <v>9145</v>
      </c>
    </row>
    <row r="2571" spans="3:3">
      <c r="C2571" s="2" t="s">
        <v>9149</v>
      </c>
    </row>
    <row r="2572" spans="3:3" ht="19">
      <c r="C2572" s="55" t="s">
        <v>7480</v>
      </c>
    </row>
    <row r="2573" spans="3:3" ht="19">
      <c r="C2573" s="55" t="s">
        <v>8605</v>
      </c>
    </row>
    <row r="2574" spans="3:3" ht="19">
      <c r="C2574" s="55" t="s">
        <v>9150</v>
      </c>
    </row>
    <row r="2575" spans="3:3" ht="19">
      <c r="C2575" s="55" t="s">
        <v>7474</v>
      </c>
    </row>
    <row r="2576" spans="3:3">
      <c r="C2576" s="2" t="s">
        <v>9151</v>
      </c>
    </row>
    <row r="2577" spans="3:3" ht="19">
      <c r="C2577" s="55" t="s">
        <v>7480</v>
      </c>
    </row>
    <row r="2578" spans="3:3" ht="19">
      <c r="C2578" s="55" t="s">
        <v>9141</v>
      </c>
    </row>
    <row r="2579" spans="3:3" ht="19">
      <c r="C2579" s="55" t="s">
        <v>7474</v>
      </c>
    </row>
    <row r="2580" spans="3:3" ht="19">
      <c r="C2580" s="55" t="s">
        <v>9055</v>
      </c>
    </row>
    <row r="2581" spans="3:3">
      <c r="C2581" s="2" t="s">
        <v>9152</v>
      </c>
    </row>
    <row r="2582" spans="3:3" ht="19">
      <c r="C2582" s="55" t="s">
        <v>7480</v>
      </c>
    </row>
    <row r="2583" spans="3:3" ht="19">
      <c r="C2583" s="55" t="s">
        <v>7474</v>
      </c>
    </row>
    <row r="2584" spans="3:3">
      <c r="C2584" s="2" t="s">
        <v>9153</v>
      </c>
    </row>
    <row r="2585" spans="3:3" ht="19">
      <c r="C2585" s="55" t="s">
        <v>7480</v>
      </c>
    </row>
    <row r="2586" spans="3:3" ht="19">
      <c r="C2586" s="55" t="s">
        <v>7514</v>
      </c>
    </row>
    <row r="2587" spans="3:3">
      <c r="C2587" s="2" t="s">
        <v>9154</v>
      </c>
    </row>
    <row r="2588" spans="3:3" ht="19">
      <c r="C2588" s="55" t="s">
        <v>7480</v>
      </c>
    </row>
    <row r="2589" spans="3:3" ht="19">
      <c r="C2589" s="55" t="s">
        <v>9155</v>
      </c>
    </row>
    <row r="2590" spans="3:3" ht="19">
      <c r="C2590" s="55" t="s">
        <v>8184</v>
      </c>
    </row>
    <row r="2591" spans="3:3" ht="19">
      <c r="C2591" s="55" t="s">
        <v>8019</v>
      </c>
    </row>
    <row r="2592" spans="3:3">
      <c r="C2592" s="2" t="s">
        <v>9156</v>
      </c>
    </row>
    <row r="2593" spans="3:3" ht="19">
      <c r="C2593" s="55" t="s">
        <v>7480</v>
      </c>
    </row>
    <row r="2594" spans="3:3" ht="19">
      <c r="C2594" s="55" t="s">
        <v>7514</v>
      </c>
    </row>
    <row r="2595" spans="3:3" ht="19">
      <c r="C2595" s="55" t="s">
        <v>8509</v>
      </c>
    </row>
    <row r="2596" spans="3:3" ht="19">
      <c r="C2596" s="55" t="s">
        <v>9157</v>
      </c>
    </row>
    <row r="2597" spans="3:3" ht="19">
      <c r="C2597" s="55" t="s">
        <v>9145</v>
      </c>
    </row>
    <row r="2598" spans="3:3" ht="19">
      <c r="C2598" s="55" t="s">
        <v>7474</v>
      </c>
    </row>
    <row r="2599" spans="3:3" ht="19">
      <c r="C2599" s="55" t="s">
        <v>9158</v>
      </c>
    </row>
    <row r="2600" spans="3:3">
      <c r="C2600" s="2" t="s">
        <v>9159</v>
      </c>
    </row>
    <row r="2601" spans="3:3" ht="19">
      <c r="C2601" s="55" t="s">
        <v>7480</v>
      </c>
    </row>
    <row r="2602" spans="3:3" ht="19">
      <c r="C2602" s="55" t="s">
        <v>7495</v>
      </c>
    </row>
    <row r="2603" spans="3:3" ht="19">
      <c r="C2603" s="55" t="s">
        <v>9066</v>
      </c>
    </row>
    <row r="2604" spans="3:3">
      <c r="C2604" s="2" t="s">
        <v>9160</v>
      </c>
    </row>
    <row r="2605" spans="3:3" ht="19">
      <c r="C2605" s="55" t="s">
        <v>8077</v>
      </c>
    </row>
    <row r="2606" spans="3:3">
      <c r="C2606" s="2" t="s">
        <v>9161</v>
      </c>
    </row>
    <row r="2607" spans="3:3" ht="19">
      <c r="C2607" s="55" t="s">
        <v>7482</v>
      </c>
    </row>
    <row r="2608" spans="3:3">
      <c r="C2608" s="2" t="s">
        <v>9162</v>
      </c>
    </row>
    <row r="2609" spans="3:3" ht="19">
      <c r="C2609" s="55" t="s">
        <v>9163</v>
      </c>
    </row>
    <row r="2610" spans="3:3" ht="19">
      <c r="C2610" s="55" t="s">
        <v>9158</v>
      </c>
    </row>
    <row r="2611" spans="3:3">
      <c r="C2611" s="2" t="s">
        <v>9164</v>
      </c>
    </row>
    <row r="2612" spans="3:3" ht="19">
      <c r="C2612" s="55" t="s">
        <v>7508</v>
      </c>
    </row>
    <row r="2613" spans="3:3" ht="19">
      <c r="C2613" s="55" t="s">
        <v>9165</v>
      </c>
    </row>
    <row r="2614" spans="3:3">
      <c r="C2614" s="2" t="s">
        <v>9166</v>
      </c>
    </row>
    <row r="2615" spans="3:3" ht="19">
      <c r="C2615" s="55" t="s">
        <v>7937</v>
      </c>
    </row>
    <row r="2616" spans="3:3">
      <c r="C2616" s="2" t="s">
        <v>9167</v>
      </c>
    </row>
    <row r="2617" spans="3:3" ht="19">
      <c r="C2617" s="55" t="s">
        <v>9168</v>
      </c>
    </row>
    <row r="2618" spans="3:3">
      <c r="C2618" s="2" t="s">
        <v>9169</v>
      </c>
    </row>
    <row r="2619" spans="3:3" ht="19">
      <c r="C2619" s="55" t="s">
        <v>8510</v>
      </c>
    </row>
    <row r="2620" spans="3:3" ht="19">
      <c r="C2620" s="55" t="s">
        <v>8619</v>
      </c>
    </row>
    <row r="2621" spans="3:3">
      <c r="C2621" s="2" t="s">
        <v>9170</v>
      </c>
    </row>
    <row r="2622" spans="3:3" ht="19">
      <c r="C2622" s="55" t="s">
        <v>8028</v>
      </c>
    </row>
    <row r="2623" spans="3:3" ht="19">
      <c r="C2623" s="55" t="s">
        <v>7945</v>
      </c>
    </row>
    <row r="2624" spans="3:3">
      <c r="C2624" s="2" t="s">
        <v>9171</v>
      </c>
    </row>
    <row r="2625" spans="3:3" ht="19">
      <c r="C2625" s="55" t="s">
        <v>8183</v>
      </c>
    </row>
    <row r="2626" spans="3:3" ht="19">
      <c r="C2626" s="55" t="s">
        <v>8184</v>
      </c>
    </row>
    <row r="2627" spans="3:3" ht="19">
      <c r="C2627" s="55" t="s">
        <v>7527</v>
      </c>
    </row>
    <row r="2628" spans="3:3">
      <c r="C2628" s="2" t="s">
        <v>9172</v>
      </c>
    </row>
    <row r="2629" spans="3:3" ht="19">
      <c r="C2629" s="55" t="s">
        <v>8183</v>
      </c>
    </row>
    <row r="2630" spans="3:3" ht="19">
      <c r="C2630" s="55" t="s">
        <v>7527</v>
      </c>
    </row>
    <row r="2631" spans="3:3">
      <c r="C2631" s="2" t="s">
        <v>9173</v>
      </c>
    </row>
    <row r="2632" spans="3:3" ht="19">
      <c r="C2632" s="55" t="s">
        <v>9174</v>
      </c>
    </row>
    <row r="2633" spans="3:3">
      <c r="C2633" s="2" t="s">
        <v>9175</v>
      </c>
    </row>
    <row r="2634" spans="3:3" ht="19">
      <c r="C2634" s="55" t="s">
        <v>9176</v>
      </c>
    </row>
    <row r="2635" spans="3:3">
      <c r="C2635" s="2" t="s">
        <v>4447</v>
      </c>
    </row>
    <row r="2636" spans="3:3" ht="19">
      <c r="C2636" s="55" t="s">
        <v>9176</v>
      </c>
    </row>
    <row r="2637" spans="3:3">
      <c r="C2637" s="2" t="s">
        <v>5266</v>
      </c>
    </row>
    <row r="2638" spans="3:3" ht="19">
      <c r="C2638" s="55" t="s">
        <v>9177</v>
      </c>
    </row>
    <row r="2639" spans="3:3">
      <c r="C2639" s="2" t="s">
        <v>9178</v>
      </c>
    </row>
    <row r="2640" spans="3:3" ht="19">
      <c r="C2640" s="55" t="s">
        <v>9179</v>
      </c>
    </row>
    <row r="2641" spans="3:3">
      <c r="C2641" s="2" t="s">
        <v>9180</v>
      </c>
    </row>
    <row r="2642" spans="3:3" ht="19">
      <c r="C2642" s="55" t="s">
        <v>9181</v>
      </c>
    </row>
    <row r="2643" spans="3:3">
      <c r="C2643" s="2" t="s">
        <v>9182</v>
      </c>
    </row>
    <row r="2644" spans="3:3" ht="19">
      <c r="C2644" s="55" t="s">
        <v>9183</v>
      </c>
    </row>
    <row r="2645" spans="3:3">
      <c r="C2645" s="2" t="s">
        <v>5267</v>
      </c>
    </row>
    <row r="2646" spans="3:3" ht="19">
      <c r="C2646" s="55" t="s">
        <v>9184</v>
      </c>
    </row>
    <row r="2647" spans="3:3">
      <c r="C2647" s="2" t="s">
        <v>5268</v>
      </c>
    </row>
    <row r="2648" spans="3:3" ht="19">
      <c r="C2648" s="55" t="s">
        <v>9185</v>
      </c>
    </row>
    <row r="2649" spans="3:3">
      <c r="C2649" s="2" t="s">
        <v>5269</v>
      </c>
    </row>
    <row r="2650" spans="3:3" ht="19">
      <c r="C2650" s="55" t="s">
        <v>9186</v>
      </c>
    </row>
    <row r="2651" spans="3:3">
      <c r="C2651" s="2" t="s">
        <v>5270</v>
      </c>
    </row>
    <row r="2652" spans="3:3" ht="19">
      <c r="C2652" s="55" t="s">
        <v>9187</v>
      </c>
    </row>
    <row r="2653" spans="3:3">
      <c r="C2653" s="2" t="s">
        <v>9188</v>
      </c>
    </row>
    <row r="2654" spans="3:3" ht="19">
      <c r="C2654" s="55" t="s">
        <v>9189</v>
      </c>
    </row>
    <row r="2655" spans="3:3">
      <c r="C2655" s="2" t="s">
        <v>9190</v>
      </c>
    </row>
    <row r="2656" spans="3:3" ht="19">
      <c r="C2656" s="55" t="s">
        <v>9191</v>
      </c>
    </row>
    <row r="2657" spans="3:3">
      <c r="C2657" s="2" t="s">
        <v>9192</v>
      </c>
    </row>
    <row r="2658" spans="3:3" ht="19">
      <c r="C2658" s="55" t="s">
        <v>9193</v>
      </c>
    </row>
    <row r="2659" spans="3:3">
      <c r="C2659" s="2" t="s">
        <v>9194</v>
      </c>
    </row>
    <row r="2660" spans="3:3" ht="19">
      <c r="C2660" s="55" t="s">
        <v>9195</v>
      </c>
    </row>
    <row r="2661" spans="3:3">
      <c r="C2661" s="2" t="s">
        <v>9196</v>
      </c>
    </row>
    <row r="2662" spans="3:3" ht="19">
      <c r="C2662" s="55" t="s">
        <v>9197</v>
      </c>
    </row>
    <row r="2663" spans="3:3">
      <c r="C2663" s="2" t="s">
        <v>9198</v>
      </c>
    </row>
    <row r="2664" spans="3:3" ht="19">
      <c r="C2664" s="55" t="s">
        <v>9199</v>
      </c>
    </row>
    <row r="2665" spans="3:3">
      <c r="C2665" s="2" t="s">
        <v>9200</v>
      </c>
    </row>
    <row r="2666" spans="3:3" ht="19">
      <c r="C2666" s="55" t="s">
        <v>9201</v>
      </c>
    </row>
    <row r="2667" spans="3:3">
      <c r="C2667" s="2" t="s">
        <v>9202</v>
      </c>
    </row>
    <row r="2668" spans="3:3" ht="19">
      <c r="C2668" s="55" t="s">
        <v>9203</v>
      </c>
    </row>
    <row r="2669" spans="3:3">
      <c r="C2669" s="2" t="s">
        <v>9204</v>
      </c>
    </row>
    <row r="2670" spans="3:3" ht="19">
      <c r="C2670" s="55" t="s">
        <v>9205</v>
      </c>
    </row>
    <row r="2671" spans="3:3">
      <c r="C2671" s="2" t="s">
        <v>9206</v>
      </c>
    </row>
    <row r="2672" spans="3:3" ht="19">
      <c r="C2672" s="55" t="s">
        <v>9207</v>
      </c>
    </row>
    <row r="2673" spans="3:3">
      <c r="C2673" s="2" t="s">
        <v>4374</v>
      </c>
    </row>
    <row r="2674" spans="3:3" ht="19">
      <c r="C2674" s="55" t="s">
        <v>9208</v>
      </c>
    </row>
    <row r="2675" spans="3:3" ht="19">
      <c r="C2675" s="55" t="s">
        <v>7499</v>
      </c>
    </row>
    <row r="2676" spans="3:3" ht="19">
      <c r="C2676" s="55" t="s">
        <v>7508</v>
      </c>
    </row>
    <row r="2677" spans="3:3" ht="19">
      <c r="C2677" s="55" t="s">
        <v>7888</v>
      </c>
    </row>
    <row r="2678" spans="3:3" ht="19">
      <c r="C2678" s="55" t="s">
        <v>7501</v>
      </c>
    </row>
    <row r="2679" spans="3:3">
      <c r="C2679" s="2" t="s">
        <v>9209</v>
      </c>
    </row>
    <row r="2680" spans="3:3" ht="19">
      <c r="C2680" s="55" t="s">
        <v>7480</v>
      </c>
    </row>
    <row r="2681" spans="3:3" ht="19">
      <c r="C2681" s="55" t="s">
        <v>8598</v>
      </c>
    </row>
    <row r="2682" spans="3:3" ht="19">
      <c r="C2682" s="55" t="s">
        <v>8510</v>
      </c>
    </row>
    <row r="2683" spans="3:3" ht="19">
      <c r="C2683" s="55" t="s">
        <v>8619</v>
      </c>
    </row>
    <row r="2684" spans="3:3" ht="19">
      <c r="C2684" s="55" t="s">
        <v>7498</v>
      </c>
    </row>
    <row r="2685" spans="3:3" ht="19">
      <c r="C2685" s="55" t="s">
        <v>7482</v>
      </c>
    </row>
    <row r="2686" spans="3:3" ht="19">
      <c r="C2686" s="55" t="s">
        <v>8006</v>
      </c>
    </row>
    <row r="2687" spans="3:3" ht="19">
      <c r="C2687" s="55" t="s">
        <v>8023</v>
      </c>
    </row>
    <row r="2688" spans="3:3" ht="19">
      <c r="C2688" s="55" t="s">
        <v>9210</v>
      </c>
    </row>
    <row r="2689" spans="3:3" ht="19">
      <c r="C2689" s="55" t="s">
        <v>9211</v>
      </c>
    </row>
    <row r="2690" spans="3:3">
      <c r="C2690" s="2" t="s">
        <v>9212</v>
      </c>
    </row>
    <row r="2691" spans="3:3" ht="19">
      <c r="C2691" s="55" t="s">
        <v>7957</v>
      </c>
    </row>
    <row r="2692" spans="3:3" ht="19">
      <c r="C2692" s="55" t="s">
        <v>7958</v>
      </c>
    </row>
    <row r="2693" spans="3:3">
      <c r="C2693" s="2" t="s">
        <v>9213</v>
      </c>
    </row>
    <row r="2694" spans="3:3" ht="19">
      <c r="C2694" s="55" t="s">
        <v>7483</v>
      </c>
    </row>
    <row r="2695" spans="3:3">
      <c r="C2695" s="2" t="s">
        <v>9214</v>
      </c>
    </row>
    <row r="2696" spans="3:3" ht="19">
      <c r="C2696" s="55" t="s">
        <v>8529</v>
      </c>
    </row>
    <row r="2697" spans="3:3" ht="19">
      <c r="C2697" s="55" t="s">
        <v>7926</v>
      </c>
    </row>
    <row r="2698" spans="3:3" ht="19">
      <c r="C2698" s="55" t="s">
        <v>7927</v>
      </c>
    </row>
    <row r="2699" spans="3:3">
      <c r="C2699" s="2" t="s">
        <v>9215</v>
      </c>
    </row>
    <row r="2700" spans="3:3" ht="19">
      <c r="C2700" s="55" t="s">
        <v>7516</v>
      </c>
    </row>
    <row r="2701" spans="3:3" ht="19">
      <c r="C2701" s="55" t="s">
        <v>7480</v>
      </c>
    </row>
    <row r="2702" spans="3:3" ht="19">
      <c r="C2702" s="55" t="s">
        <v>8598</v>
      </c>
    </row>
    <row r="2703" spans="3:3" ht="19">
      <c r="C2703" s="55" t="s">
        <v>9211</v>
      </c>
    </row>
    <row r="2704" spans="3:3">
      <c r="C2704" s="2" t="s">
        <v>9216</v>
      </c>
    </row>
    <row r="2705" spans="3:3" ht="19">
      <c r="C2705" s="55" t="s">
        <v>7514</v>
      </c>
    </row>
    <row r="2706" spans="3:3" ht="19">
      <c r="C2706" s="55" t="s">
        <v>8713</v>
      </c>
    </row>
    <row r="2707" spans="3:3">
      <c r="C2707" s="2" t="s">
        <v>9217</v>
      </c>
    </row>
    <row r="2708" spans="3:3" ht="19">
      <c r="C2708" s="55" t="s">
        <v>8605</v>
      </c>
    </row>
    <row r="2709" spans="3:3" ht="19">
      <c r="C2709" s="55" t="s">
        <v>8098</v>
      </c>
    </row>
    <row r="2710" spans="3:3">
      <c r="C2710" s="2" t="s">
        <v>9218</v>
      </c>
    </row>
    <row r="2711" spans="3:3" ht="19">
      <c r="C2711" s="55" t="s">
        <v>8605</v>
      </c>
    </row>
    <row r="2712" spans="3:3" ht="19">
      <c r="C2712" s="55" t="s">
        <v>8631</v>
      </c>
    </row>
    <row r="2713" spans="3:3">
      <c r="C2713" s="2" t="s">
        <v>9219</v>
      </c>
    </row>
    <row r="2714" spans="3:3" ht="19">
      <c r="C2714" s="55" t="s">
        <v>9220</v>
      </c>
    </row>
    <row r="2715" spans="3:3" ht="19">
      <c r="C2715" s="55" t="s">
        <v>8713</v>
      </c>
    </row>
    <row r="2716" spans="3:3" ht="19">
      <c r="C2716" s="55" t="s">
        <v>8019</v>
      </c>
    </row>
    <row r="2717" spans="3:3" ht="19">
      <c r="C2717" s="55" t="s">
        <v>7756</v>
      </c>
    </row>
    <row r="2718" spans="3:3">
      <c r="C2718" s="2" t="s">
        <v>9221</v>
      </c>
    </row>
    <row r="2719" spans="3:3" ht="19">
      <c r="C2719" s="55" t="s">
        <v>8448</v>
      </c>
    </row>
    <row r="2720" spans="3:3" ht="19">
      <c r="C2720" s="55" t="s">
        <v>7957</v>
      </c>
    </row>
    <row r="2721" spans="3:3" ht="19">
      <c r="C2721" s="55" t="s">
        <v>7958</v>
      </c>
    </row>
    <row r="2722" spans="3:3">
      <c r="C2722" s="2" t="s">
        <v>9222</v>
      </c>
    </row>
    <row r="2723" spans="3:3" ht="19">
      <c r="C2723" s="55" t="s">
        <v>7957</v>
      </c>
    </row>
    <row r="2724" spans="3:3">
      <c r="C2724" s="2" t="s">
        <v>9223</v>
      </c>
    </row>
    <row r="2725" spans="3:3" ht="19">
      <c r="C2725" s="55" t="s">
        <v>7483</v>
      </c>
    </row>
    <row r="2726" spans="3:3" ht="19">
      <c r="C2726" s="55" t="s">
        <v>7937</v>
      </c>
    </row>
    <row r="2727" spans="3:3">
      <c r="C2727" s="2" t="s">
        <v>9224</v>
      </c>
    </row>
    <row r="2728" spans="3:3" ht="19">
      <c r="C2728" s="55" t="s">
        <v>8529</v>
      </c>
    </row>
    <row r="2729" spans="3:3" ht="19">
      <c r="C2729" s="55" t="s">
        <v>7926</v>
      </c>
    </row>
    <row r="2730" spans="3:3" ht="19">
      <c r="C2730" s="55" t="s">
        <v>7927</v>
      </c>
    </row>
    <row r="2731" spans="3:3">
      <c r="C2731" s="2" t="s">
        <v>9225</v>
      </c>
    </row>
    <row r="2732" spans="3:3" ht="19">
      <c r="C2732" s="55" t="s">
        <v>7927</v>
      </c>
    </row>
    <row r="2733" spans="3:3">
      <c r="C2733" s="2" t="s">
        <v>9226</v>
      </c>
    </row>
    <row r="2734" spans="3:3" ht="19">
      <c r="C2734" s="55" t="s">
        <v>8056</v>
      </c>
    </row>
    <row r="2735" spans="3:3">
      <c r="C2735" s="2" t="s">
        <v>9227</v>
      </c>
    </row>
    <row r="2736" spans="3:3" ht="19">
      <c r="C2736" s="55" t="s">
        <v>7482</v>
      </c>
    </row>
    <row r="2737" spans="3:3" ht="19">
      <c r="C2737" s="55" t="s">
        <v>8019</v>
      </c>
    </row>
    <row r="2738" spans="3:3" ht="19">
      <c r="C2738" s="55" t="s">
        <v>8080</v>
      </c>
    </row>
    <row r="2739" spans="3:3" ht="19">
      <c r="C2739" s="55" t="s">
        <v>7508</v>
      </c>
    </row>
    <row r="2740" spans="3:3">
      <c r="C2740" s="2" t="s">
        <v>9228</v>
      </c>
    </row>
    <row r="2741" spans="3:3" ht="19">
      <c r="C2741" s="55" t="s">
        <v>7493</v>
      </c>
    </row>
    <row r="2742" spans="3:3" ht="19">
      <c r="C2742" s="55" t="s">
        <v>8027</v>
      </c>
    </row>
    <row r="2743" spans="3:3" ht="19">
      <c r="C2743" s="55" t="s">
        <v>8423</v>
      </c>
    </row>
    <row r="2744" spans="3:3" ht="19">
      <c r="C2744" s="55" t="s">
        <v>8417</v>
      </c>
    </row>
    <row r="2745" spans="3:3" ht="19">
      <c r="C2745" s="55" t="s">
        <v>7541</v>
      </c>
    </row>
    <row r="2746" spans="3:3" ht="19">
      <c r="C2746" s="55" t="s">
        <v>7527</v>
      </c>
    </row>
    <row r="2747" spans="3:3" ht="19">
      <c r="C2747" s="55" t="s">
        <v>9229</v>
      </c>
    </row>
    <row r="2748" spans="3:3">
      <c r="C2748" s="2" t="s">
        <v>9230</v>
      </c>
    </row>
    <row r="2749" spans="3:3" ht="19">
      <c r="C2749" s="55" t="s">
        <v>9231</v>
      </c>
    </row>
    <row r="2750" spans="3:3">
      <c r="C2750" s="2" t="s">
        <v>4448</v>
      </c>
    </row>
    <row r="2751" spans="3:3" ht="19">
      <c r="C2751" s="55" t="s">
        <v>9232</v>
      </c>
    </row>
    <row r="2752" spans="3:3">
      <c r="C2752" s="2" t="s">
        <v>9233</v>
      </c>
    </row>
    <row r="2753" spans="3:3" ht="19">
      <c r="C2753" s="55" t="s">
        <v>9234</v>
      </c>
    </row>
    <row r="2754" spans="3:3">
      <c r="C2754" s="2" t="s">
        <v>9235</v>
      </c>
    </row>
    <row r="2755" spans="3:3" ht="19">
      <c r="C2755" s="55" t="s">
        <v>9236</v>
      </c>
    </row>
    <row r="2756" spans="3:3">
      <c r="C2756" s="2" t="s">
        <v>9237</v>
      </c>
    </row>
    <row r="2757" spans="3:3" ht="19">
      <c r="C2757" s="55" t="s">
        <v>9238</v>
      </c>
    </row>
    <row r="2758" spans="3:3">
      <c r="C2758" s="2" t="s">
        <v>9239</v>
      </c>
    </row>
    <row r="2759" spans="3:3" ht="19">
      <c r="C2759" s="55" t="s">
        <v>9240</v>
      </c>
    </row>
    <row r="2760" spans="3:3">
      <c r="C2760" s="2" t="s">
        <v>9241</v>
      </c>
    </row>
    <row r="2761" spans="3:3" ht="19">
      <c r="C2761" s="55" t="s">
        <v>9242</v>
      </c>
    </row>
    <row r="2762" spans="3:3">
      <c r="C2762" s="2" t="s">
        <v>9243</v>
      </c>
    </row>
    <row r="2763" spans="3:3" ht="19">
      <c r="C2763" s="55" t="s">
        <v>9244</v>
      </c>
    </row>
    <row r="2764" spans="3:3">
      <c r="C2764" s="2" t="s">
        <v>9245</v>
      </c>
    </row>
    <row r="2765" spans="3:3" ht="19">
      <c r="C2765" s="55" t="s">
        <v>9246</v>
      </c>
    </row>
    <row r="2766" spans="3:3">
      <c r="C2766" s="2" t="s">
        <v>9247</v>
      </c>
    </row>
    <row r="2767" spans="3:3" ht="19">
      <c r="C2767" s="55" t="s">
        <v>9248</v>
      </c>
    </row>
    <row r="2768" spans="3:3">
      <c r="C2768" s="2" t="s">
        <v>9249</v>
      </c>
    </row>
    <row r="2769" spans="3:3" ht="19">
      <c r="C2769" s="55" t="s">
        <v>9250</v>
      </c>
    </row>
    <row r="2770" spans="3:3">
      <c r="C2770" s="2" t="s">
        <v>9251</v>
      </c>
    </row>
    <row r="2771" spans="3:3" ht="19">
      <c r="C2771" s="55" t="s">
        <v>9252</v>
      </c>
    </row>
    <row r="2772" spans="3:3">
      <c r="C2772" s="2" t="s">
        <v>9253</v>
      </c>
    </row>
    <row r="2773" spans="3:3" ht="19">
      <c r="C2773" s="55" t="s">
        <v>9254</v>
      </c>
    </row>
    <row r="2774" spans="3:3">
      <c r="C2774" s="2" t="s">
        <v>9255</v>
      </c>
    </row>
    <row r="2775" spans="3:3" ht="19">
      <c r="C2775" s="55" t="s">
        <v>9256</v>
      </c>
    </row>
    <row r="2776" spans="3:3">
      <c r="C2776" s="2" t="s">
        <v>4449</v>
      </c>
    </row>
    <row r="2777" spans="3:3" ht="19">
      <c r="C2777" s="55" t="s">
        <v>9257</v>
      </c>
    </row>
    <row r="2778" spans="3:3">
      <c r="C2778" s="2" t="s">
        <v>9258</v>
      </c>
    </row>
    <row r="2779" spans="3:3" ht="19">
      <c r="C2779" s="55" t="s">
        <v>9259</v>
      </c>
    </row>
    <row r="2780" spans="3:3">
      <c r="C2780" s="2" t="s">
        <v>9260</v>
      </c>
    </row>
    <row r="2781" spans="3:3" ht="19">
      <c r="C2781" s="55" t="s">
        <v>9261</v>
      </c>
    </row>
    <row r="2782" spans="3:3">
      <c r="C2782" s="2" t="s">
        <v>9262</v>
      </c>
    </row>
    <row r="2783" spans="3:3" ht="19">
      <c r="C2783" s="55" t="s">
        <v>9263</v>
      </c>
    </row>
    <row r="2784" spans="3:3">
      <c r="C2784" s="2" t="s">
        <v>9264</v>
      </c>
    </row>
    <row r="2785" spans="3:3" ht="19">
      <c r="C2785" s="55" t="s">
        <v>9265</v>
      </c>
    </row>
    <row r="2786" spans="3:3">
      <c r="C2786" s="2" t="s">
        <v>9266</v>
      </c>
    </row>
    <row r="2787" spans="3:3" ht="19">
      <c r="C2787" s="55" t="s">
        <v>9267</v>
      </c>
    </row>
    <row r="2788" spans="3:3">
      <c r="C2788" s="2" t="s">
        <v>9268</v>
      </c>
    </row>
    <row r="2789" spans="3:3" ht="19">
      <c r="C2789" s="55" t="s">
        <v>9269</v>
      </c>
    </row>
    <row r="2790" spans="3:3">
      <c r="C2790" s="2" t="s">
        <v>9270</v>
      </c>
    </row>
    <row r="2791" spans="3:3" ht="19">
      <c r="C2791" s="55" t="s">
        <v>9271</v>
      </c>
    </row>
    <row r="2792" spans="3:3">
      <c r="C2792" s="2" t="s">
        <v>9272</v>
      </c>
    </row>
    <row r="2793" spans="3:3" ht="19">
      <c r="C2793" s="55" t="s">
        <v>9273</v>
      </c>
    </row>
    <row r="2794" spans="3:3">
      <c r="C2794" s="2" t="s">
        <v>9274</v>
      </c>
    </row>
    <row r="2795" spans="3:3" ht="19">
      <c r="C2795" s="55" t="s">
        <v>9275</v>
      </c>
    </row>
    <row r="2796" spans="3:3">
      <c r="C2796" s="2" t="s">
        <v>9276</v>
      </c>
    </row>
    <row r="2797" spans="3:3" ht="19">
      <c r="C2797" s="55" t="s">
        <v>9277</v>
      </c>
    </row>
    <row r="2798" spans="3:3">
      <c r="C2798" s="2" t="s">
        <v>9278</v>
      </c>
    </row>
    <row r="2799" spans="3:3" ht="19">
      <c r="C2799" s="55" t="s">
        <v>9279</v>
      </c>
    </row>
    <row r="2800" spans="3:3">
      <c r="C2800" s="2" t="s">
        <v>9280</v>
      </c>
    </row>
    <row r="2801" spans="3:3" ht="19">
      <c r="C2801" s="55" t="s">
        <v>9281</v>
      </c>
    </row>
    <row r="2802" spans="3:3">
      <c r="C2802" s="2" t="s">
        <v>4450</v>
      </c>
    </row>
    <row r="2803" spans="3:3" ht="19">
      <c r="C2803" s="55" t="s">
        <v>9174</v>
      </c>
    </row>
    <row r="2804" spans="3:3">
      <c r="C2804" s="2" t="s">
        <v>5395</v>
      </c>
    </row>
    <row r="2805" spans="3:3" ht="19">
      <c r="C2805" s="55" t="s">
        <v>9282</v>
      </c>
    </row>
    <row r="2806" spans="3:3">
      <c r="C2806" s="2" t="s">
        <v>9283</v>
      </c>
    </row>
    <row r="2807" spans="3:3" ht="19">
      <c r="C2807" s="55" t="s">
        <v>9284</v>
      </c>
    </row>
    <row r="2808" spans="3:3">
      <c r="C2808" s="2" t="s">
        <v>9285</v>
      </c>
    </row>
    <row r="2809" spans="3:3" ht="19">
      <c r="C2809" s="55" t="s">
        <v>9286</v>
      </c>
    </row>
    <row r="2810" spans="3:3">
      <c r="C2810" s="2" t="s">
        <v>9287</v>
      </c>
    </row>
    <row r="2811" spans="3:3" ht="19">
      <c r="C2811" s="55" t="s">
        <v>9288</v>
      </c>
    </row>
    <row r="2812" spans="3:3">
      <c r="C2812" s="2" t="s">
        <v>5396</v>
      </c>
    </row>
    <row r="2813" spans="3:3" ht="19">
      <c r="C2813" s="55" t="s">
        <v>9289</v>
      </c>
    </row>
    <row r="2814" spans="3:3">
      <c r="C2814" s="2" t="s">
        <v>5397</v>
      </c>
    </row>
    <row r="2815" spans="3:3" ht="19">
      <c r="C2815" s="55" t="s">
        <v>9290</v>
      </c>
    </row>
    <row r="2816" spans="3:3">
      <c r="C2816" s="2" t="s">
        <v>5398</v>
      </c>
    </row>
    <row r="2817" spans="3:3" ht="19">
      <c r="C2817" s="55" t="s">
        <v>9291</v>
      </c>
    </row>
    <row r="2818" spans="3:3">
      <c r="C2818" s="2" t="s">
        <v>5399</v>
      </c>
    </row>
    <row r="2819" spans="3:3" ht="19">
      <c r="C2819" s="55" t="s">
        <v>9292</v>
      </c>
    </row>
    <row r="2820" spans="3:3">
      <c r="C2820" s="2" t="s">
        <v>9293</v>
      </c>
    </row>
    <row r="2821" spans="3:3" ht="19">
      <c r="C2821" s="55" t="s">
        <v>9294</v>
      </c>
    </row>
    <row r="2822" spans="3:3">
      <c r="C2822" s="2" t="s">
        <v>9295</v>
      </c>
    </row>
    <row r="2823" spans="3:3" ht="19">
      <c r="C2823" s="55" t="s">
        <v>9296</v>
      </c>
    </row>
    <row r="2824" spans="3:3">
      <c r="C2824" s="2" t="s">
        <v>9297</v>
      </c>
    </row>
    <row r="2825" spans="3:3" ht="19">
      <c r="C2825" s="55" t="s">
        <v>9298</v>
      </c>
    </row>
    <row r="2826" spans="3:3">
      <c r="C2826" s="2" t="s">
        <v>9299</v>
      </c>
    </row>
    <row r="2827" spans="3:3" ht="19">
      <c r="C2827" s="55" t="s">
        <v>9300</v>
      </c>
    </row>
    <row r="2828" spans="3:3">
      <c r="C2828" s="2" t="s">
        <v>9301</v>
      </c>
    </row>
    <row r="2829" spans="3:3" ht="19">
      <c r="C2829" s="55" t="s">
        <v>9302</v>
      </c>
    </row>
    <row r="2830" spans="3:3">
      <c r="C2830" s="2" t="s">
        <v>9303</v>
      </c>
    </row>
    <row r="2831" spans="3:3" ht="19">
      <c r="C2831" s="55" t="s">
        <v>9304</v>
      </c>
    </row>
    <row r="2832" spans="3:3">
      <c r="C2832" s="2" t="s">
        <v>9305</v>
      </c>
    </row>
    <row r="2833" spans="3:3" ht="19">
      <c r="C2833" s="55" t="s">
        <v>9306</v>
      </c>
    </row>
    <row r="2834" spans="3:3">
      <c r="C2834" s="2" t="s">
        <v>9307</v>
      </c>
    </row>
    <row r="2835" spans="3:3" ht="19">
      <c r="C2835" s="55" t="s">
        <v>9308</v>
      </c>
    </row>
    <row r="2836" spans="3:3">
      <c r="C2836" s="2" t="s">
        <v>9309</v>
      </c>
    </row>
    <row r="2837" spans="3:3" ht="19">
      <c r="C2837" s="55" t="s">
        <v>9310</v>
      </c>
    </row>
    <row r="2838" spans="3:3">
      <c r="C2838" s="2" t="s">
        <v>9311</v>
      </c>
    </row>
    <row r="2839" spans="3:3" ht="19">
      <c r="C2839" s="55" t="s">
        <v>9312</v>
      </c>
    </row>
    <row r="2840" spans="3:3">
      <c r="C2840" s="2" t="s">
        <v>9313</v>
      </c>
    </row>
    <row r="2841" spans="3:3" ht="19">
      <c r="C2841" s="55" t="s">
        <v>8252</v>
      </c>
    </row>
    <row r="2842" spans="3:3">
      <c r="C2842" s="2" t="s">
        <v>9314</v>
      </c>
    </row>
    <row r="2843" spans="3:3" ht="19">
      <c r="C2843" s="55" t="s">
        <v>8230</v>
      </c>
    </row>
    <row r="2844" spans="3:3" ht="19">
      <c r="C2844" s="55" t="s">
        <v>7483</v>
      </c>
    </row>
    <row r="2845" spans="3:3">
      <c r="C2845" s="2" t="s">
        <v>4451</v>
      </c>
    </row>
    <row r="2846" spans="3:3" ht="19">
      <c r="C2846" s="55" t="s">
        <v>9257</v>
      </c>
    </row>
    <row r="2847" spans="3:3" ht="19">
      <c r="C2847" s="55" t="s">
        <v>9232</v>
      </c>
    </row>
    <row r="2848" spans="3:3">
      <c r="C2848" s="2" t="s">
        <v>5437</v>
      </c>
    </row>
    <row r="2849" spans="3:3" ht="19">
      <c r="C2849" s="55" t="s">
        <v>9259</v>
      </c>
    </row>
    <row r="2850" spans="3:3" ht="19">
      <c r="C2850" s="55" t="s">
        <v>9234</v>
      </c>
    </row>
    <row r="2851" spans="3:3">
      <c r="C2851" s="2" t="s">
        <v>5438</v>
      </c>
    </row>
    <row r="2852" spans="3:3" ht="19">
      <c r="C2852" s="55" t="s">
        <v>9261</v>
      </c>
    </row>
    <row r="2853" spans="3:3" ht="19">
      <c r="C2853" s="55" t="s">
        <v>9236</v>
      </c>
    </row>
    <row r="2854" spans="3:3">
      <c r="C2854" s="2" t="s">
        <v>5439</v>
      </c>
    </row>
    <row r="2855" spans="3:3" ht="19">
      <c r="C2855" s="55" t="s">
        <v>9263</v>
      </c>
    </row>
    <row r="2856" spans="3:3" ht="19">
      <c r="C2856" s="55" t="s">
        <v>9238</v>
      </c>
    </row>
    <row r="2857" spans="3:3">
      <c r="C2857" s="2" t="s">
        <v>5440</v>
      </c>
    </row>
    <row r="2858" spans="3:3" ht="19">
      <c r="C2858" s="55" t="s">
        <v>9265</v>
      </c>
    </row>
    <row r="2859" spans="3:3" ht="19">
      <c r="C2859" s="55" t="s">
        <v>9240</v>
      </c>
    </row>
    <row r="2860" spans="3:3">
      <c r="C2860" s="2" t="s">
        <v>5441</v>
      </c>
    </row>
    <row r="2861" spans="3:3" ht="19">
      <c r="C2861" s="55" t="s">
        <v>9267</v>
      </c>
    </row>
    <row r="2862" spans="3:3" ht="19">
      <c r="C2862" s="55" t="s">
        <v>9242</v>
      </c>
    </row>
    <row r="2863" spans="3:3">
      <c r="C2863" s="2" t="s">
        <v>9315</v>
      </c>
    </row>
    <row r="2864" spans="3:3" ht="19">
      <c r="C2864" s="55" t="s">
        <v>9269</v>
      </c>
    </row>
    <row r="2865" spans="3:3" ht="19">
      <c r="C2865" s="55" t="s">
        <v>9244</v>
      </c>
    </row>
    <row r="2866" spans="3:3">
      <c r="C2866" s="2" t="s">
        <v>5442</v>
      </c>
    </row>
    <row r="2867" spans="3:3" ht="19">
      <c r="C2867" s="55" t="s">
        <v>9316</v>
      </c>
    </row>
    <row r="2868" spans="3:3" ht="19">
      <c r="C2868" s="55" t="s">
        <v>9317</v>
      </c>
    </row>
    <row r="2869" spans="3:3">
      <c r="C2869" s="2" t="s">
        <v>4452</v>
      </c>
    </row>
    <row r="2870" spans="3:3" ht="19">
      <c r="C2870" s="55" t="s">
        <v>9174</v>
      </c>
    </row>
    <row r="2871" spans="3:3" ht="19">
      <c r="C2871" s="55" t="s">
        <v>9176</v>
      </c>
    </row>
    <row r="2872" spans="3:3">
      <c r="C2872" s="2" t="s">
        <v>5478</v>
      </c>
    </row>
    <row r="2873" spans="3:3" ht="19">
      <c r="C2873" s="55" t="s">
        <v>9282</v>
      </c>
    </row>
    <row r="2874" spans="3:3" ht="19">
      <c r="C2874" s="55" t="s">
        <v>9177</v>
      </c>
    </row>
    <row r="2875" spans="3:3">
      <c r="C2875" s="2" t="s">
        <v>9318</v>
      </c>
    </row>
    <row r="2876" spans="3:3" ht="19">
      <c r="C2876" s="55" t="s">
        <v>9284</v>
      </c>
    </row>
    <row r="2877" spans="3:3" ht="19">
      <c r="C2877" s="55" t="s">
        <v>9179</v>
      </c>
    </row>
    <row r="2878" spans="3:3">
      <c r="C2878" s="2" t="s">
        <v>9319</v>
      </c>
    </row>
    <row r="2879" spans="3:3" ht="19">
      <c r="C2879" s="55" t="s">
        <v>9286</v>
      </c>
    </row>
    <row r="2880" spans="3:3" ht="19">
      <c r="C2880" s="55" t="s">
        <v>9181</v>
      </c>
    </row>
    <row r="2881" spans="3:3">
      <c r="C2881" s="2" t="s">
        <v>9320</v>
      </c>
    </row>
    <row r="2882" spans="3:3" ht="19">
      <c r="C2882" s="55" t="s">
        <v>9288</v>
      </c>
    </row>
    <row r="2883" spans="3:3" ht="19">
      <c r="C2883" s="55" t="s">
        <v>9183</v>
      </c>
    </row>
    <row r="2884" spans="3:3">
      <c r="C2884" s="2" t="s">
        <v>5479</v>
      </c>
    </row>
    <row r="2885" spans="3:3" ht="19">
      <c r="C2885" s="55" t="s">
        <v>9289</v>
      </c>
    </row>
    <row r="2886" spans="3:3" ht="19">
      <c r="C2886" s="55" t="s">
        <v>9184</v>
      </c>
    </row>
    <row r="2887" spans="3:3">
      <c r="C2887" s="2" t="s">
        <v>5480</v>
      </c>
    </row>
    <row r="2888" spans="3:3" ht="19">
      <c r="C2888" s="55" t="s">
        <v>9290</v>
      </c>
    </row>
    <row r="2889" spans="3:3" ht="19">
      <c r="C2889" s="55" t="s">
        <v>9185</v>
      </c>
    </row>
    <row r="2890" spans="3:3">
      <c r="C2890" s="2" t="s">
        <v>5481</v>
      </c>
    </row>
    <row r="2891" spans="3:3" ht="19">
      <c r="C2891" s="55" t="s">
        <v>9291</v>
      </c>
    </row>
    <row r="2892" spans="3:3" ht="19">
      <c r="C2892" s="55" t="s">
        <v>9186</v>
      </c>
    </row>
    <row r="2893" spans="3:3">
      <c r="C2893" s="2" t="s">
        <v>5482</v>
      </c>
    </row>
    <row r="2894" spans="3:3" ht="19">
      <c r="C2894" s="55" t="s">
        <v>9292</v>
      </c>
    </row>
    <row r="2895" spans="3:3" ht="19">
      <c r="C2895" s="55" t="s">
        <v>9187</v>
      </c>
    </row>
    <row r="2896" spans="3:3">
      <c r="C2896" s="2" t="s">
        <v>9321</v>
      </c>
    </row>
    <row r="2897" spans="3:3" ht="19">
      <c r="C2897" s="55" t="s">
        <v>9294</v>
      </c>
    </row>
    <row r="2898" spans="3:3" ht="19">
      <c r="C2898" s="55" t="s">
        <v>9189</v>
      </c>
    </row>
    <row r="2899" spans="3:3">
      <c r="C2899" s="2" t="s">
        <v>9322</v>
      </c>
    </row>
    <row r="2900" spans="3:3" ht="19">
      <c r="C2900" s="55" t="s">
        <v>9296</v>
      </c>
    </row>
    <row r="2901" spans="3:3" ht="19">
      <c r="C2901" s="55" t="s">
        <v>9191</v>
      </c>
    </row>
    <row r="2902" spans="3:3">
      <c r="C2902" s="2" t="s">
        <v>9323</v>
      </c>
    </row>
    <row r="2903" spans="3:3" ht="19">
      <c r="C2903" s="55" t="s">
        <v>9298</v>
      </c>
    </row>
    <row r="2904" spans="3:3" ht="19">
      <c r="C2904" s="55" t="s">
        <v>9193</v>
      </c>
    </row>
    <row r="2905" spans="3:3">
      <c r="C2905" s="2" t="s">
        <v>9324</v>
      </c>
    </row>
    <row r="2906" spans="3:3" ht="19">
      <c r="C2906" s="55" t="s">
        <v>9300</v>
      </c>
    </row>
    <row r="2907" spans="3:3" ht="19">
      <c r="C2907" s="55" t="s">
        <v>9195</v>
      </c>
    </row>
    <row r="2908" spans="3:3">
      <c r="C2908" s="2" t="s">
        <v>9325</v>
      </c>
    </row>
    <row r="2909" spans="3:3" ht="19">
      <c r="C2909" s="55" t="s">
        <v>9326</v>
      </c>
    </row>
    <row r="2910" spans="3:3">
      <c r="C2910" s="2" t="s">
        <v>9327</v>
      </c>
    </row>
    <row r="2911" spans="3:3" ht="19">
      <c r="C2911" s="55" t="s">
        <v>9328</v>
      </c>
    </row>
    <row r="2912" spans="3:3">
      <c r="C2912" s="2" t="s">
        <v>9329</v>
      </c>
    </row>
    <row r="2913" spans="3:3" ht="19">
      <c r="C2913" s="55" t="s">
        <v>9330</v>
      </c>
    </row>
    <row r="2914" spans="3:3" ht="19">
      <c r="C2914" s="55" t="s">
        <v>9331</v>
      </c>
    </row>
    <row r="2915" spans="3:3" ht="19">
      <c r="C2915" s="55" t="s">
        <v>8141</v>
      </c>
    </row>
    <row r="2916" spans="3:3" ht="19">
      <c r="C2916" s="55" t="s">
        <v>8023</v>
      </c>
    </row>
    <row r="2917" spans="3:3">
      <c r="C2917" s="2" t="s">
        <v>9332</v>
      </c>
    </row>
    <row r="2918" spans="3:3" ht="19">
      <c r="C2918" s="55" t="s">
        <v>7565</v>
      </c>
    </row>
    <row r="2919" spans="3:3" ht="19">
      <c r="C2919" s="55" t="s">
        <v>7504</v>
      </c>
    </row>
    <row r="2920" spans="3:3">
      <c r="C2920" s="2" t="s">
        <v>9333</v>
      </c>
    </row>
    <row r="2921" spans="3:3" ht="19">
      <c r="C2921" s="55" t="s">
        <v>7473</v>
      </c>
    </row>
    <row r="2922" spans="3:3" ht="19">
      <c r="C2922" s="55" t="s">
        <v>8031</v>
      </c>
    </row>
    <row r="2923" spans="3:3" ht="19">
      <c r="C2923" s="55" t="s">
        <v>9334</v>
      </c>
    </row>
    <row r="2924" spans="3:3">
      <c r="C2924" s="2" t="s">
        <v>9333</v>
      </c>
    </row>
    <row r="2925" spans="3:3" ht="19">
      <c r="C2925" s="55" t="s">
        <v>9335</v>
      </c>
    </row>
    <row r="2926" spans="3:3">
      <c r="C2926" s="2" t="s">
        <v>5549</v>
      </c>
    </row>
    <row r="2927" spans="3:3" ht="19">
      <c r="C2927" s="55" t="s">
        <v>9336</v>
      </c>
    </row>
    <row r="2928" spans="3:3">
      <c r="C2928" s="2" t="s">
        <v>5550</v>
      </c>
    </row>
    <row r="2929" spans="3:3" ht="19">
      <c r="C2929" s="55" t="s">
        <v>9337</v>
      </c>
    </row>
    <row r="2930" spans="3:3">
      <c r="C2930" s="2" t="s">
        <v>5551</v>
      </c>
    </row>
    <row r="2931" spans="3:3" ht="19">
      <c r="C2931" s="55" t="s">
        <v>9338</v>
      </c>
    </row>
    <row r="2932" spans="3:3">
      <c r="C2932" s="2" t="s">
        <v>5552</v>
      </c>
    </row>
    <row r="2933" spans="3:3" ht="19">
      <c r="C2933" s="55" t="s">
        <v>9339</v>
      </c>
    </row>
    <row r="2934" spans="3:3">
      <c r="C2934" s="2" t="s">
        <v>5553</v>
      </c>
    </row>
    <row r="2935" spans="3:3" ht="19">
      <c r="C2935" s="55" t="s">
        <v>9340</v>
      </c>
    </row>
    <row r="2936" spans="3:3">
      <c r="C2936" s="2" t="s">
        <v>5554</v>
      </c>
    </row>
    <row r="2937" spans="3:3" ht="19">
      <c r="C2937" s="55" t="s">
        <v>9341</v>
      </c>
    </row>
    <row r="2938" spans="3:3">
      <c r="C2938" s="2" t="s">
        <v>5555</v>
      </c>
    </row>
    <row r="2939" spans="3:3" ht="19">
      <c r="C2939" s="55" t="s">
        <v>9342</v>
      </c>
    </row>
    <row r="2940" spans="3:3">
      <c r="C2940" s="2" t="s">
        <v>5556</v>
      </c>
    </row>
    <row r="2941" spans="3:3" ht="19">
      <c r="C2941" s="55" t="s">
        <v>9343</v>
      </c>
    </row>
    <row r="2942" spans="3:3">
      <c r="C2942" s="2" t="s">
        <v>5557</v>
      </c>
    </row>
    <row r="2943" spans="3:3" ht="19">
      <c r="C2943" s="55" t="s">
        <v>9344</v>
      </c>
    </row>
    <row r="2944" spans="3:3">
      <c r="C2944" s="2" t="s">
        <v>5558</v>
      </c>
    </row>
    <row r="2945" spans="3:3" ht="19">
      <c r="C2945" s="55" t="s">
        <v>9345</v>
      </c>
    </row>
    <row r="2946" spans="3:3">
      <c r="C2946" s="2" t="s">
        <v>5559</v>
      </c>
    </row>
    <row r="2947" spans="3:3" ht="19">
      <c r="C2947" s="55" t="s">
        <v>9346</v>
      </c>
    </row>
    <row r="2948" spans="3:3">
      <c r="C2948" s="2" t="s">
        <v>9347</v>
      </c>
    </row>
    <row r="2949" spans="3:3" ht="19">
      <c r="C2949" s="55" t="s">
        <v>9348</v>
      </c>
    </row>
    <row r="2950" spans="3:3">
      <c r="C2950" s="2" t="s">
        <v>9349</v>
      </c>
    </row>
    <row r="2951" spans="3:3" ht="19">
      <c r="C2951" s="55" t="s">
        <v>9350</v>
      </c>
    </row>
    <row r="2952" spans="3:3">
      <c r="C2952" s="2" t="s">
        <v>9351</v>
      </c>
    </row>
    <row r="2953" spans="3:3" ht="19">
      <c r="C2953" s="55" t="s">
        <v>9352</v>
      </c>
    </row>
    <row r="2954" spans="3:3">
      <c r="C2954" s="2" t="s">
        <v>9353</v>
      </c>
    </row>
    <row r="2955" spans="3:3" ht="19">
      <c r="C2955" s="55" t="s">
        <v>9354</v>
      </c>
    </row>
    <row r="2956" spans="3:3">
      <c r="C2956" s="2" t="s">
        <v>9355</v>
      </c>
    </row>
    <row r="2957" spans="3:3" ht="19">
      <c r="C2957" s="55" t="s">
        <v>9356</v>
      </c>
    </row>
    <row r="2958" spans="3:3">
      <c r="C2958" s="2" t="s">
        <v>9357</v>
      </c>
    </row>
    <row r="2959" spans="3:3" ht="19">
      <c r="C2959" s="55" t="s">
        <v>9358</v>
      </c>
    </row>
    <row r="2960" spans="3:3">
      <c r="C2960" s="2" t="s">
        <v>9359</v>
      </c>
    </row>
    <row r="2961" spans="3:3" ht="19">
      <c r="C2961" s="55" t="s">
        <v>9360</v>
      </c>
    </row>
    <row r="2962" spans="3:3">
      <c r="C2962" s="2" t="s">
        <v>5673</v>
      </c>
    </row>
    <row r="2963" spans="3:3" ht="19">
      <c r="C2963" s="55" t="s">
        <v>9361</v>
      </c>
    </row>
    <row r="2964" spans="3:3">
      <c r="C2964" s="2" t="s">
        <v>5674</v>
      </c>
    </row>
    <row r="2965" spans="3:3" ht="19">
      <c r="C2965" s="55" t="s">
        <v>9362</v>
      </c>
    </row>
    <row r="2966" spans="3:3">
      <c r="C2966" s="2" t="s">
        <v>5675</v>
      </c>
    </row>
    <row r="2967" spans="3:3" ht="19">
      <c r="C2967" s="55" t="s">
        <v>9363</v>
      </c>
    </row>
    <row r="2968" spans="3:3">
      <c r="C2968" s="2" t="s">
        <v>5676</v>
      </c>
    </row>
    <row r="2969" spans="3:3" ht="19">
      <c r="C2969" s="55" t="s">
        <v>9364</v>
      </c>
    </row>
    <row r="2970" spans="3:3">
      <c r="C2970" s="2" t="s">
        <v>9365</v>
      </c>
    </row>
    <row r="2971" spans="3:3" ht="19">
      <c r="C2971" s="55" t="s">
        <v>9366</v>
      </c>
    </row>
    <row r="2972" spans="3:3">
      <c r="C2972" s="2" t="s">
        <v>9367</v>
      </c>
    </row>
    <row r="2973" spans="3:3" ht="19">
      <c r="C2973" s="55" t="s">
        <v>9368</v>
      </c>
    </row>
    <row r="2974" spans="3:3">
      <c r="C2974" s="2" t="s">
        <v>9369</v>
      </c>
    </row>
    <row r="2975" spans="3:3" ht="19">
      <c r="C2975" s="55" t="s">
        <v>9370</v>
      </c>
    </row>
    <row r="2976" spans="3:3">
      <c r="C2976" s="2" t="s">
        <v>9371</v>
      </c>
    </row>
    <row r="2977" spans="3:3" ht="19">
      <c r="C2977" s="55" t="s">
        <v>9372</v>
      </c>
    </row>
    <row r="2978" spans="3:3">
      <c r="C2978" s="2" t="s">
        <v>9373</v>
      </c>
    </row>
    <row r="2979" spans="3:3" ht="19">
      <c r="C2979" s="55" t="s">
        <v>9374</v>
      </c>
    </row>
    <row r="2980" spans="3:3">
      <c r="C2980" s="2" t="s">
        <v>9375</v>
      </c>
    </row>
    <row r="2981" spans="3:3" ht="19">
      <c r="C2981" s="55" t="s">
        <v>9376</v>
      </c>
    </row>
    <row r="2982" spans="3:3">
      <c r="C2982" s="2" t="s">
        <v>9377</v>
      </c>
    </row>
    <row r="2983" spans="3:3" ht="19">
      <c r="C2983" s="55" t="s">
        <v>9378</v>
      </c>
    </row>
    <row r="2984" spans="3:3">
      <c r="C2984" s="2" t="s">
        <v>9379</v>
      </c>
    </row>
    <row r="2985" spans="3:3" ht="19">
      <c r="C2985" s="55" t="s">
        <v>9380</v>
      </c>
    </row>
    <row r="2986" spans="3:3">
      <c r="C2986" s="2" t="s">
        <v>5677</v>
      </c>
    </row>
    <row r="2987" spans="3:3" ht="19">
      <c r="C2987" s="55" t="s">
        <v>9381</v>
      </c>
    </row>
    <row r="2988" spans="3:3">
      <c r="C2988" s="2" t="s">
        <v>5678</v>
      </c>
    </row>
    <row r="2989" spans="3:3" ht="19">
      <c r="C2989" s="55" t="s">
        <v>9382</v>
      </c>
    </row>
    <row r="2990" spans="3:3">
      <c r="C2990" s="2" t="s">
        <v>9383</v>
      </c>
    </row>
    <row r="2991" spans="3:3" ht="19">
      <c r="C2991" s="55" t="s">
        <v>9384</v>
      </c>
    </row>
    <row r="2992" spans="3:3">
      <c r="C2992" s="2" t="s">
        <v>9385</v>
      </c>
    </row>
    <row r="2993" spans="3:3" ht="19">
      <c r="C2993" s="55" t="s">
        <v>9386</v>
      </c>
    </row>
    <row r="2994" spans="3:3">
      <c r="C2994" s="2" t="s">
        <v>9387</v>
      </c>
    </row>
    <row r="2995" spans="3:3" ht="19">
      <c r="C2995" s="55" t="s">
        <v>9388</v>
      </c>
    </row>
    <row r="2996" spans="3:3">
      <c r="C2996" s="2" t="s">
        <v>5679</v>
      </c>
    </row>
    <row r="2997" spans="3:3" ht="19">
      <c r="C2997" s="55" t="s">
        <v>9389</v>
      </c>
    </row>
    <row r="2998" spans="3:3">
      <c r="C2998" s="2" t="s">
        <v>5680</v>
      </c>
    </row>
    <row r="2999" spans="3:3" ht="19">
      <c r="C2999" s="55" t="s">
        <v>9390</v>
      </c>
    </row>
    <row r="3000" spans="3:3">
      <c r="C3000" s="2" t="s">
        <v>5681</v>
      </c>
    </row>
    <row r="3001" spans="3:3" ht="19">
      <c r="C3001" s="55" t="s">
        <v>9391</v>
      </c>
    </row>
    <row r="3002" spans="3:3">
      <c r="C3002" s="2" t="s">
        <v>5682</v>
      </c>
    </row>
    <row r="3003" spans="3:3" ht="19">
      <c r="C3003" s="55" t="s">
        <v>9392</v>
      </c>
    </row>
    <row r="3004" spans="3:3">
      <c r="C3004" s="2" t="s">
        <v>9393</v>
      </c>
    </row>
    <row r="3005" spans="3:3" ht="19">
      <c r="C3005" s="55" t="s">
        <v>9394</v>
      </c>
    </row>
    <row r="3006" spans="3:3">
      <c r="C3006" s="2" t="s">
        <v>9395</v>
      </c>
    </row>
    <row r="3007" spans="3:3" ht="19">
      <c r="C3007" s="55" t="s">
        <v>9396</v>
      </c>
    </row>
    <row r="3008" spans="3:3">
      <c r="C3008" s="2" t="s">
        <v>9397</v>
      </c>
    </row>
    <row r="3009" spans="3:3" ht="19">
      <c r="C3009" s="55" t="s">
        <v>9398</v>
      </c>
    </row>
    <row r="3010" spans="3:3">
      <c r="C3010" s="2" t="s">
        <v>9399</v>
      </c>
    </row>
    <row r="3011" spans="3:3" ht="19">
      <c r="C3011" s="55" t="s">
        <v>9400</v>
      </c>
    </row>
    <row r="3012" spans="3:3">
      <c r="C3012" s="2" t="s">
        <v>9401</v>
      </c>
    </row>
    <row r="3013" spans="3:3" ht="19">
      <c r="C3013" s="55" t="s">
        <v>8828</v>
      </c>
    </row>
    <row r="3014" spans="3:3" ht="19">
      <c r="C3014" s="55" t="s">
        <v>8829</v>
      </c>
    </row>
    <row r="3015" spans="3:3">
      <c r="C3015" s="2" t="s">
        <v>9402</v>
      </c>
    </row>
    <row r="3016" spans="3:3" ht="19">
      <c r="C3016" s="55" t="s">
        <v>9403</v>
      </c>
    </row>
    <row r="3017" spans="3:3" ht="19">
      <c r="C3017" s="55" t="s">
        <v>9208</v>
      </c>
    </row>
    <row r="3018" spans="3:3" ht="19">
      <c r="C3018" s="55" t="s">
        <v>7756</v>
      </c>
    </row>
    <row r="3019" spans="3:3">
      <c r="C3019" s="2" t="s">
        <v>9404</v>
      </c>
    </row>
    <row r="3020" spans="3:3" ht="19">
      <c r="C3020" s="55" t="s">
        <v>7473</v>
      </c>
    </row>
    <row r="3021" spans="3:3">
      <c r="C3021" s="2" t="s">
        <v>9405</v>
      </c>
    </row>
    <row r="3022" spans="3:3" ht="19">
      <c r="C3022" s="55" t="s">
        <v>7560</v>
      </c>
    </row>
    <row r="3023" spans="3:3" ht="19">
      <c r="C3023" s="55" t="s">
        <v>7488</v>
      </c>
    </row>
    <row r="3024" spans="3:3" ht="19">
      <c r="C3024" s="55" t="s">
        <v>7489</v>
      </c>
    </row>
    <row r="3025" spans="3:3" ht="19">
      <c r="C3025" s="55" t="s">
        <v>8095</v>
      </c>
    </row>
    <row r="3026" spans="3:3">
      <c r="C3026" s="2" t="s">
        <v>9406</v>
      </c>
    </row>
    <row r="3027" spans="3:3" ht="19">
      <c r="C3027" s="55" t="s">
        <v>8489</v>
      </c>
    </row>
    <row r="3028" spans="3:3" ht="19">
      <c r="C3028" s="55" t="s">
        <v>8080</v>
      </c>
    </row>
    <row r="3029" spans="3:3" ht="19">
      <c r="C3029" s="55" t="s">
        <v>7969</v>
      </c>
    </row>
    <row r="3030" spans="3:3">
      <c r="C3030" s="2" t="s">
        <v>9407</v>
      </c>
    </row>
    <row r="3031" spans="3:3" ht="19">
      <c r="C3031" s="55" t="s">
        <v>7560</v>
      </c>
    </row>
    <row r="3032" spans="3:3">
      <c r="C3032" s="2" t="s">
        <v>9408</v>
      </c>
    </row>
    <row r="3033" spans="3:3" ht="19">
      <c r="C3033" s="55" t="s">
        <v>7516</v>
      </c>
    </row>
    <row r="3034" spans="3:3" ht="19">
      <c r="C3034" s="55" t="s">
        <v>7514</v>
      </c>
    </row>
    <row r="3035" spans="3:3" ht="19">
      <c r="C3035" s="55" t="s">
        <v>9409</v>
      </c>
    </row>
    <row r="3036" spans="3:3" ht="19">
      <c r="C3036" s="55" t="s">
        <v>8794</v>
      </c>
    </row>
    <row r="3037" spans="3:3" ht="19">
      <c r="C3037" s="55" t="s">
        <v>7498</v>
      </c>
    </row>
    <row r="3038" spans="3:3" ht="19">
      <c r="C3038" s="55" t="s">
        <v>8033</v>
      </c>
    </row>
    <row r="3039" spans="3:3" ht="19">
      <c r="C3039" s="55" t="s">
        <v>7482</v>
      </c>
    </row>
    <row r="3040" spans="3:3" ht="19">
      <c r="C3040" s="55" t="s">
        <v>7963</v>
      </c>
    </row>
    <row r="3041" spans="3:3" ht="19">
      <c r="C3041" s="55" t="s">
        <v>7485</v>
      </c>
    </row>
    <row r="3042" spans="3:3" ht="19">
      <c r="C3042" s="55" t="s">
        <v>7504</v>
      </c>
    </row>
    <row r="3043" spans="3:3" ht="19">
      <c r="C3043" s="55" t="s">
        <v>7486</v>
      </c>
    </row>
    <row r="3044" spans="3:3" ht="19">
      <c r="C3044" s="55" t="s">
        <v>8007</v>
      </c>
    </row>
    <row r="3045" spans="3:3" ht="19">
      <c r="C3045" s="55" t="s">
        <v>8008</v>
      </c>
    </row>
    <row r="3046" spans="3:3" ht="19">
      <c r="C3046" s="55" t="s">
        <v>8009</v>
      </c>
    </row>
    <row r="3047" spans="3:3" ht="19">
      <c r="C3047" s="55" t="s">
        <v>8010</v>
      </c>
    </row>
    <row r="3048" spans="3:3" ht="19">
      <c r="C3048" s="55" t="s">
        <v>7500</v>
      </c>
    </row>
    <row r="3049" spans="3:3" ht="19">
      <c r="C3049" s="55" t="s">
        <v>9410</v>
      </c>
    </row>
    <row r="3050" spans="3:3">
      <c r="C3050" s="2" t="s">
        <v>9411</v>
      </c>
    </row>
    <row r="3051" spans="3:3" ht="19">
      <c r="C3051" s="55" t="s">
        <v>8000</v>
      </c>
    </row>
    <row r="3052" spans="3:3" ht="19">
      <c r="C3052" s="55" t="s">
        <v>7941</v>
      </c>
    </row>
    <row r="3053" spans="3:3" ht="19">
      <c r="C3053" s="55" t="s">
        <v>8168</v>
      </c>
    </row>
    <row r="3054" spans="3:3">
      <c r="C3054" s="2" t="s">
        <v>9412</v>
      </c>
    </row>
    <row r="3055" spans="3:3" ht="19">
      <c r="C3055" s="55" t="s">
        <v>7552</v>
      </c>
    </row>
    <row r="3056" spans="3:3" ht="19">
      <c r="C3056" s="55" t="s">
        <v>7483</v>
      </c>
    </row>
    <row r="3057" spans="3:3" ht="19">
      <c r="C3057" s="55" t="s">
        <v>8020</v>
      </c>
    </row>
    <row r="3058" spans="3:3" ht="19">
      <c r="C3058" s="55" t="s">
        <v>9413</v>
      </c>
    </row>
    <row r="3059" spans="3:3">
      <c r="C3059" s="2" t="s">
        <v>9414</v>
      </c>
    </row>
    <row r="3060" spans="3:3" ht="19">
      <c r="C3060" s="55" t="s">
        <v>7942</v>
      </c>
    </row>
    <row r="3061" spans="3:3" ht="19">
      <c r="C3061" s="55" t="s">
        <v>8172</v>
      </c>
    </row>
    <row r="3062" spans="3:3">
      <c r="C3062" s="2" t="s">
        <v>9415</v>
      </c>
    </row>
    <row r="3063" spans="3:3" ht="19">
      <c r="C3063" s="55" t="s">
        <v>8183</v>
      </c>
    </row>
    <row r="3064" spans="3:3" ht="19">
      <c r="C3064" s="55" t="s">
        <v>8184</v>
      </c>
    </row>
    <row r="3065" spans="3:3" ht="19">
      <c r="C3065" s="55" t="s">
        <v>7527</v>
      </c>
    </row>
    <row r="3066" spans="3:3">
      <c r="C3066" s="2" t="s">
        <v>9416</v>
      </c>
    </row>
    <row r="3067" spans="3:3" ht="19">
      <c r="C3067" s="55" t="s">
        <v>8183</v>
      </c>
    </row>
    <row r="3068" spans="3:3" ht="19">
      <c r="C3068" s="55" t="s">
        <v>7527</v>
      </c>
    </row>
    <row r="3069" spans="3:3">
      <c r="C3069" s="2" t="s">
        <v>4453</v>
      </c>
    </row>
    <row r="3070" spans="3:3" ht="19">
      <c r="C3070" s="55" t="s">
        <v>9417</v>
      </c>
    </row>
    <row r="3071" spans="3:3">
      <c r="C3071" s="2" t="s">
        <v>5715</v>
      </c>
    </row>
    <row r="3072" spans="3:3" ht="19">
      <c r="C3072" s="55" t="s">
        <v>9418</v>
      </c>
    </row>
    <row r="3073" spans="3:3">
      <c r="C3073" s="2" t="s">
        <v>9419</v>
      </c>
    </row>
    <row r="3074" spans="3:3" ht="19">
      <c r="C3074" s="55" t="s">
        <v>9420</v>
      </c>
    </row>
    <row r="3075" spans="3:3">
      <c r="C3075" s="2" t="s">
        <v>9421</v>
      </c>
    </row>
    <row r="3076" spans="3:3" ht="19">
      <c r="C3076" s="55" t="s">
        <v>9422</v>
      </c>
    </row>
    <row r="3077" spans="3:3">
      <c r="C3077" s="2" t="s">
        <v>9423</v>
      </c>
    </row>
    <row r="3078" spans="3:3" ht="19">
      <c r="C3078" s="55" t="s">
        <v>9424</v>
      </c>
    </row>
    <row r="3079" spans="3:3">
      <c r="C3079" s="2" t="s">
        <v>5716</v>
      </c>
    </row>
    <row r="3080" spans="3:3" ht="19">
      <c r="C3080" s="55" t="s">
        <v>9425</v>
      </c>
    </row>
    <row r="3081" spans="3:3">
      <c r="C3081" s="2" t="s">
        <v>5717</v>
      </c>
    </row>
    <row r="3082" spans="3:3" ht="19">
      <c r="C3082" s="55" t="s">
        <v>9426</v>
      </c>
    </row>
    <row r="3083" spans="3:3">
      <c r="C3083" s="2" t="s">
        <v>5718</v>
      </c>
    </row>
    <row r="3084" spans="3:3" ht="19">
      <c r="C3084" s="55" t="s">
        <v>9427</v>
      </c>
    </row>
    <row r="3085" spans="3:3">
      <c r="C3085" s="2" t="s">
        <v>5719</v>
      </c>
    </row>
    <row r="3086" spans="3:3" ht="19">
      <c r="C3086" s="55" t="s">
        <v>9428</v>
      </c>
    </row>
    <row r="3087" spans="3:3">
      <c r="C3087" s="2" t="s">
        <v>9429</v>
      </c>
    </row>
    <row r="3088" spans="3:3" ht="19">
      <c r="C3088" s="55" t="s">
        <v>9430</v>
      </c>
    </row>
    <row r="3089" spans="3:3">
      <c r="C3089" s="2" t="s">
        <v>9431</v>
      </c>
    </row>
    <row r="3090" spans="3:3" ht="19">
      <c r="C3090" s="55" t="s">
        <v>9432</v>
      </c>
    </row>
    <row r="3091" spans="3:3">
      <c r="C3091" s="2" t="s">
        <v>9433</v>
      </c>
    </row>
    <row r="3092" spans="3:3" ht="19">
      <c r="C3092" s="55" t="s">
        <v>9434</v>
      </c>
    </row>
    <row r="3093" spans="3:3">
      <c r="C3093" s="2" t="s">
        <v>9435</v>
      </c>
    </row>
    <row r="3094" spans="3:3" ht="19">
      <c r="C3094" s="55" t="s">
        <v>9436</v>
      </c>
    </row>
    <row r="3095" spans="3:3">
      <c r="C3095" s="2" t="s">
        <v>4454</v>
      </c>
    </row>
    <row r="3096" spans="3:3" ht="19">
      <c r="C3096" s="55" t="s">
        <v>9437</v>
      </c>
    </row>
    <row r="3097" spans="3:3">
      <c r="C3097" s="2" t="s">
        <v>9438</v>
      </c>
    </row>
    <row r="3098" spans="3:3" ht="19">
      <c r="C3098" s="55" t="s">
        <v>9439</v>
      </c>
    </row>
    <row r="3099" spans="3:3">
      <c r="C3099" s="2" t="s">
        <v>9440</v>
      </c>
    </row>
    <row r="3100" spans="3:3" ht="19">
      <c r="C3100" s="55" t="s">
        <v>9441</v>
      </c>
    </row>
    <row r="3101" spans="3:3">
      <c r="C3101" s="2" t="s">
        <v>9442</v>
      </c>
    </row>
    <row r="3102" spans="3:3" ht="19">
      <c r="C3102" s="55" t="s">
        <v>9443</v>
      </c>
    </row>
    <row r="3103" spans="3:3">
      <c r="C3103" s="2" t="s">
        <v>9444</v>
      </c>
    </row>
    <row r="3104" spans="3:3" ht="19">
      <c r="C3104" s="55" t="s">
        <v>9445</v>
      </c>
    </row>
    <row r="3105" spans="3:3">
      <c r="C3105" s="2" t="s">
        <v>9446</v>
      </c>
    </row>
    <row r="3106" spans="3:3" ht="19">
      <c r="C3106" s="55" t="s">
        <v>8820</v>
      </c>
    </row>
    <row r="3107" spans="3:3">
      <c r="C3107" s="2" t="s">
        <v>9447</v>
      </c>
    </row>
    <row r="3108" spans="3:3" ht="19">
      <c r="C3108" s="55" t="s">
        <v>8829</v>
      </c>
    </row>
    <row r="3109" spans="3:3">
      <c r="C3109" s="2" t="s">
        <v>9448</v>
      </c>
    </row>
    <row r="3110" spans="3:3" ht="19">
      <c r="C3110" s="55" t="s">
        <v>8826</v>
      </c>
    </row>
    <row r="3111" spans="3:3">
      <c r="C3111" s="2" t="s">
        <v>9449</v>
      </c>
    </row>
    <row r="3112" spans="3:3" ht="19">
      <c r="C3112" s="55" t="s">
        <v>9450</v>
      </c>
    </row>
    <row r="3113" spans="3:3">
      <c r="C3113" s="2" t="s">
        <v>9451</v>
      </c>
    </row>
    <row r="3114" spans="3:3" ht="19">
      <c r="C3114" s="55" t="s">
        <v>9452</v>
      </c>
    </row>
    <row r="3115" spans="3:3">
      <c r="C3115" s="2" t="s">
        <v>9453</v>
      </c>
    </row>
    <row r="3116" spans="3:3" ht="19">
      <c r="C3116" s="55" t="s">
        <v>9454</v>
      </c>
    </row>
    <row r="3117" spans="3:3">
      <c r="C3117" s="2" t="s">
        <v>9455</v>
      </c>
    </row>
    <row r="3118" spans="3:3" ht="19">
      <c r="C3118" s="55" t="s">
        <v>9456</v>
      </c>
    </row>
    <row r="3119" spans="3:3">
      <c r="C3119" s="2" t="s">
        <v>9457</v>
      </c>
    </row>
    <row r="3120" spans="3:3" ht="19">
      <c r="C3120" s="55" t="s">
        <v>9458</v>
      </c>
    </row>
    <row r="3121" spans="3:3">
      <c r="C3121" s="2" t="s">
        <v>9459</v>
      </c>
    </row>
    <row r="3122" spans="3:3" ht="19">
      <c r="C3122" s="55" t="s">
        <v>7493</v>
      </c>
    </row>
    <row r="3123" spans="3:3" ht="19">
      <c r="C3123" s="55" t="s">
        <v>8475</v>
      </c>
    </row>
    <row r="3124" spans="3:3">
      <c r="C3124" s="2" t="s">
        <v>9460</v>
      </c>
    </row>
    <row r="3125" spans="3:3" ht="19">
      <c r="C3125" s="55" t="s">
        <v>7516</v>
      </c>
    </row>
    <row r="3126" spans="3:3" ht="19">
      <c r="C3126" s="55" t="s">
        <v>9461</v>
      </c>
    </row>
    <row r="3127" spans="3:3" ht="19">
      <c r="C3127" s="55" t="s">
        <v>8385</v>
      </c>
    </row>
    <row r="3128" spans="3:3" ht="19">
      <c r="C3128" s="55" t="s">
        <v>8386</v>
      </c>
    </row>
    <row r="3129" spans="3:3">
      <c r="C3129" s="2" t="s">
        <v>9462</v>
      </c>
    </row>
    <row r="3130" spans="3:3" ht="19">
      <c r="C3130" s="55" t="s">
        <v>9463</v>
      </c>
    </row>
    <row r="3131" spans="3:3" ht="19">
      <c r="C3131" s="55" t="s">
        <v>9464</v>
      </c>
    </row>
    <row r="3132" spans="3:3">
      <c r="C3132" s="2" t="s">
        <v>9465</v>
      </c>
    </row>
    <row r="3133" spans="3:3" ht="19">
      <c r="C3133" s="55" t="s">
        <v>8522</v>
      </c>
    </row>
    <row r="3134" spans="3:3" ht="19">
      <c r="C3134" s="55" t="s">
        <v>8462</v>
      </c>
    </row>
    <row r="3135" spans="3:3">
      <c r="C3135" s="2" t="s">
        <v>9466</v>
      </c>
    </row>
    <row r="3136" spans="3:3" ht="19">
      <c r="C3136" s="55" t="s">
        <v>9467</v>
      </c>
    </row>
    <row r="3137" spans="3:3" ht="19">
      <c r="C3137" s="55" t="s">
        <v>9468</v>
      </c>
    </row>
    <row r="3138" spans="3:3">
      <c r="C3138" s="2" t="s">
        <v>9469</v>
      </c>
    </row>
    <row r="3139" spans="3:3" ht="19">
      <c r="C3139" s="55" t="s">
        <v>8514</v>
      </c>
    </row>
    <row r="3140" spans="3:3" ht="19">
      <c r="C3140" s="55" t="s">
        <v>8516</v>
      </c>
    </row>
    <row r="3141" spans="3:3">
      <c r="C3141" s="2" t="s">
        <v>9470</v>
      </c>
    </row>
    <row r="3142" spans="3:3" ht="19">
      <c r="C3142" s="55" t="s">
        <v>8519</v>
      </c>
    </row>
    <row r="3143" spans="3:3" ht="19">
      <c r="C3143" s="55" t="s">
        <v>8520</v>
      </c>
    </row>
    <row r="3144" spans="3:3">
      <c r="C3144" s="2" t="s">
        <v>9471</v>
      </c>
    </row>
    <row r="3145" spans="3:3" ht="19">
      <c r="C3145" s="55" t="s">
        <v>9472</v>
      </c>
    </row>
    <row r="3146" spans="3:3">
      <c r="C3146" s="2" t="s">
        <v>9473</v>
      </c>
    </row>
    <row r="3147" spans="3:3" ht="19">
      <c r="C3147" s="55" t="s">
        <v>8522</v>
      </c>
    </row>
    <row r="3148" spans="3:3">
      <c r="C3148" s="2" t="s">
        <v>9474</v>
      </c>
    </row>
    <row r="3149" spans="3:3" ht="19">
      <c r="C3149" s="55" t="s">
        <v>9475</v>
      </c>
    </row>
    <row r="3150" spans="3:3">
      <c r="C3150" s="2" t="s">
        <v>9476</v>
      </c>
    </row>
    <row r="3151" spans="3:3" ht="19">
      <c r="C3151" s="55" t="s">
        <v>9477</v>
      </c>
    </row>
    <row r="3152" spans="3:3">
      <c r="C3152" s="2" t="s">
        <v>9478</v>
      </c>
    </row>
    <row r="3153" spans="3:3" ht="19">
      <c r="C3153" s="55" t="s">
        <v>9479</v>
      </c>
    </row>
    <row r="3154" spans="3:3">
      <c r="C3154" s="2" t="s">
        <v>9480</v>
      </c>
    </row>
    <row r="3155" spans="3:3" ht="19">
      <c r="C3155" s="55" t="s">
        <v>8562</v>
      </c>
    </row>
    <row r="3156" spans="3:3" ht="19">
      <c r="C3156" s="55" t="s">
        <v>8563</v>
      </c>
    </row>
    <row r="3157" spans="3:3">
      <c r="C3157" s="2" t="s">
        <v>9481</v>
      </c>
    </row>
    <row r="3158" spans="3:3" ht="19">
      <c r="C3158" s="55" t="s">
        <v>8416</v>
      </c>
    </row>
    <row r="3159" spans="3:3" ht="19">
      <c r="C3159" s="55" t="s">
        <v>8545</v>
      </c>
    </row>
    <row r="3160" spans="3:3" ht="19">
      <c r="C3160" s="55" t="s">
        <v>8000</v>
      </c>
    </row>
    <row r="3161" spans="3:3" ht="19">
      <c r="C3161" s="55" t="s">
        <v>8462</v>
      </c>
    </row>
    <row r="3162" spans="3:3">
      <c r="C3162" s="2" t="s">
        <v>9482</v>
      </c>
    </row>
    <row r="3163" spans="3:3" ht="19">
      <c r="C3163" s="55" t="s">
        <v>9483</v>
      </c>
    </row>
    <row r="3164" spans="3:3">
      <c r="C3164" s="2" t="s">
        <v>9484</v>
      </c>
    </row>
    <row r="3165" spans="3:3" ht="19">
      <c r="C3165" s="55" t="s">
        <v>8566</v>
      </c>
    </row>
    <row r="3166" spans="3:3" ht="19">
      <c r="C3166" s="55" t="s">
        <v>8567</v>
      </c>
    </row>
    <row r="3167" spans="3:3">
      <c r="C3167" s="2" t="s">
        <v>9485</v>
      </c>
    </row>
    <row r="3168" spans="3:3" ht="19">
      <c r="C3168" s="55" t="s">
        <v>9486</v>
      </c>
    </row>
    <row r="3169" spans="3:3" ht="19">
      <c r="C3169" s="55" t="s">
        <v>8000</v>
      </c>
    </row>
    <row r="3170" spans="3:3">
      <c r="C3170" s="2" t="s">
        <v>9487</v>
      </c>
    </row>
    <row r="3171" spans="3:3" ht="19">
      <c r="C3171" s="55" t="s">
        <v>9488</v>
      </c>
    </row>
    <row r="3172" spans="3:3">
      <c r="C3172" s="2" t="s">
        <v>9489</v>
      </c>
    </row>
    <row r="3173" spans="3:3" ht="19">
      <c r="C3173" s="55" t="s">
        <v>9490</v>
      </c>
    </row>
    <row r="3174" spans="3:3" ht="19">
      <c r="C3174" s="55" t="s">
        <v>8000</v>
      </c>
    </row>
    <row r="3175" spans="3:3">
      <c r="C3175" s="2" t="s">
        <v>9491</v>
      </c>
    </row>
    <row r="3176" spans="3:3" ht="19">
      <c r="C3176" s="55" t="s">
        <v>9492</v>
      </c>
    </row>
    <row r="3177" spans="3:3" ht="19">
      <c r="C3177" s="55" t="s">
        <v>7520</v>
      </c>
    </row>
    <row r="3178" spans="3:3">
      <c r="C3178" s="2" t="s">
        <v>9493</v>
      </c>
    </row>
    <row r="3179" spans="3:3" ht="19">
      <c r="C3179" s="55" t="s">
        <v>9494</v>
      </c>
    </row>
    <row r="3180" spans="3:3">
      <c r="C3180" s="2" t="s">
        <v>9495</v>
      </c>
    </row>
    <row r="3181" spans="3:3" ht="19">
      <c r="C3181" s="55" t="s">
        <v>8545</v>
      </c>
    </row>
    <row r="3182" spans="3:3" ht="19">
      <c r="C3182" s="55" t="s">
        <v>8000</v>
      </c>
    </row>
    <row r="3183" spans="3:3">
      <c r="C3183" s="2" t="s">
        <v>9496</v>
      </c>
    </row>
    <row r="3184" spans="3:3" ht="19">
      <c r="C3184" s="55" t="s">
        <v>9497</v>
      </c>
    </row>
    <row r="3185" spans="3:3">
      <c r="C3185" s="2" t="s">
        <v>9498</v>
      </c>
    </row>
    <row r="3186" spans="3:3" ht="19">
      <c r="C3186" s="55" t="s">
        <v>8548</v>
      </c>
    </row>
    <row r="3187" spans="3:3" ht="19">
      <c r="C3187" s="55" t="s">
        <v>8817</v>
      </c>
    </row>
    <row r="3188" spans="3:3" ht="19">
      <c r="C3188" s="55" t="s">
        <v>8569</v>
      </c>
    </row>
    <row r="3189" spans="3:3" ht="19">
      <c r="C3189" s="55" t="s">
        <v>8570</v>
      </c>
    </row>
    <row r="3190" spans="3:3">
      <c r="C3190" s="2" t="s">
        <v>9499</v>
      </c>
    </row>
    <row r="3191" spans="3:3" ht="19">
      <c r="C3191" s="55" t="s">
        <v>7493</v>
      </c>
    </row>
    <row r="3192" spans="3:3" ht="19">
      <c r="C3192" s="55" t="s">
        <v>9500</v>
      </c>
    </row>
    <row r="3193" spans="3:3" ht="19">
      <c r="C3193" s="55" t="s">
        <v>7473</v>
      </c>
    </row>
    <row r="3194" spans="3:3" ht="19">
      <c r="C3194" s="55" t="s">
        <v>7527</v>
      </c>
    </row>
    <row r="3195" spans="3:3">
      <c r="C3195" s="2" t="s">
        <v>9501</v>
      </c>
    </row>
    <row r="3196" spans="3:3" ht="19">
      <c r="C3196" s="55" t="s">
        <v>8550</v>
      </c>
    </row>
    <row r="3197" spans="3:3" ht="19">
      <c r="C3197" s="55" t="s">
        <v>9502</v>
      </c>
    </row>
    <row r="3198" spans="3:3" ht="19">
      <c r="C3198" s="55" t="s">
        <v>8573</v>
      </c>
    </row>
    <row r="3199" spans="3:3" ht="19">
      <c r="C3199" s="55" t="s">
        <v>8574</v>
      </c>
    </row>
    <row r="3200" spans="3:3">
      <c r="C3200" s="2" t="s">
        <v>5799</v>
      </c>
    </row>
    <row r="3201" spans="3:3" ht="19">
      <c r="C3201" s="55" t="s">
        <v>9503</v>
      </c>
    </row>
    <row r="3202" spans="3:3">
      <c r="C3202" s="2" t="s">
        <v>5800</v>
      </c>
    </row>
    <row r="3203" spans="3:3" ht="19">
      <c r="C3203" s="55" t="s">
        <v>9504</v>
      </c>
    </row>
    <row r="3204" spans="3:3">
      <c r="C3204" s="2" t="s">
        <v>5801</v>
      </c>
    </row>
    <row r="3205" spans="3:3" ht="19">
      <c r="C3205" s="55" t="s">
        <v>9505</v>
      </c>
    </row>
    <row r="3206" spans="3:3">
      <c r="C3206" s="2" t="s">
        <v>5802</v>
      </c>
    </row>
    <row r="3207" spans="3:3" ht="19">
      <c r="C3207" s="55" t="s">
        <v>9506</v>
      </c>
    </row>
    <row r="3208" spans="3:3">
      <c r="C3208" s="2" t="s">
        <v>5803</v>
      </c>
    </row>
    <row r="3209" spans="3:3" ht="19">
      <c r="C3209" s="55" t="s">
        <v>9507</v>
      </c>
    </row>
    <row r="3210" spans="3:3" ht="19">
      <c r="C3210" s="55" t="s">
        <v>9508</v>
      </c>
    </row>
    <row r="3211" spans="3:3">
      <c r="C3211" s="2" t="s">
        <v>4455</v>
      </c>
    </row>
    <row r="3212" spans="3:3" ht="19">
      <c r="C3212" s="55" t="s">
        <v>9509</v>
      </c>
    </row>
    <row r="3213" spans="3:3">
      <c r="C3213" s="2" t="s">
        <v>9510</v>
      </c>
    </row>
    <row r="3214" spans="3:3" ht="19">
      <c r="C3214" s="55" t="s">
        <v>9511</v>
      </c>
    </row>
    <row r="3215" spans="3:3">
      <c r="C3215" s="2" t="s">
        <v>9512</v>
      </c>
    </row>
    <row r="3216" spans="3:3" ht="19">
      <c r="C3216" s="55" t="s">
        <v>9513</v>
      </c>
    </row>
    <row r="3217" spans="3:3">
      <c r="C3217" s="2" t="s">
        <v>9514</v>
      </c>
    </row>
    <row r="3218" spans="3:3" ht="19">
      <c r="C3218" s="55" t="s">
        <v>9515</v>
      </c>
    </row>
    <row r="3219" spans="3:3">
      <c r="C3219" s="2" t="s">
        <v>9516</v>
      </c>
    </row>
    <row r="3220" spans="3:3" ht="19">
      <c r="C3220" s="55" t="s">
        <v>9517</v>
      </c>
    </row>
    <row r="3221" spans="3:3">
      <c r="C3221" s="2" t="s">
        <v>9518</v>
      </c>
    </row>
    <row r="3222" spans="3:3" ht="19">
      <c r="C3222" s="55" t="s">
        <v>8819</v>
      </c>
    </row>
    <row r="3223" spans="3:3">
      <c r="C3223" s="2" t="s">
        <v>9519</v>
      </c>
    </row>
    <row r="3224" spans="3:3" ht="19">
      <c r="C3224" s="55" t="s">
        <v>8828</v>
      </c>
    </row>
    <row r="3225" spans="3:3">
      <c r="C3225" s="2" t="s">
        <v>9520</v>
      </c>
    </row>
    <row r="3226" spans="3:3" ht="19">
      <c r="C3226" s="55" t="s">
        <v>8825</v>
      </c>
    </row>
    <row r="3227" spans="3:3">
      <c r="C3227" s="2" t="s">
        <v>9521</v>
      </c>
    </row>
    <row r="3228" spans="3:3" ht="19">
      <c r="C3228" s="55" t="s">
        <v>9522</v>
      </c>
    </row>
    <row r="3229" spans="3:3">
      <c r="C3229" s="2" t="s">
        <v>9523</v>
      </c>
    </row>
    <row r="3230" spans="3:3" ht="19">
      <c r="C3230" s="55" t="s">
        <v>9524</v>
      </c>
    </row>
    <row r="3231" spans="3:3">
      <c r="C3231" s="2" t="s">
        <v>9525</v>
      </c>
    </row>
    <row r="3232" spans="3:3" ht="19">
      <c r="C3232" s="55" t="s">
        <v>9526</v>
      </c>
    </row>
    <row r="3233" spans="3:3">
      <c r="C3233" s="2" t="s">
        <v>9527</v>
      </c>
    </row>
    <row r="3234" spans="3:3" ht="19">
      <c r="C3234" s="55" t="s">
        <v>9528</v>
      </c>
    </row>
    <row r="3235" spans="3:3">
      <c r="C3235" s="2" t="s">
        <v>9529</v>
      </c>
    </row>
    <row r="3236" spans="3:3" ht="19">
      <c r="C3236" s="55" t="s">
        <v>9530</v>
      </c>
    </row>
    <row r="3237" spans="3:3">
      <c r="C3237" s="2" t="s">
        <v>9531</v>
      </c>
    </row>
    <row r="3238" spans="3:3" ht="19">
      <c r="C3238" s="55" t="s">
        <v>7516</v>
      </c>
    </row>
    <row r="3239" spans="3:3">
      <c r="C3239" s="2" t="s">
        <v>9532</v>
      </c>
    </row>
    <row r="3240" spans="3:3" ht="19">
      <c r="C3240" s="55" t="s">
        <v>8447</v>
      </c>
    </row>
    <row r="3241" spans="3:3">
      <c r="C3241" s="2" t="s">
        <v>9533</v>
      </c>
    </row>
    <row r="3242" spans="3:3" ht="19">
      <c r="C3242" s="55" t="s">
        <v>7770</v>
      </c>
    </row>
    <row r="3243" spans="3:3">
      <c r="C3243" s="2" t="s">
        <v>9534</v>
      </c>
    </row>
    <row r="3244" spans="3:3" ht="19">
      <c r="C3244" s="55" t="s">
        <v>7516</v>
      </c>
    </row>
    <row r="3245" spans="3:3" ht="19">
      <c r="C3245" s="55" t="s">
        <v>9535</v>
      </c>
    </row>
    <row r="3246" spans="3:3">
      <c r="C3246" s="2" t="s">
        <v>9536</v>
      </c>
    </row>
    <row r="3247" spans="3:3" ht="19">
      <c r="C3247" s="55" t="s">
        <v>7563</v>
      </c>
    </row>
    <row r="3248" spans="3:3" ht="19">
      <c r="C3248" s="55" t="s">
        <v>9537</v>
      </c>
    </row>
    <row r="3249" spans="3:3">
      <c r="C3249" s="2" t="s">
        <v>9538</v>
      </c>
    </row>
    <row r="3250" spans="3:3" ht="19">
      <c r="C3250" s="55" t="s">
        <v>7480</v>
      </c>
    </row>
    <row r="3251" spans="3:3" ht="19">
      <c r="C3251" s="55" t="s">
        <v>7495</v>
      </c>
    </row>
    <row r="3252" spans="3:3" ht="19">
      <c r="C3252" s="55" t="s">
        <v>9539</v>
      </c>
    </row>
    <row r="3253" spans="3:3" ht="19">
      <c r="C3253" s="55" t="s">
        <v>9540</v>
      </c>
    </row>
    <row r="3254" spans="3:3" ht="19">
      <c r="C3254" s="55" t="s">
        <v>9541</v>
      </c>
    </row>
    <row r="3255" spans="3:3" ht="19">
      <c r="C3255" s="55" t="s">
        <v>9542</v>
      </c>
    </row>
    <row r="3256" spans="3:3">
      <c r="C3256" s="2" t="s">
        <v>9543</v>
      </c>
    </row>
    <row r="3257" spans="3:3" ht="19">
      <c r="C3257" s="55" t="s">
        <v>7480</v>
      </c>
    </row>
    <row r="3258" spans="3:3">
      <c r="C3258" s="2" t="s">
        <v>9544</v>
      </c>
    </row>
    <row r="3259" spans="3:3" ht="19">
      <c r="C3259" s="55" t="s">
        <v>7550</v>
      </c>
    </row>
    <row r="3260" spans="3:3" ht="19">
      <c r="C3260" s="55" t="s">
        <v>8434</v>
      </c>
    </row>
    <row r="3261" spans="3:3" ht="19">
      <c r="C3261" s="55" t="s">
        <v>7474</v>
      </c>
    </row>
    <row r="3262" spans="3:3" ht="19">
      <c r="C3262" s="55" t="s">
        <v>9112</v>
      </c>
    </row>
    <row r="3263" spans="3:3" ht="19">
      <c r="C3263" s="55" t="s">
        <v>7501</v>
      </c>
    </row>
    <row r="3264" spans="3:3">
      <c r="C3264" s="2" t="s">
        <v>9545</v>
      </c>
    </row>
    <row r="3265" spans="3:3" ht="19">
      <c r="C3265" s="55" t="s">
        <v>9546</v>
      </c>
    </row>
    <row r="3266" spans="3:3">
      <c r="C3266" s="2" t="s">
        <v>9547</v>
      </c>
    </row>
    <row r="3267" spans="3:3" ht="19">
      <c r="C3267" s="55" t="s">
        <v>9548</v>
      </c>
    </row>
    <row r="3268" spans="3:3">
      <c r="C3268" s="2" t="s">
        <v>4456</v>
      </c>
    </row>
    <row r="3269" spans="3:3" ht="19">
      <c r="C3269" s="55" t="s">
        <v>9549</v>
      </c>
    </row>
    <row r="3270" spans="3:3">
      <c r="C3270" s="2" t="s">
        <v>5840</v>
      </c>
    </row>
    <row r="3271" spans="3:3" ht="19">
      <c r="C3271" s="55" t="s">
        <v>9550</v>
      </c>
    </row>
    <row r="3272" spans="3:3">
      <c r="C3272" s="2" t="s">
        <v>9551</v>
      </c>
    </row>
    <row r="3273" spans="3:3" ht="19">
      <c r="C3273" s="55" t="s">
        <v>9552</v>
      </c>
    </row>
    <row r="3274" spans="3:3">
      <c r="C3274" s="2" t="s">
        <v>9553</v>
      </c>
    </row>
    <row r="3275" spans="3:3" ht="19">
      <c r="C3275" s="55" t="s">
        <v>9554</v>
      </c>
    </row>
    <row r="3276" spans="3:3">
      <c r="C3276" s="2" t="s">
        <v>9555</v>
      </c>
    </row>
    <row r="3277" spans="3:3" ht="19">
      <c r="C3277" s="55" t="s">
        <v>9556</v>
      </c>
    </row>
    <row r="3278" spans="3:3">
      <c r="C3278" s="2" t="s">
        <v>5841</v>
      </c>
    </row>
    <row r="3279" spans="3:3" ht="19">
      <c r="C3279" s="55" t="s">
        <v>9557</v>
      </c>
    </row>
    <row r="3280" spans="3:3">
      <c r="C3280" s="2" t="s">
        <v>5842</v>
      </c>
    </row>
    <row r="3281" spans="3:3" ht="19">
      <c r="C3281" s="55" t="s">
        <v>9558</v>
      </c>
    </row>
    <row r="3282" spans="3:3">
      <c r="C3282" s="2" t="s">
        <v>5843</v>
      </c>
    </row>
    <row r="3283" spans="3:3" ht="19">
      <c r="C3283" s="55" t="s">
        <v>9559</v>
      </c>
    </row>
    <row r="3284" spans="3:3">
      <c r="C3284" s="2" t="s">
        <v>5844</v>
      </c>
    </row>
    <row r="3285" spans="3:3" ht="19">
      <c r="C3285" s="55" t="s">
        <v>9560</v>
      </c>
    </row>
    <row r="3286" spans="3:3">
      <c r="C3286" s="2" t="s">
        <v>9561</v>
      </c>
    </row>
    <row r="3287" spans="3:3" ht="19">
      <c r="C3287" s="55" t="s">
        <v>9562</v>
      </c>
    </row>
    <row r="3288" spans="3:3">
      <c r="C3288" s="2" t="s">
        <v>9563</v>
      </c>
    </row>
    <row r="3289" spans="3:3" ht="19">
      <c r="C3289" s="55" t="s">
        <v>9564</v>
      </c>
    </row>
    <row r="3290" spans="3:3">
      <c r="C3290" s="2" t="s">
        <v>9565</v>
      </c>
    </row>
    <row r="3291" spans="3:3" ht="19">
      <c r="C3291" s="55" t="s">
        <v>9566</v>
      </c>
    </row>
    <row r="3292" spans="3:3">
      <c r="C3292" s="2" t="s">
        <v>9567</v>
      </c>
    </row>
    <row r="3293" spans="3:3" ht="19">
      <c r="C3293" s="55" t="s">
        <v>9568</v>
      </c>
    </row>
    <row r="3294" spans="3:3">
      <c r="C3294" s="2" t="s">
        <v>9569</v>
      </c>
    </row>
    <row r="3295" spans="3:3" ht="19">
      <c r="C3295" s="55" t="s">
        <v>9570</v>
      </c>
    </row>
    <row r="3296" spans="3:3" ht="19">
      <c r="C3296" s="55" t="s">
        <v>9571</v>
      </c>
    </row>
    <row r="3297" spans="3:3" ht="19">
      <c r="C3297" s="55" t="s">
        <v>9572</v>
      </c>
    </row>
    <row r="3298" spans="3:3" ht="19">
      <c r="C3298" s="55" t="s">
        <v>8636</v>
      </c>
    </row>
    <row r="3299" spans="3:3" ht="19">
      <c r="C3299" s="55" t="s">
        <v>8925</v>
      </c>
    </row>
    <row r="3300" spans="3:3" ht="19">
      <c r="C3300" s="55" t="s">
        <v>7780</v>
      </c>
    </row>
    <row r="3301" spans="3:3" ht="19">
      <c r="C3301" s="55" t="s">
        <v>9573</v>
      </c>
    </row>
    <row r="3302" spans="3:3" ht="19">
      <c r="C3302" s="55" t="s">
        <v>8023</v>
      </c>
    </row>
    <row r="3303" spans="3:3" ht="19">
      <c r="C3303" s="55" t="s">
        <v>9574</v>
      </c>
    </row>
    <row r="3304" spans="3:3">
      <c r="C3304" s="2" t="s">
        <v>5875</v>
      </c>
    </row>
    <row r="3305" spans="3:3" ht="19">
      <c r="C3305" s="55" t="s">
        <v>9509</v>
      </c>
    </row>
    <row r="3306" spans="3:3" ht="19">
      <c r="C3306" s="55" t="s">
        <v>9437</v>
      </c>
    </row>
    <row r="3307" spans="3:3">
      <c r="C3307" s="2" t="s">
        <v>5876</v>
      </c>
    </row>
    <row r="3308" spans="3:3" ht="19">
      <c r="C3308" s="55" t="s">
        <v>9511</v>
      </c>
    </row>
    <row r="3309" spans="3:3" ht="19">
      <c r="C3309" s="55" t="s">
        <v>9439</v>
      </c>
    </row>
    <row r="3310" spans="3:3">
      <c r="C3310" s="2" t="s">
        <v>5877</v>
      </c>
    </row>
    <row r="3311" spans="3:3" ht="19">
      <c r="C3311" s="55" t="s">
        <v>8819</v>
      </c>
    </row>
    <row r="3312" spans="3:3" ht="19">
      <c r="C3312" s="55" t="s">
        <v>8820</v>
      </c>
    </row>
    <row r="3313" spans="3:3">
      <c r="C3313" s="2" t="s">
        <v>5878</v>
      </c>
    </row>
    <row r="3314" spans="3:3" ht="19">
      <c r="C3314" s="55" t="s">
        <v>8828</v>
      </c>
    </row>
    <row r="3315" spans="3:3" ht="19">
      <c r="C3315" s="55" t="s">
        <v>8829</v>
      </c>
    </row>
    <row r="3316" spans="3:3">
      <c r="C3316" s="2" t="s">
        <v>5879</v>
      </c>
    </row>
    <row r="3317" spans="3:3" ht="19">
      <c r="C3317" s="55" t="s">
        <v>8825</v>
      </c>
    </row>
    <row r="3318" spans="3:3" ht="19">
      <c r="C3318" s="55" t="s">
        <v>8826</v>
      </c>
    </row>
    <row r="3319" spans="3:3">
      <c r="C3319" s="2" t="s">
        <v>5880</v>
      </c>
    </row>
    <row r="3320" spans="3:3" ht="19">
      <c r="C3320" s="55" t="s">
        <v>9522</v>
      </c>
    </row>
    <row r="3321" spans="3:3" ht="19">
      <c r="C3321" s="55" t="s">
        <v>9450</v>
      </c>
    </row>
    <row r="3322" spans="3:3">
      <c r="C3322" s="2" t="s">
        <v>9575</v>
      </c>
    </row>
    <row r="3323" spans="3:3" ht="19">
      <c r="C3323" s="55" t="s">
        <v>9524</v>
      </c>
    </row>
    <row r="3324" spans="3:3" ht="19">
      <c r="C3324" s="55" t="s">
        <v>9452</v>
      </c>
    </row>
    <row r="3325" spans="3:3">
      <c r="C3325" s="2" t="s">
        <v>4457</v>
      </c>
    </row>
    <row r="3326" spans="3:3" ht="19">
      <c r="C3326" s="55" t="s">
        <v>9549</v>
      </c>
    </row>
    <row r="3327" spans="3:3" ht="19">
      <c r="C3327" s="55" t="s">
        <v>9417</v>
      </c>
    </row>
    <row r="3328" spans="3:3">
      <c r="C3328" s="2" t="s">
        <v>5911</v>
      </c>
    </row>
    <row r="3329" spans="3:3" ht="19">
      <c r="C3329" s="55" t="s">
        <v>9550</v>
      </c>
    </row>
    <row r="3330" spans="3:3" ht="19">
      <c r="C3330" s="55" t="s">
        <v>9418</v>
      </c>
    </row>
    <row r="3331" spans="3:3">
      <c r="C3331" s="2" t="s">
        <v>9576</v>
      </c>
    </row>
    <row r="3332" spans="3:3" ht="19">
      <c r="C3332" s="55" t="s">
        <v>9552</v>
      </c>
    </row>
    <row r="3333" spans="3:3" ht="19">
      <c r="C3333" s="55" t="s">
        <v>9420</v>
      </c>
    </row>
    <row r="3334" spans="3:3">
      <c r="C3334" s="2" t="s">
        <v>9577</v>
      </c>
    </row>
    <row r="3335" spans="3:3" ht="19">
      <c r="C3335" s="55" t="s">
        <v>9554</v>
      </c>
    </row>
    <row r="3336" spans="3:3" ht="19">
      <c r="C3336" s="55" t="s">
        <v>9422</v>
      </c>
    </row>
    <row r="3337" spans="3:3">
      <c r="C3337" s="2" t="s">
        <v>9578</v>
      </c>
    </row>
    <row r="3338" spans="3:3" ht="19">
      <c r="C3338" s="55" t="s">
        <v>9556</v>
      </c>
    </row>
    <row r="3339" spans="3:3" ht="19">
      <c r="C3339" s="55" t="s">
        <v>9424</v>
      </c>
    </row>
    <row r="3340" spans="3:3">
      <c r="C3340" s="2" t="s">
        <v>5912</v>
      </c>
    </row>
    <row r="3341" spans="3:3" ht="19">
      <c r="C3341" s="55" t="s">
        <v>9557</v>
      </c>
    </row>
    <row r="3342" spans="3:3" ht="19">
      <c r="C3342" s="55" t="s">
        <v>9425</v>
      </c>
    </row>
    <row r="3343" spans="3:3">
      <c r="C3343" s="2" t="s">
        <v>5913</v>
      </c>
    </row>
    <row r="3344" spans="3:3" ht="19">
      <c r="C3344" s="55" t="s">
        <v>9558</v>
      </c>
    </row>
    <row r="3345" spans="3:3" ht="19">
      <c r="C3345" s="55" t="s">
        <v>9426</v>
      </c>
    </row>
    <row r="3346" spans="3:3">
      <c r="C3346" s="2" t="s">
        <v>5914</v>
      </c>
    </row>
    <row r="3347" spans="3:3" ht="19">
      <c r="C3347" s="55" t="s">
        <v>9559</v>
      </c>
    </row>
    <row r="3348" spans="3:3" ht="19">
      <c r="C3348" s="55" t="s">
        <v>9427</v>
      </c>
    </row>
    <row r="3349" spans="3:3">
      <c r="C3349" s="2" t="s">
        <v>5915</v>
      </c>
    </row>
    <row r="3350" spans="3:3" ht="19">
      <c r="C3350" s="55" t="s">
        <v>9560</v>
      </c>
    </row>
    <row r="3351" spans="3:3" ht="19">
      <c r="C3351" s="55" t="s">
        <v>9428</v>
      </c>
    </row>
    <row r="3352" spans="3:3">
      <c r="C3352" s="2" t="s">
        <v>9579</v>
      </c>
    </row>
    <row r="3353" spans="3:3" ht="19">
      <c r="C3353" s="55" t="s">
        <v>9562</v>
      </c>
    </row>
    <row r="3354" spans="3:3" ht="19">
      <c r="C3354" s="55" t="s">
        <v>9430</v>
      </c>
    </row>
    <row r="3355" spans="3:3">
      <c r="C3355" s="2" t="s">
        <v>9580</v>
      </c>
    </row>
    <row r="3356" spans="3:3" ht="19">
      <c r="C3356" s="55" t="s">
        <v>9564</v>
      </c>
    </row>
    <row r="3357" spans="3:3" ht="19">
      <c r="C3357" s="55" t="s">
        <v>9432</v>
      </c>
    </row>
    <row r="3358" spans="3:3">
      <c r="C3358" s="2" t="s">
        <v>9581</v>
      </c>
    </row>
    <row r="3359" spans="3:3" ht="19">
      <c r="C3359" s="55" t="s">
        <v>9566</v>
      </c>
    </row>
    <row r="3360" spans="3:3" ht="19">
      <c r="C3360" s="55" t="s">
        <v>9434</v>
      </c>
    </row>
    <row r="3361" spans="3:3">
      <c r="C3361" s="2" t="s">
        <v>9582</v>
      </c>
    </row>
    <row r="3362" spans="3:3" ht="19">
      <c r="C3362" s="55" t="s">
        <v>9568</v>
      </c>
    </row>
    <row r="3363" spans="3:3" ht="19">
      <c r="C3363" s="55" t="s">
        <v>9436</v>
      </c>
    </row>
    <row r="3364" spans="3:3">
      <c r="C3364" s="2" t="s">
        <v>9583</v>
      </c>
    </row>
    <row r="3365" spans="3:3" ht="19">
      <c r="C3365" s="55" t="s">
        <v>8183</v>
      </c>
    </row>
    <row r="3366" spans="3:3" ht="19">
      <c r="C3366" s="55" t="s">
        <v>8184</v>
      </c>
    </row>
    <row r="3367" spans="3:3" ht="19">
      <c r="C3367" s="55" t="s">
        <v>7527</v>
      </c>
    </row>
    <row r="3368" spans="3:3">
      <c r="C3368" s="2" t="s">
        <v>9584</v>
      </c>
    </row>
    <row r="3369" spans="3:3" ht="19">
      <c r="C3369" s="55" t="s">
        <v>8183</v>
      </c>
    </row>
    <row r="3370" spans="3:3" ht="19">
      <c r="C3370" s="55" t="s">
        <v>7527</v>
      </c>
    </row>
    <row r="3371" spans="3:3">
      <c r="C3371" s="2" t="s">
        <v>9585</v>
      </c>
    </row>
    <row r="3372" spans="3:3" ht="19">
      <c r="C3372" s="55" t="s">
        <v>7560</v>
      </c>
    </row>
    <row r="3373" spans="3:3" ht="19">
      <c r="C3373" s="55" t="s">
        <v>7514</v>
      </c>
    </row>
    <row r="3374" spans="3:3" ht="19">
      <c r="C3374" s="55" t="s">
        <v>9586</v>
      </c>
    </row>
    <row r="3375" spans="3:3">
      <c r="C3375" s="2" t="s">
        <v>9587</v>
      </c>
    </row>
    <row r="3376" spans="3:3" ht="19">
      <c r="C3376" s="55" t="s">
        <v>7514</v>
      </c>
    </row>
    <row r="3377" spans="3:3" ht="19">
      <c r="C3377" s="55" t="s">
        <v>9588</v>
      </c>
    </row>
    <row r="3378" spans="3:3" ht="19">
      <c r="C3378" s="55" t="s">
        <v>8794</v>
      </c>
    </row>
    <row r="3379" spans="3:3" ht="19">
      <c r="C3379" s="55" t="s">
        <v>7759</v>
      </c>
    </row>
    <row r="3380" spans="3:3" ht="19">
      <c r="C3380" s="55" t="s">
        <v>8006</v>
      </c>
    </row>
    <row r="3381" spans="3:3" ht="19">
      <c r="C3381" s="55" t="s">
        <v>8019</v>
      </c>
    </row>
    <row r="3382" spans="3:3" ht="19">
      <c r="C3382" s="55" t="s">
        <v>7486</v>
      </c>
    </row>
    <row r="3383" spans="3:3" ht="19">
      <c r="C3383" s="55" t="s">
        <v>7888</v>
      </c>
    </row>
    <row r="3384" spans="3:3">
      <c r="C3384" s="2" t="s">
        <v>9589</v>
      </c>
    </row>
    <row r="3385" spans="3:3" ht="19">
      <c r="C3385" s="55" t="s">
        <v>8000</v>
      </c>
    </row>
    <row r="3386" spans="3:3" ht="19">
      <c r="C3386" s="55" t="s">
        <v>7941</v>
      </c>
    </row>
    <row r="3387" spans="3:3" ht="19">
      <c r="C3387" s="55" t="s">
        <v>8168</v>
      </c>
    </row>
    <row r="3388" spans="3:3">
      <c r="C3388" s="2" t="s">
        <v>9590</v>
      </c>
    </row>
    <row r="3389" spans="3:3" ht="19">
      <c r="C3389" s="55" t="s">
        <v>7942</v>
      </c>
    </row>
    <row r="3390" spans="3:3" ht="19">
      <c r="C3390" s="55" t="s">
        <v>8172</v>
      </c>
    </row>
    <row r="3391" spans="3:3">
      <c r="C3391" s="2" t="s">
        <v>9591</v>
      </c>
    </row>
    <row r="3392" spans="3:3" ht="19">
      <c r="C3392" s="55" t="s">
        <v>9592</v>
      </c>
    </row>
    <row r="3393" spans="3:3">
      <c r="C3393" s="2" t="s">
        <v>9591</v>
      </c>
    </row>
    <row r="3394" spans="3:3" ht="19">
      <c r="C3394" s="55" t="s">
        <v>9592</v>
      </c>
    </row>
    <row r="3395" spans="3:3">
      <c r="C3395" s="2" t="s">
        <v>9593</v>
      </c>
    </row>
    <row r="3396" spans="3:3" ht="19">
      <c r="C3396" s="55" t="s">
        <v>9594</v>
      </c>
    </row>
    <row r="3397" spans="3:3">
      <c r="C3397" s="2" t="s">
        <v>9595</v>
      </c>
    </row>
    <row r="3398" spans="3:3" ht="19">
      <c r="C3398" s="55" t="s">
        <v>9596</v>
      </c>
    </row>
    <row r="3399" spans="3:3">
      <c r="C3399" s="2" t="s">
        <v>9597</v>
      </c>
    </row>
    <row r="3400" spans="3:3" ht="19">
      <c r="C3400" s="55" t="s">
        <v>9598</v>
      </c>
    </row>
    <row r="3401" spans="3:3">
      <c r="C3401" s="2" t="s">
        <v>9599</v>
      </c>
    </row>
    <row r="3402" spans="3:3" ht="19">
      <c r="C3402" s="55" t="s">
        <v>9600</v>
      </c>
    </row>
    <row r="3403" spans="3:3">
      <c r="C3403" s="2" t="s">
        <v>9601</v>
      </c>
    </row>
    <row r="3404" spans="3:3" ht="19">
      <c r="C3404" s="55" t="s">
        <v>9602</v>
      </c>
    </row>
    <row r="3405" spans="3:3">
      <c r="C3405" s="2" t="s">
        <v>9603</v>
      </c>
    </row>
    <row r="3406" spans="3:3" ht="19">
      <c r="C3406" s="55" t="s">
        <v>9604</v>
      </c>
    </row>
    <row r="3407" spans="3:3">
      <c r="C3407" s="2" t="s">
        <v>9605</v>
      </c>
    </row>
    <row r="3408" spans="3:3" ht="19">
      <c r="C3408" s="55" t="s">
        <v>9606</v>
      </c>
    </row>
    <row r="3409" spans="3:3">
      <c r="C3409" s="2" t="s">
        <v>9607</v>
      </c>
    </row>
    <row r="3410" spans="3:3" ht="19">
      <c r="C3410" s="55" t="s">
        <v>9608</v>
      </c>
    </row>
    <row r="3411" spans="3:3">
      <c r="C3411" s="2" t="s">
        <v>9609</v>
      </c>
    </row>
    <row r="3412" spans="3:3" ht="19">
      <c r="C3412" s="55" t="s">
        <v>9610</v>
      </c>
    </row>
    <row r="3413" spans="3:3">
      <c r="C3413" s="2" t="s">
        <v>9611</v>
      </c>
    </row>
    <row r="3414" spans="3:3" ht="19">
      <c r="C3414" s="55" t="s">
        <v>9612</v>
      </c>
    </row>
    <row r="3415" spans="3:3">
      <c r="C3415" s="2" t="s">
        <v>9613</v>
      </c>
    </row>
    <row r="3416" spans="3:3" ht="19">
      <c r="C3416" s="55" t="s">
        <v>9614</v>
      </c>
    </row>
    <row r="3417" spans="3:3">
      <c r="C3417" s="2" t="s">
        <v>9615</v>
      </c>
    </row>
    <row r="3418" spans="3:3" ht="19">
      <c r="C3418" s="55" t="s">
        <v>9616</v>
      </c>
    </row>
    <row r="3419" spans="3:3">
      <c r="C3419" s="2" t="s">
        <v>9617</v>
      </c>
    </row>
    <row r="3420" spans="3:3" ht="19">
      <c r="C3420" s="55" t="s">
        <v>9592</v>
      </c>
    </row>
    <row r="3421" spans="3:3">
      <c r="C3421" s="2" t="s">
        <v>9618</v>
      </c>
    </row>
    <row r="3422" spans="3:3" ht="19">
      <c r="C3422" s="55" t="s">
        <v>9619</v>
      </c>
    </row>
    <row r="3423" spans="3:3">
      <c r="C3423" s="2" t="s">
        <v>9620</v>
      </c>
    </row>
    <row r="3424" spans="3:3" ht="19">
      <c r="C3424" s="55" t="s">
        <v>9621</v>
      </c>
    </row>
    <row r="3425" spans="3:3">
      <c r="C3425" s="2" t="s">
        <v>9622</v>
      </c>
    </row>
    <row r="3426" spans="3:3" ht="19">
      <c r="C3426" s="55" t="s">
        <v>9623</v>
      </c>
    </row>
    <row r="3427" spans="3:3">
      <c r="C3427" s="2" t="s">
        <v>9624</v>
      </c>
    </row>
    <row r="3428" spans="3:3" ht="19">
      <c r="C3428" s="55" t="s">
        <v>9625</v>
      </c>
    </row>
    <row r="3429" spans="3:3">
      <c r="C3429" s="2" t="s">
        <v>9626</v>
      </c>
    </row>
    <row r="3430" spans="3:3" ht="19">
      <c r="C3430" s="55" t="s">
        <v>9627</v>
      </c>
    </row>
    <row r="3431" spans="3:3">
      <c r="C3431" s="2" t="s">
        <v>9628</v>
      </c>
    </row>
    <row r="3432" spans="3:3" ht="19">
      <c r="C3432" s="55" t="s">
        <v>9629</v>
      </c>
    </row>
    <row r="3433" spans="3:3">
      <c r="C3433" s="2" t="s">
        <v>9630</v>
      </c>
    </row>
    <row r="3434" spans="3:3" ht="19">
      <c r="C3434" s="55" t="s">
        <v>9631</v>
      </c>
    </row>
    <row r="3435" spans="3:3">
      <c r="C3435" s="2" t="s">
        <v>9632</v>
      </c>
    </row>
    <row r="3436" spans="3:3" ht="19">
      <c r="C3436" s="55" t="s">
        <v>9633</v>
      </c>
    </row>
    <row r="3437" spans="3:3">
      <c r="C3437" s="2" t="s">
        <v>9634</v>
      </c>
    </row>
    <row r="3438" spans="3:3" ht="19">
      <c r="C3438" s="55" t="s">
        <v>9635</v>
      </c>
    </row>
    <row r="3439" spans="3:3">
      <c r="C3439" s="2" t="s">
        <v>9636</v>
      </c>
    </row>
    <row r="3440" spans="3:3" ht="19">
      <c r="C3440" s="55" t="s">
        <v>9637</v>
      </c>
    </row>
    <row r="3441" spans="3:3">
      <c r="C3441" s="2" t="s">
        <v>9638</v>
      </c>
    </row>
    <row r="3442" spans="3:3" ht="19">
      <c r="C3442" s="55" t="s">
        <v>9639</v>
      </c>
    </row>
    <row r="3443" spans="3:3">
      <c r="C3443" s="2" t="s">
        <v>9640</v>
      </c>
    </row>
    <row r="3444" spans="3:3" ht="19">
      <c r="C3444" s="55" t="s">
        <v>9641</v>
      </c>
    </row>
    <row r="3445" spans="3:3">
      <c r="C3445" s="2" t="s">
        <v>3697</v>
      </c>
    </row>
    <row r="3446" spans="3:3" ht="19">
      <c r="C3446" s="55" t="s">
        <v>9642</v>
      </c>
    </row>
    <row r="3447" spans="3:3">
      <c r="C3447" s="2" t="s">
        <v>3698</v>
      </c>
    </row>
    <row r="3448" spans="3:3" ht="19">
      <c r="C3448" s="55" t="s">
        <v>9643</v>
      </c>
    </row>
    <row r="3449" spans="3:3">
      <c r="C3449" s="2" t="s">
        <v>3699</v>
      </c>
    </row>
    <row r="3450" spans="3:3" ht="19">
      <c r="C3450" s="55" t="s">
        <v>9644</v>
      </c>
    </row>
    <row r="3451" spans="3:3">
      <c r="C3451" s="2" t="s">
        <v>9645</v>
      </c>
    </row>
    <row r="3452" spans="3:3" ht="19">
      <c r="C3452" s="55" t="s">
        <v>9646</v>
      </c>
    </row>
    <row r="3453" spans="3:3" ht="19">
      <c r="C3453" s="55" t="s">
        <v>9647</v>
      </c>
    </row>
    <row r="3454" spans="3:3">
      <c r="C3454" s="2" t="s">
        <v>9648</v>
      </c>
    </row>
    <row r="3455" spans="3:3" ht="19">
      <c r="C3455" s="55" t="s">
        <v>9649</v>
      </c>
    </row>
    <row r="3456" spans="3:3" ht="19">
      <c r="C3456" s="55" t="s">
        <v>9650</v>
      </c>
    </row>
    <row r="3457" spans="3:3">
      <c r="C3457" s="2" t="s">
        <v>9651</v>
      </c>
    </row>
    <row r="3458" spans="3:3" ht="19">
      <c r="C3458" s="55" t="s">
        <v>9652</v>
      </c>
    </row>
    <row r="3459" spans="3:3" ht="19">
      <c r="C3459" s="55" t="s">
        <v>9653</v>
      </c>
    </row>
    <row r="3460" spans="3:3">
      <c r="C3460" s="2" t="s">
        <v>9654</v>
      </c>
    </row>
    <row r="3461" spans="3:3" ht="19">
      <c r="C3461" s="55" t="s">
        <v>9647</v>
      </c>
    </row>
    <row r="3462" spans="3:3" ht="19">
      <c r="C3462" s="55" t="s">
        <v>9655</v>
      </c>
    </row>
    <row r="3463" spans="3:3">
      <c r="C3463" s="2" t="s">
        <v>9656</v>
      </c>
    </row>
    <row r="3464" spans="3:3" ht="19">
      <c r="C3464" s="55" t="s">
        <v>9650</v>
      </c>
    </row>
    <row r="3465" spans="3:3" ht="19">
      <c r="C3465" s="55" t="s">
        <v>9657</v>
      </c>
    </row>
    <row r="3466" spans="3:3">
      <c r="C3466" s="2" t="s">
        <v>9658</v>
      </c>
    </row>
    <row r="3467" spans="3:3" ht="19">
      <c r="C3467" s="55" t="s">
        <v>9653</v>
      </c>
    </row>
    <row r="3468" spans="3:3" ht="19">
      <c r="C3468" s="55" t="s">
        <v>9659</v>
      </c>
    </row>
    <row r="3469" spans="3:3">
      <c r="C3469" s="2" t="s">
        <v>9660</v>
      </c>
    </row>
    <row r="3470" spans="3:3" ht="19">
      <c r="C3470" s="55" t="s">
        <v>9661</v>
      </c>
    </row>
    <row r="3471" spans="3:3" ht="19">
      <c r="C3471" s="55" t="s">
        <v>9646</v>
      </c>
    </row>
    <row r="3472" spans="3:3">
      <c r="C3472" s="2" t="s">
        <v>9662</v>
      </c>
    </row>
    <row r="3473" spans="3:3" ht="19">
      <c r="C3473" s="55" t="s">
        <v>9663</v>
      </c>
    </row>
    <row r="3474" spans="3:3" ht="19">
      <c r="C3474" s="55" t="s">
        <v>9649</v>
      </c>
    </row>
    <row r="3475" spans="3:3">
      <c r="C3475" s="2" t="s">
        <v>9664</v>
      </c>
    </row>
    <row r="3476" spans="3:3" ht="19">
      <c r="C3476" s="55" t="s">
        <v>9665</v>
      </c>
    </row>
    <row r="3477" spans="3:3" ht="19">
      <c r="C3477" s="55" t="s">
        <v>9652</v>
      </c>
    </row>
    <row r="3478" spans="3:3">
      <c r="C3478" s="2" t="s">
        <v>9666</v>
      </c>
    </row>
    <row r="3479" spans="3:3" ht="19">
      <c r="C3479" s="55" t="s">
        <v>9655</v>
      </c>
    </row>
    <row r="3480" spans="3:3" ht="19">
      <c r="C3480" s="55" t="s">
        <v>9661</v>
      </c>
    </row>
    <row r="3481" spans="3:3">
      <c r="C3481" s="2" t="s">
        <v>9667</v>
      </c>
    </row>
    <row r="3482" spans="3:3" ht="19">
      <c r="C3482" s="55" t="s">
        <v>9657</v>
      </c>
    </row>
    <row r="3483" spans="3:3" ht="19">
      <c r="C3483" s="55" t="s">
        <v>9663</v>
      </c>
    </row>
    <row r="3484" spans="3:3">
      <c r="C3484" s="2" t="s">
        <v>9668</v>
      </c>
    </row>
    <row r="3485" spans="3:3" ht="19">
      <c r="C3485" s="55" t="s">
        <v>9659</v>
      </c>
    </row>
    <row r="3486" spans="3:3" ht="19">
      <c r="C3486" s="55" t="s">
        <v>9665</v>
      </c>
    </row>
    <row r="3487" spans="3:3">
      <c r="C3487" s="2" t="s">
        <v>7196</v>
      </c>
    </row>
    <row r="3488" spans="3:3" ht="19">
      <c r="C3488" s="55" t="s">
        <v>9669</v>
      </c>
    </row>
    <row r="3489" spans="3:3" ht="19">
      <c r="C3489" s="55" t="s">
        <v>8926</v>
      </c>
    </row>
    <row r="3490" spans="3:3" ht="19">
      <c r="C3490" s="55" t="s">
        <v>8927</v>
      </c>
    </row>
    <row r="3491" spans="3:3" ht="19">
      <c r="C3491" s="55" t="s">
        <v>8928</v>
      </c>
    </row>
    <row r="3492" spans="3:3" ht="19">
      <c r="C3492" s="55" t="s">
        <v>8141</v>
      </c>
    </row>
    <row r="3493" spans="3:3">
      <c r="C3493" s="2" t="s">
        <v>9670</v>
      </c>
    </row>
    <row r="3494" spans="3:3" ht="19">
      <c r="C3494" s="55" t="s">
        <v>8804</v>
      </c>
    </row>
    <row r="3495" spans="3:3" ht="19">
      <c r="C3495" s="55" t="s">
        <v>9671</v>
      </c>
    </row>
    <row r="3496" spans="3:3">
      <c r="C3496" s="2" t="s">
        <v>9672</v>
      </c>
    </row>
    <row r="3497" spans="3:3" ht="19">
      <c r="C3497" s="55" t="s">
        <v>8422</v>
      </c>
    </row>
    <row r="3498" spans="3:3" ht="19">
      <c r="C3498" s="55" t="s">
        <v>8027</v>
      </c>
    </row>
    <row r="3499" spans="3:3" ht="19">
      <c r="C3499" s="55" t="s">
        <v>7545</v>
      </c>
    </row>
    <row r="3500" spans="3:3" ht="19">
      <c r="C3500" s="55" t="s">
        <v>8423</v>
      </c>
    </row>
    <row r="3501" spans="3:3" ht="19">
      <c r="C3501" s="55" t="s">
        <v>8417</v>
      </c>
    </row>
    <row r="3502" spans="3:3" ht="19">
      <c r="C3502" s="55" t="s">
        <v>7494</v>
      </c>
    </row>
    <row r="3503" spans="3:3" ht="19">
      <c r="C3503" s="55" t="s">
        <v>7550</v>
      </c>
    </row>
    <row r="3504" spans="3:3" ht="19">
      <c r="C3504" s="55" t="s">
        <v>7922</v>
      </c>
    </row>
    <row r="3505" spans="3:3" ht="19">
      <c r="C3505" s="55" t="s">
        <v>8089</v>
      </c>
    </row>
    <row r="3506" spans="3:3" ht="19">
      <c r="C3506" s="55" t="s">
        <v>9673</v>
      </c>
    </row>
    <row r="3507" spans="3:3">
      <c r="C3507" s="2" t="s">
        <v>9674</v>
      </c>
    </row>
    <row r="3508" spans="3:3" ht="19">
      <c r="C3508" s="55" t="s">
        <v>9675</v>
      </c>
    </row>
    <row r="3509" spans="3:3" ht="19">
      <c r="C3509" s="55" t="s">
        <v>9676</v>
      </c>
    </row>
    <row r="3510" spans="3:3" ht="19">
      <c r="C3510" s="55" t="s">
        <v>8510</v>
      </c>
    </row>
    <row r="3511" spans="3:3">
      <c r="C3511" s="2" t="s">
        <v>9677</v>
      </c>
    </row>
    <row r="3512" spans="3:3" ht="19">
      <c r="C3512" s="55" t="s">
        <v>7922</v>
      </c>
    </row>
    <row r="3513" spans="3:3" ht="19">
      <c r="C3513" s="55" t="s">
        <v>8627</v>
      </c>
    </row>
    <row r="3514" spans="3:3" ht="19">
      <c r="C3514" s="55" t="s">
        <v>9072</v>
      </c>
    </row>
    <row r="3515" spans="3:3" ht="19">
      <c r="C3515" s="55" t="s">
        <v>8077</v>
      </c>
    </row>
    <row r="3516" spans="3:3" ht="19">
      <c r="C3516" s="55" t="s">
        <v>7767</v>
      </c>
    </row>
    <row r="3517" spans="3:3">
      <c r="C3517" s="2" t="s">
        <v>9678</v>
      </c>
    </row>
    <row r="3518" spans="3:3" ht="19">
      <c r="C3518" s="55" t="s">
        <v>8466</v>
      </c>
    </row>
    <row r="3519" spans="3:3" ht="19">
      <c r="C3519" s="55" t="s">
        <v>8445</v>
      </c>
    </row>
    <row r="3520" spans="3:3" ht="19">
      <c r="C3520" s="55" t="s">
        <v>8141</v>
      </c>
    </row>
    <row r="3521" spans="3:3" ht="19">
      <c r="C3521" s="55" t="s">
        <v>7482</v>
      </c>
    </row>
    <row r="3522" spans="3:3" ht="19">
      <c r="C3522" s="55" t="s">
        <v>9072</v>
      </c>
    </row>
    <row r="3523" spans="3:3" ht="19">
      <c r="C3523" s="55" t="s">
        <v>7937</v>
      </c>
    </row>
    <row r="3524" spans="3:3" ht="19">
      <c r="C3524" s="55" t="s">
        <v>9093</v>
      </c>
    </row>
    <row r="3525" spans="3:3">
      <c r="C3525" s="2" t="s">
        <v>9679</v>
      </c>
    </row>
    <row r="3526" spans="3:3" ht="19">
      <c r="C3526" s="55" t="s">
        <v>7922</v>
      </c>
    </row>
    <row r="3527" spans="3:3" ht="19">
      <c r="C3527" s="55" t="s">
        <v>8445</v>
      </c>
    </row>
    <row r="3528" spans="3:3" ht="19">
      <c r="C3528" s="55" t="s">
        <v>8465</v>
      </c>
    </row>
    <row r="3529" spans="3:3">
      <c r="C3529" s="2" t="s">
        <v>9680</v>
      </c>
    </row>
    <row r="3530" spans="3:3" ht="19">
      <c r="C3530" s="55" t="s">
        <v>9681</v>
      </c>
    </row>
    <row r="3531" spans="3:3" ht="19">
      <c r="C3531" s="55" t="s">
        <v>7899</v>
      </c>
    </row>
    <row r="3532" spans="3:3" ht="19">
      <c r="C3532" s="55" t="s">
        <v>8141</v>
      </c>
    </row>
    <row r="3533" spans="3:3" ht="19">
      <c r="C3533" s="55" t="s">
        <v>9072</v>
      </c>
    </row>
    <row r="3534" spans="3:3" ht="19">
      <c r="C3534" s="55" t="s">
        <v>7756</v>
      </c>
    </row>
    <row r="3535" spans="3:3" ht="19">
      <c r="C3535" s="55" t="s">
        <v>8465</v>
      </c>
    </row>
    <row r="3536" spans="3:3">
      <c r="C3536" s="2" t="s">
        <v>9682</v>
      </c>
    </row>
    <row r="3537" spans="3:3" ht="19">
      <c r="C3537" s="55" t="s">
        <v>7550</v>
      </c>
    </row>
    <row r="3538" spans="3:3" ht="19">
      <c r="C3538" s="55" t="s">
        <v>9683</v>
      </c>
    </row>
    <row r="3539" spans="3:3" ht="19">
      <c r="C3539" s="55" t="s">
        <v>7922</v>
      </c>
    </row>
    <row r="3540" spans="3:3">
      <c r="C3540" s="2" t="s">
        <v>9684</v>
      </c>
    </row>
    <row r="3541" spans="3:3" ht="19">
      <c r="C3541" s="55" t="s">
        <v>9220</v>
      </c>
    </row>
    <row r="3542" spans="3:3" ht="19">
      <c r="C3542" s="55" t="s">
        <v>8560</v>
      </c>
    </row>
    <row r="3543" spans="3:3" ht="19">
      <c r="C3543" s="55" t="s">
        <v>9685</v>
      </c>
    </row>
    <row r="3544" spans="3:3">
      <c r="C3544" s="2" t="s">
        <v>9686</v>
      </c>
    </row>
    <row r="3545" spans="3:3" ht="19">
      <c r="C3545" s="55" t="s">
        <v>8399</v>
      </c>
    </row>
    <row r="3546" spans="3:3" ht="19">
      <c r="C3546" s="55" t="s">
        <v>9687</v>
      </c>
    </row>
    <row r="3547" spans="3:3" ht="19">
      <c r="C3547" s="55" t="s">
        <v>9688</v>
      </c>
    </row>
    <row r="3548" spans="3:3">
      <c r="C3548" s="2" t="s">
        <v>9689</v>
      </c>
    </row>
    <row r="3549" spans="3:3" ht="19">
      <c r="C3549" s="55" t="s">
        <v>7480</v>
      </c>
    </row>
    <row r="3550" spans="3:3" ht="19">
      <c r="C3550" s="55" t="s">
        <v>7495</v>
      </c>
    </row>
    <row r="3551" spans="3:3">
      <c r="C3551" s="2" t="s">
        <v>9690</v>
      </c>
    </row>
    <row r="3552" spans="3:3" ht="19">
      <c r="C3552" s="55" t="s">
        <v>7550</v>
      </c>
    </row>
    <row r="3553" spans="3:3" ht="19">
      <c r="C3553" s="55" t="s">
        <v>8190</v>
      </c>
    </row>
    <row r="3554" spans="3:3" ht="19">
      <c r="C3554" s="55" t="s">
        <v>7495</v>
      </c>
    </row>
    <row r="3555" spans="3:3" ht="19">
      <c r="C3555" s="55" t="s">
        <v>7922</v>
      </c>
    </row>
    <row r="3556" spans="3:3" ht="19">
      <c r="C3556" s="55" t="s">
        <v>7474</v>
      </c>
    </row>
    <row r="3557" spans="3:3" ht="19">
      <c r="C3557" s="55" t="s">
        <v>8023</v>
      </c>
    </row>
    <row r="3558" spans="3:3" ht="19">
      <c r="C3558" s="55" t="s">
        <v>8472</v>
      </c>
    </row>
    <row r="3559" spans="3:3" ht="19">
      <c r="C3559" s="55" t="s">
        <v>7486</v>
      </c>
    </row>
    <row r="3560" spans="3:3" ht="19">
      <c r="C3560" s="55" t="s">
        <v>7508</v>
      </c>
    </row>
    <row r="3561" spans="3:3" ht="19">
      <c r="C3561" s="55" t="s">
        <v>7767</v>
      </c>
    </row>
    <row r="3562" spans="3:3" ht="19">
      <c r="C3562" s="55" t="s">
        <v>9093</v>
      </c>
    </row>
    <row r="3563" spans="3:3">
      <c r="C3563" s="2" t="s">
        <v>9691</v>
      </c>
    </row>
    <row r="3564" spans="3:3" ht="19">
      <c r="C3564" s="55" t="s">
        <v>7483</v>
      </c>
    </row>
    <row r="3565" spans="3:3">
      <c r="C3565" s="2" t="s">
        <v>9692</v>
      </c>
    </row>
    <row r="3566" spans="3:3" ht="19">
      <c r="C3566" s="55" t="s">
        <v>8034</v>
      </c>
    </row>
    <row r="3567" spans="3:3" ht="19">
      <c r="C3567" s="55" t="s">
        <v>8019</v>
      </c>
    </row>
    <row r="3568" spans="3:3">
      <c r="C3568" s="2" t="s">
        <v>9693</v>
      </c>
    </row>
    <row r="3569" spans="3:3" ht="19">
      <c r="C3569" s="55" t="s">
        <v>9099</v>
      </c>
    </row>
    <row r="3570" spans="3:3" ht="19">
      <c r="C3570" s="55" t="s">
        <v>9694</v>
      </c>
    </row>
    <row r="3571" spans="3:3" ht="19">
      <c r="C3571" s="55" t="s">
        <v>9695</v>
      </c>
    </row>
    <row r="3572" spans="3:3">
      <c r="C3572" s="2" t="s">
        <v>9696</v>
      </c>
    </row>
    <row r="3573" spans="3:3" ht="19">
      <c r="C3573" s="55" t="s">
        <v>7516</v>
      </c>
    </row>
    <row r="3574" spans="3:3" ht="19">
      <c r="C3574" s="55" t="s">
        <v>8028</v>
      </c>
    </row>
    <row r="3575" spans="3:3" ht="19">
      <c r="C3575" s="55" t="s">
        <v>8445</v>
      </c>
    </row>
    <row r="3576" spans="3:3" ht="19">
      <c r="C3576" s="55" t="s">
        <v>7925</v>
      </c>
    </row>
    <row r="3577" spans="3:3" ht="19">
      <c r="C3577" s="55" t="s">
        <v>8853</v>
      </c>
    </row>
    <row r="3578" spans="3:3" ht="19">
      <c r="C3578" s="55" t="s">
        <v>9697</v>
      </c>
    </row>
    <row r="3579" spans="3:3" ht="19">
      <c r="C3579" s="55" t="s">
        <v>7497</v>
      </c>
    </row>
    <row r="3580" spans="3:3" ht="19">
      <c r="C3580" s="55" t="s">
        <v>7508</v>
      </c>
    </row>
    <row r="3581" spans="3:3" ht="19">
      <c r="C3581" s="55" t="s">
        <v>8465</v>
      </c>
    </row>
    <row r="3582" spans="3:3" ht="19">
      <c r="C3582" s="55" t="s">
        <v>9698</v>
      </c>
    </row>
    <row r="3583" spans="3:3">
      <c r="C3583" s="2" t="s">
        <v>9699</v>
      </c>
    </row>
    <row r="3584" spans="3:3" ht="19">
      <c r="C3584" s="55" t="s">
        <v>9093</v>
      </c>
    </row>
    <row r="3585" spans="3:3">
      <c r="C3585" s="2" t="s">
        <v>9700</v>
      </c>
    </row>
    <row r="3586" spans="3:3" ht="19">
      <c r="C3586" s="55" t="s">
        <v>9701</v>
      </c>
    </row>
    <row r="3587" spans="3:3" ht="19">
      <c r="C3587" s="55" t="s">
        <v>7756</v>
      </c>
    </row>
    <row r="3588" spans="3:3" ht="19">
      <c r="C3588" s="55" t="s">
        <v>7508</v>
      </c>
    </row>
    <row r="3589" spans="3:3">
      <c r="C3589" s="2" t="s">
        <v>9702</v>
      </c>
    </row>
    <row r="3590" spans="3:3" ht="19">
      <c r="C3590" s="55" t="s">
        <v>7516</v>
      </c>
    </row>
    <row r="3591" spans="3:3" ht="19">
      <c r="C3591" s="55" t="s">
        <v>7494</v>
      </c>
    </row>
    <row r="3592" spans="3:3" ht="19">
      <c r="C3592" s="55" t="s">
        <v>7550</v>
      </c>
    </row>
    <row r="3593" spans="3:3" ht="19">
      <c r="C3593" s="55" t="s">
        <v>9703</v>
      </c>
    </row>
    <row r="3594" spans="3:3" ht="19">
      <c r="C3594" s="55" t="s">
        <v>9704</v>
      </c>
    </row>
    <row r="3595" spans="3:3" ht="19">
      <c r="C3595" s="55" t="s">
        <v>7474</v>
      </c>
    </row>
    <row r="3596" spans="3:3" ht="19">
      <c r="C3596" s="55" t="s">
        <v>9705</v>
      </c>
    </row>
    <row r="3597" spans="3:3" ht="19">
      <c r="C3597" s="55" t="s">
        <v>9673</v>
      </c>
    </row>
    <row r="3598" spans="3:3" ht="19">
      <c r="C3598" s="55" t="s">
        <v>7937</v>
      </c>
    </row>
    <row r="3599" spans="3:3" ht="19">
      <c r="C3599" s="55" t="s">
        <v>8074</v>
      </c>
    </row>
    <row r="3600" spans="3:3" ht="19">
      <c r="C3600" s="55" t="s">
        <v>9706</v>
      </c>
    </row>
    <row r="3601" spans="3:3" ht="19">
      <c r="C3601" s="55" t="s">
        <v>9707</v>
      </c>
    </row>
    <row r="3602" spans="3:3">
      <c r="C3602" s="2" t="s">
        <v>9708</v>
      </c>
    </row>
    <row r="3603" spans="3:3" ht="19">
      <c r="C3603" s="55" t="s">
        <v>9709</v>
      </c>
    </row>
    <row r="3604" spans="3:3" ht="19">
      <c r="C3604" s="55" t="s">
        <v>7899</v>
      </c>
    </row>
    <row r="3605" spans="3:3" ht="19">
      <c r="C3605" s="55" t="s">
        <v>8141</v>
      </c>
    </row>
    <row r="3606" spans="3:3" ht="19">
      <c r="C3606" s="55" t="s">
        <v>8034</v>
      </c>
    </row>
    <row r="3607" spans="3:3" ht="19">
      <c r="C3607" s="55" t="s">
        <v>9072</v>
      </c>
    </row>
    <row r="3608" spans="3:3" ht="19">
      <c r="C3608" s="55" t="s">
        <v>7756</v>
      </c>
    </row>
    <row r="3609" spans="3:3" ht="19">
      <c r="C3609" s="55" t="s">
        <v>8077</v>
      </c>
    </row>
    <row r="3610" spans="3:3" ht="19">
      <c r="C3610" s="55" t="s">
        <v>7767</v>
      </c>
    </row>
    <row r="3611" spans="3:3" ht="19">
      <c r="C3611" s="55" t="s">
        <v>9710</v>
      </c>
    </row>
    <row r="3612" spans="3:3">
      <c r="C3612" s="2" t="s">
        <v>9711</v>
      </c>
    </row>
    <row r="3613" spans="3:3" ht="19">
      <c r="C3613" s="55" t="s">
        <v>8070</v>
      </c>
    </row>
    <row r="3614" spans="3:3">
      <c r="C3614" s="2" t="s">
        <v>9712</v>
      </c>
    </row>
    <row r="3615" spans="3:3" ht="19">
      <c r="C3615" s="55" t="s">
        <v>7519</v>
      </c>
    </row>
    <row r="3616" spans="3:3" ht="19">
      <c r="C3616" s="55" t="s">
        <v>8019</v>
      </c>
    </row>
    <row r="3617" spans="3:3" ht="19">
      <c r="C3617" s="55" t="s">
        <v>7508</v>
      </c>
    </row>
    <row r="3618" spans="3:3" ht="19">
      <c r="C3618" s="55" t="s">
        <v>9713</v>
      </c>
    </row>
    <row r="3619" spans="3:3">
      <c r="C3619" s="2" t="s">
        <v>9714</v>
      </c>
    </row>
    <row r="3620" spans="3:3" ht="19">
      <c r="C3620" s="55" t="s">
        <v>7550</v>
      </c>
    </row>
    <row r="3621" spans="3:3" ht="19">
      <c r="C3621" s="55" t="s">
        <v>9685</v>
      </c>
    </row>
    <row r="3622" spans="3:3" ht="19">
      <c r="C3622" s="55" t="s">
        <v>7925</v>
      </c>
    </row>
    <row r="3623" spans="3:3" ht="19">
      <c r="C3623" s="55" t="s">
        <v>9715</v>
      </c>
    </row>
    <row r="3624" spans="3:3" ht="19">
      <c r="C3624" s="55" t="s">
        <v>9716</v>
      </c>
    </row>
    <row r="3625" spans="3:3" ht="19">
      <c r="C3625" s="55" t="s">
        <v>8465</v>
      </c>
    </row>
    <row r="3626" spans="3:3" ht="19">
      <c r="C3626" s="55" t="s">
        <v>9698</v>
      </c>
    </row>
    <row r="3627" spans="3:3">
      <c r="C3627" s="2" t="s">
        <v>9717</v>
      </c>
    </row>
    <row r="3628" spans="3:3" ht="19">
      <c r="C3628" s="55" t="s">
        <v>7563</v>
      </c>
    </row>
    <row r="3629" spans="3:3">
      <c r="C3629" s="2" t="s">
        <v>9718</v>
      </c>
    </row>
    <row r="3630" spans="3:3" ht="19">
      <c r="C3630" s="55" t="s">
        <v>8853</v>
      </c>
    </row>
    <row r="3631" spans="3:3" ht="19">
      <c r="C3631" s="55" t="s">
        <v>7759</v>
      </c>
    </row>
    <row r="3632" spans="3:3" ht="19">
      <c r="C3632" s="55" t="s">
        <v>7482</v>
      </c>
    </row>
    <row r="3633" spans="3:3">
      <c r="C3633" s="2" t="s">
        <v>9719</v>
      </c>
    </row>
    <row r="3634" spans="3:3" ht="19">
      <c r="C3634" s="55" t="s">
        <v>7493</v>
      </c>
    </row>
    <row r="3635" spans="3:3" ht="19">
      <c r="C3635" s="55" t="s">
        <v>8027</v>
      </c>
    </row>
    <row r="3636" spans="3:3" ht="19">
      <c r="C3636" s="55" t="s">
        <v>7545</v>
      </c>
    </row>
    <row r="3637" spans="3:3" ht="19">
      <c r="C3637" s="55" t="s">
        <v>8423</v>
      </c>
    </row>
    <row r="3638" spans="3:3" ht="19">
      <c r="C3638" s="55" t="s">
        <v>8417</v>
      </c>
    </row>
    <row r="3639" spans="3:3" ht="19">
      <c r="C3639" s="55" t="s">
        <v>8089</v>
      </c>
    </row>
    <row r="3640" spans="3:3" ht="19">
      <c r="C3640" s="55" t="s">
        <v>7527</v>
      </c>
    </row>
    <row r="3641" spans="3:3" ht="19">
      <c r="C3641" s="55" t="s">
        <v>9720</v>
      </c>
    </row>
    <row r="3642" spans="3:3">
      <c r="C3642" s="2" t="s">
        <v>9721</v>
      </c>
    </row>
    <row r="3643" spans="3:3" ht="19">
      <c r="C3643" s="55" t="s">
        <v>7493</v>
      </c>
    </row>
    <row r="3644" spans="3:3" ht="19">
      <c r="C3644" s="55" t="s">
        <v>9722</v>
      </c>
    </row>
    <row r="3645" spans="3:3" ht="19">
      <c r="C3645" s="55" t="s">
        <v>9723</v>
      </c>
    </row>
    <row r="3646" spans="3:3" ht="19">
      <c r="C3646" s="55" t="s">
        <v>8445</v>
      </c>
    </row>
    <row r="3647" spans="3:3" ht="19">
      <c r="C3647" s="55" t="s">
        <v>7474</v>
      </c>
    </row>
    <row r="3648" spans="3:3" ht="19">
      <c r="C3648" s="55" t="s">
        <v>9724</v>
      </c>
    </row>
    <row r="3649" spans="3:3">
      <c r="C3649" s="2" t="s">
        <v>9725</v>
      </c>
    </row>
    <row r="3650" spans="3:3" ht="19">
      <c r="C3650" s="55" t="s">
        <v>9726</v>
      </c>
    </row>
    <row r="3651" spans="3:3" ht="19">
      <c r="C3651" s="55" t="s">
        <v>8509</v>
      </c>
    </row>
    <row r="3652" spans="3:3" ht="19">
      <c r="C3652" s="55" t="s">
        <v>8804</v>
      </c>
    </row>
    <row r="3653" spans="3:3" ht="19">
      <c r="C3653" s="55" t="s">
        <v>9727</v>
      </c>
    </row>
    <row r="3654" spans="3:3">
      <c r="C3654" s="2" t="s">
        <v>9728</v>
      </c>
    </row>
    <row r="3655" spans="3:3" ht="19">
      <c r="C3655" s="55" t="s">
        <v>7969</v>
      </c>
    </row>
    <row r="3656" spans="3:3">
      <c r="C3656" s="2" t="s">
        <v>9729</v>
      </c>
    </row>
    <row r="3657" spans="3:3" ht="19">
      <c r="C3657" s="55" t="s">
        <v>9220</v>
      </c>
    </row>
    <row r="3658" spans="3:3" ht="19">
      <c r="C3658" s="55" t="s">
        <v>9072</v>
      </c>
    </row>
    <row r="3659" spans="3:3">
      <c r="C3659" s="2" t="s">
        <v>9730</v>
      </c>
    </row>
    <row r="3660" spans="3:3" ht="19">
      <c r="C3660" s="55" t="s">
        <v>7516</v>
      </c>
    </row>
    <row r="3661" spans="3:3" ht="19">
      <c r="C3661" s="55" t="s">
        <v>7480</v>
      </c>
    </row>
    <row r="3662" spans="3:3" ht="19">
      <c r="C3662" s="55" t="s">
        <v>7495</v>
      </c>
    </row>
    <row r="3663" spans="3:3" ht="19">
      <c r="C3663" s="55" t="s">
        <v>7922</v>
      </c>
    </row>
    <row r="3664" spans="3:3" ht="19">
      <c r="C3664" s="55" t="s">
        <v>8023</v>
      </c>
    </row>
    <row r="3665" spans="3:3" ht="19">
      <c r="C3665" s="55" t="s">
        <v>8472</v>
      </c>
    </row>
    <row r="3666" spans="3:3" ht="19">
      <c r="C3666" s="55" t="s">
        <v>8077</v>
      </c>
    </row>
    <row r="3667" spans="3:3" ht="19">
      <c r="C3667" s="55" t="s">
        <v>7767</v>
      </c>
    </row>
    <row r="3668" spans="3:3" ht="19">
      <c r="C3668" s="55" t="s">
        <v>8465</v>
      </c>
    </row>
    <row r="3669" spans="3:3">
      <c r="C3669" s="2" t="s">
        <v>9731</v>
      </c>
    </row>
    <row r="3670" spans="3:3" ht="19">
      <c r="C3670" s="55" t="s">
        <v>7493</v>
      </c>
    </row>
    <row r="3671" spans="3:3" ht="19">
      <c r="C3671" s="55" t="s">
        <v>8027</v>
      </c>
    </row>
    <row r="3672" spans="3:3" ht="19">
      <c r="C3672" s="55" t="s">
        <v>8423</v>
      </c>
    </row>
    <row r="3673" spans="3:3" ht="19">
      <c r="C3673" s="55" t="s">
        <v>8417</v>
      </c>
    </row>
    <row r="3674" spans="3:3" ht="19">
      <c r="C3674" s="55" t="s">
        <v>7519</v>
      </c>
    </row>
    <row r="3675" spans="3:3" ht="19">
      <c r="C3675" s="55" t="s">
        <v>9732</v>
      </c>
    </row>
    <row r="3676" spans="3:3" ht="19">
      <c r="C3676" s="55" t="s">
        <v>8089</v>
      </c>
    </row>
    <row r="3677" spans="3:3" ht="19">
      <c r="C3677" s="55" t="s">
        <v>7527</v>
      </c>
    </row>
    <row r="3678" spans="3:3">
      <c r="C3678" s="2" t="s">
        <v>9733</v>
      </c>
    </row>
    <row r="3679" spans="3:3" ht="19">
      <c r="C3679" s="55" t="s">
        <v>7508</v>
      </c>
    </row>
    <row r="3680" spans="3:3">
      <c r="C3680" s="2" t="s">
        <v>9734</v>
      </c>
    </row>
    <row r="3681" spans="3:3" ht="19">
      <c r="C3681" s="55" t="s">
        <v>8448</v>
      </c>
    </row>
    <row r="3682" spans="3:3">
      <c r="C3682" s="2" t="s">
        <v>9735</v>
      </c>
    </row>
    <row r="3683" spans="3:3" ht="19">
      <c r="C3683" s="55" t="s">
        <v>8019</v>
      </c>
    </row>
    <row r="3684" spans="3:3" ht="19">
      <c r="C3684" s="55" t="s">
        <v>7483</v>
      </c>
    </row>
    <row r="3685" spans="3:3" ht="19">
      <c r="C3685" s="55" t="s">
        <v>7937</v>
      </c>
    </row>
    <row r="3686" spans="3:3" ht="19">
      <c r="C3686" s="55" t="s">
        <v>8070</v>
      </c>
    </row>
    <row r="3687" spans="3:3">
      <c r="C3687" s="2" t="s">
        <v>9736</v>
      </c>
    </row>
    <row r="3688" spans="3:3" ht="19">
      <c r="C3688" s="55" t="s">
        <v>8438</v>
      </c>
    </row>
    <row r="3689" spans="3:3">
      <c r="C3689" s="2" t="s">
        <v>9737</v>
      </c>
    </row>
    <row r="3690" spans="3:3" ht="19">
      <c r="C3690" s="55" t="s">
        <v>9738</v>
      </c>
    </row>
    <row r="3691" spans="3:3">
      <c r="C3691" s="2" t="s">
        <v>9739</v>
      </c>
    </row>
    <row r="3692" spans="3:3" ht="19">
      <c r="C3692" s="55" t="s">
        <v>8034</v>
      </c>
    </row>
    <row r="3693" spans="3:3" ht="19">
      <c r="C3693" s="55" t="s">
        <v>8019</v>
      </c>
    </row>
    <row r="3694" spans="3:3" ht="19">
      <c r="C3694" s="55" t="s">
        <v>7508</v>
      </c>
    </row>
    <row r="3695" spans="3:3">
      <c r="C3695" s="2" t="s">
        <v>9740</v>
      </c>
    </row>
    <row r="3696" spans="3:3" ht="19">
      <c r="C3696" s="55" t="s">
        <v>9229</v>
      </c>
    </row>
    <row r="3697" spans="3:3">
      <c r="C3697" s="2" t="s">
        <v>9741</v>
      </c>
    </row>
    <row r="3698" spans="3:3" ht="19">
      <c r="C3698" s="55" t="s">
        <v>7516</v>
      </c>
    </row>
    <row r="3699" spans="3:3" ht="19">
      <c r="C3699" s="55" t="s">
        <v>7480</v>
      </c>
    </row>
    <row r="3700" spans="3:3" ht="19">
      <c r="C3700" s="55" t="s">
        <v>7495</v>
      </c>
    </row>
    <row r="3701" spans="3:3" ht="19">
      <c r="C3701" s="55" t="s">
        <v>9742</v>
      </c>
    </row>
    <row r="3702" spans="3:3" ht="19">
      <c r="C3702" s="55" t="s">
        <v>7963</v>
      </c>
    </row>
    <row r="3703" spans="3:3" ht="19">
      <c r="C3703" s="55" t="s">
        <v>8472</v>
      </c>
    </row>
    <row r="3704" spans="3:3" ht="19">
      <c r="C3704" s="55" t="s">
        <v>8077</v>
      </c>
    </row>
    <row r="3705" spans="3:3" ht="19">
      <c r="C3705" s="55" t="s">
        <v>7767</v>
      </c>
    </row>
    <row r="3706" spans="3:3">
      <c r="C3706" s="2" t="s">
        <v>9743</v>
      </c>
    </row>
    <row r="3707" spans="3:3" ht="19">
      <c r="C3707" s="55" t="s">
        <v>8019</v>
      </c>
    </row>
    <row r="3708" spans="3:3" ht="19">
      <c r="C3708" s="55" t="s">
        <v>7483</v>
      </c>
    </row>
    <row r="3709" spans="3:3" ht="19">
      <c r="C3709" s="55" t="s">
        <v>8070</v>
      </c>
    </row>
    <row r="3710" spans="3:3">
      <c r="C3710" s="2" t="s">
        <v>9744</v>
      </c>
    </row>
    <row r="3711" spans="3:3" ht="19">
      <c r="C3711" s="55" t="s">
        <v>8034</v>
      </c>
    </row>
    <row r="3712" spans="3:3" ht="19">
      <c r="C3712" s="55" t="s">
        <v>8019</v>
      </c>
    </row>
    <row r="3713" spans="3:3">
      <c r="C3713" s="2" t="s">
        <v>9745</v>
      </c>
    </row>
    <row r="3714" spans="3:3" ht="19">
      <c r="C3714" s="55" t="s">
        <v>7514</v>
      </c>
    </row>
    <row r="3715" spans="3:3" ht="19">
      <c r="C3715" s="55" t="s">
        <v>8140</v>
      </c>
    </row>
    <row r="3716" spans="3:3" ht="19">
      <c r="C3716" s="55" t="s">
        <v>8141</v>
      </c>
    </row>
    <row r="3717" spans="3:3" ht="19">
      <c r="C3717" s="55" t="s">
        <v>7482</v>
      </c>
    </row>
    <row r="3718" spans="3:3" ht="19">
      <c r="C3718" s="55" t="s">
        <v>8006</v>
      </c>
    </row>
    <row r="3719" spans="3:3" ht="19">
      <c r="C3719" s="55" t="s">
        <v>8019</v>
      </c>
    </row>
    <row r="3720" spans="3:3" ht="19">
      <c r="C3720" s="55" t="s">
        <v>7504</v>
      </c>
    </row>
    <row r="3721" spans="3:3" ht="19">
      <c r="C3721" s="55" t="s">
        <v>7508</v>
      </c>
    </row>
    <row r="3722" spans="3:3" ht="19">
      <c r="C3722" s="55" t="s">
        <v>8014</v>
      </c>
    </row>
    <row r="3723" spans="3:3" ht="19">
      <c r="C3723" s="55" t="s">
        <v>8625</v>
      </c>
    </row>
    <row r="3724" spans="3:3" ht="19">
      <c r="C3724" s="55" t="s">
        <v>7942</v>
      </c>
    </row>
    <row r="3725" spans="3:3" ht="19">
      <c r="C3725" s="55" t="s">
        <v>8172</v>
      </c>
    </row>
    <row r="3726" spans="3:3">
      <c r="C3726" s="2" t="s">
        <v>9746</v>
      </c>
    </row>
    <row r="3727" spans="3:3" ht="19">
      <c r="C3727" s="55" t="s">
        <v>7483</v>
      </c>
    </row>
    <row r="3728" spans="3:3">
      <c r="C3728" s="2" t="s">
        <v>9747</v>
      </c>
    </row>
    <row r="3729" spans="3:3" ht="19">
      <c r="C3729" s="55" t="s">
        <v>7963</v>
      </c>
    </row>
    <row r="3730" spans="3:3" ht="19">
      <c r="C3730" s="55" t="s">
        <v>7486</v>
      </c>
    </row>
    <row r="3731" spans="3:3">
      <c r="C3731" s="2" t="s">
        <v>9748</v>
      </c>
    </row>
    <row r="3732" spans="3:3" ht="19">
      <c r="C3732" s="55" t="s">
        <v>7493</v>
      </c>
    </row>
    <row r="3733" spans="3:3" ht="19">
      <c r="C3733" s="55" t="s">
        <v>9722</v>
      </c>
    </row>
    <row r="3734" spans="3:3" ht="19">
      <c r="C3734" s="55" t="s">
        <v>9723</v>
      </c>
    </row>
    <row r="3735" spans="3:3" ht="19">
      <c r="C3735" s="55" t="s">
        <v>8028</v>
      </c>
    </row>
    <row r="3736" spans="3:3" ht="19">
      <c r="C3736" s="55" t="s">
        <v>7474</v>
      </c>
    </row>
    <row r="3737" spans="3:3" ht="19">
      <c r="C3737" s="55" t="s">
        <v>9749</v>
      </c>
    </row>
    <row r="3738" spans="3:3" ht="19">
      <c r="C3738" s="55" t="s">
        <v>9131</v>
      </c>
    </row>
    <row r="3739" spans="3:3" ht="19">
      <c r="C3739" s="55" t="s">
        <v>7767</v>
      </c>
    </row>
    <row r="3740" spans="3:3">
      <c r="C3740" s="2" t="s">
        <v>9750</v>
      </c>
    </row>
    <row r="3741" spans="3:3" ht="19">
      <c r="C3741" s="55" t="s">
        <v>7473</v>
      </c>
    </row>
    <row r="3742" spans="3:3" ht="19">
      <c r="C3742" s="55" t="s">
        <v>7481</v>
      </c>
    </row>
    <row r="3743" spans="3:3" ht="19">
      <c r="C3743" s="55" t="s">
        <v>7482</v>
      </c>
    </row>
    <row r="3744" spans="3:3" ht="19">
      <c r="C3744" s="55" t="s">
        <v>8006</v>
      </c>
    </row>
    <row r="3745" spans="3:3" ht="19">
      <c r="C3745" s="55" t="s">
        <v>7488</v>
      </c>
    </row>
    <row r="3746" spans="3:3" ht="19">
      <c r="C3746" s="55" t="s">
        <v>7756</v>
      </c>
    </row>
    <row r="3747" spans="3:3" ht="19">
      <c r="C3747" s="55" t="s">
        <v>7485</v>
      </c>
    </row>
    <row r="3748" spans="3:3" ht="19">
      <c r="C3748" s="55" t="s">
        <v>8395</v>
      </c>
    </row>
    <row r="3749" spans="3:3" ht="19">
      <c r="C3749" s="55" t="s">
        <v>7501</v>
      </c>
    </row>
    <row r="3750" spans="3:3">
      <c r="C3750" s="2" t="s">
        <v>9751</v>
      </c>
    </row>
    <row r="3751" spans="3:3" ht="19">
      <c r="C3751" s="55" t="s">
        <v>8431</v>
      </c>
    </row>
    <row r="3752" spans="3:3">
      <c r="C3752" s="2" t="s">
        <v>9752</v>
      </c>
    </row>
    <row r="3753" spans="3:3" ht="19">
      <c r="C3753" s="55" t="s">
        <v>9753</v>
      </c>
    </row>
    <row r="3754" spans="3:3">
      <c r="C3754" s="2" t="s">
        <v>9754</v>
      </c>
    </row>
    <row r="3755" spans="3:3" ht="19">
      <c r="C3755" s="55" t="s">
        <v>8064</v>
      </c>
    </row>
    <row r="3756" spans="3:3">
      <c r="C3756" s="2" t="s">
        <v>9755</v>
      </c>
    </row>
    <row r="3757" spans="3:3" ht="19">
      <c r="C3757" s="55" t="s">
        <v>9756</v>
      </c>
    </row>
    <row r="3758" spans="3:3" ht="19">
      <c r="C3758" s="55" t="s">
        <v>8141</v>
      </c>
    </row>
    <row r="3759" spans="3:3">
      <c r="C3759" s="2" t="s">
        <v>9757</v>
      </c>
    </row>
    <row r="3760" spans="3:3" ht="19">
      <c r="C3760" s="55" t="s">
        <v>9758</v>
      </c>
    </row>
    <row r="3761" spans="3:3">
      <c r="C3761" s="2" t="s">
        <v>9759</v>
      </c>
    </row>
    <row r="3762" spans="3:3" ht="19">
      <c r="C3762" s="55" t="s">
        <v>7473</v>
      </c>
    </row>
    <row r="3763" spans="3:3" ht="19">
      <c r="C3763" s="55" t="s">
        <v>9220</v>
      </c>
    </row>
    <row r="3764" spans="3:3" ht="19">
      <c r="C3764" s="55" t="s">
        <v>9760</v>
      </c>
    </row>
    <row r="3765" spans="3:3" ht="19">
      <c r="C3765" s="55" t="s">
        <v>8098</v>
      </c>
    </row>
    <row r="3766" spans="3:3">
      <c r="C3766" s="2" t="s">
        <v>9761</v>
      </c>
    </row>
    <row r="3767" spans="3:3" ht="19">
      <c r="C3767" s="55" t="s">
        <v>7563</v>
      </c>
    </row>
    <row r="3768" spans="3:3">
      <c r="C3768" s="2" t="s">
        <v>9762</v>
      </c>
    </row>
    <row r="3769" spans="3:3" ht="19">
      <c r="C3769" s="55" t="s">
        <v>7563</v>
      </c>
    </row>
    <row r="3770" spans="3:3">
      <c r="C3770" s="2" t="s">
        <v>9763</v>
      </c>
    </row>
    <row r="3771" spans="3:3" ht="19">
      <c r="C3771" s="55" t="s">
        <v>7473</v>
      </c>
    </row>
    <row r="3772" spans="3:3" ht="19">
      <c r="C3772" s="55" t="s">
        <v>8056</v>
      </c>
    </row>
    <row r="3773" spans="3:3" ht="19">
      <c r="C3773" s="55" t="s">
        <v>9764</v>
      </c>
    </row>
    <row r="3774" spans="3:3">
      <c r="C3774" s="2" t="s">
        <v>9765</v>
      </c>
    </row>
    <row r="3775" spans="3:3" ht="19">
      <c r="C3775" s="55" t="s">
        <v>7527</v>
      </c>
    </row>
    <row r="3776" spans="3:3">
      <c r="C3776" s="2" t="s">
        <v>9766</v>
      </c>
    </row>
    <row r="3777" spans="3:3" ht="19">
      <c r="C3777" s="55" t="s">
        <v>9220</v>
      </c>
    </row>
    <row r="3778" spans="3:3" ht="19">
      <c r="C3778" s="55" t="s">
        <v>9767</v>
      </c>
    </row>
    <row r="3779" spans="3:3" ht="19">
      <c r="C3779" s="55" t="s">
        <v>8731</v>
      </c>
    </row>
    <row r="3780" spans="3:3" ht="19">
      <c r="C3780" s="55" t="s">
        <v>8155</v>
      </c>
    </row>
    <row r="3781" spans="3:3" ht="19">
      <c r="C3781" s="55" t="s">
        <v>9768</v>
      </c>
    </row>
    <row r="3782" spans="3:3">
      <c r="C3782" s="2" t="s">
        <v>9769</v>
      </c>
    </row>
    <row r="3783" spans="3:3" ht="19">
      <c r="C3783" s="55" t="s">
        <v>7473</v>
      </c>
    </row>
    <row r="3784" spans="3:3" ht="19">
      <c r="C3784" s="55" t="s">
        <v>8751</v>
      </c>
    </row>
    <row r="3785" spans="3:3" ht="19">
      <c r="C3785" s="55" t="s">
        <v>9770</v>
      </c>
    </row>
    <row r="3786" spans="3:3">
      <c r="C3786" s="2" t="s">
        <v>9771</v>
      </c>
    </row>
    <row r="3787" spans="3:3" ht="19">
      <c r="C3787" s="55" t="s">
        <v>7563</v>
      </c>
    </row>
    <row r="3788" spans="3:3">
      <c r="C3788" s="2" t="s">
        <v>9772</v>
      </c>
    </row>
    <row r="3789" spans="3:3" ht="19">
      <c r="C3789" s="55" t="s">
        <v>7527</v>
      </c>
    </row>
    <row r="3790" spans="3:3">
      <c r="C3790" s="2" t="s">
        <v>9773</v>
      </c>
    </row>
    <row r="3791" spans="3:3" ht="19">
      <c r="C3791" s="55" t="s">
        <v>7550</v>
      </c>
    </row>
    <row r="3792" spans="3:3" ht="19">
      <c r="C3792" s="55" t="s">
        <v>9774</v>
      </c>
    </row>
    <row r="3793" spans="3:3" ht="19">
      <c r="C3793" s="55" t="s">
        <v>9062</v>
      </c>
    </row>
    <row r="3794" spans="3:3" ht="19">
      <c r="C3794" s="55" t="s">
        <v>9211</v>
      </c>
    </row>
    <row r="3795" spans="3:3" ht="19">
      <c r="C3795" s="55" t="s">
        <v>9775</v>
      </c>
    </row>
    <row r="3796" spans="3:3">
      <c r="C3796" s="2" t="s">
        <v>9776</v>
      </c>
    </row>
    <row r="3797" spans="3:3" ht="19">
      <c r="C3797" s="55" t="s">
        <v>9777</v>
      </c>
    </row>
    <row r="3798" spans="3:3">
      <c r="C3798" s="2" t="s">
        <v>9778</v>
      </c>
    </row>
    <row r="3799" spans="3:3" ht="19">
      <c r="C3799" s="55" t="s">
        <v>9779</v>
      </c>
    </row>
    <row r="3800" spans="3:3" ht="19">
      <c r="C3800" s="55" t="s">
        <v>9780</v>
      </c>
    </row>
    <row r="3801" spans="3:3">
      <c r="C3801" s="2" t="s">
        <v>9781</v>
      </c>
    </row>
    <row r="3802" spans="3:3" ht="19">
      <c r="C3802" s="55" t="s">
        <v>7759</v>
      </c>
    </row>
    <row r="3803" spans="3:3" ht="19">
      <c r="C3803" s="55" t="s">
        <v>8023</v>
      </c>
    </row>
    <row r="3804" spans="3:3" ht="19">
      <c r="C3804" s="55" t="s">
        <v>9782</v>
      </c>
    </row>
    <row r="3805" spans="3:3">
      <c r="C3805" s="2" t="s">
        <v>9783</v>
      </c>
    </row>
    <row r="3806" spans="3:3" ht="19">
      <c r="C3806" s="55" t="s">
        <v>7775</v>
      </c>
    </row>
    <row r="3807" spans="3:3" ht="19">
      <c r="C3807" s="55" t="s">
        <v>8453</v>
      </c>
    </row>
    <row r="3808" spans="3:3" ht="19">
      <c r="C3808" s="55" t="s">
        <v>9784</v>
      </c>
    </row>
    <row r="3809" spans="3:3">
      <c r="C3809" s="2" t="s">
        <v>9785</v>
      </c>
    </row>
    <row r="3810" spans="3:3" ht="19">
      <c r="C3810" s="55" t="s">
        <v>7482</v>
      </c>
    </row>
    <row r="3811" spans="3:3" ht="19">
      <c r="C3811" s="55" t="s">
        <v>8056</v>
      </c>
    </row>
    <row r="3812" spans="3:3">
      <c r="C3812" s="2" t="s">
        <v>9786</v>
      </c>
    </row>
    <row r="3813" spans="3:3" ht="19">
      <c r="C3813" s="55" t="s">
        <v>9787</v>
      </c>
    </row>
    <row r="3814" spans="3:3">
      <c r="C3814" s="2" t="s">
        <v>9788</v>
      </c>
    </row>
    <row r="3815" spans="3:3" ht="19">
      <c r="C3815" s="55" t="s">
        <v>9789</v>
      </c>
    </row>
    <row r="3816" spans="3:3" ht="19">
      <c r="C3816" s="55" t="s">
        <v>9093</v>
      </c>
    </row>
    <row r="3817" spans="3:3">
      <c r="C3817" s="2" t="s">
        <v>9790</v>
      </c>
    </row>
    <row r="3818" spans="3:3" ht="19">
      <c r="C3818" s="55" t="s">
        <v>8619</v>
      </c>
    </row>
    <row r="3819" spans="3:3">
      <c r="C3819" s="2" t="s">
        <v>9791</v>
      </c>
    </row>
    <row r="3820" spans="3:3" ht="19">
      <c r="C3820" s="55" t="s">
        <v>7516</v>
      </c>
    </row>
    <row r="3821" spans="3:3" ht="19">
      <c r="C3821" s="55" t="s">
        <v>7514</v>
      </c>
    </row>
    <row r="3822" spans="3:3" ht="19">
      <c r="C3822" s="55" t="s">
        <v>9792</v>
      </c>
    </row>
    <row r="3823" spans="3:3" ht="19">
      <c r="C3823" s="55" t="s">
        <v>7482</v>
      </c>
    </row>
    <row r="3824" spans="3:3" ht="19">
      <c r="C3824" s="55" t="s">
        <v>8006</v>
      </c>
    </row>
    <row r="3825" spans="3:3" ht="19">
      <c r="C3825" s="55" t="s">
        <v>8023</v>
      </c>
    </row>
    <row r="3826" spans="3:3" ht="19">
      <c r="C3826" s="55" t="s">
        <v>9793</v>
      </c>
    </row>
    <row r="3827" spans="3:3">
      <c r="C3827" s="2" t="s">
        <v>9794</v>
      </c>
    </row>
    <row r="3828" spans="3:3" ht="19">
      <c r="C3828" s="55" t="s">
        <v>7941</v>
      </c>
    </row>
    <row r="3829" spans="3:3" ht="19">
      <c r="C3829" s="55" t="s">
        <v>8168</v>
      </c>
    </row>
    <row r="3830" spans="3:3">
      <c r="C3830" s="2" t="s">
        <v>9795</v>
      </c>
    </row>
    <row r="3831" spans="3:3" ht="19">
      <c r="C3831" s="55" t="s">
        <v>7483</v>
      </c>
    </row>
    <row r="3832" spans="3:3" ht="19">
      <c r="C3832" s="55" t="s">
        <v>7937</v>
      </c>
    </row>
    <row r="3833" spans="3:3">
      <c r="C3833" s="2" t="s">
        <v>9796</v>
      </c>
    </row>
    <row r="3834" spans="3:3" ht="19">
      <c r="C3834" s="55" t="s">
        <v>7942</v>
      </c>
    </row>
    <row r="3835" spans="3:3" ht="19">
      <c r="C3835" s="55" t="s">
        <v>8172</v>
      </c>
    </row>
    <row r="3836" spans="3:3">
      <c r="C3836" s="2" t="s">
        <v>9797</v>
      </c>
    </row>
    <row r="3837" spans="3:3" ht="19">
      <c r="C3837" s="55" t="s">
        <v>7552</v>
      </c>
    </row>
    <row r="3838" spans="3:3" ht="19">
      <c r="C3838" s="55" t="s">
        <v>7488</v>
      </c>
    </row>
    <row r="3839" spans="3:3" ht="19">
      <c r="C3839" s="55" t="s">
        <v>7489</v>
      </c>
    </row>
    <row r="3840" spans="3:3" ht="19">
      <c r="C3840" s="55" t="s">
        <v>8095</v>
      </c>
    </row>
    <row r="3841" spans="3:3">
      <c r="C3841" s="2" t="s">
        <v>9798</v>
      </c>
    </row>
    <row r="3842" spans="3:3" ht="19">
      <c r="C3842" s="55" t="s">
        <v>8794</v>
      </c>
    </row>
    <row r="3843" spans="3:3">
      <c r="C3843" s="2" t="s">
        <v>9799</v>
      </c>
    </row>
    <row r="3844" spans="3:3" ht="19">
      <c r="C3844" s="55" t="s">
        <v>7516</v>
      </c>
    </row>
    <row r="3845" spans="3:3" ht="19">
      <c r="C3845" s="55" t="s">
        <v>9800</v>
      </c>
    </row>
    <row r="3846" spans="3:3">
      <c r="C3846" s="2" t="s">
        <v>9801</v>
      </c>
    </row>
    <row r="3847" spans="3:3" ht="19">
      <c r="C3847" s="55" t="s">
        <v>8878</v>
      </c>
    </row>
    <row r="3848" spans="3:3" ht="19">
      <c r="C3848" s="55" t="s">
        <v>8148</v>
      </c>
    </row>
    <row r="3849" spans="3:3" ht="19">
      <c r="C3849" s="55" t="s">
        <v>8149</v>
      </c>
    </row>
    <row r="3850" spans="3:3">
      <c r="C3850" s="2" t="s">
        <v>9802</v>
      </c>
    </row>
    <row r="3851" spans="3:3" ht="19">
      <c r="C3851" s="55" t="s">
        <v>7552</v>
      </c>
    </row>
    <row r="3852" spans="3:3">
      <c r="C3852" s="2" t="s">
        <v>9803</v>
      </c>
    </row>
    <row r="3853" spans="3:3" ht="19">
      <c r="C3853" s="55" t="s">
        <v>8470</v>
      </c>
    </row>
    <row r="3854" spans="3:3">
      <c r="C3854" s="2" t="s">
        <v>9804</v>
      </c>
    </row>
    <row r="3855" spans="3:3" ht="19">
      <c r="C3855" s="55" t="s">
        <v>9805</v>
      </c>
    </row>
    <row r="3856" spans="3:3">
      <c r="C3856" s="2" t="s">
        <v>9806</v>
      </c>
    </row>
    <row r="3857" spans="3:3" ht="19">
      <c r="C3857" s="55" t="s">
        <v>9807</v>
      </c>
    </row>
    <row r="3858" spans="3:3">
      <c r="C3858" s="2" t="s">
        <v>9808</v>
      </c>
    </row>
    <row r="3859" spans="3:3" ht="19">
      <c r="C3859" s="55" t="s">
        <v>8794</v>
      </c>
    </row>
    <row r="3860" spans="3:3">
      <c r="C3860" s="2" t="s">
        <v>9809</v>
      </c>
    </row>
    <row r="3861" spans="3:3" ht="19">
      <c r="C3861" s="55" t="s">
        <v>8913</v>
      </c>
    </row>
    <row r="3862" spans="3:3" ht="19">
      <c r="C3862" s="55" t="s">
        <v>8914</v>
      </c>
    </row>
    <row r="3863" spans="3:3">
      <c r="C3863" s="2" t="s">
        <v>9810</v>
      </c>
    </row>
    <row r="3864" spans="3:3" ht="19">
      <c r="C3864" s="55" t="s">
        <v>7493</v>
      </c>
    </row>
    <row r="3865" spans="3:3" ht="19">
      <c r="C3865" s="55" t="s">
        <v>9811</v>
      </c>
    </row>
    <row r="3866" spans="3:3" ht="19">
      <c r="C3866" s="55" t="s">
        <v>9812</v>
      </c>
    </row>
    <row r="3867" spans="3:3" ht="19">
      <c r="C3867" s="55" t="s">
        <v>7480</v>
      </c>
    </row>
    <row r="3868" spans="3:3" ht="19">
      <c r="C3868" s="55" t="s">
        <v>9813</v>
      </c>
    </row>
    <row r="3869" spans="3:3" ht="19">
      <c r="C3869" s="55" t="s">
        <v>7756</v>
      </c>
    </row>
    <row r="3870" spans="3:3" ht="19">
      <c r="C3870" s="55" t="s">
        <v>8089</v>
      </c>
    </row>
    <row r="3871" spans="3:3">
      <c r="C3871" s="2" t="s">
        <v>9814</v>
      </c>
    </row>
    <row r="3872" spans="3:3" ht="19">
      <c r="C3872" s="55" t="s">
        <v>9815</v>
      </c>
    </row>
    <row r="3873" spans="3:3" ht="19">
      <c r="C3873" s="55" t="s">
        <v>9816</v>
      </c>
    </row>
    <row r="3874" spans="3:3" ht="19">
      <c r="C3874" s="55" t="s">
        <v>8023</v>
      </c>
    </row>
    <row r="3875" spans="3:3">
      <c r="C3875" s="2" t="s">
        <v>9817</v>
      </c>
    </row>
    <row r="3876" spans="3:3" ht="19">
      <c r="C3876" s="55" t="s">
        <v>9818</v>
      </c>
    </row>
    <row r="3877" spans="3:3">
      <c r="C3877" s="2" t="s">
        <v>9819</v>
      </c>
    </row>
    <row r="3878" spans="3:3" ht="19">
      <c r="C3878" s="55" t="s">
        <v>9820</v>
      </c>
    </row>
    <row r="3879" spans="3:3">
      <c r="C3879" s="2" t="s">
        <v>9821</v>
      </c>
    </row>
    <row r="3880" spans="3:3" ht="19">
      <c r="C3880" s="55" t="s">
        <v>8183</v>
      </c>
    </row>
    <row r="3881" spans="3:3" ht="19">
      <c r="C3881" s="55" t="s">
        <v>8184</v>
      </c>
    </row>
    <row r="3882" spans="3:3" ht="19">
      <c r="C3882" s="55" t="s">
        <v>7527</v>
      </c>
    </row>
    <row r="3883" spans="3:3">
      <c r="C3883" s="2" t="s">
        <v>9822</v>
      </c>
    </row>
    <row r="3884" spans="3:3" ht="19">
      <c r="C3884" s="55" t="s">
        <v>8183</v>
      </c>
    </row>
    <row r="3885" spans="3:3" ht="19">
      <c r="C3885" s="55" t="s">
        <v>7527</v>
      </c>
    </row>
    <row r="3886" spans="3:3">
      <c r="C3886" s="2" t="s">
        <v>9823</v>
      </c>
    </row>
    <row r="3887" spans="3:3" ht="19">
      <c r="C3887" s="55" t="s">
        <v>7516</v>
      </c>
    </row>
    <row r="3888" spans="3:3" ht="19">
      <c r="C3888" s="55" t="s">
        <v>8027</v>
      </c>
    </row>
    <row r="3889" spans="3:3" ht="19">
      <c r="C3889" s="55" t="s">
        <v>8417</v>
      </c>
    </row>
    <row r="3890" spans="3:3" ht="19">
      <c r="C3890" s="55" t="s">
        <v>9824</v>
      </c>
    </row>
    <row r="3891" spans="3:3" ht="19">
      <c r="C3891" s="55" t="s">
        <v>8028</v>
      </c>
    </row>
    <row r="3892" spans="3:3" ht="19">
      <c r="C3892" s="55" t="s">
        <v>8445</v>
      </c>
    </row>
    <row r="3893" spans="3:3" ht="19">
      <c r="C3893" s="55" t="s">
        <v>9089</v>
      </c>
    </row>
    <row r="3894" spans="3:3" ht="19">
      <c r="C3894" s="55" t="s">
        <v>7499</v>
      </c>
    </row>
    <row r="3895" spans="3:3" ht="19">
      <c r="C3895" s="55" t="s">
        <v>7486</v>
      </c>
    </row>
    <row r="3896" spans="3:3" ht="19">
      <c r="C3896" s="55" t="s">
        <v>7500</v>
      </c>
    </row>
    <row r="3897" spans="3:3" ht="19">
      <c r="C3897" s="55" t="s">
        <v>9793</v>
      </c>
    </row>
    <row r="3898" spans="3:3" ht="19">
      <c r="C3898" s="55" t="s">
        <v>7501</v>
      </c>
    </row>
    <row r="3899" spans="3:3" ht="19">
      <c r="C3899" s="55" t="s">
        <v>8193</v>
      </c>
    </row>
    <row r="3900" spans="3:3">
      <c r="C3900" s="2" t="s">
        <v>9825</v>
      </c>
    </row>
    <row r="3901" spans="3:3" ht="19">
      <c r="C3901" s="55" t="s">
        <v>7480</v>
      </c>
    </row>
    <row r="3902" spans="3:3" ht="19">
      <c r="C3902" s="55" t="s">
        <v>7481</v>
      </c>
    </row>
    <row r="3903" spans="3:3" ht="19">
      <c r="C3903" s="55" t="s">
        <v>7482</v>
      </c>
    </row>
    <row r="3904" spans="3:3" ht="19">
      <c r="C3904" s="55" t="s">
        <v>9211</v>
      </c>
    </row>
    <row r="3905" spans="3:3">
      <c r="C3905" s="2" t="s">
        <v>9826</v>
      </c>
    </row>
    <row r="3906" spans="3:3" ht="19">
      <c r="C3906" s="55" t="s">
        <v>8453</v>
      </c>
    </row>
    <row r="3907" spans="3:3" ht="19">
      <c r="C3907" s="55" t="s">
        <v>8023</v>
      </c>
    </row>
    <row r="3908" spans="3:3">
      <c r="C3908" s="2" t="s">
        <v>9827</v>
      </c>
    </row>
    <row r="3909" spans="3:3" ht="19">
      <c r="C3909" s="55" t="s">
        <v>7941</v>
      </c>
    </row>
    <row r="3910" spans="3:3" ht="19">
      <c r="C3910" s="55" t="s">
        <v>7942</v>
      </c>
    </row>
    <row r="3911" spans="3:3">
      <c r="C3911" s="2" t="s">
        <v>9828</v>
      </c>
    </row>
    <row r="3912" spans="3:3" ht="19">
      <c r="C3912" s="55" t="s">
        <v>7488</v>
      </c>
    </row>
    <row r="3913" spans="3:3" ht="19">
      <c r="C3913" s="55" t="s">
        <v>7483</v>
      </c>
    </row>
    <row r="3914" spans="3:3" ht="19">
      <c r="C3914" s="55" t="s">
        <v>9829</v>
      </c>
    </row>
    <row r="3915" spans="3:3">
      <c r="C3915" s="2" t="s">
        <v>9830</v>
      </c>
    </row>
    <row r="3916" spans="3:3" ht="19">
      <c r="C3916" s="55" t="s">
        <v>7488</v>
      </c>
    </row>
    <row r="3917" spans="3:3">
      <c r="C3917" s="2" t="s">
        <v>9831</v>
      </c>
    </row>
    <row r="3918" spans="3:3" ht="19">
      <c r="C3918" s="55" t="s">
        <v>8529</v>
      </c>
    </row>
    <row r="3919" spans="3:3" ht="19">
      <c r="C3919" s="55" t="s">
        <v>8172</v>
      </c>
    </row>
    <row r="3920" spans="3:3" ht="19">
      <c r="C3920" s="55" t="s">
        <v>8168</v>
      </c>
    </row>
    <row r="3921" spans="3:3">
      <c r="C3921" s="2" t="s">
        <v>9832</v>
      </c>
    </row>
    <row r="3922" spans="3:3" ht="19">
      <c r="C3922" s="55" t="s">
        <v>7493</v>
      </c>
    </row>
    <row r="3923" spans="3:3" ht="19">
      <c r="C3923" s="55" t="s">
        <v>8027</v>
      </c>
    </row>
    <row r="3924" spans="3:3" ht="19">
      <c r="C3924" s="55" t="s">
        <v>8417</v>
      </c>
    </row>
    <row r="3925" spans="3:3" ht="19">
      <c r="C3925" s="55" t="s">
        <v>9807</v>
      </c>
    </row>
    <row r="3926" spans="3:3">
      <c r="C3926" s="2" t="s">
        <v>9833</v>
      </c>
    </row>
    <row r="3927" spans="3:3" ht="19">
      <c r="C3927" s="55" t="s">
        <v>9834</v>
      </c>
    </row>
    <row r="3928" spans="3:3">
      <c r="C3928" s="2" t="s">
        <v>9835</v>
      </c>
    </row>
    <row r="3929" spans="3:3" ht="19">
      <c r="C3929" s="55" t="s">
        <v>8183</v>
      </c>
    </row>
    <row r="3930" spans="3:3">
      <c r="C3930" s="2" t="s">
        <v>9836</v>
      </c>
    </row>
    <row r="3931" spans="3:3" ht="19">
      <c r="C3931" s="55" t="s">
        <v>8909</v>
      </c>
    </row>
    <row r="3932" spans="3:3" ht="19">
      <c r="C3932" s="55" t="s">
        <v>8917</v>
      </c>
    </row>
    <row r="3933" spans="3:3" ht="19">
      <c r="C3933" s="55" t="s">
        <v>7485</v>
      </c>
    </row>
    <row r="3934" spans="3:3" ht="19">
      <c r="C3934" s="55" t="s">
        <v>7504</v>
      </c>
    </row>
    <row r="3935" spans="3:3">
      <c r="C3935" s="2" t="s">
        <v>9837</v>
      </c>
    </row>
    <row r="3936" spans="3:3" ht="19">
      <c r="C3936" s="55" t="s">
        <v>9838</v>
      </c>
    </row>
    <row r="3937" spans="3:3">
      <c r="C3937" s="2" t="s">
        <v>9839</v>
      </c>
    </row>
    <row r="3938" spans="3:3" ht="19">
      <c r="C3938" s="55" t="s">
        <v>8510</v>
      </c>
    </row>
    <row r="3939" spans="3:3" ht="19">
      <c r="C3939" s="55" t="s">
        <v>9208</v>
      </c>
    </row>
    <row r="3940" spans="3:3" ht="19">
      <c r="C3940" s="55" t="s">
        <v>9840</v>
      </c>
    </row>
    <row r="3941" spans="3:3">
      <c r="C3941" s="2" t="s">
        <v>9841</v>
      </c>
    </row>
    <row r="3942" spans="3:3" ht="19">
      <c r="C3942" s="55" t="s">
        <v>8098</v>
      </c>
    </row>
    <row r="3943" spans="3:3">
      <c r="C3943" s="2" t="s">
        <v>9842</v>
      </c>
    </row>
    <row r="3944" spans="3:3" ht="19">
      <c r="C3944" s="55" t="s">
        <v>9800</v>
      </c>
    </row>
    <row r="3945" spans="3:3">
      <c r="C3945" s="2" t="s">
        <v>9843</v>
      </c>
    </row>
    <row r="3946" spans="3:3" ht="19">
      <c r="C3946" s="55" t="s">
        <v>7473</v>
      </c>
    </row>
    <row r="3947" spans="3:3" ht="19">
      <c r="C3947" s="55" t="s">
        <v>9844</v>
      </c>
    </row>
    <row r="3948" spans="3:3" ht="19">
      <c r="C3948" s="55" t="s">
        <v>9800</v>
      </c>
    </row>
    <row r="3949" spans="3:3" ht="19">
      <c r="C3949" s="55" t="s">
        <v>8141</v>
      </c>
    </row>
    <row r="3950" spans="3:3" ht="19">
      <c r="C3950" s="55" t="s">
        <v>8023</v>
      </c>
    </row>
    <row r="3951" spans="3:3">
      <c r="C3951" s="2" t="s">
        <v>9845</v>
      </c>
    </row>
    <row r="3952" spans="3:3" ht="19">
      <c r="C3952" s="55" t="s">
        <v>9846</v>
      </c>
    </row>
    <row r="3953" spans="3:3">
      <c r="C3953" s="2" t="s">
        <v>9847</v>
      </c>
    </row>
    <row r="3954" spans="3:3" ht="19">
      <c r="C3954" s="55" t="s">
        <v>7473</v>
      </c>
    </row>
    <row r="3955" spans="3:3" ht="19">
      <c r="C3955" s="55" t="s">
        <v>9848</v>
      </c>
    </row>
    <row r="3956" spans="3:3" ht="19">
      <c r="C3956" s="55" t="s">
        <v>7759</v>
      </c>
    </row>
    <row r="3957" spans="3:3" ht="19">
      <c r="C3957" s="55" t="s">
        <v>8006</v>
      </c>
    </row>
    <row r="3958" spans="3:3" ht="19">
      <c r="C3958" s="55" t="s">
        <v>8023</v>
      </c>
    </row>
    <row r="3959" spans="3:3" ht="19">
      <c r="C3959" s="55" t="s">
        <v>7483</v>
      </c>
    </row>
    <row r="3960" spans="3:3" ht="19">
      <c r="C3960" s="55" t="s">
        <v>8077</v>
      </c>
    </row>
    <row r="3961" spans="3:3" ht="19">
      <c r="C3961" s="55" t="s">
        <v>9849</v>
      </c>
    </row>
    <row r="3962" spans="3:3" ht="19">
      <c r="C3962" s="55" t="s">
        <v>8529</v>
      </c>
    </row>
    <row r="3963" spans="3:3">
      <c r="C3963" s="2" t="s">
        <v>9850</v>
      </c>
    </row>
    <row r="3964" spans="3:3" ht="19">
      <c r="C3964" s="55" t="s">
        <v>8019</v>
      </c>
    </row>
    <row r="3965" spans="3:3" ht="19">
      <c r="C3965" s="55" t="s">
        <v>7483</v>
      </c>
    </row>
    <row r="3966" spans="3:3">
      <c r="C3966" s="2" t="s">
        <v>9851</v>
      </c>
    </row>
    <row r="3967" spans="3:3" ht="19">
      <c r="C3967" s="55" t="s">
        <v>8019</v>
      </c>
    </row>
    <row r="3968" spans="3:3" ht="19">
      <c r="C3968" s="55" t="s">
        <v>7508</v>
      </c>
    </row>
    <row r="3969" spans="3:3" ht="19">
      <c r="C3969" s="55" t="s">
        <v>7938</v>
      </c>
    </row>
    <row r="3970" spans="3:3" ht="19">
      <c r="C3970" s="55" t="s">
        <v>9852</v>
      </c>
    </row>
    <row r="3971" spans="3:3">
      <c r="C3971" s="2" t="s">
        <v>9853</v>
      </c>
    </row>
    <row r="3972" spans="3:3" ht="19">
      <c r="C3972" s="55" t="s">
        <v>7925</v>
      </c>
    </row>
    <row r="3973" spans="3:3">
      <c r="C3973" s="2" t="s">
        <v>9854</v>
      </c>
    </row>
    <row r="3974" spans="3:3" ht="19">
      <c r="C3974" s="55" t="s">
        <v>8230</v>
      </c>
    </row>
    <row r="3975" spans="3:3">
      <c r="C3975" s="2" t="s">
        <v>9855</v>
      </c>
    </row>
    <row r="3976" spans="3:3" ht="19">
      <c r="C3976" s="55" t="s">
        <v>8837</v>
      </c>
    </row>
    <row r="3977" spans="3:3">
      <c r="C3977" s="2" t="s">
        <v>3814</v>
      </c>
    </row>
    <row r="3978" spans="3:3" ht="19">
      <c r="C3978" s="55" t="s">
        <v>9856</v>
      </c>
    </row>
    <row r="3979" spans="3:3">
      <c r="C3979" s="2" t="s">
        <v>9857</v>
      </c>
    </row>
    <row r="3980" spans="3:3" ht="19">
      <c r="C3980" s="55" t="s">
        <v>7482</v>
      </c>
    </row>
    <row r="3981" spans="3:3" ht="19">
      <c r="C3981" s="55" t="s">
        <v>8019</v>
      </c>
    </row>
    <row r="3982" spans="3:3">
      <c r="C3982" s="2" t="s">
        <v>9858</v>
      </c>
    </row>
    <row r="3983" spans="3:3" ht="19">
      <c r="C3983" s="55" t="s">
        <v>8252</v>
      </c>
    </row>
    <row r="3984" spans="3:3">
      <c r="C3984" s="2" t="s">
        <v>9859</v>
      </c>
    </row>
    <row r="3985" spans="3:3" ht="19">
      <c r="C3985" s="55" t="s">
        <v>8258</v>
      </c>
    </row>
    <row r="3986" spans="3:3">
      <c r="C3986" s="2" t="s">
        <v>9860</v>
      </c>
    </row>
    <row r="3987" spans="3:3" ht="19">
      <c r="C3987" s="55" t="s">
        <v>8250</v>
      </c>
    </row>
    <row r="3988" spans="3:3">
      <c r="C3988" s="2" t="s">
        <v>9861</v>
      </c>
    </row>
    <row r="3989" spans="3:3" ht="19">
      <c r="C3989" s="55" t="s">
        <v>8270</v>
      </c>
    </row>
    <row r="3990" spans="3:3">
      <c r="C3990" s="2" t="s">
        <v>9862</v>
      </c>
    </row>
    <row r="3991" spans="3:3" ht="19">
      <c r="C3991" s="55" t="s">
        <v>7491</v>
      </c>
    </row>
    <row r="3992" spans="3:3">
      <c r="C3992" s="2" t="s">
        <v>9863</v>
      </c>
    </row>
    <row r="3993" spans="3:3" ht="19">
      <c r="C3993" s="55" t="s">
        <v>9864</v>
      </c>
    </row>
    <row r="3994" spans="3:3">
      <c r="C3994" s="2" t="s">
        <v>9865</v>
      </c>
    </row>
    <row r="3995" spans="3:3" ht="19">
      <c r="C3995" s="55" t="s">
        <v>9866</v>
      </c>
    </row>
    <row r="3996" spans="3:3">
      <c r="C3996" s="2" t="s">
        <v>9867</v>
      </c>
    </row>
    <row r="3997" spans="3:3" ht="19">
      <c r="C3997" s="55" t="s">
        <v>9868</v>
      </c>
    </row>
    <row r="3998" spans="3:3">
      <c r="C3998" s="2" t="s">
        <v>9869</v>
      </c>
    </row>
    <row r="3999" spans="3:3" ht="19">
      <c r="C3999" s="55" t="s">
        <v>9870</v>
      </c>
    </row>
    <row r="4000" spans="3:3">
      <c r="C4000" s="2" t="s">
        <v>9871</v>
      </c>
    </row>
    <row r="4001" spans="3:3" ht="19">
      <c r="C4001" s="55" t="s">
        <v>8298</v>
      </c>
    </row>
    <row r="4002" spans="3:3">
      <c r="C4002" s="2" t="s">
        <v>9872</v>
      </c>
    </row>
    <row r="4003" spans="3:3" ht="19">
      <c r="C4003" s="55" t="s">
        <v>8292</v>
      </c>
    </row>
    <row r="4004" spans="3:3">
      <c r="C4004" s="2" t="s">
        <v>9873</v>
      </c>
    </row>
    <row r="4005" spans="3:3" ht="19">
      <c r="C4005" s="55" t="s">
        <v>8310</v>
      </c>
    </row>
    <row r="4006" spans="3:3">
      <c r="C4006" s="2" t="s">
        <v>9874</v>
      </c>
    </row>
    <row r="4007" spans="3:3" ht="19">
      <c r="C4007" s="55" t="s">
        <v>8330</v>
      </c>
    </row>
    <row r="4008" spans="3:3">
      <c r="C4008" s="2" t="s">
        <v>9875</v>
      </c>
    </row>
    <row r="4009" spans="3:3" ht="19">
      <c r="C4009" s="55" t="s">
        <v>8352</v>
      </c>
    </row>
    <row r="4010" spans="3:3">
      <c r="C4010" s="2" t="s">
        <v>9876</v>
      </c>
    </row>
    <row r="4011" spans="3:3" ht="19">
      <c r="C4011" s="55" t="s">
        <v>9877</v>
      </c>
    </row>
    <row r="4012" spans="3:3">
      <c r="C4012" s="2" t="s">
        <v>9878</v>
      </c>
    </row>
    <row r="4013" spans="3:3" ht="19">
      <c r="C4013" s="55" t="s">
        <v>9879</v>
      </c>
    </row>
    <row r="4014" spans="3:3">
      <c r="C4014" s="2" t="s">
        <v>9880</v>
      </c>
    </row>
    <row r="4015" spans="3:3" ht="19">
      <c r="C4015" s="55" t="s">
        <v>9881</v>
      </c>
    </row>
    <row r="4016" spans="3:3">
      <c r="C4016" s="2" t="s">
        <v>9882</v>
      </c>
    </row>
    <row r="4017" spans="3:3" ht="19">
      <c r="C4017" s="55" t="s">
        <v>8596</v>
      </c>
    </row>
    <row r="4018" spans="3:3">
      <c r="C4018" s="2" t="s">
        <v>9883</v>
      </c>
    </row>
    <row r="4019" spans="3:3" ht="19">
      <c r="C4019" s="55" t="s">
        <v>9884</v>
      </c>
    </row>
    <row r="4020" spans="3:3">
      <c r="C4020" s="2" t="s">
        <v>3772</v>
      </c>
    </row>
    <row r="4021" spans="3:3" ht="19">
      <c r="C4021" s="55" t="s">
        <v>9885</v>
      </c>
    </row>
    <row r="4022" spans="3:3">
      <c r="C4022" s="2" t="s">
        <v>3865</v>
      </c>
    </row>
    <row r="4023" spans="3:3" ht="19">
      <c r="C4023" s="55" t="s">
        <v>9886</v>
      </c>
    </row>
    <row r="4024" spans="3:3">
      <c r="C4024" s="2" t="s">
        <v>9887</v>
      </c>
    </row>
    <row r="4025" spans="3:3" ht="19">
      <c r="C4025" s="55" t="s">
        <v>8376</v>
      </c>
    </row>
    <row r="4026" spans="3:3">
      <c r="C4026" s="2" t="s">
        <v>9888</v>
      </c>
    </row>
    <row r="4027" spans="3:3" ht="19">
      <c r="C4027" s="55" t="s">
        <v>7516</v>
      </c>
    </row>
    <row r="4028" spans="3:3" ht="19">
      <c r="C4028" s="55" t="s">
        <v>7550</v>
      </c>
    </row>
    <row r="4029" spans="3:3" ht="19">
      <c r="C4029" s="55" t="s">
        <v>9889</v>
      </c>
    </row>
    <row r="4030" spans="3:3" ht="19">
      <c r="C4030" s="55" t="s">
        <v>9890</v>
      </c>
    </row>
    <row r="4031" spans="3:3">
      <c r="C4031" s="2" t="s">
        <v>9891</v>
      </c>
    </row>
    <row r="4032" spans="3:3" ht="19">
      <c r="C4032" s="55" t="s">
        <v>8477</v>
      </c>
    </row>
    <row r="4033" spans="3:3" ht="19">
      <c r="C4033" s="55" t="s">
        <v>9571</v>
      </c>
    </row>
    <row r="4034" spans="3:3">
      <c r="C4034" s="2" t="s">
        <v>9892</v>
      </c>
    </row>
    <row r="4035" spans="3:3" ht="19">
      <c r="C4035" s="55" t="s">
        <v>9760</v>
      </c>
    </row>
    <row r="4036" spans="3:3" ht="19">
      <c r="C4036" s="55" t="s">
        <v>9893</v>
      </c>
    </row>
    <row r="4037" spans="3:3" ht="19">
      <c r="C4037" s="55" t="s">
        <v>7770</v>
      </c>
    </row>
    <row r="4038" spans="3:3" ht="19">
      <c r="C4038" s="55" t="s">
        <v>8103</v>
      </c>
    </row>
    <row r="4039" spans="3:3" ht="19">
      <c r="C4039" s="55" t="s">
        <v>7508</v>
      </c>
    </row>
    <row r="4040" spans="3:3" ht="19">
      <c r="C4040" s="55" t="s">
        <v>7767</v>
      </c>
    </row>
    <row r="4041" spans="3:3">
      <c r="C4041" s="2" t="s">
        <v>9894</v>
      </c>
    </row>
    <row r="4042" spans="3:3" ht="19">
      <c r="C4042" s="55" t="s">
        <v>9895</v>
      </c>
    </row>
    <row r="4043" spans="3:3">
      <c r="C4043" s="2" t="s">
        <v>9896</v>
      </c>
    </row>
    <row r="4044" spans="3:3" ht="19">
      <c r="C4044" s="55" t="s">
        <v>7493</v>
      </c>
    </row>
    <row r="4045" spans="3:3" ht="19">
      <c r="C4045" s="55" t="s">
        <v>9897</v>
      </c>
    </row>
    <row r="4046" spans="3:3" ht="19">
      <c r="C4046" s="55" t="s">
        <v>7519</v>
      </c>
    </row>
    <row r="4047" spans="3:3">
      <c r="C4047" s="2" t="s">
        <v>9898</v>
      </c>
    </row>
    <row r="4048" spans="3:3" ht="19">
      <c r="C4048" s="55" t="s">
        <v>7516</v>
      </c>
    </row>
    <row r="4049" spans="3:3" ht="19">
      <c r="C4049" s="55" t="s">
        <v>7519</v>
      </c>
    </row>
    <row r="4050" spans="3:3" ht="19">
      <c r="C4050" s="55" t="s">
        <v>7550</v>
      </c>
    </row>
    <row r="4051" spans="3:3" ht="19">
      <c r="C4051" s="55" t="s">
        <v>9899</v>
      </c>
    </row>
    <row r="4052" spans="3:3" ht="19">
      <c r="C4052" s="55" t="s">
        <v>9900</v>
      </c>
    </row>
    <row r="4053" spans="3:3" ht="19">
      <c r="C4053" s="55" t="s">
        <v>8560</v>
      </c>
    </row>
    <row r="4054" spans="3:3" ht="19">
      <c r="C4054" s="55" t="s">
        <v>9901</v>
      </c>
    </row>
    <row r="4055" spans="3:3" ht="19">
      <c r="C4055" s="55" t="s">
        <v>8878</v>
      </c>
    </row>
    <row r="4056" spans="3:3" ht="19">
      <c r="C4056" s="55" t="s">
        <v>8190</v>
      </c>
    </row>
    <row r="4057" spans="3:3" ht="19">
      <c r="C4057" s="55" t="s">
        <v>9112</v>
      </c>
    </row>
    <row r="4058" spans="3:3" ht="19">
      <c r="C4058" s="55" t="s">
        <v>9902</v>
      </c>
    </row>
    <row r="4059" spans="3:3" ht="19">
      <c r="C4059" s="55" t="s">
        <v>8192</v>
      </c>
    </row>
    <row r="4060" spans="3:3" ht="19">
      <c r="C4060" s="55" t="s">
        <v>8191</v>
      </c>
    </row>
    <row r="4061" spans="3:3" ht="19">
      <c r="C4061" s="55" t="s">
        <v>9685</v>
      </c>
    </row>
    <row r="4062" spans="3:3">
      <c r="C4062" s="2" t="s">
        <v>9903</v>
      </c>
    </row>
    <row r="4063" spans="3:3" ht="19">
      <c r="C4063" s="55" t="s">
        <v>9904</v>
      </c>
    </row>
    <row r="4064" spans="3:3" ht="19">
      <c r="C4064" s="55" t="s">
        <v>8739</v>
      </c>
    </row>
    <row r="4065" spans="3:3" ht="19">
      <c r="C4065" s="55" t="s">
        <v>9905</v>
      </c>
    </row>
    <row r="4066" spans="3:3" ht="19">
      <c r="C4066" s="55" t="s">
        <v>8878</v>
      </c>
    </row>
    <row r="4067" spans="3:3" ht="19">
      <c r="C4067" s="55" t="s">
        <v>8853</v>
      </c>
    </row>
    <row r="4068" spans="3:3">
      <c r="C4068" s="2" t="s">
        <v>9906</v>
      </c>
    </row>
    <row r="4069" spans="3:3" ht="19">
      <c r="C4069" s="55" t="s">
        <v>7516</v>
      </c>
    </row>
    <row r="4070" spans="3:3" ht="19">
      <c r="C4070" s="55" t="s">
        <v>7519</v>
      </c>
    </row>
    <row r="4071" spans="3:3" ht="19">
      <c r="C4071" s="55" t="s">
        <v>9907</v>
      </c>
    </row>
    <row r="4072" spans="3:3" ht="19">
      <c r="C4072" s="55" t="s">
        <v>8445</v>
      </c>
    </row>
    <row r="4073" spans="3:3" ht="19">
      <c r="C4073" s="55" t="s">
        <v>9908</v>
      </c>
    </row>
    <row r="4074" spans="3:3" ht="19">
      <c r="C4074" s="55" t="s">
        <v>9909</v>
      </c>
    </row>
    <row r="4075" spans="3:3" ht="19">
      <c r="C4075" s="55" t="s">
        <v>7508</v>
      </c>
    </row>
    <row r="4076" spans="3:3" ht="19">
      <c r="C4076" s="55" t="s">
        <v>7767</v>
      </c>
    </row>
    <row r="4077" spans="3:3" ht="19">
      <c r="C4077" s="55" t="s">
        <v>9910</v>
      </c>
    </row>
    <row r="4078" spans="3:3">
      <c r="C4078" s="2" t="s">
        <v>9911</v>
      </c>
    </row>
    <row r="4079" spans="3:3" ht="19">
      <c r="C4079" s="55" t="s">
        <v>7493</v>
      </c>
    </row>
    <row r="4080" spans="3:3" ht="19">
      <c r="C4080" s="55" t="s">
        <v>8027</v>
      </c>
    </row>
    <row r="4081" spans="3:3" ht="19">
      <c r="C4081" s="55" t="s">
        <v>8423</v>
      </c>
    </row>
    <row r="4082" spans="3:3" ht="19">
      <c r="C4082" s="55" t="s">
        <v>8417</v>
      </c>
    </row>
    <row r="4083" spans="3:3" ht="19">
      <c r="C4083" s="55" t="s">
        <v>7480</v>
      </c>
    </row>
    <row r="4084" spans="3:3" ht="19">
      <c r="C4084" s="55" t="s">
        <v>7541</v>
      </c>
    </row>
    <row r="4085" spans="3:3" ht="19">
      <c r="C4085" s="55" t="s">
        <v>7527</v>
      </c>
    </row>
    <row r="4086" spans="3:3" ht="19">
      <c r="C4086" s="55" t="s">
        <v>9112</v>
      </c>
    </row>
    <row r="4087" spans="3:3">
      <c r="C4087" s="2" t="s">
        <v>9912</v>
      </c>
    </row>
    <row r="4088" spans="3:3" ht="19">
      <c r="C4088" s="55" t="s">
        <v>8735</v>
      </c>
    </row>
    <row r="4089" spans="3:3" ht="19">
      <c r="C4089" s="55" t="s">
        <v>9913</v>
      </c>
    </row>
    <row r="4090" spans="3:3">
      <c r="C4090" s="2" t="s">
        <v>9914</v>
      </c>
    </row>
    <row r="4091" spans="3:3" ht="19">
      <c r="C4091" s="55" t="s">
        <v>7550</v>
      </c>
    </row>
    <row r="4092" spans="3:3" ht="19">
      <c r="C4092" s="55" t="s">
        <v>9915</v>
      </c>
    </row>
    <row r="4093" spans="3:3" ht="19">
      <c r="C4093" s="55" t="s">
        <v>9095</v>
      </c>
    </row>
    <row r="4094" spans="3:3" ht="19">
      <c r="C4094" s="55" t="s">
        <v>7508</v>
      </c>
    </row>
    <row r="4095" spans="3:3" ht="19">
      <c r="C4095" s="55" t="s">
        <v>7501</v>
      </c>
    </row>
    <row r="4096" spans="3:3" ht="19">
      <c r="C4096" s="55" t="s">
        <v>9916</v>
      </c>
    </row>
    <row r="4097" spans="3:3">
      <c r="C4097" s="2" t="s">
        <v>9917</v>
      </c>
    </row>
    <row r="4098" spans="3:3" ht="19">
      <c r="C4098" s="55" t="s">
        <v>9918</v>
      </c>
    </row>
    <row r="4099" spans="3:3">
      <c r="C4099" s="2" t="s">
        <v>9919</v>
      </c>
    </row>
    <row r="4100" spans="3:3" ht="19">
      <c r="C4100" s="55" t="s">
        <v>9920</v>
      </c>
    </row>
    <row r="4101" spans="3:3">
      <c r="C4101" s="2" t="s">
        <v>9921</v>
      </c>
    </row>
    <row r="4102" spans="3:3" ht="19">
      <c r="C4102" s="55" t="s">
        <v>9922</v>
      </c>
    </row>
    <row r="4103" spans="3:3">
      <c r="C4103" s="2" t="s">
        <v>9923</v>
      </c>
    </row>
    <row r="4104" spans="3:3" ht="19">
      <c r="C4104" s="55" t="s">
        <v>9924</v>
      </c>
    </row>
    <row r="4105" spans="3:3">
      <c r="C4105" s="2" t="s">
        <v>9925</v>
      </c>
    </row>
    <row r="4106" spans="3:3" ht="19">
      <c r="C4106" s="55" t="s">
        <v>9926</v>
      </c>
    </row>
    <row r="4107" spans="3:3">
      <c r="C4107" s="2" t="s">
        <v>9927</v>
      </c>
    </row>
    <row r="4108" spans="3:3" ht="19">
      <c r="C4108" s="55" t="s">
        <v>8120</v>
      </c>
    </row>
    <row r="4109" spans="3:3">
      <c r="C4109" s="2" t="s">
        <v>9928</v>
      </c>
    </row>
    <row r="4110" spans="3:3" ht="19">
      <c r="C4110" s="55" t="s">
        <v>8019</v>
      </c>
    </row>
    <row r="4111" spans="3:3" ht="19">
      <c r="C4111" s="55" t="s">
        <v>9929</v>
      </c>
    </row>
    <row r="4112" spans="3:3">
      <c r="C4112" s="2" t="s">
        <v>9930</v>
      </c>
    </row>
    <row r="4113" spans="3:3" ht="19">
      <c r="C4113" s="55" t="s">
        <v>7922</v>
      </c>
    </row>
    <row r="4114" spans="3:3">
      <c r="C4114" s="2" t="s">
        <v>9931</v>
      </c>
    </row>
    <row r="4115" spans="3:3" ht="19">
      <c r="C4115" s="55" t="s">
        <v>9932</v>
      </c>
    </row>
    <row r="4116" spans="3:3" ht="19">
      <c r="C4116" s="55" t="s">
        <v>7922</v>
      </c>
    </row>
    <row r="4117" spans="3:3" ht="19">
      <c r="C4117" s="55" t="s">
        <v>8077</v>
      </c>
    </row>
    <row r="4118" spans="3:3" ht="19">
      <c r="C4118" s="55" t="s">
        <v>7767</v>
      </c>
    </row>
    <row r="4119" spans="3:3">
      <c r="C4119" s="2" t="s">
        <v>9933</v>
      </c>
    </row>
    <row r="4120" spans="3:3" ht="19">
      <c r="C4120" s="55" t="s">
        <v>8103</v>
      </c>
    </row>
    <row r="4121" spans="3:3">
      <c r="C4121" s="2" t="s">
        <v>9934</v>
      </c>
    </row>
    <row r="4122" spans="3:3" ht="19">
      <c r="C4122" s="55" t="s">
        <v>8023</v>
      </c>
    </row>
    <row r="4123" spans="3:3" ht="19">
      <c r="C4123" s="55" t="s">
        <v>8070</v>
      </c>
    </row>
    <row r="4124" spans="3:3">
      <c r="C4124" s="2" t="s">
        <v>9935</v>
      </c>
    </row>
    <row r="4125" spans="3:3" ht="19">
      <c r="C4125" s="55" t="s">
        <v>7550</v>
      </c>
    </row>
    <row r="4126" spans="3:3" ht="19">
      <c r="C4126" s="55" t="s">
        <v>8190</v>
      </c>
    </row>
    <row r="4127" spans="3:3" ht="19">
      <c r="C4127" s="55" t="s">
        <v>8191</v>
      </c>
    </row>
    <row r="4128" spans="3:3" ht="19">
      <c r="C4128" s="55" t="s">
        <v>9936</v>
      </c>
    </row>
    <row r="4129" spans="3:3" ht="19">
      <c r="C4129" s="55" t="s">
        <v>9685</v>
      </c>
    </row>
    <row r="4130" spans="3:3" ht="19">
      <c r="C4130" s="55" t="s">
        <v>7488</v>
      </c>
    </row>
    <row r="4131" spans="3:3" ht="19">
      <c r="C4131" s="55" t="s">
        <v>7489</v>
      </c>
    </row>
    <row r="4132" spans="3:3" ht="19">
      <c r="C4132" s="55" t="s">
        <v>9937</v>
      </c>
    </row>
    <row r="4133" spans="3:3" ht="19">
      <c r="C4133" s="55" t="s">
        <v>9938</v>
      </c>
    </row>
    <row r="4134" spans="3:3">
      <c r="C4134" s="2" t="s">
        <v>9939</v>
      </c>
    </row>
    <row r="4135" spans="3:3" ht="19">
      <c r="C4135" s="55" t="s">
        <v>7516</v>
      </c>
    </row>
    <row r="4136" spans="3:3">
      <c r="C4136" s="2" t="s">
        <v>9940</v>
      </c>
    </row>
    <row r="4137" spans="3:3" ht="19">
      <c r="C4137" s="55" t="s">
        <v>8417</v>
      </c>
    </row>
    <row r="4138" spans="3:3" ht="19">
      <c r="C4138" s="55" t="s">
        <v>8000</v>
      </c>
    </row>
    <row r="4139" spans="3:3">
      <c r="C4139" s="2" t="s">
        <v>9941</v>
      </c>
    </row>
    <row r="4140" spans="3:3" ht="19">
      <c r="C4140" s="55" t="s">
        <v>9942</v>
      </c>
    </row>
    <row r="4141" spans="3:3">
      <c r="C4141" s="2" t="s">
        <v>9943</v>
      </c>
    </row>
    <row r="4142" spans="3:3" ht="19">
      <c r="C4142" s="55" t="s">
        <v>8526</v>
      </c>
    </row>
    <row r="4143" spans="3:3">
      <c r="C4143" s="2" t="s">
        <v>9944</v>
      </c>
    </row>
    <row r="4144" spans="3:3" ht="19">
      <c r="C4144" s="55" t="s">
        <v>7545</v>
      </c>
    </row>
    <row r="4145" spans="3:3" ht="19">
      <c r="C4145" s="55" t="s">
        <v>7520</v>
      </c>
    </row>
    <row r="4146" spans="3:3">
      <c r="C4146" s="2" t="s">
        <v>9945</v>
      </c>
    </row>
    <row r="4147" spans="3:3" ht="19">
      <c r="C4147" s="55" t="s">
        <v>8555</v>
      </c>
    </row>
    <row r="4148" spans="3:3">
      <c r="C4148" s="2" t="s">
        <v>9946</v>
      </c>
    </row>
    <row r="4149" spans="3:3" ht="19">
      <c r="C4149" s="55" t="s">
        <v>9947</v>
      </c>
    </row>
    <row r="4150" spans="3:3">
      <c r="C4150" s="2" t="s">
        <v>9948</v>
      </c>
    </row>
    <row r="4151" spans="3:3" ht="19">
      <c r="C4151" s="55" t="s">
        <v>9949</v>
      </c>
    </row>
    <row r="4152" spans="3:3" ht="19">
      <c r="C4152" s="55" t="s">
        <v>8508</v>
      </c>
    </row>
    <row r="4153" spans="3:3" ht="19">
      <c r="C4153" s="55" t="s">
        <v>9950</v>
      </c>
    </row>
    <row r="4154" spans="3:3" ht="19">
      <c r="C4154" s="55" t="s">
        <v>9951</v>
      </c>
    </row>
    <row r="4155" spans="3:3">
      <c r="C4155" s="2" t="s">
        <v>9952</v>
      </c>
    </row>
    <row r="4156" spans="3:3" ht="19">
      <c r="C4156" s="55" t="s">
        <v>8416</v>
      </c>
    </row>
    <row r="4157" spans="3:3" ht="19">
      <c r="C4157" s="55" t="s">
        <v>9953</v>
      </c>
    </row>
    <row r="4158" spans="3:3" ht="19">
      <c r="C4158" s="55" t="s">
        <v>9949</v>
      </c>
    </row>
    <row r="4159" spans="3:3" ht="19">
      <c r="C4159" s="55" t="s">
        <v>9954</v>
      </c>
    </row>
    <row r="4160" spans="3:3" ht="19">
      <c r="C4160" s="55" t="s">
        <v>9955</v>
      </c>
    </row>
    <row r="4161" spans="3:3">
      <c r="C4161" s="2" t="s">
        <v>9956</v>
      </c>
    </row>
    <row r="4162" spans="3:3" ht="19">
      <c r="C4162" s="55" t="s">
        <v>9957</v>
      </c>
    </row>
    <row r="4163" spans="3:3" ht="19">
      <c r="C4163" s="55" t="s">
        <v>9958</v>
      </c>
    </row>
    <row r="4164" spans="3:3" ht="19">
      <c r="C4164" s="55" t="s">
        <v>9959</v>
      </c>
    </row>
    <row r="4165" spans="3:3" ht="19">
      <c r="C4165" s="55" t="s">
        <v>9960</v>
      </c>
    </row>
    <row r="4166" spans="3:3" ht="19">
      <c r="C4166" s="55" t="s">
        <v>9047</v>
      </c>
    </row>
    <row r="4167" spans="3:3" ht="19">
      <c r="C4167" s="55" t="s">
        <v>9961</v>
      </c>
    </row>
    <row r="4168" spans="3:3" ht="19">
      <c r="C4168" s="55" t="s">
        <v>9962</v>
      </c>
    </row>
    <row r="4169" spans="3:3">
      <c r="C4169" s="2" t="s">
        <v>9963</v>
      </c>
    </row>
    <row r="4170" spans="3:3" ht="19">
      <c r="C4170" s="55" t="s">
        <v>8909</v>
      </c>
    </row>
    <row r="4171" spans="3:3">
      <c r="C4171" s="2" t="s">
        <v>9964</v>
      </c>
    </row>
    <row r="4172" spans="3:3" ht="19">
      <c r="C4172" s="55" t="s">
        <v>8532</v>
      </c>
    </row>
    <row r="4173" spans="3:3" ht="19">
      <c r="C4173" s="55" t="s">
        <v>9500</v>
      </c>
    </row>
    <row r="4174" spans="3:3" ht="19">
      <c r="C4174" s="55" t="s">
        <v>9965</v>
      </c>
    </row>
    <row r="4175" spans="3:3">
      <c r="C4175" s="2" t="s">
        <v>9966</v>
      </c>
    </row>
    <row r="4176" spans="3:3" ht="19">
      <c r="C4176" s="55" t="s">
        <v>8559</v>
      </c>
    </row>
    <row r="4177" spans="3:3">
      <c r="C4177" s="2" t="s">
        <v>9967</v>
      </c>
    </row>
    <row r="4178" spans="3:3" ht="19">
      <c r="C4178" s="55" t="s">
        <v>8544</v>
      </c>
    </row>
    <row r="4179" spans="3:3" ht="19">
      <c r="C4179" s="55" t="s">
        <v>8523</v>
      </c>
    </row>
    <row r="4180" spans="3:3" ht="19">
      <c r="C4180" s="55" t="s">
        <v>9968</v>
      </c>
    </row>
    <row r="4181" spans="3:3">
      <c r="C4181" s="2" t="s">
        <v>9969</v>
      </c>
    </row>
    <row r="4182" spans="3:3" ht="19">
      <c r="C4182" s="55" t="s">
        <v>9970</v>
      </c>
    </row>
    <row r="4183" spans="3:3" ht="19">
      <c r="C4183" s="55" t="s">
        <v>8544</v>
      </c>
    </row>
    <row r="4184" spans="3:3" ht="19">
      <c r="C4184" s="55" t="s">
        <v>9971</v>
      </c>
    </row>
    <row r="4185" spans="3:3" ht="19">
      <c r="C4185" s="55" t="s">
        <v>9972</v>
      </c>
    </row>
    <row r="4186" spans="3:3" ht="19">
      <c r="C4186" s="55" t="s">
        <v>9973</v>
      </c>
    </row>
    <row r="4187" spans="3:3">
      <c r="C4187" s="2" t="s">
        <v>9974</v>
      </c>
    </row>
    <row r="4188" spans="3:3" ht="19">
      <c r="C4188" s="55" t="s">
        <v>8532</v>
      </c>
    </row>
    <row r="4189" spans="3:3" ht="19">
      <c r="C4189" s="55" t="s">
        <v>9500</v>
      </c>
    </row>
    <row r="4190" spans="3:3" ht="19">
      <c r="C4190" s="55" t="s">
        <v>8814</v>
      </c>
    </row>
    <row r="4191" spans="3:3">
      <c r="C4191" s="2" t="s">
        <v>9975</v>
      </c>
    </row>
    <row r="4192" spans="3:3" ht="19">
      <c r="C4192" s="55" t="s">
        <v>9976</v>
      </c>
    </row>
    <row r="4193" spans="3:3">
      <c r="C4193" s="2" t="s">
        <v>9977</v>
      </c>
    </row>
    <row r="4194" spans="3:3" ht="19">
      <c r="C4194" s="55" t="s">
        <v>8813</v>
      </c>
    </row>
    <row r="4195" spans="3:3">
      <c r="C4195" s="2" t="s">
        <v>9978</v>
      </c>
    </row>
    <row r="4196" spans="3:3" ht="19">
      <c r="C4196" s="55" t="s">
        <v>8474</v>
      </c>
    </row>
    <row r="4197" spans="3:3" ht="19">
      <c r="C4197" s="55" t="s">
        <v>8544</v>
      </c>
    </row>
    <row r="4198" spans="3:3" ht="19">
      <c r="C4198" s="55" t="s">
        <v>9979</v>
      </c>
    </row>
    <row r="4199" spans="3:3">
      <c r="C4199" s="2" t="s">
        <v>9980</v>
      </c>
    </row>
    <row r="4200" spans="3:3" ht="19">
      <c r="C4200" s="55" t="s">
        <v>8546</v>
      </c>
    </row>
    <row r="4201" spans="3:3">
      <c r="C4201" s="2" t="s">
        <v>9981</v>
      </c>
    </row>
    <row r="4202" spans="3:3" ht="19">
      <c r="C4202" s="55" t="s">
        <v>8522</v>
      </c>
    </row>
    <row r="4203" spans="3:3" ht="19">
      <c r="C4203" s="55" t="s">
        <v>8544</v>
      </c>
    </row>
    <row r="4204" spans="3:3" ht="19">
      <c r="C4204" s="55" t="s">
        <v>8525</v>
      </c>
    </row>
    <row r="4205" spans="3:3" ht="19">
      <c r="C4205" s="55" t="s">
        <v>9972</v>
      </c>
    </row>
    <row r="4206" spans="3:3" ht="19">
      <c r="C4206" s="55" t="s">
        <v>9982</v>
      </c>
    </row>
    <row r="4207" spans="3:3">
      <c r="C4207" s="2" t="s">
        <v>9983</v>
      </c>
    </row>
    <row r="4208" spans="3:3" ht="19">
      <c r="C4208" s="55" t="s">
        <v>8532</v>
      </c>
    </row>
    <row r="4209" spans="3:3" ht="19">
      <c r="C4209" s="55" t="s">
        <v>9500</v>
      </c>
    </row>
    <row r="4210" spans="3:3" ht="19">
      <c r="C4210" s="55" t="s">
        <v>8814</v>
      </c>
    </row>
    <row r="4211" spans="3:3">
      <c r="C4211" s="2" t="s">
        <v>9984</v>
      </c>
    </row>
    <row r="4212" spans="3:3" ht="19">
      <c r="C4212" s="55" t="s">
        <v>7473</v>
      </c>
    </row>
    <row r="4213" spans="3:3">
      <c r="C4213" s="2" t="s">
        <v>9985</v>
      </c>
    </row>
    <row r="4214" spans="3:3" ht="19">
      <c r="C4214" s="55" t="s">
        <v>8909</v>
      </c>
    </row>
    <row r="4215" spans="3:3">
      <c r="C4215" s="2" t="s">
        <v>9986</v>
      </c>
    </row>
    <row r="4216" spans="3:3" ht="19">
      <c r="C4216" s="55" t="s">
        <v>8813</v>
      </c>
    </row>
    <row r="4217" spans="3:3">
      <c r="C4217" s="2" t="s">
        <v>9987</v>
      </c>
    </row>
    <row r="4218" spans="3:3" ht="19">
      <c r="C4218" s="55" t="s">
        <v>8559</v>
      </c>
    </row>
    <row r="4219" spans="3:3" ht="19">
      <c r="C4219" s="55" t="s">
        <v>9949</v>
      </c>
    </row>
    <row r="4220" spans="3:3" ht="19">
      <c r="C4220" s="55" t="s">
        <v>9988</v>
      </c>
    </row>
    <row r="4221" spans="3:3" ht="19">
      <c r="C4221" s="55" t="s">
        <v>9951</v>
      </c>
    </row>
    <row r="4222" spans="3:3">
      <c r="C4222" s="2" t="s">
        <v>9989</v>
      </c>
    </row>
    <row r="4223" spans="3:3" ht="19">
      <c r="C4223" s="55" t="s">
        <v>8416</v>
      </c>
    </row>
    <row r="4224" spans="3:3" ht="19">
      <c r="C4224" s="55" t="s">
        <v>9949</v>
      </c>
    </row>
    <row r="4225" spans="3:3" ht="19">
      <c r="C4225" s="55" t="s">
        <v>9990</v>
      </c>
    </row>
    <row r="4226" spans="3:3" ht="19">
      <c r="C4226" s="55" t="s">
        <v>9954</v>
      </c>
    </row>
    <row r="4227" spans="3:3" ht="19">
      <c r="C4227" s="55" t="s">
        <v>9991</v>
      </c>
    </row>
    <row r="4228" spans="3:3">
      <c r="C4228" s="2" t="s">
        <v>9992</v>
      </c>
    </row>
    <row r="4229" spans="3:3" ht="19">
      <c r="C4229" s="55" t="s">
        <v>7493</v>
      </c>
    </row>
    <row r="4230" spans="3:3" ht="19">
      <c r="C4230" s="55" t="s">
        <v>9993</v>
      </c>
    </row>
    <row r="4231" spans="3:3" ht="19">
      <c r="C4231" s="55" t="s">
        <v>7563</v>
      </c>
    </row>
    <row r="4232" spans="3:3" ht="19">
      <c r="C4232" s="55" t="s">
        <v>9994</v>
      </c>
    </row>
    <row r="4233" spans="3:3" ht="19">
      <c r="C4233" s="55" t="s">
        <v>9995</v>
      </c>
    </row>
    <row r="4234" spans="3:3" ht="19">
      <c r="C4234" s="55" t="s">
        <v>9996</v>
      </c>
    </row>
    <row r="4235" spans="3:3" ht="19">
      <c r="C4235" s="55" t="s">
        <v>7488</v>
      </c>
    </row>
    <row r="4236" spans="3:3" ht="19">
      <c r="C4236" s="55" t="s">
        <v>7756</v>
      </c>
    </row>
    <row r="4237" spans="3:3" ht="19">
      <c r="C4237" s="55" t="s">
        <v>7483</v>
      </c>
    </row>
    <row r="4238" spans="3:3" ht="19">
      <c r="C4238" s="55" t="s">
        <v>8024</v>
      </c>
    </row>
    <row r="4239" spans="3:3" ht="19">
      <c r="C4239" s="55" t="s">
        <v>9997</v>
      </c>
    </row>
    <row r="4240" spans="3:3" ht="19">
      <c r="C4240" s="55" t="s">
        <v>9998</v>
      </c>
    </row>
    <row r="4241" spans="3:3" ht="19">
      <c r="C4241" s="55" t="s">
        <v>9047</v>
      </c>
    </row>
    <row r="4242" spans="3:3" ht="19">
      <c r="C4242" s="55" t="s">
        <v>9137</v>
      </c>
    </row>
    <row r="4243" spans="3:3" ht="19">
      <c r="C4243" s="55" t="s">
        <v>8089</v>
      </c>
    </row>
    <row r="4244" spans="3:3" ht="19">
      <c r="C4244" s="55" t="s">
        <v>9999</v>
      </c>
    </row>
    <row r="4245" spans="3:3" ht="19">
      <c r="C4245" s="55" t="s">
        <v>10000</v>
      </c>
    </row>
    <row r="4246" spans="3:3" ht="19">
      <c r="C4246" s="55" t="s">
        <v>7501</v>
      </c>
    </row>
    <row r="4247" spans="3:3" ht="19">
      <c r="C4247" s="55" t="s">
        <v>7450</v>
      </c>
    </row>
    <row r="4248" spans="3:3">
      <c r="C4248" s="2" t="s">
        <v>10001</v>
      </c>
    </row>
    <row r="4249" spans="3:3" ht="19">
      <c r="C4249" s="55" t="s">
        <v>7493</v>
      </c>
    </row>
    <row r="4250" spans="3:3" ht="19">
      <c r="C4250" s="55" t="s">
        <v>10002</v>
      </c>
    </row>
    <row r="4251" spans="3:3" ht="19">
      <c r="C4251" s="55" t="s">
        <v>7563</v>
      </c>
    </row>
    <row r="4252" spans="3:3" ht="19">
      <c r="C4252" s="55" t="s">
        <v>8458</v>
      </c>
    </row>
    <row r="4253" spans="3:3" ht="19">
      <c r="C4253" s="55" t="s">
        <v>8459</v>
      </c>
    </row>
    <row r="4254" spans="3:3" ht="19">
      <c r="C4254" s="55" t="s">
        <v>9095</v>
      </c>
    </row>
    <row r="4255" spans="3:3" ht="19">
      <c r="C4255" s="55" t="s">
        <v>8089</v>
      </c>
    </row>
    <row r="4256" spans="3:3" ht="19">
      <c r="C4256" s="55" t="s">
        <v>7527</v>
      </c>
    </row>
    <row r="4257" spans="3:3" ht="19">
      <c r="C4257" s="55" t="s">
        <v>10003</v>
      </c>
    </row>
    <row r="4258" spans="3:3" ht="19">
      <c r="C4258" s="55" t="s">
        <v>7450</v>
      </c>
    </row>
    <row r="4259" spans="3:3">
      <c r="C4259" s="2" t="s">
        <v>10004</v>
      </c>
    </row>
    <row r="4260" spans="3:3" ht="19">
      <c r="C4260" s="55" t="s">
        <v>7473</v>
      </c>
    </row>
    <row r="4261" spans="3:3" ht="19">
      <c r="C4261" s="55" t="s">
        <v>7483</v>
      </c>
    </row>
    <row r="4262" spans="3:3" ht="19">
      <c r="C4262" s="55" t="s">
        <v>10005</v>
      </c>
    </row>
    <row r="4263" spans="3:3" ht="19">
      <c r="C4263" s="55" t="s">
        <v>10006</v>
      </c>
    </row>
    <row r="4264" spans="3:3" ht="19">
      <c r="C4264" s="55" t="s">
        <v>7437</v>
      </c>
    </row>
    <row r="4265" spans="3:3" ht="19">
      <c r="C4265" s="55" t="s">
        <v>7438</v>
      </c>
    </row>
    <row r="4266" spans="3:3" ht="19">
      <c r="C4266" s="55" t="s">
        <v>10007</v>
      </c>
    </row>
    <row r="4267" spans="3:3">
      <c r="C4267" s="2" t="s">
        <v>6041</v>
      </c>
    </row>
    <row r="4268" spans="3:3" ht="19">
      <c r="C4268" s="55" t="s">
        <v>10008</v>
      </c>
    </row>
    <row r="4269" spans="3:3">
      <c r="C4269" s="2" t="s">
        <v>6041</v>
      </c>
    </row>
    <row r="4270" spans="3:3" ht="19">
      <c r="C4270" s="55" t="s">
        <v>10008</v>
      </c>
    </row>
    <row r="4271" spans="3:3">
      <c r="C4271" s="2" t="s">
        <v>10009</v>
      </c>
    </row>
    <row r="4272" spans="3:3" ht="19">
      <c r="C4272" s="55" t="s">
        <v>10010</v>
      </c>
    </row>
    <row r="4273" spans="3:3">
      <c r="C4273" s="2" t="s">
        <v>10011</v>
      </c>
    </row>
    <row r="4274" spans="3:3" ht="19">
      <c r="C4274" s="55" t="s">
        <v>10012</v>
      </c>
    </row>
    <row r="4275" spans="3:3">
      <c r="C4275" s="2" t="s">
        <v>10013</v>
      </c>
    </row>
    <row r="4276" spans="3:3" ht="19">
      <c r="C4276" s="55" t="s">
        <v>10014</v>
      </c>
    </row>
    <row r="4277" spans="3:3">
      <c r="C4277" s="2" t="s">
        <v>10015</v>
      </c>
    </row>
    <row r="4278" spans="3:3" ht="19">
      <c r="C4278" s="55" t="s">
        <v>10016</v>
      </c>
    </row>
    <row r="4279" spans="3:3">
      <c r="C4279" s="2" t="s">
        <v>10017</v>
      </c>
    </row>
    <row r="4280" spans="3:3" ht="19">
      <c r="C4280" s="55" t="s">
        <v>10018</v>
      </c>
    </row>
    <row r="4281" spans="3:3">
      <c r="C4281" s="2" t="s">
        <v>10019</v>
      </c>
    </row>
    <row r="4282" spans="3:3" ht="19">
      <c r="C4282" s="55" t="s">
        <v>10020</v>
      </c>
    </row>
    <row r="4283" spans="3:3">
      <c r="C4283" s="2" t="s">
        <v>10021</v>
      </c>
    </row>
    <row r="4284" spans="3:3" ht="19">
      <c r="C4284" s="55" t="s">
        <v>10022</v>
      </c>
    </row>
    <row r="4285" spans="3:3">
      <c r="C4285" s="2" t="s">
        <v>10023</v>
      </c>
    </row>
    <row r="4286" spans="3:3" ht="19">
      <c r="C4286" s="55" t="s">
        <v>10024</v>
      </c>
    </row>
    <row r="4287" spans="3:3">
      <c r="C4287" s="2" t="s">
        <v>10025</v>
      </c>
    </row>
    <row r="4288" spans="3:3" ht="19">
      <c r="C4288" s="55" t="s">
        <v>10026</v>
      </c>
    </row>
    <row r="4289" spans="3:3">
      <c r="C4289" s="2" t="s">
        <v>10027</v>
      </c>
    </row>
    <row r="4290" spans="3:3" ht="19">
      <c r="C4290" s="55" t="s">
        <v>10028</v>
      </c>
    </row>
    <row r="4291" spans="3:3">
      <c r="C4291" s="2" t="s">
        <v>10029</v>
      </c>
    </row>
    <row r="4292" spans="3:3" ht="19">
      <c r="C4292" s="55" t="s">
        <v>10030</v>
      </c>
    </row>
    <row r="4293" spans="3:3">
      <c r="C4293" s="2" t="s">
        <v>10031</v>
      </c>
    </row>
    <row r="4294" spans="3:3" ht="19">
      <c r="C4294" s="55" t="s">
        <v>10032</v>
      </c>
    </row>
    <row r="4295" spans="3:3">
      <c r="C4295" s="2" t="s">
        <v>10033</v>
      </c>
    </row>
    <row r="4296" spans="3:3" ht="19">
      <c r="C4296" s="55" t="s">
        <v>10008</v>
      </c>
    </row>
    <row r="4297" spans="3:3">
      <c r="C4297" s="2" t="s">
        <v>10034</v>
      </c>
    </row>
    <row r="4298" spans="3:3" ht="19">
      <c r="C4298" s="55" t="s">
        <v>10035</v>
      </c>
    </row>
    <row r="4299" spans="3:3">
      <c r="C4299" s="2" t="s">
        <v>10036</v>
      </c>
    </row>
    <row r="4300" spans="3:3" ht="19">
      <c r="C4300" s="55" t="s">
        <v>10037</v>
      </c>
    </row>
    <row r="4301" spans="3:3">
      <c r="C4301" s="2" t="s">
        <v>10038</v>
      </c>
    </row>
    <row r="4302" spans="3:3" ht="19">
      <c r="C4302" s="55" t="s">
        <v>10039</v>
      </c>
    </row>
    <row r="4303" spans="3:3">
      <c r="C4303" s="2" t="s">
        <v>10040</v>
      </c>
    </row>
    <row r="4304" spans="3:3" ht="19">
      <c r="C4304" s="55" t="s">
        <v>10041</v>
      </c>
    </row>
    <row r="4305" spans="3:3">
      <c r="C4305" s="2" t="s">
        <v>10042</v>
      </c>
    </row>
    <row r="4306" spans="3:3" ht="19">
      <c r="C4306" s="55" t="s">
        <v>10043</v>
      </c>
    </row>
    <row r="4307" spans="3:3">
      <c r="C4307" s="2" t="s">
        <v>10044</v>
      </c>
    </row>
    <row r="4308" spans="3:3" ht="19">
      <c r="C4308" s="55" t="s">
        <v>10045</v>
      </c>
    </row>
    <row r="4309" spans="3:3">
      <c r="C4309" s="2" t="s">
        <v>10046</v>
      </c>
    </row>
    <row r="4310" spans="3:3" ht="19">
      <c r="C4310" s="55" t="s">
        <v>10047</v>
      </c>
    </row>
    <row r="4311" spans="3:3">
      <c r="C4311" s="2" t="s">
        <v>10048</v>
      </c>
    </row>
    <row r="4312" spans="3:3" ht="19">
      <c r="C4312" s="55" t="s">
        <v>10049</v>
      </c>
    </row>
    <row r="4313" spans="3:3">
      <c r="C4313" s="2" t="s">
        <v>10050</v>
      </c>
    </row>
    <row r="4314" spans="3:3" ht="19">
      <c r="C4314" s="55" t="s">
        <v>10051</v>
      </c>
    </row>
    <row r="4315" spans="3:3">
      <c r="C4315" s="2" t="s">
        <v>10052</v>
      </c>
    </row>
    <row r="4316" spans="3:3" ht="19">
      <c r="C4316" s="55" t="s">
        <v>10053</v>
      </c>
    </row>
    <row r="4317" spans="3:3">
      <c r="C4317" s="2" t="s">
        <v>10054</v>
      </c>
    </row>
    <row r="4318" spans="3:3" ht="19">
      <c r="C4318" s="55" t="s">
        <v>10055</v>
      </c>
    </row>
    <row r="4319" spans="3:3">
      <c r="C4319" s="2" t="s">
        <v>10056</v>
      </c>
    </row>
    <row r="4320" spans="3:3" ht="19">
      <c r="C4320" s="55" t="s">
        <v>10057</v>
      </c>
    </row>
    <row r="4321" spans="3:3">
      <c r="C4321" s="2" t="s">
        <v>10058</v>
      </c>
    </row>
    <row r="4322" spans="3:3" ht="19">
      <c r="C4322" s="55" t="s">
        <v>7550</v>
      </c>
    </row>
    <row r="4323" spans="3:3" ht="19">
      <c r="C4323" s="55" t="s">
        <v>9715</v>
      </c>
    </row>
    <row r="4324" spans="3:3" ht="19">
      <c r="C4324" s="55" t="s">
        <v>9716</v>
      </c>
    </row>
    <row r="4325" spans="3:3" ht="19">
      <c r="C4325" s="55" t="s">
        <v>9211</v>
      </c>
    </row>
    <row r="4326" spans="3:3" ht="19">
      <c r="C4326" s="55" t="s">
        <v>10059</v>
      </c>
    </row>
    <row r="4327" spans="3:3">
      <c r="C4327" s="2" t="s">
        <v>10060</v>
      </c>
    </row>
    <row r="4328" spans="3:3" ht="19">
      <c r="C4328" s="55" t="s">
        <v>7480</v>
      </c>
    </row>
    <row r="4329" spans="3:3">
      <c r="C4329" s="2" t="s">
        <v>10061</v>
      </c>
    </row>
    <row r="4330" spans="3:3" ht="19">
      <c r="C4330" s="55" t="s">
        <v>9780</v>
      </c>
    </row>
    <row r="4331" spans="3:3">
      <c r="C4331" s="2" t="s">
        <v>10062</v>
      </c>
    </row>
    <row r="4332" spans="3:3" ht="19">
      <c r="C4332" s="55" t="s">
        <v>9784</v>
      </c>
    </row>
    <row r="4333" spans="3:3">
      <c r="C4333" s="2" t="s">
        <v>10063</v>
      </c>
    </row>
    <row r="4334" spans="3:3" ht="19">
      <c r="C4334" s="55" t="s">
        <v>7520</v>
      </c>
    </row>
    <row r="4335" spans="3:3" ht="19">
      <c r="C4335" s="55" t="s">
        <v>9890</v>
      </c>
    </row>
    <row r="4336" spans="3:3">
      <c r="C4336" s="2" t="s">
        <v>10064</v>
      </c>
    </row>
    <row r="4337" spans="3:3" ht="19">
      <c r="C4337" s="55" t="s">
        <v>9779</v>
      </c>
    </row>
    <row r="4338" spans="3:3">
      <c r="C4338" s="2" t="s">
        <v>10065</v>
      </c>
    </row>
    <row r="4339" spans="3:3" ht="19">
      <c r="C4339" s="55" t="s">
        <v>7550</v>
      </c>
    </row>
    <row r="4340" spans="3:3">
      <c r="C4340" s="2" t="s">
        <v>10066</v>
      </c>
    </row>
    <row r="4341" spans="3:3" ht="19">
      <c r="C4341" s="55" t="s">
        <v>7550</v>
      </c>
    </row>
    <row r="4342" spans="3:3" ht="19">
      <c r="C4342" s="55" t="s">
        <v>10059</v>
      </c>
    </row>
    <row r="4343" spans="3:3">
      <c r="C4343" s="2" t="s">
        <v>10067</v>
      </c>
    </row>
    <row r="4344" spans="3:3" ht="19">
      <c r="C4344" s="55" t="s">
        <v>10068</v>
      </c>
    </row>
    <row r="4345" spans="3:3" ht="19">
      <c r="C4345" s="55" t="s">
        <v>8850</v>
      </c>
    </row>
    <row r="4346" spans="3:3" ht="19">
      <c r="C4346" s="55" t="s">
        <v>7759</v>
      </c>
    </row>
    <row r="4347" spans="3:3" ht="19">
      <c r="C4347" s="55" t="s">
        <v>7931</v>
      </c>
    </row>
    <row r="4348" spans="3:3" ht="19">
      <c r="C4348" s="55" t="s">
        <v>8023</v>
      </c>
    </row>
    <row r="4349" spans="3:3" ht="19">
      <c r="C4349" s="55" t="s">
        <v>7756</v>
      </c>
    </row>
    <row r="4350" spans="3:3" ht="19">
      <c r="C4350" s="55" t="s">
        <v>10069</v>
      </c>
    </row>
    <row r="4351" spans="3:3">
      <c r="C4351" s="2" t="s">
        <v>10070</v>
      </c>
    </row>
    <row r="4352" spans="3:3" ht="19">
      <c r="C4352" s="55" t="s">
        <v>8019</v>
      </c>
    </row>
    <row r="4353" spans="3:3" ht="19">
      <c r="C4353" s="55" t="s">
        <v>7483</v>
      </c>
    </row>
    <row r="4354" spans="3:3" ht="19">
      <c r="C4354" s="55" t="s">
        <v>9122</v>
      </c>
    </row>
    <row r="4355" spans="3:3" ht="19">
      <c r="C4355" s="55" t="s">
        <v>10071</v>
      </c>
    </row>
    <row r="4356" spans="3:3">
      <c r="C4356" s="2" t="s">
        <v>10072</v>
      </c>
    </row>
    <row r="4357" spans="3:3" ht="19">
      <c r="C4357" s="55" t="s">
        <v>9072</v>
      </c>
    </row>
    <row r="4358" spans="3:3">
      <c r="C4358" s="2" t="s">
        <v>10073</v>
      </c>
    </row>
    <row r="4359" spans="3:3" ht="19">
      <c r="C4359" s="55" t="s">
        <v>7482</v>
      </c>
    </row>
    <row r="4360" spans="3:3" ht="19">
      <c r="C4360" s="55" t="s">
        <v>8019</v>
      </c>
    </row>
    <row r="4361" spans="3:3" ht="19">
      <c r="C4361" s="55" t="s">
        <v>10074</v>
      </c>
    </row>
    <row r="4362" spans="3:3">
      <c r="C4362" s="2" t="s">
        <v>10075</v>
      </c>
    </row>
    <row r="4363" spans="3:3" ht="19">
      <c r="C4363" s="55" t="s">
        <v>9072</v>
      </c>
    </row>
    <row r="4364" spans="3:3">
      <c r="C4364" s="2" t="s">
        <v>10076</v>
      </c>
    </row>
    <row r="4365" spans="3:3" ht="19">
      <c r="C4365" s="55" t="s">
        <v>8103</v>
      </c>
    </row>
    <row r="4366" spans="3:3">
      <c r="C4366" s="2" t="s">
        <v>10077</v>
      </c>
    </row>
    <row r="4367" spans="3:3" ht="19">
      <c r="C4367" s="55" t="s">
        <v>7480</v>
      </c>
    </row>
    <row r="4368" spans="3:3" ht="19">
      <c r="C4368" s="55" t="s">
        <v>10078</v>
      </c>
    </row>
    <row r="4369" spans="3:3" ht="19">
      <c r="C4369" s="55" t="s">
        <v>8149</v>
      </c>
    </row>
    <row r="4370" spans="3:3" ht="19">
      <c r="C4370" s="55" t="s">
        <v>8914</v>
      </c>
    </row>
    <row r="4371" spans="3:3">
      <c r="C4371" s="2" t="s">
        <v>10079</v>
      </c>
    </row>
    <row r="4372" spans="3:3" ht="19">
      <c r="C4372" s="55" t="s">
        <v>7501</v>
      </c>
    </row>
    <row r="4373" spans="3:3" ht="19">
      <c r="C4373" s="55" t="s">
        <v>8736</v>
      </c>
    </row>
    <row r="4374" spans="3:3">
      <c r="C4374" s="2" t="s">
        <v>10080</v>
      </c>
    </row>
    <row r="4375" spans="3:3" ht="19">
      <c r="C4375" s="55" t="s">
        <v>10081</v>
      </c>
    </row>
    <row r="4376" spans="3:3">
      <c r="C4376" s="2" t="s">
        <v>10082</v>
      </c>
    </row>
    <row r="4377" spans="3:3" ht="19">
      <c r="C4377" s="55" t="s">
        <v>8049</v>
      </c>
    </row>
    <row r="4378" spans="3:3">
      <c r="C4378" s="2" t="s">
        <v>6049</v>
      </c>
    </row>
    <row r="4379" spans="3:3" ht="19">
      <c r="C4379" s="55" t="s">
        <v>10083</v>
      </c>
    </row>
    <row r="4380" spans="3:3" ht="19">
      <c r="C4380" s="55" t="s">
        <v>10084</v>
      </c>
    </row>
    <row r="4381" spans="3:3" ht="19">
      <c r="C4381" s="55" t="s">
        <v>10085</v>
      </c>
    </row>
    <row r="4382" spans="3:3" ht="19">
      <c r="C4382" s="55" t="s">
        <v>10086</v>
      </c>
    </row>
    <row r="4383" spans="3:3">
      <c r="C4383" s="2" t="s">
        <v>10087</v>
      </c>
    </row>
    <row r="4384" spans="3:3" ht="19">
      <c r="C4384" s="55" t="s">
        <v>10088</v>
      </c>
    </row>
    <row r="4385" spans="3:3">
      <c r="C4385" s="2" t="s">
        <v>10089</v>
      </c>
    </row>
    <row r="4386" spans="3:3" ht="19">
      <c r="C4386" s="55" t="s">
        <v>10090</v>
      </c>
    </row>
    <row r="4387" spans="3:3">
      <c r="C4387" s="2" t="s">
        <v>10091</v>
      </c>
    </row>
    <row r="4388" spans="3:3" ht="19">
      <c r="C4388" s="55" t="s">
        <v>10092</v>
      </c>
    </row>
    <row r="4389" spans="3:3">
      <c r="C4389" s="2" t="s">
        <v>10093</v>
      </c>
    </row>
    <row r="4390" spans="3:3" ht="19">
      <c r="C4390" s="55" t="s">
        <v>10094</v>
      </c>
    </row>
    <row r="4391" spans="3:3">
      <c r="C4391" s="2" t="s">
        <v>10095</v>
      </c>
    </row>
    <row r="4392" spans="3:3" ht="19">
      <c r="C4392" s="55" t="s">
        <v>10096</v>
      </c>
    </row>
    <row r="4393" spans="3:3">
      <c r="C4393" s="2" t="s">
        <v>10097</v>
      </c>
    </row>
    <row r="4394" spans="3:3" ht="19">
      <c r="C4394" s="55" t="s">
        <v>10098</v>
      </c>
    </row>
    <row r="4395" spans="3:3">
      <c r="C4395" s="2" t="s">
        <v>10099</v>
      </c>
    </row>
    <row r="4396" spans="3:3" ht="19">
      <c r="C4396" s="55" t="s">
        <v>10100</v>
      </c>
    </row>
    <row r="4397" spans="3:3">
      <c r="C4397" s="2" t="s">
        <v>10101</v>
      </c>
    </row>
    <row r="4398" spans="3:3" ht="19">
      <c r="C4398" s="55" t="s">
        <v>10102</v>
      </c>
    </row>
    <row r="4399" spans="3:3">
      <c r="C4399" s="2" t="s">
        <v>10103</v>
      </c>
    </row>
    <row r="4400" spans="3:3" ht="19">
      <c r="C4400" s="55" t="s">
        <v>10104</v>
      </c>
    </row>
    <row r="4401" spans="3:3" ht="19">
      <c r="C4401" s="55" t="s">
        <v>10105</v>
      </c>
    </row>
    <row r="4402" spans="3:3" ht="19">
      <c r="C4402" s="55" t="s">
        <v>7482</v>
      </c>
    </row>
    <row r="4403" spans="3:3" ht="19">
      <c r="C4403" s="55" t="s">
        <v>7954</v>
      </c>
    </row>
    <row r="4404" spans="3:3">
      <c r="C4404" s="2" t="s">
        <v>10106</v>
      </c>
    </row>
    <row r="4405" spans="3:3" ht="19">
      <c r="C4405" s="55" t="s">
        <v>10107</v>
      </c>
    </row>
    <row r="4406" spans="3:3">
      <c r="C4406" s="2" t="s">
        <v>10108</v>
      </c>
    </row>
    <row r="4407" spans="3:3" ht="19">
      <c r="C4407" s="55" t="s">
        <v>10109</v>
      </c>
    </row>
    <row r="4408" spans="3:3">
      <c r="C4408" s="2" t="s">
        <v>10110</v>
      </c>
    </row>
    <row r="4409" spans="3:3" ht="19">
      <c r="C4409" s="55" t="s">
        <v>10111</v>
      </c>
    </row>
    <row r="4410" spans="3:3">
      <c r="C4410" s="2" t="s">
        <v>10112</v>
      </c>
    </row>
    <row r="4411" spans="3:3" ht="19">
      <c r="C4411" s="55" t="s">
        <v>10113</v>
      </c>
    </row>
    <row r="4412" spans="3:3">
      <c r="C4412" s="2" t="s">
        <v>10114</v>
      </c>
    </row>
    <row r="4413" spans="3:3" ht="19">
      <c r="C4413" s="55" t="s">
        <v>7516</v>
      </c>
    </row>
    <row r="4414" spans="3:3">
      <c r="C4414" s="2" t="s">
        <v>10115</v>
      </c>
    </row>
    <row r="4415" spans="3:3" ht="19">
      <c r="C4415" s="55" t="s">
        <v>10116</v>
      </c>
    </row>
  </sheetData>
  <hyperlinks>
    <hyperlink ref="C6" r:id="rId1" location="anim-fade-down" display="https://zeke.github.io/primer-cheatsheet/ - anim-fade-down" xr:uid="{2CF56847-1438-A84C-813A-C988DF131688}"/>
    <hyperlink ref="C11" r:id="rId2" location="anim-fade-in" display="https://zeke.github.io/primer-cheatsheet/ - anim-fade-in" xr:uid="{F7DF9870-3544-4F44-BE4D-A2F178CC29DF}"/>
    <hyperlink ref="C15" r:id="rId3" location="anim-fade-in-fast" display="https://zeke.github.io/primer-cheatsheet/ - anim-fade-in-fast" xr:uid="{70490BBF-391F-4649-8541-D9A369EC65C7}"/>
    <hyperlink ref="C17" r:id="rId4" location="anim-fade-out" display="https://zeke.github.io/primer-cheatsheet/ - anim-fade-out" xr:uid="{B3903356-95C7-5F40-9171-CAB20A0B2D89}"/>
    <hyperlink ref="C21" r:id="rId5" location="anim-fade-out-fast" display="https://zeke.github.io/primer-cheatsheet/ - anim-fade-out-fast" xr:uid="{F10F2932-C3D4-574C-ABE5-15D3EB375306}"/>
    <hyperlink ref="C23" r:id="rId6" location="anim-fade-up" display="https://zeke.github.io/primer-cheatsheet/ - anim-fade-up" xr:uid="{9E52095B-E2E7-1A46-9D48-CD26A459FC08}"/>
    <hyperlink ref="C30" r:id="rId7" location="anim-grow-x" display="https://zeke.github.io/primer-cheatsheet/ - anim-grow-x" xr:uid="{1780DE4C-3579-3741-9FA2-9ED99C6E37CE}"/>
    <hyperlink ref="C37" r:id="rId8" location="anim-pulse" display="https://zeke.github.io/primer-cheatsheet/ - anim-pulse" xr:uid="{0A97EBB2-323C-5E4C-883A-E8DC86CD4599}"/>
    <hyperlink ref="C42" r:id="rId9" location="anim-pulse-in" display="https://zeke.github.io/primer-cheatsheet/ - anim-pulse-in" xr:uid="{279A32C8-8BEE-BB4A-B975-B051803924E9}"/>
    <hyperlink ref="C45" r:id="rId10" location="anim-scale-in" display="https://zeke.github.io/primer-cheatsheet/ - anim-scale-in" xr:uid="{F5BD20FB-7F67-434C-B177-171E33D9C1FF}"/>
    <hyperlink ref="C49" r:id="rId11" location="anim-shrink-x" display="https://zeke.github.io/primer-cheatsheet/ - anim-shrink-x" xr:uid="{82097461-5FDC-D249-A5A6-7A6EA39D1C7B}"/>
    <hyperlink ref="C55" r:id="rId12" location="animated-ellipsis" display="https://zeke.github.io/primer-cheatsheet/ - animated-ellipsis" xr:uid="{5245C733-91C1-8E41-9D9F-88E0C0F5D05B}"/>
    <hyperlink ref="C59" r:id="rId13" location="animated-ellipsis-after" display="https://zeke.github.io/primer-cheatsheet/ - animated-ellipsis-after" xr:uid="{BA926F93-64D3-C040-9BD5-B977D315F26C}"/>
    <hyperlink ref="C63" r:id="rId14" location="autocomplete-item" display="https://zeke.github.io/primer-cheatsheet/ - autocomplete-item" xr:uid="{70050529-7DB1-CC4D-AA48-440EB2A30E4E}"/>
    <hyperlink ref="C72" r:id="rId15" location="autocomplete-item-hover" display="https://zeke.github.io/primer-cheatsheet/ - autocomplete-item-hover" xr:uid="{1BF944A2-0D73-8B4D-94FC-E709DB68F06D}"/>
    <hyperlink ref="C76" r:id="rId16" location="autocomplete-item-hover" display="https://zeke.github.io/primer-cheatsheet/ - autocomplete-item-hover" xr:uid="{485F1E19-6713-EB48-BC67-90A66CE6A692}"/>
    <hyperlink ref="C78" r:id="rId17" location="autocomplete-results" display="https://zeke.github.io/primer-cheatsheet/ - autocomplete-results" xr:uid="{7BB1DEBC-F5A6-164C-8E1C-18A2D2C7BBCD}"/>
    <hyperlink ref="C89" r:id="rId18" location="avatar" display="https://zeke.github.io/primer-cheatsheet/ - avatar" xr:uid="{AA6A902D-5F4E-0F41-AE12-DCF0EA0D9496}"/>
    <hyperlink ref="C95" r:id="rId19" location="avatar-child" display="https://zeke.github.io/primer-cheatsheet/ - avatar-child" xr:uid="{FDB49D34-5435-1C43-A169-1A899BFD7046}"/>
    <hyperlink ref="C102" r:id="rId20" location="avatar-group-item" display="https://zeke.github.io/primer-cheatsheet/ - avatar-group-item" xr:uid="{41807723-33A7-414D-BDB6-3EA4A8BAEB93}"/>
    <hyperlink ref="C105" r:id="rId21" location="avatar-link" display="https://zeke.github.io/primer-cheatsheet/ - avatar-link" xr:uid="{9A474450-55BD-9F46-8503-11D07E2BAAC3}"/>
    <hyperlink ref="C108" r:id="rId22" location="avatar-parent-child" display="https://zeke.github.io/primer-cheatsheet/ - avatar-parent-child" xr:uid="{E072B42E-AF97-804E-BC29-DF8D5F313474}"/>
    <hyperlink ref="C110" r:id="rId23" location="avatar-small" display="https://zeke.github.io/primer-cheatsheet/ - avatar-small" xr:uid="{2F277235-D535-8749-B1B9-4A39294754AC}"/>
    <hyperlink ref="C112" r:id="rId24" location="avatar-avatar-more" display="https://zeke.github.io/primer-cheatsheet/ - avatar-avatar-more" xr:uid="{A8186734-BE92-C645-9878-0D6A54B8B64C}"/>
    <hyperlink ref="C116" r:id="rId25" location="avatar-avatar-more-after" display="https://zeke.github.io/primer-cheatsheet/ - avatar-avatar-more-after" xr:uid="{EA9BC46D-9659-8A4A-87FE-979674F9DF52}"/>
    <hyperlink ref="C119" r:id="rId26" location="avatar-avatar-more-before" display="https://zeke.github.io/primer-cheatsheet/ - avatar-avatar-more-before" xr:uid="{DE6D2A11-E640-B94D-AB99-FF624BFAE700}"/>
    <hyperlink ref="C126" r:id="rId27" location="avatar-avatar-more-before" display="https://zeke.github.io/primer-cheatsheet/ - avatar-avatar-more-before" xr:uid="{91088B6D-1C9C-D34D-BA48-B6C493B1ACC3}"/>
    <hyperlink ref="C129" r:id="rId28" location="avatar-stack" display="https://zeke.github.io/primer-cheatsheet/ - avatar-stack" xr:uid="{6C18B0B0-D1C1-3345-8AE5-73DF73A2E769}"/>
    <hyperlink ref="C133" r:id="rId29" location="avatar-stack-avatar-stack-body" display="https://zeke.github.io/primer-cheatsheet/ - avatar-stack-avatar-stack-body" xr:uid="{CACD0833-7A4C-B846-A30D-ED11D17C3585}"/>
    <hyperlink ref="C135" r:id="rId30" location="avatar-stack-right-avatar" display="https://zeke.github.io/primer-cheatsheet/ - avatar-stack-right-avatar" xr:uid="{1E6D2CC2-D19B-5A4F-A120-0F18FBBCFC23}"/>
    <hyperlink ref="C140" r:id="rId31" location="avatar-stack-right-avatar-avatar-more" display="https://zeke.github.io/primer-cheatsheet/ - avatar-stack-right-avatar-avatar-more" xr:uid="{42BB1551-2551-9D4A-B240-AA67307C4000}"/>
    <hyperlink ref="C142" r:id="rId32" location="avatar-stack-right-avatar-avatar-more-after" display="https://zeke.github.io/primer-cheatsheet/ - avatar-stack-right-avatar-avatar-more-after" xr:uid="{1BBC20A7-EA15-5545-BBEC-F0C3E99D6FF9}"/>
    <hyperlink ref="C145" r:id="rId33" location="avatar-stack-right-avatar-avatar-more-before" display="https://zeke.github.io/primer-cheatsheet/ - avatar-stack-right-avatar-avatar-more-before" xr:uid="{BEEF4CA4-1E00-2A48-B15D-93286AE55015}"/>
    <hyperlink ref="C147" r:id="rId34" location="avatar-stack-right-avatar-stack-body" display="https://zeke.github.io/primer-cheatsheet/ - avatar-stack-right-avatar-stack-body" xr:uid="{5485E9AA-69AD-0E4F-A948-C610CF1D7954}"/>
    <hyperlink ref="C150" r:id="rId35" location="avatar-stack-right-avatar-stack-body-hover-avatar" display="https://zeke.github.io/primer-cheatsheet/ - avatar-stack-right-avatar-stack-body-hover-avatar" xr:uid="{D8C96E18-65F5-4642-8920-4EF302255FA7}"/>
    <hyperlink ref="C153" r:id="rId36" location="avatar-stack-body" display="https://zeke.github.io/primer-cheatsheet/ - avatar-stack-body" xr:uid="{BB270419-A14D-DD48-9818-D03610F836E8}"/>
    <hyperlink ref="C156" r:id="rId37" location="avatar-stack-body-avatar" display="https://zeke.github.io/primer-cheatsheet/ - avatar-stack-body-avatar" xr:uid="{2F5F356D-A38F-694B-9139-B2ABD759B01E}"/>
    <hyperlink ref="C168" r:id="rId38" location="avatar-stack-body-avatar-img" display="https://zeke.github.io/primer-cheatsheet/ - avatar-stack-body-avatar-img" xr:uid="{1F00FED7-EF18-504A-B0D8-D30876F5E2E2}"/>
    <hyperlink ref="C170" r:id="rId39" location="avatar-stack-body-avatar-first-child" display="https://zeke.github.io/primer-cheatsheet/ - avatar-stack-body-avatar-first-child" xr:uid="{BB379218-DC90-2642-8207-21B0DAB27180}"/>
    <hyperlink ref="C172" r:id="rId40" location="avatar-stack-body-avatar-last-child" display="https://zeke.github.io/primer-cheatsheet/ - avatar-stack-body-avatar-last-child" xr:uid="{09DE6642-BFEE-0441-A27F-9EB8BCB17240}"/>
    <hyperlink ref="C175" r:id="rId41" location="avatar-stack-body-avatar-nth-child-n-4" display="https://zeke.github.io/primer-cheatsheet/ - avatar-stack-body-avatar-nth-child-n-4" xr:uid="{FE1E4886-8C55-9D40-9925-EEC423B75242}"/>
    <hyperlink ref="C178" r:id="rId42" location="avatar-stack-body-hover-avatar" display="https://zeke.github.io/primer-cheatsheet/ - avatar-stack-body-hover-avatar" xr:uid="{3E4050CC-E31F-1F4D-BD5F-BA2BDB4337E9}"/>
    <hyperlink ref="C180" r:id="rId43" location="avatar-stack-body-hover-avatar-more" display="https://zeke.github.io/primer-cheatsheet/ - avatar-stack-body-hover-avatar-more" xr:uid="{E3FE63D6-A7E1-434A-B7D5-21305925B39B}"/>
    <hyperlink ref="C182" r:id="rId44" location="avatar-stack-body-hover-avatar-nth-child-n-4" display="https://zeke.github.io/primer-cheatsheet/ - avatar-stack-body-hover-avatar-nth-child-n-4" xr:uid="{698C3E74-64A0-D847-ACCB-B8EC8BCA1565}"/>
    <hyperlink ref="C185" r:id="rId45" location="avatar-stack-avatar-stack-three-plus" display="https://zeke.github.io/primer-cheatsheet/ - avatar-stack-avatar-stack-three-plus" xr:uid="{BB8442A1-35FB-A24F-BC41-A5CF143CB895}"/>
    <hyperlink ref="C187" r:id="rId46" location="avatar-stack-avatar-stack-two" display="https://zeke.github.io/primer-cheatsheet/ - avatar-stack-avatar-stack-two" xr:uid="{493F2E72-94D3-C24D-9F11-605C8C890BC2}"/>
    <hyperlink ref="C189" r:id="rId47" location="bg-blue" display="https://zeke.github.io/primer-cheatsheet/ - bg-blue" xr:uid="{842DD199-5711-9447-B792-7491475C70BA}"/>
    <hyperlink ref="C191" r:id="rId48" location="bg-blue-0" display="https://zeke.github.io/primer-cheatsheet/ - bg-blue-0" xr:uid="{1E4E249A-70CB-8446-B479-4F5C738AAB07}"/>
    <hyperlink ref="C193" r:id="rId49" location="bg-blue-1" display="https://zeke.github.io/primer-cheatsheet/ - bg-blue-1" xr:uid="{567334DA-B232-6748-A3C9-8314850E260B}"/>
    <hyperlink ref="C195" r:id="rId50" location="bg-blue-2" display="https://zeke.github.io/primer-cheatsheet/ - bg-blue-2" xr:uid="{58306FBE-D0AE-7043-9CF4-C48D56A4EB95}"/>
    <hyperlink ref="C197" r:id="rId51" location="bg-blue-3" display="https://zeke.github.io/primer-cheatsheet/ - bg-blue-3" xr:uid="{59CF46B5-6BF4-1441-8308-ABB3D4753E64}"/>
    <hyperlink ref="C199" r:id="rId52" location="bg-blue-4" display="https://zeke.github.io/primer-cheatsheet/ - bg-blue-4" xr:uid="{87CD9790-7DD3-1142-9CD7-9D2B42F38CC2}"/>
    <hyperlink ref="C201" r:id="rId53" location="bg-blue-5" display="https://zeke.github.io/primer-cheatsheet/ - bg-blue-5" xr:uid="{24518933-6304-E244-A8D8-B7479CEDA3B0}"/>
    <hyperlink ref="C203" r:id="rId54" location="bg-blue-6" display="https://zeke.github.io/primer-cheatsheet/ - bg-blue-6" xr:uid="{E6169F79-7FBD-CF44-AB18-0677D17BA7A0}"/>
    <hyperlink ref="C205" r:id="rId55" location="bg-blue-7" display="https://zeke.github.io/primer-cheatsheet/ - bg-blue-7" xr:uid="{61F1960D-5ECC-F04D-97BE-FEC9C0448D85}"/>
    <hyperlink ref="C207" r:id="rId56" location="bg-blue-8" display="https://zeke.github.io/primer-cheatsheet/ - bg-blue-8" xr:uid="{E7C4EB24-EC88-5D48-90C3-369AE9F7434D}"/>
    <hyperlink ref="C209" r:id="rId57" location="bg-blue-9" display="https://zeke.github.io/primer-cheatsheet/ - bg-blue-9" xr:uid="{6B963FA1-123D-234D-8981-9BBAE4BEF10E}"/>
    <hyperlink ref="C211" r:id="rId58" location="bg-blue-light" display="https://zeke.github.io/primer-cheatsheet/ - bg-blue-light" xr:uid="{49C7A83A-1041-F64D-9D6B-DC2098A6F038}"/>
    <hyperlink ref="C213" r:id="rId59" location="bg-gray" display="https://zeke.github.io/primer-cheatsheet/ - bg-gray" xr:uid="{FFCC436F-0EAC-5847-A8EE-6BBFE3E82EFD}"/>
    <hyperlink ref="C215" r:id="rId60" location="bg-gray-0" display="https://zeke.github.io/primer-cheatsheet/ - bg-gray-0" xr:uid="{13F64988-37AC-8B4E-B55E-47F660887AE5}"/>
    <hyperlink ref="C217" r:id="rId61" location="bg-gray-1" display="https://zeke.github.io/primer-cheatsheet/ - bg-gray-1" xr:uid="{DD6BF470-F50E-0345-9675-6AA66C1F242A}"/>
    <hyperlink ref="C219" r:id="rId62" location="bg-gray-2" display="https://zeke.github.io/primer-cheatsheet/ - bg-gray-2" xr:uid="{E11E54D6-C509-0B4A-8909-E3AEDC905079}"/>
    <hyperlink ref="C221" r:id="rId63" location="bg-gray-3" display="https://zeke.github.io/primer-cheatsheet/ - bg-gray-3" xr:uid="{45AFCB08-8FD8-BF46-9265-2F859FD75A51}"/>
    <hyperlink ref="C223" r:id="rId64" location="bg-gray-4" display="https://zeke.github.io/primer-cheatsheet/ - bg-gray-4" xr:uid="{F0CD81DF-599C-ED40-B904-83A61EA96A2F}"/>
    <hyperlink ref="C225" r:id="rId65" location="bg-gray-5" display="https://zeke.github.io/primer-cheatsheet/ - bg-gray-5" xr:uid="{E42D7BAE-8890-9E48-B3C8-2698CA0AA987}"/>
    <hyperlink ref="C227" r:id="rId66" location="bg-gray-6" display="https://zeke.github.io/primer-cheatsheet/ - bg-gray-6" xr:uid="{0D401F39-6FEA-9948-8E91-D8E29FC66A26}"/>
    <hyperlink ref="C229" r:id="rId67" location="bg-gray-7" display="https://zeke.github.io/primer-cheatsheet/ - bg-gray-7" xr:uid="{A12DFC7B-CCF1-8D43-B786-D5C45E2A0895}"/>
    <hyperlink ref="C231" r:id="rId68" location="bg-gray-8" display="https://zeke.github.io/primer-cheatsheet/ - bg-gray-8" xr:uid="{17C72918-6A74-7042-893E-E638170E8B8B}"/>
    <hyperlink ref="C233" r:id="rId69" location="bg-gray-9" display="https://zeke.github.io/primer-cheatsheet/ - bg-gray-9" xr:uid="{0BD61C7F-48B1-A442-8B83-60FF3FC46BA0}"/>
    <hyperlink ref="C235" r:id="rId70" location="bg-gray-dark" display="https://zeke.github.io/primer-cheatsheet/ - bg-gray-dark" xr:uid="{60D264FF-1D75-0640-847E-2ABE69789AB2}"/>
    <hyperlink ref="C237" r:id="rId71" location="bg-gray-light" display="https://zeke.github.io/primer-cheatsheet/ - bg-gray-light" xr:uid="{660D49D9-03C8-BE46-88AD-B0E8722F8D18}"/>
    <hyperlink ref="C239" r:id="rId72" location="bg-green" display="https://zeke.github.io/primer-cheatsheet/ - bg-green" xr:uid="{DBE3ED09-9DF7-6D44-B12B-21A97EF3EDAC}"/>
    <hyperlink ref="C241" r:id="rId73" location="bg-green-0" display="https://zeke.github.io/primer-cheatsheet/ - bg-green-0" xr:uid="{F70780D8-3B5D-7840-A21B-02679851C97B}"/>
    <hyperlink ref="C243" r:id="rId74" location="bg-green-1" display="https://zeke.github.io/primer-cheatsheet/ - bg-green-1" xr:uid="{DD2690F6-4EA9-9C46-804D-12E9516AB357}"/>
    <hyperlink ref="C245" r:id="rId75" location="bg-green-2" display="https://zeke.github.io/primer-cheatsheet/ - bg-green-2" xr:uid="{DCA78CD5-8267-224E-8AA9-C4C081BF3EEA}"/>
    <hyperlink ref="C247" r:id="rId76" location="bg-green-3" display="https://zeke.github.io/primer-cheatsheet/ - bg-green-3" xr:uid="{167BF5D9-AD4C-4D42-9D99-D5039238003F}"/>
    <hyperlink ref="C249" r:id="rId77" location="bg-green-4" display="https://zeke.github.io/primer-cheatsheet/ - bg-green-4" xr:uid="{4B378262-7742-594E-929C-DB838B2AA361}"/>
    <hyperlink ref="C251" r:id="rId78" location="bg-green-5" display="https://zeke.github.io/primer-cheatsheet/ - bg-green-5" xr:uid="{29CA9F71-5E55-DE44-B101-52C1AF45E985}"/>
    <hyperlink ref="C253" r:id="rId79" location="bg-green-6" display="https://zeke.github.io/primer-cheatsheet/ - bg-green-6" xr:uid="{04191CA4-B2A6-EB43-BA1A-371AD286E9A9}"/>
    <hyperlink ref="C255" r:id="rId80" location="bg-green-7" display="https://zeke.github.io/primer-cheatsheet/ - bg-green-7" xr:uid="{08F6174C-5342-3549-A681-EFF17264CECB}"/>
    <hyperlink ref="C257" r:id="rId81" location="bg-green-8" display="https://zeke.github.io/primer-cheatsheet/ - bg-green-8" xr:uid="{EE63865F-9CAB-374C-ADEF-1D4D8B1CC1EF}"/>
    <hyperlink ref="C259" r:id="rId82" location="bg-green-9" display="https://zeke.github.io/primer-cheatsheet/ - bg-green-9" xr:uid="{4135BD78-4356-764A-9EC5-F2BF4BA946CA}"/>
    <hyperlink ref="C261" r:id="rId83" location="bg-green-light" display="https://zeke.github.io/primer-cheatsheet/ - bg-green-light" xr:uid="{1CE71862-7802-C743-AF6F-410392A0729D}"/>
    <hyperlink ref="C263" r:id="rId84" location="bg-orange-0" display="https://zeke.github.io/primer-cheatsheet/ - bg-orange-0" xr:uid="{9690DE1C-9C71-E242-A5CC-D694ED1052C5}"/>
    <hyperlink ref="C265" r:id="rId85" location="bg-orange-1" display="https://zeke.github.io/primer-cheatsheet/ - bg-orange-1" xr:uid="{5CA78D0C-4AEC-364E-BC94-ECB20C0F0649}"/>
    <hyperlink ref="C267" r:id="rId86" location="bg-orange-2" display="https://zeke.github.io/primer-cheatsheet/ - bg-orange-2" xr:uid="{325D0B02-E67C-0E40-AAD6-E6BD7AAFA631}"/>
    <hyperlink ref="C269" r:id="rId87" location="bg-orange-3" display="https://zeke.github.io/primer-cheatsheet/ - bg-orange-3" xr:uid="{5B47136E-7E82-C849-8E00-F7F827AC18A8}"/>
    <hyperlink ref="C271" r:id="rId88" location="bg-orange-4" display="https://zeke.github.io/primer-cheatsheet/ - bg-orange-4" xr:uid="{C63BBA08-E887-E645-9893-3857DB45C370}"/>
    <hyperlink ref="C273" r:id="rId89" location="bg-orange-5" display="https://zeke.github.io/primer-cheatsheet/ - bg-orange-5" xr:uid="{81B7B771-4B19-304E-ACBF-2736998286FA}"/>
    <hyperlink ref="C275" r:id="rId90" location="bg-orange-6" display="https://zeke.github.io/primer-cheatsheet/ - bg-orange-6" xr:uid="{F77F58DE-F3A6-4349-9038-50D7B36D6B8A}"/>
    <hyperlink ref="C277" r:id="rId91" location="bg-orange-7" display="https://zeke.github.io/primer-cheatsheet/ - bg-orange-7" xr:uid="{069168CB-158F-2749-89A7-67FC705D40BB}"/>
    <hyperlink ref="C279" r:id="rId92" location="bg-orange-8" display="https://zeke.github.io/primer-cheatsheet/ - bg-orange-8" xr:uid="{84410480-7FBD-874A-966E-0D267EC2ACE9}"/>
    <hyperlink ref="C281" r:id="rId93" location="bg-orange-9" display="https://zeke.github.io/primer-cheatsheet/ - bg-orange-9" xr:uid="{1DF0F38D-ECB4-1F42-BD4A-151849948183}"/>
    <hyperlink ref="C283" r:id="rId94" location="bg-pink" display="https://zeke.github.io/primer-cheatsheet/ - bg-pink" xr:uid="{49FA4B9C-4A48-6E43-A1E7-F9D45312A1DA}"/>
    <hyperlink ref="C285" r:id="rId95" location="bg-pink-0" display="https://zeke.github.io/primer-cheatsheet/ - bg-pink-0" xr:uid="{C0E6ADCD-B7D3-6941-A7F3-CA1045E4821B}"/>
    <hyperlink ref="C287" r:id="rId96" location="bg-pink-1" display="https://zeke.github.io/primer-cheatsheet/ - bg-pink-1" xr:uid="{24AEFC1C-DA8D-B74A-A045-0E54F183B28B}"/>
    <hyperlink ref="C289" r:id="rId97" location="bg-pink-2" display="https://zeke.github.io/primer-cheatsheet/ - bg-pink-2" xr:uid="{BA6FCE4F-C28F-E34A-8F8F-0DA97DCC2F7C}"/>
    <hyperlink ref="C291" r:id="rId98" location="bg-pink-3" display="https://zeke.github.io/primer-cheatsheet/ - bg-pink-3" xr:uid="{3A5310BE-F25B-0443-A46A-44005F36AABB}"/>
    <hyperlink ref="C293" r:id="rId99" location="bg-pink-4" display="https://zeke.github.io/primer-cheatsheet/ - bg-pink-4" xr:uid="{E164B921-1CAE-6248-BC96-538D4A8E41BD}"/>
    <hyperlink ref="C295" r:id="rId100" location="bg-pink-5" display="https://zeke.github.io/primer-cheatsheet/ - bg-pink-5" xr:uid="{867E7E25-7E50-384D-8F88-EE6A1F5EE3B1}"/>
    <hyperlink ref="C297" r:id="rId101" location="bg-pink-6" display="https://zeke.github.io/primer-cheatsheet/ - bg-pink-6" xr:uid="{A7766E76-3150-894C-8477-E971F7FEF69E}"/>
    <hyperlink ref="C299" r:id="rId102" location="bg-pink-7" display="https://zeke.github.io/primer-cheatsheet/ - bg-pink-7" xr:uid="{3B50D487-EC45-7046-A28B-F434293456C1}"/>
    <hyperlink ref="C301" r:id="rId103" location="bg-pink-8" display="https://zeke.github.io/primer-cheatsheet/ - bg-pink-8" xr:uid="{4AF792E1-5ED2-1248-8C8A-1DBD07628D17}"/>
    <hyperlink ref="C303" r:id="rId104" location="bg-pink-9" display="https://zeke.github.io/primer-cheatsheet/ - bg-pink-9" xr:uid="{7488E4A5-E47C-534E-8B99-27500109D3F4}"/>
    <hyperlink ref="C305" r:id="rId105" location="bg-purple" display="https://zeke.github.io/primer-cheatsheet/ - bg-purple" xr:uid="{49A08D4C-5158-5049-8A19-6475B2E36462}"/>
    <hyperlink ref="C307" r:id="rId106" location="bg-purple-0" display="https://zeke.github.io/primer-cheatsheet/ - bg-purple-0" xr:uid="{F5D020AA-4E0C-D441-963F-DD57C50C46BC}"/>
    <hyperlink ref="C309" r:id="rId107" location="bg-purple-1" display="https://zeke.github.io/primer-cheatsheet/ - bg-purple-1" xr:uid="{9C1DB80D-3C5E-554C-A856-0160FE659E14}"/>
    <hyperlink ref="C311" r:id="rId108" location="bg-purple-2" display="https://zeke.github.io/primer-cheatsheet/ - bg-purple-2" xr:uid="{8B31D2C8-10DD-A844-BBDD-B4C175536ECB}"/>
    <hyperlink ref="C313" r:id="rId109" location="bg-purple-3" display="https://zeke.github.io/primer-cheatsheet/ - bg-purple-3" xr:uid="{EDF3AAAA-2AE1-7849-92B6-FE74FD196EBC}"/>
    <hyperlink ref="C315" r:id="rId110" location="bg-purple-4" display="https://zeke.github.io/primer-cheatsheet/ - bg-purple-4" xr:uid="{B52EE4D0-CC9A-AC48-A51C-F069ED1C64DC}"/>
    <hyperlink ref="C317" r:id="rId111" location="bg-purple-5" display="https://zeke.github.io/primer-cheatsheet/ - bg-purple-5" xr:uid="{8070F8F5-E133-824F-8B64-C7BED0E41BAE}"/>
    <hyperlink ref="C319" r:id="rId112" location="bg-purple-6" display="https://zeke.github.io/primer-cheatsheet/ - bg-purple-6" xr:uid="{DD1A7A56-F69D-8248-8282-8AAD4C8C0FFC}"/>
    <hyperlink ref="C321" r:id="rId113" location="bg-purple-7" display="https://zeke.github.io/primer-cheatsheet/ - bg-purple-7" xr:uid="{92C1FE01-0D17-184E-8678-29D11A24F4A9}"/>
    <hyperlink ref="C323" r:id="rId114" location="bg-purple-8" display="https://zeke.github.io/primer-cheatsheet/ - bg-purple-8" xr:uid="{4A9B7A74-7DCE-B540-A706-1849296FEB46}"/>
    <hyperlink ref="C325" r:id="rId115" location="bg-purple-9" display="https://zeke.github.io/primer-cheatsheet/ - bg-purple-9" xr:uid="{83287180-31F1-AA4C-8FEA-0003C8F19ECB}"/>
    <hyperlink ref="C327" r:id="rId116" location="bg-purple-light" display="https://zeke.github.io/primer-cheatsheet/ - bg-purple-light" xr:uid="{A7C98E55-4995-774C-8203-6A70C533457B}"/>
    <hyperlink ref="C329" r:id="rId117" location="bg-red" display="https://zeke.github.io/primer-cheatsheet/ - bg-red" xr:uid="{6044E51C-21EC-F548-B073-6BF66A0A67DE}"/>
    <hyperlink ref="C331" r:id="rId118" location="bg-red-0" display="https://zeke.github.io/primer-cheatsheet/ - bg-red-0" xr:uid="{B8F0F340-0CB2-D74C-ADF7-6D147C060B51}"/>
    <hyperlink ref="C333" r:id="rId119" location="bg-red-1" display="https://zeke.github.io/primer-cheatsheet/ - bg-red-1" xr:uid="{5E6674AF-DD38-344F-B7F9-AF3E9BD65C4B}"/>
    <hyperlink ref="C335" r:id="rId120" location="bg-red-2" display="https://zeke.github.io/primer-cheatsheet/ - bg-red-2" xr:uid="{F53EAB02-B25E-C947-A32A-74DA5A63E4A7}"/>
    <hyperlink ref="C337" r:id="rId121" location="bg-red-3" display="https://zeke.github.io/primer-cheatsheet/ - bg-red-3" xr:uid="{4DA9A92A-CC42-BA48-B03D-3FF6CD7B4D31}"/>
    <hyperlink ref="C339" r:id="rId122" location="bg-red-4" display="https://zeke.github.io/primer-cheatsheet/ - bg-red-4" xr:uid="{58BDF9FF-CFA7-5E44-9891-30C2D7AAD8F1}"/>
    <hyperlink ref="C341" r:id="rId123" location="bg-red-5" display="https://zeke.github.io/primer-cheatsheet/ - bg-red-5" xr:uid="{F645ACB6-FDE5-6A4F-B653-B3CADA99B27B}"/>
    <hyperlink ref="C343" r:id="rId124" location="bg-red-6" display="https://zeke.github.io/primer-cheatsheet/ - bg-red-6" xr:uid="{12D34D2B-8FA0-1B45-9820-8454CDB0185F}"/>
    <hyperlink ref="C345" r:id="rId125" location="bg-red-7" display="https://zeke.github.io/primer-cheatsheet/ - bg-red-7" xr:uid="{89192B89-42B5-EC4E-964A-5B65B0696EF2}"/>
    <hyperlink ref="C347" r:id="rId126" location="bg-red-8" display="https://zeke.github.io/primer-cheatsheet/ - bg-red-8" xr:uid="{E760CB65-85CD-264C-BAA4-CF3D5CB483D9}"/>
    <hyperlink ref="C349" r:id="rId127" location="bg-red-9" display="https://zeke.github.io/primer-cheatsheet/ - bg-red-9" xr:uid="{C49CEF96-5488-DA4A-A962-6FD83F7D0F48}"/>
    <hyperlink ref="C351" r:id="rId128" location="bg-red-light" display="https://zeke.github.io/primer-cheatsheet/ - bg-red-light" xr:uid="{F16F9535-661D-304A-BB82-8E423FA4F523}"/>
    <hyperlink ref="C353" r:id="rId129" location="bg-shade-gradient" display="https://zeke.github.io/primer-cheatsheet/ - bg-shade-gradient" xr:uid="{5694851D-802A-374B-8647-DB42C0591216}"/>
    <hyperlink ref="C357" r:id="rId130" location="bg-white" display="https://zeke.github.io/primer-cheatsheet/ - bg-white" xr:uid="{81969744-89A8-0A42-BC73-B70FF3F13B2F}"/>
    <hyperlink ref="C359" r:id="rId131" location="bg-yellow" display="https://zeke.github.io/primer-cheatsheet/ - bg-yellow" xr:uid="{7B82376C-6D70-534B-A240-8C3042843B8F}"/>
    <hyperlink ref="C361" r:id="rId132" location="bg-yellow-0" display="https://zeke.github.io/primer-cheatsheet/ - bg-yellow-0" xr:uid="{3F5EE00A-7624-614E-ACA2-62F19B1808EB}"/>
    <hyperlink ref="C363" r:id="rId133" location="bg-yellow-1" display="https://zeke.github.io/primer-cheatsheet/ - bg-yellow-1" xr:uid="{9F4BBB81-BF8F-FB4C-B138-1AD41FCDBA87}"/>
    <hyperlink ref="C365" r:id="rId134" location="bg-yellow-2" display="https://zeke.github.io/primer-cheatsheet/ - bg-yellow-2" xr:uid="{9F58C053-2D13-8346-9EAC-DBFB998D511E}"/>
    <hyperlink ref="C367" r:id="rId135" location="bg-yellow-3" display="https://zeke.github.io/primer-cheatsheet/ - bg-yellow-3" xr:uid="{2DEFF141-2371-144D-8C2E-62D5C0E987D1}"/>
    <hyperlink ref="C369" r:id="rId136" location="bg-yellow-4" display="https://zeke.github.io/primer-cheatsheet/ - bg-yellow-4" xr:uid="{072A7CDD-DCB5-7C4B-9905-EEAFA3F96533}"/>
    <hyperlink ref="C371" r:id="rId137" location="bg-yellow-5" display="https://zeke.github.io/primer-cheatsheet/ - bg-yellow-5" xr:uid="{3CD54081-7174-7748-9367-D8481F0C914F}"/>
    <hyperlink ref="C373" r:id="rId138" location="bg-yellow-6" display="https://zeke.github.io/primer-cheatsheet/ - bg-yellow-6" xr:uid="{1C74733B-88DE-A44A-86C2-80378EC7DEAB}"/>
    <hyperlink ref="C375" r:id="rId139" location="bg-yellow-7" display="https://zeke.github.io/primer-cheatsheet/ - bg-yellow-7" xr:uid="{FBF9B514-5ECF-1B4E-BD52-5A34CC47B16A}"/>
    <hyperlink ref="C377" r:id="rId140" location="bg-yellow-8" display="https://zeke.github.io/primer-cheatsheet/ - bg-yellow-8" xr:uid="{0885C3A1-E61E-034F-B9FC-D27F17441BCB}"/>
    <hyperlink ref="C379" r:id="rId141" location="bg-yellow-9" display="https://zeke.github.io/primer-cheatsheet/ - bg-yellow-9" xr:uid="{3AB7A1B6-D868-5741-A8A1-16E38B2AC419}"/>
    <hyperlink ref="C381" r:id="rId142" location="bg-yellow-dark" display="https://zeke.github.io/primer-cheatsheet/ - bg-yellow-dark" xr:uid="{F1E1007F-46FA-7A4C-917E-992998156BC1}"/>
    <hyperlink ref="C383" r:id="rId143" location="bg-yellow-light" display="https://zeke.github.io/primer-cheatsheet/ - bg-yellow-light" xr:uid="{8BCEA331-BA39-6547-B73E-49D2261879D9}"/>
    <hyperlink ref="C385" r:id="rId144" location="blankslate" display="https://zeke.github.io/primer-cheatsheet/ - blankslate" xr:uid="{82468D49-6D28-BC4C-9849-603BFB2660BD}"/>
    <hyperlink ref="C389" r:id="rId145" location="blankslate-code" display="https://zeke.github.io/primer-cheatsheet/ - blankslate-code" xr:uid="{B016EF56-D18B-7D48-915B-9A83B27EEA47}"/>
    <hyperlink ref="C395" r:id="rId146" location="blankslate-img" display="https://zeke.github.io/primer-cheatsheet/ - blankslate-img" xr:uid="{ADA4042B-E9F0-0F4C-94CF-C027216BB4D4}"/>
    <hyperlink ref="C398" r:id="rId147" location="blankslate-capped" display="https://zeke.github.io/primer-cheatsheet/ - blankslate-capped" xr:uid="{6FF7A6B7-078E-3E4D-AC65-ECD422965566}"/>
    <hyperlink ref="C400" r:id="rId148" location="blankslate-clean-background" display="https://zeke.github.io/primer-cheatsheet/ - blankslate-clean-background" xr:uid="{E516640F-2B93-C441-B9D0-85544CA744E2}"/>
    <hyperlink ref="C402" r:id="rId149" location="blankslate-icon" display="https://zeke.github.io/primer-cheatsheet/ - blankslate-icon" xr:uid="{A562B0B0-65BC-7242-9119-D36890F21F43}"/>
    <hyperlink ref="C407" r:id="rId150" location="blankslate-large-h3" display="https://zeke.github.io/primer-cheatsheet/ - blankslate-large-h3" xr:uid="{8695EB9F-1864-0340-A59E-719AF6A8EF68}"/>
    <hyperlink ref="C410" r:id="rId151" location="blankslate-large-img" display="https://zeke.github.io/primer-cheatsheet/ - blankslate-large-img" xr:uid="{2F1A1FBA-5A7D-6C49-92A1-02439EF88363}"/>
    <hyperlink ref="C413" r:id="rId152" location="blankslate-large-p" display="https://zeke.github.io/primer-cheatsheet/ - blankslate-large-p" xr:uid="{A27C8D9D-C722-BF40-A6DE-F47F0A8A6C7C}"/>
    <hyperlink ref="C415" r:id="rId153" location="blankslate-narrow" display="https://zeke.github.io/primer-cheatsheet/ - blankslate-narrow" xr:uid="{14AE638D-81B2-4143-A848-559663A9C6AD}"/>
    <hyperlink ref="C418" r:id="rId154" location="blankslate-spacious" display="https://zeke.github.io/primer-cheatsheet/ - blankslate-spacious" xr:uid="{639FD7C7-525A-BD4D-BB30-1A62CA7A1395}"/>
    <hyperlink ref="C420" r:id="rId155" location="border" display="https://zeke.github.io/primer-cheatsheet/ - border" xr:uid="{6359DC7A-E8BE-FC46-8DFC-4D5B81F1B7A7}"/>
    <hyperlink ref="C422" r:id="rId156" location="border-0" display="https://zeke.github.io/primer-cheatsheet/ - border-0" xr:uid="{57E4B12C-7B56-694D-9DBE-91D9E9E81512}"/>
    <hyperlink ref="C424" r:id="rId157" location="border-black-fade" display="https://zeke.github.io/primer-cheatsheet/ - border-black-fade" xr:uid="{A8185023-4FAA-2E4B-A237-2105FB1D461E}"/>
    <hyperlink ref="C426" r:id="rId158" location="border-blue" display="https://zeke.github.io/primer-cheatsheet/ - border-blue" xr:uid="{6D2093A9-F403-0A47-B1F4-CE9143C47C8B}"/>
    <hyperlink ref="C428" r:id="rId159" location="border-blue-light" display="https://zeke.github.io/primer-cheatsheet/ - border-blue-light" xr:uid="{A4DCF928-0617-4A47-995A-C30D820C6893}"/>
    <hyperlink ref="C430" r:id="rId160" location="border-bottom" display="https://zeke.github.io/primer-cheatsheet/ - border-bottom" xr:uid="{56CFBD26-B55E-0C47-8CEE-EC0AFFEB3E5A}"/>
    <hyperlink ref="C432" r:id="rId161" location="border-bottom-0" display="https://zeke.github.io/primer-cheatsheet/ - border-bottom-0" xr:uid="{0F7D427A-022E-4B4C-97FE-2574C257F03C}"/>
    <hyperlink ref="C434" r:id="rId162" location="border-dashed" display="https://zeke.github.io/primer-cheatsheet/ - border-dashed" xr:uid="{27E949E1-D6F7-B941-8AED-26A222ED5E48}"/>
    <hyperlink ref="C436" r:id="rId163" location="border-gray-dark" display="https://zeke.github.io/primer-cheatsheet/ - border-gray-dark" xr:uid="{740A8CDB-BF89-144F-82AE-4DB6E875981A}"/>
    <hyperlink ref="C438" r:id="rId164" location="border-gray-light" display="https://zeke.github.io/primer-cheatsheet/ - border-gray-light" xr:uid="{833C5A51-FD4A-9549-83A1-88F795A40CCA}"/>
    <hyperlink ref="C440" r:id="rId165" location="border-green" display="https://zeke.github.io/primer-cheatsheet/ - border-green" xr:uid="{FB7BE7AE-70FD-7A4A-99FD-00D2E364AE80}"/>
    <hyperlink ref="C442" r:id="rId166" location="border-green-light" display="https://zeke.github.io/primer-cheatsheet/ - border-green-light" xr:uid="{33D399EF-436B-874B-8D66-15F5D021D8B0}"/>
    <hyperlink ref="C444" r:id="rId167" location="border-left" display="https://zeke.github.io/primer-cheatsheet/ - border-left" xr:uid="{0E246DDB-7D6D-4D4F-AC6A-29AFEB71CB34}"/>
    <hyperlink ref="C446" r:id="rId168" location="border-left-0" display="https://zeke.github.io/primer-cheatsheet/ - border-left-0" xr:uid="{906EF7B2-B24D-D64D-BA6C-BE26BFE8DF16}"/>
    <hyperlink ref="C448" r:id="rId169" location="border-purple" display="https://zeke.github.io/primer-cheatsheet/ - border-purple" xr:uid="{494C370B-E85C-E345-8609-DC9B251C352B}"/>
    <hyperlink ref="C450" r:id="rId170" location="border-red" display="https://zeke.github.io/primer-cheatsheet/ - border-red" xr:uid="{D3A6C759-1346-834D-A5EA-D19F749FEE2E}"/>
    <hyperlink ref="C452" r:id="rId171" location="border-red-light" display="https://zeke.github.io/primer-cheatsheet/ - border-red-light" xr:uid="{265DB81C-6AAC-B547-AA5F-24FA595096DA}"/>
    <hyperlink ref="C454" r:id="rId172" location="border-right" display="https://zeke.github.io/primer-cheatsheet/ - border-right" xr:uid="{2CCEDF21-0C90-FF43-8F93-4774300B0CC5}"/>
    <hyperlink ref="C456" r:id="rId173" location="border-right-0" display="https://zeke.github.io/primer-cheatsheet/ - border-right-0" xr:uid="{CDC1175C-E2B2-EC4A-B783-C09B85A03282}"/>
    <hyperlink ref="C458" r:id="rId174" location="border-top" display="https://zeke.github.io/primer-cheatsheet/ - border-top" xr:uid="{146E0572-0217-4344-AB1A-ABBBE0D55D1C}"/>
    <hyperlink ref="C460" r:id="rId175" location="border-top-0" display="https://zeke.github.io/primer-cheatsheet/ - border-top-0" xr:uid="{6312065A-2A16-F74B-B5C5-C6CF235C634C}"/>
    <hyperlink ref="C462" r:id="rId176" location="border-white-fade" display="https://zeke.github.io/primer-cheatsheet/ - border-white-fade" xr:uid="{63BB58F6-928F-E149-ACA5-E00DE53BCD3B}"/>
    <hyperlink ref="C464" r:id="rId177" location="border-white-fade-15" display="https://zeke.github.io/primer-cheatsheet/ - border-white-fade-15" xr:uid="{2F41D659-AD7C-5949-8135-4544D49FCA15}"/>
    <hyperlink ref="C466" r:id="rId178" location="border-white-fade-30" display="https://zeke.github.io/primer-cheatsheet/ - border-white-fade-30" xr:uid="{103649E4-5E82-FC4E-88EF-60ABA7ACABBD}"/>
    <hyperlink ref="C468" r:id="rId179" location="border-white-fade-50" display="https://zeke.github.io/primer-cheatsheet/ - border-white-fade-50" xr:uid="{FBC457C5-9121-7441-98F0-C981EBD1D8BD}"/>
    <hyperlink ref="C470" r:id="rId180" location="border-white-fade-70" display="https://zeke.github.io/primer-cheatsheet/ - border-white-fade-70" xr:uid="{B5AE7EC0-F496-5745-8209-E169888C0F6B}"/>
    <hyperlink ref="C472" r:id="rId181" location="border-white-fade-85" display="https://zeke.github.io/primer-cheatsheet/ - border-white-fade-85" xr:uid="{D2742815-3E5F-D548-A7F2-CA75F7D7F83C}"/>
    <hyperlink ref="C474" r:id="rId182" location="border-x" display="https://zeke.github.io/primer-cheatsheet/ - border-x" xr:uid="{27BB1183-16EE-2040-8480-41DE3C333C3F}"/>
    <hyperlink ref="C477" r:id="rId183" location="border-y" display="https://zeke.github.io/primer-cheatsheet/ - border-y" xr:uid="{7350AF7A-482E-D24D-9D2B-415732BC6D7A}"/>
    <hyperlink ref="C480" r:id="rId184" location="border-yellow" display="https://zeke.github.io/primer-cheatsheet/ - border-yellow" xr:uid="{A69BA64A-1C39-A946-84AE-3CFE662ABD4A}"/>
    <hyperlink ref="C482" r:id="rId185" location="bottom-0" display="https://zeke.github.io/primer-cheatsheet/ - bottom-0" xr:uid="{8EA43F10-10E7-B542-AE01-1063CBBCE1CD}"/>
    <hyperlink ref="C484" r:id="rId186" location="bottom-0" display="https://zeke.github.io/primer-cheatsheet/ - bottom-0" xr:uid="{DC2679B0-7DE4-0140-A74D-36DEFF389412}"/>
    <hyperlink ref="C486" r:id="rId187" location="bottom-1" display="https://zeke.github.io/primer-cheatsheet/ - bottom-1" xr:uid="{7E08FED1-2883-0A41-8FE9-F457DA2978E6}"/>
    <hyperlink ref="C488" r:id="rId188" location="bottom-10" display="https://zeke.github.io/primer-cheatsheet/ - bottom-10" xr:uid="{194BD90D-A265-FD4C-BD60-138A58D77E67}"/>
    <hyperlink ref="C490" r:id="rId189" location="bottom-11" display="https://zeke.github.io/primer-cheatsheet/ - bottom-11" xr:uid="{2C0517A6-3080-9F4E-A898-7496A3B3F6CB}"/>
    <hyperlink ref="C492" r:id="rId190" location="bottom-12" display="https://zeke.github.io/primer-cheatsheet/ - bottom-12" xr:uid="{F9C54C6B-9E17-634F-B7F4-E3198C3097DA}"/>
    <hyperlink ref="C494" r:id="rId191" location="bottom-2" display="https://zeke.github.io/primer-cheatsheet/ - bottom-2" xr:uid="{CB2B5886-899C-F344-A54E-0B1099ADC029}"/>
    <hyperlink ref="C496" r:id="rId192" location="bottom-3" display="https://zeke.github.io/primer-cheatsheet/ - bottom-3" xr:uid="{139077C4-BCE8-684F-B84E-64DF5E80D182}"/>
    <hyperlink ref="C498" r:id="rId193" location="bottom-4" display="https://zeke.github.io/primer-cheatsheet/ - bottom-4" xr:uid="{CB24539E-90B6-3A47-A376-549BBFB25B5E}"/>
    <hyperlink ref="C500" r:id="rId194" location="bottom-5" display="https://zeke.github.io/primer-cheatsheet/ - bottom-5" xr:uid="{B1A4C768-D27B-3640-8412-5904F84BE21F}"/>
    <hyperlink ref="C502" r:id="rId195" location="bottom-6" display="https://zeke.github.io/primer-cheatsheet/ - bottom-6" xr:uid="{FBADCADE-E7AA-634E-A991-1540492F8554}"/>
    <hyperlink ref="C504" r:id="rId196" location="bottom-7" display="https://zeke.github.io/primer-cheatsheet/ - bottom-7" xr:uid="{FD54F011-8799-3844-98B8-CD565EB3EF7E}"/>
    <hyperlink ref="C506" r:id="rId197" location="bottom-8" display="https://zeke.github.io/primer-cheatsheet/ - bottom-8" xr:uid="{0EBF4478-983F-E745-B059-16C407DA0EF5}"/>
    <hyperlink ref="C508" r:id="rId198" location="bottom-9" display="https://zeke.github.io/primer-cheatsheet/ - bottom-9" xr:uid="{0BCBC62C-653A-A74A-8B05-307B9E0EC41D}"/>
    <hyperlink ref="C510" r:id="rId199" location="bottom-n0" display="https://zeke.github.io/primer-cheatsheet/ - bottom-n0" xr:uid="{735E7EE1-BC11-FE4C-847D-2B1EDBCD3357}"/>
    <hyperlink ref="C512" r:id="rId200" location="bottom-n1" display="https://zeke.github.io/primer-cheatsheet/ - bottom-n1" xr:uid="{D5259D17-BA79-ED43-B11C-079AF5D0CF74}"/>
    <hyperlink ref="C514" r:id="rId201" location="bottom-n10" display="https://zeke.github.io/primer-cheatsheet/ - bottom-n10" xr:uid="{C4559AB8-C064-F741-8D64-FA9E56438688}"/>
    <hyperlink ref="C516" r:id="rId202" location="bottom-n11" display="https://zeke.github.io/primer-cheatsheet/ - bottom-n11" xr:uid="{FCCBCCD6-28B5-0849-99F5-B358BF9169E1}"/>
    <hyperlink ref="C518" r:id="rId203" location="bottom-n12" display="https://zeke.github.io/primer-cheatsheet/ - bottom-n12" xr:uid="{3C523611-6FCC-0248-A396-20308942D9DD}"/>
    <hyperlink ref="C520" r:id="rId204" location="bottom-n2" display="https://zeke.github.io/primer-cheatsheet/ - bottom-n2" xr:uid="{EE3287D1-391D-644A-91C2-A178650D0FBA}"/>
    <hyperlink ref="C522" r:id="rId205" location="bottom-n3" display="https://zeke.github.io/primer-cheatsheet/ - bottom-n3" xr:uid="{98CF85D4-27F0-7349-8354-E6F5B49A7FEF}"/>
    <hyperlink ref="C524" r:id="rId206" location="bottom-n4" display="https://zeke.github.io/primer-cheatsheet/ - bottom-n4" xr:uid="{F30949A2-F3F5-9D41-8506-CA5B00F163DB}"/>
    <hyperlink ref="C526" r:id="rId207" location="bottom-n5" display="https://zeke.github.io/primer-cheatsheet/ - bottom-n5" xr:uid="{4C6E004F-C608-574B-8531-1DC8EDF396DF}"/>
    <hyperlink ref="C528" r:id="rId208" location="bottom-n6" display="https://zeke.github.io/primer-cheatsheet/ - bottom-n6" xr:uid="{15AE42B0-EA5A-A94B-950A-7B51641F0347}"/>
    <hyperlink ref="C530" r:id="rId209" location="bottom-n7" display="https://zeke.github.io/primer-cheatsheet/ - bottom-n7" xr:uid="{D3E8ED1A-1F6E-A440-A638-005A456A1374}"/>
    <hyperlink ref="C532" r:id="rId210" location="bottom-n8" display="https://zeke.github.io/primer-cheatsheet/ - bottom-n8" xr:uid="{3BA1233F-70D8-3F49-AC16-634D41F5661C}"/>
    <hyperlink ref="C534" r:id="rId211" location="bottom-n9" display="https://zeke.github.io/primer-cheatsheet/ - bottom-n9" xr:uid="{2BBA38F3-9BFD-2540-9F8F-CBD4099EB19B}"/>
    <hyperlink ref="C536" r:id="rId212" location="box" display="https://zeke.github.io/primer-cheatsheet/ - box" xr:uid="{D1D00584-BBC4-2E45-8CEE-FD015959490B}"/>
    <hyperlink ref="C540" r:id="rId213" location="box-blue" display="https://zeke.github.io/primer-cheatsheet/ - box-blue" xr:uid="{8EBCE7C2-EA40-E041-9A10-81D390197C8E}"/>
    <hyperlink ref="C542" r:id="rId214" location="box-blue-box-body" display="https://zeke.github.io/primer-cheatsheet/ - box-blue-box-body" xr:uid="{CC634C8B-91C6-944A-95B1-4F4A3DAEF68D}"/>
    <hyperlink ref="C544" r:id="rId215" location="box-blue-box-footer" display="https://zeke.github.io/primer-cheatsheet/ - box-blue-box-footer" xr:uid="{57B1D942-7DB6-6049-9D24-15DD2A9B3AE3}"/>
    <hyperlink ref="C546" r:id="rId216" location="box-blue-box-header" display="https://zeke.github.io/primer-cheatsheet/ - box-blue-box-header" xr:uid="{149F6FF2-DC71-E74D-85D9-98A8B6E2E1B4}"/>
    <hyperlink ref="C549" r:id="rId217" location="box-blue-box-row" display="https://zeke.github.io/primer-cheatsheet/ - box-blue-box-row" xr:uid="{2704E90F-6C04-7045-A91A-FC318B6AEAF9}"/>
    <hyperlink ref="C551" r:id="rId218" location="box-condensed" display="https://zeke.github.io/primer-cheatsheet/ - box-condensed" xr:uid="{B15DAB37-29EF-E640-9ECF-569B5B8FFBA6}"/>
    <hyperlink ref="C553" r:id="rId219" location="box-condensed-box-body" display="https://zeke.github.io/primer-cheatsheet/ - box-condensed-box-body" xr:uid="{375583EA-1819-9F41-A69E-FB45D8777E1D}"/>
    <hyperlink ref="C555" r:id="rId220" location="box-condensed-box-btn-octicon-btn-octicon" display="https://zeke.github.io/primer-cheatsheet/ - box-condensed-box-btn-octicon-btn-octicon" xr:uid="{4FB956F1-58F0-A246-BF4E-DE8CB5560591}"/>
    <hyperlink ref="C559" r:id="rId221" location="box-condensed-box-footer" display="https://zeke.github.io/primer-cheatsheet/ - box-condensed-box-footer" xr:uid="{8FB353DE-150D-6742-8F5E-FA3A0EFC524B}"/>
    <hyperlink ref="C561" r:id="rId222" location="box-condensed-box-header" display="https://zeke.github.io/primer-cheatsheet/ - box-condensed-box-header" xr:uid="{77838A22-41ED-1E4C-B65B-7FF34CF9D090}"/>
    <hyperlink ref="C563" r:id="rId223" location="box-condensed-box-row" display="https://zeke.github.io/primer-cheatsheet/ - box-condensed-box-row" xr:uid="{156B6B2C-75F9-B246-8009-512CDAF62D6D}"/>
    <hyperlink ref="C565" r:id="rId224" location="box-danger" display="https://zeke.github.io/primer-cheatsheet/ - box-danger" xr:uid="{2D150042-A63D-4F4A-8664-045A05CF23C9}"/>
    <hyperlink ref="C567" r:id="rId225" location="box-danger-box-body-last-of-type" display="https://zeke.github.io/primer-cheatsheet/ - box-danger-box-body-last-of-type" xr:uid="{87D46656-2A41-4C4F-8A43-DCC6FF364E4B}"/>
    <hyperlink ref="C569" r:id="rId226" location="box-danger-box-row-first-of-type" display="https://zeke.github.io/primer-cheatsheet/ - box-danger-box-row-first-of-type" xr:uid="{BF4C5862-2348-CE49-B751-6FDDC3A03D43}"/>
    <hyperlink ref="C571" r:id="rId227" location="box-scrollable" display="https://zeke.github.io/primer-cheatsheet/ - box-scrollable" xr:uid="{7999BDBA-CFEA-DF41-97C4-C8563BE2CDD3}"/>
    <hyperlink ref="C574" r:id="rId228" location="box-spacious-box-body" display="https://zeke.github.io/primer-cheatsheet/ - box-spacious-box-body" xr:uid="{F006E1DB-76D7-4545-9B69-86118C4A56AE}"/>
    <hyperlink ref="C576" r:id="rId229" location="box-spacious-box-btn-octicon-btn-octicon" display="https://zeke.github.io/primer-cheatsheet/ - box-spacious-box-btn-octicon-btn-octicon" xr:uid="{11B8C621-F481-1E4E-85A9-BD09270FE52B}"/>
    <hyperlink ref="C579" r:id="rId230" location="box-spacious-box-footer" display="https://zeke.github.io/primer-cheatsheet/ - box-spacious-box-footer" xr:uid="{1B7E051E-82C2-3C45-B815-A0D1774C7F47}"/>
    <hyperlink ref="C581" r:id="rId231" location="box-spacious-box-header" display="https://zeke.github.io/primer-cheatsheet/ - box-spacious-box-header" xr:uid="{AA7E56C6-E45E-A944-9F39-7E2EE27568E1}"/>
    <hyperlink ref="C584" r:id="rId232" location="box-spacious-box-row" display="https://zeke.github.io/primer-cheatsheet/ - box-spacious-box-row" xr:uid="{EEDB3635-1B1D-8347-BB41-F76C887E66B1}"/>
    <hyperlink ref="C586" r:id="rId233" location="box-spacious-box-title" display="https://zeke.github.io/primer-cheatsheet/ - box-spacious-box-title" xr:uid="{6E2C85C9-AA42-964D-9317-640B0DA60956}"/>
    <hyperlink ref="C588" r:id="rId234" location="box-body" display="https://zeke.github.io/primer-cheatsheet/ - box-body" xr:uid="{6EEDA20E-AC2E-EB49-976D-E4D5AD61D1C3}"/>
    <hyperlink ref="C591" r:id="rId235" location="box-body-last-of-type" display="https://zeke.github.io/primer-cheatsheet/ - box-body-last-of-type" xr:uid="{09B74978-8CAE-FA40-A695-2B348AAEF346}"/>
    <hyperlink ref="C595" r:id="rId236" location="box-btn-octicon-btn-octicon" display="https://zeke.github.io/primer-cheatsheet/ - box-btn-octicon-btn-octicon" xr:uid="{A2C7B298-FBAC-BB49-99A2-49D580E93612}"/>
    <hyperlink ref="C599" r:id="rId237" location="box-footer" display="https://zeke.github.io/primer-cheatsheet/ - box-footer" xr:uid="{6D946D4F-598E-0A43-BCBA-66B1461B4A52}"/>
    <hyperlink ref="C603" r:id="rId238" location="box-header" display="https://zeke.github.io/primer-cheatsheet/ - box-header" xr:uid="{AA6C0263-4FCB-0C43-A701-2CA5746FB395}"/>
    <hyperlink ref="C612" r:id="rId239" location="box-header-blue" display="https://zeke.github.io/primer-cheatsheet/ - box-header-blue" xr:uid="{CCFD29EF-94B2-6E49-AF2A-776BC8286EBE}"/>
    <hyperlink ref="C615" r:id="rId240" location="box-row" display="https://zeke.github.io/primer-cheatsheet/ - box-row" xr:uid="{1DA097F4-5223-D14E-90B3-3EC935B03AB1}"/>
    <hyperlink ref="C620" r:id="rId241" location="box-row-blue" display="https://zeke.github.io/primer-cheatsheet/ - box-row-blue" xr:uid="{56820E2F-B54C-8E4D-9B1B-6DBCC251EA9D}"/>
    <hyperlink ref="C622" r:id="rId242" location="box-row-drag-button" display="https://zeke.github.io/primer-cheatsheet/ - box-row-drag-button" xr:uid="{6D418721-26C9-7A47-AA5F-F84D4E898988}"/>
    <hyperlink ref="C624" r:id="rId243" location="box-row-focus-blue-navigation-focus" display="https://zeke.github.io/primer-cheatsheet/ - box-row-focus-blue-navigation-focus" xr:uid="{BCD69CA6-BAFD-6C42-81CB-B7BD8712A83C}"/>
    <hyperlink ref="C626" r:id="rId244" location="box-row-focus-gray-navigation-focus" display="https://zeke.github.io/primer-cheatsheet/ - box-row-focus-gray-navigation-focus" xr:uid="{07AEEAA8-958C-4946-BA52-B9A25C710E4A}"/>
    <hyperlink ref="C628" r:id="rId245" location="box-row-gray" display="https://zeke.github.io/primer-cheatsheet/ - box-row-gray" xr:uid="{3047298E-1424-6F40-94B0-AD0AA06ACAC8}"/>
    <hyperlink ref="C630" r:id="rId246" location="box-row-hover-blue-hover" display="https://zeke.github.io/primer-cheatsheet/ - box-row-hover-blue-hover" xr:uid="{86C644E7-5A81-F248-9C61-D63DB3FDAEF8}"/>
    <hyperlink ref="C632" r:id="rId247" location="box-row-hover-gray-hover" display="https://zeke.github.io/primer-cheatsheet/ - box-row-hover-gray-hover" xr:uid="{D34553A0-ECB5-5446-BE90-B4A6F240BFDD}"/>
    <hyperlink ref="C634" r:id="rId248" location="box-row-yellow" display="https://zeke.github.io/primer-cheatsheet/ - box-row-yellow" xr:uid="{E8DE9A90-B89A-F040-8F33-223E854EE679}"/>
    <hyperlink ref="C636" r:id="rId249" location="box-row-first-of-type" display="https://zeke.github.io/primer-cheatsheet/ - box-row-first-of-type" xr:uid="{5344ED19-4934-0F4F-AADC-5B72D70B19AE}"/>
    <hyperlink ref="C640" r:id="rId250" location="box-row-last-of-type" display="https://zeke.github.io/primer-cheatsheet/ - box-row-last-of-type" xr:uid="{D5404B51-D7C5-8F46-B54C-EA813F69B03C}"/>
    <hyperlink ref="C643" r:id="rId251" location="box-row-box-row-unread" display="https://zeke.github.io/primer-cheatsheet/ - box-row-box-row-unread" xr:uid="{0AD68E06-2774-074D-8AAA-07D328F2F99D}"/>
    <hyperlink ref="C645" r:id="rId252" location="box-row-navigation-focus-box-row-drag-button" display="https://zeke.github.io/primer-cheatsheet/ - box-row-navigation-focus-box-row-drag-button" xr:uid="{97D4C99C-B7F3-BE42-8E8B-69E2C406B094}"/>
    <hyperlink ref="C649" r:id="rId253" location="box-row-navigation-focus-is-dragging-box-row-drag-button" display="https://zeke.github.io/primer-cheatsheet/ - box-row-navigation-focus-is-dragging-box-row-drag-button" xr:uid="{F0C501B9-1281-FB40-9252-B66FA6E5F0E6}"/>
    <hyperlink ref="C651" r:id="rId254" location="box-row-navigation-focus-sortable-chosen" display="https://zeke.github.io/primer-cheatsheet/ - box-row-navigation-focus-sortable-chosen" xr:uid="{479B32B3-F08F-3941-B1A0-D22BD70FB94C}"/>
    <hyperlink ref="C653" r:id="rId255" location="box-row-navigation-focus-sortable-ghost" display="https://zeke.github.io/primer-cheatsheet/ - box-row-navigation-focus-sortable-ghost" xr:uid="{7E8B097B-E4FF-E642-A107-EFB5F5400387}"/>
    <hyperlink ref="C655" r:id="rId256" location="box-row-navigation-focus-sortable-ghost-box-row-drag-hide" display="https://zeke.github.io/primer-cheatsheet/ - box-row-navigation-focus-sortable-ghost-box-row-drag-hide" xr:uid="{9D2657C5-5EED-8D4E-8363-F9CC989586A2}"/>
    <hyperlink ref="C657" r:id="rId257" location="box-shadow" display="https://zeke.github.io/primer-cheatsheet/ - box-shadow" xr:uid="{59D44BE6-7E1D-3646-BF38-EDCE114DCD86}"/>
    <hyperlink ref="C659" r:id="rId258" location="box-shadow-extra-large" display="https://zeke.github.io/primer-cheatsheet/ - box-shadow-extra-large" xr:uid="{24AEE8FF-DFDF-C246-BE9E-5E5AF0A4B0B5}"/>
    <hyperlink ref="C661" r:id="rId259" location="box-shadow-large" display="https://zeke.github.io/primer-cheatsheet/ - box-shadow-large" xr:uid="{94302520-11D4-9F4B-BC7A-59C99334A2EF}"/>
    <hyperlink ref="C663" r:id="rId260" location="box-shadow-medium" display="https://zeke.github.io/primer-cheatsheet/ - box-shadow-medium" xr:uid="{8B915B25-548F-4447-8FA0-D5E52D08D010}"/>
    <hyperlink ref="C665" r:id="rId261" location="box-shadow-none" display="https://zeke.github.io/primer-cheatsheet/ - box-shadow-none" xr:uid="{70AD2CFB-EC9A-5740-9A88-125B0DFA5F69}"/>
    <hyperlink ref="C667" r:id="rId262" location="box-title" display="https://zeke.github.io/primer-cheatsheet/ - box-title" xr:uid="{1C0CD0F4-AA8A-BF46-AFFA-2F87CCC2050F}"/>
    <hyperlink ref="C670" r:id="rId263" location="branch-name" display="https://zeke.github.io/primer-cheatsheet/ - branch-name" xr:uid="{E3199063-F97A-874F-972B-BA5BBA8FCE45}"/>
    <hyperlink ref="C677" r:id="rId264" location="branch-name-octicon" display="https://zeke.github.io/primer-cheatsheet/ - branch-name-octicon" xr:uid="{290FD755-F8D2-8048-8C1C-809FBCFC25CC}"/>
    <hyperlink ref="C680" r:id="rId265" location="breadcrumb-item" display="https://zeke.github.io/primer-cheatsheet/ - breadcrumb-item" xr:uid="{7229ECB9-9F6D-2C4B-BF30-B9F2D011506A}"/>
    <hyperlink ref="C685" r:id="rId266" location="breadcrumb-item-selected-after" display="https://zeke.github.io/primer-cheatsheet/ - breadcrumb-item-selected-after" xr:uid="{136E7D4D-C793-9942-892A-D3589CA00644}"/>
    <hyperlink ref="C687" r:id="rId267" location="breadcrumb-item-after" display="https://zeke.github.io/primer-cheatsheet/ - breadcrumb-item-after" xr:uid="{FF881AE2-9B0B-694D-B927-80D3A3F00B21}"/>
    <hyperlink ref="C692" r:id="rId268" location="breadcrumb-item-first-child" display="https://zeke.github.io/primer-cheatsheet/ - breadcrumb-item-first-child" xr:uid="{A0FA1522-D003-934E-8A1A-287F7A17B39F}"/>
    <hyperlink ref="C694" r:id="rId269" location="break-word" display="https://zeke.github.io/primer-cheatsheet/ - break-word" xr:uid="{711ECA00-1AC0-6A40-A7AC-EC838A8643DF}"/>
    <hyperlink ref="C698" r:id="rId270" location="btn" display="https://zeke.github.io/primer-cheatsheet/ - btn" xr:uid="{45DBBE64-CA88-E742-95E3-4C596EE9DFE5}"/>
    <hyperlink ref="C720" r:id="rId271" location="btn" display="https://zeke.github.io/primer-cheatsheet/ - btn" xr:uid="{870C6485-7A70-9940-9372-C65EA47E71BE}"/>
    <hyperlink ref="C724" r:id="rId272" location="btn-counter" display="https://zeke.github.io/primer-cheatsheet/ - btn-counter" xr:uid="{DD628CF6-4029-3146-A5CF-E42EF7ED5025}"/>
    <hyperlink ref="C728" r:id="rId273" location="btn-manual-file-chooser" display="https://zeke.github.io/primer-cheatsheet/ - btn-manual-file-chooser" xr:uid="{9A98E6F6-7B5A-8D4D-97CE-79588AE81216}"/>
    <hyperlink ref="C732" r:id="rId274" location="btn-octicon" display="https://zeke.github.io/primer-cheatsheet/ - btn-octicon" xr:uid="{BE018BE7-A163-3F43-8722-FB58D49C4A4D}"/>
    <hyperlink ref="C734" r:id="rId275" location="btn-i" display="https://zeke.github.io/primer-cheatsheet/ - btn-i" xr:uid="{B67F5785-72B2-6C46-AFB0-E78B7791E04B}"/>
    <hyperlink ref="C738" r:id="rId276" location="btn-block" display="https://zeke.github.io/primer-cheatsheet/ - btn-block" xr:uid="{7E76288C-53DA-9C43-BC1C-67D608C56C72}"/>
    <hyperlink ref="C742" r:id="rId277" location="btn-blue" display="https://zeke.github.io/primer-cheatsheet/ - btn-blue" xr:uid="{88F3B6EA-6E2B-384F-BC09-8A63AE78C3D8}"/>
    <hyperlink ref="C746" r:id="rId278" location="btn-blue-counter" display="https://zeke.github.io/primer-cheatsheet/ - btn-blue-counter" xr:uid="{6EB28310-5C49-4946-95C8-49969A6A8733}"/>
    <hyperlink ref="C749" r:id="rId279" location="btn-blue-active" display="https://zeke.github.io/primer-cheatsheet/ - btn-blue-active" xr:uid="{12C76EB5-191F-3C4E-B842-3D578EF7BD7F}"/>
    <hyperlink ref="C754" r:id="rId280" location="btn-blue-disabled" display="https://zeke.github.io/primer-cheatsheet/ - btn-blue-disabled" xr:uid="{F8F92ED1-02C7-B341-A2FC-035CE36A9AEC}"/>
    <hyperlink ref="C760" r:id="rId281" location="btn-blue-focus" display="https://zeke.github.io/primer-cheatsheet/ - btn-blue-focus" xr:uid="{B6EB05D1-F8C2-1749-BC47-60B7EE3740FF}"/>
    <hyperlink ref="C762" r:id="rId282" location="btn-blue-hover" display="https://zeke.github.io/primer-cheatsheet/ - btn-blue-hover" xr:uid="{DBB7CB5B-3E77-2842-B6FB-C1A409B61C41}"/>
    <hyperlink ref="C767" r:id="rId283" location="btn-danger" display="https://zeke.github.io/primer-cheatsheet/ - btn-danger" xr:uid="{BE6D9E30-B5E5-2B4D-9121-B51E8E1DA7C9}"/>
    <hyperlink ref="C771" r:id="rId284" location="btn-danger-active" display="https://zeke.github.io/primer-cheatsheet/ - btn-danger-active" xr:uid="{49DC58C3-7331-294E-AEE9-904ED03CD5C1}"/>
    <hyperlink ref="C777" r:id="rId285" location="btn-danger-disabled" display="https://zeke.github.io/primer-cheatsheet/ - btn-danger-disabled" xr:uid="{9B8460A1-0D83-AC4B-B964-86C7963247D4}"/>
    <hyperlink ref="C783" r:id="rId286" location="btn-danger-focus" display="https://zeke.github.io/primer-cheatsheet/ - btn-danger-focus" xr:uid="{DCA02EDF-082A-8E48-A2B2-E7A5CBEFCB48}"/>
    <hyperlink ref="C785" r:id="rId287" location="btn-danger-hover" display="https://zeke.github.io/primer-cheatsheet/ - btn-danger-hover" xr:uid="{EE08A84D-01B8-304D-A565-0837D59E69F7}"/>
    <hyperlink ref="C790" r:id="rId288" location="btn-danger-hover-counter" display="https://zeke.github.io/primer-cheatsheet/ - btn-danger-hover-counter" xr:uid="{0D54BC22-9BAB-DD44-B76B-1A8B5C8CCB11}"/>
    <hyperlink ref="C792" r:id="rId289" location="btn-invisible" display="https://zeke.github.io/primer-cheatsheet/ - btn-invisible" xr:uid="{F50E2D64-8237-4D48-BFF4-DD4B9718B4A4}"/>
    <hyperlink ref="C797" r:id="rId290" location="btn-invisible-hover" display="https://zeke.github.io/primer-cheatsheet/ - btn-invisible-hover" xr:uid="{113F3990-B33B-6A4E-A1E9-0E0EE420A26C}"/>
    <hyperlink ref="C802" r:id="rId291" location="btn-large" display="https://zeke.github.io/primer-cheatsheet/ - btn-large" xr:uid="{C1F156B1-56C3-D147-BE13-80BDAA401207}"/>
    <hyperlink ref="C806" r:id="rId292" location="btn-large-mktg" display="https://zeke.github.io/primer-cheatsheet/ - btn-large-mktg" xr:uid="{2AD56EAF-83AB-9A46-A1B7-B227B127F0CE}"/>
    <hyperlink ref="C809" r:id="rId293" location="btn-link" display="https://zeke.github.io/primer-cheatsheet/ - btn-link" xr:uid="{3C14A22F-2025-9345-9E4F-924B5EB1A528}"/>
    <hyperlink ref="C826" r:id="rId294" location="btn-link-disabled" display="https://zeke.github.io/primer-cheatsheet/ - btn-link-disabled" xr:uid="{DCF9E60F-0A70-014D-8D08-8173FAA2932C}"/>
    <hyperlink ref="C829" r:id="rId295" location="btn-link-hover" display="https://zeke.github.io/primer-cheatsheet/ - btn-link-hover" xr:uid="{BE9C4A02-C68B-214B-8920-7F5B5668A278}"/>
    <hyperlink ref="C831" r:id="rId296" location="btn-mktg" display="https://zeke.github.io/primer-cheatsheet/ - btn-mktg" xr:uid="{A50E3575-3DE5-AD43-A30E-0A0DE2CD68F9}"/>
    <hyperlink ref="C851" r:id="rId297" location="btn-mktg-disabled" display="https://zeke.github.io/primer-cheatsheet/ - btn-mktg-disabled" xr:uid="{0CA33737-04C7-274D-9628-AEE39B82CA6C}"/>
    <hyperlink ref="C855" r:id="rId298" location="btn-mktg-focus" display="https://zeke.github.io/primer-cheatsheet/ - btn-mktg-focus" xr:uid="{6372970B-4C92-014F-AE80-16E09A798585}"/>
    <hyperlink ref="C858" r:id="rId299" location="btn-mktg-hover" display="https://zeke.github.io/primer-cheatsheet/ - btn-mktg-hover" xr:uid="{C1C5540D-6875-C147-A4AA-3E9EE949AA58}"/>
    <hyperlink ref="C862" r:id="rId300" location="btn-octicon" display="https://zeke.github.io/primer-cheatsheet/ - btn-octicon" xr:uid="{270A15D0-49BC-FC4E-B18E-9B7AC16BAD26}"/>
    <hyperlink ref="C871" r:id="rId301" location="btn-octicon-danger-hover" display="https://zeke.github.io/primer-cheatsheet/ - btn-octicon-danger-hover" xr:uid="{BD0B2247-CB81-3E49-9D15-759FA92DAC9E}"/>
    <hyperlink ref="C873" r:id="rId302" location="btn-octicon-hover" display="https://zeke.github.io/primer-cheatsheet/ - btn-octicon-hover" xr:uid="{39FC7D4F-463F-7A49-83ED-E788C93D068B}"/>
    <hyperlink ref="C875" r:id="rId303" location="btn-octicon-disabled" display="https://zeke.github.io/primer-cheatsheet/ - btn-octicon-disabled" xr:uid="{2BF6105F-D0AD-1C46-9FAD-72AFAEB27E85}"/>
    <hyperlink ref="C878" r:id="rId304" location="btn-octicon-disabled-hover" display="https://zeke.github.io/primer-cheatsheet/ - btn-octicon-disabled-hover" xr:uid="{A7DACAE5-99D0-424B-9335-7A73A18A73AA}"/>
    <hyperlink ref="C880" r:id="rId305" location="btn-outline" display="https://zeke.github.io/primer-cheatsheet/ - btn-outline" xr:uid="{74C3C367-2503-8948-BFA1-9ED370D73475}"/>
    <hyperlink ref="C884" r:id="rId306" location="btn-outline-counter" display="https://zeke.github.io/primer-cheatsheet/ - btn-outline-counter" xr:uid="{F019972B-F833-3C4C-984D-B985A6DBCEAB}"/>
    <hyperlink ref="C886" r:id="rId307" location="btn-outline-mktg" display="https://zeke.github.io/primer-cheatsheet/ - btn-outline-mktg" xr:uid="{3258A062-3651-E644-85C5-5EAA1C6DA6CB}"/>
    <hyperlink ref="C890" r:id="rId308" location="btn-outline-mktg-hover" display="https://zeke.github.io/primer-cheatsheet/ - btn-outline-mktg-hover" xr:uid="{370E4156-B7B1-A046-84FF-57A8A016CF83}"/>
    <hyperlink ref="C895" r:id="rId309" location="btn-outline-disabled" display="https://zeke.github.io/primer-cheatsheet/ - btn-outline-disabled" xr:uid="{FAFAE273-BEDF-CA4C-B0E8-3767E905AA6D}"/>
    <hyperlink ref="C900" r:id="rId310" location="btn-outline-focus" display="https://zeke.github.io/primer-cheatsheet/ - btn-outline-focus" xr:uid="{5A627F10-C0D7-DD41-AE8A-33154DEEEB72}"/>
    <hyperlink ref="C903" r:id="rId311" location="btn-outline-hover" display="https://zeke.github.io/primer-cheatsheet/ - btn-outline-hover" xr:uid="{CBD89FDB-6628-1243-9EB8-CAAC01810BA0}"/>
    <hyperlink ref="C908" r:id="rId312" location="btn-outline-hover-counter" display="https://zeke.github.io/primer-cheatsheet/ - btn-outline-hover-counter" xr:uid="{3034E14A-7659-6F49-BC9F-91CBEB71C4F1}"/>
    <hyperlink ref="C911" r:id="rId313" location="btn-primary" display="https://zeke.github.io/primer-cheatsheet/ - btn-primary" xr:uid="{F033F8AA-84EB-3141-9C71-40C2CA5E93ED}"/>
    <hyperlink ref="C915" r:id="rId314" location="btn-primary-counter" display="https://zeke.github.io/primer-cheatsheet/ - btn-primary-counter" xr:uid="{A2A4995B-97BB-D147-B448-2577EE02611C}"/>
    <hyperlink ref="C918" r:id="rId315" location="btn-primary-mktg" display="https://zeke.github.io/primer-cheatsheet/ - btn-primary-mktg" xr:uid="{58A12184-A27A-704C-AFF7-D525E347F608}"/>
    <hyperlink ref="C921" r:id="rId316" location="btn-primary-mktg-focus" display="https://zeke.github.io/primer-cheatsheet/ - btn-primary-mktg-focus" xr:uid="{BDDE1530-4350-914B-838A-663F5AD0A190}"/>
    <hyperlink ref="C923" r:id="rId317" location="btn-primary-mktg-hover" display="https://zeke.github.io/primer-cheatsheet/ - btn-primary-mktg-hover" xr:uid="{7AD1BCF1-23F2-304D-841E-5838E457F2B9}"/>
    <hyperlink ref="C926" r:id="rId318" location="btn-primary-active" display="https://zeke.github.io/primer-cheatsheet/ - btn-primary-active" xr:uid="{0D2138CA-21A6-7F41-973F-DA71E8D2A92D}"/>
    <hyperlink ref="C931" r:id="rId319" location="btn-primary-disabled" display="https://zeke.github.io/primer-cheatsheet/ - btn-primary-disabled" xr:uid="{BB112FD9-B6DE-0B44-9BA5-456FA46FBE15}"/>
    <hyperlink ref="C937" r:id="rId320" location="btn-primary-focus" display="https://zeke.github.io/primer-cheatsheet/ - btn-primary-focus" xr:uid="{7287CE9E-4EEC-7D4A-8F24-3307C82A3763}"/>
    <hyperlink ref="C939" r:id="rId321" location="btn-primary-hover" display="https://zeke.github.io/primer-cheatsheet/ - btn-primary-hover" xr:uid="{C8CB1772-6CCF-6E40-8746-1386497DD922}"/>
    <hyperlink ref="C944" r:id="rId322" location="btn-sm" display="https://zeke.github.io/primer-cheatsheet/ - btn-sm" xr:uid="{360283BC-29A2-5547-BBFD-C5798978F738}"/>
    <hyperlink ref="C948" r:id="rId323" location="btn-transparent" display="https://zeke.github.io/primer-cheatsheet/ - btn-transparent" xr:uid="{C68D7FDB-D4F2-CA4E-8A56-2AFAFBE6D20A}"/>
    <hyperlink ref="C953" r:id="rId324" location="btn-transparent-hover" display="https://zeke.github.io/primer-cheatsheet/ - btn-transparent-hover" xr:uid="{1DD5C421-8523-1545-B471-9FB42AC41FC6}"/>
    <hyperlink ref="C958" r:id="rId325" location="btn-with-count" display="https://zeke.github.io/primer-cheatsheet/ - btn-with-count" xr:uid="{FE6A255A-36E0-DD4A-ADDD-614049400B07}"/>
    <hyperlink ref="C962" r:id="rId326" location="btn-active" display="https://zeke.github.io/primer-cheatsheet/ - btn-active" xr:uid="{33D4997B-2A2C-5941-AF90-C8590DFE4622}"/>
    <hyperlink ref="C964" r:id="rId327" location="btn-active" display="https://zeke.github.io/primer-cheatsheet/ - btn-active" xr:uid="{8FE7DCD5-273A-B541-BA45-90BBDFE65CF6}"/>
    <hyperlink ref="C969" r:id="rId328" location="btn-disabled" display="https://zeke.github.io/primer-cheatsheet/ - btn-disabled" xr:uid="{C4AA2FB1-C4F3-3E4A-AAA3-CAE58B843A90}"/>
    <hyperlink ref="C972" r:id="rId329" location="btn-disabled" display="https://zeke.github.io/primer-cheatsheet/ - btn-disabled" xr:uid="{432A3A93-EC9D-DF47-8BB6-D8AEF5D839ED}"/>
    <hyperlink ref="C978" r:id="rId330" location="btn-focus" display="https://zeke.github.io/primer-cheatsheet/ - btn-focus" xr:uid="{C1093462-8665-3448-8C3C-E1549C4635A8}"/>
    <hyperlink ref="C980" r:id="rId331" location="btn-focus" display="https://zeke.github.io/primer-cheatsheet/ - btn-focus" xr:uid="{599097C3-05C5-E641-8F33-91F99B5818B0}"/>
    <hyperlink ref="C982" r:id="rId332" location="btn-hover" display="https://zeke.github.io/primer-cheatsheet/ - btn-hover" xr:uid="{19AC42F5-3620-DF48-9933-9253F6DCD875}"/>
    <hyperlink ref="C985" r:id="rId333" location="btn-hover" display="https://zeke.github.io/primer-cheatsheet/ - btn-hover" xr:uid="{562B47B0-EFBD-A54F-BDB6-19252CF1E7F2}"/>
    <hyperlink ref="C990" r:id="rId334" location="btn-group" display="https://zeke.github.io/primer-cheatsheet/ - btn-group" xr:uid="{9E8C1FCD-882D-294A-AA54-8D95F0540160}"/>
    <hyperlink ref="C993" r:id="rId335" location="btn-group-item" display="https://zeke.github.io/primer-cheatsheet/ - btn-group-item" xr:uid="{C2454257-C109-A444-BF2E-6829E2488D80}"/>
    <hyperlink ref="C998" r:id="rId336" location="btn-group-item-first-child" display="https://zeke.github.io/primer-cheatsheet/ - btn-group-item-first-child" xr:uid="{DF48D3EC-C58C-4348-8678-17D46D688033}"/>
    <hyperlink ref="C1001" r:id="rId337" location="btn-group-item-focus" display="https://zeke.github.io/primer-cheatsheet/ - btn-group-item-focus" xr:uid="{C77847D2-1080-174E-AB7A-77BC1BF33621}"/>
    <hyperlink ref="C1003" r:id="rId338" location="btn-group-item-last-child" display="https://zeke.github.io/primer-cheatsheet/ - btn-group-item-last-child" xr:uid="{6B5FF123-1860-BA4C-BC41-2A1A51BF53D3}"/>
    <hyperlink ref="C1007" r:id="rId339" location="btn-group-item-selected" display="https://zeke.github.io/primer-cheatsheet/ - btn-group-item-selected" xr:uid="{8F6F7D1F-C4D3-6F45-A8E8-458748DC8A3F}"/>
    <hyperlink ref="C1009" r:id="rId340" location="btn-group-item-selected-btn-group-item" display="https://zeke.github.io/primer-cheatsheet/ - btn-group-item-selected-btn-group-item" xr:uid="{C838510F-6713-0C4C-A4CA-4902874FF1CE}"/>
    <hyperlink ref="C1011" r:id="rId341" location="btn-group-parent" display="https://zeke.github.io/primer-cheatsheet/ - btn-group-parent" xr:uid="{0BACA623-3A6A-CE4E-A63B-D939C0AE0270}"/>
    <hyperlink ref="C1013" r:id="rId342" location="btn-group-parent-btn-group-item" display="https://zeke.github.io/primer-cheatsheet/ - btn-group-parent-btn-group-item" xr:uid="{57AECC10-2833-D645-924F-096B302D6B29}"/>
    <hyperlink ref="C1016" r:id="rId343" location="btn-group-parent-first-child-btn-group-item" display="https://zeke.github.io/primer-cheatsheet/ - btn-group-parent-first-child-btn-group-item" xr:uid="{CAE8D174-920A-BA41-89B2-84B3A9CAE1F5}"/>
    <hyperlink ref="C1019" r:id="rId344" location="btn-group-parent-last-child-btn-group-item" display="https://zeke.github.io/primer-cheatsheet/ - btn-group-parent-last-child-btn-group-item" xr:uid="{A2A0BAAE-E5BB-1148-B65C-BA265A2230E5}"/>
    <hyperlink ref="C1023" r:id="rId345" location="btn-group-parent-selected-btn-group-item" display="https://zeke.github.io/primer-cheatsheet/ - btn-group-parent-selected-btn-group-item" xr:uid="{3386790D-9FF0-B244-A874-BBDC47150F37}"/>
    <hyperlink ref="C1025" r:id="rId346" location="btn-group-parent-selected-btn-group-item" display="https://zeke.github.io/primer-cheatsheet/ - btn-group-parent-selected-btn-group-item" xr:uid="{B3A96AC7-9229-D340-8693-6184918A0893}"/>
    <hyperlink ref="C1027" r:id="rId347" location="btn-group-after" display="https://zeke.github.io/primer-cheatsheet/ - btn-group-after" xr:uid="{A8365E8F-91A3-C547-9AD9-AE3BEF119590}"/>
    <hyperlink ref="C1031" r:id="rId348" location="btn-group-before" display="https://zeke.github.io/primer-cheatsheet/ - btn-group-before" xr:uid="{6D2F8E99-01C7-704B-815B-170D4FD071DA}"/>
    <hyperlink ref="C1034" r:id="rId349" location="btn-group-btn-group" display="https://zeke.github.io/primer-cheatsheet/ - btn-group-btn-group" xr:uid="{74689FF6-8BC3-3043-9218-68D51FDCCFDB}"/>
    <hyperlink ref="C1036" r:id="rId350" location="circle" display="https://zeke.github.io/primer-cheatsheet/ - circle" xr:uid="{814E41DC-9E10-5747-B548-D9D952E9329E}"/>
    <hyperlink ref="C1038" r:id="rId351" location="circle-badge" display="https://zeke.github.io/primer-cheatsheet/ - circle-badge" xr:uid="{B8C0E1D5-62F3-8145-83E7-D74BF1F1F696}"/>
    <hyperlink ref="C1045" r:id="rId352" location="circle-badge-large" display="https://zeke.github.io/primer-cheatsheet/ - circle-badge-large" xr:uid="{0AE325BA-AE51-AD45-8741-0A40683B39AF}"/>
    <hyperlink ref="C1048" r:id="rId353" location="circle-badge-medium" display="https://zeke.github.io/primer-cheatsheet/ - circle-badge-medium" xr:uid="{A3733266-AD52-8648-8A11-984A0B3674CA}"/>
    <hyperlink ref="C1051" r:id="rId354" location="circle-badge-small" display="https://zeke.github.io/primer-cheatsheet/ - circle-badge-small" xr:uid="{B8BF82BF-48A3-044C-9E6F-20F497E9FEE3}"/>
    <hyperlink ref="C1054" r:id="rId355" location="circle-badge-icon" display="https://zeke.github.io/primer-cheatsheet/ - circle-badge-icon" xr:uid="{5D16BC80-5226-144A-8D09-AF1DC191AF42}"/>
    <hyperlink ref="C1058" r:id="rId356" location="clearfix-after" display="https://zeke.github.io/primer-cheatsheet/ - clearfix-after" xr:uid="{7297C200-6C23-FF43-A3CB-C55BFF6F22CC}"/>
    <hyperlink ref="C1062" r:id="rId357" location="clearfix-before" display="https://zeke.github.io/primer-cheatsheet/ - clearfix-before" xr:uid="{BCFA5168-1403-2B47-BA71-278358984596}"/>
    <hyperlink ref="C1065" r:id="rId358" location="close-button" display="https://zeke.github.io/primer-cheatsheet/ - close-button" xr:uid="{6B7904DA-F70B-A148-9CC7-2705414CDE74}"/>
    <hyperlink ref="C1070" r:id="rId359" location="col-1" display="https://zeke.github.io/primer-cheatsheet/ - col-1" xr:uid="{8C2E6263-C70D-BA4F-9BBC-49BB233D7795}"/>
    <hyperlink ref="C1072" r:id="rId360" location="col-10" display="https://zeke.github.io/primer-cheatsheet/ - col-10" xr:uid="{DA362A04-7B60-004E-9654-71262BDF0C6E}"/>
    <hyperlink ref="C1074" r:id="rId361" location="col-11" display="https://zeke.github.io/primer-cheatsheet/ - col-11" xr:uid="{057D4C6C-FBC2-A14C-AF75-9253A9EFD850}"/>
    <hyperlink ref="C1076" r:id="rId362" location="col-12" display="https://zeke.github.io/primer-cheatsheet/ - col-12" xr:uid="{2613792D-D889-DD48-941F-23E1D090BF66}"/>
    <hyperlink ref="C1078" r:id="rId363" location="col-2" display="https://zeke.github.io/primer-cheatsheet/ - col-2" xr:uid="{274D058E-740E-9345-9BF3-B27243C1E597}"/>
    <hyperlink ref="C1080" r:id="rId364" location="col-3" display="https://zeke.github.io/primer-cheatsheet/ - col-3" xr:uid="{AFB15FFB-7EEE-CF40-980A-D422AB83D659}"/>
    <hyperlink ref="C1082" r:id="rId365" location="col-4" display="https://zeke.github.io/primer-cheatsheet/ - col-4" xr:uid="{19B779D5-B13D-8745-AB7E-BB4992F8DFAD}"/>
    <hyperlink ref="C1084" r:id="rId366" location="col-5" display="https://zeke.github.io/primer-cheatsheet/ - col-5" xr:uid="{581EB1DD-DD73-324C-999C-D300EE0A3E79}"/>
    <hyperlink ref="C1086" r:id="rId367" location="col-6" display="https://zeke.github.io/primer-cheatsheet/ - col-6" xr:uid="{EC015F7A-683E-8643-833E-41D842F6FB1C}"/>
    <hyperlink ref="C1088" r:id="rId368" location="col-7" display="https://zeke.github.io/primer-cheatsheet/ - col-7" xr:uid="{3604B1F5-F530-B744-998B-4D6482243557}"/>
    <hyperlink ref="C1090" r:id="rId369" location="col-8" display="https://zeke.github.io/primer-cheatsheet/ - col-8" xr:uid="{2FE0778C-E019-CB45-BEC5-2ECC361F6150}"/>
    <hyperlink ref="C1092" r:id="rId370" location="col-9" display="https://zeke.github.io/primer-cheatsheet/ - col-9" xr:uid="{EDE2F8B4-A2E0-AE49-96DC-6A40209B5F0D}"/>
    <hyperlink ref="C1094" r:id="rId371" location="color-blue-0" display="https://zeke.github.io/primer-cheatsheet/ - color-blue-0" xr:uid="{3C786C16-4697-F145-9E49-1F700A98B626}"/>
    <hyperlink ref="C1096" r:id="rId372" location="color-blue-1" display="https://zeke.github.io/primer-cheatsheet/ - color-blue-1" xr:uid="{01AE8D6F-2DE2-E843-B769-5B91B6E8C71B}"/>
    <hyperlink ref="C1098" r:id="rId373" location="color-blue-2" display="https://zeke.github.io/primer-cheatsheet/ - color-blue-2" xr:uid="{DC1C5723-A8BB-2748-AF09-074FBB8CB9C1}"/>
    <hyperlink ref="C1100" r:id="rId374" location="color-blue-3" display="https://zeke.github.io/primer-cheatsheet/ - color-blue-3" xr:uid="{1A8C3A8D-9780-F941-8CB7-A6CB39273AE1}"/>
    <hyperlink ref="C1102" r:id="rId375" location="color-blue-4" display="https://zeke.github.io/primer-cheatsheet/ - color-blue-4" xr:uid="{DE784E31-A25E-5140-96F1-77E702D315E4}"/>
    <hyperlink ref="C1104" r:id="rId376" location="color-blue-5" display="https://zeke.github.io/primer-cheatsheet/ - color-blue-5" xr:uid="{300EDBA8-B8A3-D14B-B28F-415DFDBACB88}"/>
    <hyperlink ref="C1106" r:id="rId377" location="color-blue-6" display="https://zeke.github.io/primer-cheatsheet/ - color-blue-6" xr:uid="{5C57A5B4-47A0-2C4E-B7D9-0F5625CA71DA}"/>
    <hyperlink ref="C1108" r:id="rId378" location="color-blue-7" display="https://zeke.github.io/primer-cheatsheet/ - color-blue-7" xr:uid="{AA78C10A-1EE0-5046-B3ED-A762F858ADAC}"/>
    <hyperlink ref="C1110" r:id="rId379" location="color-blue-8" display="https://zeke.github.io/primer-cheatsheet/ - color-blue-8" xr:uid="{BF3418E3-8130-B941-A457-D4484569B67B}"/>
    <hyperlink ref="C1112" r:id="rId380" location="color-blue-9" display="https://zeke.github.io/primer-cheatsheet/ - color-blue-9" xr:uid="{5E3D448C-AE78-3B48-9364-E6899DE7651C}"/>
    <hyperlink ref="C1114" r:id="rId381" location="color-gray-0" display="https://zeke.github.io/primer-cheatsheet/ - color-gray-0" xr:uid="{ABD3FEDC-CC31-DF4A-9FC5-8B543835AEF7}"/>
    <hyperlink ref="C1116" r:id="rId382" location="color-gray-1" display="https://zeke.github.io/primer-cheatsheet/ - color-gray-1" xr:uid="{A8F0D97E-2450-D142-A5A3-7957A8D2980B}"/>
    <hyperlink ref="C1118" r:id="rId383" location="color-gray-2" display="https://zeke.github.io/primer-cheatsheet/ - color-gray-2" xr:uid="{3ADB239B-7FD3-A849-834B-859BC30CBC1C}"/>
    <hyperlink ref="C1120" r:id="rId384" location="color-gray-3" display="https://zeke.github.io/primer-cheatsheet/ - color-gray-3" xr:uid="{48024E79-4327-4A49-959B-0EF611361A36}"/>
    <hyperlink ref="C1122" r:id="rId385" location="color-gray-4" display="https://zeke.github.io/primer-cheatsheet/ - color-gray-4" xr:uid="{92D7C9C8-8724-EC42-99A7-C23C5C19103E}"/>
    <hyperlink ref="C1124" r:id="rId386" location="color-gray-5" display="https://zeke.github.io/primer-cheatsheet/ - color-gray-5" xr:uid="{D2293393-40C3-A34B-8F02-0DBC2E3304E9}"/>
    <hyperlink ref="C1126" r:id="rId387" location="color-gray-6" display="https://zeke.github.io/primer-cheatsheet/ - color-gray-6" xr:uid="{D04C5754-D579-3245-9EFD-AEE7E22D26D0}"/>
    <hyperlink ref="C1128" r:id="rId388" location="color-gray-7" display="https://zeke.github.io/primer-cheatsheet/ - color-gray-7" xr:uid="{56981794-8F8F-8A42-A6B2-817220215FC0}"/>
    <hyperlink ref="C1130" r:id="rId389" location="color-gray-8" display="https://zeke.github.io/primer-cheatsheet/ - color-gray-8" xr:uid="{A26A7908-C6E7-C143-8D2B-D90B5A7B7660}"/>
    <hyperlink ref="C1132" r:id="rId390" location="color-gray-9" display="https://zeke.github.io/primer-cheatsheet/ - color-gray-9" xr:uid="{6757FAF7-822B-0040-99E8-88BBC25A74F6}"/>
    <hyperlink ref="C1134" r:id="rId391" location="color-green-0" display="https://zeke.github.io/primer-cheatsheet/ - color-green-0" xr:uid="{304CE594-D1D9-6B4A-AB62-E6CD40DEFA96}"/>
    <hyperlink ref="C1136" r:id="rId392" location="color-green-1" display="https://zeke.github.io/primer-cheatsheet/ - color-green-1" xr:uid="{9855F8FE-75F9-D848-9736-3FA329FC44DB}"/>
    <hyperlink ref="C1138" r:id="rId393" location="color-green-2" display="https://zeke.github.io/primer-cheatsheet/ - color-green-2" xr:uid="{B9183F34-2EAE-0143-992A-AF2E2B0A55B7}"/>
    <hyperlink ref="C1140" r:id="rId394" location="color-green-3" display="https://zeke.github.io/primer-cheatsheet/ - color-green-3" xr:uid="{A58830B0-EF00-A248-A7F4-A7D2585EC70F}"/>
    <hyperlink ref="C1142" r:id="rId395" location="color-green-4" display="https://zeke.github.io/primer-cheatsheet/ - color-green-4" xr:uid="{42C9ED09-4391-FF4F-BAF8-B7B9007F4D36}"/>
    <hyperlink ref="C1144" r:id="rId396" location="color-green-5" display="https://zeke.github.io/primer-cheatsheet/ - color-green-5" xr:uid="{3180A359-39FE-1B42-8D18-EF399B60297B}"/>
    <hyperlink ref="C1146" r:id="rId397" location="color-green-6" display="https://zeke.github.io/primer-cheatsheet/ - color-green-6" xr:uid="{1CCBCE6C-0B7A-C94B-910A-95E9A054B3A7}"/>
    <hyperlink ref="C1148" r:id="rId398" location="color-green-7" display="https://zeke.github.io/primer-cheatsheet/ - color-green-7" xr:uid="{EB85BC86-FD2D-9E4B-880F-32109EDA1334}"/>
    <hyperlink ref="C1150" r:id="rId399" location="color-green-8" display="https://zeke.github.io/primer-cheatsheet/ - color-green-8" xr:uid="{C2FD4906-E54F-F242-BF2D-050467C20BA4}"/>
    <hyperlink ref="C1152" r:id="rId400" location="color-green-9" display="https://zeke.github.io/primer-cheatsheet/ - color-green-9" xr:uid="{A47ABF42-2B5D-2E4F-BB68-87FD3CAE2955}"/>
    <hyperlink ref="C1154" r:id="rId401" location="color-orange-0" display="https://zeke.github.io/primer-cheatsheet/ - color-orange-0" xr:uid="{76F2B154-670D-0344-9F95-D45BC9E1602B}"/>
    <hyperlink ref="C1156" r:id="rId402" location="color-orange-1" display="https://zeke.github.io/primer-cheatsheet/ - color-orange-1" xr:uid="{2629B62F-05ED-B748-AD5B-DDAA5F9F0CC0}"/>
    <hyperlink ref="C1158" r:id="rId403" location="color-orange-2" display="https://zeke.github.io/primer-cheatsheet/ - color-orange-2" xr:uid="{7EED381D-C90F-E944-9CA7-FA388FF90DAA}"/>
    <hyperlink ref="C1160" r:id="rId404" location="color-orange-3" display="https://zeke.github.io/primer-cheatsheet/ - color-orange-3" xr:uid="{AB0B4AC5-520A-D242-AD6B-2C626E9706CC}"/>
    <hyperlink ref="C1162" r:id="rId405" location="color-orange-4" display="https://zeke.github.io/primer-cheatsheet/ - color-orange-4" xr:uid="{B0FE27AD-ECB7-1A46-9090-5D340B0158EA}"/>
    <hyperlink ref="C1164" r:id="rId406" location="color-orange-5" display="https://zeke.github.io/primer-cheatsheet/ - color-orange-5" xr:uid="{6948CC0B-E231-0948-82CA-F9267481D292}"/>
    <hyperlink ref="C1166" r:id="rId407" location="color-orange-6" display="https://zeke.github.io/primer-cheatsheet/ - color-orange-6" xr:uid="{4F15E2C7-0CE2-E742-9C22-6B76673BF2BB}"/>
    <hyperlink ref="C1168" r:id="rId408" location="color-orange-7" display="https://zeke.github.io/primer-cheatsheet/ - color-orange-7" xr:uid="{80BC6F17-79AC-E741-9346-C18D20446C15}"/>
    <hyperlink ref="C1170" r:id="rId409" location="color-orange-8" display="https://zeke.github.io/primer-cheatsheet/ - color-orange-8" xr:uid="{F301C6C2-7701-7445-B495-7F9F194A3BFA}"/>
    <hyperlink ref="C1172" r:id="rId410" location="color-orange-9" display="https://zeke.github.io/primer-cheatsheet/ - color-orange-9" xr:uid="{2F662593-4172-084B-B28C-65CF7E1D0ACC}"/>
    <hyperlink ref="C1174" r:id="rId411" location="color-pink-0" display="https://zeke.github.io/primer-cheatsheet/ - color-pink-0" xr:uid="{A7F06FB7-F606-9247-82BB-2D7ADDB08D14}"/>
    <hyperlink ref="C1176" r:id="rId412" location="color-pink-1" display="https://zeke.github.io/primer-cheatsheet/ - color-pink-1" xr:uid="{41591B01-BE3F-C54E-84DE-2A93F595901E}"/>
    <hyperlink ref="C1178" r:id="rId413" location="color-pink-2" display="https://zeke.github.io/primer-cheatsheet/ - color-pink-2" xr:uid="{77A938E1-FD08-374F-BEA2-0CB91A3E0D57}"/>
    <hyperlink ref="C1180" r:id="rId414" location="color-pink-3" display="https://zeke.github.io/primer-cheatsheet/ - color-pink-3" xr:uid="{DD816B35-F037-A547-B096-E06DCF511E51}"/>
    <hyperlink ref="C1182" r:id="rId415" location="color-pink-4" display="https://zeke.github.io/primer-cheatsheet/ - color-pink-4" xr:uid="{1103D898-FC60-0943-9156-F6DE2FE87BBC}"/>
    <hyperlink ref="C1184" r:id="rId416" location="color-pink-5" display="https://zeke.github.io/primer-cheatsheet/ - color-pink-5" xr:uid="{6AA700FE-A81A-4A43-AF6A-293C76722A60}"/>
    <hyperlink ref="C1186" r:id="rId417" location="color-pink-6" display="https://zeke.github.io/primer-cheatsheet/ - color-pink-6" xr:uid="{B19296D0-25D6-D340-ADBD-9ECAC35E411C}"/>
    <hyperlink ref="C1188" r:id="rId418" location="color-pink-7" display="https://zeke.github.io/primer-cheatsheet/ - color-pink-7" xr:uid="{350A8C06-649B-CD41-A51C-677104207D37}"/>
    <hyperlink ref="C1190" r:id="rId419" location="color-pink-8" display="https://zeke.github.io/primer-cheatsheet/ - color-pink-8" xr:uid="{1B7D6F25-71A6-254C-8049-48AD7DCBEEAB}"/>
    <hyperlink ref="C1192" r:id="rId420" location="color-pink-9" display="https://zeke.github.io/primer-cheatsheet/ - color-pink-9" xr:uid="{A42E1EE5-A540-7043-AE63-74CCAB64AEFC}"/>
    <hyperlink ref="C1194" r:id="rId421" location="color-purple-0" display="https://zeke.github.io/primer-cheatsheet/ - color-purple-0" xr:uid="{3B90A2AC-404E-A748-BA41-33CD0A7820BD}"/>
    <hyperlink ref="C1196" r:id="rId422" location="color-purple-1" display="https://zeke.github.io/primer-cheatsheet/ - color-purple-1" xr:uid="{F4865E80-C5F5-2146-8E3D-50981B2008B2}"/>
    <hyperlink ref="C1198" r:id="rId423" location="color-purple-2" display="https://zeke.github.io/primer-cheatsheet/ - color-purple-2" xr:uid="{A60B6E14-DB44-C04A-B7A8-4023C56B6691}"/>
    <hyperlink ref="C1200" r:id="rId424" location="color-purple-3" display="https://zeke.github.io/primer-cheatsheet/ - color-purple-3" xr:uid="{10CBD2C5-2559-2147-AAD5-5B4517C41169}"/>
    <hyperlink ref="C1202" r:id="rId425" location="color-purple-4" display="https://zeke.github.io/primer-cheatsheet/ - color-purple-4" xr:uid="{2B868F06-5566-C247-830A-D9B27C23A529}"/>
    <hyperlink ref="C1204" r:id="rId426" location="color-purple-5" display="https://zeke.github.io/primer-cheatsheet/ - color-purple-5" xr:uid="{642C1AF5-0270-CF49-83C2-6ECACDF4F011}"/>
    <hyperlink ref="C1206" r:id="rId427" location="color-purple-6" display="https://zeke.github.io/primer-cheatsheet/ - color-purple-6" xr:uid="{4E922F58-270A-694F-A68A-FF19A140C580}"/>
    <hyperlink ref="C1208" r:id="rId428" location="color-purple-7" display="https://zeke.github.io/primer-cheatsheet/ - color-purple-7" xr:uid="{0BBB6933-3980-8B4E-8B67-6D76F04363B1}"/>
    <hyperlink ref="C1210" r:id="rId429" location="color-purple-8" display="https://zeke.github.io/primer-cheatsheet/ - color-purple-8" xr:uid="{812DC4D4-8E0B-274E-AA8D-16EC75C6B609}"/>
    <hyperlink ref="C1212" r:id="rId430" location="color-purple-9" display="https://zeke.github.io/primer-cheatsheet/ - color-purple-9" xr:uid="{92AB2FCD-B42D-C441-8010-EB8D70D81B05}"/>
    <hyperlink ref="C1214" r:id="rId431" location="color-red-0" display="https://zeke.github.io/primer-cheatsheet/ - color-red-0" xr:uid="{6C24A5A2-A1E6-E643-9FD2-855A53A1162C}"/>
    <hyperlink ref="C1216" r:id="rId432" location="color-red-1" display="https://zeke.github.io/primer-cheatsheet/ - color-red-1" xr:uid="{71752EB5-AA45-5344-AEEF-EF9641449BD8}"/>
    <hyperlink ref="C1218" r:id="rId433" location="color-red-2" display="https://zeke.github.io/primer-cheatsheet/ - color-red-2" xr:uid="{2E32D270-33F8-6C4F-894D-56B849AF42B4}"/>
    <hyperlink ref="C1220" r:id="rId434" location="color-red-3" display="https://zeke.github.io/primer-cheatsheet/ - color-red-3" xr:uid="{86BED6A5-4B3A-9F4E-88B0-30FAAFFC15FE}"/>
    <hyperlink ref="C1222" r:id="rId435" location="color-red-4" display="https://zeke.github.io/primer-cheatsheet/ - color-red-4" xr:uid="{FA240D43-85D5-6342-9CB6-9FA49CA78408}"/>
    <hyperlink ref="C1224" r:id="rId436" location="color-red-5" display="https://zeke.github.io/primer-cheatsheet/ - color-red-5" xr:uid="{F5CA80DF-F936-2745-8EFE-63E6D0FA27FD}"/>
    <hyperlink ref="C1226" r:id="rId437" location="color-red-6" display="https://zeke.github.io/primer-cheatsheet/ - color-red-6" xr:uid="{92447BA1-D273-7A4E-8F93-091847B29355}"/>
    <hyperlink ref="C1228" r:id="rId438" location="color-red-7" display="https://zeke.github.io/primer-cheatsheet/ - color-red-7" xr:uid="{E2C2D2DC-328A-5F41-86F7-6BA720DED674}"/>
    <hyperlink ref="C1230" r:id="rId439" location="color-red-8" display="https://zeke.github.io/primer-cheatsheet/ - color-red-8" xr:uid="{9D4AECA8-27EA-0145-AC79-5A7F4AB23004}"/>
    <hyperlink ref="C1232" r:id="rId440" location="color-red-9" display="https://zeke.github.io/primer-cheatsheet/ - color-red-9" xr:uid="{CA1D0F45-6C6E-104F-9A89-0384A804B6DF}"/>
    <hyperlink ref="C1234" r:id="rId441" location="color-yellow-0" display="https://zeke.github.io/primer-cheatsheet/ - color-yellow-0" xr:uid="{7B1CE40D-C757-4641-AC34-D24B0A79B27A}"/>
    <hyperlink ref="C1236" r:id="rId442" location="color-yellow-1" display="https://zeke.github.io/primer-cheatsheet/ - color-yellow-1" xr:uid="{FAF4C2C9-B98D-F144-960C-BC39FB60EF4A}"/>
    <hyperlink ref="C1238" r:id="rId443" location="color-yellow-2" display="https://zeke.github.io/primer-cheatsheet/ - color-yellow-2" xr:uid="{74FACABE-9141-F947-8262-154F09F75211}"/>
    <hyperlink ref="C1240" r:id="rId444" location="color-yellow-3" display="https://zeke.github.io/primer-cheatsheet/ - color-yellow-3" xr:uid="{473BAD5A-611A-D34B-97A2-8AFAF034631A}"/>
    <hyperlink ref="C1242" r:id="rId445" location="color-yellow-4" display="https://zeke.github.io/primer-cheatsheet/ - color-yellow-4" xr:uid="{EC1264ED-B13A-B149-BEF6-8C836DB5063A}"/>
    <hyperlink ref="C1244" r:id="rId446" location="color-yellow-5" display="https://zeke.github.io/primer-cheatsheet/ - color-yellow-5" xr:uid="{0326B814-055D-9240-A9F5-7093A83C4134}"/>
    <hyperlink ref="C1246" r:id="rId447" location="color-yellow-6" display="https://zeke.github.io/primer-cheatsheet/ - color-yellow-6" xr:uid="{275051E3-0CB0-DC44-9F40-A27CD39E5711}"/>
    <hyperlink ref="C1248" r:id="rId448" location="color-yellow-7" display="https://zeke.github.io/primer-cheatsheet/ - color-yellow-7" xr:uid="{A04DE7CB-08BE-004C-922C-81C738384836}"/>
    <hyperlink ref="C1250" r:id="rId449" location="color-yellow-8" display="https://zeke.github.io/primer-cheatsheet/ - color-yellow-8" xr:uid="{971EC570-F1C0-6B48-9B6D-D29587141068}"/>
    <hyperlink ref="C1252" r:id="rId450" location="color-yellow-9" display="https://zeke.github.io/primer-cheatsheet/ - color-yellow-9" xr:uid="{F206E980-34E5-1F4A-ABD1-8548A857212A}"/>
    <hyperlink ref="C1254" r:id="rId451" location="composer-comment-form-textarea" display="https://zeke.github.io/primer-cheatsheet/ - composer-comment-form-textarea" xr:uid="{DC21F556-8A54-594C-9DDE-2944626C6467}"/>
    <hyperlink ref="C1257" r:id="rId452" location="composer-tabnav" display="https://zeke.github.io/primer-cheatsheet/ - composer-tabnav" xr:uid="{204E7260-59AB-4648-A93F-F9EE88C48D6F}"/>
    <hyperlink ref="C1259" r:id="rId453" location="container-lg" display="https://zeke.github.io/primer-cheatsheet/ - container-lg" xr:uid="{9CCD71CE-3489-7D48-BB59-86BC6D93A285}"/>
    <hyperlink ref="C1263" r:id="rId454" location="container-md" display="https://zeke.github.io/primer-cheatsheet/ - container-md" xr:uid="{EABBA5BA-1F39-FA46-ADCC-DA0FAAA5EF9C}"/>
    <hyperlink ref="C1267" r:id="rId455" location="container-sm" display="https://zeke.github.io/primer-cheatsheet/ - container-sm" xr:uid="{3C8888C1-A413-BD4F-8E19-5578FBBB6D17}"/>
    <hyperlink ref="C1271" r:id="rId456" location="container-xl" display="https://zeke.github.io/primer-cheatsheet/ - container-xl" xr:uid="{D8D34D02-B0C5-4D4C-AF6E-030BE000C21B}"/>
    <hyperlink ref="C1275" r:id="rId457" location="counter" display="https://zeke.github.io/primer-cheatsheet/ - counter" xr:uid="{9218B64A-CCA6-7B4B-B706-D114E8DB1931}"/>
    <hyperlink ref="C1284" r:id="rId458" location="counter-gray" display="https://zeke.github.io/primer-cheatsheet/ - counter-gray" xr:uid="{3263B459-F4BA-E949-B2AC-6EAD32028F08}"/>
    <hyperlink ref="C1287" r:id="rId459" location="counter-gray-light" display="https://zeke.github.io/primer-cheatsheet/ - counter-gray-light" xr:uid="{665794FF-7BDD-6144-BFDF-72B993E5747D}"/>
    <hyperlink ref="C1290" r:id="rId460" location="counter-empty" display="https://zeke.github.io/primer-cheatsheet/ - counter-empty" xr:uid="{1A2B3753-7768-8B44-8A8C-7C87AF338882}"/>
    <hyperlink ref="C1292" r:id="rId461" location="css-truncate-css-truncate-overflow" display="https://zeke.github.io/primer-cheatsheet/ - css-truncate-css-truncate-overflow" xr:uid="{F6761729-EB36-4C49-8900-8467A7278995}"/>
    <hyperlink ref="C1296" r:id="rId462" location="css-truncate-css-truncate-target" display="https://zeke.github.io/primer-cheatsheet/ - css-truncate-css-truncate-target" xr:uid="{D64F1386-9A0D-C943-B9A3-0A6A88FF772D}"/>
    <hyperlink ref="C1300" r:id="rId463" location="css-truncate-expandable-zeroclipboard-is-hover-css-truncate-target" display="https://zeke.github.io/primer-cheatsheet/ - css-truncate-expandable-zeroclipboard-is-hover-css-truncate-target" xr:uid="{F135F9D1-CB7B-8941-BF3B-73DD56957B67}"/>
    <hyperlink ref="C1302" r:id="rId464" location="d-block" display="https://zeke.github.io/primer-cheatsheet/ - d-block" xr:uid="{7A15F6BA-AD6A-CE4F-A66E-E6B4C97F0FF9}"/>
    <hyperlink ref="C1304" r:id="rId465" location="d-flex" display="https://zeke.github.io/primer-cheatsheet/ - d-flex" xr:uid="{1C1D13BB-8C4F-3244-863C-6379B2CD1212}"/>
    <hyperlink ref="C1306" r:id="rId466" location="d-inline" display="https://zeke.github.io/primer-cheatsheet/ - d-inline" xr:uid="{FBC23932-82F3-5146-BE67-AA1F6BE1364C}"/>
    <hyperlink ref="C1308" r:id="rId467" location="d-inline-block" display="https://zeke.github.io/primer-cheatsheet/ - d-inline-block" xr:uid="{1C1EF589-A261-A949-82B6-CFD35F359997}"/>
    <hyperlink ref="C1310" r:id="rId468" location="d-inline-flex" display="https://zeke.github.io/primer-cheatsheet/ - d-inline-flex" xr:uid="{A2DBD902-595B-2F4A-8AC1-BB249D0DF4BB}"/>
    <hyperlink ref="C1312" r:id="rId469" location="d-none" display="https://zeke.github.io/primer-cheatsheet/ - d-none" xr:uid="{6213F559-EB5A-1442-87B3-7462A33A121C}"/>
    <hyperlink ref="C1314" r:id="rId470" location="d-table" display="https://zeke.github.io/primer-cheatsheet/ - d-table" xr:uid="{D6084A7E-F556-4D49-8E73-F373D7971C95}"/>
    <hyperlink ref="C1316" r:id="rId471" location="d-table-cell" display="https://zeke.github.io/primer-cheatsheet/ - d-table-cell" xr:uid="{DAD49A68-75D4-EB48-BB8A-515CD8D47FC0}"/>
    <hyperlink ref="C1318" r:id="rId472" location="dashed-connection" display="https://zeke.github.io/primer-cheatsheet/ - dashed-connection" xr:uid="{6802F350-B7B0-1B4E-88D5-C5DD3EDB789F}"/>
    <hyperlink ref="C1320" r:id="rId473" location="dashed-connection-circle-badge" display="https://zeke.github.io/primer-cheatsheet/ - dashed-connection-circle-badge" xr:uid="{23C17EF7-6F11-FC41-8DA2-51CC5E77DB63}"/>
    <hyperlink ref="C1322" r:id="rId474" location="dashed-connection-before" display="https://zeke.github.io/primer-cheatsheet/ - dashed-connection-before" xr:uid="{7217B81B-32E2-0C4C-8D7D-55CD1A152E3D}"/>
    <hyperlink ref="C1329" r:id="rId475" location="details-overlay-dark-open-summary-before" display="https://zeke.github.io/primer-cheatsheet/ - details-overlay-dark-open-summary-before" xr:uid="{32916A86-A358-1B47-9A1D-C444395522A9}"/>
    <hyperlink ref="C1332" r:id="rId476" location="details-overlay-open-summary-before" display="https://zeke.github.io/primer-cheatsheet/ - details-overlay-open-summary-before" xr:uid="{F76447EB-E263-D14E-8887-FE8D7A541098}"/>
    <hyperlink ref="C1343" r:id="rId477" location="details-reset-summary" display="https://zeke.github.io/primer-cheatsheet/ - details-reset-summary" xr:uid="{BC38E5E9-30B9-2443-BBEB-8B1BF3CD2151}"/>
    <hyperlink ref="C1345" r:id="rId478" location="details-reset-summary-webkit-details-marker" display="https://zeke.github.io/primer-cheatsheet/ - details-reset-summary-webkit-details-marker" xr:uid="{8E233970-5F1E-C740-852E-CC34EA2B74BA}"/>
    <hyperlink ref="C1347" r:id="rId479" location="details-reset-summary-before" display="https://zeke.github.io/primer-cheatsheet/ - details-reset-summary-before" xr:uid="{1CD4D374-3A43-1640-9391-15B43F40A687}"/>
    <hyperlink ref="C1349" r:id="rId480" location="diffstat" display="https://zeke.github.io/primer-cheatsheet/ - diffstat" xr:uid="{9983A645-8572-4444-BF6A-E12A91D10E6D}"/>
    <hyperlink ref="C1355" r:id="rId481" location="diffstat-block-added" display="https://zeke.github.io/primer-cheatsheet/ - diffstat-block-added" xr:uid="{C5984966-5CC0-BE41-8631-BDC53C6F8760}"/>
    <hyperlink ref="C1357" r:id="rId482" location="diffstat-block-deleted" display="https://zeke.github.io/primer-cheatsheet/ - diffstat-block-deleted" xr:uid="{58BC6A4A-554C-4244-BAC1-9C8D4EC6E2B0}"/>
    <hyperlink ref="C1362" r:id="rId483" location="diffstat-block-deleted" display="https://zeke.github.io/primer-cheatsheet/ - diffstat-block-deleted" xr:uid="{DCE0E2A5-AB86-7344-ABAB-61F08E3E2ACD}"/>
    <hyperlink ref="C1364" r:id="rId484" location="diffstat-block-neutral" display="https://zeke.github.io/primer-cheatsheet/ - diffstat-block-neutral" xr:uid="{4424DA2C-326E-E045-B2C0-ECB1D0D19FF1}"/>
    <hyperlink ref="C1366" r:id="rId485" location="direction-ltr" display="https://zeke.github.io/primer-cheatsheet/ - direction-ltr" xr:uid="{C5C6456A-F4D1-EA42-BCDB-E38322DD0D92}"/>
    <hyperlink ref="C1368" r:id="rId486" location="direction-rtl" display="https://zeke.github.io/primer-cheatsheet/ - direction-rtl" xr:uid="{1EE5CEB5-A2D0-F14C-B471-9ACC0A82B4E8}"/>
    <hyperlink ref="C1370" r:id="rId487" location="drag-and-drop" display="https://zeke.github.io/primer-cheatsheet/ - drag-and-drop" xr:uid="{E9CA28B2-A185-1944-8BDE-5A9D3E2C61D6}"/>
    <hyperlink ref="C1381" r:id="rId488" location="drag-and-drop-default" display="https://zeke.github.io/primer-cheatsheet/ - drag-and-drop-default" xr:uid="{D1361AF7-9A94-1345-8E35-CBC375770822}"/>
    <hyperlink ref="C1383" r:id="rId489" location="drag-and-drop-error" display="https://zeke.github.io/primer-cheatsheet/ - drag-and-drop-error" xr:uid="{A5F95C4F-C785-A140-8549-4A1D9C17023C}"/>
    <hyperlink ref="C1385" r:id="rId490" location="drag-and-drop-img" display="https://zeke.github.io/primer-cheatsheet/ - drag-and-drop-img" xr:uid="{0848098F-C5BC-A44E-B473-66DCF4747AAE}"/>
    <hyperlink ref="C1387" r:id="rId491" location="drag-and-drop-error-info" display="https://zeke.github.io/primer-cheatsheet/ - drag-and-drop-error-info" xr:uid="{A5385EEA-78C2-E148-85B7-2ECC3A804761}"/>
    <hyperlink ref="C1390" r:id="rId492" location="drag-and-drop-error-info-a" display="https://zeke.github.io/primer-cheatsheet/ - drag-and-drop-error-info-a" xr:uid="{4231D992-A204-CD4B-AF0D-855D0C4556E3}"/>
    <hyperlink ref="C1392" r:id="rId493" location="dragover-textarea" display="https://zeke.github.io/primer-cheatsheet/ - dragover-textarea" xr:uid="{713AE771-2AC7-8947-B359-5E05D4E8D2DF}"/>
    <hyperlink ref="C1394" r:id="rId494" location="dropdown" display="https://zeke.github.io/primer-cheatsheet/ - dropdown" xr:uid="{C1840CC5-3EC1-A943-AC4F-6299302B5DA9}"/>
    <hyperlink ref="C1396" r:id="rId495" location="dropdown-caret" display="https://zeke.github.io/primer-cheatsheet/ - dropdown-caret" xr:uid="{B71DF3E5-B7E0-3E46-AFC5-B8C969D9652C}"/>
    <hyperlink ref="C1407" r:id="rId496" location="dropdown-divider" display="https://zeke.github.io/primer-cheatsheet/ - dropdown-divider" xr:uid="{CCA67C37-7F17-C14E-BE08-4AED51DB08E6}"/>
    <hyperlink ref="C1412" r:id="rId497" location="dropdown-header" display="https://zeke.github.io/primer-cheatsheet/ - dropdown-header" xr:uid="{FA8951B7-658D-DF40-842F-3B3ED8FA8EB2}"/>
    <hyperlink ref="C1416" r:id="rId498" location="dropdown-item" display="https://zeke.github.io/primer-cheatsheet/ - dropdown-item" xr:uid="{8C16093D-38CD-9947-87B2-A9CB137FA23C}"/>
    <hyperlink ref="C1423" r:id="rId499" location="dropdown-item-focus" display="https://zeke.github.io/primer-cheatsheet/ - dropdown-item-focus" xr:uid="{E9E0F408-0E6D-3C4E-8259-A0DBADA0957F}"/>
    <hyperlink ref="C1428" r:id="rId500" location="dropdown-item-focus-octicon" display="https://zeke.github.io/primer-cheatsheet/ - dropdown-item-focus-octicon" xr:uid="{0CB39C1A-41FB-184A-B36A-079F4B632DE3}"/>
    <hyperlink ref="C1431" r:id="rId501" location="dropdown-item-btn-link" display="https://zeke.github.io/primer-cheatsheet/ - dropdown-item-btn-link" xr:uid="{968EA48A-CD78-B344-91E7-8648715EC233}"/>
    <hyperlink ref="C1434" r:id="rId502" location="dropdown-item-aria-checked-false-octicon-check" display="https://zeke.github.io/primer-cheatsheet/ - dropdown-item-aria-checked-false-octicon-check" xr:uid="{B24FB178-B44E-014B-9A1F-532FAE0D9C64}"/>
    <hyperlink ref="C1436" r:id="rId503" location="dropdown-menu" display="https://zeke.github.io/primer-cheatsheet/ - dropdown-menu" xr:uid="{643ED25D-0D4F-0E4E-8F65-65CDF75BD980}"/>
    <hyperlink ref="C1451" r:id="rId504" location="dropdown-menu-dark" display="https://zeke.github.io/primer-cheatsheet/ - dropdown-menu-dark" xr:uid="{93007F13-CCE4-8441-A21E-54A513AFF99D}"/>
    <hyperlink ref="C1456" r:id="rId505" location="dropdown-menu-dark-dropdown-divider" display="https://zeke.github.io/primer-cheatsheet/ - dropdown-menu-dark-dropdown-divider" xr:uid="{578470E6-35F1-BC4E-8469-C6BACA15B78F}"/>
    <hyperlink ref="C1458" r:id="rId506" location="dropdown-menu-dark-dropdown-header" display="https://zeke.github.io/primer-cheatsheet/ - dropdown-menu-dark-dropdown-header" xr:uid="{120998E9-DC01-974C-B17E-40914D5A3A84}"/>
    <hyperlink ref="C1460" r:id="rId507" location="dropdown-menu-dark-dropdown-item" display="https://zeke.github.io/primer-cheatsheet/ - dropdown-menu-dark-dropdown-item" xr:uid="{6A392CAB-9528-A348-ABC8-99D937337404}"/>
    <hyperlink ref="C1462" r:id="rId508" location="dropdown-menu-dark-after" display="https://zeke.github.io/primer-cheatsheet/ - dropdown-menu-dark-after" xr:uid="{D9D2E45F-6A6D-C24A-B5B8-2F34230C96A4}"/>
    <hyperlink ref="C1464" r:id="rId509" location="dropdown-menu-dark-before" display="https://zeke.github.io/primer-cheatsheet/ - dropdown-menu-dark-before" xr:uid="{0ED6D4A2-61D1-F24A-A22F-2EB36632CC3C}"/>
    <hyperlink ref="C1466" r:id="rId510" location="dropdown-menu-dark-dropdown-menu-e-after" display="https://zeke.github.io/primer-cheatsheet/ - dropdown-menu-dark-dropdown-menu-e-after" xr:uid="{65E3FB5E-897B-104F-B433-E6B959F10A21}"/>
    <hyperlink ref="C1468" r:id="rId511" location="dropdown-menu-dark-dropdown-menu-e-before" display="https://zeke.github.io/primer-cheatsheet/ - dropdown-menu-dark-dropdown-menu-e-before" xr:uid="{51966E38-1524-DD41-9B06-554040601D77}"/>
    <hyperlink ref="C1470" r:id="rId512" location="dropdown-menu-dark-dropdown-menu-ne-after" display="https://zeke.github.io/primer-cheatsheet/ - dropdown-menu-dark-dropdown-menu-ne-after" xr:uid="{B41E56F9-C437-7245-9240-246D2C8D131B}"/>
    <hyperlink ref="C1472" r:id="rId513" location="dropdown-menu-dark-dropdown-menu-ne-before" display="https://zeke.github.io/primer-cheatsheet/ - dropdown-menu-dark-dropdown-menu-ne-before" xr:uid="{900D7C8F-D166-A848-BED9-ACDF80E7522E}"/>
    <hyperlink ref="C1474" r:id="rId514" location="dropdown-menu-dark-dropdown-menu-w-after" display="https://zeke.github.io/primer-cheatsheet/ - dropdown-menu-dark-dropdown-menu-w-after" xr:uid="{EC2636DA-93A6-2943-9F2B-65481225130C}"/>
    <hyperlink ref="C1476" r:id="rId515" location="dropdown-menu-dark-dropdown-menu-w-before" display="https://zeke.github.io/primer-cheatsheet/ - dropdown-menu-dark-dropdown-menu-w-before" xr:uid="{9A5B6B45-40D2-004E-89C0-AC9EFD144669}"/>
    <hyperlink ref="C1478" r:id="rId516" location="dropdown-menu-e" display="https://zeke.github.io/primer-cheatsheet/ - dropdown-menu-e" xr:uid="{CE55DC29-469E-8344-AA3B-3C5D1C0CAECB}"/>
    <hyperlink ref="C1484" r:id="rId517" location="dropdown-menu-e-after" display="https://zeke.github.io/primer-cheatsheet/ - dropdown-menu-e-after" xr:uid="{C3BBE84E-BC31-454B-B932-5273B3A9D607}"/>
    <hyperlink ref="C1489" r:id="rId518" location="dropdown-menu-e-before" display="https://zeke.github.io/primer-cheatsheet/ - dropdown-menu-e-before" xr:uid="{0A0703BA-54A7-ED44-B305-B7FDA722113A}"/>
    <hyperlink ref="C1494" r:id="rId519" location="dropdown-menu-ne" display="https://zeke.github.io/primer-cheatsheet/ - dropdown-menu-ne" xr:uid="{F6515198-B28A-8340-A41E-191FCCE15EE0}"/>
    <hyperlink ref="C1499" r:id="rId520" location="dropdown-menu-ne-after" display="https://zeke.github.io/primer-cheatsheet/ - dropdown-menu-ne-after" xr:uid="{507E861E-5FCC-7A48-86D7-F7ED20A5CC9F}"/>
    <hyperlink ref="C1506" r:id="rId521" location="dropdown-menu-ne-before" display="https://zeke.github.io/primer-cheatsheet/ - dropdown-menu-ne-before" xr:uid="{6240ED6B-ABF4-F14C-BE29-A111B1987D4F}"/>
    <hyperlink ref="C1509" r:id="rId522" location="dropdown-menu-ne-before" display="https://zeke.github.io/primer-cheatsheet/ - dropdown-menu-ne-before" xr:uid="{E56F9C0B-9DAA-7743-B9ED-C5E89898C60B}"/>
    <hyperlink ref="C1516" r:id="rId523" location="dropdown-menu-no-overflow" display="https://zeke.github.io/primer-cheatsheet/ - dropdown-menu-no-overflow" xr:uid="{F0BA3B17-A991-DE4C-9E86-D28051394932}"/>
    <hyperlink ref="C1518" r:id="rId524" location="dropdown-menu-no-overflow-dropdown-item" display="https://zeke.github.io/primer-cheatsheet/ - dropdown-menu-no-overflow-dropdown-item" xr:uid="{412DDF78-529A-8E41-8142-E977EB9344DC}"/>
    <hyperlink ref="C1522" r:id="rId525" location="dropdown-menu-s" display="https://zeke.github.io/primer-cheatsheet/ - dropdown-menu-s" xr:uid="{8FE7DC4D-46EC-3A46-A3EF-88B5A6029A5E}"/>
    <hyperlink ref="C1526" r:id="rId526" location="dropdown-menu-s-after" display="https://zeke.github.io/primer-cheatsheet/ - dropdown-menu-s-after" xr:uid="{BEC83514-7F86-7348-9110-4651846755CF}"/>
    <hyperlink ref="C1530" r:id="rId527" location="dropdown-menu-s-before" display="https://zeke.github.io/primer-cheatsheet/ - dropdown-menu-s-before" xr:uid="{9FFBEFF8-46D0-4E40-B450-A1BDB50BD20F}"/>
    <hyperlink ref="C1534" r:id="rId528" location="dropdown-menu-se-after" display="https://zeke.github.io/primer-cheatsheet/ - dropdown-menu-se-after" xr:uid="{3982053D-9466-C740-AF6B-08AAD84799F2}"/>
    <hyperlink ref="C1537" r:id="rId529" location="dropdown-menu-se-before" display="https://zeke.github.io/primer-cheatsheet/ - dropdown-menu-se-before" xr:uid="{05B2D338-6D09-B747-A115-3253C6549B4A}"/>
    <hyperlink ref="C1540" r:id="rId530" location="dropdown-menu-sw" display="https://zeke.github.io/primer-cheatsheet/ - dropdown-menu-sw" xr:uid="{FF976836-DF68-014C-9267-8BB361529E78}"/>
    <hyperlink ref="C1543" r:id="rId531" location="dropdown-menu-sw-after" display="https://zeke.github.io/primer-cheatsheet/ - dropdown-menu-sw-after" xr:uid="{79A2A0C0-3C7A-6F42-93CE-63ECDB7C406F}"/>
    <hyperlink ref="C1547" r:id="rId532" location="dropdown-menu-sw-before" display="https://zeke.github.io/primer-cheatsheet/ - dropdown-menu-sw-before" xr:uid="{C635B01B-41CD-8D4C-AF49-305D7CACCDFA}"/>
    <hyperlink ref="C1551" r:id="rId533" location="dropdown-menu-w" display="https://zeke.github.io/primer-cheatsheet/ - dropdown-menu-w" xr:uid="{80B04702-F9A2-6C4D-B437-A23B645C03A8}"/>
    <hyperlink ref="C1558" r:id="rId534" location="dropdown-menu-w-after" display="https://zeke.github.io/primer-cheatsheet/ - dropdown-menu-w-after" xr:uid="{599B6BEA-94F7-9B48-BFFF-E7CA1775321D}"/>
    <hyperlink ref="C1564" r:id="rId535" location="dropdown-menu-w-before" display="https://zeke.github.io/primer-cheatsheet/ - dropdown-menu-w-before" xr:uid="{AD6AAA84-A591-6640-BF91-7506C382EA43}"/>
    <hyperlink ref="C1570" r:id="rId536" location="dropdown-menu-after" display="https://zeke.github.io/primer-cheatsheet/ - dropdown-menu-after" xr:uid="{ADC793EF-00AB-E444-8D1B-16DBB3A1D948}"/>
    <hyperlink ref="C1573" r:id="rId537" location="dropdown-menu-before" display="https://zeke.github.io/primer-cheatsheet/ - dropdown-menu-before" xr:uid="{817237D9-B21E-3A4D-89C3-E5B9D9693193}"/>
    <hyperlink ref="C1577" r:id="rId538" location="dropdown-menu-before" display="https://zeke.github.io/primer-cheatsheet/ - dropdown-menu-before" xr:uid="{A8B1124B-CC55-5448-A7E8-3B9133BE1A4E}"/>
    <hyperlink ref="C1580" r:id="rId539" location="dropdown-menu-ul" display="https://zeke.github.io/primer-cheatsheet/ - dropdown-menu-ul" xr:uid="{12F3EAD8-5433-8645-B19B-541190230CED}"/>
    <hyperlink ref="C1582" r:id="rId540" location="dropdown-signout" display="https://zeke.github.io/primer-cheatsheet/ - dropdown-signout" xr:uid="{DE1F6A1A-0E3B-3D4E-B581-48AF43F630BD}"/>
    <hyperlink ref="C1587" r:id="rId541" location="f0-light" display="https://zeke.github.io/primer-cheatsheet/ - f0-light" xr:uid="{01B038DD-4BF1-2A4B-99BC-57E1B48ED96A}"/>
    <hyperlink ref="C1590" r:id="rId542" location="f00-light" display="https://zeke.github.io/primer-cheatsheet/ - f00-light" xr:uid="{D63DF913-8BDC-9E45-A5A2-CC111769B933}"/>
    <hyperlink ref="C1593" r:id="rId543" location="f1" display="https://zeke.github.io/primer-cheatsheet/ - f1" xr:uid="{BF5C6D63-26E8-A647-B736-79F13955F670}"/>
    <hyperlink ref="C1595" r:id="rId544" location="f1-light" display="https://zeke.github.io/primer-cheatsheet/ - f1-light" xr:uid="{C34D2E8A-02ED-6C4C-9EA4-166366DB86D7}"/>
    <hyperlink ref="C1598" r:id="rId545" location="f2" display="https://zeke.github.io/primer-cheatsheet/ - f2" xr:uid="{C9A5AD0F-3CE9-9149-A0B4-0C06D9340CF6}"/>
    <hyperlink ref="C1600" r:id="rId546" location="f2-light" display="https://zeke.github.io/primer-cheatsheet/ - f2-light" xr:uid="{551C6BAE-2948-1D43-92B5-4356127F3A59}"/>
    <hyperlink ref="C1603" r:id="rId547" location="f3" display="https://zeke.github.io/primer-cheatsheet/ - f3" xr:uid="{45528758-2B0D-9349-BE9D-98E38BA68D5B}"/>
    <hyperlink ref="C1605" r:id="rId548" location="f3-light" display="https://zeke.github.io/primer-cheatsheet/ - f3-light" xr:uid="{C1DC77EA-29A7-EF43-B1E5-62A669A36BE6}"/>
    <hyperlink ref="C1608" r:id="rId549" location="f4" display="https://zeke.github.io/primer-cheatsheet/ - f4" xr:uid="{E0853B79-6ACD-1247-9FA6-02641B92F658}"/>
    <hyperlink ref="C1610" r:id="rId550" location="f5" display="https://zeke.github.io/primer-cheatsheet/ - f5" xr:uid="{9719D2F5-60FB-E842-BB28-651BE8A27A50}"/>
    <hyperlink ref="C1612" r:id="rId551" location="f6" display="https://zeke.github.io/primer-cheatsheet/ - f6" xr:uid="{BA52263E-E9FD-FB41-AE15-69DA588254BF}"/>
    <hyperlink ref="C1614" r:id="rId552" location="filter-item" display="https://zeke.github.io/primer-cheatsheet/ - filter-item" xr:uid="{2D91AAAF-EA84-7046-AB81-8AF91BC51E19}"/>
    <hyperlink ref="C1627" r:id="rId553" location="filter-item-bar" display="https://zeke.github.io/primer-cheatsheet/ - filter-item-bar" xr:uid="{9ED94AFF-6A30-A24C-B372-E751339F0499}"/>
    <hyperlink ref="C1635" r:id="rId554" location="filter-item-count" display="https://zeke.github.io/primer-cheatsheet/ - filter-item-count" xr:uid="{E19F8559-0945-274E-BFB4-A848D1EC193E}"/>
    <hyperlink ref="C1638" r:id="rId555" location="filter-item-hover" display="https://zeke.github.io/primer-cheatsheet/ - filter-item-hover" xr:uid="{B6B15F36-3648-B044-897B-5225E7E4465A}"/>
    <hyperlink ref="C1641" r:id="rId556" location="filter-item-selected" display="https://zeke.github.io/primer-cheatsheet/ - filter-item-selected" xr:uid="{421AE09C-59BC-4742-B676-E3E7D6049335}"/>
    <hyperlink ref="C1644" r:id="rId557" location="filter-list" display="https://zeke.github.io/primer-cheatsheet/ - filter-list" xr:uid="{18425811-B9AC-9249-9C44-6642DCB6BE3B}"/>
    <hyperlink ref="C1646" r:id="rId558" location="filter-list-pjax-active-filter-item" display="https://zeke.github.io/primer-cheatsheet/ - filter-list-pjax-active-filter-item" xr:uid="{C81E333A-33C8-8349-A93F-10D1BFB1F841}"/>
    <hyperlink ref="C1649" r:id="rId559" location="filter-list-pjax-active-filter-item-pjax-active" display="https://zeke.github.io/primer-cheatsheet/ - filter-list-pjax-active-filter-item-pjax-active" xr:uid="{3AF8EFB6-12B5-1147-ABE8-CDB7E42BECA5}"/>
    <hyperlink ref="C1652" r:id="rId560" location="filter-list-small-filter-item" display="https://zeke.github.io/primer-cheatsheet/ - filter-list-small-filter-item" xr:uid="{E47D3044-5333-4B42-B7A5-3FB51DD705E1}"/>
    <hyperlink ref="C1656" r:id="rId561" location="flash" display="https://zeke.github.io/primer-cheatsheet/ - flash" xr:uid="{F03B0494-9513-CE4E-B536-8DD987F1E1FD}"/>
    <hyperlink ref="C1663" r:id="rId562" location="flash-p-last-child" display="https://zeke.github.io/primer-cheatsheet/ - flash-p-last-child" xr:uid="{AC289237-4958-674F-A118-B71EA3D84AE7}"/>
    <hyperlink ref="C1665" r:id="rId563" location="flash-action" display="https://zeke.github.io/primer-cheatsheet/ - flash-action" xr:uid="{578BD5A2-C733-DB48-BC0D-C37477298A0E}"/>
    <hyperlink ref="C1669" r:id="rId564" location="flash-banner" display="https://zeke.github.io/primer-cheatsheet/ - flash-banner" xr:uid="{A1EA3DDE-B191-874E-8265-2157D661BA4F}"/>
    <hyperlink ref="C1678" r:id="rId565" location="flash-close" display="https://zeke.github.io/primer-cheatsheet/ - flash-close" xr:uid="{0F8A7373-A200-0841-9720-62C7A11BC72F}"/>
    <hyperlink ref="C1691" r:id="rId566" location="flash-close-hover" display="https://zeke.github.io/primer-cheatsheet/ - flash-close-hover" xr:uid="{6D890AD7-A392-2C4C-8811-E506AEE49ABB}"/>
    <hyperlink ref="C1693" r:id="rId567" location="flash-error" display="https://zeke.github.io/primer-cheatsheet/ - flash-error" xr:uid="{81EA7F1B-C16C-6048-A12B-A263C5C4D1CE}"/>
    <hyperlink ref="C1697" r:id="rId568" location="flash-full" display="https://zeke.github.io/primer-cheatsheet/ - flash-full" xr:uid="{866F6BE2-870E-024D-AB4C-D1440F29B00F}"/>
    <hyperlink ref="C1701" r:id="rId569" location="flash-messages" display="https://zeke.github.io/primer-cheatsheet/ - flash-messages" xr:uid="{226903D7-FFEF-B04E-9EC6-775D5C8D741C}"/>
    <hyperlink ref="C1703" r:id="rId570" location="flash-success" display="https://zeke.github.io/primer-cheatsheet/ - flash-success" xr:uid="{2BC14456-5AE4-7B46-8F1F-D58318AF9E88}"/>
    <hyperlink ref="C1707" r:id="rId571" location="flash-warn" display="https://zeke.github.io/primer-cheatsheet/ - flash-warn" xr:uid="{7E7E3295-D9B7-0F44-84F4-63061BCA54CE}"/>
    <hyperlink ref="C1711" r:id="rId572" location="flex-1" display="https://zeke.github.io/primer-cheatsheet/ - flex-1" xr:uid="{0A6EC24C-B2CA-5344-9BAF-A02722A29D57}"/>
    <hyperlink ref="C1713" r:id="rId573" location="flex-auto" display="https://zeke.github.io/primer-cheatsheet/ - flex-auto" xr:uid="{8090867E-DD49-074D-81B0-7BF69DD5524B}"/>
    <hyperlink ref="C1715" r:id="rId574" location="flex-column" display="https://zeke.github.io/primer-cheatsheet/ - flex-column" xr:uid="{3CA8A37F-CA98-E443-9BA0-95E47DB4F6E2}"/>
    <hyperlink ref="C1717" r:id="rId575" location="flex-column-reverse" display="https://zeke.github.io/primer-cheatsheet/ - flex-column-reverse" xr:uid="{BB0A493E-2D51-8044-92DD-67BBB6BE8A4E}"/>
    <hyperlink ref="C1719" r:id="rId576" location="flex-content-around" display="https://zeke.github.io/primer-cheatsheet/ - flex-content-around" xr:uid="{793D9556-2F83-0942-9AA9-CBC9FDB8EC05}"/>
    <hyperlink ref="C1721" r:id="rId577" location="flex-content-between" display="https://zeke.github.io/primer-cheatsheet/ - flex-content-between" xr:uid="{ACB5CA39-49C3-6043-B0C5-2851336A70FE}"/>
    <hyperlink ref="C1723" r:id="rId578" location="flex-content-center" display="https://zeke.github.io/primer-cheatsheet/ - flex-content-center" xr:uid="{F969FF51-15F1-934D-9385-31B26FEBF886}"/>
    <hyperlink ref="C1725" r:id="rId579" location="flex-content-end" display="https://zeke.github.io/primer-cheatsheet/ - flex-content-end" xr:uid="{BCD88C93-BC7F-1042-A121-80244D392BCB}"/>
    <hyperlink ref="C1727" r:id="rId580" location="flex-content-start" display="https://zeke.github.io/primer-cheatsheet/ - flex-content-start" xr:uid="{3C9173F5-D77B-BF45-B227-4197737F5357}"/>
    <hyperlink ref="C1729" r:id="rId581" location="flex-content-stretch" display="https://zeke.github.io/primer-cheatsheet/ - flex-content-stretch" xr:uid="{C9FA49F1-97B2-5F44-A842-436917F2C8FC}"/>
    <hyperlink ref="C1731" r:id="rId582" location="flex-grow-0" display="https://zeke.github.io/primer-cheatsheet/ - flex-grow-0" xr:uid="{DD886C40-B7F9-7344-95F4-A42F2DD84C39}"/>
    <hyperlink ref="C1733" r:id="rId583" location="flex-items-baseline" display="https://zeke.github.io/primer-cheatsheet/ - flex-items-baseline" xr:uid="{CE430C21-2E6F-C44F-AAD0-13105F94F5FF}"/>
    <hyperlink ref="C1735" r:id="rId584" location="flex-items-center" display="https://zeke.github.io/primer-cheatsheet/ - flex-items-center" xr:uid="{4D3671D5-8F24-714F-8FD7-3AC1B8F65181}"/>
    <hyperlink ref="C1737" r:id="rId585" location="flex-items-end" display="https://zeke.github.io/primer-cheatsheet/ - flex-items-end" xr:uid="{1AA5DBC7-0FCB-2142-8F7D-AE01BB5D2BDE}"/>
    <hyperlink ref="C1739" r:id="rId586" location="flex-items-start" display="https://zeke.github.io/primer-cheatsheet/ - flex-items-start" xr:uid="{7D5C3B48-3F0A-374E-B6A7-BBA55984DB43}"/>
    <hyperlink ref="C1741" r:id="rId587" location="flex-items-stretch" display="https://zeke.github.io/primer-cheatsheet/ - flex-items-stretch" xr:uid="{B06134C2-08B2-FF4C-9A16-DE323C262663}"/>
    <hyperlink ref="C1743" r:id="rId588" location="flex-justify-around" display="https://zeke.github.io/primer-cheatsheet/ - flex-justify-around" xr:uid="{C255963F-8D6D-DA44-93A5-326EB20678B4}"/>
    <hyperlink ref="C1745" r:id="rId589" location="flex-justify-between" display="https://zeke.github.io/primer-cheatsheet/ - flex-justify-between" xr:uid="{760E860B-0481-9A4D-8297-290BA0B8BF2A}"/>
    <hyperlink ref="C1747" r:id="rId590" location="flex-justify-center" display="https://zeke.github.io/primer-cheatsheet/ - flex-justify-center" xr:uid="{AE20B5D5-E5D6-F94B-A904-D59678361EC9}"/>
    <hyperlink ref="C1749" r:id="rId591" location="flex-justify-end" display="https://zeke.github.io/primer-cheatsheet/ - flex-justify-end" xr:uid="{39AA5BCC-1F3D-C843-82C5-6427E87E1351}"/>
    <hyperlink ref="C1751" r:id="rId592" location="flex-justify-start" display="https://zeke.github.io/primer-cheatsheet/ - flex-justify-start" xr:uid="{85F6D685-9BFB-4248-B2DE-5ADFD8A936B4}"/>
    <hyperlink ref="C1753" r:id="rId593" location="flex-nowrap" display="https://zeke.github.io/primer-cheatsheet/ - flex-nowrap" xr:uid="{79ABECCD-3AE3-F34B-991B-1478F8526093}"/>
    <hyperlink ref="C1755" r:id="rId594" location="flex-order-1" display="https://zeke.github.io/primer-cheatsheet/ - flex-order-1" xr:uid="{8C0A8E5C-A034-D04E-9ECF-89999CAEA1E1}"/>
    <hyperlink ref="C1757" r:id="rId595" location="flex-order-2" display="https://zeke.github.io/primer-cheatsheet/ - flex-order-2" xr:uid="{0155ACC1-5113-0F40-AE92-B011F305F888}"/>
    <hyperlink ref="C1759" r:id="rId596" location="flex-order-none" display="https://zeke.github.io/primer-cheatsheet/ - flex-order-none" xr:uid="{01E1A6A5-1E9F-1643-A01A-6C0CDC6EF28D}"/>
    <hyperlink ref="C1761" r:id="rId597" location="flex-row" display="https://zeke.github.io/primer-cheatsheet/ - flex-row" xr:uid="{E3C9C0F2-C85A-914E-8D11-D7512D3D9AD5}"/>
    <hyperlink ref="C1763" r:id="rId598" location="flex-row-reverse" display="https://zeke.github.io/primer-cheatsheet/ - flex-row-reverse" xr:uid="{9F6219C0-1DD0-2C47-BEF0-F4C9C281BF5C}"/>
    <hyperlink ref="C1765" r:id="rId599" location="flex-self-auto" display="https://zeke.github.io/primer-cheatsheet/ - flex-self-auto" xr:uid="{981268EC-2CB8-7841-9DE2-6A656527D091}"/>
    <hyperlink ref="C1767" r:id="rId600" location="flex-self-baseline" display="https://zeke.github.io/primer-cheatsheet/ - flex-self-baseline" xr:uid="{9E1065F0-58C3-D846-87DA-CDB5880675C6}"/>
    <hyperlink ref="C1769" r:id="rId601" location="flex-self-center" display="https://zeke.github.io/primer-cheatsheet/ - flex-self-center" xr:uid="{9D7A6C68-02B8-194C-A4EF-3DCE0C69F72B}"/>
    <hyperlink ref="C1771" r:id="rId602" location="flex-self-end" display="https://zeke.github.io/primer-cheatsheet/ - flex-self-end" xr:uid="{8E09A3F3-6EFD-E34C-820A-7FA377E4CF80}"/>
    <hyperlink ref="C1773" r:id="rId603" location="flex-self-start" display="https://zeke.github.io/primer-cheatsheet/ - flex-self-start" xr:uid="{EDD65959-3BDA-1C43-A98A-EF434DBF703B}"/>
    <hyperlink ref="C1775" r:id="rId604" location="flex-self-stretch" display="https://zeke.github.io/primer-cheatsheet/ - flex-self-stretch" xr:uid="{EC68B43B-0864-6444-B071-A3A6E1A6C265}"/>
    <hyperlink ref="C1777" r:id="rId605" location="flex-shrink-0" display="https://zeke.github.io/primer-cheatsheet/ - flex-shrink-0" xr:uid="{14A8426E-10FC-274D-9270-EAB56282E5E8}"/>
    <hyperlink ref="C1779" r:id="rId606" location="flex-wrap" display="https://zeke.github.io/primer-cheatsheet/ - flex-wrap" xr:uid="{F91B609B-EA78-F147-A5DD-1BF68E0CC71C}"/>
    <hyperlink ref="C1781" r:id="rId607" location="float-left" display="https://zeke.github.io/primer-cheatsheet/ - float-left" xr:uid="{94E41E25-12DC-1145-8DFC-52FE0157EE04}"/>
    <hyperlink ref="C1783" r:id="rId608" location="float-none" display="https://zeke.github.io/primer-cheatsheet/ - float-none" xr:uid="{6C6BC7E8-F9D0-BC4F-82D4-755DBB238160}"/>
    <hyperlink ref="C1785" r:id="rId609" location="float-right" display="https://zeke.github.io/primer-cheatsheet/ - float-right" xr:uid="{03032DEE-D783-2349-9FD1-F84D02ABB280}"/>
    <hyperlink ref="C1787" r:id="rId610" location="form-action-spacious" display="https://zeke.github.io/primer-cheatsheet/ - form-action-spacious" xr:uid="{E520863E-73CE-7349-BA33-A001B5422579}"/>
    <hyperlink ref="C1789" r:id="rId611" location="form-actions-btn" display="https://zeke.github.io/primer-cheatsheet/ - form-actions-btn" xr:uid="{62C1E35A-ECC6-204A-A702-680837A99769}"/>
    <hyperlink ref="C1791" r:id="rId612" location="form-actions-btn-btn" display="https://zeke.github.io/primer-cheatsheet/ - form-actions-btn-btn" xr:uid="{11F42FC8-F8D6-044C-9E42-BC040B4806D9}"/>
    <hyperlink ref="C1793" r:id="rId613" location="form-actions-after" display="https://zeke.github.io/primer-cheatsheet/ - form-actions-after" xr:uid="{64572250-3B7C-8A49-82E9-CE37D9818176}"/>
    <hyperlink ref="C1797" r:id="rId614" location="form-actions-before" display="https://zeke.github.io/primer-cheatsheet/ - form-actions-before" xr:uid="{FDCFD0FF-38D2-CF44-A023-640D84919997}"/>
    <hyperlink ref="C1800" r:id="rId615" location="form-checkbox" display="https://zeke.github.io/primer-cheatsheet/ - form-checkbox" xr:uid="{D6A5935B-06CB-4746-AC3F-D15DA2E36074}"/>
    <hyperlink ref="C1804" r:id="rId616" location="form-checkbox-note" display="https://zeke.github.io/primer-cheatsheet/ - form-checkbox-note" xr:uid="{7BD114CA-EBA6-AA4B-8E32-4711B594F062}"/>
    <hyperlink ref="C1810" r:id="rId617" location="form-checkbox-input-type-checkbox" display="https://zeke.github.io/primer-cheatsheet/ - form-checkbox-input-type-checkbox" xr:uid="{A708DEBF-3A85-7842-990A-672561377EA7}"/>
    <hyperlink ref="C1814" r:id="rId618" location="form-checkbox-label-em-highlight" display="https://zeke.github.io/primer-cheatsheet/ - form-checkbox-label-em-highlight" xr:uid="{30108711-4A92-3844-B163-D0095C37F61B}"/>
    <hyperlink ref="C1821" r:id="rId619" location="form-checkbox-details" display="https://zeke.github.io/primer-cheatsheet/ - form-checkbox-details" xr:uid="{6360AA1C-E5CB-4C4F-A84A-89E1CE06A3D5}"/>
    <hyperlink ref="C1823" r:id="rId620" location="form-checkbox-details-trigger-checked-form-checkbox-details" display="https://zeke.github.io/primer-cheatsheet/ - form-checkbox-details-trigger-checked-form-checkbox-details" xr:uid="{01F11E30-3434-5B42-B770-EC9D0A3504DD}"/>
    <hyperlink ref="C1825" r:id="rId621" location="form-control" display="https://zeke.github.io/primer-cheatsheet/ - form-control" xr:uid="{BDAA6653-4667-0347-B6F0-7C8EC7689D30}"/>
    <hyperlink ref="C1839" r:id="rId622" location="form-control-focus" display="https://zeke.github.io/primer-cheatsheet/ - form-control-focus" xr:uid="{35EBC547-11B7-4446-9FCE-AAC6EE51C776}"/>
    <hyperlink ref="C1843" r:id="rId623" location="form-group" display="https://zeke.github.io/primer-cheatsheet/ - form-group" xr:uid="{122D140C-1EF0-7E4A-8F24-C4F1FCA6816C}"/>
    <hyperlink ref="C1845" r:id="rId624" location="form-group-form-control" display="https://zeke.github.io/primer-cheatsheet/ - form-group-form-control" xr:uid="{40EB7851-35C6-4E44-98EF-B52A1382CAE8}"/>
    <hyperlink ref="C1850" r:id="rId625" location="form-group-form-control-focus" display="https://zeke.github.io/primer-cheatsheet/ - form-group-form-control-focus" xr:uid="{B8DD895B-6C13-394A-9EAF-ECD9EDC60D29}"/>
    <hyperlink ref="C1852" r:id="rId626" location="form-group-form-control-long" display="https://zeke.github.io/primer-cheatsheet/ - form-group-form-control-long" xr:uid="{7EB91960-D393-1B43-99AA-AD5311EAF774}"/>
    <hyperlink ref="C1854" r:id="rId627" location="form-group-form-control-short" display="https://zeke.github.io/primer-cheatsheet/ - form-group-form-control-short" xr:uid="{0CB05737-615B-3148-AC42-2E569F2496F5}"/>
    <hyperlink ref="C1856" r:id="rId628" location="form-group-form-control-shorter" display="https://zeke.github.io/primer-cheatsheet/ - form-group-form-control-shorter" xr:uid="{930D72DE-19FB-8645-AF59-1DB7594194C5}"/>
    <hyperlink ref="C1858" r:id="rId629" location="form-group-success" display="https://zeke.github.io/primer-cheatsheet/ - form-group-success" xr:uid="{1DCF6A5C-144A-FA47-91A0-93B5A47F44A9}"/>
    <hyperlink ref="C1862" r:id="rId630" location="form-group-dd-h4" display="https://zeke.github.io/primer-cheatsheet/ - form-group-dd-h4" xr:uid="{3959D07E-0D69-7E46-AC93-A88C11A96B5B}"/>
    <hyperlink ref="C1864" r:id="rId631" location="form-group-dd-h4-is-error" display="https://zeke.github.io/primer-cheatsheet/ - form-group-dd-h4-is-error" xr:uid="{A85C3C04-2ECA-E749-88C3-32BEB5FC7E34}"/>
    <hyperlink ref="C1866" r:id="rId632" location="form-group-dd-h4-is-success" display="https://zeke.github.io/primer-cheatsheet/ - form-group-dd-h4-is-success" xr:uid="{40F52013-4F1C-9349-831B-E4FB96F288CE}"/>
    <hyperlink ref="C1868" r:id="rId633" location="form-group-dd-h4-note" display="https://zeke.github.io/primer-cheatsheet/ - form-group-dd-h4-note" xr:uid="{78D616D3-31D5-6340-B7B2-71D5D8AEE361}"/>
    <hyperlink ref="C1870" r:id="rId634" location="form-group-dt" display="https://zeke.github.io/primer-cheatsheet/ - form-group-dt" xr:uid="{EE0CC60D-7493-7B4D-BA2F-CD270B1D5AA3}"/>
    <hyperlink ref="C1872" r:id="rId635" location="form-group-label" display="https://zeke.github.io/primer-cheatsheet/ - form-group-label" xr:uid="{F77784C0-D051-B546-BCAD-ECB605782F9E}"/>
    <hyperlink ref="C1874" r:id="rId636" location="form-group-label" display="https://zeke.github.io/primer-cheatsheet/ - form-group-label" xr:uid="{169A1E92-85A0-AE49-9ABB-0CEDA942A576}"/>
    <hyperlink ref="C1876" r:id="rId637" location="form-group-textarea-form-control" display="https://zeke.github.io/primer-cheatsheet/ - form-group-textarea-form-control" xr:uid="{C4126F23-2D0D-B34D-9501-1EE6EA2AAC81}"/>
    <hyperlink ref="C1880" r:id="rId638" location="form-group-textarea-form-control-short" display="https://zeke.github.io/primer-cheatsheet/ - form-group-textarea-form-control-short" xr:uid="{57D861AE-6165-A44B-9693-4ABAD5586F0F}"/>
    <hyperlink ref="C1883" r:id="rId639" location="form-group-errored-error" display="https://zeke.github.io/primer-cheatsheet/ - form-group-errored-error" xr:uid="{A43E1287-599B-364C-9887-0BCF62B1CB78}"/>
    <hyperlink ref="C1887" r:id="rId640" location="form-group-errored-error-after" display="https://zeke.github.io/primer-cheatsheet/ - form-group-errored-error-after" xr:uid="{3C14ABEF-6794-CF4F-8A31-3F6101FB7485}"/>
    <hyperlink ref="C1889" r:id="rId641" location="form-group-errored-error-before" display="https://zeke.github.io/primer-cheatsheet/ - form-group-errored-error-before" xr:uid="{3582FFB9-9558-FB4F-8FEE-2A17694C49C3}"/>
    <hyperlink ref="C1891" r:id="rId642" location="form-group-errored-label" display="https://zeke.github.io/primer-cheatsheet/ - form-group-errored-label" xr:uid="{C85C3B73-FA80-1447-990C-35B100754B2D}"/>
    <hyperlink ref="C1893" r:id="rId643" location="form-group-flattened-dd" display="https://zeke.github.io/primer-cheatsheet/ - form-group-flattened-dd" xr:uid="{EF2359C2-C78D-D04D-9E76-A516E4E761F9}"/>
    <hyperlink ref="C1895" r:id="rId644" location="form-group-flattened-dt" display="https://zeke.github.io/primer-cheatsheet/ - form-group-flattened-dt" xr:uid="{59568BEF-BECD-904D-B865-4B21711566B4}"/>
    <hyperlink ref="C1899" r:id="rId645" location="form-group-loading" display="https://zeke.github.io/primer-cheatsheet/ - form-group-loading" xr:uid="{9C2CA297-2C6A-D043-9811-601657A460E6}"/>
    <hyperlink ref="C1901" r:id="rId646" location="form-group-loading-indicator" display="https://zeke.github.io/primer-cheatsheet/ - form-group-loading-indicator" xr:uid="{1F5D10DC-E175-3446-A8AC-3D97F185779D}"/>
    <hyperlink ref="C1903" r:id="rId647" location="form-group-loading-spinner" display="https://zeke.github.io/primer-cheatsheet/ - form-group-loading-spinner" xr:uid="{277EEEC1-BDB8-AF47-B393-BAA39C417012}"/>
    <hyperlink ref="C1906" r:id="rId648" location="form-group-required-dt-label-after" display="https://zeke.github.io/primer-cheatsheet/ - form-group-required-dt-label-after" xr:uid="{96864CD5-315D-A942-B5AD-7A3D236C0C2E}"/>
    <hyperlink ref="C1910" r:id="rId649" location="form-group-successful-success" display="https://zeke.github.io/primer-cheatsheet/ - form-group-successful-success" xr:uid="{0DD23598-4149-FC4B-A251-4B931412AD11}"/>
    <hyperlink ref="C1913" r:id="rId650" location="form-group-warn-warning" display="https://zeke.github.io/primer-cheatsheet/ - form-group-warn-warning" xr:uid="{20164468-0D95-4D41-9D14-67C8641A8A92}"/>
    <hyperlink ref="C1925" r:id="rId651" location="form-group-warn-warning" display="https://zeke.github.io/primer-cheatsheet/ - form-group-warn-warning" xr:uid="{A375321B-FE9E-5945-B824-FEAB811419B7}"/>
    <hyperlink ref="C1929" r:id="rId652" location="form-group-warn-warning-after" display="https://zeke.github.io/primer-cheatsheet/ - form-group-warn-warning-after" xr:uid="{949DB508-DA9D-F64B-AB9D-D9A856EA44B0}"/>
    <hyperlink ref="C1939" r:id="rId653" location="form-group-warn-warning-after" display="https://zeke.github.io/primer-cheatsheet/ - form-group-warn-warning-after" xr:uid="{A225B4EB-80E3-C345-B692-3622410679E6}"/>
    <hyperlink ref="C1941" r:id="rId654" location="form-group-warn-warning-after" display="https://zeke.github.io/primer-cheatsheet/ - form-group-warn-warning-after" xr:uid="{A9D08045-50EA-5E4E-9674-2A069AB30240}"/>
    <hyperlink ref="C1943" r:id="rId655" location="form-group-warn-warning-before" display="https://zeke.github.io/primer-cheatsheet/ - form-group-warn-warning-before" xr:uid="{6D5FD293-61A0-194B-8A5E-5ED76095AFDA}"/>
    <hyperlink ref="C1946" r:id="rId656" location="form-group-warn-warning-before" display="https://zeke.github.io/primer-cheatsheet/ - form-group-warn-warning-before" xr:uid="{33AD3A9E-B617-B749-87EE-A1439E8DD4B2}"/>
    <hyperlink ref="C1948" r:id="rId657" location="form-select" display="https://zeke.github.io/primer-cheatsheet/ - form-select" xr:uid="{7E331377-C8D6-5045-9F35-F5532D344DFA}"/>
    <hyperlink ref="C1961" r:id="rId658" location="form-select-ms-expand" display="https://zeke.github.io/primer-cheatsheet/ - form-select-ms-expand" xr:uid="{C3E807AB-E892-0E42-AE81-25BFCF1B871D}"/>
    <hyperlink ref="C1963" r:id="rId659" location="form-select-multiple" display="https://zeke.github.io/primer-cheatsheet/ - form-select-multiple" xr:uid="{C11EC88A-AFC1-EA4E-AF08-0CE8B11812AE}"/>
    <hyperlink ref="C1965" r:id="rId660" location="form-warning" display="https://zeke.github.io/primer-cheatsheet/ - form-warning" xr:uid="{70613FFC-894E-3F41-AA99-4259B15E00DE}"/>
    <hyperlink ref="C1973" r:id="rId661" location="form-warning-a" display="https://zeke.github.io/primer-cheatsheet/ - form-warning-a" xr:uid="{F3490D81-C45F-7F49-A83B-F59C753CFA43}"/>
    <hyperlink ref="C1975" r:id="rId662" location="form-warning-p" display="https://zeke.github.io/primer-cheatsheet/ - form-warning-p" xr:uid="{A40C765A-D404-3247-A141-909166FA6202}"/>
    <hyperlink ref="C1978" r:id="rId663" location="grayscale" display="https://zeke.github.io/primer-cheatsheet/ - grayscale" xr:uid="{C7973208-52B4-084E-8BB9-188140543C6A}"/>
    <hyperlink ref="C1980" r:id="rId664" location="gutter" display="https://zeke.github.io/primer-cheatsheet/ - gutter" xr:uid="{B926A593-73A2-D441-BED3-8DE34A60F827}"/>
    <hyperlink ref="C1983" r:id="rId665" location="gutter-condensed" display="https://zeke.github.io/primer-cheatsheet/ - gutter-condensed" xr:uid="{410544E1-C488-A443-92EB-3F0AEA19248E}"/>
    <hyperlink ref="C1986" r:id="rId666" location="gutter-condensed-class-col" display="https://zeke.github.io/primer-cheatsheet/ - gutter-condensed-class-col" xr:uid="{C1AA02E1-FBC4-D249-A683-747EFC0201B1}"/>
    <hyperlink ref="C1989" r:id="rId667" location="gutter-spacious" display="https://zeke.github.io/primer-cheatsheet/ - gutter-spacious" xr:uid="{CAB6AFDC-7A55-794F-8EAE-6C5C301EBB3A}"/>
    <hyperlink ref="C1992" r:id="rId668" location="gutter-spacious-class-col" display="https://zeke.github.io/primer-cheatsheet/ - gutter-spacious-class-col" xr:uid="{AB38031C-20FA-5443-8484-D6F11F5DDE5A}"/>
    <hyperlink ref="C1995" r:id="rId669" location="gutter-class-col" display="https://zeke.github.io/primer-cheatsheet/ - gutter-class-col" xr:uid="{0E107225-3A4B-AD4E-9299-E8D5977C96B8}"/>
    <hyperlink ref="C1998" r:id="rId670" location="h0-mktg" display="https://zeke.github.io/primer-cheatsheet/ - h0-mktg" xr:uid="{1193D65C-70A1-D744-8D9E-4CAE7237C068}"/>
    <hyperlink ref="C2000" r:id="rId671" location="h00-mktg" display="https://zeke.github.io/primer-cheatsheet/ - h00-mktg" xr:uid="{6D405C74-E235-F843-A607-16304C281B30}"/>
    <hyperlink ref="C2002" r:id="rId672" location="h000-mktg" display="https://zeke.github.io/primer-cheatsheet/ - h000-mktg" xr:uid="{A9BEDFA1-219D-8347-82D1-D3B5736AE18F}"/>
    <hyperlink ref="C2005" r:id="rId673" location="h000-mktg" display="https://zeke.github.io/primer-cheatsheet/ - h000-mktg" xr:uid="{35FC2A0F-0C78-2D4A-A382-A9615C43F95E}"/>
    <hyperlink ref="C2007" r:id="rId674" location="h1" display="https://zeke.github.io/primer-cheatsheet/ - h1" xr:uid="{ECDCC497-0581-344C-8A76-FF76DFE32EFE}"/>
    <hyperlink ref="C2009" r:id="rId675" location="h1" display="https://zeke.github.io/primer-cheatsheet/ - h1" xr:uid="{2602ED4B-4781-F64E-ACC1-304DBCB99AA7}"/>
    <hyperlink ref="C2011" r:id="rId676" location="h1-mktg" display="https://zeke.github.io/primer-cheatsheet/ - h1-mktg" xr:uid="{996B0B60-BAE2-9041-AB19-74D8B032E380}"/>
    <hyperlink ref="C2013" r:id="rId677" location="h2" display="https://zeke.github.io/primer-cheatsheet/ - h2" xr:uid="{6FBB60AF-A7F3-DE4D-BB70-E39F17CAC6E3}"/>
    <hyperlink ref="C2015" r:id="rId678" location="h2-mktg" display="https://zeke.github.io/primer-cheatsheet/ - h2-mktg" xr:uid="{5F805086-B5B1-0744-8391-B6A63881FB10}"/>
    <hyperlink ref="C2017" r:id="rId679" location="h3" display="https://zeke.github.io/primer-cheatsheet/ - h3" xr:uid="{563D4DD5-6AB6-0E46-BAFC-E1012D81C2E4}"/>
    <hyperlink ref="C2019" r:id="rId680" location="h3-mktg" display="https://zeke.github.io/primer-cheatsheet/ - h3-mktg" xr:uid="{35409896-CFE6-E242-9C2D-C8D48BC5D7F0}"/>
    <hyperlink ref="C2021" r:id="rId681" location="h4" display="https://zeke.github.io/primer-cheatsheet/ - h4" xr:uid="{3EB07108-4717-AF4F-9BB6-B1CF7E64CDC7}"/>
    <hyperlink ref="C2023" r:id="rId682" location="h4-mktg" display="https://zeke.github.io/primer-cheatsheet/ - h4-mktg" xr:uid="{1B0E0CC3-E31B-FE4D-B2A2-ABFD6541075C}"/>
    <hyperlink ref="C2025" r:id="rId683" location="h5" display="https://zeke.github.io/primer-cheatsheet/ - h5" xr:uid="{0CBA97A6-E735-C248-8BBA-4ACA54088ADE}"/>
    <hyperlink ref="C2027" r:id="rId684" location="h5-mktg" display="https://zeke.github.io/primer-cheatsheet/ - h5-mktg" xr:uid="{9BCB02F3-5286-9B4F-B99C-0B598875CF7B}"/>
    <hyperlink ref="C2029" r:id="rId685" location="h6" display="https://zeke.github.io/primer-cheatsheet/ - h6" xr:uid="{12BF6E25-3B4C-E246-8565-070DD0D87914}"/>
    <hyperlink ref="C2031" r:id="rId686" location="h6-mktg" display="https://zeke.github.io/primer-cheatsheet/ - h6-mktg" xr:uid="{1B0161F0-DC39-104D-A255-AEA38717AF56}"/>
    <hyperlink ref="C2033" r:id="rId687" location="header" display="https://zeke.github.io/primer-cheatsheet/ - header" xr:uid="{B9F38D0D-F063-E743-842A-B889B3B9C473}"/>
    <hyperlink ref="C2043" r:id="rId688" location="header-item" display="https://zeke.github.io/primer-cheatsheet/ - header-item" xr:uid="{04FE200F-04D6-9748-B067-B3246C94F03B}"/>
    <hyperlink ref="C2049" r:id="rId689" location="header-item-full" display="https://zeke.github.io/primer-cheatsheet/ - header-item-full" xr:uid="{6697FC94-5356-6441-96A0-2279DC7E4BBF}"/>
    <hyperlink ref="C2051" r:id="rId690" location="header-link" display="https://zeke.github.io/primer-cheatsheet/ - header-link" xr:uid="{2D3E5D43-3FEB-5148-9D3A-0F5291FE0033}"/>
    <hyperlink ref="C2055" r:id="rId691" location="header-link-hover" display="https://zeke.github.io/primer-cheatsheet/ - header-link-hover" xr:uid="{88244C45-0D76-A242-BE12-E40FF0A38F55}"/>
    <hyperlink ref="C2058" r:id="rId692" location="height-fit" display="https://zeke.github.io/primer-cheatsheet/ - height-fit" xr:uid="{A46D9E95-8341-004E-A709-ED5896425253}"/>
    <hyperlink ref="C2060" r:id="rId693" location="height-full" display="https://zeke.github.io/primer-cheatsheet/ - height-full" xr:uid="{2421F429-BD18-EE44-88A9-6A557841B076}"/>
    <hyperlink ref="C2062" r:id="rId694" location="hfields" display="https://zeke.github.io/primer-cheatsheet/ - hfields" xr:uid="{6AD9F109-CFA4-F648-8BDB-E4AD10593097}"/>
    <hyperlink ref="C2064" r:id="rId695" location="hfields-btn" display="https://zeke.github.io/primer-cheatsheet/ - hfields-btn" xr:uid="{B1FBA326-D9DE-6D49-A9C5-367DBC10EA87}"/>
    <hyperlink ref="C2067" r:id="rId696" location="hfields-form-group" display="https://zeke.github.io/primer-cheatsheet/ - hfields-form-group" xr:uid="{DC48D9BF-6870-F548-BFD1-1E702824B115}"/>
    <hyperlink ref="C2070" r:id="rId697" location="hfields-form-group-dt-img" display="https://zeke.github.io/primer-cheatsheet/ - hfields-form-group-dt-img" xr:uid="{98219E89-220C-D84A-9003-2BD226E189EE}"/>
    <hyperlink ref="C2073" r:id="rId698" location="hfields-form-group-dt-label" display="https://zeke.github.io/primer-cheatsheet/ - hfields-form-group-dt-label" xr:uid="{9DDDF2FA-E2B2-464D-A3C1-67F00B579565}"/>
    <hyperlink ref="C2077" r:id="rId699" location="hfields-form-select" display="https://zeke.github.io/primer-cheatsheet/ - hfields-form-select" xr:uid="{E2AE0326-85DA-D746-9FAE-05FFECBC8641}"/>
    <hyperlink ref="C2079" r:id="rId700" location="hfields-after" display="https://zeke.github.io/primer-cheatsheet/ - hfields-after" xr:uid="{B606D537-0C41-1342-ABC6-032B1483B65B}"/>
    <hyperlink ref="C2083" r:id="rId701" location="hfields-before" display="https://zeke.github.io/primer-cheatsheet/ - hfields-before" xr:uid="{82A54054-A378-5B48-A27C-C2158DB551C1}"/>
    <hyperlink ref="C2086" r:id="rId702" location="hidden-text-expander" display="https://zeke.github.io/primer-cheatsheet/ - hidden-text-expander" xr:uid="{8476211E-A1BA-3640-B0A5-243218F9F04C}"/>
    <hyperlink ref="C2088" r:id="rId703" location="hidden-text-expander-a" display="https://zeke.github.io/primer-cheatsheet/ - hidden-text-expander-a" xr:uid="{3E237D4B-E4AB-B14B-B3CC-1A17AE76CC05}"/>
    <hyperlink ref="C2101" r:id="rId704" location="hidden-text-expander-a-active" display="https://zeke.github.io/primer-cheatsheet/ - hidden-text-expander-a-active" xr:uid="{4D56929C-E592-5842-9781-B71EE671FBBC}"/>
    <hyperlink ref="C2104" r:id="rId705" location="hidden-text-expander-a-hover" display="https://zeke.github.io/primer-cheatsheet/ - hidden-text-expander-a-hover" xr:uid="{0CC427C9-59BC-3846-819D-F8B191B3A8ED}"/>
    <hyperlink ref="C2107" r:id="rId706" location="hidden-text-expander-inline" display="https://zeke.github.io/primer-cheatsheet/ - hidden-text-expander-inline" xr:uid="{1D099FB7-1731-3F43-91AE-764CCA4156EE}"/>
    <hyperlink ref="C2113" r:id="rId707" location="hover-grow" display="https://zeke.github.io/primer-cheatsheet/ - hover-grow" xr:uid="{956402B5-FF73-074D-A53D-C6F168241423}"/>
    <hyperlink ref="C2117" r:id="rId708" location="hover-grow-hover" display="https://zeke.github.io/primer-cheatsheet/ - hover-grow-hover" xr:uid="{343847AA-AFF8-B54D-B147-725319606913}"/>
    <hyperlink ref="C2119" r:id="rId709" location="inline-form" display="https://zeke.github.io/primer-cheatsheet/ - inline-form" xr:uid="{496A9EC7-F468-3D47-A807-DF1439A9D36C}"/>
    <hyperlink ref="C2121" r:id="rId710" location="inline-form-btn-plain" display="https://zeke.github.io/primer-cheatsheet/ - inline-form-btn-plain" xr:uid="{0481E2C2-C1E7-364A-972E-404D0F51A73F}"/>
    <hyperlink ref="C2124" r:id="rId711" location="input-block" display="https://zeke.github.io/primer-cheatsheet/ - input-block" xr:uid="{405DEF28-5AE3-B04B-8BC1-7DC4770D78B4}"/>
    <hyperlink ref="C2127" r:id="rId712" location="input-contrast" display="https://zeke.github.io/primer-cheatsheet/ - input-contrast" xr:uid="{531996F0-BB4A-984A-97BE-EDCC381125B9}"/>
    <hyperlink ref="C2129" r:id="rId713" location="input-contrast-focus" display="https://zeke.github.io/primer-cheatsheet/ - input-contrast-focus" xr:uid="{A7504C65-7BB1-BA47-A263-DDB7ADE6F3BB}"/>
    <hyperlink ref="C2131" r:id="rId714" location="input-dark" display="https://zeke.github.io/primer-cheatsheet/ - input-dark" xr:uid="{D65F09D4-B5ED-814B-BCA1-FC18A8D939F2}"/>
    <hyperlink ref="C2135" r:id="rId715" location="input-dark-ms-input-placeholder" display="https://zeke.github.io/primer-cheatsheet/ - input-dark-ms-input-placeholder" xr:uid="{0B77A0A8-B277-4445-B817-E65407676459}"/>
    <hyperlink ref="C2138" r:id="rId716" location="input-dark-ms-input-placeholder" display="https://zeke.github.io/primer-cheatsheet/ - input-dark-ms-input-placeholder" xr:uid="{8D4A5067-4D2D-8F4D-9813-1E537C8FC85C}"/>
    <hyperlink ref="C2141" r:id="rId717" location="input-dark-placeholder" display="https://zeke.github.io/primer-cheatsheet/ - input-dark-placeholder" xr:uid="{5EB89511-5D16-9A4B-B26E-4334402A0FCD}"/>
    <hyperlink ref="C2144" r:id="rId718" location="input-dark-focus" display="https://zeke.github.io/primer-cheatsheet/ - input-dark-focus" xr:uid="{2562C08C-2E05-C046-97C5-7DE46DF99CB9}"/>
    <hyperlink ref="C2147" r:id="rId719" location="input-group" display="https://zeke.github.io/primer-cheatsheet/ - input-group" xr:uid="{0F7A2E70-06CC-0B4F-B80D-ECAB4E0971A8}"/>
    <hyperlink ref="C2149" r:id="rId720" location="input-group-form-control" display="https://zeke.github.io/primer-cheatsheet/ - input-group-form-control" xr:uid="{57AA8D9B-7247-0C4B-AA64-2C80CC37A7E6}"/>
    <hyperlink ref="C2152" r:id="rId721" location="input-group-form-control" display="https://zeke.github.io/primer-cheatsheet/ - input-group-form-control" xr:uid="{F8CDED80-62BC-6F48-A520-5F1D83B062FC}"/>
    <hyperlink ref="C2154" r:id="rId722" location="input-group-form-control-first-child" display="https://zeke.github.io/primer-cheatsheet/ - input-group-form-control-first-child" xr:uid="{81AB9155-2888-A746-8241-C6631D98C64D}"/>
    <hyperlink ref="C2157" r:id="rId723" location="input-group-form-control-focus" display="https://zeke.github.io/primer-cheatsheet/ - input-group-form-control-focus" xr:uid="{94D5CB7F-8883-3446-8B08-1A2436C6FFA9}"/>
    <hyperlink ref="C2159" r:id="rId724" location="input-group-form-control-last-child" display="https://zeke.github.io/primer-cheatsheet/ - input-group-form-control-last-child" xr:uid="{9BA8FF16-D8C8-C543-AFEE-2BEFCF3D6C09}"/>
    <hyperlink ref="C2162" r:id="rId725" location="input-group-form-control-btn" display="https://zeke.github.io/primer-cheatsheet/ - input-group-form-control-btn" xr:uid="{AC19878A-10C4-2243-BA13-C9187DEA6E39}"/>
    <hyperlink ref="C2164" r:id="rId726" location="input-group-button" display="https://zeke.github.io/primer-cheatsheet/ - input-group-button" xr:uid="{0B6CA945-B058-AE43-8F33-9689F20DC3D9}"/>
    <hyperlink ref="C2167" r:id="rId727" location="input-group-button-first-child-btn" display="https://zeke.github.io/primer-cheatsheet/ - input-group-button-first-child-btn" xr:uid="{1FFB7FFF-9340-6D49-BA8C-05C4174F2664}"/>
    <hyperlink ref="C2169" r:id="rId728" location="input-group-button-last-child-btn" display="https://zeke.github.io/primer-cheatsheet/ - input-group-button-last-child-btn" xr:uid="{0FC6F79B-78DA-D043-8B72-0D4047C697DE}"/>
    <hyperlink ref="C2171" r:id="rId729" location="input-group-inline" display="https://zeke.github.io/primer-cheatsheet/ - input-group-inline" xr:uid="{252CF76A-2822-0047-9322-989AAFC163D5}"/>
    <hyperlink ref="C2173" r:id="rId730" location="input-hide-webkit-autofill-webkit-contacts-auto-fill-button" display="https://zeke.github.io/primer-cheatsheet/ - input-hide-webkit-autofill-webkit-contacts-auto-fill-button" xr:uid="{737AE5ED-15C3-2741-8FB5-B7BE801E4F8C}"/>
    <hyperlink ref="C2179" r:id="rId731" location="input-lg" display="https://zeke.github.io/primer-cheatsheet/ - input-lg" xr:uid="{C3166115-3C70-C240-AB2E-FA8862A4EEDF}"/>
    <hyperlink ref="C2182" r:id="rId732" location="input-monospace" display="https://zeke.github.io/primer-cheatsheet/ - input-monospace" xr:uid="{1B8BA727-BA87-9C4B-B1AC-2BD96FE8463C}"/>
    <hyperlink ref="C2184" r:id="rId733" location="input-sm" display="https://zeke.github.io/primer-cheatsheet/ - input-sm" xr:uid="{2BF376F2-531B-8840-8BD8-3D158AF6B39A}"/>
    <hyperlink ref="C2190" r:id="rId734" location="is-bad-file-drag-and-drop-bad-file" display="https://zeke.github.io/primer-cheatsheet/ - is-bad-file-drag-and-drop-bad-file" xr:uid="{1E085DAC-0BE5-E346-84FC-CD3A553A9BCB}"/>
    <hyperlink ref="C2192" r:id="rId735" location="is-bad-permissions-drag-and-drop-bad-permissions" display="https://zeke.github.io/primer-cheatsheet/ - is-bad-permissions-drag-and-drop-bad-permissions" xr:uid="{F50F47AA-D0D1-1A46-9766-339759A0389E}"/>
    <hyperlink ref="C2194" r:id="rId736" location="is-default-drag-and-drop-default" display="https://zeke.github.io/primer-cheatsheet/ - is-default-drag-and-drop-default" xr:uid="{CC7251B3-B0A9-814F-A0F4-D7C5DBC7BB85}"/>
    <hyperlink ref="C2196" r:id="rId737" location="is-duplicate-filename-drag-and-drop-duplicate-filename" display="https://zeke.github.io/primer-cheatsheet/ - is-duplicate-filename-drag-and-drop-duplicate-filename" xr:uid="{3B278E58-2C53-6447-8E0B-B7E2490ABC55}"/>
    <hyperlink ref="C2198" r:id="rId738" location="is-empty-drag-and-drop-empty" display="https://zeke.github.io/primer-cheatsheet/ - is-empty-drag-and-drop-empty" xr:uid="{15C28BDC-23E6-E549-BEF3-EE22921D82E1}"/>
    <hyperlink ref="C2200" r:id="rId739" location="is-failed-drag-and-drop-failed-request" display="https://zeke.github.io/primer-cheatsheet/ - is-failed-drag-and-drop-failed-request" xr:uid="{0D3908A0-1985-FD4F-B90B-AB79AC8E0540}"/>
    <hyperlink ref="C2202" r:id="rId740" location="is-hidden-file-drag-and-drop-hidden-file" display="https://zeke.github.io/primer-cheatsheet/ - is-hidden-file-drag-and-drop-hidden-file" xr:uid="{CE812D2C-C5F6-FB47-8F59-B57B8195C44B}"/>
    <hyperlink ref="C2204" r:id="rId741" location="is-repository-required-drag-and-drop-repository-required" display="https://zeke.github.io/primer-cheatsheet/ - is-repository-required-drag-and-drop-repository-required" xr:uid="{EDB4B521-A5F6-1042-BF3C-194C9B0EAFBA}"/>
    <hyperlink ref="C2206" r:id="rId742" location="is-too-big-drag-and-drop-too-big" display="https://zeke.github.io/primer-cheatsheet/ - is-too-big-drag-and-drop-too-big" xr:uid="{B8A1461E-F219-934B-89EA-C8384F215374}"/>
    <hyperlink ref="C2208" r:id="rId743" location="is-uploading-drag-and-drop-loading" display="https://zeke.github.io/primer-cheatsheet/ - is-uploading-drag-and-drop-loading" xr:uid="{7E7E5417-DA27-FF49-81E2-B82542B55743}"/>
    <hyperlink ref="C2210" r:id="rId744" location="issue-label" display="https://zeke.github.io/primer-cheatsheet/ - issue-label" xr:uid="{24D9C893-8E8E-E04B-B861-EC55EE62AAE8}"/>
    <hyperlink ref="C2218" r:id="rId745" location="issue-label-g-emoji" display="https://zeke.github.io/primer-cheatsheet/ - issue-label-g-emoji" xr:uid="{38AF3B12-8324-6642-BE57-91DB1FF94D9B}"/>
    <hyperlink ref="C2224" r:id="rId746" location="issue-label-big" display="https://zeke.github.io/primer-cheatsheet/ - issue-label-big" xr:uid="{2E6BBDBE-AFF3-B249-B90E-8BF0B88C1749}"/>
    <hyperlink ref="C2230" r:id="rId747" location="issue-label-big-g-emoji" display="https://zeke.github.io/primer-cheatsheet/ - issue-label-big-g-emoji" xr:uid="{875A9816-AE3D-1B40-A833-096615EA1C03}"/>
    <hyperlink ref="C2233" r:id="rId748" location="issue-label-big-hover" display="https://zeke.github.io/primer-cheatsheet/ - issue-label-big-hover" xr:uid="{6C473513-01AE-1149-AAB4-030F7289FEE6}"/>
    <hyperlink ref="C2235" r:id="rId749" location="issue-label-hover" display="https://zeke.github.io/primer-cheatsheet/ - issue-label-hover" xr:uid="{D08FF701-40A1-024D-A9DB-F34163B6DE67}"/>
    <hyperlink ref="C2237" r:id="rId750" location="label" display="https://zeke.github.io/primer-cheatsheet/ - label" xr:uid="{E7FDAB5A-992A-584B-AFF9-A324E189E1B6}"/>
    <hyperlink ref="C2246" r:id="rId751" location="label-gray" display="https://zeke.github.io/primer-cheatsheet/ - label-gray" xr:uid="{8B8E9F73-B83E-AE4F-91D8-9B525BBE59EF}"/>
    <hyperlink ref="C2249" r:id="rId752" location="label-gray-darker" display="https://zeke.github.io/primer-cheatsheet/ - label-gray-darker" xr:uid="{DACCF3AD-3862-E948-B4D6-F203ACE6463F}"/>
    <hyperlink ref="C2251" r:id="rId753" location="label-orange" display="https://zeke.github.io/primer-cheatsheet/ - label-orange" xr:uid="{A9B5B092-D129-9244-8075-8C124C646437}"/>
    <hyperlink ref="C2253" r:id="rId754" location="label-outline" display="https://zeke.github.io/primer-cheatsheet/ - label-outline" xr:uid="{BFB4195E-EC3A-F349-BE00-0173A0686DC2}"/>
    <hyperlink ref="C2261" r:id="rId755" location="label-outline-green" display="https://zeke.github.io/primer-cheatsheet/ - label-outline-green" xr:uid="{639DA667-2E58-984D-8153-77268072D235}"/>
    <hyperlink ref="C2264" r:id="rId756" location="label-hover" display="https://zeke.github.io/primer-cheatsheet/ - label-hover" xr:uid="{6CF778AC-0B3D-3349-867A-7CFEDFF63C12}"/>
    <hyperlink ref="C2266" r:id="rId757" location="labels" display="https://zeke.github.io/primer-cheatsheet/ - labels" xr:uid="{572DDE87-FA26-4A42-A78F-4FC579BE28EE}"/>
    <hyperlink ref="C2268" r:id="rId758" location="lead" display="https://zeke.github.io/primer-cheatsheet/ - lead" xr:uid="{FF021D19-0D9F-9E4B-AAA7-02B8F26A6492}"/>
    <hyperlink ref="C2273" r:id="rId759" location="lead-mktg" display="https://zeke.github.io/primer-cheatsheet/ - lead-mktg" xr:uid="{4E9C08B8-ACA1-564D-8ACC-50D214EA1689}"/>
    <hyperlink ref="C2276" r:id="rId760" location="left-0" display="https://zeke.github.io/primer-cheatsheet/ - left-0" xr:uid="{21493D2C-0C47-3D45-A67F-0349612C6D43}"/>
    <hyperlink ref="C2278" r:id="rId761" location="left-0" display="https://zeke.github.io/primer-cheatsheet/ - left-0" xr:uid="{D4875BC9-8857-354F-9D65-A2CCCF4F8E63}"/>
    <hyperlink ref="C2280" r:id="rId762" location="left-1" display="https://zeke.github.io/primer-cheatsheet/ - left-1" xr:uid="{9EE76CE7-3741-7545-8D93-5A03089F340D}"/>
    <hyperlink ref="C2282" r:id="rId763" location="left-10" display="https://zeke.github.io/primer-cheatsheet/ - left-10" xr:uid="{C8BEBE97-AE0C-5340-8185-E77E33A6B2C3}"/>
    <hyperlink ref="C2284" r:id="rId764" location="left-11" display="https://zeke.github.io/primer-cheatsheet/ - left-11" xr:uid="{23662F05-FC45-EF45-8A80-FDAF49150211}"/>
    <hyperlink ref="C2286" r:id="rId765" location="left-12" display="https://zeke.github.io/primer-cheatsheet/ - left-12" xr:uid="{49E89690-9AEC-2D4D-A6F0-BD7F57D6BB24}"/>
    <hyperlink ref="C2288" r:id="rId766" location="left-2" display="https://zeke.github.io/primer-cheatsheet/ - left-2" xr:uid="{82115C0D-CC9A-084D-B4BE-E87F891F4635}"/>
    <hyperlink ref="C2290" r:id="rId767" location="left-3" display="https://zeke.github.io/primer-cheatsheet/ - left-3" xr:uid="{B02A3758-B67E-584E-8FC6-A908610D01DC}"/>
    <hyperlink ref="C2292" r:id="rId768" location="left-4" display="https://zeke.github.io/primer-cheatsheet/ - left-4" xr:uid="{5B14F92A-1FB0-B843-B249-34EEC9212A71}"/>
    <hyperlink ref="C2294" r:id="rId769" location="left-5" display="https://zeke.github.io/primer-cheatsheet/ - left-5" xr:uid="{14113D41-9C37-EF47-8FC7-42927B0B61FC}"/>
    <hyperlink ref="C2296" r:id="rId770" location="left-6" display="https://zeke.github.io/primer-cheatsheet/ - left-6" xr:uid="{7954F6D9-5E51-C04F-8D7E-F231966B0A43}"/>
    <hyperlink ref="C2298" r:id="rId771" location="left-7" display="https://zeke.github.io/primer-cheatsheet/ - left-7" xr:uid="{AB2E8764-7C32-FF41-8B67-BE66151CC614}"/>
    <hyperlink ref="C2300" r:id="rId772" location="left-8" display="https://zeke.github.io/primer-cheatsheet/ - left-8" xr:uid="{FD80A2E8-5C01-7444-AF90-021AC245AC2B}"/>
    <hyperlink ref="C2302" r:id="rId773" location="left-9" display="https://zeke.github.io/primer-cheatsheet/ - left-9" xr:uid="{A321DEF5-BDBB-A54A-9005-595C2AF88782}"/>
    <hyperlink ref="C2304" r:id="rId774" location="left-n0" display="https://zeke.github.io/primer-cheatsheet/ - left-n0" xr:uid="{9BD790FD-7E88-F84F-BDB9-272A3DF1DD04}"/>
    <hyperlink ref="C2306" r:id="rId775" location="left-n1" display="https://zeke.github.io/primer-cheatsheet/ - left-n1" xr:uid="{CB0E87CA-3012-574B-8A74-38C9A3E0D1F5}"/>
    <hyperlink ref="C2308" r:id="rId776" location="left-n10" display="https://zeke.github.io/primer-cheatsheet/ - left-n10" xr:uid="{80FB4167-2B43-744E-AD3E-4F5A64BCB732}"/>
    <hyperlink ref="C2310" r:id="rId777" location="left-n11" display="https://zeke.github.io/primer-cheatsheet/ - left-n11" xr:uid="{CD58747E-7EBD-2E44-8DF9-1BF77DE738D6}"/>
    <hyperlink ref="C2312" r:id="rId778" location="left-n12" display="https://zeke.github.io/primer-cheatsheet/ - left-n12" xr:uid="{98E5BBA5-B5D7-7B46-B24D-F96BAD15706A}"/>
    <hyperlink ref="C2314" r:id="rId779" location="left-n2" display="https://zeke.github.io/primer-cheatsheet/ - left-n2" xr:uid="{2E434E1A-E3B4-5C41-921A-A04AFF6F982A}"/>
    <hyperlink ref="C2316" r:id="rId780" location="left-n3" display="https://zeke.github.io/primer-cheatsheet/ - left-n3" xr:uid="{E288DF24-AA02-DA4D-962E-CEDB38DDCBC5}"/>
    <hyperlink ref="C2318" r:id="rId781" location="left-n4" display="https://zeke.github.io/primer-cheatsheet/ - left-n4" xr:uid="{0EDA1B32-748E-8F46-BE4B-12F22739DB88}"/>
    <hyperlink ref="C2320" r:id="rId782" location="left-n5" display="https://zeke.github.io/primer-cheatsheet/ - left-n5" xr:uid="{B0EB20F0-693B-9045-AC1B-11DD239A95E4}"/>
    <hyperlink ref="C2322" r:id="rId783" location="left-n6" display="https://zeke.github.io/primer-cheatsheet/ - left-n6" xr:uid="{4C3F5AFF-442D-A64E-BE87-9D1BE7DACDD0}"/>
    <hyperlink ref="C2324" r:id="rId784" location="left-n7" display="https://zeke.github.io/primer-cheatsheet/ - left-n7" xr:uid="{F352DBB3-0609-A94F-936C-ECFEAFF4D540}"/>
    <hyperlink ref="C2326" r:id="rId785" location="left-n8" display="https://zeke.github.io/primer-cheatsheet/ - left-n8" xr:uid="{25C15F34-5A73-854C-A812-61B26E308919}"/>
    <hyperlink ref="C2328" r:id="rId786" location="left-n9" display="https://zeke.github.io/primer-cheatsheet/ - left-n9" xr:uid="{D80A6D0E-D70F-714D-9DCB-EF8DFEF0E2E6}"/>
    <hyperlink ref="C2330" r:id="rId787" location="lh-0" display="https://zeke.github.io/primer-cheatsheet/ - lh-0" xr:uid="{6CB714ED-8072-004C-BFCF-FE551ACF8F61}"/>
    <hyperlink ref="C2332" r:id="rId788" location="lh-condensed" display="https://zeke.github.io/primer-cheatsheet/ - lh-condensed" xr:uid="{BBE361C7-B17C-9E41-8F09-F3B14AEEA927}"/>
    <hyperlink ref="C2334" r:id="rId789" location="lh-condensed-ultra" display="https://zeke.github.io/primer-cheatsheet/ - lh-condensed-ultra" xr:uid="{79576032-64E3-5F4F-9EC6-8B5CD9478507}"/>
    <hyperlink ref="C2336" r:id="rId790" location="lh-default" display="https://zeke.github.io/primer-cheatsheet/ - lh-default" xr:uid="{95B319A2-2BF4-CB4E-BC28-E3C14367D3CF}"/>
    <hyperlink ref="C2338" r:id="rId791" location="link-gray" display="https://zeke.github.io/primer-cheatsheet/ - link-gray" xr:uid="{212C4180-00E8-7045-B088-2CB304B2F39B}"/>
    <hyperlink ref="C2340" r:id="rId792" location="link-gray-dark" display="https://zeke.github.io/primer-cheatsheet/ - link-gray-dark" xr:uid="{75DECBD3-9255-474F-9D00-730672142B3A}"/>
    <hyperlink ref="C2342" r:id="rId793" location="link-gray-dark-hover" display="https://zeke.github.io/primer-cheatsheet/ - link-gray-dark-hover" xr:uid="{018A13EC-4BFE-564E-BD2E-33C3C0D7F8E0}"/>
    <hyperlink ref="C2344" r:id="rId794" location="link-gray-hover" display="https://zeke.github.io/primer-cheatsheet/ - link-gray-hover" xr:uid="{0456A17A-6A43-9342-95C1-6E3CE155FD32}"/>
    <hyperlink ref="C2346" r:id="rId795" location="link-hover-blue-hover" display="https://zeke.github.io/primer-cheatsheet/ - link-hover-blue-hover" xr:uid="{E674B00B-DBBA-7B40-86CF-E5A3960E0EB9}"/>
    <hyperlink ref="C2348" r:id="rId796" location="list-style-none" display="https://zeke.github.io/primer-cheatsheet/ - list-style-none" xr:uid="{4289D411-C40B-5F4E-A1F9-15176B2D3EA6}"/>
    <hyperlink ref="C2350" r:id="rId797" location="m-0" display="https://zeke.github.io/primer-cheatsheet/ - m-0" xr:uid="{1C54944A-76AB-4D41-966F-F78BD9A9940D}"/>
    <hyperlink ref="C2352" r:id="rId798" location="m-1" display="https://zeke.github.io/primer-cheatsheet/ - m-1" xr:uid="{ED2BCA8F-AC3E-7142-AFB9-C0B0DB647B9A}"/>
    <hyperlink ref="C2354" r:id="rId799" location="m-2" display="https://zeke.github.io/primer-cheatsheet/ - m-2" xr:uid="{0AE4184C-C48A-F849-BA10-2F462B52CAF7}"/>
    <hyperlink ref="C2356" r:id="rId800" location="m-3" display="https://zeke.github.io/primer-cheatsheet/ - m-3" xr:uid="{35347E97-95B4-C146-9C4E-06CAC89C8D4E}"/>
    <hyperlink ref="C2358" r:id="rId801" location="m-4" display="https://zeke.github.io/primer-cheatsheet/ - m-4" xr:uid="{F2893069-4F30-CA47-BAAA-650DC785D31E}"/>
    <hyperlink ref="C2360" r:id="rId802" location="m-5" display="https://zeke.github.io/primer-cheatsheet/ - m-5" xr:uid="{AA7AA652-98AB-A044-AE21-6448FB739759}"/>
    <hyperlink ref="C2362" r:id="rId803" location="m-6" display="https://zeke.github.io/primer-cheatsheet/ - m-6" xr:uid="{D20A4AE6-6685-7643-A992-42EDA6865A9D}"/>
    <hyperlink ref="C2364" r:id="rId804" location="manual-file-chooser" display="https://zeke.github.io/primer-cheatsheet/ - manual-file-chooser" xr:uid="{F641C7B8-44D8-DE44-9D5F-8A534CCC8635}"/>
    <hyperlink ref="C2371" r:id="rId805" location="manual-file-chooser-hover-manual-file-chooser-text" display="https://zeke.github.io/primer-cheatsheet/ - manual-file-chooser-hover-manual-file-chooser-text" xr:uid="{EFFDC5AA-440B-A34E-AC0E-72506C0C7A24}"/>
    <hyperlink ref="C2373" r:id="rId806" location="markdown-body" display="https://zeke.github.io/primer-cheatsheet/ - markdown-body" xr:uid="{9F23DB09-B607-B64F-8C39-D42A72FE74DC}"/>
    <hyperlink ref="C2378" r:id="rId807" location="markdown-body-absent" display="https://zeke.github.io/primer-cheatsheet/ - markdown-body-absent" xr:uid="{2BEC0174-93F8-674D-B9EB-A8F433144CCF}"/>
    <hyperlink ref="C2380" r:id="rId808" location="markdown-body-anchor" display="https://zeke.github.io/primer-cheatsheet/ - markdown-body-anchor" xr:uid="{A9462150-DD3E-7D4F-B93E-D6AA10025BC1}"/>
    <hyperlink ref="C2385" r:id="rId809" location="markdown-body-anchor-focus" display="https://zeke.github.io/primer-cheatsheet/ - markdown-body-anchor-focus" xr:uid="{64D70DF7-B7F3-464C-97D1-B70F5AD572F1}"/>
    <hyperlink ref="C2387" r:id="rId810" location="markdown-body-csv-data-blob-num" display="https://zeke.github.io/primer-cheatsheet/ - markdown-body-csv-data-blob-num" xr:uid="{70453D92-ABDB-2E4E-8433-05EBC1D4E9AD}"/>
    <hyperlink ref="C2392" r:id="rId811" location="markdown-body-csv-data-td" display="https://zeke.github.io/primer-cheatsheet/ - markdown-body-csv-data-td" xr:uid="{3F413FB1-DB2A-CC4A-BDC9-BFFAA52E93E7}"/>
    <hyperlink ref="C2399" r:id="rId812" location="markdown-body-csv-data-th" display="https://zeke.github.io/primer-cheatsheet/ - markdown-body-csv-data-th" xr:uid="{0BD53CCD-F393-514D-BFB5-D19528D42EE5}"/>
    <hyperlink ref="C2403" r:id="rId813" location="markdown-body-csv-data-tr" display="https://zeke.github.io/primer-cheatsheet/ - markdown-body-csv-data-tr" xr:uid="{500C0D1D-A850-F741-A49D-3A3AADB9A93C}"/>
    <hyperlink ref="C2405" r:id="rId814" location="markdown-body-emoji" display="https://zeke.github.io/primer-cheatsheet/ - markdown-body-emoji" xr:uid="{2E1CC7EB-DFC6-FC4F-8C08-8EF5F409E865}"/>
    <hyperlink ref="C2409" r:id="rId815" location="markdown-body-highlight" display="https://zeke.github.io/primer-cheatsheet/ - markdown-body-highlight" xr:uid="{E770B451-4599-D34E-9581-E11CB08B3954}"/>
    <hyperlink ref="C2411" r:id="rId816" location="markdown-body-highlight-pre" display="https://zeke.github.io/primer-cheatsheet/ - markdown-body-highlight-pre" xr:uid="{ADF0A2F8-7B7A-7947-94A6-DBB989661964}"/>
    <hyperlink ref="C2414" r:id="rId817" location="markdown-body-highlight-pre" display="https://zeke.github.io/primer-cheatsheet/ - markdown-body-highlight-pre" xr:uid="{0B834978-6E41-434E-BE45-C1E193E4F229}"/>
    <hyperlink ref="C2421" r:id="rId818" location="markdown-body-a-not-href" display="https://zeke.github.io/primer-cheatsheet/ - markdown-body-a-not-href" xr:uid="{B9AD66FF-9F1B-7940-8B8C-CAB5245FBC61}"/>
    <hyperlink ref="C2424" r:id="rId819" location="markdown-body-blockquote" display="https://zeke.github.io/primer-cheatsheet/ - markdown-body-blockquote" xr:uid="{6347766A-A09C-7F45-BFF4-B6AE2DC0A700}"/>
    <hyperlink ref="C2428" r:id="rId820" location="markdown-body-blockquote-first-child" display="https://zeke.github.io/primer-cheatsheet/ - markdown-body-blockquote-first-child" xr:uid="{7C043FA3-D18F-D645-8319-67C9455965DA}"/>
    <hyperlink ref="C2430" r:id="rId821" location="markdown-body-blockquote-last-child" display="https://zeke.github.io/primer-cheatsheet/ - markdown-body-blockquote-last-child" xr:uid="{865E0807-D91F-0F46-A8A1-6CD2A8F37DD0}"/>
    <hyperlink ref="C2432" r:id="rId822" location="markdown-body-code" display="https://zeke.github.io/primer-cheatsheet/ - markdown-body-code" xr:uid="{FD5DBB79-DD72-0740-9CBB-B1BD677D2E77}"/>
    <hyperlink ref="C2438" r:id="rId823" location="markdown-body-code-br" display="https://zeke.github.io/primer-cheatsheet/ - markdown-body-code-br" xr:uid="{F6E79D70-7C13-1246-9D8A-6B47C7478D9D}"/>
    <hyperlink ref="C2440" r:id="rId824" location="markdown-body-del-code" display="https://zeke.github.io/primer-cheatsheet/ - markdown-body-del-code" xr:uid="{B28F2F81-AF2F-0541-A1C7-3A281FFDBEAB}"/>
    <hyperlink ref="C2442" r:id="rId825" location="markdown-body-dl" display="https://zeke.github.io/primer-cheatsheet/ - markdown-body-dl" xr:uid="{216494F0-D657-A24F-AB58-9450E6729718}"/>
    <hyperlink ref="C2444" r:id="rId826" location="markdown-body-dl-dd" display="https://zeke.github.io/primer-cheatsheet/ - markdown-body-dl-dd" xr:uid="{B3C564B7-5314-554A-8D1B-3D37D1FC09BA}"/>
    <hyperlink ref="C2447" r:id="rId827" location="markdown-body-dl-dt" display="https://zeke.github.io/primer-cheatsheet/ - markdown-body-dl-dt" xr:uid="{6D007245-E977-494A-86A7-21B18AB84C40}"/>
    <hyperlink ref="C2453" r:id="rId828" location="markdown-body-h1" display="https://zeke.github.io/primer-cheatsheet/ - markdown-body-h1" xr:uid="{7EC8AF1E-57A8-984F-8BB7-DFA42066C3F7}"/>
    <hyperlink ref="C2458" r:id="rId829" location="markdown-body-h1" display="https://zeke.github.io/primer-cheatsheet/ - markdown-body-h1" xr:uid="{93ED02C8-85FA-4E4D-8D9D-B63846B7DA71}"/>
    <hyperlink ref="C2462" r:id="rId830" location="markdown-body-h1-octicon-link" display="https://zeke.github.io/primer-cheatsheet/ - markdown-body-h1-octicon-link" xr:uid="{2440C1FD-14F9-324C-8841-59C49C21E80C}"/>
    <hyperlink ref="C2466" r:id="rId831" location="markdown-body-h1-tt" display="https://zeke.github.io/primer-cheatsheet/ - markdown-body-h1-tt" xr:uid="{1470472F-F925-2E4E-AE3F-5E20DB9D51A1}"/>
    <hyperlink ref="C2468" r:id="rId832" location="markdown-body-h1-hover-anchor" display="https://zeke.github.io/primer-cheatsheet/ - markdown-body-h1-hover-anchor" xr:uid="{062000BE-C455-3844-B86A-C6D66B3B5E23}"/>
    <hyperlink ref="C2470" r:id="rId833" location="markdown-body-h1-hover-anchor-octicon-link" display="https://zeke.github.io/primer-cheatsheet/ - markdown-body-h1-hover-anchor-octicon-link" xr:uid="{9E06DF3C-765B-8246-83D4-07B0FCCBC5B0}"/>
    <hyperlink ref="C2472" r:id="rId834" location="markdown-body-h2" display="https://zeke.github.io/primer-cheatsheet/ - markdown-body-h2" xr:uid="{200337DB-FE52-CE46-8369-9AA6712003C3}"/>
    <hyperlink ref="C2476" r:id="rId835" location="markdown-body-h3" display="https://zeke.github.io/primer-cheatsheet/ - markdown-body-h3" xr:uid="{782FB49E-73DC-244C-B80C-753EE9B6EBF6}"/>
    <hyperlink ref="C2478" r:id="rId836" location="markdown-body-h4" display="https://zeke.github.io/primer-cheatsheet/ - markdown-body-h4" xr:uid="{B063FF70-8FF1-3449-8D31-C870BC1D2AB6}"/>
    <hyperlink ref="C2480" r:id="rId837" location="markdown-body-h5" display="https://zeke.github.io/primer-cheatsheet/ - markdown-body-h5" xr:uid="{CA4A256C-CC5B-2340-A0A6-B5220718E867}"/>
    <hyperlink ref="C2482" r:id="rId838" location="markdown-body-h6" display="https://zeke.github.io/primer-cheatsheet/ - markdown-body-h6" xr:uid="{4EFFB36D-9191-F74E-B150-579289FEB6D4}"/>
    <hyperlink ref="C2485" r:id="rId839" location="markdown-body-hr" display="https://zeke.github.io/primer-cheatsheet/ - markdown-body-hr" xr:uid="{2D9C7770-AC48-BB4A-A76A-DDA9FDA3F5BD}"/>
    <hyperlink ref="C2491" r:id="rId840" location="markdown-body-img" display="https://zeke.github.io/primer-cheatsheet/ - markdown-body-img" xr:uid="{63520F69-33EB-EE42-AC3C-DDBFCB257446}"/>
    <hyperlink ref="C2495" r:id="rId841" location="markdown-body-img-align-left" display="https://zeke.github.io/primer-cheatsheet/ - markdown-body-img-align-left" xr:uid="{C861CBB0-3343-1D4B-A020-BA64DAF47AC9}"/>
    <hyperlink ref="C2497" r:id="rId842" location="markdown-body-img-align-right" display="https://zeke.github.io/primer-cheatsheet/ - markdown-body-img-align-right" xr:uid="{700DF111-28B5-F04E-A146-DCD61DA822D4}"/>
    <hyperlink ref="C2499" r:id="rId843" location="markdown-body-kbd" display="https://zeke.github.io/primer-cheatsheet/ - markdown-body-kbd" xr:uid="{D3595506-BC07-B443-80DC-090B446AF0EA}"/>
    <hyperlink ref="C2511" r:id="rId844" location="markdown-body-li" display="https://zeke.github.io/primer-cheatsheet/ - markdown-body-li" xr:uid="{0AEE72F6-F7C4-CA46-8823-00D7B402FCC0}"/>
    <hyperlink ref="C2513" r:id="rId845" location="markdown-body-li-li" display="https://zeke.github.io/primer-cheatsheet/ - markdown-body-li-li" xr:uid="{EBDBA94A-7DF8-C846-BD9A-14253E3C0F9D}"/>
    <hyperlink ref="C2515" r:id="rId846" location="markdown-body-li-p" display="https://zeke.github.io/primer-cheatsheet/ - markdown-body-li-p" xr:uid="{4FE1C189-375B-8A4B-BD43-79E6629712F9}"/>
    <hyperlink ref="C2517" r:id="rId847" location="markdown-body-p" display="https://zeke.github.io/primer-cheatsheet/ - markdown-body-p" xr:uid="{C9A5510F-568B-514A-BC2E-4F259DD1DF76}"/>
    <hyperlink ref="C2520" r:id="rId848" location="markdown-body-pre" display="https://zeke.github.io/primer-cheatsheet/ - markdown-body-pre" xr:uid="{D64EC891-E368-A04B-9BE9-A661B64F5DEA}"/>
    <hyperlink ref="C2522" r:id="rId849" location="markdown-body-pre-code" display="https://zeke.github.io/primer-cheatsheet/ - markdown-body-pre-code" xr:uid="{E3B96604-E351-7744-8892-582EF3657823}"/>
    <hyperlink ref="C2532" r:id="rId850" location="markdown-body-pre-code" display="https://zeke.github.io/primer-cheatsheet/ - markdown-body-pre-code" xr:uid="{9F456EEE-D70C-CE42-B2FD-0E27D521F2F2}"/>
    <hyperlink ref="C2540" r:id="rId851" location="markdown-body-span-align-center" display="https://zeke.github.io/primer-cheatsheet/ - markdown-body-span-align-center" xr:uid="{68FB70E2-F9BE-9D40-8866-E2EC27BC213E}"/>
    <hyperlink ref="C2544" r:id="rId852" location="markdown-body-span-align-center-span-img" display="https://zeke.github.io/primer-cheatsheet/ - markdown-body-span-align-center-span-img" xr:uid="{2A10C810-5410-5C4E-AD7F-D6CA47D1FB84}"/>
    <hyperlink ref="C2547" r:id="rId853" location="markdown-body-span-align-center-span" display="https://zeke.github.io/primer-cheatsheet/ - markdown-body-span-align-center-span" xr:uid="{E4FB3568-3623-5E4F-82C4-4BE97B5BDD27}"/>
    <hyperlink ref="C2552" r:id="rId854" location="markdown-body-span-align-right" display="https://zeke.github.io/primer-cheatsheet/ - markdown-body-span-align-right" xr:uid="{767D3398-3226-2044-961C-D1B18F5D7EC7}"/>
    <hyperlink ref="C2556" r:id="rId855" location="markdown-body-span-align-right-span-img" display="https://zeke.github.io/primer-cheatsheet/ - markdown-body-span-align-right-span-img" xr:uid="{4EE581E4-82D5-F846-A9F4-C634301FD19E}"/>
    <hyperlink ref="C2559" r:id="rId856" location="markdown-body-span-align-right-span" display="https://zeke.github.io/primer-cheatsheet/ - markdown-body-span-align-right-span" xr:uid="{967915E0-33DC-2447-82A7-3049389ECEE4}"/>
    <hyperlink ref="C2564" r:id="rId857" location="markdown-body-span-float-left" display="https://zeke.github.io/primer-cheatsheet/ - markdown-body-span-float-left" xr:uid="{896204D0-E303-8640-880B-A6FE11860045}"/>
    <hyperlink ref="C2569" r:id="rId858" location="markdown-body-span-float-left-span" display="https://zeke.github.io/primer-cheatsheet/ - markdown-body-span-float-left-span" xr:uid="{7DA45C0D-B030-4E46-8FCA-4F121FFA41A2}"/>
    <hyperlink ref="C2571" r:id="rId859" location="markdown-body-span-float-right" display="https://zeke.github.io/primer-cheatsheet/ - markdown-body-span-float-right" xr:uid="{A9C2692F-EF17-104A-BDC6-BD00B1CDE210}"/>
    <hyperlink ref="C2576" r:id="rId860" location="markdown-body-span-float-right-span" display="https://zeke.github.io/primer-cheatsheet/ - markdown-body-span-float-right-span" xr:uid="{DAC69CFC-C9E2-F646-B078-E7D3DAC2B7B9}"/>
    <hyperlink ref="C2581" r:id="rId861" location="markdown-body-span-frame" display="https://zeke.github.io/primer-cheatsheet/ - markdown-body-span-frame" xr:uid="{08F2304B-08EF-714F-BABA-29CCBE48E5E1}"/>
    <hyperlink ref="C2584" r:id="rId862" location="markdown-body-span-frame-span-img" display="https://zeke.github.io/primer-cheatsheet/ - markdown-body-span-frame-span-img" xr:uid="{168044AD-86EB-4E42-92BE-8D42672F9B53}"/>
    <hyperlink ref="C2587" r:id="rId863" location="markdown-body-span-frame-span-span" display="https://zeke.github.io/primer-cheatsheet/ - markdown-body-span-frame-span-span" xr:uid="{D0D73744-4136-8646-8B23-B21B2005C39B}"/>
    <hyperlink ref="C2592" r:id="rId864" location="markdown-body-span-frame-span" display="https://zeke.github.io/primer-cheatsheet/ - markdown-body-span-frame-span" xr:uid="{59C3CF84-81EC-C74B-8207-9A5B8A68A145}"/>
    <hyperlink ref="C2600" r:id="rId865" location="markdown-body-table" display="https://zeke.github.io/primer-cheatsheet/ - markdown-body-table" xr:uid="{07BCD53C-4E43-6F43-839C-850177A771C6}"/>
    <hyperlink ref="C2604" r:id="rId866" location="markdown-body-table-img" display="https://zeke.github.io/primer-cheatsheet/ - markdown-body-table-img" xr:uid="{308119FD-FD3F-474E-B27D-4B935D11D94F}"/>
    <hyperlink ref="C2606" r:id="rId867" location="markdown-body-table-th" display="https://zeke.github.io/primer-cheatsheet/ - markdown-body-table-th" xr:uid="{4A7582DE-EA37-B04C-917F-937B5BF89EEC}"/>
    <hyperlink ref="C2608" r:id="rId868" location="markdown-body-table-th" display="https://zeke.github.io/primer-cheatsheet/ - markdown-body-table-th" xr:uid="{5D3E2DC4-528A-904B-800A-7A7EC2591A74}"/>
    <hyperlink ref="C2611" r:id="rId869" location="markdown-body-table-tr" display="https://zeke.github.io/primer-cheatsheet/ - markdown-body-table-tr" xr:uid="{C7892EB2-D49E-A441-BB27-C7CA65E71A4F}"/>
    <hyperlink ref="C2614" r:id="rId870" location="markdown-body-table-tr-nth-child-2n" display="https://zeke.github.io/primer-cheatsheet/ - markdown-body-table-tr-nth-child-2n" xr:uid="{9C153922-D01D-4F47-BED6-8AB9451F3EBB}"/>
    <hyperlink ref="C2616" r:id="rId871" location="markdown-body-ul" display="https://zeke.github.io/primer-cheatsheet/ - markdown-body-ul" xr:uid="{490B40F6-CC51-914F-9285-6D76B3CFFC8D}"/>
    <hyperlink ref="C2618" r:id="rId872" location="markdown-body-ul-ul" display="https://zeke.github.io/primer-cheatsheet/ - markdown-body-ul-ul" xr:uid="{A55AED23-D87F-C14A-9570-5B658E4E6450}"/>
    <hyperlink ref="C2621" r:id="rId873" location="markdown-body-ul-no-list" display="https://zeke.github.io/primer-cheatsheet/ - markdown-body-ul-no-list" xr:uid="{0A5D4A5E-EFAC-C64E-945A-4C84AF2607B6}"/>
    <hyperlink ref="C2624" r:id="rId874" location="markdown-body-after" display="https://zeke.github.io/primer-cheatsheet/ - markdown-body-after" xr:uid="{F00CE283-0BEE-7B43-94E5-00EFA4AB8031}"/>
    <hyperlink ref="C2628" r:id="rId875" location="markdown-body-before" display="https://zeke.github.io/primer-cheatsheet/ - markdown-body-before" xr:uid="{D5FB2456-D448-6941-A26E-CEA134B4A80B}"/>
    <hyperlink ref="C2631" r:id="rId876" location="markdown-body-first-child" display="https://zeke.github.io/primer-cheatsheet/ - markdown-body-first-child" xr:uid="{1BA8D4B5-9D18-C047-A791-4371EE2EA16F}"/>
    <hyperlink ref="C2633" r:id="rId877" location="markdown-body-last-child" display="https://zeke.github.io/primer-cheatsheet/ - markdown-body-last-child" xr:uid="{B5D698D0-A8DE-9149-A2CC-2008E3CE49B4}"/>
    <hyperlink ref="C2635" r:id="rId878" location="mb-0" display="https://zeke.github.io/primer-cheatsheet/ - mb-0" xr:uid="{B76D0F5E-64D1-7A4C-8273-564654F8694F}"/>
    <hyperlink ref="C2637" r:id="rId879" location="mb-1" display="https://zeke.github.io/primer-cheatsheet/ - mb-1" xr:uid="{95F3594F-B970-5447-AB03-20C13FF3C062}"/>
    <hyperlink ref="C2639" r:id="rId880" location="mb-10" display="https://zeke.github.io/primer-cheatsheet/ - mb-10" xr:uid="{4EBEA616-A276-744C-BA5B-7ADC669445D5}"/>
    <hyperlink ref="C2641" r:id="rId881" location="mb-11" display="https://zeke.github.io/primer-cheatsheet/ - mb-11" xr:uid="{34B77372-C298-BE44-B517-A34B89176607}"/>
    <hyperlink ref="C2643" r:id="rId882" location="mb-12" display="https://zeke.github.io/primer-cheatsheet/ - mb-12" xr:uid="{0C50F3A4-6428-2B41-8FFA-3243AAF25AFF}"/>
    <hyperlink ref="C2645" r:id="rId883" location="mb-2" display="https://zeke.github.io/primer-cheatsheet/ - mb-2" xr:uid="{D2DCFABE-E0B2-D146-9E61-540160B8CA89}"/>
    <hyperlink ref="C2647" r:id="rId884" location="mb-3" display="https://zeke.github.io/primer-cheatsheet/ - mb-3" xr:uid="{C51BADA5-8841-E14D-B7D7-B7034544112F}"/>
    <hyperlink ref="C2649" r:id="rId885" location="mb-4" display="https://zeke.github.io/primer-cheatsheet/ - mb-4" xr:uid="{A6090958-7BD1-B446-BBDC-DDC536705C5C}"/>
    <hyperlink ref="C2651" r:id="rId886" location="mb-5" display="https://zeke.github.io/primer-cheatsheet/ - mb-5" xr:uid="{801DDA93-8EAA-B44D-9A84-240C4941099E}"/>
    <hyperlink ref="C2653" r:id="rId887" location="mb-6" display="https://zeke.github.io/primer-cheatsheet/ - mb-6" xr:uid="{66701D64-DF65-2B4F-8BB8-E592DD9A1EE7}"/>
    <hyperlink ref="C2655" r:id="rId888" location="mb-7" display="https://zeke.github.io/primer-cheatsheet/ - mb-7" xr:uid="{57B682DD-A4E3-014C-A7C0-0B86DAD6B94C}"/>
    <hyperlink ref="C2657" r:id="rId889" location="mb-8" display="https://zeke.github.io/primer-cheatsheet/ - mb-8" xr:uid="{B8FAFC9E-5534-0043-B735-5551F6E84A44}"/>
    <hyperlink ref="C2659" r:id="rId890" location="mb-9" display="https://zeke.github.io/primer-cheatsheet/ - mb-9" xr:uid="{D9EC60B4-30B7-1543-B51B-9F249858F1CA}"/>
    <hyperlink ref="C2661" r:id="rId891" location="mb-n1" display="https://zeke.github.io/primer-cheatsheet/ - mb-n1" xr:uid="{D949EF1F-E667-2247-9A04-79A7E6DDCE21}"/>
    <hyperlink ref="C2663" r:id="rId892" location="mb-n2" display="https://zeke.github.io/primer-cheatsheet/ - mb-n2" xr:uid="{F0F452D4-5A81-304E-9932-4F1BDBCD0D28}"/>
    <hyperlink ref="C2665" r:id="rId893" location="mb-n3" display="https://zeke.github.io/primer-cheatsheet/ - mb-n3" xr:uid="{83911B9A-2961-804A-A79C-537D770EBD83}"/>
    <hyperlink ref="C2667" r:id="rId894" location="mb-n4" display="https://zeke.github.io/primer-cheatsheet/ - mb-n4" xr:uid="{0A3EDF46-CC60-FB44-85B4-7F1C97EDB507}"/>
    <hyperlink ref="C2669" r:id="rId895" location="mb-n5" display="https://zeke.github.io/primer-cheatsheet/ - mb-n5" xr:uid="{2AF0FDE8-C6D6-9C43-A4A8-1FC30FC9BE85}"/>
    <hyperlink ref="C2671" r:id="rId896" location="mb-n6" display="https://zeke.github.io/primer-cheatsheet/ - mb-n6" xr:uid="{D19484B0-C29D-4740-849F-54326E36B829}"/>
    <hyperlink ref="C2673" r:id="rId897" location="menu" display="https://zeke.github.io/primer-cheatsheet/ - menu" xr:uid="{16706828-87A1-874B-93D4-C9883FD33790}"/>
    <hyperlink ref="C2679" r:id="rId898" location="menu-heading" display="https://zeke.github.io/primer-cheatsheet/ - menu-heading" xr:uid="{B3F5C624-2F44-F04A-B5E0-9DA30D3BA816}"/>
    <hyperlink ref="C2690" r:id="rId899" location="menu-heading-first-child" display="https://zeke.github.io/primer-cheatsheet/ - menu-heading-first-child" xr:uid="{184C11B3-A789-B443-B1EF-DC63530F3EF4}"/>
    <hyperlink ref="C2693" r:id="rId900" location="menu-heading-hover" display="https://zeke.github.io/primer-cheatsheet/ - menu-heading-hover" xr:uid="{70458594-E36E-3247-9B89-5D12A17EDC58}"/>
    <hyperlink ref="C2695" r:id="rId901" location="menu-heading-last-child" display="https://zeke.github.io/primer-cheatsheet/ - menu-heading-last-child" xr:uid="{0A00F676-C246-FD43-938C-2B9247CCAC68}"/>
    <hyperlink ref="C2699" r:id="rId902" location="menu-item" display="https://zeke.github.io/primer-cheatsheet/ - menu-item" xr:uid="{1456772F-02CA-FB43-B3E1-30201A1B2228}"/>
    <hyperlink ref="C2704" r:id="rId903" location="menu-item-avatar" display="https://zeke.github.io/primer-cheatsheet/ - menu-item-avatar" xr:uid="{1780E3DA-B838-7046-AB0E-38615350F041}"/>
    <hyperlink ref="C2707" r:id="rId904" location="menu-item-counter" display="https://zeke.github.io/primer-cheatsheet/ - menu-item-counter" xr:uid="{DE207EB0-4C4E-2F42-AD73-9951706DC15D}"/>
    <hyperlink ref="C2710" r:id="rId905" location="menu-item-menu-warning" display="https://zeke.github.io/primer-cheatsheet/ - menu-item-menu-warning" xr:uid="{493E6A07-3BB8-F34A-82B0-255E46AB5314}"/>
    <hyperlink ref="C2713" r:id="rId906" location="menu-item-octicon" display="https://zeke.github.io/primer-cheatsheet/ - menu-item-octicon" xr:uid="{F6B2AFAB-7C23-644D-8A57-44C21120D569}"/>
    <hyperlink ref="C2718" r:id="rId907" location="menu-item-first-child" display="https://zeke.github.io/primer-cheatsheet/ - menu-item-first-child" xr:uid="{38272D96-EF39-B54D-96C9-64256DBC9CEA}"/>
    <hyperlink ref="C2722" r:id="rId908" location="menu-item-first-child-before" display="https://zeke.github.io/primer-cheatsheet/ - menu-item-first-child-before" xr:uid="{32C04EF8-C720-574C-B544-D00C0A72D998}"/>
    <hyperlink ref="C2724" r:id="rId909" location="menu-item-hover" display="https://zeke.github.io/primer-cheatsheet/ - menu-item-hover" xr:uid="{F47B4A97-EC42-5341-8ADB-A692FB215D03}"/>
    <hyperlink ref="C2727" r:id="rId910" location="menu-item-last-child" display="https://zeke.github.io/primer-cheatsheet/ - menu-item-last-child" xr:uid="{CD27C1F0-DB8B-8749-B3C9-D3E8C42D376E}"/>
    <hyperlink ref="C2731" r:id="rId911" location="menu-item-last-child-before" display="https://zeke.github.io/primer-cheatsheet/ - menu-item-last-child-before" xr:uid="{2DC196A1-74B6-F942-8728-F07EC785612D}"/>
    <hyperlink ref="C2733" r:id="rId912" location="menu-item-alert-counter" display="https://zeke.github.io/primer-cheatsheet/ - menu-item-alert-counter" xr:uid="{484E70B9-D368-9E4E-A323-0F0A9E989247}"/>
    <hyperlink ref="C2735" r:id="rId913" location="menu-item-selected" display="https://zeke.github.io/primer-cheatsheet/ - menu-item-selected" xr:uid="{4ABBEB98-E037-3040-B9EA-9ACDC22B90C9}"/>
    <hyperlink ref="C2740" r:id="rId914" location="menu-item-selected-before" display="https://zeke.github.io/primer-cheatsheet/ - menu-item-selected-before" xr:uid="{791315F4-A483-A947-822A-FDB06DDBC464}"/>
    <hyperlink ref="C2748" r:id="rId915" location="min-width-0" display="https://zeke.github.io/primer-cheatsheet/ - min-width-0" xr:uid="{9F45888C-4072-734F-9ADC-22E71D10C795}"/>
    <hyperlink ref="C2750" r:id="rId916" location="ml-0" display="https://zeke.github.io/primer-cheatsheet/ - ml-0" xr:uid="{E179722C-87D7-D34E-86DF-5CD0B3E13EDA}"/>
    <hyperlink ref="C2752" r:id="rId917" location="ml-1" display="https://zeke.github.io/primer-cheatsheet/ - ml-1" xr:uid="{0F02BB38-9B4F-4649-970F-E4402A4B26FE}"/>
    <hyperlink ref="C2754" r:id="rId918" location="ml-2" display="https://zeke.github.io/primer-cheatsheet/ - ml-2" xr:uid="{9843AE99-4024-BA4E-AD3B-0EEE9098F1B1}"/>
    <hyperlink ref="C2756" r:id="rId919" location="ml-3" display="https://zeke.github.io/primer-cheatsheet/ - ml-3" xr:uid="{6790E1D8-3303-0645-A4E3-0479071763C9}"/>
    <hyperlink ref="C2758" r:id="rId920" location="ml-4" display="https://zeke.github.io/primer-cheatsheet/ - ml-4" xr:uid="{8A5A1918-039C-424C-AD59-9016771C6C56}"/>
    <hyperlink ref="C2760" r:id="rId921" location="ml-5" display="https://zeke.github.io/primer-cheatsheet/ - ml-5" xr:uid="{EBD4DA08-A4CF-B143-8192-AE351B12F676}"/>
    <hyperlink ref="C2762" r:id="rId922" location="ml-6" display="https://zeke.github.io/primer-cheatsheet/ - ml-6" xr:uid="{DDEA8D1A-A059-E04B-B9E9-61F14EC5D86E}"/>
    <hyperlink ref="C2764" r:id="rId923" location="ml-n1" display="https://zeke.github.io/primer-cheatsheet/ - ml-n1" xr:uid="{EE815FD9-FAC7-C84A-8D1A-258CAF561792}"/>
    <hyperlink ref="C2766" r:id="rId924" location="ml-n2" display="https://zeke.github.io/primer-cheatsheet/ - ml-n2" xr:uid="{F0EA9C02-64B3-9148-AE88-AD608AB0BD00}"/>
    <hyperlink ref="C2768" r:id="rId925" location="ml-n3" display="https://zeke.github.io/primer-cheatsheet/ - ml-n3" xr:uid="{39F8AB15-7C96-7240-BEBD-36629A1B26A1}"/>
    <hyperlink ref="C2770" r:id="rId926" location="ml-n4" display="https://zeke.github.io/primer-cheatsheet/ - ml-n4" xr:uid="{E6402A47-44EF-0F48-AD71-5E30CD00A79B}"/>
    <hyperlink ref="C2772" r:id="rId927" location="ml-n5" display="https://zeke.github.io/primer-cheatsheet/ - ml-n5" xr:uid="{B42CFD0A-4248-7842-8AC6-D4CD0A48A59C}"/>
    <hyperlink ref="C2774" r:id="rId928" location="ml-n6" display="https://zeke.github.io/primer-cheatsheet/ - ml-n6" xr:uid="{7DD2BFDC-9050-4F48-B088-D546C07509E5}"/>
    <hyperlink ref="C2776" r:id="rId929" location="mr-0" display="https://zeke.github.io/primer-cheatsheet/ - mr-0" xr:uid="{CAB87480-AB84-D544-AA17-B632870490C5}"/>
    <hyperlink ref="C2778" r:id="rId930" location="mr-1" display="https://zeke.github.io/primer-cheatsheet/ - mr-1" xr:uid="{1A62A12B-1FFC-C741-B24D-B217F593EF09}"/>
    <hyperlink ref="C2780" r:id="rId931" location="mr-2" display="https://zeke.github.io/primer-cheatsheet/ - mr-2" xr:uid="{A0E6299B-4508-9B4C-8704-4CDE06CD1092}"/>
    <hyperlink ref="C2782" r:id="rId932" location="mr-3" display="https://zeke.github.io/primer-cheatsheet/ - mr-3" xr:uid="{BED07D69-1C69-844B-BF9B-575F3BEBF663}"/>
    <hyperlink ref="C2784" r:id="rId933" location="mr-4" display="https://zeke.github.io/primer-cheatsheet/ - mr-4" xr:uid="{62E2BAD6-7AA5-7346-AA1A-2E4D0D046958}"/>
    <hyperlink ref="C2786" r:id="rId934" location="mr-5" display="https://zeke.github.io/primer-cheatsheet/ - mr-5" xr:uid="{63D5DE45-3647-E945-90F3-FCF84B8CE8A0}"/>
    <hyperlink ref="C2788" r:id="rId935" location="mr-6" display="https://zeke.github.io/primer-cheatsheet/ - mr-6" xr:uid="{D25C1538-2404-3542-A31D-C31F0FF78963}"/>
    <hyperlink ref="C2790" r:id="rId936" location="mr-n1" display="https://zeke.github.io/primer-cheatsheet/ - mr-n1" xr:uid="{C21DCCE2-C89D-B14C-AB80-2D8818BACC24}"/>
    <hyperlink ref="C2792" r:id="rId937" location="mr-n2" display="https://zeke.github.io/primer-cheatsheet/ - mr-n2" xr:uid="{09B7AC98-F5AA-5142-989C-84B29E5F96B6}"/>
    <hyperlink ref="C2794" r:id="rId938" location="mr-n3" display="https://zeke.github.io/primer-cheatsheet/ - mr-n3" xr:uid="{D0C265D4-9AEA-2B4B-826F-3A379A221C6C}"/>
    <hyperlink ref="C2796" r:id="rId939" location="mr-n4" display="https://zeke.github.io/primer-cheatsheet/ - mr-n4" xr:uid="{4C3E19D0-3971-7746-994C-62F9A910990E}"/>
    <hyperlink ref="C2798" r:id="rId940" location="mr-n5" display="https://zeke.github.io/primer-cheatsheet/ - mr-n5" xr:uid="{8967E93B-5E58-5144-AD62-AA5F7544F453}"/>
    <hyperlink ref="C2800" r:id="rId941" location="mr-n6" display="https://zeke.github.io/primer-cheatsheet/ - mr-n6" xr:uid="{F193531D-B62C-3249-ABE4-04D4AC2039F0}"/>
    <hyperlink ref="C2802" r:id="rId942" location="mt-0" display="https://zeke.github.io/primer-cheatsheet/ - mt-0" xr:uid="{00307931-123A-2743-A517-C00312C84DEA}"/>
    <hyperlink ref="C2804" r:id="rId943" location="mt-1" display="https://zeke.github.io/primer-cheatsheet/ - mt-1" xr:uid="{10076F40-991A-2048-AABE-BF851B931DFC}"/>
    <hyperlink ref="C2806" r:id="rId944" location="mt-10" display="https://zeke.github.io/primer-cheatsheet/ - mt-10" xr:uid="{50B6C50C-E41B-D648-AADE-721E327F6778}"/>
    <hyperlink ref="C2808" r:id="rId945" location="mt-11" display="https://zeke.github.io/primer-cheatsheet/ - mt-11" xr:uid="{E1B2D848-187C-DF4E-B7C3-637659EB77FD}"/>
    <hyperlink ref="C2810" r:id="rId946" location="mt-12" display="https://zeke.github.io/primer-cheatsheet/ - mt-12" xr:uid="{2D74C2CB-EE13-DF4C-86EB-77AEA1F2C865}"/>
    <hyperlink ref="C2812" r:id="rId947" location="mt-2" display="https://zeke.github.io/primer-cheatsheet/ - mt-2" xr:uid="{DE987F7B-6241-134C-9B3E-5663E2262A5A}"/>
    <hyperlink ref="C2814" r:id="rId948" location="mt-3" display="https://zeke.github.io/primer-cheatsheet/ - mt-3" xr:uid="{A3AC1D66-97FB-E941-B337-90306B184D16}"/>
    <hyperlink ref="C2816" r:id="rId949" location="mt-4" display="https://zeke.github.io/primer-cheatsheet/ - mt-4" xr:uid="{42B7B363-63EC-2E46-984B-AF68D44EB03C}"/>
    <hyperlink ref="C2818" r:id="rId950" location="mt-5" display="https://zeke.github.io/primer-cheatsheet/ - mt-5" xr:uid="{89151E0C-ACAF-0E45-B18E-30DD514CBD3D}"/>
    <hyperlink ref="C2820" r:id="rId951" location="mt-6" display="https://zeke.github.io/primer-cheatsheet/ - mt-6" xr:uid="{9910CAA4-E011-A64C-8531-1B580212515F}"/>
    <hyperlink ref="C2822" r:id="rId952" location="mt-7" display="https://zeke.github.io/primer-cheatsheet/ - mt-7" xr:uid="{DC40FC29-D461-EE4A-8EC0-2D5F97B48795}"/>
    <hyperlink ref="C2824" r:id="rId953" location="mt-8" display="https://zeke.github.io/primer-cheatsheet/ - mt-8" xr:uid="{0FF76CB4-D256-C641-AC6A-EF23B32456C7}"/>
    <hyperlink ref="C2826" r:id="rId954" location="mt-9" display="https://zeke.github.io/primer-cheatsheet/ - mt-9" xr:uid="{92CE8EEB-6FE0-6749-8CA4-BAE6A4D9098D}"/>
    <hyperlink ref="C2828" r:id="rId955" location="mt-n1" display="https://zeke.github.io/primer-cheatsheet/ - mt-n1" xr:uid="{A82F1975-D88E-DD42-9B9A-3911893F9151}"/>
    <hyperlink ref="C2830" r:id="rId956" location="mt-n2" display="https://zeke.github.io/primer-cheatsheet/ - mt-n2" xr:uid="{BEC11B6E-8C4F-224A-8088-1ED7C569B9ED}"/>
    <hyperlink ref="C2832" r:id="rId957" location="mt-n3" display="https://zeke.github.io/primer-cheatsheet/ - mt-n3" xr:uid="{F4C72A21-2912-0F46-B2FE-61C517FA8BAA}"/>
    <hyperlink ref="C2834" r:id="rId958" location="mt-n4" display="https://zeke.github.io/primer-cheatsheet/ - mt-n4" xr:uid="{971BA59E-E8A7-D74B-A953-0E11CAE1A913}"/>
    <hyperlink ref="C2836" r:id="rId959" location="mt-n5" display="https://zeke.github.io/primer-cheatsheet/ - mt-n5" xr:uid="{528EAD77-75CC-814A-9BCC-4015951854A3}"/>
    <hyperlink ref="C2838" r:id="rId960" location="mt-n6" display="https://zeke.github.io/primer-cheatsheet/ - mt-n6" xr:uid="{53D8DF51-8C6B-9045-9915-89B119EE74A9}"/>
    <hyperlink ref="C2840" r:id="rId961" location="muted-link" display="https://zeke.github.io/primer-cheatsheet/ - muted-link" xr:uid="{BD44C3FC-A4D8-1F46-8410-7B6D38F021F1}"/>
    <hyperlink ref="C2842" r:id="rId962" location="muted-link-hover" display="https://zeke.github.io/primer-cheatsheet/ - muted-link-hover" xr:uid="{AA368D22-FFE2-8A41-880E-6653E141EFB3}"/>
    <hyperlink ref="C2845" r:id="rId963" location="mx-0" display="https://zeke.github.io/primer-cheatsheet/ - mx-0" xr:uid="{2B2841E1-E1F2-944F-8B66-E8FCFD23B43C}"/>
    <hyperlink ref="C2848" r:id="rId964" location="mx-1" display="https://zeke.github.io/primer-cheatsheet/ - mx-1" xr:uid="{A1525321-B7E6-994D-AEF2-1CC6E69A0BD0}"/>
    <hyperlink ref="C2851" r:id="rId965" location="mx-2" display="https://zeke.github.io/primer-cheatsheet/ - mx-2" xr:uid="{7D7A0CF5-4B70-DC42-BC1B-E9656C784705}"/>
    <hyperlink ref="C2854" r:id="rId966" location="mx-3" display="https://zeke.github.io/primer-cheatsheet/ - mx-3" xr:uid="{3A4C53AB-8060-564B-8444-97C567A392DF}"/>
    <hyperlink ref="C2857" r:id="rId967" location="mx-4" display="https://zeke.github.io/primer-cheatsheet/ - mx-4" xr:uid="{605F7DA2-A44E-2A43-8936-B64ACB144DB3}"/>
    <hyperlink ref="C2860" r:id="rId968" location="mx-5" display="https://zeke.github.io/primer-cheatsheet/ - mx-5" xr:uid="{BE27EF6C-5470-9749-8C83-235011F23BFC}"/>
    <hyperlink ref="C2863" r:id="rId969" location="mx-6" display="https://zeke.github.io/primer-cheatsheet/ - mx-6" xr:uid="{3049A32E-0FD2-FB49-A583-6B96EE444B95}"/>
    <hyperlink ref="C2866" r:id="rId970" location="mx-auto" display="https://zeke.github.io/primer-cheatsheet/ - mx-auto" xr:uid="{BD61A0D5-F815-7044-83F0-6A54E28D7E16}"/>
    <hyperlink ref="C2869" r:id="rId971" location="my-0" display="https://zeke.github.io/primer-cheatsheet/ - my-0" xr:uid="{8521CE6F-C3DC-9848-85C5-15BF2D50333B}"/>
    <hyperlink ref="C2872" r:id="rId972" location="my-1" display="https://zeke.github.io/primer-cheatsheet/ - my-1" xr:uid="{2446F29B-8FB6-2745-AFB5-0D1F3AA84E48}"/>
    <hyperlink ref="C2875" r:id="rId973" location="my-10" display="https://zeke.github.io/primer-cheatsheet/ - my-10" xr:uid="{8739F8B7-5B91-5846-A40E-D9DE387F6371}"/>
    <hyperlink ref="C2878" r:id="rId974" location="my-11" display="https://zeke.github.io/primer-cheatsheet/ - my-11" xr:uid="{F0745D7C-787A-9B49-9B48-326111797D67}"/>
    <hyperlink ref="C2881" r:id="rId975" location="my-12" display="https://zeke.github.io/primer-cheatsheet/ - my-12" xr:uid="{16FEA796-CFAF-B54E-A1FC-00C0451334F7}"/>
    <hyperlink ref="C2884" r:id="rId976" location="my-2" display="https://zeke.github.io/primer-cheatsheet/ - my-2" xr:uid="{A87B2DF9-5DD0-0840-A2D6-4CB70433049C}"/>
    <hyperlink ref="C2887" r:id="rId977" location="my-3" display="https://zeke.github.io/primer-cheatsheet/ - my-3" xr:uid="{4C0AB3F8-109A-6C47-B876-CE2371291E0B}"/>
    <hyperlink ref="C2890" r:id="rId978" location="my-4" display="https://zeke.github.io/primer-cheatsheet/ - my-4" xr:uid="{0A4FAC84-7642-894C-8471-EEEEB6FE8304}"/>
    <hyperlink ref="C2893" r:id="rId979" location="my-5" display="https://zeke.github.io/primer-cheatsheet/ - my-5" xr:uid="{97FCB01D-C9EE-504D-9484-C5308E436E7E}"/>
    <hyperlink ref="C2896" r:id="rId980" location="my-6" display="https://zeke.github.io/primer-cheatsheet/ - my-6" xr:uid="{2A6C2843-7E81-1740-8CF3-C9B86B4C9A36}"/>
    <hyperlink ref="C2899" r:id="rId981" location="my-7" display="https://zeke.github.io/primer-cheatsheet/ - my-7" xr:uid="{15D44529-855C-C94F-A9A7-E7AF01B4DFFA}"/>
    <hyperlink ref="C2902" r:id="rId982" location="my-8" display="https://zeke.github.io/primer-cheatsheet/ - my-8" xr:uid="{91D79EA1-13FE-1C43-8E03-633F86C18E55}"/>
    <hyperlink ref="C2905" r:id="rId983" location="my-9" display="https://zeke.github.io/primer-cheatsheet/ - my-9" xr:uid="{C5D68808-A2B9-454D-BE50-32F40C09B467}"/>
    <hyperlink ref="C2908" r:id="rId984" location="no-underline" display="https://zeke.github.io/primer-cheatsheet/ - no-underline" xr:uid="{ACF84269-13B1-384D-BC00-CD5A2B4BECF1}"/>
    <hyperlink ref="C2910" r:id="rId985" location="no-wrap" display="https://zeke.github.io/primer-cheatsheet/ - no-wrap" xr:uid="{EB1FFD68-DBBC-3146-B8E6-88D19FDD3F37}"/>
    <hyperlink ref="C2912" r:id="rId986" location="note" display="https://zeke.github.io/primer-cheatsheet/ - note" xr:uid="{A9D20FEC-D5C2-0D4C-A3F7-32D48C512EDA}"/>
    <hyperlink ref="C2917" r:id="rId987" location="note-spinner" display="https://zeke.github.io/primer-cheatsheet/ - note-spinner" xr:uid="{C399D4FA-A2E2-4D40-B8F5-5ACE8A2FED9E}"/>
    <hyperlink ref="C2920" r:id="rId988" location="octicon" display="https://zeke.github.io/primer-cheatsheet/ - octicon" xr:uid="{466D0421-FBF2-C345-87FC-CEB5EF1F9C8D}"/>
    <hyperlink ref="C2924" r:id="rId989" location="octicon" display="https://zeke.github.io/primer-cheatsheet/ - octicon" xr:uid="{8AA12588-5EE6-6443-9DA3-44C7EEB60230}"/>
    <hyperlink ref="C2926" r:id="rId990" location="offset-1" display="https://zeke.github.io/primer-cheatsheet/ - offset-1" xr:uid="{45206406-97BB-8B47-9B66-35B30905868B}"/>
    <hyperlink ref="C2928" r:id="rId991" location="offset-10" display="https://zeke.github.io/primer-cheatsheet/ - offset-10" xr:uid="{F6C58D54-1448-CE4A-8A97-C7959F42BF94}"/>
    <hyperlink ref="C2930" r:id="rId992" location="offset-11" display="https://zeke.github.io/primer-cheatsheet/ - offset-11" xr:uid="{35463C99-D266-F34A-A291-46004E8ACC68}"/>
    <hyperlink ref="C2932" r:id="rId993" location="offset-2" display="https://zeke.github.io/primer-cheatsheet/ - offset-2" xr:uid="{01D4E48E-3B2D-1740-AA91-E8F381F29323}"/>
    <hyperlink ref="C2934" r:id="rId994" location="offset-3" display="https://zeke.github.io/primer-cheatsheet/ - offset-3" xr:uid="{C4C4D97D-25D6-3442-9DB6-7A1794A1F6E0}"/>
    <hyperlink ref="C2936" r:id="rId995" location="offset-4" display="https://zeke.github.io/primer-cheatsheet/ - offset-4" xr:uid="{06A93EA5-9C9E-3248-8C86-7DF0B327E8C9}"/>
    <hyperlink ref="C2938" r:id="rId996" location="offset-5" display="https://zeke.github.io/primer-cheatsheet/ - offset-5" xr:uid="{9F6A8D96-BA6E-3045-A21F-16014108E173}"/>
    <hyperlink ref="C2940" r:id="rId997" location="offset-6" display="https://zeke.github.io/primer-cheatsheet/ - offset-6" xr:uid="{7E1B96D1-6E41-B549-A529-C180D6B0B64E}"/>
    <hyperlink ref="C2942" r:id="rId998" location="offset-7" display="https://zeke.github.io/primer-cheatsheet/ - offset-7" xr:uid="{75AC240A-4B8E-D24F-B0D4-3FF9EE8CFA8A}"/>
    <hyperlink ref="C2944" r:id="rId999" location="offset-8" display="https://zeke.github.io/primer-cheatsheet/ - offset-8" xr:uid="{26F6D900-D0B3-B34B-A376-60C959DD90DF}"/>
    <hyperlink ref="C2946" r:id="rId1000" location="offset-9" display="https://zeke.github.io/primer-cheatsheet/ - offset-9" xr:uid="{978029EB-F8C7-DD4A-BF3E-6E6ABBA77BAF}"/>
    <hyperlink ref="C2948" r:id="rId1001" location="offset-n1" display="https://zeke.github.io/primer-cheatsheet/ - offset-n1" xr:uid="{C4B02EB6-57DF-E749-8BA3-BA1EA1ECED30}"/>
    <hyperlink ref="C2950" r:id="rId1002" location="offset-n2" display="https://zeke.github.io/primer-cheatsheet/ - offset-n2" xr:uid="{5A1E3586-E133-654D-93D1-8F0491957C2D}"/>
    <hyperlink ref="C2952" r:id="rId1003" location="offset-n3" display="https://zeke.github.io/primer-cheatsheet/ - offset-n3" xr:uid="{93F832A9-9FD5-C848-BEC3-7D37B805CD09}"/>
    <hyperlink ref="C2954" r:id="rId1004" location="offset-n4" display="https://zeke.github.io/primer-cheatsheet/ - offset-n4" xr:uid="{25987A9D-4B3E-DA42-8C3F-4C8812BA9ED6}"/>
    <hyperlink ref="C2956" r:id="rId1005" location="offset-n5" display="https://zeke.github.io/primer-cheatsheet/ - offset-n5" xr:uid="{01B0356D-1B02-874C-BEED-9C0B8C895683}"/>
    <hyperlink ref="C2958" r:id="rId1006" location="offset-n6" display="https://zeke.github.io/primer-cheatsheet/ - offset-n6" xr:uid="{79648A6C-29C5-364B-B7C4-D2A666F729B1}"/>
    <hyperlink ref="C2960" r:id="rId1007" location="offset-n7" display="https://zeke.github.io/primer-cheatsheet/ - offset-n7" xr:uid="{2B2C5C3C-CCB2-E948-B52C-8DCE1EB2E907}"/>
    <hyperlink ref="C2962" r:id="rId1008" location="overflow-auto" display="https://zeke.github.io/primer-cheatsheet/ - overflow-auto" xr:uid="{A1438150-C1FE-DC41-98A8-2E09BD795BAE}"/>
    <hyperlink ref="C2964" r:id="rId1009" location="overflow-hidden" display="https://zeke.github.io/primer-cheatsheet/ - overflow-hidden" xr:uid="{19B60920-3B15-5A40-A766-18448AF71D77}"/>
    <hyperlink ref="C2966" r:id="rId1010" location="overflow-scroll" display="https://zeke.github.io/primer-cheatsheet/ - overflow-scroll" xr:uid="{2CC1DBDE-025A-6D46-8932-41ACE9EDC999}"/>
    <hyperlink ref="C2968" r:id="rId1011" location="overflow-visible" display="https://zeke.github.io/primer-cheatsheet/ - overflow-visible" xr:uid="{FA392504-FC45-AC40-BCAB-D2EFCC54AEFB}"/>
    <hyperlink ref="C2970" r:id="rId1012" location="overflow-x-auto" display="https://zeke.github.io/primer-cheatsheet/ - overflow-x-auto" xr:uid="{2389E416-A7D9-AA40-9BA4-C47603DCB31C}"/>
    <hyperlink ref="C2972" r:id="rId1013" location="overflow-x-hidden" display="https://zeke.github.io/primer-cheatsheet/ - overflow-x-hidden" xr:uid="{E2C5FC1F-3592-5E44-AB7A-0EEFA4E35C62}"/>
    <hyperlink ref="C2974" r:id="rId1014" location="overflow-x-scroll" display="https://zeke.github.io/primer-cheatsheet/ - overflow-x-scroll" xr:uid="{BFD0299A-724F-EF4D-8E79-FAA4438C2B7C}"/>
    <hyperlink ref="C2976" r:id="rId1015" location="overflow-x-visible" display="https://zeke.github.io/primer-cheatsheet/ - overflow-x-visible" xr:uid="{EA884E4E-5AB8-A94C-BC59-2CF7300B2F5C}"/>
    <hyperlink ref="C2978" r:id="rId1016" location="overflow-y-auto" display="https://zeke.github.io/primer-cheatsheet/ - overflow-y-auto" xr:uid="{B3433420-D1F1-E943-A4E6-D64298F114AA}"/>
    <hyperlink ref="C2980" r:id="rId1017" location="overflow-y-hidden" display="https://zeke.github.io/primer-cheatsheet/ - overflow-y-hidden" xr:uid="{CE01B2C7-6844-D040-8577-F13103EA7353}"/>
    <hyperlink ref="C2982" r:id="rId1018" location="overflow-y-scroll" display="https://zeke.github.io/primer-cheatsheet/ - overflow-y-scroll" xr:uid="{7D630BB6-8131-274E-8F97-CB868F4B0428}"/>
    <hyperlink ref="C2984" r:id="rId1019" location="overflow-y-visible" display="https://zeke.github.io/primer-cheatsheet/ - overflow-y-visible" xr:uid="{6C030409-0C6C-E549-8BD4-A7F87DC372E0}"/>
    <hyperlink ref="C2986" r:id="rId1020" location="p-0" display="https://zeke.github.io/primer-cheatsheet/ - p-0" xr:uid="{07B085AD-6432-444A-B0F5-255079A866C2}"/>
    <hyperlink ref="C2988" r:id="rId1021" location="p-1" display="https://zeke.github.io/primer-cheatsheet/ - p-1" xr:uid="{CE05A6B8-BFB8-7F4F-9DF2-B289909579E7}"/>
    <hyperlink ref="C2990" r:id="rId1022" location="p-10" display="https://zeke.github.io/primer-cheatsheet/ - p-10" xr:uid="{FBAEFC23-4FAB-424D-B49C-E2885EDC0ECB}"/>
    <hyperlink ref="C2992" r:id="rId1023" location="p-11" display="https://zeke.github.io/primer-cheatsheet/ - p-11" xr:uid="{375AA507-33BE-C14F-B273-B82A53CD10DC}"/>
    <hyperlink ref="C2994" r:id="rId1024" location="p-12" display="https://zeke.github.io/primer-cheatsheet/ - p-12" xr:uid="{2B43DAE5-7943-2C41-A90B-CB885F75A93D}"/>
    <hyperlink ref="C2996" r:id="rId1025" location="p-2" display="https://zeke.github.io/primer-cheatsheet/ - p-2" xr:uid="{FB041564-E76C-0D4B-82EA-1903CE1D084E}"/>
    <hyperlink ref="C2998" r:id="rId1026" location="p-3" display="https://zeke.github.io/primer-cheatsheet/ - p-3" xr:uid="{D62109BC-90B7-7744-A245-ECBDF68EC5B6}"/>
    <hyperlink ref="C3000" r:id="rId1027" location="p-4" display="https://zeke.github.io/primer-cheatsheet/ - p-4" xr:uid="{3F0B52EB-57E2-A946-A0C2-C3D1723A7139}"/>
    <hyperlink ref="C3002" r:id="rId1028" location="p-5" display="https://zeke.github.io/primer-cheatsheet/ - p-5" xr:uid="{1702E8F7-1295-CB4F-ADFE-1729A5DDE4B8}"/>
    <hyperlink ref="C3004" r:id="rId1029" location="p-6" display="https://zeke.github.io/primer-cheatsheet/ - p-6" xr:uid="{6597AAAD-B45A-934D-BC75-19697672D383}"/>
    <hyperlink ref="C3006" r:id="rId1030" location="p-7" display="https://zeke.github.io/primer-cheatsheet/ - p-7" xr:uid="{DBEC3563-0D60-C84D-8EC8-74313980B697}"/>
    <hyperlink ref="C3008" r:id="rId1031" location="p-8" display="https://zeke.github.io/primer-cheatsheet/ - p-8" xr:uid="{C46FF680-1A77-8E4A-851F-668B085BD3E1}"/>
    <hyperlink ref="C3010" r:id="rId1032" location="p-9" display="https://zeke.github.io/primer-cheatsheet/ - p-9" xr:uid="{5A084085-D6B0-DF40-84AE-021CB7BA59AF}"/>
    <hyperlink ref="C3012" r:id="rId1033" location="p-responsive" display="https://zeke.github.io/primer-cheatsheet/ - p-responsive" xr:uid="{203E27C0-1A65-F241-827A-FE3394FED27F}"/>
    <hyperlink ref="C3015" r:id="rId1034" location="paginate-container" display="https://zeke.github.io/primer-cheatsheet/ - paginate-container" xr:uid="{7E124DC2-C8B5-8E47-858F-6B6E4D15F196}"/>
    <hyperlink ref="C3019" r:id="rId1035" location="paginate-container-pagination" display="https://zeke.github.io/primer-cheatsheet/ - paginate-container-pagination" xr:uid="{A693167E-3DF6-724F-8433-4E1270A0143A}"/>
    <hyperlink ref="C3021" r:id="rId1036" location="pagination-current" display="https://zeke.github.io/primer-cheatsheet/ - pagination-current" xr:uid="{569A1B0D-157F-7946-912D-14921D518BB4}"/>
    <hyperlink ref="C3026" r:id="rId1037" location="pagination-gap" display="https://zeke.github.io/primer-cheatsheet/ - pagination-gap" xr:uid="{7C0FE0E3-54B5-E14B-9BD4-A6AD359D09BE}"/>
    <hyperlink ref="C3030" r:id="rId1038" location="pagination-selected" display="https://zeke.github.io/primer-cheatsheet/ - pagination-selected" xr:uid="{04657AB8-B183-D34C-8036-235280F7F0D4}"/>
    <hyperlink ref="C3032" r:id="rId1039" location="pagination-a" display="https://zeke.github.io/primer-cheatsheet/ - pagination-a" xr:uid="{D5305FD8-24D9-B840-A8BD-83A37AAA6A87}"/>
    <hyperlink ref="C3050" r:id="rId1040" location="pagination-a-first-child" display="https://zeke.github.io/primer-cheatsheet/ - pagination-a-first-child" xr:uid="{BA814562-9D3D-0A4F-BFAF-3FB6FFD2CED5}"/>
    <hyperlink ref="C3054" r:id="rId1041" location="pagination-a-hover" display="https://zeke.github.io/primer-cheatsheet/ - pagination-a-hover" xr:uid="{048614BC-05F1-9344-8417-E148D48D1361}"/>
    <hyperlink ref="C3059" r:id="rId1042" location="pagination-a-last-child" display="https://zeke.github.io/primer-cheatsheet/ - pagination-a-last-child" xr:uid="{E3D13ED9-E82F-9B45-B182-B9339FAF6B3E}"/>
    <hyperlink ref="C3062" r:id="rId1043" location="pagination-after" display="https://zeke.github.io/primer-cheatsheet/ - pagination-after" xr:uid="{EAFB1FB4-CF0C-DC49-B087-77670DC78ED8}"/>
    <hyperlink ref="C3066" r:id="rId1044" location="pagination-before" display="https://zeke.github.io/primer-cheatsheet/ - pagination-before" xr:uid="{EC714E9C-E618-0B4B-A7B3-06ECCDF323FC}"/>
    <hyperlink ref="C3069" r:id="rId1045" location="pb-0" display="https://zeke.github.io/primer-cheatsheet/ - pb-0" xr:uid="{47AB9BC5-B8E6-F148-A506-83A34413E7C8}"/>
    <hyperlink ref="C3071" r:id="rId1046" location="pb-1" display="https://zeke.github.io/primer-cheatsheet/ - pb-1" xr:uid="{9FA33580-5641-BF4D-BFF1-25DAB447DA25}"/>
    <hyperlink ref="C3073" r:id="rId1047" location="pb-10" display="https://zeke.github.io/primer-cheatsheet/ - pb-10" xr:uid="{D11F19AC-BF78-004B-A0E8-42CC84C154DA}"/>
    <hyperlink ref="C3075" r:id="rId1048" location="pb-11" display="https://zeke.github.io/primer-cheatsheet/ - pb-11" xr:uid="{C78E4FCE-6B22-B54C-AD58-CB275DAE90DA}"/>
    <hyperlink ref="C3077" r:id="rId1049" location="pb-12" display="https://zeke.github.io/primer-cheatsheet/ - pb-12" xr:uid="{9FA63A5B-48B8-4A48-9778-FC6FAAAE5A7F}"/>
    <hyperlink ref="C3079" r:id="rId1050" location="pb-2" display="https://zeke.github.io/primer-cheatsheet/ - pb-2" xr:uid="{975AABA1-41BE-1740-9D5E-9AB487BCFE9E}"/>
    <hyperlink ref="C3081" r:id="rId1051" location="pb-3" display="https://zeke.github.io/primer-cheatsheet/ - pb-3" xr:uid="{3693D8BF-06A8-BF43-9873-CEFDF6353405}"/>
    <hyperlink ref="C3083" r:id="rId1052" location="pb-4" display="https://zeke.github.io/primer-cheatsheet/ - pb-4" xr:uid="{2EC73E26-4CC3-CD40-938D-DDE79BDC844B}"/>
    <hyperlink ref="C3085" r:id="rId1053" location="pb-5" display="https://zeke.github.io/primer-cheatsheet/ - pb-5" xr:uid="{AC8221EB-8385-CD46-992E-D834E8C9CA9B}"/>
    <hyperlink ref="C3087" r:id="rId1054" location="pb-6" display="https://zeke.github.io/primer-cheatsheet/ - pb-6" xr:uid="{3CBFD908-FF48-FE4D-88B3-E9993FDA2C4B}"/>
    <hyperlink ref="C3089" r:id="rId1055" location="pb-7" display="https://zeke.github.io/primer-cheatsheet/ - pb-7" xr:uid="{B41C0509-70A0-894C-870E-00CC8BF47E8D}"/>
    <hyperlink ref="C3091" r:id="rId1056" location="pb-8" display="https://zeke.github.io/primer-cheatsheet/ - pb-8" xr:uid="{E9AF9B07-5815-834D-89F6-D73ABA00C240}"/>
    <hyperlink ref="C3093" r:id="rId1057" location="pb-9" display="https://zeke.github.io/primer-cheatsheet/ - pb-9" xr:uid="{4ACF55F0-F193-0F43-8CB3-074C66EFC6B8}"/>
    <hyperlink ref="C3095" r:id="rId1058" location="pl-0" display="https://zeke.github.io/primer-cheatsheet/ - pl-0" xr:uid="{CD127F8E-3AB9-DB42-AA7B-44B30BEC780E}"/>
    <hyperlink ref="C3097" r:id="rId1059" location="pl-1" display="https://zeke.github.io/primer-cheatsheet/ - pl-1" xr:uid="{B1F2E6F3-DF5C-B548-ABB6-C0BAFC917F96}"/>
    <hyperlink ref="C3099" r:id="rId1060" location="pl-10" display="https://zeke.github.io/primer-cheatsheet/ - pl-10" xr:uid="{11A34E8B-3F08-FE4C-9154-C3A57FE77080}"/>
    <hyperlink ref="C3101" r:id="rId1061" location="pl-11" display="https://zeke.github.io/primer-cheatsheet/ - pl-11" xr:uid="{19D7E605-7264-4A47-869A-4651CB48BF9E}"/>
    <hyperlink ref="C3103" r:id="rId1062" location="pl-12" display="https://zeke.github.io/primer-cheatsheet/ - pl-12" xr:uid="{FC1DBA47-1C41-C842-B4A8-2150AF73FE3A}"/>
    <hyperlink ref="C3105" r:id="rId1063" location="pl-2" display="https://zeke.github.io/primer-cheatsheet/ - pl-2" xr:uid="{009F4659-7400-C44D-9F33-34EBD6537878}"/>
    <hyperlink ref="C3107" r:id="rId1064" location="pl-3" display="https://zeke.github.io/primer-cheatsheet/ - pl-3" xr:uid="{15582A4F-3E6E-5E4D-83E2-483E8E9EB0BE}"/>
    <hyperlink ref="C3109" r:id="rId1065" location="pl-4" display="https://zeke.github.io/primer-cheatsheet/ - pl-4" xr:uid="{3DACA931-3B75-4547-9029-1F4177EF7D65}"/>
    <hyperlink ref="C3111" r:id="rId1066" location="pl-5" display="https://zeke.github.io/primer-cheatsheet/ - pl-5" xr:uid="{85CDAFB0-BC45-FF4C-BBBA-DACC020A7222}"/>
    <hyperlink ref="C3113" r:id="rId1067" location="pl-6" display="https://zeke.github.io/primer-cheatsheet/ - pl-6" xr:uid="{95407454-A044-8A46-9A41-D0C5D75977DB}"/>
    <hyperlink ref="C3115" r:id="rId1068" location="pl-7" display="https://zeke.github.io/primer-cheatsheet/ - pl-7" xr:uid="{61BD1251-3CD8-2B4D-B62B-7CDA239B79E5}"/>
    <hyperlink ref="C3117" r:id="rId1069" location="pl-8" display="https://zeke.github.io/primer-cheatsheet/ - pl-8" xr:uid="{E253AA07-7340-FB49-8290-D5D5DFBA2DFB}"/>
    <hyperlink ref="C3119" r:id="rId1070" location="pl-9" display="https://zeke.github.io/primer-cheatsheet/ - pl-9" xr:uid="{8F803C50-3775-9544-8A13-09EC8680A25C}"/>
    <hyperlink ref="C3121" r:id="rId1071" location="popover" display="https://zeke.github.io/primer-cheatsheet/ - popover" xr:uid="{4EED15F6-EB76-5B4E-88FB-65580EA5881E}"/>
    <hyperlink ref="C3124" r:id="rId1072" location="popover-message" display="https://zeke.github.io/primer-cheatsheet/ - popover-message" xr:uid="{7742753A-F876-5D42-AE94-6B5C9DB93615}"/>
    <hyperlink ref="C3129" r:id="rId1073" location="popover-message-bottom-after" display="https://zeke.github.io/primer-cheatsheet/ - popover-message-bottom-after" xr:uid="{5AB1D32C-BAFD-C144-8AF5-3B6DE06D61E4}"/>
    <hyperlink ref="C3132" r:id="rId1074" location="popover-message-bottom-before" display="https://zeke.github.io/primer-cheatsheet/ - popover-message-bottom-before" xr:uid="{4242E343-259F-1042-818D-91A54C6EB05B}"/>
    <hyperlink ref="C3135" r:id="rId1075" location="popover-message-bottom-before" display="https://zeke.github.io/primer-cheatsheet/ - popover-message-bottom-before" xr:uid="{8E8CECEF-0628-D14E-A05F-03EFA7ACAED3}"/>
    <hyperlink ref="C3138" r:id="rId1076" location="popover-message-left-after" display="https://zeke.github.io/primer-cheatsheet/ - popover-message-left-after" xr:uid="{471F8123-B888-854C-A8E3-88AC45E2DDEF}"/>
    <hyperlink ref="C3141" r:id="rId1077" location="popover-message-left-before" display="https://zeke.github.io/primer-cheatsheet/ - popover-message-left-before" xr:uid="{3C8AA774-8E7D-3844-A22E-85EA519070A7}"/>
    <hyperlink ref="C3144" r:id="rId1078" location="popover-message-right-bottom-after" display="https://zeke.github.io/primer-cheatsheet/ - popover-message-right-bottom-after" xr:uid="{53DD6801-0B12-514F-A46B-CEBCDD547888}"/>
    <hyperlink ref="C3146" r:id="rId1079" location="popover-message-right-bottom-before" display="https://zeke.github.io/primer-cheatsheet/ - popover-message-right-bottom-before" xr:uid="{7F3CD90E-5293-EE46-AEE8-BF1CCD431D6A}"/>
    <hyperlink ref="C3148" r:id="rId1080" location="popover-message-right-bottom-before" display="https://zeke.github.io/primer-cheatsheet/ - popover-message-right-bottom-before" xr:uid="{FC2235E8-E77A-EA4F-891C-AAF353341206}"/>
    <hyperlink ref="C3150" r:id="rId1081" location="popover-message-right-top-before" display="https://zeke.github.io/primer-cheatsheet/ - popover-message-right-top-before" xr:uid="{61330B83-AA2D-0C45-B87C-60AFFF28444C}"/>
    <hyperlink ref="C3152" r:id="rId1082" location="popover-message-right-after" display="https://zeke.github.io/primer-cheatsheet/ - popover-message-right-after" xr:uid="{69F9536A-C5A4-804B-95D3-1A16BDA6784C}"/>
    <hyperlink ref="C3154" r:id="rId1083" location="popover-message-right-after" display="https://zeke.github.io/primer-cheatsheet/ - popover-message-right-after" xr:uid="{E6E8CDA9-6CE9-E242-A457-19E723663027}"/>
    <hyperlink ref="C3157" r:id="rId1084" location="popover-message-right-before" display="https://zeke.github.io/primer-cheatsheet/ - popover-message-right-before" xr:uid="{AEFAC481-D23A-8843-8152-7EDDB6BCEC48}"/>
    <hyperlink ref="C3162" r:id="rId1085" location="popover-message-right-before" display="https://zeke.github.io/primer-cheatsheet/ - popover-message-right-before" xr:uid="{D4F9BE28-F08F-6E4D-B636-C1316A775181}"/>
    <hyperlink ref="C3164" r:id="rId1086" location="popover-message-right-before" display="https://zeke.github.io/primer-cheatsheet/ - popover-message-right-before" xr:uid="{B0733E41-C504-494D-8310-3FDFD9D3E998}"/>
    <hyperlink ref="C3167" r:id="rId1087" location="popover-message-top-left" display="https://zeke.github.io/primer-cheatsheet/ - popover-message-top-left" xr:uid="{3D8D1943-F588-4643-9DC3-DD016F784A71}"/>
    <hyperlink ref="C3170" r:id="rId1088" location="popover-message-top-left-after" display="https://zeke.github.io/primer-cheatsheet/ - popover-message-top-left-after" xr:uid="{2E906654-F265-F048-BF97-7BA69B430519}"/>
    <hyperlink ref="C3172" r:id="rId1089" location="popover-message-top-left-before" display="https://zeke.github.io/primer-cheatsheet/ - popover-message-top-left-before" xr:uid="{FA9B3E32-4629-0446-B9B8-3EAF94C16331}"/>
    <hyperlink ref="C3175" r:id="rId1090" location="popover-message-top-right" display="https://zeke.github.io/primer-cheatsheet/ - popover-message-top-right" xr:uid="{0BC2BF01-3B1C-B243-AEB8-46AF4E7BE058}"/>
    <hyperlink ref="C3178" r:id="rId1091" location="popover-message-top-right-after" display="https://zeke.github.io/primer-cheatsheet/ - popover-message-top-right-after" xr:uid="{17014C04-45E4-8943-BEA9-3AF4EFA42CF7}"/>
    <hyperlink ref="C3180" r:id="rId1092" location="popover-message-top-right-before" display="https://zeke.github.io/primer-cheatsheet/ - popover-message-top-right-before" xr:uid="{5409352C-C3FF-CC42-9914-C424912A4D0D}"/>
    <hyperlink ref="C3183" r:id="rId1093" location="popover-message-top-right-before" display="https://zeke.github.io/primer-cheatsheet/ - popover-message-top-right-before" xr:uid="{AD87963B-92C7-8341-8800-A008EDF77226}"/>
    <hyperlink ref="C3185" r:id="rId1094" location="popover-message-after" display="https://zeke.github.io/primer-cheatsheet/ - popover-message-after" xr:uid="{61AD1F52-0DB4-064B-B975-36F5E52D3913}"/>
    <hyperlink ref="C3190" r:id="rId1095" location="popover-message-before" display="https://zeke.github.io/primer-cheatsheet/ - popover-message-before" xr:uid="{480B1A8D-D9C5-FA47-8710-BEA068FDA455}"/>
    <hyperlink ref="C3195" r:id="rId1096" location="popover-message-before" display="https://zeke.github.io/primer-cheatsheet/ - popover-message-before" xr:uid="{87F6B8B3-DC98-E340-B086-B952FEEE99DA}"/>
    <hyperlink ref="C3200" r:id="rId1097" location="position-absolute" display="https://zeke.github.io/primer-cheatsheet/ - position-absolute" xr:uid="{B37D4E72-1922-E240-AD6E-B8D8AE9C8C01}"/>
    <hyperlink ref="C3202" r:id="rId1098" location="position-fixed" display="https://zeke.github.io/primer-cheatsheet/ - position-fixed" xr:uid="{86904356-B8A1-7444-9FAA-F2462BECFDF9}"/>
    <hyperlink ref="C3204" r:id="rId1099" location="position-relative" display="https://zeke.github.io/primer-cheatsheet/ - position-relative" xr:uid="{BF6233A5-C002-8A49-93EE-DA1D42663111}"/>
    <hyperlink ref="C3206" r:id="rId1100" location="position-static" display="https://zeke.github.io/primer-cheatsheet/ - position-static" xr:uid="{F35F1D9D-5CF5-D64E-9169-74CD2B630939}"/>
    <hyperlink ref="C3208" r:id="rId1101" location="position-sticky" display="https://zeke.github.io/primer-cheatsheet/ - position-sticky" xr:uid="{BA620760-5115-2E46-B35B-B161758321DB}"/>
    <hyperlink ref="C3211" r:id="rId1102" location="pr-0" display="https://zeke.github.io/primer-cheatsheet/ - pr-0" xr:uid="{A3D2EFCD-5936-6F4C-B9B4-CD08DAD462B0}"/>
    <hyperlink ref="C3213" r:id="rId1103" location="pr-1" display="https://zeke.github.io/primer-cheatsheet/ - pr-1" xr:uid="{41606F80-4188-7D4A-A691-46372C47D294}"/>
    <hyperlink ref="C3215" r:id="rId1104" location="pr-10" display="https://zeke.github.io/primer-cheatsheet/ - pr-10" xr:uid="{B8A26D3C-491C-AB46-9F86-7E83115178BB}"/>
    <hyperlink ref="C3217" r:id="rId1105" location="pr-11" display="https://zeke.github.io/primer-cheatsheet/ - pr-11" xr:uid="{ED522B9B-DF82-6C4C-85C4-93A4BBDAC45F}"/>
    <hyperlink ref="C3219" r:id="rId1106" location="pr-12" display="https://zeke.github.io/primer-cheatsheet/ - pr-12" xr:uid="{17BD1735-28BE-4049-A361-2011E4C85B9C}"/>
    <hyperlink ref="C3221" r:id="rId1107" location="pr-2" display="https://zeke.github.io/primer-cheatsheet/ - pr-2" xr:uid="{65066079-37D8-D14A-A8F4-D260717900AE}"/>
    <hyperlink ref="C3223" r:id="rId1108" location="pr-3" display="https://zeke.github.io/primer-cheatsheet/ - pr-3" xr:uid="{A4C715FF-3516-AF4F-8D62-8AE3A64DF1E0}"/>
    <hyperlink ref="C3225" r:id="rId1109" location="pr-4" display="https://zeke.github.io/primer-cheatsheet/ - pr-4" xr:uid="{81D009E9-CBD5-8940-8770-B340A04CA886}"/>
    <hyperlink ref="C3227" r:id="rId1110" location="pr-5" display="https://zeke.github.io/primer-cheatsheet/ - pr-5" xr:uid="{F8EA6C9C-4088-244E-8C86-638D4AC2F147}"/>
    <hyperlink ref="C3229" r:id="rId1111" location="pr-6" display="https://zeke.github.io/primer-cheatsheet/ - pr-6" xr:uid="{2789C9DD-DF0E-FC42-BBA9-C96AD5642583}"/>
    <hyperlink ref="C3231" r:id="rId1112" location="pr-7" display="https://zeke.github.io/primer-cheatsheet/ - pr-7" xr:uid="{EC002B0D-A4F4-414E-9AB2-B91CC4831438}"/>
    <hyperlink ref="C3233" r:id="rId1113" location="pr-8" display="https://zeke.github.io/primer-cheatsheet/ - pr-8" xr:uid="{42A0B477-451B-9E46-887F-B9601E11CFED}"/>
    <hyperlink ref="C3235" r:id="rId1114" location="pr-9" display="https://zeke.github.io/primer-cheatsheet/ - pr-9" xr:uid="{EC857FE7-2E76-6C46-841C-7C84CC2B3575}"/>
    <hyperlink ref="C3237" r:id="rId1115" location="previewable-comment-form" display="https://zeke.github.io/primer-cheatsheet/ - previewable-comment-form" xr:uid="{98F1CA0B-1FC6-EF4E-B801-E168D37E0E6C}"/>
    <hyperlink ref="C3239" r:id="rId1116" location="previewable-comment-form-comment" display="https://zeke.github.io/primer-cheatsheet/ - previewable-comment-form-comment" xr:uid="{7E93E806-0BD4-924C-B8B7-0B76E0717EEA}"/>
    <hyperlink ref="C3241" r:id="rId1117" location="previewable-comment-form-comment-form-error" display="https://zeke.github.io/primer-cheatsheet/ - previewable-comment-form-comment-form-error" xr:uid="{49D6A426-3046-6E4D-B787-02F22181E498}"/>
    <hyperlink ref="C3243" r:id="rId1118" location="previewable-comment-form-tabnav" display="https://zeke.github.io/primer-cheatsheet/ - previewable-comment-form-tabnav" xr:uid="{CDF28BF9-561F-0148-91F9-B31CCAC6A5AA}"/>
    <hyperlink ref="C3246" r:id="rId1119" location="previewable-comment-form-write-content" display="https://zeke.github.io/primer-cheatsheet/ - previewable-comment-form-write-content" xr:uid="{973C95E3-9B51-544A-80EB-954E78982E5F}"/>
    <hyperlink ref="C3249" r:id="rId1120" location="previewable-comment-form-textarea" display="https://zeke.github.io/primer-cheatsheet/ - previewable-comment-form-textarea" xr:uid="{BA3E4D56-21FE-7B47-8DD8-2A25A0225143}"/>
    <hyperlink ref="C3256" r:id="rId1121" location="previewable-comment-form-write-selected-write-content" display="https://zeke.github.io/primer-cheatsheet/ - previewable-comment-form-write-selected-write-content" xr:uid="{27561E94-DEF4-6C40-B3C3-351F3B89BF92}"/>
    <hyperlink ref="C3258" r:id="rId1122" location="progress" display="https://zeke.github.io/primer-cheatsheet/ - progress" xr:uid="{06BCC541-5A6A-B042-9810-E094D4DF506C}"/>
    <hyperlink ref="C3264" r:id="rId1123" location="progress-large" display="https://zeke.github.io/primer-cheatsheet/ - progress-large" xr:uid="{FA96D00F-3F97-E742-A0C7-663288D08987}"/>
    <hyperlink ref="C3266" r:id="rId1124" location="progress-small" display="https://zeke.github.io/primer-cheatsheet/ - progress-small" xr:uid="{645EAB70-7456-0148-B1E9-44C65984E3C2}"/>
    <hyperlink ref="C3268" r:id="rId1125" location="pt-0" display="https://zeke.github.io/primer-cheatsheet/ - pt-0" xr:uid="{5CC5C0AD-98DC-1243-945C-094815044988}"/>
    <hyperlink ref="C3270" r:id="rId1126" location="pt-1" display="https://zeke.github.io/primer-cheatsheet/ - pt-1" xr:uid="{6147198E-439E-434A-9E11-F0D663A507B2}"/>
    <hyperlink ref="C3272" r:id="rId1127" location="pt-10" display="https://zeke.github.io/primer-cheatsheet/ - pt-10" xr:uid="{CC438680-3BE3-424E-82EB-EB86CC19920E}"/>
    <hyperlink ref="C3274" r:id="rId1128" location="pt-11" display="https://zeke.github.io/primer-cheatsheet/ - pt-11" xr:uid="{3C464C06-6B5B-BE40-86B7-8689569A8C56}"/>
    <hyperlink ref="C3276" r:id="rId1129" location="pt-12" display="https://zeke.github.io/primer-cheatsheet/ - pt-12" xr:uid="{B49FDDD3-3A66-FF4F-AFC3-48857445F47C}"/>
    <hyperlink ref="C3278" r:id="rId1130" location="pt-2" display="https://zeke.github.io/primer-cheatsheet/ - pt-2" xr:uid="{349D4F99-2A51-3D4A-9611-DB5F3733369E}"/>
    <hyperlink ref="C3280" r:id="rId1131" location="pt-3" display="https://zeke.github.io/primer-cheatsheet/ - pt-3" xr:uid="{80881194-2E08-C948-A50F-95078243E8AB}"/>
    <hyperlink ref="C3282" r:id="rId1132" location="pt-4" display="https://zeke.github.io/primer-cheatsheet/ - pt-4" xr:uid="{A609D783-BB86-7B49-A6A7-F8A5297BBFA4}"/>
    <hyperlink ref="C3284" r:id="rId1133" location="pt-5" display="https://zeke.github.io/primer-cheatsheet/ - pt-5" xr:uid="{D75CFAAB-7357-844C-9CC8-027091FC49BA}"/>
    <hyperlink ref="C3286" r:id="rId1134" location="pt-6" display="https://zeke.github.io/primer-cheatsheet/ - pt-6" xr:uid="{D53BB28A-B4F0-9E43-9AFE-26AA3E84BCE7}"/>
    <hyperlink ref="C3288" r:id="rId1135" location="pt-7" display="https://zeke.github.io/primer-cheatsheet/ - pt-7" xr:uid="{04676B86-9D5F-BD4C-B5FF-AD331F886E5E}"/>
    <hyperlink ref="C3290" r:id="rId1136" location="pt-8" display="https://zeke.github.io/primer-cheatsheet/ - pt-8" xr:uid="{970C026D-402C-7F4D-8191-BFDF0E86891C}"/>
    <hyperlink ref="C3292" r:id="rId1137" location="pt-9" display="https://zeke.github.io/primer-cheatsheet/ - pt-9" xr:uid="{65ABE9C5-A276-874D-97FB-E9E065D3A6AA}"/>
    <hyperlink ref="C3294" r:id="rId1138" location="pullquote" display="https://zeke.github.io/primer-cheatsheet/ - pullquote" xr:uid="{D21CE81E-EADB-124E-ACE8-14DBBCB7FF9A}"/>
    <hyperlink ref="C3304" r:id="rId1139" location="px-0" display="https://zeke.github.io/primer-cheatsheet/ - px-0" xr:uid="{2576EFAD-38E9-324F-8C13-81928C93B866}"/>
    <hyperlink ref="C3307" r:id="rId1140" location="px-1" display="https://zeke.github.io/primer-cheatsheet/ - px-1" xr:uid="{3C98BECF-4E25-C747-8355-13F6C7E02797}"/>
    <hyperlink ref="C3310" r:id="rId1141" location="px-2" display="https://zeke.github.io/primer-cheatsheet/ - px-2" xr:uid="{EF0C7D8E-EEE7-9440-AE47-059D22BCFB81}"/>
    <hyperlink ref="C3313" r:id="rId1142" location="px-3" display="https://zeke.github.io/primer-cheatsheet/ - px-3" xr:uid="{B436D38A-2DF1-0646-A706-FC18011CEB6F}"/>
    <hyperlink ref="C3316" r:id="rId1143" location="px-4" display="https://zeke.github.io/primer-cheatsheet/ - px-4" xr:uid="{17A7015A-0B63-7B4A-8351-BB9F6673EA48}"/>
    <hyperlink ref="C3319" r:id="rId1144" location="px-5" display="https://zeke.github.io/primer-cheatsheet/ - px-5" xr:uid="{995DB1B3-70D7-9341-A23B-6CE6A059F28D}"/>
    <hyperlink ref="C3322" r:id="rId1145" location="px-6" display="https://zeke.github.io/primer-cheatsheet/ - px-6" xr:uid="{6270CB29-D036-1D4F-811D-537DFD073A89}"/>
    <hyperlink ref="C3325" r:id="rId1146" location="py-0" display="https://zeke.github.io/primer-cheatsheet/ - py-0" xr:uid="{078A1510-8D9A-284D-B2CC-B7CDDB7A1396}"/>
    <hyperlink ref="C3328" r:id="rId1147" location="py-1" display="https://zeke.github.io/primer-cheatsheet/ - py-1" xr:uid="{B592145E-0677-3443-92B9-3B7E961FA91D}"/>
    <hyperlink ref="C3331" r:id="rId1148" location="py-10" display="https://zeke.github.io/primer-cheatsheet/ - py-10" xr:uid="{08D135E3-9817-2E4F-992E-CBCADD581AB9}"/>
    <hyperlink ref="C3334" r:id="rId1149" location="py-11" display="https://zeke.github.io/primer-cheatsheet/ - py-11" xr:uid="{F70A5CFA-D978-734C-A0A9-9646EE87362D}"/>
    <hyperlink ref="C3337" r:id="rId1150" location="py-12" display="https://zeke.github.io/primer-cheatsheet/ - py-12" xr:uid="{A299734E-4E15-6A4D-8B35-A33A18ED4E5F}"/>
    <hyperlink ref="C3340" r:id="rId1151" location="py-2" display="https://zeke.github.io/primer-cheatsheet/ - py-2" xr:uid="{CD5F0E3B-C96E-5747-9FED-4E0568709368}"/>
    <hyperlink ref="C3343" r:id="rId1152" location="py-3" display="https://zeke.github.io/primer-cheatsheet/ - py-3" xr:uid="{38600C43-3651-CA4A-9340-2AE63B735C0A}"/>
    <hyperlink ref="C3346" r:id="rId1153" location="py-4" display="https://zeke.github.io/primer-cheatsheet/ - py-4" xr:uid="{E9448A1A-BCC0-CC4F-A33A-6E7EAB747588}"/>
    <hyperlink ref="C3349" r:id="rId1154" location="py-5" display="https://zeke.github.io/primer-cheatsheet/ - py-5" xr:uid="{7B674EB5-C9B6-ED48-B7F8-C6FB281FEE01}"/>
    <hyperlink ref="C3352" r:id="rId1155" location="py-6" display="https://zeke.github.io/primer-cheatsheet/ - py-6" xr:uid="{4B015C2A-1D55-AD4A-8E5F-64C818E3CA04}"/>
    <hyperlink ref="C3355" r:id="rId1156" location="py-7" display="https://zeke.github.io/primer-cheatsheet/ - py-7" xr:uid="{38F46450-B526-AA40-B21B-8CACA5D20B06}"/>
    <hyperlink ref="C3358" r:id="rId1157" location="py-8" display="https://zeke.github.io/primer-cheatsheet/ - py-8" xr:uid="{888E2851-44B9-7B4F-86AF-398FA3505BA0}"/>
    <hyperlink ref="C3361" r:id="rId1158" location="py-9" display="https://zeke.github.io/primer-cheatsheet/ - py-9" xr:uid="{54E4B4A8-0AE1-CD40-8144-A4CFD63484EB}"/>
    <hyperlink ref="C3364" r:id="rId1159" location="radio-group-after" display="https://zeke.github.io/primer-cheatsheet/ - radio-group-after" xr:uid="{D2CD7986-23A9-7A4F-A758-DEF7D9D10D4A}"/>
    <hyperlink ref="C3368" r:id="rId1160" location="radio-group-before" display="https://zeke.github.io/primer-cheatsheet/ - radio-group-before" xr:uid="{204C109E-2250-F944-8AEE-737106ADCFE5}"/>
    <hyperlink ref="C3371" r:id="rId1161" location="radio-input" display="https://zeke.github.io/primer-cheatsheet/ - radio-input" xr:uid="{88FC2DC1-E2B8-254F-B599-D335C0AEF681}"/>
    <hyperlink ref="C3375" r:id="rId1162" location="radio-label" display="https://zeke.github.io/primer-cheatsheet/ - radio-label" xr:uid="{17245907-C53B-0544-B454-799B4ABED9F6}"/>
    <hyperlink ref="C3384" r:id="rId1163" location="radio-label-first-of-type" display="https://zeke.github.io/primer-cheatsheet/ - radio-label-first-of-type" xr:uid="{22DEBF21-5808-2C4C-A163-90CB8354CEB3}"/>
    <hyperlink ref="C3388" r:id="rId1164" location="radio-label-last-of-type" display="https://zeke.github.io/primer-cheatsheet/ - radio-label-last-of-type" xr:uid="{6320CE0F-BA95-7847-A461-278940CF9D15}"/>
    <hyperlink ref="C3391" r:id="rId1165" location="right-0" display="https://zeke.github.io/primer-cheatsheet/ - right-0" xr:uid="{4CCCFC1E-BBD1-6B4A-9CB7-2689AF166A3A}"/>
    <hyperlink ref="C3393" r:id="rId1166" location="right-0" display="https://zeke.github.io/primer-cheatsheet/ - right-0" xr:uid="{4EC2AF89-16A9-5E43-96F0-D89D9FBC82DA}"/>
    <hyperlink ref="C3395" r:id="rId1167" location="right-1" display="https://zeke.github.io/primer-cheatsheet/ - right-1" xr:uid="{15504201-35C8-3E40-9096-87117BE3D1A6}"/>
    <hyperlink ref="C3397" r:id="rId1168" location="right-10" display="https://zeke.github.io/primer-cheatsheet/ - right-10" xr:uid="{B6202FCA-A6C9-AE40-BF98-9EBD0F653558}"/>
    <hyperlink ref="C3399" r:id="rId1169" location="right-11" display="https://zeke.github.io/primer-cheatsheet/ - right-11" xr:uid="{8EEA5DB3-6D40-D847-BE82-27D0C15AD689}"/>
    <hyperlink ref="C3401" r:id="rId1170" location="right-12" display="https://zeke.github.io/primer-cheatsheet/ - right-12" xr:uid="{71A176F3-E904-E442-A782-7F080CA839D0}"/>
    <hyperlink ref="C3403" r:id="rId1171" location="right-2" display="https://zeke.github.io/primer-cheatsheet/ - right-2" xr:uid="{22BB40FF-A884-AA46-9FD0-974AAC5C5398}"/>
    <hyperlink ref="C3405" r:id="rId1172" location="right-3" display="https://zeke.github.io/primer-cheatsheet/ - right-3" xr:uid="{F53363EA-ADEE-114B-B311-BA9147114021}"/>
    <hyperlink ref="C3407" r:id="rId1173" location="right-4" display="https://zeke.github.io/primer-cheatsheet/ - right-4" xr:uid="{B4074FFA-001A-5040-8EC7-794F0762E8D0}"/>
    <hyperlink ref="C3409" r:id="rId1174" location="right-5" display="https://zeke.github.io/primer-cheatsheet/ - right-5" xr:uid="{3E31B201-6821-0748-BF91-5436C9FAFC8F}"/>
    <hyperlink ref="C3411" r:id="rId1175" location="right-6" display="https://zeke.github.io/primer-cheatsheet/ - right-6" xr:uid="{145547A9-02FE-AB4D-BCBD-51B7CAAA0AD6}"/>
    <hyperlink ref="C3413" r:id="rId1176" location="right-7" display="https://zeke.github.io/primer-cheatsheet/ - right-7" xr:uid="{3FBA6EEF-4399-444B-A61E-01314FD5B3E9}"/>
    <hyperlink ref="C3415" r:id="rId1177" location="right-8" display="https://zeke.github.io/primer-cheatsheet/ - right-8" xr:uid="{4A14EF1E-3545-1443-A75A-47FBF861D346}"/>
    <hyperlink ref="C3417" r:id="rId1178" location="right-9" display="https://zeke.github.io/primer-cheatsheet/ - right-9" xr:uid="{054F4B86-48AD-614E-B304-579F0A73427A}"/>
    <hyperlink ref="C3419" r:id="rId1179" location="right-n0" display="https://zeke.github.io/primer-cheatsheet/ - right-n0" xr:uid="{06C47464-26C1-4E4C-91BD-CC2D1B960C89}"/>
    <hyperlink ref="C3421" r:id="rId1180" location="right-n1" display="https://zeke.github.io/primer-cheatsheet/ - right-n1" xr:uid="{0D9B8288-4B06-2043-8737-6B4AB574AF5A}"/>
    <hyperlink ref="C3423" r:id="rId1181" location="right-n10" display="https://zeke.github.io/primer-cheatsheet/ - right-n10" xr:uid="{36E46B56-AB14-6A43-8477-46D49E52B794}"/>
    <hyperlink ref="C3425" r:id="rId1182" location="right-n11" display="https://zeke.github.io/primer-cheatsheet/ - right-n11" xr:uid="{734C7FC3-9DB8-AC4D-BFE0-D7A5400F6902}"/>
    <hyperlink ref="C3427" r:id="rId1183" location="right-n12" display="https://zeke.github.io/primer-cheatsheet/ - right-n12" xr:uid="{997F18F1-FDEE-E944-9723-86B2C7A2C443}"/>
    <hyperlink ref="C3429" r:id="rId1184" location="right-n2" display="https://zeke.github.io/primer-cheatsheet/ - right-n2" xr:uid="{EAA4B3C3-CCC9-6A45-A278-21A7ECFD5C7A}"/>
    <hyperlink ref="C3431" r:id="rId1185" location="right-n3" display="https://zeke.github.io/primer-cheatsheet/ - right-n3" xr:uid="{1E235869-FDAF-A340-B424-E091E409EFA8}"/>
    <hyperlink ref="C3433" r:id="rId1186" location="right-n4" display="https://zeke.github.io/primer-cheatsheet/ - right-n4" xr:uid="{45689D3B-3713-524E-843A-E09CFA6272D0}"/>
    <hyperlink ref="C3435" r:id="rId1187" location="right-n5" display="https://zeke.github.io/primer-cheatsheet/ - right-n5" xr:uid="{7A2401D5-F6DE-8C43-A183-6F7126B3FDA9}"/>
    <hyperlink ref="C3437" r:id="rId1188" location="right-n6" display="https://zeke.github.io/primer-cheatsheet/ - right-n6" xr:uid="{9EAFFA20-9869-D64A-A85F-C4B38D831325}"/>
    <hyperlink ref="C3439" r:id="rId1189" location="right-n7" display="https://zeke.github.io/primer-cheatsheet/ - right-n7" xr:uid="{788154AB-7747-2349-8D09-7696E472E323}"/>
    <hyperlink ref="C3441" r:id="rId1190" location="right-n8" display="https://zeke.github.io/primer-cheatsheet/ - right-n8" xr:uid="{AAB0A4D3-DF0F-B046-BFF5-CB7DC9D60515}"/>
    <hyperlink ref="C3443" r:id="rId1191" location="right-n9" display="https://zeke.github.io/primer-cheatsheet/ - right-n9" xr:uid="{D5BD9FDB-3FEF-A647-AA5F-7C4CE0F3B0ED}"/>
    <hyperlink ref="C3445" r:id="rId1192" location="rounded-0" display="https://zeke.github.io/primer-cheatsheet/ - rounded-0" xr:uid="{AFB26750-B6C8-864C-AF86-E849D6E5F7EE}"/>
    <hyperlink ref="C3447" r:id="rId1193" location="rounded-1" display="https://zeke.github.io/primer-cheatsheet/ - rounded-1" xr:uid="{08C67339-7A35-4746-A63F-B6B293B06EB4}"/>
    <hyperlink ref="C3449" r:id="rId1194" location="rounded-2" display="https://zeke.github.io/primer-cheatsheet/ - rounded-2" xr:uid="{32B7E48B-50FC-7144-9DF6-93262ECFA027}"/>
    <hyperlink ref="C3451" r:id="rId1195" location="rounded-bottom-0" display="https://zeke.github.io/primer-cheatsheet/ - rounded-bottom-0" xr:uid="{F7639453-A1DE-5B43-A2E7-F89B893CA00C}"/>
    <hyperlink ref="C3454" r:id="rId1196" location="rounded-bottom-1" display="https://zeke.github.io/primer-cheatsheet/ - rounded-bottom-1" xr:uid="{CD6D6B23-78DE-9647-9E98-63A0F14CFAB7}"/>
    <hyperlink ref="C3457" r:id="rId1197" location="rounded-bottom-2" display="https://zeke.github.io/primer-cheatsheet/ - rounded-bottom-2" xr:uid="{989AB687-3C3A-1441-AB57-F22CFE802760}"/>
    <hyperlink ref="C3460" r:id="rId1198" location="rounded-left-0" display="https://zeke.github.io/primer-cheatsheet/ - rounded-left-0" xr:uid="{E5FEDD47-4339-B64E-A5A6-F58EBB949A3C}"/>
    <hyperlink ref="C3463" r:id="rId1199" location="rounded-left-1" display="https://zeke.github.io/primer-cheatsheet/ - rounded-left-1" xr:uid="{C3AA7C56-4F15-7B46-81B8-E3C7F3F93CC8}"/>
    <hyperlink ref="C3466" r:id="rId1200" location="rounded-left-2" display="https://zeke.github.io/primer-cheatsheet/ - rounded-left-2" xr:uid="{15A81E9C-DA0B-1E4C-A399-CBB4A81217C7}"/>
    <hyperlink ref="C3469" r:id="rId1201" location="rounded-right-0" display="https://zeke.github.io/primer-cheatsheet/ - rounded-right-0" xr:uid="{FB3B4E77-9D28-9A4E-9566-7F87AE6D0219}"/>
    <hyperlink ref="C3472" r:id="rId1202" location="rounded-right-1" display="https://zeke.github.io/primer-cheatsheet/ - rounded-right-1" xr:uid="{3C1B7385-79B8-A149-A5C0-94796518A869}"/>
    <hyperlink ref="C3475" r:id="rId1203" location="rounded-right-2" display="https://zeke.github.io/primer-cheatsheet/ - rounded-right-2" xr:uid="{98EBC707-98D0-1048-BF0D-B687628E24C2}"/>
    <hyperlink ref="C3478" r:id="rId1204" location="rounded-top-0" display="https://zeke.github.io/primer-cheatsheet/ - rounded-top-0" xr:uid="{2175C2F7-9C02-594B-B968-DC8050125AD4}"/>
    <hyperlink ref="C3481" r:id="rId1205" location="rounded-top-1" display="https://zeke.github.io/primer-cheatsheet/ - rounded-top-1" xr:uid="{E2FE28D1-2699-324C-9A06-EBC661050370}"/>
    <hyperlink ref="C3484" r:id="rId1206" location="rounded-top-2" display="https://zeke.github.io/primer-cheatsheet/ - rounded-top-2" xr:uid="{14BE5B6E-BD18-964F-974E-52F0CD108C2A}"/>
    <hyperlink ref="C3487" r:id="rId1207" location="select-sm" display="https://zeke.github.io/primer-cheatsheet/ - select-sm" xr:uid="{72C58EBA-E3E5-0643-8F2C-7AF5CAE7D9F2}"/>
    <hyperlink ref="C3493" r:id="rId1208" location="select-sm-multiple" display="https://zeke.github.io/primer-cheatsheet/ - select-sm-multiple" xr:uid="{1712DF96-970F-8143-B10C-85AD2DAC4D36}"/>
    <hyperlink ref="C3496" r:id="rId1209" location="select-menu" display="https://zeke.github.io/primer-cheatsheet/ - select-menu" xr:uid="{DADE4E0A-86F8-CD46-B276-C2AE33E93751}"/>
    <hyperlink ref="C3507" r:id="rId1210" location="select-menu-has-filter-select-menu-modal" display="https://zeke.github.io/primer-cheatsheet/ - select-menu-has-filter-select-menu-modal" xr:uid="{D2D1B716-7A7B-604B-8B06-ADB66A398786}"/>
    <hyperlink ref="C3511" r:id="rId1211" location="select-menu-close-button" display="https://zeke.github.io/primer-cheatsheet/ - select-menu-close-button" xr:uid="{9897A47C-E290-6942-ACAA-D6A893DB24B4}"/>
    <hyperlink ref="C3517" r:id="rId1212" location="select-menu-divider" display="https://zeke.github.io/primer-cheatsheet/ - select-menu-divider" xr:uid="{D7FA0139-9AB0-7048-974F-6F89980296EF}"/>
    <hyperlink ref="C3525" r:id="rId1213" location="select-menu-filter" display="https://zeke.github.io/primer-cheatsheet/ - select-menu-filter" xr:uid="{27047D04-1EDE-354B-9089-FE32BFBE3EEB}"/>
    <hyperlink ref="C3529" r:id="rId1214" location="select-menu-footer" display="https://zeke.github.io/primer-cheatsheet/ - select-menu-footer" xr:uid="{CA6C3FA8-ABE4-CE41-8783-0EE51BE47906}"/>
    <hyperlink ref="C3536" r:id="rId1215" location="select-menu-header" display="https://zeke.github.io/primer-cheatsheet/ - select-menu-header" xr:uid="{7E8A8AE8-B813-2C48-A1EE-884D7A1F959C}"/>
    <hyperlink ref="C3540" r:id="rId1216" location="select-menu-icon" display="https://zeke.github.io/primer-cheatsheet/ - select-menu-icon" xr:uid="{E7C5085E-E8C7-3C4F-BA34-8563D2AAC679}"/>
    <hyperlink ref="C3544" r:id="rId1217" location="select-menu-icon-check" display="https://zeke.github.io/primer-cheatsheet/ - select-menu-icon-check" xr:uid="{A2A30A2E-DCFB-5343-8D11-69FAC5477820}"/>
    <hyperlink ref="C3548" r:id="rId1218" location="select-menu-input" display="https://zeke.github.io/primer-cheatsheet/ - select-menu-input" xr:uid="{B0966FC6-8735-0C45-99C1-F681E4E0BA2A}"/>
    <hyperlink ref="C3551" r:id="rId1219" location="select-menu-item" display="https://zeke.github.io/primer-cheatsheet/ - select-menu-item" xr:uid="{481BDBE8-F175-1047-A050-689DA928F535}"/>
    <hyperlink ref="C3563" r:id="rId1220" location="select-menu-item-hover" display="https://zeke.github.io/primer-cheatsheet/ - select-menu-item-hover" xr:uid="{FEE718D1-1100-2044-B6A5-53CBE311E7F6}"/>
    <hyperlink ref="C3565" r:id="rId1221" location="select-menu-item-aria-checked-true" display="https://zeke.github.io/primer-cheatsheet/ - select-menu-item-aria-checked-true" xr:uid="{513E4943-B7D8-DB40-9690-8721D94C68C4}"/>
    <hyperlink ref="C3568" r:id="rId1222" location="select-menu-item-aria-checked-true-select-menu-icon-check" display="https://zeke.github.io/primer-cheatsheet/ - select-menu-item-aria-checked-true-select-menu-icon-check" xr:uid="{B4FCD63D-7D45-894E-97D5-305F930FA938}"/>
    <hyperlink ref="C3572" r:id="rId1223" location="select-menu-list" display="https://zeke.github.io/primer-cheatsheet/ - select-menu-list" xr:uid="{F85C29DC-CB4E-7A42-8218-16C0B3ED4DD5}"/>
    <hyperlink ref="C3583" r:id="rId1224" location="select-menu-message" display="https://zeke.github.io/primer-cheatsheet/ - select-menu-message" xr:uid="{CE3AD08B-89D2-954D-9A51-CAE2DA6B63C1}"/>
    <hyperlink ref="C3585" r:id="rId1225" location="select-menu-message" display="https://zeke.github.io/primer-cheatsheet/ - select-menu-message" xr:uid="{74ABA730-DE4E-994B-BD8D-A7A364169DA1}"/>
    <hyperlink ref="C3589" r:id="rId1226" location="select-menu-modal" display="https://zeke.github.io/primer-cheatsheet/ - select-menu-modal" xr:uid="{70A2C989-48D8-014C-B8AC-A0568D7B2024}"/>
    <hyperlink ref="C3602" r:id="rId1227" location="select-menu-tab" display="https://zeke.github.io/primer-cheatsheet/ - select-menu-tab" xr:uid="{09ED2304-A1FD-1E48-A791-ACC39DAFE437}"/>
    <hyperlink ref="C3612" r:id="rId1228" location="select-menu-tab-focus" display="https://zeke.github.io/primer-cheatsheet/ - select-menu-tab-focus" xr:uid="{5E017471-E374-6B44-B071-B55D6B0B4197}"/>
    <hyperlink ref="C3614" r:id="rId1229" location="select-menu-tab-aria-selected-true" display="https://zeke.github.io/primer-cheatsheet/ - select-menu-tab-aria-selected-true" xr:uid="{17F9A7CD-D543-8446-B0BC-81A37ECA598E}"/>
    <hyperlink ref="C3619" r:id="rId1230" location="select-menu-tabs" display="https://zeke.github.io/primer-cheatsheet/ - select-menu-tabs" xr:uid="{D8DAED5D-4936-C042-85DA-228BB7972209}"/>
    <hyperlink ref="C3627" r:id="rId1231" location="select-menu-tabs-webkit-scrollbar" display="https://zeke.github.io/primer-cheatsheet/ - select-menu-tabs-webkit-scrollbar" xr:uid="{AEE1047B-8B3F-D348-A223-34B84EBE9941}"/>
    <hyperlink ref="C3629" r:id="rId1232" location="select-menu-title" display="https://zeke.github.io/primer-cheatsheet/ - select-menu-title" xr:uid="{01775266-4B42-EB4E-8F7C-5EFB424DCC84}"/>
    <hyperlink ref="C3633" r:id="rId1233" location="select-menu-before" display="https://zeke.github.io/primer-cheatsheet/ - select-menu-before" xr:uid="{F51F6BF6-5C40-B346-8A84-D503D0C134E8}"/>
    <hyperlink ref="C3642" r:id="rId1234" location="show-on-focus" display="https://zeke.github.io/primer-cheatsheet/ - show-on-focus" xr:uid="{FE20230E-6173-4246-81F9-A9401C1D02BE}"/>
    <hyperlink ref="C3649" r:id="rId1235" location="show-on-focus-focus" display="https://zeke.github.io/primer-cheatsheet/ - show-on-focus-focus" xr:uid="{3040F09B-9A48-9A41-9BEA-563E4A9DC334}"/>
    <hyperlink ref="C3654" r:id="rId1236" location="side-nav" display="https://zeke.github.io/primer-cheatsheet/ - side-nav" xr:uid="{F90409A8-2824-524B-AD5D-42E7AFD9D865}"/>
    <hyperlink ref="C3656" r:id="rId1237" location="side-nav-icon" display="https://zeke.github.io/primer-cheatsheet/ - side-nav-icon" xr:uid="{F1FE95FA-221B-1346-B2CD-9C379FD45CB9}"/>
    <hyperlink ref="C3659" r:id="rId1238" location="side-nav-item" display="https://zeke.github.io/primer-cheatsheet/ - side-nav-item" xr:uid="{3A47A639-6C5E-224A-9B94-C4C5422E2BAE}"/>
    <hyperlink ref="C3669" r:id="rId1239" location="side-nav-item-before" display="https://zeke.github.io/primer-cheatsheet/ - side-nav-item-before" xr:uid="{6B0E4898-6C37-B84E-B9EB-836201D3154D}"/>
    <hyperlink ref="C3678" r:id="rId1240" location="side-nav-item-active" display="https://zeke.github.io/primer-cheatsheet/ - side-nav-item-active" xr:uid="{A6005447-2AAA-4647-826F-AF108170D701}"/>
    <hyperlink ref="C3680" r:id="rId1241" location="side-nav-item-first-child" display="https://zeke.github.io/primer-cheatsheet/ - side-nav-item-first-child" xr:uid="{53C999F9-FA45-0845-8840-1CE8B334B488}"/>
    <hyperlink ref="C3682" r:id="rId1242" location="side-nav-item-hover" display="https://zeke.github.io/primer-cheatsheet/ - side-nav-item-hover" xr:uid="{3EA7448D-9612-4A4E-B2AC-69382ABAB067}"/>
    <hyperlink ref="C3687" r:id="rId1243" location="side-nav-item-hover-before" display="https://zeke.github.io/primer-cheatsheet/ - side-nav-item-hover-before" xr:uid="{67AEFCC6-5931-0B46-9B23-3FB78778B4F5}"/>
    <hyperlink ref="C3689" r:id="rId1244" location="side-nav-item-last-child" display="https://zeke.github.io/primer-cheatsheet/ - side-nav-item-last-child" xr:uid="{2D6F9294-EC2B-2141-9943-7B13D1D427E6}"/>
    <hyperlink ref="C3691" r:id="rId1245" location="side-nav-item-aria-current-page" display="https://zeke.github.io/primer-cheatsheet/ - side-nav-item-aria-current-page" xr:uid="{8F90AC26-F5E8-F94B-939C-7DC0B90A300F}"/>
    <hyperlink ref="C3695" r:id="rId1246" location="side-nav-item-aria-current-page-before" display="https://zeke.github.io/primer-cheatsheet/ - side-nav-item-aria-current-page-before" xr:uid="{56A64FA8-D75E-6745-B2F4-0969B66F3B4C}"/>
    <hyperlink ref="C3697" r:id="rId1247" location="side-nav-sub-item" display="https://zeke.github.io/primer-cheatsheet/ - side-nav-sub-item" xr:uid="{0054C147-F04B-BB43-BD10-D64644414B04}"/>
    <hyperlink ref="C3706" r:id="rId1248" location="side-nav-sub-item-hover" display="https://zeke.github.io/primer-cheatsheet/ - side-nav-sub-item-hover" xr:uid="{3CDC11F6-376F-3547-A5CB-4B5D086312D1}"/>
    <hyperlink ref="C3710" r:id="rId1249" location="side-nav-sub-item-aria-current-page" display="https://zeke.github.io/primer-cheatsheet/ - side-nav-sub-item-aria-current-page" xr:uid="{4330B4E0-3056-564D-87BA-D674710FAD3C}"/>
    <hyperlink ref="C3713" r:id="rId1250" location="social-count" display="https://zeke.github.io/primer-cheatsheet/ - social-count" xr:uid="{193ACF41-8290-0D46-B45B-28B33E16D2BC}"/>
    <hyperlink ref="C3726" r:id="rId1251" location="social-count-hover" display="https://zeke.github.io/primer-cheatsheet/ - social-count-hover" xr:uid="{390C4C8B-524F-1047-ADF0-CBF7C9C6A480}"/>
    <hyperlink ref="C3728" r:id="rId1252" location="social-count-hover" display="https://zeke.github.io/primer-cheatsheet/ - social-count-hover" xr:uid="{B5304C0C-7F62-6A41-925F-C384C2E16EDC}"/>
    <hyperlink ref="C3731" r:id="rId1253" location="sr-only" display="https://zeke.github.io/primer-cheatsheet/ - sr-only" xr:uid="{7C0AB31C-7AC2-4441-AE6E-F4D213675F77}"/>
    <hyperlink ref="C3740" r:id="rId1254" location="state" display="https://zeke.github.io/primer-cheatsheet/ - state" xr:uid="{F00C794E-CF1D-E94B-9B56-378D9AA3F5B2}"/>
    <hyperlink ref="C3750" r:id="rId1255" location="state-green" display="https://zeke.github.io/primer-cheatsheet/ - state-green" xr:uid="{1EFA1BDD-DCAC-2B46-999D-69F3FA329649}"/>
    <hyperlink ref="C3752" r:id="rId1256" location="state-purple" display="https://zeke.github.io/primer-cheatsheet/ - state-purple" xr:uid="{70A57543-38A6-5A4B-85BF-9C1E99EA3A66}"/>
    <hyperlink ref="C3754" r:id="rId1257" location="state-red" display="https://zeke.github.io/primer-cheatsheet/ - state-red" xr:uid="{1FFB1641-7D3F-E349-A68E-6CF24BA545E7}"/>
    <hyperlink ref="C3756" r:id="rId1258" location="state-small" display="https://zeke.github.io/primer-cheatsheet/ - state-small" xr:uid="{8EA06B7E-A645-BF4E-937E-905B12576856}"/>
    <hyperlink ref="C3759" r:id="rId1259" location="state-small-octicon" display="https://zeke.github.io/primer-cheatsheet/ - state-small-octicon" xr:uid="{73849353-18E1-BE4B-A9D2-7684CF1CF813}"/>
    <hyperlink ref="C3761" r:id="rId1260" location="status-indicator" display="https://zeke.github.io/primer-cheatsheet/ - status-indicator" xr:uid="{60679C38-8C83-914B-AE9C-EC9227B2371E}"/>
    <hyperlink ref="C3766" r:id="rId1261" location="status-indicator-octicon" display="https://zeke.github.io/primer-cheatsheet/ - status-indicator-octicon" xr:uid="{01EF126B-121D-8E45-B398-50B0E5D76CA3}"/>
    <hyperlink ref="C3768" r:id="rId1262" location="status-indicator-failed-octicon-check" display="https://zeke.github.io/primer-cheatsheet/ - status-indicator-failed-octicon-check" xr:uid="{8C24486B-0105-BC44-9650-9B0A3F322D80}"/>
    <hyperlink ref="C3770" r:id="rId1263" location="status-indicator-failed-octicon-x" display="https://zeke.github.io/primer-cheatsheet/ - status-indicator-failed-octicon-x" xr:uid="{D56F97ED-36DF-424E-83F4-8FA1D89D5189}"/>
    <hyperlink ref="C3774" r:id="rId1264" location="status-indicator-failed-before" display="https://zeke.github.io/primer-cheatsheet/ - status-indicator-failed-before" xr:uid="{5D0CAC75-0CCC-C94D-88A4-514126AF2F10}"/>
    <hyperlink ref="C3776" r:id="rId1265" location="status-indicator-loading" display="https://zeke.github.io/primer-cheatsheet/ - status-indicator-loading" xr:uid="{736AF917-13EC-CB47-85A8-25EAAA95D650}"/>
    <hyperlink ref="C3782" r:id="rId1266" location="status-indicator-success-octicon-check" display="https://zeke.github.io/primer-cheatsheet/ - status-indicator-success-octicon-check" xr:uid="{8C7A230D-DF22-4142-85CE-E88D275DB28B}"/>
    <hyperlink ref="C3786" r:id="rId1267" location="status-indicator-success-octicon-x" display="https://zeke.github.io/primer-cheatsheet/ - status-indicator-success-octicon-x" xr:uid="{5B248CFB-B243-6F46-B1E8-6C8834C39FC8}"/>
    <hyperlink ref="C3788" r:id="rId1268" location="status-indicator-success-before" display="https://zeke.github.io/primer-cheatsheet/ - status-indicator-success-before" xr:uid="{C67BD740-076D-6A47-B00E-E11B906EB1A1}"/>
    <hyperlink ref="C3790" r:id="rId1269" location="subhead" display="https://zeke.github.io/primer-cheatsheet/ - subhead" xr:uid="{2032F3C4-A3EC-F049-852E-F5DB930CFAC9}"/>
    <hyperlink ref="C3796" r:id="rId1270" location="subhead-spacious" display="https://zeke.github.io/primer-cheatsheet/ - subhead-spacious" xr:uid="{1C42C50A-66B3-D944-AE3E-DAFD7439ACFE}"/>
    <hyperlink ref="C3798" r:id="rId1271" location="subhead-actions" display="https://zeke.github.io/primer-cheatsheet/ - subhead-actions" xr:uid="{404282B8-67D3-A04D-AE44-C1B8D525B09B}"/>
    <hyperlink ref="C3801" r:id="rId1272" location="subhead-description" display="https://zeke.github.io/primer-cheatsheet/ - subhead-description" xr:uid="{FC2A6734-8529-D143-AD29-6AAC876F534B}"/>
    <hyperlink ref="C3805" r:id="rId1273" location="subhead-heading" display="https://zeke.github.io/primer-cheatsheet/ - subhead-heading" xr:uid="{091DDA52-4F03-EC46-8D64-F01FCCC9E62A}"/>
    <hyperlink ref="C3809" r:id="rId1274" location="subhead-heading-danger" display="https://zeke.github.io/primer-cheatsheet/ - subhead-heading-danger" xr:uid="{0703DE3D-971C-114C-BF7A-7D1392F9BF13}"/>
    <hyperlink ref="C3812" r:id="rId1275" location="subnav" display="https://zeke.github.io/primer-cheatsheet/ - subnav" xr:uid="{7F3A47A0-8D68-A74B-B0A9-70E0C7FF67A1}"/>
    <hyperlink ref="C3814" r:id="rId1276" location="subnav-bordered" display="https://zeke.github.io/primer-cheatsheet/ - subnav-bordered" xr:uid="{78D4FBA5-F100-ED45-B1B5-F14EA937D763}"/>
    <hyperlink ref="C3817" r:id="rId1277" location="subnav-flush" display="https://zeke.github.io/primer-cheatsheet/ - subnav-flush" xr:uid="{660BB7C4-2B43-C442-8048-5AA2200650D0}"/>
    <hyperlink ref="C3819" r:id="rId1278" location="subnav-item" display="https://zeke.github.io/primer-cheatsheet/ - subnav-item" xr:uid="{C5086A9B-8CBB-A143-A942-BCFAB53AAD79}"/>
    <hyperlink ref="C3827" r:id="rId1279" location="subnav-item-first-child" display="https://zeke.github.io/primer-cheatsheet/ - subnav-item-first-child" xr:uid="{B44F4278-AC47-9647-BBE8-39F58A111DE2}"/>
    <hyperlink ref="C3830" r:id="rId1280" location="subnav-item-hover" display="https://zeke.github.io/primer-cheatsheet/ - subnav-item-hover" xr:uid="{B9B7F19B-0E24-3D41-9C46-C12B7C54A9E6}"/>
    <hyperlink ref="C3833" r:id="rId1281" location="subnav-item-last-child" display="https://zeke.github.io/primer-cheatsheet/ - subnav-item-last-child" xr:uid="{0A6B191B-C02B-E24F-A78A-8626F686CD04}"/>
    <hyperlink ref="C3836" r:id="rId1282" location="subnav-item-selected" display="https://zeke.github.io/primer-cheatsheet/ - subnav-item-selected" xr:uid="{327DF1FC-A657-A947-9FFB-33A9EEDEEE32}"/>
    <hyperlink ref="C3841" r:id="rId1283" location="subnav-item-subnav-item" display="https://zeke.github.io/primer-cheatsheet/ - subnav-item-subnav-item" xr:uid="{35D17ADE-7139-244C-ACEF-B292EAE0B5E9}"/>
    <hyperlink ref="C3843" r:id="rId1284" location="subnav-search" display="https://zeke.github.io/primer-cheatsheet/ - subnav-search" xr:uid="{DDB440FC-EF9B-FC43-94E8-13F319F2582E}"/>
    <hyperlink ref="C3846" r:id="rId1285" location="subnav-search-context-btn" display="https://zeke.github.io/primer-cheatsheet/ - subnav-search-context-btn" xr:uid="{8A0EC790-883E-3E4B-9F92-F7FAA257137F}"/>
    <hyperlink ref="C3850" r:id="rId1286" location="subnav-search-context-btn-hover" display="https://zeke.github.io/primer-cheatsheet/ - subnav-search-context-btn-hover" xr:uid="{F2607B7E-AB6E-B04D-A1F4-0907F538FC1E}"/>
    <hyperlink ref="C3852" r:id="rId1287" location="subnav-search-context-select-menu-item-icon" display="https://zeke.github.io/primer-cheatsheet/ - subnav-search-context-select-menu-item-icon" xr:uid="{4CA096A0-B4DE-FD46-B7E2-376911FD42C6}"/>
    <hyperlink ref="C3854" r:id="rId1288" location="subnav-search-context-select-menu-modal" display="https://zeke.github.io/primer-cheatsheet/ - subnav-search-context-select-menu-modal" xr:uid="{BE966D5F-67B1-D04F-863E-F3DB2DE0A8AE}"/>
    <hyperlink ref="C3856" r:id="rId1289" location="subnav-search-context-select-menu-modal-holder" display="https://zeke.github.io/primer-cheatsheet/ - subnav-search-context-select-menu-modal-holder" xr:uid="{0B7760FF-E452-E247-BE3D-B176BD962865}"/>
    <hyperlink ref="C3858" r:id="rId1290" location="subnav-search-context-subnav-search" display="https://zeke.github.io/primer-cheatsheet/ - subnav-search-context-subnav-search" xr:uid="{BEA3AA18-D4BE-EE40-9AFF-CD267802CD71}"/>
    <hyperlink ref="C3860" r:id="rId1291" location="subnav-search-context-subnav-search-subnav-search-input" display="https://zeke.github.io/primer-cheatsheet/ - subnav-search-context-subnav-search-subnav-search-input" xr:uid="{4EB7957B-4C0A-7C46-BAB7-9A11E652EB81}"/>
    <hyperlink ref="C3863" r:id="rId1292" location="subnav-search-icon" display="https://zeke.github.io/primer-cheatsheet/ - subnav-search-icon" xr:uid="{EBC4A8B2-B02C-F94C-9524-72104A5D77CD}"/>
    <hyperlink ref="C3871" r:id="rId1293" location="subnav-search-input" display="https://zeke.github.io/primer-cheatsheet/ - subnav-search-input" xr:uid="{96EAB3FC-37C0-EE41-AA0D-249E3DD826EF}"/>
    <hyperlink ref="C3875" r:id="rId1294" location="subnav-search-input-wide" display="https://zeke.github.io/primer-cheatsheet/ - subnav-search-input-wide" xr:uid="{64A14CDB-98ED-6B4E-95A5-C20E07F568C3}"/>
    <hyperlink ref="C3877" r:id="rId1295" location="subnav-spacer-right" display="https://zeke.github.io/primer-cheatsheet/ - subnav-spacer-right" xr:uid="{604D3A7A-6BD2-E045-A8F3-F384E04EE651}"/>
    <hyperlink ref="C3879" r:id="rId1296" location="subnav-after" display="https://zeke.github.io/primer-cheatsheet/ - subnav-after" xr:uid="{2117112F-5A54-B840-8147-D478EEF8E604}"/>
    <hyperlink ref="C3883" r:id="rId1297" location="subnav-before" display="https://zeke.github.io/primer-cheatsheet/ - subnav-before" xr:uid="{C246ECAB-7600-104A-BEC8-84EA078FE600}"/>
    <hyperlink ref="C3886" r:id="rId1298" location="suggester" display="https://zeke.github.io/primer-cheatsheet/ - suggester" xr:uid="{B032EFD9-ACAF-024B-B694-5A4E8C466EB3}"/>
    <hyperlink ref="C3900" r:id="rId1299" location="suggester-li" display="https://zeke.github.io/primer-cheatsheet/ - suggester-li" xr:uid="{0A9BB65E-227B-9842-AE72-17AD6B856572}"/>
    <hyperlink ref="C3905" r:id="rId1300" location="suggester-li-small" display="https://zeke.github.io/primer-cheatsheet/ - suggester-li-small" xr:uid="{F07BB7B5-B72F-7945-A314-D630DB95CAA4}"/>
    <hyperlink ref="C3908" r:id="rId1301" location="suggester-li-first-child" display="https://zeke.github.io/primer-cheatsheet/ - suggester-li-first-child" xr:uid="{54FEB612-67B5-564E-A27B-8D713607758E}"/>
    <hyperlink ref="C3911" r:id="rId1302" location="suggester-li-hover" display="https://zeke.github.io/primer-cheatsheet/ - suggester-li-hover" xr:uid="{15825054-57A9-E64B-9052-817223C0A634}"/>
    <hyperlink ref="C3915" r:id="rId1303" location="suggester-li-hover-small" display="https://zeke.github.io/primer-cheatsheet/ - suggester-li-hover-small" xr:uid="{1B42DEBD-91D6-FB46-BEF2-788C7A67039E}"/>
    <hyperlink ref="C3917" r:id="rId1304" location="suggester-li-last-child" display="https://zeke.github.io/primer-cheatsheet/ - suggester-li-last-child" xr:uid="{554CBD1B-A248-004E-B45C-CF247D42907B}"/>
    <hyperlink ref="C3921" r:id="rId1305" location="suggester-container" display="https://zeke.github.io/primer-cheatsheet/ - suggester-container" xr:uid="{7AC1EDF6-C01D-954A-B1FF-1CCF61438B54}"/>
    <hyperlink ref="C3926" r:id="rId1306" location="table-fixed" display="https://zeke.github.io/primer-cheatsheet/ - table-fixed" xr:uid="{AE7AEEBF-4652-184B-AC76-7B9F5F5A7FE6}"/>
    <hyperlink ref="C3928" r:id="rId1307" location="table-object" display="https://zeke.github.io/primer-cheatsheet/ - table-object" xr:uid="{0998A4D1-F478-D34B-9BF9-5194488962E1}"/>
    <hyperlink ref="C3930" r:id="rId1308" location="table-object-item" display="https://zeke.github.io/primer-cheatsheet/ - table-object-item" xr:uid="{4B46AF7B-5333-A74F-B230-82DD209E0460}"/>
    <hyperlink ref="C3935" r:id="rId1309" location="table-object-item-primary" display="https://zeke.github.io/primer-cheatsheet/ - table-object-item-primary" xr:uid="{88018623-8CC5-C647-86DB-AE01F408617A}"/>
    <hyperlink ref="C3937" r:id="rId1310" location="tabnav" display="https://zeke.github.io/primer-cheatsheet/ - tabnav" xr:uid="{D0296A35-F3EE-1147-A421-75BF602391C8}"/>
    <hyperlink ref="C3941" r:id="rId1311" location="tabnav-counter" display="https://zeke.github.io/primer-cheatsheet/ - tabnav-counter" xr:uid="{301E34D8-59C9-C948-A3F8-A6DE544461C7}"/>
    <hyperlink ref="C3943" r:id="rId1312" location="tabnav-btn" display="https://zeke.github.io/primer-cheatsheet/ - tabnav-btn" xr:uid="{89AE254C-494B-E24F-B49C-F6D0FBFB8ADF}"/>
    <hyperlink ref="C3945" r:id="rId1313" location="tabnav-extra" display="https://zeke.github.io/primer-cheatsheet/ - tabnav-extra" xr:uid="{DAC6CBCA-A577-7A46-9E00-33934C2103E0}"/>
    <hyperlink ref="C3951" r:id="rId1314" location="tabnav-extra-octicon" display="https://zeke.github.io/primer-cheatsheet/ - tabnav-extra-octicon" xr:uid="{C892C558-F023-7E45-A4E3-C01F3655D6C3}"/>
    <hyperlink ref="C3953" r:id="rId1315" location="tabnav-tab" display="https://zeke.github.io/primer-cheatsheet/ - tabnav-tab" xr:uid="{AB98DBD2-0274-6F48-B4CE-4DD39B4E29B0}"/>
    <hyperlink ref="C3963" r:id="rId1316" location="tabnav-tab-hover" display="https://zeke.github.io/primer-cheatsheet/ - tabnav-tab-hover" xr:uid="{AC1E7D63-F280-4A47-93E0-161B50BBA51B}"/>
    <hyperlink ref="C3966" r:id="rId1317" location="tabnav-tab-aria-selected-true" display="https://zeke.github.io/primer-cheatsheet/ - tabnav-tab-aria-selected-true" xr:uid="{1DF587B5-8392-8241-83B9-0D656E6CBDB3}"/>
    <hyperlink ref="C3971" r:id="rId1318" location="tabnav-tabs" display="https://zeke.github.io/primer-cheatsheet/ - tabnav-tabs" xr:uid="{51E1506C-ED81-9F4F-8557-1C6DD4478B6E}"/>
    <hyperlink ref="C3973" r:id="rId1319" location="text-blue" display="https://zeke.github.io/primer-cheatsheet/ - text-blue" xr:uid="{CC61D4A8-8CDA-C849-BFEB-01A419D71F9F}"/>
    <hyperlink ref="C3975" r:id="rId1320" location="text-bold" display="https://zeke.github.io/primer-cheatsheet/ - text-bold" xr:uid="{30ABFF18-32B7-6441-B72B-117A29593A02}"/>
    <hyperlink ref="C3977" r:id="rId1321" location="text-center" display="https://zeke.github.io/primer-cheatsheet/ - text-center" xr:uid="{839378D4-E7A9-204F-980A-8D0EF7710D74}"/>
    <hyperlink ref="C3979" r:id="rId1322" location="text-emphasized" display="https://zeke.github.io/primer-cheatsheet/ - text-emphasized" xr:uid="{E1865A35-1A64-0944-BED9-B8628A6A43C4}"/>
    <hyperlink ref="C3982" r:id="rId1323" location="text-gray" display="https://zeke.github.io/primer-cheatsheet/ - text-gray" xr:uid="{F0532206-40E6-7648-AA1B-5BB525C3637E}"/>
    <hyperlink ref="C3984" r:id="rId1324" location="text-gray-dark" display="https://zeke.github.io/primer-cheatsheet/ - text-gray-dark" xr:uid="{D7DD4FAC-0F26-F646-BF2B-3FB4072D5F60}"/>
    <hyperlink ref="C3986" r:id="rId1325" location="text-gray-light" display="https://zeke.github.io/primer-cheatsheet/ - text-gray-light" xr:uid="{35684A3C-F1D4-F54C-AE19-292D669902DD}"/>
    <hyperlink ref="C3988" r:id="rId1326" location="text-green" display="https://zeke.github.io/primer-cheatsheet/ - text-green" xr:uid="{7A564FA6-4E79-4E44-B5C4-66877296A001}"/>
    <hyperlink ref="C3990" r:id="rId1327" location="text-inherit" display="https://zeke.github.io/primer-cheatsheet/ - text-inherit" xr:uid="{EBCA7EBF-2A8E-E54F-A6A2-D9B327D3579C}"/>
    <hyperlink ref="C3992" r:id="rId1328" location="text-italic" display="https://zeke.github.io/primer-cheatsheet/ - text-italic" xr:uid="{8C7E3752-A65A-9045-986E-B266FDE487B1}"/>
    <hyperlink ref="C3994" r:id="rId1329" location="text-left" display="https://zeke.github.io/primer-cheatsheet/ - text-left" xr:uid="{9CC5E144-B00D-A44F-B955-54CF7E412CC4}"/>
    <hyperlink ref="C3996" r:id="rId1330" location="text-mono" display="https://zeke.github.io/primer-cheatsheet/ - text-mono" xr:uid="{254FD620-4470-DE40-8F20-BD20AAAB651E}"/>
    <hyperlink ref="C3998" r:id="rId1331" location="text-normal" display="https://zeke.github.io/primer-cheatsheet/ - text-normal" xr:uid="{D7FE52D4-B5A0-EC4F-94FB-5A41253490EB}"/>
    <hyperlink ref="C4000" r:id="rId1332" location="text-orange" display="https://zeke.github.io/primer-cheatsheet/ - text-orange" xr:uid="{B07AD682-0214-9941-800E-3FEA6A0F536B}"/>
    <hyperlink ref="C4002" r:id="rId1333" location="text-orange-light" display="https://zeke.github.io/primer-cheatsheet/ - text-orange-light" xr:uid="{BD8098E8-6F19-B241-BE26-3C585B1080A4}"/>
    <hyperlink ref="C4004" r:id="rId1334" location="text-pink" display="https://zeke.github.io/primer-cheatsheet/ - text-pink" xr:uid="{2411B6D5-B453-6C4A-89DC-67DC6DE34471}"/>
    <hyperlink ref="C4006" r:id="rId1335" location="text-purple" display="https://zeke.github.io/primer-cheatsheet/ - text-purple" xr:uid="{45366B4E-3772-5B48-8943-CF1E09172106}"/>
    <hyperlink ref="C4008" r:id="rId1336" location="text-red" display="https://zeke.github.io/primer-cheatsheet/ - text-red" xr:uid="{91B366C7-2309-824C-811C-7C7CD8226448}"/>
    <hyperlink ref="C4010" r:id="rId1337" location="text-right" display="https://zeke.github.io/primer-cheatsheet/ - text-right" xr:uid="{474E21D4-4CFE-B748-A951-A9D657811DC7}"/>
    <hyperlink ref="C4012" r:id="rId1338" location="text-shadow-dark" display="https://zeke.github.io/primer-cheatsheet/ - text-shadow-dark" xr:uid="{AD0A76C1-EAE2-DB4C-A8FD-25A6672524BA}"/>
    <hyperlink ref="C4014" r:id="rId1339" location="text-shadow-light" display="https://zeke.github.io/primer-cheatsheet/ - text-shadow-light" xr:uid="{032A2BB7-FD59-224D-9270-4EC8F9EC7BD0}"/>
    <hyperlink ref="C4016" r:id="rId1340" location="text-small" display="https://zeke.github.io/primer-cheatsheet/ - text-small" xr:uid="{999705BE-8E85-024F-B314-33A479D5B213}"/>
    <hyperlink ref="C4018" r:id="rId1341" location="text-underline" display="https://zeke.github.io/primer-cheatsheet/ - text-underline" xr:uid="{B2341079-452A-D648-B3B9-65365D432204}"/>
    <hyperlink ref="C4020" r:id="rId1342" location="text-uppercase" display="https://zeke.github.io/primer-cheatsheet/ - text-uppercase" xr:uid="{2EE6BF49-7DBB-B640-B22E-54041C18485E}"/>
    <hyperlink ref="C4022" r:id="rId1343" location="text-white" display="https://zeke.github.io/primer-cheatsheet/ - text-white" xr:uid="{4F967E1B-EA24-B44C-90D6-0B14B4E1D4CA}"/>
    <hyperlink ref="C4024" r:id="rId1344" location="text-yellow" display="https://zeke.github.io/primer-cheatsheet/ - text-yellow" xr:uid="{2BE48A46-1FCF-3340-95D9-378E39CB0043}"/>
    <hyperlink ref="C4026" r:id="rId1345" location="timeline-item" display="https://zeke.github.io/primer-cheatsheet/ - timeline-item" xr:uid="{9557ACB7-0981-9840-9C7B-E646DE89928E}"/>
    <hyperlink ref="C4031" r:id="rId1346" location="timeline-item-condensed" display="https://zeke.github.io/primer-cheatsheet/ - timeline-item-condensed" xr:uid="{9994DA01-32F5-8547-BEDA-F9B549C404E4}"/>
    <hyperlink ref="C4034" r:id="rId1347" location="timeline-item-condensed-timeline-item-badge" display="https://zeke.github.io/primer-cheatsheet/ - timeline-item-condensed-timeline-item-badge" xr:uid="{2953777E-03A9-054E-A2E5-1038A9EB4CDF}"/>
    <hyperlink ref="C4041" r:id="rId1348" location="timeline-item-condensed-last-child" display="https://zeke.github.io/primer-cheatsheet/ - timeline-item-condensed-last-child" xr:uid="{D94F3433-7A29-C744-877E-6DC4E4006F64}"/>
    <hyperlink ref="C4043" r:id="rId1349" location="timeline-item-avatar" display="https://zeke.github.io/primer-cheatsheet/ - timeline-item-avatar" xr:uid="{2B1EA9D5-3ABD-104A-82FF-B308A856CBA0}"/>
    <hyperlink ref="C4047" r:id="rId1350" location="timeline-item-badge" display="https://zeke.github.io/primer-cheatsheet/ - timeline-item-badge" xr:uid="{E64C6B97-F965-4B48-889F-ED0313F75595}"/>
    <hyperlink ref="C4062" r:id="rId1351" location="timeline-item-body" display="https://zeke.github.io/primer-cheatsheet/ - timeline-item-body" xr:uid="{EBF24C4D-4B0C-EC49-8DDB-B2FDD6EAA448}"/>
    <hyperlink ref="C4068" r:id="rId1352" location="timeline-item-break" display="https://zeke.github.io/primer-cheatsheet/ - timeline-item-break" xr:uid="{22E0E20C-4230-6444-BE26-5F01F348BA0B}"/>
    <hyperlink ref="C4078" r:id="rId1353" location="timeline-item-before" display="https://zeke.github.io/primer-cheatsheet/ - timeline-item-before" xr:uid="{3A4B9AE6-FFFC-0641-B7A2-963B143FD05C}"/>
    <hyperlink ref="C4087" r:id="rId1354" location="timeline-item-target-timeline-item-badge" display="https://zeke.github.io/primer-cheatsheet/ - timeline-item-target-timeline-item-badge" xr:uid="{7F61722E-8D52-5846-980B-56D6B8F2FC8B}"/>
    <hyperlink ref="C4090" r:id="rId1355" location="toast" display="https://zeke.github.io/primer-cheatsheet/ - toast" xr:uid="{C58F9D06-92C9-784F-8BEA-BED1DC7B692E}"/>
    <hyperlink ref="C4097" r:id="rId1356" location="toast-animate-in" display="https://zeke.github.io/primer-cheatsheet/ - toast-animate-in" xr:uid="{611B6376-F288-BA4E-A8E3-349FF3A7A7AB}"/>
    <hyperlink ref="C4099" r:id="rId1357" location="toast-animate-out" display="https://zeke.github.io/primer-cheatsheet/ - toast-animate-out" xr:uid="{851FEC17-3585-EE4D-8B7E-BB97B0ABD426}"/>
    <hyperlink ref="C4101" r:id="rId1358" location="toast-error-toast-icon" display="https://zeke.github.io/primer-cheatsheet/ - toast-error-toast-icon" xr:uid="{634948A1-F234-8C45-851E-46C5597A5685}"/>
    <hyperlink ref="C4103" r:id="rId1359" location="toast-loading-toast-icon" display="https://zeke.github.io/primer-cheatsheet/ - toast-loading-toast-icon" xr:uid="{8DABB03D-2466-D54D-BBEC-FC8A6FA2513F}"/>
    <hyperlink ref="C4105" r:id="rId1360" location="toast-spinner" display="https://zeke.github.io/primer-cheatsheet/ - toast-spinner" xr:uid="{85DBB3C8-A7A1-C248-8ABE-3B7664486D84}"/>
    <hyperlink ref="C4107" r:id="rId1361" location="toast-success-toast-icon" display="https://zeke.github.io/primer-cheatsheet/ - toast-success-toast-icon" xr:uid="{11904F78-4472-D44C-A425-21BF4BF5287E}"/>
    <hyperlink ref="C4109" r:id="rId1362" location="toast-warning-toast-icon" display="https://zeke.github.io/primer-cheatsheet/ - toast-warning-toast-icon" xr:uid="{B9AC152C-CC5A-714A-8C5E-F08F89F88D08}"/>
    <hyperlink ref="C4112" r:id="rId1363" location="toast-content" display="https://zeke.github.io/primer-cheatsheet/ - toast-content" xr:uid="{AED1F2E7-4BF6-0548-BBCD-DE54EDE1D7DC}"/>
    <hyperlink ref="C4114" r:id="rId1364" location="toast-dismiss-button" display="https://zeke.github.io/primer-cheatsheet/ - toast-dismiss-button" xr:uid="{4535FCF9-3AAD-D244-8F78-9AD48E723A22}"/>
    <hyperlink ref="C4119" r:id="rId1365" location="toast-dismiss-button-active" display="https://zeke.github.io/primer-cheatsheet/ - toast-dismiss-button-active" xr:uid="{5ABDCAC9-1162-0C4C-8212-CD743AB6D652}"/>
    <hyperlink ref="C4121" r:id="rId1366" location="toast-dismiss-button-focus" display="https://zeke.github.io/primer-cheatsheet/ - toast-dismiss-button-focus" xr:uid="{FFBDE60B-60C5-2045-B509-14430CCF0830}"/>
    <hyperlink ref="C4124" r:id="rId1367" location="toast-icon" display="https://zeke.github.io/primer-cheatsheet/ - toast-icon" xr:uid="{725EF936-0877-764F-9C24-71B6A2ACDFEA}"/>
    <hyperlink ref="C4134" r:id="rId1368" location="tooltipped" display="https://zeke.github.io/primer-cheatsheet/ - tooltipped" xr:uid="{7E36F5A5-B0F2-BD46-9761-8E2A4E1525C5}"/>
    <hyperlink ref="C4136" r:id="rId1369" location="tooltipped-align-left-1-after" display="https://zeke.github.io/primer-cheatsheet/ - tooltipped-align-left-1-after" xr:uid="{2F0E5048-9DB5-124E-A87D-7A5A932A289C}"/>
    <hyperlink ref="C4139" r:id="rId1370" location="tooltipped-align-left-1-before" display="https://zeke.github.io/primer-cheatsheet/ - tooltipped-align-left-1-before" xr:uid="{6F857E0D-5EC9-E34E-9499-DE9D0B2A80DF}"/>
    <hyperlink ref="C4141" r:id="rId1371" location="tooltipped-align-left-2-before" display="https://zeke.github.io/primer-cheatsheet/ - tooltipped-align-left-2-before" xr:uid="{1817372E-4BD8-224E-9A7A-04C8E89DA60F}"/>
    <hyperlink ref="C4143" r:id="rId1372" location="tooltipped-align-right-1-after" display="https://zeke.github.io/primer-cheatsheet/ - tooltipped-align-right-1-after" xr:uid="{EB376444-7F5C-9A44-A845-0E8FD5A0AAC0}"/>
    <hyperlink ref="C4146" r:id="rId1373" location="tooltipped-align-right-1-before" display="https://zeke.github.io/primer-cheatsheet/ - tooltipped-align-right-1-before" xr:uid="{76CBAEE2-994B-8C44-A70C-D27EF7E37DA4}"/>
    <hyperlink ref="C4148" r:id="rId1374" location="tooltipped-align-right-2-before" display="https://zeke.github.io/primer-cheatsheet/ - tooltipped-align-right-2-before" xr:uid="{29546601-3495-F645-ACAD-F229104A103C}"/>
    <hyperlink ref="C4150" r:id="rId1375" location="tooltipped-e-after" display="https://zeke.github.io/primer-cheatsheet/ - tooltipped-e-after" xr:uid="{59EF4375-6E31-064E-896C-54AC0BD28A24}"/>
    <hyperlink ref="C4155" r:id="rId1376" location="tooltipped-e-before" display="https://zeke.github.io/primer-cheatsheet/ - tooltipped-e-before" xr:uid="{FBC6A04F-C161-6143-8F7D-514AFB184FDD}"/>
    <hyperlink ref="C4161" r:id="rId1377" location="tooltipped-multiline-after" display="https://zeke.github.io/primer-cheatsheet/ - tooltipped-multiline-after" xr:uid="{6B64B691-B8C2-334F-854C-D3A8B5517865}"/>
    <hyperlink ref="C4169" r:id="rId1378" location="tooltipped-multiline-hover-after" display="https://zeke.github.io/primer-cheatsheet/ - tooltipped-multiline-hover-after" xr:uid="{2A494316-E765-1249-9B34-349592E97E79}"/>
    <hyperlink ref="C4171" r:id="rId1379" location="tooltipped-multiline-tooltipped-s-after" display="https://zeke.github.io/primer-cheatsheet/ - tooltipped-multiline-tooltipped-s-after" xr:uid="{723CE88B-D726-CF4D-B820-D2D58B3549C5}"/>
    <hyperlink ref="C4175" r:id="rId1380" location="tooltipped-multiline-tooltipped-w-after" display="https://zeke.github.io/primer-cheatsheet/ - tooltipped-multiline-tooltipped-w-after" xr:uid="{BB307DA7-B33A-1A43-9F75-51B8869FD4DE}"/>
    <hyperlink ref="C4177" r:id="rId1381" location="tooltipped-n-after" display="https://zeke.github.io/primer-cheatsheet/ - tooltipped-n-after" xr:uid="{4C5BA0BF-28B1-7B40-B88C-28EE68DA4D03}"/>
    <hyperlink ref="C4181" r:id="rId1382" location="tooltipped-n-before" display="https://zeke.github.io/primer-cheatsheet/ - tooltipped-n-before" xr:uid="{ED10B05D-A067-1843-A743-D72B89E26F34}"/>
    <hyperlink ref="C4187" r:id="rId1383" location="tooltipped-ne-after" display="https://zeke.github.io/primer-cheatsheet/ - tooltipped-ne-after" xr:uid="{8148CCB9-3AB2-0947-832D-863142EF9E1B}"/>
    <hyperlink ref="C4191" r:id="rId1384" location="tooltipped-no-delay-hover-before" display="https://zeke.github.io/primer-cheatsheet/ - tooltipped-no-delay-hover-before" xr:uid="{FD357A72-2E0C-9E41-9611-EBE7A837F536}"/>
    <hyperlink ref="C4193" r:id="rId1385" location="tooltipped-nw-after" display="https://zeke.github.io/primer-cheatsheet/ - tooltipped-nw-after" xr:uid="{CA95C4AC-CEEC-6B49-A292-971D258509C3}"/>
    <hyperlink ref="C4195" r:id="rId1386" location="tooltipped-s-after" display="https://zeke.github.io/primer-cheatsheet/ - tooltipped-s-after" xr:uid="{E4336A27-D058-4847-A961-45D92E530774}"/>
    <hyperlink ref="C4199" r:id="rId1387" location="tooltipped-s-after" display="https://zeke.github.io/primer-cheatsheet/ - tooltipped-s-after" xr:uid="{710ABC0A-ABC2-F14D-9FE2-B39B99C13330}"/>
    <hyperlink ref="C4201" r:id="rId1388" location="tooltipped-s-before" display="https://zeke.github.io/primer-cheatsheet/ - tooltipped-s-before" xr:uid="{0F8A18E9-BD92-D342-905E-B1E64B00F880}"/>
    <hyperlink ref="C4207" r:id="rId1389" location="tooltipped-se-after" display="https://zeke.github.io/primer-cheatsheet/ - tooltipped-se-after" xr:uid="{9796676F-3949-8A43-9EBF-38166F008331}"/>
    <hyperlink ref="C4211" r:id="rId1390" location="tooltipped-sticky-before" display="https://zeke.github.io/primer-cheatsheet/ - tooltipped-sticky-before" xr:uid="{B93BD23A-2538-E541-B1EF-3A4361D54742}"/>
    <hyperlink ref="C4213" r:id="rId1391" location="tooltipped-sticky-tooltipped-multiline-after" display="https://zeke.github.io/primer-cheatsheet/ - tooltipped-sticky-tooltipped-multiline-after" xr:uid="{E88647B2-0794-C745-A357-F8217DF99383}"/>
    <hyperlink ref="C4215" r:id="rId1392" location="tooltipped-sw-after" display="https://zeke.github.io/primer-cheatsheet/ - tooltipped-sw-after" xr:uid="{91C81648-83E8-D447-890F-7730426A09A1}"/>
    <hyperlink ref="C4217" r:id="rId1393" location="tooltipped-w-after" display="https://zeke.github.io/primer-cheatsheet/ - tooltipped-w-after" xr:uid="{76E8DAFA-FC00-DE47-BE89-1F8DF0DD86B4}"/>
    <hyperlink ref="C4222" r:id="rId1394" location="tooltipped-w-before" display="https://zeke.github.io/primer-cheatsheet/ - tooltipped-w-before" xr:uid="{D2C8E4D0-742F-3A46-8256-7CBC769DBF4E}"/>
    <hyperlink ref="C4228" r:id="rId1395" location="tooltipped-after" display="https://zeke.github.io/primer-cheatsheet/ - tooltipped-after" xr:uid="{07D3AEEE-A25F-AE4F-8CE5-28689A011259}"/>
    <hyperlink ref="C4248" r:id="rId1396" location="tooltipped-before" display="https://zeke.github.io/primer-cheatsheet/ - tooltipped-before" xr:uid="{1BDAF543-83F6-2740-944A-BE0DDB32BD0C}"/>
    <hyperlink ref="C4259" r:id="rId1397" location="tooltipped-hover-before" display="https://zeke.github.io/primer-cheatsheet/ - tooltipped-hover-before" xr:uid="{552E8058-5D28-0C49-A989-B4B36E141A13}"/>
    <hyperlink ref="C4267" r:id="rId1398" location="top-0" display="https://zeke.github.io/primer-cheatsheet/ - top-0" xr:uid="{7FA6FEF0-8FEE-6E48-A6CE-C41E29AD6ECD}"/>
    <hyperlink ref="C4269" r:id="rId1399" location="top-0" display="https://zeke.github.io/primer-cheatsheet/ - top-0" xr:uid="{11498B10-5C97-8D46-A577-1EA33211E13D}"/>
    <hyperlink ref="C4271" r:id="rId1400" location="top-1" display="https://zeke.github.io/primer-cheatsheet/ - top-1" xr:uid="{BCD61956-9952-464C-BE7B-1692E1143F46}"/>
    <hyperlink ref="C4273" r:id="rId1401" location="top-10" display="https://zeke.github.io/primer-cheatsheet/ - top-10" xr:uid="{6E162459-F8E8-D04D-ACDB-200C03889E2E}"/>
    <hyperlink ref="C4275" r:id="rId1402" location="top-11" display="https://zeke.github.io/primer-cheatsheet/ - top-11" xr:uid="{03CF6835-258A-9E40-A0C3-4032483F8246}"/>
    <hyperlink ref="C4277" r:id="rId1403" location="top-12" display="https://zeke.github.io/primer-cheatsheet/ - top-12" xr:uid="{70C42124-0F8B-B84C-806F-985B8F37C0A0}"/>
    <hyperlink ref="C4279" r:id="rId1404" location="top-2" display="https://zeke.github.io/primer-cheatsheet/ - top-2" xr:uid="{9C8E1728-0511-BE49-9F41-F06DC2B48C53}"/>
    <hyperlink ref="C4281" r:id="rId1405" location="top-3" display="https://zeke.github.io/primer-cheatsheet/ - top-3" xr:uid="{EE37304A-44C3-D840-AF14-FD786AB9DCA7}"/>
    <hyperlink ref="C4283" r:id="rId1406" location="top-4" display="https://zeke.github.io/primer-cheatsheet/ - top-4" xr:uid="{F6AF471A-0119-6547-86AE-4679A1973FC7}"/>
    <hyperlink ref="C4285" r:id="rId1407" location="top-5" display="https://zeke.github.io/primer-cheatsheet/ - top-5" xr:uid="{1DEDBA38-A271-9448-8CB1-5BE1CBF3D7FE}"/>
    <hyperlink ref="C4287" r:id="rId1408" location="top-6" display="https://zeke.github.io/primer-cheatsheet/ - top-6" xr:uid="{ECE45A80-687B-5840-B523-74DD7BAC13B7}"/>
    <hyperlink ref="C4289" r:id="rId1409" location="top-7" display="https://zeke.github.io/primer-cheatsheet/ - top-7" xr:uid="{D170DB69-54AD-CC41-AB31-A5485274D198}"/>
    <hyperlink ref="C4291" r:id="rId1410" location="top-8" display="https://zeke.github.io/primer-cheatsheet/ - top-8" xr:uid="{ED678793-96FE-5446-8B7B-BC9D3D14AB4B}"/>
    <hyperlink ref="C4293" r:id="rId1411" location="top-9" display="https://zeke.github.io/primer-cheatsheet/ - top-9" xr:uid="{B87982E3-6E92-8449-BB91-516DBBB4997E}"/>
    <hyperlink ref="C4295" r:id="rId1412" location="top-n0" display="https://zeke.github.io/primer-cheatsheet/ - top-n0" xr:uid="{C7FD7F13-7CC5-2846-B80C-E868768E7D97}"/>
    <hyperlink ref="C4297" r:id="rId1413" location="top-n1" display="https://zeke.github.io/primer-cheatsheet/ - top-n1" xr:uid="{20DF18DE-A70E-B543-97B5-2B7E695D473F}"/>
    <hyperlink ref="C4299" r:id="rId1414" location="top-n10" display="https://zeke.github.io/primer-cheatsheet/ - top-n10" xr:uid="{04C4206F-D082-C649-A239-66B4555BA55F}"/>
    <hyperlink ref="C4301" r:id="rId1415" location="top-n11" display="https://zeke.github.io/primer-cheatsheet/ - top-n11" xr:uid="{406925D4-AD3E-B54B-82CA-7EFA1CC09423}"/>
    <hyperlink ref="C4303" r:id="rId1416" location="top-n12" display="https://zeke.github.io/primer-cheatsheet/ - top-n12" xr:uid="{5F7A1E9F-A60A-8C42-A038-A651C35F4F50}"/>
    <hyperlink ref="C4305" r:id="rId1417" location="top-n2" display="https://zeke.github.io/primer-cheatsheet/ - top-n2" xr:uid="{85E68BEC-20EB-4546-9F8A-9E997A9818F6}"/>
    <hyperlink ref="C4307" r:id="rId1418" location="top-n3" display="https://zeke.github.io/primer-cheatsheet/ - top-n3" xr:uid="{BB925703-973C-C049-B448-178D4201D3F9}"/>
    <hyperlink ref="C4309" r:id="rId1419" location="top-n4" display="https://zeke.github.io/primer-cheatsheet/ - top-n4" xr:uid="{44CD637A-18E5-D648-856E-FD3340BBA7A5}"/>
    <hyperlink ref="C4311" r:id="rId1420" location="top-n5" display="https://zeke.github.io/primer-cheatsheet/ - top-n5" xr:uid="{D7E83185-56B4-9344-8CB3-2FB2A505B081}"/>
    <hyperlink ref="C4313" r:id="rId1421" location="top-n6" display="https://zeke.github.io/primer-cheatsheet/ - top-n6" xr:uid="{05779EC4-DEAA-934B-9E5C-E600A7763614}"/>
    <hyperlink ref="C4315" r:id="rId1422" location="top-n7" display="https://zeke.github.io/primer-cheatsheet/ - top-n7" xr:uid="{CEDA6BB1-2910-3A4C-A2A7-CF441B6A1892}"/>
    <hyperlink ref="C4317" r:id="rId1423" location="top-n8" display="https://zeke.github.io/primer-cheatsheet/ - top-n8" xr:uid="{395BD496-11D0-384A-8B55-B2CEB598BBA1}"/>
    <hyperlink ref="C4319" r:id="rId1424" location="top-n9" display="https://zeke.github.io/primer-cheatsheet/ - top-n9" xr:uid="{2594C75E-67FB-9647-AB0E-39EBC3B2AFC9}"/>
    <hyperlink ref="C4321" r:id="rId1425" location="underline-nav" display="https://zeke.github.io/primer-cheatsheet/ - underline-nav" xr:uid="{803D3F8A-49E3-B742-90B0-0FEDE1F71C3C}"/>
    <hyperlink ref="C4327" r:id="rId1426" location="underline-nav-full" display="https://zeke.github.io/primer-cheatsheet/ - underline-nav-full" xr:uid="{3AAF4CAC-7BFC-0F41-9915-ECFB22B4CC25}"/>
    <hyperlink ref="C4329" r:id="rId1427" location="underline-nav-right" display="https://zeke.github.io/primer-cheatsheet/ - underline-nav-right" xr:uid="{B4FF1C5D-B9A9-B24C-BE8B-A46B99F45C52}"/>
    <hyperlink ref="C4331" r:id="rId1428" location="underline-nav-right-underline-nav-actions" display="https://zeke.github.io/primer-cheatsheet/ - underline-nav-right-underline-nav-actions" xr:uid="{8EBE5E1A-0E0E-F343-A43E-2F56E0820050}"/>
    <hyperlink ref="C4333" r:id="rId1429" location="underline-nav-right-underline-nav-item" display="https://zeke.github.io/primer-cheatsheet/ - underline-nav-right-underline-nav-item" xr:uid="{5DF43A7B-BF3A-A547-8227-FA085C77DB40}"/>
    <hyperlink ref="C4336" r:id="rId1430" location="underline-nav-actions" display="https://zeke.github.io/primer-cheatsheet/ - underline-nav-actions" xr:uid="{0A509230-3061-6C4B-8A59-77139A15C81F}"/>
    <hyperlink ref="C4338" r:id="rId1431" location="underline-nav-body" display="https://zeke.github.io/primer-cheatsheet/ - underline-nav-body" xr:uid="{68B165B6-25D5-6F48-8E54-A32D596EC28F}"/>
    <hyperlink ref="C4340" r:id="rId1432" location="underline-nav-container" display="https://zeke.github.io/primer-cheatsheet/ - underline-nav-container" xr:uid="{8682DDB9-9DB0-D845-ADC3-3D75C0E398C0}"/>
    <hyperlink ref="C4343" r:id="rId1433" location="underline-nav-item" display="https://zeke.github.io/primer-cheatsheet/ - underline-nav-item" xr:uid="{5EAA9574-E050-BB48-BAA0-4C319A81539E}"/>
    <hyperlink ref="C4351" r:id="rId1434" location="underline-nav-item-hover" display="https://zeke.github.io/primer-cheatsheet/ - underline-nav-item-hover" xr:uid="{ED5A2551-88B6-5A4F-AAC9-943EDBA714EA}"/>
    <hyperlink ref="C4356" r:id="rId1435" location="underline-nav-item-hover-underline-nav-octicon" display="https://zeke.github.io/primer-cheatsheet/ - underline-nav-item-hover-underline-nav-octicon" xr:uid="{2061EC3D-1D32-0B4D-9B6D-5623419294B0}"/>
    <hyperlink ref="C4358" r:id="rId1436" location="underline-nav-item-role-tab-aria-selected-true" display="https://zeke.github.io/primer-cheatsheet/ - underline-nav-item-role-tab-aria-selected-true" xr:uid="{69F45F1A-D4F9-9540-B732-4257F8705829}"/>
    <hyperlink ref="C4362" r:id="rId1437" location="underline-nav-item-role-tab-aria-selected-true-underline-nav-octicon" display="https://zeke.github.io/primer-cheatsheet/ - underline-nav-item-role-tab-aria-selected-true-underline-nav-octicon" xr:uid="{050C00E3-CDDF-FD46-A604-31081E5CDDF7}"/>
    <hyperlink ref="C4364" r:id="rId1438" location="underline-nav-octicon" display="https://zeke.github.io/primer-cheatsheet/ - underline-nav-octicon" xr:uid="{4621383C-5AA9-C747-A8C1-BDE5F002C1F4}"/>
    <hyperlink ref="C4366" r:id="rId1439" location="upload-enabled-textarea" display="https://zeke.github.io/primer-cheatsheet/ - upload-enabled-textarea" xr:uid="{CC293800-3C19-0E49-8A2E-97BDD5D8D73B}"/>
    <hyperlink ref="C4371" r:id="rId1440" location="upload-enabled-focused" display="https://zeke.github.io/primer-cheatsheet/ - upload-enabled-focused" xr:uid="{4EF31DFB-FF83-AF4F-A760-3FA090F2D4EC}"/>
    <hyperlink ref="C4374" r:id="rId1441" location="upload-enabled-focused-drag-and-drop" display="https://zeke.github.io/primer-cheatsheet/ - upload-enabled-focused-drag-and-drop" xr:uid="{C0E04B79-DF92-A54B-BD75-9368597549AE}"/>
    <hyperlink ref="C4376" r:id="rId1442" location="upload-enabled-focused-form-control" display="https://zeke.github.io/primer-cheatsheet/ - upload-enabled-focused-form-control" xr:uid="{C70EAB64-B758-0940-B76A-5B78D00DC5D0}"/>
    <hyperlink ref="C4378" r:id="rId1443" location="user-select-none" display="https://zeke.github.io/primer-cheatsheet/ - user-select-none" xr:uid="{2B9EF1E7-D108-7741-879A-3630E637A3BE}"/>
    <hyperlink ref="C4383" r:id="rId1444" location="v-align-baseline" display="https://zeke.github.io/primer-cheatsheet/ - v-align-baseline" xr:uid="{CEF47B80-4046-0A4A-A29A-C1CFAD3901B3}"/>
    <hyperlink ref="C4385" r:id="rId1445" location="v-align-bottom" display="https://zeke.github.io/primer-cheatsheet/ - v-align-bottom" xr:uid="{1301A3C4-6028-0B45-827F-A79DFD7E20E1}"/>
    <hyperlink ref="C4387" r:id="rId1446" location="v-align-middle" display="https://zeke.github.io/primer-cheatsheet/ - v-align-middle" xr:uid="{2A17C9BA-1705-DA4E-8CBE-75666404E532}"/>
    <hyperlink ref="C4389" r:id="rId1447" location="v-align-text-bottom" display="https://zeke.github.io/primer-cheatsheet/ - v-align-text-bottom" xr:uid="{2C60C693-94D1-1B47-8C3C-82CE4F7A5A8C}"/>
    <hyperlink ref="C4391" r:id="rId1448" location="v-align-text-top" display="https://zeke.github.io/primer-cheatsheet/ - v-align-text-top" xr:uid="{C6A70AEA-900D-9648-A8AF-A52CA3B46967}"/>
    <hyperlink ref="C4393" r:id="rId1449" location="v-align-top" display="https://zeke.github.io/primer-cheatsheet/ - v-align-top" xr:uid="{D56F8364-EF6B-0B41-B855-64B46706C94A}"/>
    <hyperlink ref="C4395" r:id="rId1450" location="v-hidden" display="https://zeke.github.io/primer-cheatsheet/ - v-hidden" xr:uid="{CDEB4AFB-FCFE-A042-B5DC-4DC87159540A}"/>
    <hyperlink ref="C4397" r:id="rId1451" location="v-visible" display="https://zeke.github.io/primer-cheatsheet/ - v-visible" xr:uid="{F05EBB5F-09CA-4E44-A67C-B252300A8131}"/>
    <hyperlink ref="C4399" r:id="rId1452" location="warning" display="https://zeke.github.io/primer-cheatsheet/ - warning" xr:uid="{95367C0A-905C-3140-B29D-87B9DD6183BC}"/>
    <hyperlink ref="C4404" r:id="rId1453" location="wb-break-all" display="https://zeke.github.io/primer-cheatsheet/ - wb-break-all" xr:uid="{60B70ED8-3B9B-1347-939C-1B6C0B80FC2B}"/>
    <hyperlink ref="C4406" r:id="rId1454" location="width-auto" display="https://zeke.github.io/primer-cheatsheet/ - width-auto" xr:uid="{53946E07-AB56-EC48-B26D-3764E8E27D3B}"/>
    <hyperlink ref="C4408" r:id="rId1455" location="width-fit" display="https://zeke.github.io/primer-cheatsheet/ - width-fit" xr:uid="{C3852F52-5172-8D4E-9DD5-C9C2FDFE3419}"/>
    <hyperlink ref="C4410" r:id="rId1456" location="width-full" display="https://zeke.github.io/primer-cheatsheet/ - width-full" xr:uid="{46B1BCD7-8B90-BE43-B4DD-2F41DB2A9D0F}"/>
    <hyperlink ref="C4412" r:id="rId1457" location="write-content" display="https://zeke.github.io/primer-cheatsheet/ - write-content" xr:uid="{2D9A03C4-A540-0F4A-BA69-A42393C940A9}"/>
    <hyperlink ref="C4414" r:id="rId1458" location="ws-normal" display="https://zeke.github.io/primer-cheatsheet/ - ws-normal" xr:uid="{8E459FAB-656F-C643-9E47-FEBB64E7EF6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79A3-6542-A74B-AE6A-069DBC599B94}">
  <dimension ref="F7:H1465"/>
  <sheetViews>
    <sheetView topLeftCell="F1433" workbookViewId="0">
      <selection activeCell="H698" sqref="H691:H698"/>
    </sheetView>
  </sheetViews>
  <sheetFormatPr baseColWidth="10" defaultRowHeight="16"/>
  <cols>
    <col min="6" max="6" width="116.33203125" customWidth="1"/>
    <col min="7" max="7" width="31.6640625" customWidth="1"/>
  </cols>
  <sheetData>
    <row r="7" spans="6:8">
      <c r="F7" s="2" t="s">
        <v>99</v>
      </c>
      <c r="G7" s="2" t="s">
        <v>101</v>
      </c>
      <c r="H7" s="2" t="s">
        <v>316</v>
      </c>
    </row>
    <row r="8" spans="6:8">
      <c r="F8" s="56" t="s">
        <v>7434</v>
      </c>
      <c r="G8" s="58" t="s">
        <v>7434</v>
      </c>
      <c r="H8" s="57"/>
    </row>
    <row r="9" spans="6:8">
      <c r="F9" s="56" t="s">
        <v>7439</v>
      </c>
      <c r="G9" s="58" t="s">
        <v>7439</v>
      </c>
      <c r="H9" s="57"/>
    </row>
    <row r="10" spans="6:8">
      <c r="F10" s="56" t="s">
        <v>7443</v>
      </c>
      <c r="G10" s="58" t="s">
        <v>7443</v>
      </c>
      <c r="H10" s="57"/>
    </row>
    <row r="11" spans="6:8">
      <c r="F11" s="56" t="s">
        <v>7445</v>
      </c>
      <c r="G11" s="58" t="s">
        <v>7445</v>
      </c>
      <c r="H11" s="57"/>
    </row>
    <row r="12" spans="6:8">
      <c r="F12" s="56" t="s">
        <v>7448</v>
      </c>
      <c r="G12" s="58" t="s">
        <v>7448</v>
      </c>
      <c r="H12" s="57"/>
    </row>
    <row r="13" spans="6:8">
      <c r="F13" s="56" t="s">
        <v>7449</v>
      </c>
      <c r="G13" s="58" t="s">
        <v>7449</v>
      </c>
      <c r="H13" s="57"/>
    </row>
    <row r="14" spans="6:8">
      <c r="F14" s="56" t="s">
        <v>7453</v>
      </c>
      <c r="G14" s="58" t="s">
        <v>7453</v>
      </c>
      <c r="H14" s="57"/>
    </row>
    <row r="15" spans="6:8">
      <c r="F15" s="56" t="s">
        <v>7458</v>
      </c>
      <c r="G15" s="58" t="s">
        <v>7458</v>
      </c>
      <c r="H15" s="57"/>
    </row>
    <row r="16" spans="6:8">
      <c r="F16" s="56" t="s">
        <v>7463</v>
      </c>
      <c r="G16" s="58" t="s">
        <v>7463</v>
      </c>
      <c r="H16" s="57"/>
    </row>
    <row r="17" spans="6:8">
      <c r="F17" s="56" t="s">
        <v>7466</v>
      </c>
      <c r="G17" s="58" t="s">
        <v>7466</v>
      </c>
      <c r="H17" s="57"/>
    </row>
    <row r="18" spans="6:8">
      <c r="F18" s="56" t="s">
        <v>7470</v>
      </c>
      <c r="G18" s="58" t="s">
        <v>7470</v>
      </c>
      <c r="H18" s="57"/>
    </row>
    <row r="19" spans="6:8">
      <c r="F19" s="56" t="s">
        <v>7472</v>
      </c>
      <c r="G19" s="58" t="s">
        <v>7472</v>
      </c>
      <c r="H19" s="57"/>
    </row>
    <row r="20" spans="6:8">
      <c r="F20" s="56" t="s">
        <v>7476</v>
      </c>
      <c r="G20" s="58" t="s">
        <v>7476</v>
      </c>
      <c r="H20" s="57"/>
    </row>
    <row r="21" spans="6:8">
      <c r="F21" s="56" t="s">
        <v>7479</v>
      </c>
      <c r="G21" s="58" t="s">
        <v>7479</v>
      </c>
      <c r="H21" s="57"/>
    </row>
    <row r="22" spans="6:8">
      <c r="F22" s="56" t="s">
        <v>7490</v>
      </c>
      <c r="G22" s="58" t="s">
        <v>7490</v>
      </c>
      <c r="H22" s="57"/>
    </row>
    <row r="23" spans="6:8">
      <c r="F23" s="56" t="s">
        <v>7487</v>
      </c>
      <c r="G23" s="58" t="s">
        <v>7487</v>
      </c>
      <c r="H23" s="57"/>
    </row>
    <row r="24" spans="6:8">
      <c r="F24" s="56" t="s">
        <v>7492</v>
      </c>
      <c r="G24" s="58" t="s">
        <v>7492</v>
      </c>
      <c r="H24" s="57"/>
    </row>
    <row r="25" spans="6:8">
      <c r="F25" s="56" t="s">
        <v>6190</v>
      </c>
      <c r="G25" s="59" t="s">
        <v>6190</v>
      </c>
      <c r="H25" s="57">
        <v>1</v>
      </c>
    </row>
    <row r="26" spans="6:8">
      <c r="F26" s="56" t="s">
        <v>7505</v>
      </c>
      <c r="G26" s="59" t="s">
        <v>7505</v>
      </c>
      <c r="H26" s="57">
        <v>1</v>
      </c>
    </row>
    <row r="27" spans="6:8">
      <c r="F27" s="56" t="s">
        <v>7511</v>
      </c>
      <c r="G27" s="59" t="s">
        <v>7511</v>
      </c>
      <c r="H27" s="57">
        <v>1</v>
      </c>
    </row>
    <row r="28" spans="6:8">
      <c r="F28" s="56" t="s">
        <v>7513</v>
      </c>
      <c r="G28" s="59" t="s">
        <v>7513</v>
      </c>
      <c r="H28" s="57">
        <v>1</v>
      </c>
    </row>
    <row r="29" spans="6:8">
      <c r="F29" s="56" t="s">
        <v>7515</v>
      </c>
      <c r="G29" s="59" t="s">
        <v>7515</v>
      </c>
      <c r="H29" s="57">
        <v>1</v>
      </c>
    </row>
    <row r="30" spans="6:8">
      <c r="F30" s="56" t="s">
        <v>7517</v>
      </c>
      <c r="G30" s="59" t="s">
        <v>7517</v>
      </c>
      <c r="H30" s="57">
        <v>1</v>
      </c>
    </row>
    <row r="31" spans="6:8">
      <c r="F31" s="56" t="s">
        <v>7518</v>
      </c>
      <c r="G31" s="59" t="s">
        <v>7518</v>
      </c>
      <c r="H31" s="57">
        <v>1</v>
      </c>
    </row>
    <row r="32" spans="6:8">
      <c r="F32" s="56" t="s">
        <v>7522</v>
      </c>
      <c r="G32" s="59" t="s">
        <v>7522</v>
      </c>
      <c r="H32" s="57">
        <v>1</v>
      </c>
    </row>
    <row r="33" spans="6:8">
      <c r="F33" s="56" t="s">
        <v>7529</v>
      </c>
      <c r="G33" s="59" t="s">
        <v>7529</v>
      </c>
      <c r="H33" s="57">
        <v>1</v>
      </c>
    </row>
    <row r="34" spans="6:8">
      <c r="F34" s="56" t="s">
        <v>7525</v>
      </c>
      <c r="G34" s="59" t="s">
        <v>7525</v>
      </c>
      <c r="H34" s="57">
        <v>1</v>
      </c>
    </row>
    <row r="35" spans="6:8">
      <c r="F35" s="56" t="s">
        <v>7532</v>
      </c>
      <c r="G35" s="59" t="s">
        <v>7532</v>
      </c>
      <c r="H35" s="57">
        <v>1</v>
      </c>
    </row>
    <row r="36" spans="6:8">
      <c r="F36" s="56" t="s">
        <v>7534</v>
      </c>
      <c r="G36" s="59" t="s">
        <v>7534</v>
      </c>
      <c r="H36" s="57">
        <v>1</v>
      </c>
    </row>
    <row r="37" spans="6:8">
      <c r="F37" s="56" t="s">
        <v>7535</v>
      </c>
      <c r="G37" s="59" t="s">
        <v>7535</v>
      </c>
      <c r="H37" s="57">
        <v>1</v>
      </c>
    </row>
    <row r="38" spans="6:8">
      <c r="F38" s="56" t="s">
        <v>7539</v>
      </c>
      <c r="G38" s="59" t="s">
        <v>7539</v>
      </c>
      <c r="H38" s="57">
        <v>1</v>
      </c>
    </row>
    <row r="39" spans="6:8">
      <c r="F39" s="56" t="s">
        <v>7540</v>
      </c>
      <c r="G39" s="59" t="s">
        <v>7540</v>
      </c>
      <c r="H39" s="57">
        <v>1</v>
      </c>
    </row>
    <row r="40" spans="6:8">
      <c r="F40" s="56" t="s">
        <v>7542</v>
      </c>
      <c r="G40" s="59" t="s">
        <v>7542</v>
      </c>
      <c r="H40" s="57">
        <v>1</v>
      </c>
    </row>
    <row r="41" spans="6:8">
      <c r="F41" s="56" t="s">
        <v>7544</v>
      </c>
      <c r="G41" s="59" t="s">
        <v>7544</v>
      </c>
      <c r="H41" s="57">
        <v>1</v>
      </c>
    </row>
    <row r="42" spans="6:8">
      <c r="F42" s="56" t="s">
        <v>7547</v>
      </c>
      <c r="G42" s="59" t="s">
        <v>7547</v>
      </c>
      <c r="H42" s="57">
        <v>1</v>
      </c>
    </row>
    <row r="43" spans="6:8">
      <c r="F43" s="56" t="s">
        <v>7549</v>
      </c>
      <c r="G43" s="59" t="s">
        <v>7549</v>
      </c>
      <c r="H43" s="57">
        <v>1</v>
      </c>
    </row>
    <row r="44" spans="6:8">
      <c r="F44" s="56" t="s">
        <v>7551</v>
      </c>
      <c r="G44" s="59" t="s">
        <v>7551</v>
      </c>
      <c r="H44" s="57">
        <v>1</v>
      </c>
    </row>
    <row r="45" spans="6:8">
      <c r="F45" s="56" t="s">
        <v>7558</v>
      </c>
      <c r="G45" s="59" t="s">
        <v>7558</v>
      </c>
      <c r="H45" s="57">
        <v>1</v>
      </c>
    </row>
    <row r="46" spans="6:8">
      <c r="F46" s="56" t="s">
        <v>7559</v>
      </c>
      <c r="G46" s="59" t="s">
        <v>7559</v>
      </c>
      <c r="H46" s="57">
        <v>1</v>
      </c>
    </row>
    <row r="47" spans="6:8">
      <c r="F47" s="56" t="s">
        <v>7561</v>
      </c>
      <c r="G47" s="59" t="s">
        <v>7561</v>
      </c>
      <c r="H47" s="57">
        <v>1</v>
      </c>
    </row>
    <row r="48" spans="6:8">
      <c r="F48" s="56" t="s">
        <v>7562</v>
      </c>
      <c r="G48" s="59" t="s">
        <v>7562</v>
      </c>
      <c r="H48" s="57">
        <v>1</v>
      </c>
    </row>
    <row r="49" spans="6:8">
      <c r="F49" s="56" t="s">
        <v>7564</v>
      </c>
      <c r="G49" s="59" t="s">
        <v>7564</v>
      </c>
      <c r="H49" s="57">
        <v>1</v>
      </c>
    </row>
    <row r="50" spans="6:8">
      <c r="F50" s="56" t="s">
        <v>7566</v>
      </c>
      <c r="G50" s="59" t="s">
        <v>7566</v>
      </c>
      <c r="H50" s="57">
        <v>1</v>
      </c>
    </row>
    <row r="51" spans="6:8">
      <c r="F51" s="56" t="s">
        <v>7568</v>
      </c>
      <c r="G51" s="59" t="s">
        <v>7568</v>
      </c>
      <c r="H51" s="57">
        <v>1</v>
      </c>
    </row>
    <row r="52" spans="6:8">
      <c r="F52" s="56" t="s">
        <v>7570</v>
      </c>
      <c r="G52" s="59" t="s">
        <v>7570</v>
      </c>
      <c r="H52" s="57">
        <v>1</v>
      </c>
    </row>
    <row r="53" spans="6:8">
      <c r="F53" s="56" t="s">
        <v>7572</v>
      </c>
      <c r="G53" s="59" t="s">
        <v>7572</v>
      </c>
      <c r="H53" s="57">
        <v>1</v>
      </c>
    </row>
    <row r="54" spans="6:8">
      <c r="F54" s="56" t="s">
        <v>7574</v>
      </c>
      <c r="G54" s="58" t="s">
        <v>7574</v>
      </c>
      <c r="H54" s="57"/>
    </row>
    <row r="55" spans="6:8">
      <c r="F55" s="56" t="s">
        <v>7576</v>
      </c>
      <c r="G55" s="58" t="s">
        <v>7576</v>
      </c>
      <c r="H55" s="57"/>
    </row>
    <row r="56" spans="6:8">
      <c r="F56" s="56" t="s">
        <v>7578</v>
      </c>
      <c r="G56" s="58" t="s">
        <v>7578</v>
      </c>
      <c r="H56" s="57"/>
    </row>
    <row r="57" spans="6:8">
      <c r="F57" s="56" t="s">
        <v>7580</v>
      </c>
      <c r="G57" s="58" t="s">
        <v>7580</v>
      </c>
      <c r="H57" s="57"/>
    </row>
    <row r="58" spans="6:8">
      <c r="F58" s="56" t="s">
        <v>7582</v>
      </c>
      <c r="G58" s="58" t="s">
        <v>7582</v>
      </c>
      <c r="H58" s="57"/>
    </row>
    <row r="59" spans="6:8">
      <c r="F59" s="56" t="s">
        <v>7584</v>
      </c>
      <c r="G59" s="58" t="s">
        <v>7584</v>
      </c>
      <c r="H59" s="57"/>
    </row>
    <row r="60" spans="6:8">
      <c r="F60" s="56" t="s">
        <v>7586</v>
      </c>
      <c r="G60" s="58" t="s">
        <v>7586</v>
      </c>
      <c r="H60" s="57"/>
    </row>
    <row r="61" spans="6:8">
      <c r="F61" s="56" t="s">
        <v>7587</v>
      </c>
      <c r="G61" s="58" t="s">
        <v>7587</v>
      </c>
      <c r="H61" s="57"/>
    </row>
    <row r="62" spans="6:8">
      <c r="F62" s="56" t="s">
        <v>7589</v>
      </c>
      <c r="G62" s="58" t="s">
        <v>7589</v>
      </c>
      <c r="H62" s="57"/>
    </row>
    <row r="63" spans="6:8">
      <c r="F63" s="56" t="s">
        <v>7591</v>
      </c>
      <c r="G63" s="58" t="s">
        <v>7591</v>
      </c>
      <c r="H63" s="57"/>
    </row>
    <row r="64" spans="6:8">
      <c r="F64" s="56" t="s">
        <v>7593</v>
      </c>
      <c r="G64" s="58" t="s">
        <v>7593</v>
      </c>
      <c r="H64" s="57"/>
    </row>
    <row r="65" spans="6:8">
      <c r="F65" s="56" t="s">
        <v>7595</v>
      </c>
      <c r="G65" s="58" t="s">
        <v>7595</v>
      </c>
      <c r="H65" s="57"/>
    </row>
    <row r="66" spans="6:8">
      <c r="F66" s="56" t="s">
        <v>7596</v>
      </c>
      <c r="G66" s="58" t="s">
        <v>7596</v>
      </c>
      <c r="H66" s="57"/>
    </row>
    <row r="67" spans="6:8">
      <c r="F67" s="56" t="s">
        <v>7598</v>
      </c>
      <c r="G67" s="58" t="s">
        <v>7598</v>
      </c>
      <c r="H67" s="57"/>
    </row>
    <row r="68" spans="6:8">
      <c r="F68" s="56" t="s">
        <v>7600</v>
      </c>
      <c r="G68" s="58" t="s">
        <v>7600</v>
      </c>
      <c r="H68" s="57"/>
    </row>
    <row r="69" spans="6:8">
      <c r="F69" s="56" t="s">
        <v>7601</v>
      </c>
      <c r="G69" s="58" t="s">
        <v>7601</v>
      </c>
      <c r="H69" s="57"/>
    </row>
    <row r="70" spans="6:8">
      <c r="F70" s="56" t="s">
        <v>7603</v>
      </c>
      <c r="G70" s="58" t="s">
        <v>7603</v>
      </c>
      <c r="H70" s="57"/>
    </row>
    <row r="71" spans="6:8">
      <c r="F71" s="56" t="s">
        <v>7605</v>
      </c>
      <c r="G71" s="58" t="s">
        <v>7605</v>
      </c>
      <c r="H71" s="57"/>
    </row>
    <row r="72" spans="6:8">
      <c r="F72" s="56" t="s">
        <v>7607</v>
      </c>
      <c r="G72" s="58" t="s">
        <v>7607</v>
      </c>
      <c r="H72" s="57"/>
    </row>
    <row r="73" spans="6:8">
      <c r="F73" s="56" t="s">
        <v>7609</v>
      </c>
      <c r="G73" s="58" t="s">
        <v>7609</v>
      </c>
      <c r="H73" s="57"/>
    </row>
    <row r="74" spans="6:8">
      <c r="F74" s="56" t="s">
        <v>7611</v>
      </c>
      <c r="G74" s="58" t="s">
        <v>7611</v>
      </c>
      <c r="H74" s="57"/>
    </row>
    <row r="75" spans="6:8">
      <c r="F75" s="56" t="s">
        <v>7613</v>
      </c>
      <c r="G75" s="58" t="s">
        <v>7613</v>
      </c>
      <c r="H75" s="57"/>
    </row>
    <row r="76" spans="6:8">
      <c r="F76" s="56" t="s">
        <v>7615</v>
      </c>
      <c r="G76" s="58" t="s">
        <v>7615</v>
      </c>
      <c r="H76" s="57"/>
    </row>
    <row r="77" spans="6:8">
      <c r="F77" s="56" t="s">
        <v>7617</v>
      </c>
      <c r="G77" s="58" t="s">
        <v>7617</v>
      </c>
      <c r="H77" s="57"/>
    </row>
    <row r="78" spans="6:8">
      <c r="F78" s="56" t="s">
        <v>7618</v>
      </c>
      <c r="G78" s="58" t="s">
        <v>7618</v>
      </c>
      <c r="H78" s="57"/>
    </row>
    <row r="79" spans="6:8">
      <c r="F79" s="56" t="s">
        <v>7619</v>
      </c>
      <c r="G79" s="58" t="s">
        <v>7619</v>
      </c>
      <c r="H79" s="57"/>
    </row>
    <row r="80" spans="6:8">
      <c r="F80" s="56" t="s">
        <v>7621</v>
      </c>
      <c r="G80" s="58" t="s">
        <v>7621</v>
      </c>
      <c r="H80" s="57"/>
    </row>
    <row r="81" spans="6:8">
      <c r="F81" s="56" t="s">
        <v>7623</v>
      </c>
      <c r="G81" s="58" t="s">
        <v>7623</v>
      </c>
      <c r="H81" s="57"/>
    </row>
    <row r="82" spans="6:8">
      <c r="F82" s="56" t="s">
        <v>7625</v>
      </c>
      <c r="G82" s="58" t="s">
        <v>7625</v>
      </c>
      <c r="H82" s="57"/>
    </row>
    <row r="83" spans="6:8">
      <c r="F83" s="56" t="s">
        <v>7627</v>
      </c>
      <c r="G83" s="58" t="s">
        <v>7627</v>
      </c>
      <c r="H83" s="57"/>
    </row>
    <row r="84" spans="6:8">
      <c r="F84" s="56" t="s">
        <v>7629</v>
      </c>
      <c r="G84" s="58" t="s">
        <v>7629</v>
      </c>
      <c r="H84" s="57"/>
    </row>
    <row r="85" spans="6:8">
      <c r="F85" s="56" t="s">
        <v>7631</v>
      </c>
      <c r="G85" s="58" t="s">
        <v>7631</v>
      </c>
      <c r="H85" s="57"/>
    </row>
    <row r="86" spans="6:8">
      <c r="F86" s="56" t="s">
        <v>7632</v>
      </c>
      <c r="G86" s="58" t="s">
        <v>7632</v>
      </c>
      <c r="H86" s="57"/>
    </row>
    <row r="87" spans="6:8">
      <c r="F87" s="56" t="s">
        <v>7634</v>
      </c>
      <c r="G87" s="58" t="s">
        <v>7634</v>
      </c>
      <c r="H87" s="57"/>
    </row>
    <row r="88" spans="6:8">
      <c r="F88" s="56" t="s">
        <v>7636</v>
      </c>
      <c r="G88" s="58" t="s">
        <v>7636</v>
      </c>
      <c r="H88" s="57"/>
    </row>
    <row r="89" spans="6:8">
      <c r="F89" s="56" t="s">
        <v>7638</v>
      </c>
      <c r="G89" s="58" t="s">
        <v>7638</v>
      </c>
      <c r="H89" s="57"/>
    </row>
    <row r="90" spans="6:8">
      <c r="F90" s="56" t="s">
        <v>7640</v>
      </c>
      <c r="G90" s="58" t="s">
        <v>7640</v>
      </c>
      <c r="H90" s="57"/>
    </row>
    <row r="91" spans="6:8">
      <c r="F91" s="56" t="s">
        <v>7641</v>
      </c>
      <c r="G91" s="58" t="s">
        <v>7641</v>
      </c>
      <c r="H91" s="57"/>
    </row>
    <row r="92" spans="6:8">
      <c r="F92" s="56" t="s">
        <v>7643</v>
      </c>
      <c r="G92" s="58" t="s">
        <v>7643</v>
      </c>
      <c r="H92" s="57"/>
    </row>
    <row r="93" spans="6:8">
      <c r="F93" s="56" t="s">
        <v>7645</v>
      </c>
      <c r="G93" s="58" t="s">
        <v>7645</v>
      </c>
      <c r="H93" s="57"/>
    </row>
    <row r="94" spans="6:8">
      <c r="F94" s="56" t="s">
        <v>7647</v>
      </c>
      <c r="G94" s="58" t="s">
        <v>7647</v>
      </c>
      <c r="H94" s="57"/>
    </row>
    <row r="95" spans="6:8">
      <c r="F95" s="56" t="s">
        <v>7649</v>
      </c>
      <c r="G95" s="58" t="s">
        <v>7649</v>
      </c>
      <c r="H95" s="57"/>
    </row>
    <row r="96" spans="6:8">
      <c r="F96" s="56" t="s">
        <v>7651</v>
      </c>
      <c r="G96" s="58" t="s">
        <v>7651</v>
      </c>
      <c r="H96" s="57"/>
    </row>
    <row r="97" spans="6:8">
      <c r="F97" s="56" t="s">
        <v>7653</v>
      </c>
      <c r="G97" s="58" t="s">
        <v>7653</v>
      </c>
      <c r="H97" s="57"/>
    </row>
    <row r="98" spans="6:8">
      <c r="F98" s="56" t="s">
        <v>7655</v>
      </c>
      <c r="G98" s="58" t="s">
        <v>7655</v>
      </c>
      <c r="H98" s="57"/>
    </row>
    <row r="99" spans="6:8">
      <c r="F99" s="56" t="s">
        <v>7657</v>
      </c>
      <c r="G99" s="58" t="s">
        <v>7657</v>
      </c>
      <c r="H99" s="57"/>
    </row>
    <row r="100" spans="6:8">
      <c r="F100" s="56" t="s">
        <v>7659</v>
      </c>
      <c r="G100" s="58" t="s">
        <v>7659</v>
      </c>
      <c r="H100" s="57"/>
    </row>
    <row r="101" spans="6:8">
      <c r="F101" s="56" t="s">
        <v>7661</v>
      </c>
      <c r="G101" s="58" t="s">
        <v>7661</v>
      </c>
      <c r="H101" s="57"/>
    </row>
    <row r="102" spans="6:8">
      <c r="F102" s="56" t="s">
        <v>7663</v>
      </c>
      <c r="G102" s="58" t="s">
        <v>7663</v>
      </c>
      <c r="H102" s="57"/>
    </row>
    <row r="103" spans="6:8">
      <c r="F103" s="56" t="s">
        <v>7665</v>
      </c>
      <c r="G103" s="58" t="s">
        <v>7665</v>
      </c>
      <c r="H103" s="57"/>
    </row>
    <row r="104" spans="6:8">
      <c r="F104" s="56" t="s">
        <v>7667</v>
      </c>
      <c r="G104" s="58" t="s">
        <v>7667</v>
      </c>
      <c r="H104" s="57"/>
    </row>
    <row r="105" spans="6:8">
      <c r="F105" s="56" t="s">
        <v>7669</v>
      </c>
      <c r="G105" s="58" t="s">
        <v>7669</v>
      </c>
      <c r="H105" s="57"/>
    </row>
    <row r="106" spans="6:8">
      <c r="F106" s="56" t="s">
        <v>7671</v>
      </c>
      <c r="G106" s="58" t="s">
        <v>7671</v>
      </c>
      <c r="H106" s="57"/>
    </row>
    <row r="107" spans="6:8">
      <c r="F107" s="56" t="s">
        <v>7673</v>
      </c>
      <c r="G107" s="58" t="s">
        <v>7673</v>
      </c>
      <c r="H107" s="57"/>
    </row>
    <row r="108" spans="6:8">
      <c r="F108" s="56" t="s">
        <v>7674</v>
      </c>
      <c r="G108" s="58" t="s">
        <v>7674</v>
      </c>
      <c r="H108" s="57"/>
    </row>
    <row r="109" spans="6:8">
      <c r="F109" s="56" t="s">
        <v>7676</v>
      </c>
      <c r="G109" s="58" t="s">
        <v>7676</v>
      </c>
      <c r="H109" s="57"/>
    </row>
    <row r="110" spans="6:8">
      <c r="F110" s="56" t="s">
        <v>7678</v>
      </c>
      <c r="G110" s="58" t="s">
        <v>7678</v>
      </c>
      <c r="H110" s="57"/>
    </row>
    <row r="111" spans="6:8">
      <c r="F111" s="56" t="s">
        <v>7680</v>
      </c>
      <c r="G111" s="58" t="s">
        <v>7680</v>
      </c>
      <c r="H111" s="57"/>
    </row>
    <row r="112" spans="6:8">
      <c r="F112" s="56" t="s">
        <v>7682</v>
      </c>
      <c r="G112" s="58" t="s">
        <v>7682</v>
      </c>
      <c r="H112" s="57"/>
    </row>
    <row r="113" spans="6:8">
      <c r="F113" s="56" t="s">
        <v>7684</v>
      </c>
      <c r="G113" s="58" t="s">
        <v>7684</v>
      </c>
      <c r="H113" s="57"/>
    </row>
    <row r="114" spans="6:8">
      <c r="F114" s="56" t="s">
        <v>7686</v>
      </c>
      <c r="G114" s="58" t="s">
        <v>7686</v>
      </c>
      <c r="H114" s="57"/>
    </row>
    <row r="115" spans="6:8">
      <c r="F115" s="56" t="s">
        <v>7688</v>
      </c>
      <c r="G115" s="58" t="s">
        <v>7688</v>
      </c>
      <c r="H115" s="57"/>
    </row>
    <row r="116" spans="6:8">
      <c r="F116" s="56" t="s">
        <v>7690</v>
      </c>
      <c r="G116" s="58" t="s">
        <v>7690</v>
      </c>
      <c r="H116" s="57"/>
    </row>
    <row r="117" spans="6:8">
      <c r="F117" s="56" t="s">
        <v>7692</v>
      </c>
      <c r="G117" s="58" t="s">
        <v>7692</v>
      </c>
      <c r="H117" s="57"/>
    </row>
    <row r="118" spans="6:8">
      <c r="F118" s="56" t="s">
        <v>7694</v>
      </c>
      <c r="G118" s="58" t="s">
        <v>7694</v>
      </c>
      <c r="H118" s="57"/>
    </row>
    <row r="119" spans="6:8">
      <c r="F119" s="56" t="s">
        <v>7695</v>
      </c>
      <c r="G119" s="58" t="s">
        <v>7695</v>
      </c>
      <c r="H119" s="57"/>
    </row>
    <row r="120" spans="6:8">
      <c r="F120" s="56" t="s">
        <v>7697</v>
      </c>
      <c r="G120" s="58" t="s">
        <v>7697</v>
      </c>
      <c r="H120" s="57"/>
    </row>
    <row r="121" spans="6:8">
      <c r="F121" s="56" t="s">
        <v>7699</v>
      </c>
      <c r="G121" s="58" t="s">
        <v>7699</v>
      </c>
      <c r="H121" s="57"/>
    </row>
    <row r="122" spans="6:8">
      <c r="F122" s="56" t="s">
        <v>7701</v>
      </c>
      <c r="G122" s="58" t="s">
        <v>7701</v>
      </c>
      <c r="H122" s="57"/>
    </row>
    <row r="123" spans="6:8">
      <c r="F123" s="56" t="s">
        <v>7703</v>
      </c>
      <c r="G123" s="58" t="s">
        <v>7703</v>
      </c>
      <c r="H123" s="57"/>
    </row>
    <row r="124" spans="6:8">
      <c r="F124" s="56" t="s">
        <v>7704</v>
      </c>
      <c r="G124" s="58" t="s">
        <v>7704</v>
      </c>
      <c r="H124" s="57"/>
    </row>
    <row r="125" spans="6:8">
      <c r="F125" s="56" t="s">
        <v>7706</v>
      </c>
      <c r="G125" s="58" t="s">
        <v>7706</v>
      </c>
      <c r="H125" s="57"/>
    </row>
    <row r="126" spans="6:8">
      <c r="F126" s="56" t="s">
        <v>7708</v>
      </c>
      <c r="G126" s="58" t="s">
        <v>7708</v>
      </c>
      <c r="H126" s="57"/>
    </row>
    <row r="127" spans="6:8">
      <c r="F127" s="56" t="s">
        <v>7710</v>
      </c>
      <c r="G127" s="58" t="s">
        <v>7710</v>
      </c>
      <c r="H127" s="57"/>
    </row>
    <row r="128" spans="6:8">
      <c r="F128" s="56" t="s">
        <v>7712</v>
      </c>
      <c r="G128" s="58" t="s">
        <v>7712</v>
      </c>
      <c r="H128" s="57"/>
    </row>
    <row r="129" spans="6:8">
      <c r="F129" s="56" t="s">
        <v>7714</v>
      </c>
      <c r="G129" s="58" t="s">
        <v>7714</v>
      </c>
      <c r="H129" s="57"/>
    </row>
    <row r="130" spans="6:8">
      <c r="F130" s="56" t="s">
        <v>7716</v>
      </c>
      <c r="G130" s="58" t="s">
        <v>7716</v>
      </c>
      <c r="H130" s="57"/>
    </row>
    <row r="131" spans="6:8">
      <c r="F131" s="56" t="s">
        <v>7717</v>
      </c>
      <c r="G131" s="58" t="s">
        <v>7717</v>
      </c>
      <c r="H131" s="57"/>
    </row>
    <row r="132" spans="6:8">
      <c r="F132" s="56" t="s">
        <v>7719</v>
      </c>
      <c r="G132" s="58" t="s">
        <v>7719</v>
      </c>
      <c r="H132" s="57"/>
    </row>
    <row r="133" spans="6:8">
      <c r="F133" s="56" t="s">
        <v>7721</v>
      </c>
      <c r="G133" s="58" t="s">
        <v>7721</v>
      </c>
      <c r="H133" s="57"/>
    </row>
    <row r="134" spans="6:8">
      <c r="F134" s="56" t="s">
        <v>7723</v>
      </c>
      <c r="G134" s="58" t="s">
        <v>7723</v>
      </c>
      <c r="H134" s="57"/>
    </row>
    <row r="135" spans="6:8">
      <c r="F135" s="56" t="s">
        <v>7725</v>
      </c>
      <c r="G135" s="58" t="s">
        <v>7725</v>
      </c>
      <c r="H135" s="57"/>
    </row>
    <row r="136" spans="6:8">
      <c r="F136" s="56" t="s">
        <v>7726</v>
      </c>
      <c r="G136" s="58" t="s">
        <v>7726</v>
      </c>
      <c r="H136" s="57"/>
    </row>
    <row r="137" spans="6:8">
      <c r="F137" s="56" t="s">
        <v>3848</v>
      </c>
      <c r="G137" s="58" t="s">
        <v>3848</v>
      </c>
      <c r="H137" s="57"/>
    </row>
    <row r="138" spans="6:8">
      <c r="F138" s="56" t="s">
        <v>7731</v>
      </c>
      <c r="G138" s="58" t="s">
        <v>7731</v>
      </c>
      <c r="H138" s="57"/>
    </row>
    <row r="139" spans="6:8">
      <c r="F139" s="56" t="s">
        <v>7733</v>
      </c>
      <c r="G139" s="58" t="s">
        <v>7733</v>
      </c>
      <c r="H139" s="57"/>
    </row>
    <row r="140" spans="6:8">
      <c r="F140" s="56" t="s">
        <v>7735</v>
      </c>
      <c r="G140" s="58" t="s">
        <v>7735</v>
      </c>
      <c r="H140" s="57"/>
    </row>
    <row r="141" spans="6:8">
      <c r="F141" s="56" t="s">
        <v>7737</v>
      </c>
      <c r="G141" s="58" t="s">
        <v>7737</v>
      </c>
      <c r="H141" s="57"/>
    </row>
    <row r="142" spans="6:8">
      <c r="F142" s="56" t="s">
        <v>7739</v>
      </c>
      <c r="G142" s="58" t="s">
        <v>7739</v>
      </c>
      <c r="H142" s="57"/>
    </row>
    <row r="143" spans="6:8">
      <c r="F143" s="56" t="s">
        <v>7741</v>
      </c>
      <c r="G143" s="58" t="s">
        <v>7741</v>
      </c>
      <c r="H143" s="57"/>
    </row>
    <row r="144" spans="6:8">
      <c r="F144" s="56" t="s">
        <v>7743</v>
      </c>
      <c r="G144" s="58" t="s">
        <v>7743</v>
      </c>
      <c r="H144" s="57"/>
    </row>
    <row r="145" spans="6:8">
      <c r="F145" s="56" t="s">
        <v>7744</v>
      </c>
      <c r="G145" s="58" t="s">
        <v>7744</v>
      </c>
      <c r="H145" s="57"/>
    </row>
    <row r="146" spans="6:8">
      <c r="F146" s="56" t="s">
        <v>7746</v>
      </c>
      <c r="G146" s="58" t="s">
        <v>7746</v>
      </c>
      <c r="H146" s="57"/>
    </row>
    <row r="147" spans="6:8">
      <c r="F147" s="56" t="s">
        <v>7748</v>
      </c>
      <c r="G147" s="58" t="s">
        <v>7748</v>
      </c>
      <c r="H147" s="57"/>
    </row>
    <row r="148" spans="6:8">
      <c r="F148" s="56" t="s">
        <v>7750</v>
      </c>
      <c r="G148" s="58" t="s">
        <v>7750</v>
      </c>
      <c r="H148" s="57"/>
    </row>
    <row r="149" spans="6:8">
      <c r="F149" s="56" t="s">
        <v>7752</v>
      </c>
      <c r="G149" s="58" t="s">
        <v>7752</v>
      </c>
      <c r="H149" s="57"/>
    </row>
    <row r="150" spans="6:8">
      <c r="F150" s="56" t="s">
        <v>7753</v>
      </c>
      <c r="G150" s="58" t="s">
        <v>7753</v>
      </c>
      <c r="H150" s="57"/>
    </row>
    <row r="151" spans="6:8">
      <c r="F151" s="56" t="s">
        <v>7754</v>
      </c>
      <c r="G151" s="58" t="s">
        <v>7754</v>
      </c>
      <c r="H151" s="57"/>
    </row>
    <row r="152" spans="6:8">
      <c r="F152" s="56" t="s">
        <v>7757</v>
      </c>
      <c r="G152" s="58" t="s">
        <v>7757</v>
      </c>
      <c r="H152" s="57"/>
    </row>
    <row r="153" spans="6:8">
      <c r="F153" s="56" t="s">
        <v>7761</v>
      </c>
      <c r="G153" s="58" t="s">
        <v>7761</v>
      </c>
      <c r="H153" s="57"/>
    </row>
    <row r="154" spans="6:8">
      <c r="F154" s="56" t="s">
        <v>7764</v>
      </c>
      <c r="G154" s="58" t="s">
        <v>7764</v>
      </c>
      <c r="H154" s="57"/>
    </row>
    <row r="155" spans="6:8">
      <c r="F155" s="56" t="s">
        <v>7766</v>
      </c>
      <c r="G155" s="58" t="s">
        <v>7766</v>
      </c>
      <c r="H155" s="57"/>
    </row>
    <row r="156" spans="6:8">
      <c r="F156" s="56" t="s">
        <v>7768</v>
      </c>
      <c r="G156" s="58" t="s">
        <v>7768</v>
      </c>
      <c r="H156" s="57"/>
    </row>
    <row r="157" spans="6:8">
      <c r="F157" s="56" t="s">
        <v>7773</v>
      </c>
      <c r="G157" s="58" t="s">
        <v>7773</v>
      </c>
      <c r="H157" s="57"/>
    </row>
    <row r="158" spans="6:8">
      <c r="F158" s="56" t="s">
        <v>7776</v>
      </c>
      <c r="G158" s="58" t="s">
        <v>7776</v>
      </c>
      <c r="H158" s="57"/>
    </row>
    <row r="159" spans="6:8">
      <c r="F159" s="56" t="s">
        <v>7779</v>
      </c>
      <c r="G159" s="58" t="s">
        <v>7779</v>
      </c>
      <c r="H159" s="57"/>
    </row>
    <row r="160" spans="6:8">
      <c r="F160" s="56" t="s">
        <v>7781</v>
      </c>
      <c r="G160" s="58" t="s">
        <v>7781</v>
      </c>
      <c r="H160" s="57"/>
    </row>
    <row r="161" spans="6:8">
      <c r="F161" s="56" t="s">
        <v>7784</v>
      </c>
      <c r="G161" s="58" t="s">
        <v>7784</v>
      </c>
      <c r="H161" s="57"/>
    </row>
    <row r="162" spans="6:8">
      <c r="F162" s="56" t="s">
        <v>3683</v>
      </c>
      <c r="G162" s="58" t="s">
        <v>3683</v>
      </c>
      <c r="H162" s="57"/>
    </row>
    <row r="163" spans="6:8">
      <c r="F163" s="56" t="s">
        <v>4686</v>
      </c>
      <c r="G163" s="58" t="s">
        <v>4686</v>
      </c>
      <c r="H163" s="57"/>
    </row>
    <row r="164" spans="6:8">
      <c r="F164" s="56" t="s">
        <v>7788</v>
      </c>
      <c r="G164" s="58" t="s">
        <v>7788</v>
      </c>
      <c r="H164" s="57"/>
    </row>
    <row r="165" spans="6:8">
      <c r="F165" s="56" t="s">
        <v>7790</v>
      </c>
      <c r="G165" s="58" t="s">
        <v>7790</v>
      </c>
      <c r="H165" s="57"/>
    </row>
    <row r="166" spans="6:8">
      <c r="F166" s="56" t="s">
        <v>7792</v>
      </c>
      <c r="G166" s="58" t="s">
        <v>7792</v>
      </c>
      <c r="H166" s="57"/>
    </row>
    <row r="167" spans="6:8">
      <c r="F167" s="56" t="s">
        <v>4691</v>
      </c>
      <c r="G167" s="58" t="s">
        <v>4691</v>
      </c>
      <c r="H167" s="57"/>
    </row>
    <row r="168" spans="6:8">
      <c r="F168" s="56" t="s">
        <v>4692</v>
      </c>
      <c r="G168" s="58" t="s">
        <v>4692</v>
      </c>
      <c r="H168" s="57"/>
    </row>
    <row r="169" spans="6:8">
      <c r="F169" s="56" t="s">
        <v>7796</v>
      </c>
      <c r="G169" s="58" t="s">
        <v>7796</v>
      </c>
      <c r="H169" s="57"/>
    </row>
    <row r="170" spans="6:8">
      <c r="F170" s="56" t="s">
        <v>7798</v>
      </c>
      <c r="G170" s="58" t="s">
        <v>7798</v>
      </c>
      <c r="H170" s="57"/>
    </row>
    <row r="171" spans="6:8">
      <c r="F171" s="56" t="s">
        <v>7800</v>
      </c>
      <c r="G171" s="58" t="s">
        <v>7800</v>
      </c>
      <c r="H171" s="57"/>
    </row>
    <row r="172" spans="6:8">
      <c r="F172" s="56" t="s">
        <v>7802</v>
      </c>
      <c r="G172" s="58" t="s">
        <v>7802</v>
      </c>
      <c r="H172" s="57"/>
    </row>
    <row r="173" spans="6:8">
      <c r="F173" s="56" t="s">
        <v>7804</v>
      </c>
      <c r="G173" s="58" t="s">
        <v>7804</v>
      </c>
      <c r="H173" s="57"/>
    </row>
    <row r="174" spans="6:8">
      <c r="F174" s="56" t="s">
        <v>7806</v>
      </c>
      <c r="G174" s="58" t="s">
        <v>7806</v>
      </c>
      <c r="H174" s="57"/>
    </row>
    <row r="175" spans="6:8">
      <c r="F175" s="56" t="s">
        <v>7808</v>
      </c>
      <c r="G175" s="58" t="s">
        <v>7808</v>
      </c>
      <c r="H175" s="57"/>
    </row>
    <row r="176" spans="6:8">
      <c r="F176" s="56" t="s">
        <v>7810</v>
      </c>
      <c r="G176" s="58" t="s">
        <v>7810</v>
      </c>
      <c r="H176" s="57"/>
    </row>
    <row r="177" spans="6:8">
      <c r="F177" s="56" t="s">
        <v>7812</v>
      </c>
      <c r="G177" s="58" t="s">
        <v>7812</v>
      </c>
      <c r="H177" s="57"/>
    </row>
    <row r="178" spans="6:8">
      <c r="F178" s="56" t="s">
        <v>7814</v>
      </c>
      <c r="G178" s="58" t="s">
        <v>7814</v>
      </c>
      <c r="H178" s="57"/>
    </row>
    <row r="179" spans="6:8">
      <c r="F179" s="56" t="s">
        <v>7816</v>
      </c>
      <c r="G179" s="58" t="s">
        <v>7816</v>
      </c>
      <c r="H179" s="57"/>
    </row>
    <row r="180" spans="6:8">
      <c r="F180" s="56" t="s">
        <v>7818</v>
      </c>
      <c r="G180" s="58" t="s">
        <v>7818</v>
      </c>
      <c r="H180" s="57"/>
    </row>
    <row r="181" spans="6:8">
      <c r="F181" s="56" t="s">
        <v>4697</v>
      </c>
      <c r="G181" s="58" t="s">
        <v>4697</v>
      </c>
      <c r="H181" s="57"/>
    </row>
    <row r="182" spans="6:8">
      <c r="F182" s="56" t="s">
        <v>4698</v>
      </c>
      <c r="G182" s="58" t="s">
        <v>4698</v>
      </c>
      <c r="H182" s="57"/>
    </row>
    <row r="183" spans="6:8">
      <c r="F183" s="56" t="s">
        <v>7822</v>
      </c>
      <c r="G183" s="58" t="s">
        <v>7822</v>
      </c>
      <c r="H183" s="57"/>
    </row>
    <row r="184" spans="6:8">
      <c r="F184" s="56" t="s">
        <v>7824</v>
      </c>
      <c r="G184" s="58" t="s">
        <v>7824</v>
      </c>
      <c r="H184" s="57"/>
    </row>
    <row r="185" spans="6:8">
      <c r="F185" s="56" t="s">
        <v>7825</v>
      </c>
      <c r="G185" s="58" t="s">
        <v>7825</v>
      </c>
      <c r="H185" s="57"/>
    </row>
    <row r="186" spans="6:8">
      <c r="F186" s="56" t="s">
        <v>7827</v>
      </c>
      <c r="G186" s="58" t="s">
        <v>7827</v>
      </c>
      <c r="H186" s="57"/>
    </row>
    <row r="187" spans="6:8">
      <c r="F187" s="56" t="s">
        <v>7829</v>
      </c>
      <c r="G187" s="58" t="s">
        <v>7829</v>
      </c>
      <c r="H187" s="57"/>
    </row>
    <row r="188" spans="6:8">
      <c r="F188" s="56" t="s">
        <v>7831</v>
      </c>
      <c r="G188" s="58" t="s">
        <v>7831</v>
      </c>
      <c r="H188" s="57"/>
    </row>
    <row r="189" spans="6:8">
      <c r="F189" s="56" t="s">
        <v>7833</v>
      </c>
      <c r="G189" s="58" t="s">
        <v>7833</v>
      </c>
      <c r="H189" s="57"/>
    </row>
    <row r="190" spans="6:8">
      <c r="F190" s="56" t="s">
        <v>7834</v>
      </c>
      <c r="G190" s="58" t="s">
        <v>7834</v>
      </c>
      <c r="H190" s="57"/>
    </row>
    <row r="191" spans="6:8">
      <c r="F191" s="56" t="s">
        <v>7835</v>
      </c>
      <c r="G191" s="58" t="s">
        <v>7835</v>
      </c>
      <c r="H191" s="57"/>
    </row>
    <row r="192" spans="6:8">
      <c r="F192" s="56" t="s">
        <v>4699</v>
      </c>
      <c r="G192" s="58" t="s">
        <v>4699</v>
      </c>
      <c r="H192" s="57"/>
    </row>
    <row r="193" spans="6:8">
      <c r="F193" s="56" t="s">
        <v>4699</v>
      </c>
      <c r="G193" s="58" t="s">
        <v>4699</v>
      </c>
      <c r="H193" s="57"/>
    </row>
    <row r="194" spans="6:8">
      <c r="F194" s="56" t="s">
        <v>7838</v>
      </c>
      <c r="G194" s="58" t="s">
        <v>7838</v>
      </c>
      <c r="H194" s="57"/>
    </row>
    <row r="195" spans="6:8">
      <c r="F195" s="56" t="s">
        <v>7840</v>
      </c>
      <c r="G195" s="58" t="s">
        <v>7840</v>
      </c>
      <c r="H195" s="57"/>
    </row>
    <row r="196" spans="6:8">
      <c r="F196" s="56" t="s">
        <v>7842</v>
      </c>
      <c r="G196" s="58" t="s">
        <v>7842</v>
      </c>
      <c r="H196" s="57"/>
    </row>
    <row r="197" spans="6:8">
      <c r="F197" s="56" t="s">
        <v>7844</v>
      </c>
      <c r="G197" s="58" t="s">
        <v>7844</v>
      </c>
      <c r="H197" s="57"/>
    </row>
    <row r="198" spans="6:8">
      <c r="F198" s="56" t="s">
        <v>7846</v>
      </c>
      <c r="G198" s="58" t="s">
        <v>7846</v>
      </c>
      <c r="H198" s="57"/>
    </row>
    <row r="199" spans="6:8">
      <c r="F199" s="56" t="s">
        <v>7848</v>
      </c>
      <c r="G199" s="58" t="s">
        <v>7848</v>
      </c>
      <c r="H199" s="57"/>
    </row>
    <row r="200" spans="6:8">
      <c r="F200" s="56" t="s">
        <v>7850</v>
      </c>
      <c r="G200" s="58" t="s">
        <v>7850</v>
      </c>
      <c r="H200" s="57"/>
    </row>
    <row r="201" spans="6:8">
      <c r="F201" s="56" t="s">
        <v>7852</v>
      </c>
      <c r="G201" s="58" t="s">
        <v>7852</v>
      </c>
      <c r="H201" s="57"/>
    </row>
    <row r="202" spans="6:8">
      <c r="F202" s="56" t="s">
        <v>7854</v>
      </c>
      <c r="G202" s="58" t="s">
        <v>7854</v>
      </c>
      <c r="H202" s="57"/>
    </row>
    <row r="203" spans="6:8">
      <c r="F203" s="56" t="s">
        <v>7856</v>
      </c>
      <c r="G203" s="58" t="s">
        <v>7856</v>
      </c>
      <c r="H203" s="57"/>
    </row>
    <row r="204" spans="6:8">
      <c r="F204" s="56" t="s">
        <v>7858</v>
      </c>
      <c r="G204" s="58" t="s">
        <v>7858</v>
      </c>
      <c r="H204" s="57"/>
    </row>
    <row r="205" spans="6:8">
      <c r="F205" s="56" t="s">
        <v>7860</v>
      </c>
      <c r="G205" s="58" t="s">
        <v>7860</v>
      </c>
      <c r="H205" s="57"/>
    </row>
    <row r="206" spans="6:8">
      <c r="F206" s="56" t="s">
        <v>7862</v>
      </c>
      <c r="G206" s="58" t="s">
        <v>7862</v>
      </c>
      <c r="H206" s="57"/>
    </row>
    <row r="207" spans="6:8">
      <c r="F207" s="56" t="s">
        <v>7863</v>
      </c>
      <c r="G207" s="58" t="s">
        <v>7863</v>
      </c>
      <c r="H207" s="57"/>
    </row>
    <row r="208" spans="6:8">
      <c r="F208" s="56" t="s">
        <v>7865</v>
      </c>
      <c r="G208" s="58" t="s">
        <v>7865</v>
      </c>
      <c r="H208" s="57"/>
    </row>
    <row r="209" spans="6:8">
      <c r="F209" s="56" t="s">
        <v>7867</v>
      </c>
      <c r="G209" s="58" t="s">
        <v>7867</v>
      </c>
      <c r="H209" s="57"/>
    </row>
    <row r="210" spans="6:8">
      <c r="F210" s="56" t="s">
        <v>7869</v>
      </c>
      <c r="G210" s="58" t="s">
        <v>7869</v>
      </c>
      <c r="H210" s="57"/>
    </row>
    <row r="211" spans="6:8">
      <c r="F211" s="56" t="s">
        <v>7871</v>
      </c>
      <c r="G211" s="58" t="s">
        <v>7871</v>
      </c>
      <c r="H211" s="57"/>
    </row>
    <row r="212" spans="6:8">
      <c r="F212" s="56" t="s">
        <v>7873</v>
      </c>
      <c r="G212" s="58" t="s">
        <v>7873</v>
      </c>
      <c r="H212" s="57"/>
    </row>
    <row r="213" spans="6:8">
      <c r="F213" s="56" t="s">
        <v>7875</v>
      </c>
      <c r="G213" s="58" t="s">
        <v>7875</v>
      </c>
      <c r="H213" s="57"/>
    </row>
    <row r="214" spans="6:8">
      <c r="F214" s="56" t="s">
        <v>7877</v>
      </c>
      <c r="G214" s="58" t="s">
        <v>7877</v>
      </c>
      <c r="H214" s="57"/>
    </row>
    <row r="215" spans="6:8">
      <c r="F215" s="56" t="s">
        <v>7879</v>
      </c>
      <c r="G215" s="58" t="s">
        <v>7879</v>
      </c>
      <c r="H215" s="57"/>
    </row>
    <row r="216" spans="6:8">
      <c r="F216" s="56" t="s">
        <v>7881</v>
      </c>
      <c r="G216" s="58" t="s">
        <v>7881</v>
      </c>
      <c r="H216" s="57"/>
    </row>
    <row r="217" spans="6:8">
      <c r="F217" s="56" t="s">
        <v>7883</v>
      </c>
      <c r="G217" s="58" t="s">
        <v>7883</v>
      </c>
      <c r="H217" s="57"/>
    </row>
    <row r="218" spans="6:8">
      <c r="F218" s="56" t="s">
        <v>7885</v>
      </c>
      <c r="G218" s="58" t="s">
        <v>7885</v>
      </c>
      <c r="H218" s="57"/>
    </row>
    <row r="219" spans="6:8">
      <c r="F219" s="56" t="s">
        <v>7887</v>
      </c>
      <c r="G219" s="58" t="s">
        <v>7887</v>
      </c>
      <c r="H219" s="57"/>
    </row>
    <row r="220" spans="6:8">
      <c r="F220" s="56" t="s">
        <v>7889</v>
      </c>
      <c r="G220" s="58" t="s">
        <v>7889</v>
      </c>
      <c r="H220" s="57"/>
    </row>
    <row r="221" spans="6:8">
      <c r="F221" s="56" t="s">
        <v>7891</v>
      </c>
      <c r="G221" s="58" t="s">
        <v>7891</v>
      </c>
      <c r="H221" s="57"/>
    </row>
    <row r="222" spans="6:8">
      <c r="F222" s="56" t="s">
        <v>7892</v>
      </c>
      <c r="G222" s="58" t="s">
        <v>7892</v>
      </c>
      <c r="H222" s="57"/>
    </row>
    <row r="223" spans="6:8">
      <c r="F223" s="56" t="s">
        <v>7893</v>
      </c>
      <c r="G223" s="58" t="s">
        <v>7893</v>
      </c>
      <c r="H223" s="57"/>
    </row>
    <row r="224" spans="6:8">
      <c r="F224" s="56" t="s">
        <v>7895</v>
      </c>
      <c r="G224" s="58" t="s">
        <v>7895</v>
      </c>
      <c r="H224" s="57"/>
    </row>
    <row r="225" spans="6:8">
      <c r="F225" s="56" t="s">
        <v>7896</v>
      </c>
      <c r="G225" s="58" t="s">
        <v>7896</v>
      </c>
      <c r="H225" s="57"/>
    </row>
    <row r="226" spans="6:8">
      <c r="F226" s="56" t="s">
        <v>7898</v>
      </c>
      <c r="G226" s="58" t="s">
        <v>7898</v>
      </c>
      <c r="H226" s="57"/>
    </row>
    <row r="227" spans="6:8">
      <c r="F227" s="56" t="s">
        <v>7900</v>
      </c>
      <c r="G227" s="58" t="s">
        <v>7900</v>
      </c>
      <c r="H227" s="57"/>
    </row>
    <row r="228" spans="6:8">
      <c r="F228" s="56" t="s">
        <v>7902</v>
      </c>
      <c r="G228" s="58" t="s">
        <v>7902</v>
      </c>
      <c r="H228" s="57"/>
    </row>
    <row r="229" spans="6:8">
      <c r="F229" s="56" t="s">
        <v>7903</v>
      </c>
      <c r="G229" s="58" t="s">
        <v>7903</v>
      </c>
      <c r="H229" s="57"/>
    </row>
    <row r="230" spans="6:8">
      <c r="F230" s="56" t="s">
        <v>7904</v>
      </c>
      <c r="G230" s="58" t="s">
        <v>7904</v>
      </c>
      <c r="H230" s="57"/>
    </row>
    <row r="231" spans="6:8">
      <c r="F231" s="56" t="s">
        <v>7905</v>
      </c>
      <c r="G231" s="58" t="s">
        <v>7905</v>
      </c>
      <c r="H231" s="57"/>
    </row>
    <row r="232" spans="6:8">
      <c r="F232" s="56" t="s">
        <v>7907</v>
      </c>
      <c r="G232" s="58" t="s">
        <v>7907</v>
      </c>
      <c r="H232" s="57"/>
    </row>
    <row r="233" spans="6:8">
      <c r="F233" s="56" t="s">
        <v>7908</v>
      </c>
      <c r="G233" s="58" t="s">
        <v>7908</v>
      </c>
      <c r="H233" s="57"/>
    </row>
    <row r="234" spans="6:8">
      <c r="F234" s="56" t="s">
        <v>7909</v>
      </c>
      <c r="G234" s="58" t="s">
        <v>7909</v>
      </c>
      <c r="H234" s="57"/>
    </row>
    <row r="235" spans="6:8">
      <c r="F235" s="56" t="s">
        <v>7912</v>
      </c>
      <c r="G235" s="58" t="s">
        <v>7912</v>
      </c>
      <c r="H235" s="57"/>
    </row>
    <row r="236" spans="6:8">
      <c r="F236" s="56" t="s">
        <v>7914</v>
      </c>
      <c r="G236" s="58" t="s">
        <v>7914</v>
      </c>
      <c r="H236" s="57"/>
    </row>
    <row r="237" spans="6:8">
      <c r="F237" s="56" t="s">
        <v>7916</v>
      </c>
      <c r="G237" s="58" t="s">
        <v>7916</v>
      </c>
      <c r="H237" s="57"/>
    </row>
    <row r="238" spans="6:8">
      <c r="F238" s="56" t="s">
        <v>7917</v>
      </c>
      <c r="G238" s="58" t="s">
        <v>7917</v>
      </c>
      <c r="H238" s="57"/>
    </row>
    <row r="239" spans="6:8">
      <c r="F239" s="56" t="s">
        <v>7918</v>
      </c>
      <c r="G239" s="58" t="s">
        <v>7918</v>
      </c>
      <c r="H239" s="57"/>
    </row>
    <row r="240" spans="6:8">
      <c r="F240" s="56" t="s">
        <v>7919</v>
      </c>
      <c r="G240" s="58" t="s">
        <v>7919</v>
      </c>
      <c r="H240" s="57"/>
    </row>
    <row r="241" spans="6:8">
      <c r="F241" s="56" t="s">
        <v>7921</v>
      </c>
      <c r="G241" s="58" t="s">
        <v>7921</v>
      </c>
      <c r="H241" s="57"/>
    </row>
    <row r="242" spans="6:8">
      <c r="F242" s="56" t="s">
        <v>7924</v>
      </c>
      <c r="G242" s="58" t="s">
        <v>7924</v>
      </c>
      <c r="H242" s="57"/>
    </row>
    <row r="243" spans="6:8">
      <c r="F243" s="56" t="s">
        <v>7928</v>
      </c>
      <c r="G243" s="58" t="s">
        <v>7928</v>
      </c>
      <c r="H243" s="57"/>
    </row>
    <row r="244" spans="6:8">
      <c r="F244" s="56" t="s">
        <v>7932</v>
      </c>
      <c r="G244" s="58" t="s">
        <v>7932</v>
      </c>
      <c r="H244" s="57"/>
    </row>
    <row r="245" spans="6:8">
      <c r="F245" s="56" t="s">
        <v>7935</v>
      </c>
      <c r="G245" s="58" t="s">
        <v>7935</v>
      </c>
      <c r="H245" s="57"/>
    </row>
    <row r="246" spans="6:8">
      <c r="F246" s="56" t="s">
        <v>7943</v>
      </c>
      <c r="G246" s="58" t="s">
        <v>7943</v>
      </c>
      <c r="H246" s="57"/>
    </row>
    <row r="247" spans="6:8">
      <c r="F247" s="56" t="s">
        <v>7944</v>
      </c>
      <c r="G247" s="58" t="s">
        <v>7944</v>
      </c>
      <c r="H247" s="57"/>
    </row>
    <row r="248" spans="6:8">
      <c r="F248" s="56" t="s">
        <v>7946</v>
      </c>
      <c r="G248" s="58" t="s">
        <v>7946</v>
      </c>
      <c r="H248" s="57"/>
    </row>
    <row r="249" spans="6:8">
      <c r="F249" s="56" t="s">
        <v>7947</v>
      </c>
      <c r="G249" s="58" t="s">
        <v>7947</v>
      </c>
      <c r="H249" s="57"/>
    </row>
    <row r="250" spans="6:8">
      <c r="F250" s="56" t="s">
        <v>7948</v>
      </c>
      <c r="G250" s="58" t="s">
        <v>7948</v>
      </c>
      <c r="H250" s="57"/>
    </row>
    <row r="251" spans="6:8">
      <c r="F251" s="56" t="s">
        <v>7949</v>
      </c>
      <c r="G251" s="58" t="s">
        <v>7949</v>
      </c>
      <c r="H251" s="57"/>
    </row>
    <row r="252" spans="6:8">
      <c r="F252" s="56" t="s">
        <v>7950</v>
      </c>
      <c r="G252" s="58" t="s">
        <v>7950</v>
      </c>
      <c r="H252" s="57"/>
    </row>
    <row r="253" spans="6:8">
      <c r="F253" s="56" t="s">
        <v>7951</v>
      </c>
      <c r="G253" s="58" t="s">
        <v>7951</v>
      </c>
      <c r="H253" s="57"/>
    </row>
    <row r="254" spans="6:8">
      <c r="F254" s="56" t="s">
        <v>7952</v>
      </c>
      <c r="G254" s="58" t="s">
        <v>7952</v>
      </c>
      <c r="H254" s="57"/>
    </row>
    <row r="255" spans="6:8">
      <c r="F255" s="56" t="s">
        <v>7953</v>
      </c>
      <c r="G255" s="58" t="s">
        <v>7953</v>
      </c>
      <c r="H255" s="57"/>
    </row>
    <row r="256" spans="6:8">
      <c r="F256" s="56" t="s">
        <v>7955</v>
      </c>
      <c r="G256" s="58" t="s">
        <v>7955</v>
      </c>
      <c r="H256" s="57"/>
    </row>
    <row r="257" spans="6:8">
      <c r="F257" s="56" t="s">
        <v>7959</v>
      </c>
      <c r="G257" s="58" t="s">
        <v>7959</v>
      </c>
      <c r="H257" s="57"/>
    </row>
    <row r="258" spans="6:8">
      <c r="F258" s="56" t="s">
        <v>7960</v>
      </c>
      <c r="G258" s="58" t="s">
        <v>7960</v>
      </c>
      <c r="H258" s="57"/>
    </row>
    <row r="259" spans="6:8">
      <c r="F259" s="56" t="s">
        <v>7962</v>
      </c>
      <c r="G259" s="58" t="s">
        <v>7962</v>
      </c>
      <c r="H259" s="57"/>
    </row>
    <row r="260" spans="6:8">
      <c r="F260" s="56" t="s">
        <v>7966</v>
      </c>
      <c r="G260" s="58" t="s">
        <v>7966</v>
      </c>
      <c r="H260" s="57"/>
    </row>
    <row r="261" spans="6:8">
      <c r="F261" s="56" t="s">
        <v>7968</v>
      </c>
      <c r="G261" s="58" t="s">
        <v>7968</v>
      </c>
      <c r="H261" s="57"/>
    </row>
    <row r="262" spans="6:8">
      <c r="F262" s="56" t="s">
        <v>7970</v>
      </c>
      <c r="G262" s="58" t="s">
        <v>7970</v>
      </c>
      <c r="H262" s="57"/>
    </row>
    <row r="263" spans="6:8">
      <c r="F263" s="56" t="s">
        <v>7971</v>
      </c>
      <c r="G263" s="58" t="s">
        <v>7971</v>
      </c>
      <c r="H263" s="57"/>
    </row>
    <row r="264" spans="6:8">
      <c r="F264" s="56" t="s">
        <v>7972</v>
      </c>
      <c r="G264" s="58" t="s">
        <v>7972</v>
      </c>
      <c r="H264" s="57"/>
    </row>
    <row r="265" spans="6:8">
      <c r="F265" s="56" t="s">
        <v>7974</v>
      </c>
      <c r="G265" s="58" t="s">
        <v>7974</v>
      </c>
      <c r="H265" s="57"/>
    </row>
    <row r="266" spans="6:8">
      <c r="F266" s="56" t="s">
        <v>7976</v>
      </c>
      <c r="G266" s="58" t="s">
        <v>7976</v>
      </c>
      <c r="H266" s="57"/>
    </row>
    <row r="267" spans="6:8">
      <c r="F267" s="56" t="s">
        <v>7978</v>
      </c>
      <c r="G267" s="58" t="s">
        <v>7978</v>
      </c>
      <c r="H267" s="57"/>
    </row>
    <row r="268" spans="6:8">
      <c r="F268" s="56" t="s">
        <v>7980</v>
      </c>
      <c r="G268" s="58" t="s">
        <v>7980</v>
      </c>
      <c r="H268" s="57"/>
    </row>
    <row r="269" spans="6:8">
      <c r="F269" s="56" t="s">
        <v>7982</v>
      </c>
      <c r="G269" s="58" t="s">
        <v>7982</v>
      </c>
      <c r="H269" s="57"/>
    </row>
    <row r="270" spans="6:8">
      <c r="F270" s="56" t="s">
        <v>7983</v>
      </c>
      <c r="G270" s="58" t="s">
        <v>7983</v>
      </c>
      <c r="H270" s="57"/>
    </row>
    <row r="271" spans="6:8">
      <c r="F271" s="56" t="s">
        <v>7988</v>
      </c>
      <c r="G271" s="58" t="s">
        <v>7988</v>
      </c>
      <c r="H271" s="57"/>
    </row>
    <row r="272" spans="6:8">
      <c r="F272" s="56" t="s">
        <v>3569</v>
      </c>
      <c r="G272" s="58" t="s">
        <v>3569</v>
      </c>
      <c r="H272" s="57">
        <v>1</v>
      </c>
    </row>
    <row r="273" spans="6:8">
      <c r="F273" s="56" t="s">
        <v>7992</v>
      </c>
      <c r="G273" s="58" t="s">
        <v>7992</v>
      </c>
      <c r="H273" s="57">
        <v>1</v>
      </c>
    </row>
    <row r="274" spans="6:8">
      <c r="F274" s="56" t="s">
        <v>7994</v>
      </c>
      <c r="G274" s="58" t="s">
        <v>7994</v>
      </c>
      <c r="H274" s="57">
        <v>1</v>
      </c>
    </row>
    <row r="275" spans="6:8">
      <c r="F275" s="56" t="s">
        <v>7999</v>
      </c>
      <c r="G275" s="58" t="s">
        <v>7999</v>
      </c>
      <c r="H275" s="57">
        <v>1</v>
      </c>
    </row>
    <row r="276" spans="6:8">
      <c r="F276" s="56" t="s">
        <v>8001</v>
      </c>
      <c r="G276" s="58" t="s">
        <v>8001</v>
      </c>
      <c r="H276" s="57"/>
    </row>
    <row r="277" spans="6:8">
      <c r="F277" s="56" t="s">
        <v>3570</v>
      </c>
      <c r="G277" s="58" t="s">
        <v>3570</v>
      </c>
      <c r="H277" s="57">
        <v>1</v>
      </c>
    </row>
    <row r="278" spans="6:8">
      <c r="F278" s="56" t="s">
        <v>3570</v>
      </c>
      <c r="G278" s="58" t="s">
        <v>3570</v>
      </c>
      <c r="H278" s="57">
        <v>1</v>
      </c>
    </row>
    <row r="279" spans="6:8">
      <c r="F279" s="56" t="s">
        <v>8022</v>
      </c>
      <c r="G279" s="58" t="s">
        <v>8022</v>
      </c>
      <c r="H279" s="57">
        <v>1</v>
      </c>
    </row>
    <row r="280" spans="6:8">
      <c r="F280" s="56" t="s">
        <v>8026</v>
      </c>
      <c r="G280" s="58" t="s">
        <v>8026</v>
      </c>
      <c r="H280" s="57">
        <v>1</v>
      </c>
    </row>
    <row r="281" spans="6:8">
      <c r="F281" s="56" t="s">
        <v>8030</v>
      </c>
      <c r="G281" s="58" t="s">
        <v>8030</v>
      </c>
      <c r="H281" s="57">
        <v>1</v>
      </c>
    </row>
    <row r="282" spans="6:8">
      <c r="F282" s="56" t="s">
        <v>8032</v>
      </c>
      <c r="G282" s="58" t="s">
        <v>8032</v>
      </c>
      <c r="H282" s="57">
        <v>1</v>
      </c>
    </row>
    <row r="283" spans="6:8">
      <c r="F283" s="56" t="s">
        <v>3599</v>
      </c>
      <c r="G283" s="58" t="s">
        <v>3599</v>
      </c>
      <c r="H283" s="57">
        <v>1</v>
      </c>
    </row>
    <row r="284" spans="6:8">
      <c r="F284" s="56" t="s">
        <v>8036</v>
      </c>
      <c r="G284" s="58" t="s">
        <v>8036</v>
      </c>
      <c r="H284" s="57">
        <v>1</v>
      </c>
    </row>
    <row r="285" spans="6:8">
      <c r="F285" s="56" t="s">
        <v>8039</v>
      </c>
      <c r="G285" s="58" t="s">
        <v>8039</v>
      </c>
      <c r="H285" s="57">
        <v>1</v>
      </c>
    </row>
    <row r="286" spans="6:8">
      <c r="F286" s="56" t="s">
        <v>8040</v>
      </c>
      <c r="G286" s="58" t="s">
        <v>8040</v>
      </c>
      <c r="H286" s="57">
        <v>1</v>
      </c>
    </row>
    <row r="287" spans="6:8">
      <c r="F287" s="56" t="s">
        <v>8045</v>
      </c>
      <c r="G287" s="58" t="s">
        <v>8045</v>
      </c>
      <c r="H287" s="57">
        <v>1</v>
      </c>
    </row>
    <row r="288" spans="6:8">
      <c r="F288" s="56" t="s">
        <v>8050</v>
      </c>
      <c r="G288" s="58" t="s">
        <v>8050</v>
      </c>
      <c r="H288" s="57">
        <v>1</v>
      </c>
    </row>
    <row r="289" spans="6:8">
      <c r="F289" s="56" t="s">
        <v>8052</v>
      </c>
      <c r="G289" s="58" t="s">
        <v>8052</v>
      </c>
      <c r="H289" s="57">
        <v>1</v>
      </c>
    </row>
    <row r="290" spans="6:8">
      <c r="F290" s="56" t="s">
        <v>3573</v>
      </c>
      <c r="G290" s="58" t="s">
        <v>3573</v>
      </c>
      <c r="H290" s="57">
        <v>1</v>
      </c>
    </row>
    <row r="291" spans="6:8">
      <c r="F291" s="56" t="s">
        <v>8057</v>
      </c>
      <c r="G291" s="58" t="s">
        <v>8057</v>
      </c>
      <c r="H291" s="57">
        <v>1</v>
      </c>
    </row>
    <row r="292" spans="6:8">
      <c r="F292" s="56" t="s">
        <v>8059</v>
      </c>
      <c r="G292" s="58" t="s">
        <v>8059</v>
      </c>
      <c r="H292" s="57">
        <v>1</v>
      </c>
    </row>
    <row r="293" spans="6:8">
      <c r="F293" s="56" t="s">
        <v>8061</v>
      </c>
      <c r="G293" s="58" t="s">
        <v>8061</v>
      </c>
      <c r="H293" s="57">
        <v>1</v>
      </c>
    </row>
    <row r="294" spans="6:8">
      <c r="F294" s="56" t="s">
        <v>8063</v>
      </c>
      <c r="G294" s="58" t="s">
        <v>8063</v>
      </c>
      <c r="H294" s="57">
        <v>1</v>
      </c>
    </row>
    <row r="295" spans="6:8">
      <c r="F295" s="56" t="s">
        <v>8066</v>
      </c>
      <c r="G295" s="58" t="s">
        <v>8066</v>
      </c>
      <c r="H295" s="57">
        <v>1</v>
      </c>
    </row>
    <row r="296" spans="6:8">
      <c r="F296" s="56" t="s">
        <v>8067</v>
      </c>
      <c r="G296" s="58" t="s">
        <v>8067</v>
      </c>
      <c r="H296" s="57">
        <v>1</v>
      </c>
    </row>
    <row r="297" spans="6:8">
      <c r="F297" s="56" t="s">
        <v>8068</v>
      </c>
      <c r="G297" s="58" t="s">
        <v>8068</v>
      </c>
      <c r="H297" s="57">
        <v>1</v>
      </c>
    </row>
    <row r="298" spans="6:8">
      <c r="F298" s="56" t="s">
        <v>8071</v>
      </c>
      <c r="G298" s="58" t="s">
        <v>8071</v>
      </c>
      <c r="H298" s="57">
        <v>1</v>
      </c>
    </row>
    <row r="299" spans="6:8">
      <c r="F299" s="56" t="s">
        <v>8075</v>
      </c>
      <c r="G299" s="58" t="s">
        <v>8075</v>
      </c>
      <c r="H299" s="57">
        <v>1</v>
      </c>
    </row>
    <row r="300" spans="6:8">
      <c r="F300" s="56" t="s">
        <v>3577</v>
      </c>
      <c r="G300" s="58" t="s">
        <v>3577</v>
      </c>
      <c r="H300" s="57">
        <v>1</v>
      </c>
    </row>
    <row r="301" spans="6:8">
      <c r="F301" s="56" t="s">
        <v>8078</v>
      </c>
      <c r="G301" s="58" t="s">
        <v>8078</v>
      </c>
      <c r="H301" s="57">
        <v>1</v>
      </c>
    </row>
    <row r="302" spans="6:8">
      <c r="F302" s="56" t="s">
        <v>8081</v>
      </c>
      <c r="G302" s="58" t="s">
        <v>8081</v>
      </c>
      <c r="H302" s="57">
        <v>1</v>
      </c>
    </row>
    <row r="303" spans="6:8">
      <c r="F303" s="56" t="s">
        <v>8083</v>
      </c>
      <c r="G303" s="58" t="s">
        <v>8083</v>
      </c>
      <c r="H303" s="57">
        <v>1</v>
      </c>
    </row>
    <row r="304" spans="6:8">
      <c r="F304" s="56" t="s">
        <v>8088</v>
      </c>
      <c r="G304" s="58" t="s">
        <v>8088</v>
      </c>
      <c r="H304" s="57">
        <v>1</v>
      </c>
    </row>
    <row r="305" spans="6:8">
      <c r="F305" s="56" t="s">
        <v>8091</v>
      </c>
      <c r="G305" s="58" t="s">
        <v>8091</v>
      </c>
      <c r="H305" s="57">
        <v>1</v>
      </c>
    </row>
    <row r="306" spans="6:8">
      <c r="F306" s="56" t="s">
        <v>8094</v>
      </c>
      <c r="G306" s="58" t="s">
        <v>8094</v>
      </c>
      <c r="H306" s="57">
        <v>1</v>
      </c>
    </row>
    <row r="307" spans="6:8">
      <c r="F307" s="56" t="s">
        <v>8096</v>
      </c>
      <c r="G307" s="58" t="s">
        <v>8096</v>
      </c>
      <c r="H307" s="57">
        <v>1</v>
      </c>
    </row>
    <row r="308" spans="6:8">
      <c r="F308" s="56" t="s">
        <v>8100</v>
      </c>
      <c r="G308" s="58" t="s">
        <v>8100</v>
      </c>
      <c r="H308" s="57">
        <v>1</v>
      </c>
    </row>
    <row r="309" spans="6:8">
      <c r="F309" s="56" t="s">
        <v>8101</v>
      </c>
      <c r="G309" s="58" t="s">
        <v>8101</v>
      </c>
      <c r="H309" s="57">
        <v>1</v>
      </c>
    </row>
    <row r="310" spans="6:8">
      <c r="F310" s="56" t="s">
        <v>8102</v>
      </c>
      <c r="G310" s="58" t="s">
        <v>8102</v>
      </c>
      <c r="H310" s="57">
        <v>1</v>
      </c>
    </row>
    <row r="311" spans="6:8">
      <c r="F311" s="56" t="s">
        <v>8104</v>
      </c>
      <c r="G311" s="58" t="s">
        <v>8104</v>
      </c>
      <c r="H311" s="57">
        <v>1</v>
      </c>
    </row>
    <row r="312" spans="6:8">
      <c r="F312" s="56" t="s">
        <v>6292</v>
      </c>
      <c r="G312" s="58" t="s">
        <v>6292</v>
      </c>
      <c r="H312" s="57">
        <v>1</v>
      </c>
    </row>
    <row r="313" spans="6:8">
      <c r="F313" s="56" t="s">
        <v>8105</v>
      </c>
      <c r="G313" s="58" t="s">
        <v>8105</v>
      </c>
      <c r="H313" s="57">
        <v>1</v>
      </c>
    </row>
    <row r="314" spans="6:8">
      <c r="F314" s="56" t="s">
        <v>8107</v>
      </c>
      <c r="G314" s="58" t="s">
        <v>8107</v>
      </c>
      <c r="H314" s="57">
        <v>1</v>
      </c>
    </row>
    <row r="315" spans="6:8">
      <c r="F315" s="56" t="s">
        <v>8111</v>
      </c>
      <c r="G315" s="58" t="s">
        <v>8111</v>
      </c>
      <c r="H315" s="57">
        <v>1</v>
      </c>
    </row>
    <row r="316" spans="6:8">
      <c r="F316" s="56" t="s">
        <v>8113</v>
      </c>
      <c r="G316" s="58" t="s">
        <v>8113</v>
      </c>
      <c r="H316" s="57">
        <v>1</v>
      </c>
    </row>
    <row r="317" spans="6:8">
      <c r="F317" s="56" t="s">
        <v>8116</v>
      </c>
      <c r="G317" s="58" t="s">
        <v>8116</v>
      </c>
      <c r="H317" s="57">
        <v>1</v>
      </c>
    </row>
    <row r="318" spans="6:8">
      <c r="F318" s="56" t="s">
        <v>8119</v>
      </c>
      <c r="G318" s="58" t="s">
        <v>8119</v>
      </c>
      <c r="H318" s="57">
        <v>1</v>
      </c>
    </row>
    <row r="319" spans="6:8">
      <c r="F319" s="56" t="s">
        <v>8118</v>
      </c>
      <c r="G319" s="58" t="s">
        <v>8118</v>
      </c>
      <c r="H319" s="57">
        <v>1</v>
      </c>
    </row>
    <row r="320" spans="6:8">
      <c r="F320" s="56" t="s">
        <v>3586</v>
      </c>
      <c r="G320" s="58" t="s">
        <v>3586</v>
      </c>
      <c r="H320" s="57">
        <v>1</v>
      </c>
    </row>
    <row r="321" spans="6:8">
      <c r="F321" s="56" t="s">
        <v>8122</v>
      </c>
      <c r="G321" s="58" t="s">
        <v>8122</v>
      </c>
      <c r="H321" s="57">
        <v>1</v>
      </c>
    </row>
    <row r="322" spans="6:8">
      <c r="F322" s="56" t="s">
        <v>8124</v>
      </c>
      <c r="G322" s="58" t="s">
        <v>8124</v>
      </c>
      <c r="H322" s="57">
        <v>1</v>
      </c>
    </row>
    <row r="323" spans="6:8">
      <c r="F323" s="56" t="s">
        <v>8127</v>
      </c>
      <c r="G323" s="58" t="s">
        <v>8127</v>
      </c>
      <c r="H323" s="57">
        <v>1</v>
      </c>
    </row>
    <row r="324" spans="6:8">
      <c r="F324" s="56" t="s">
        <v>8129</v>
      </c>
      <c r="G324" s="58" t="s">
        <v>8129</v>
      </c>
      <c r="H324" s="57">
        <v>1</v>
      </c>
    </row>
    <row r="325" spans="6:8">
      <c r="F325" s="56" t="s">
        <v>8131</v>
      </c>
      <c r="G325" s="58" t="s">
        <v>8131</v>
      </c>
      <c r="H325" s="57">
        <v>1</v>
      </c>
    </row>
    <row r="326" spans="6:8">
      <c r="F326" s="56" t="s">
        <v>8133</v>
      </c>
      <c r="G326" s="58" t="s">
        <v>8133</v>
      </c>
      <c r="H326" s="57">
        <v>1</v>
      </c>
    </row>
    <row r="327" spans="6:8">
      <c r="F327" s="56" t="s">
        <v>8135</v>
      </c>
      <c r="G327" s="58" t="s">
        <v>8135</v>
      </c>
      <c r="H327" s="57">
        <v>1</v>
      </c>
    </row>
    <row r="328" spans="6:8">
      <c r="F328" s="56" t="s">
        <v>8137</v>
      </c>
      <c r="G328" s="58" t="s">
        <v>8137</v>
      </c>
      <c r="H328" s="57">
        <v>1</v>
      </c>
    </row>
    <row r="329" spans="6:8">
      <c r="F329" s="56" t="s">
        <v>3601</v>
      </c>
      <c r="G329" s="58" t="s">
        <v>3601</v>
      </c>
      <c r="H329" s="57">
        <v>1</v>
      </c>
    </row>
    <row r="330" spans="6:8">
      <c r="F330" s="56" t="s">
        <v>8142</v>
      </c>
      <c r="G330" s="58" t="s">
        <v>8142</v>
      </c>
      <c r="H330" s="57">
        <v>1</v>
      </c>
    </row>
    <row r="331" spans="6:8">
      <c r="F331" s="56" t="s">
        <v>8144</v>
      </c>
      <c r="G331" s="58" t="s">
        <v>8144</v>
      </c>
      <c r="H331" s="57">
        <v>1</v>
      </c>
    </row>
    <row r="332" spans="6:8">
      <c r="F332" s="56" t="s">
        <v>8147</v>
      </c>
      <c r="G332" s="58" t="s">
        <v>8147</v>
      </c>
      <c r="H332" s="57">
        <v>1</v>
      </c>
    </row>
    <row r="333" spans="6:8">
      <c r="F333" s="56" t="s">
        <v>8150</v>
      </c>
      <c r="G333" s="58" t="s">
        <v>8150</v>
      </c>
      <c r="H333" s="57">
        <v>1</v>
      </c>
    </row>
    <row r="334" spans="6:8">
      <c r="F334" s="56" t="s">
        <v>8151</v>
      </c>
      <c r="G334" s="58" t="s">
        <v>8151</v>
      </c>
      <c r="H334" s="57">
        <v>1</v>
      </c>
    </row>
    <row r="335" spans="6:8">
      <c r="F335" s="56" t="s">
        <v>8154</v>
      </c>
      <c r="G335" s="58" t="s">
        <v>8154</v>
      </c>
      <c r="H335" s="57">
        <v>1</v>
      </c>
    </row>
    <row r="336" spans="6:8">
      <c r="F336" s="56" t="s">
        <v>8154</v>
      </c>
      <c r="G336" s="58" t="s">
        <v>8154</v>
      </c>
      <c r="H336" s="57">
        <v>1</v>
      </c>
    </row>
    <row r="337" spans="6:8">
      <c r="F337" s="56" t="s">
        <v>8157</v>
      </c>
      <c r="G337" s="58" t="s">
        <v>8157</v>
      </c>
      <c r="H337" s="57">
        <v>1</v>
      </c>
    </row>
    <row r="338" spans="6:8">
      <c r="F338" s="56" t="s">
        <v>8158</v>
      </c>
      <c r="G338" s="58" t="s">
        <v>8158</v>
      </c>
      <c r="H338" s="57">
        <v>1</v>
      </c>
    </row>
    <row r="339" spans="6:8">
      <c r="F339" s="56" t="s">
        <v>8159</v>
      </c>
      <c r="G339" s="58" t="s">
        <v>8159</v>
      </c>
      <c r="H339" s="57">
        <v>1</v>
      </c>
    </row>
    <row r="340" spans="6:8">
      <c r="F340" s="56" t="s">
        <v>8160</v>
      </c>
      <c r="G340" s="58" t="s">
        <v>8160</v>
      </c>
      <c r="H340" s="57">
        <v>1</v>
      </c>
    </row>
    <row r="341" spans="6:8">
      <c r="F341" s="56" t="s">
        <v>8163</v>
      </c>
      <c r="G341" s="58" t="s">
        <v>8163</v>
      </c>
      <c r="H341" s="57">
        <v>1</v>
      </c>
    </row>
    <row r="342" spans="6:8">
      <c r="F342" s="56" t="s">
        <v>8164</v>
      </c>
      <c r="G342" s="58" t="s">
        <v>8164</v>
      </c>
      <c r="H342" s="57">
        <v>1</v>
      </c>
    </row>
    <row r="343" spans="6:8">
      <c r="F343" s="56" t="s">
        <v>8167</v>
      </c>
      <c r="G343" s="58" t="s">
        <v>8167</v>
      </c>
      <c r="H343" s="57">
        <v>1</v>
      </c>
    </row>
    <row r="344" spans="6:8">
      <c r="F344" s="56" t="s">
        <v>8169</v>
      </c>
      <c r="G344" s="58" t="s">
        <v>8169</v>
      </c>
      <c r="H344" s="57">
        <v>1</v>
      </c>
    </row>
    <row r="345" spans="6:8">
      <c r="F345" s="56" t="s">
        <v>8170</v>
      </c>
      <c r="G345" s="58" t="s">
        <v>8170</v>
      </c>
      <c r="H345" s="57">
        <v>1</v>
      </c>
    </row>
    <row r="346" spans="6:8">
      <c r="F346" s="56" t="s">
        <v>8173</v>
      </c>
      <c r="G346" s="58" t="s">
        <v>8173</v>
      </c>
      <c r="H346" s="57">
        <v>1</v>
      </c>
    </row>
    <row r="347" spans="6:8">
      <c r="F347" s="56" t="s">
        <v>8174</v>
      </c>
      <c r="G347" s="58" t="s">
        <v>8174</v>
      </c>
      <c r="H347" s="57">
        <v>1</v>
      </c>
    </row>
    <row r="348" spans="6:8">
      <c r="F348" s="56" t="s">
        <v>8176</v>
      </c>
      <c r="G348" s="58" t="s">
        <v>8176</v>
      </c>
      <c r="H348" s="57">
        <v>1</v>
      </c>
    </row>
    <row r="349" spans="6:8">
      <c r="F349" s="56" t="s">
        <v>8177</v>
      </c>
      <c r="G349" s="58" t="s">
        <v>8177</v>
      </c>
      <c r="H349" s="57">
        <v>1</v>
      </c>
    </row>
    <row r="350" spans="6:8">
      <c r="F350" s="56" t="s">
        <v>8178</v>
      </c>
      <c r="G350" s="58" t="s">
        <v>8178</v>
      </c>
      <c r="H350" s="57">
        <v>1</v>
      </c>
    </row>
    <row r="351" spans="6:8">
      <c r="F351" s="56" t="s">
        <v>8179</v>
      </c>
      <c r="G351" s="58" t="s">
        <v>8179</v>
      </c>
      <c r="H351" s="57">
        <v>1</v>
      </c>
    </row>
    <row r="352" spans="6:8">
      <c r="F352" s="56" t="s">
        <v>8180</v>
      </c>
      <c r="G352" s="58" t="s">
        <v>8180</v>
      </c>
      <c r="H352" s="57">
        <v>1</v>
      </c>
    </row>
    <row r="353" spans="6:8">
      <c r="F353" s="56" t="s">
        <v>8181</v>
      </c>
      <c r="G353" s="58" t="s">
        <v>8181</v>
      </c>
      <c r="H353" s="57">
        <v>1</v>
      </c>
    </row>
    <row r="354" spans="6:8">
      <c r="F354" s="56" t="s">
        <v>8182</v>
      </c>
      <c r="G354" s="58" t="s">
        <v>8182</v>
      </c>
      <c r="H354" s="57">
        <v>1</v>
      </c>
    </row>
    <row r="355" spans="6:8">
      <c r="F355" s="56" t="s">
        <v>8185</v>
      </c>
      <c r="G355" s="58" t="s">
        <v>8185</v>
      </c>
      <c r="H355" s="57">
        <v>1</v>
      </c>
    </row>
    <row r="356" spans="6:8">
      <c r="F356" s="56" t="s">
        <v>8186</v>
      </c>
      <c r="G356" s="58" t="s">
        <v>8186</v>
      </c>
      <c r="H356" s="57">
        <v>1</v>
      </c>
    </row>
    <row r="357" spans="6:8">
      <c r="F357" s="56" t="s">
        <v>8187</v>
      </c>
      <c r="G357" s="58" t="s">
        <v>8187</v>
      </c>
      <c r="H357" s="57"/>
    </row>
    <row r="358" spans="6:8">
      <c r="F358" s="56" t="s">
        <v>8189</v>
      </c>
      <c r="G358" s="58" t="s">
        <v>8189</v>
      </c>
      <c r="H358" s="57"/>
    </row>
    <row r="359" spans="6:8">
      <c r="F359" s="56" t="s">
        <v>8194</v>
      </c>
      <c r="G359" s="58" t="s">
        <v>8194</v>
      </c>
      <c r="H359" s="57"/>
    </row>
    <row r="360" spans="6:8">
      <c r="F360" s="56" t="s">
        <v>8197</v>
      </c>
      <c r="G360" s="58" t="s">
        <v>8197</v>
      </c>
      <c r="H360" s="57"/>
    </row>
    <row r="361" spans="6:8">
      <c r="F361" s="56" t="s">
        <v>8200</v>
      </c>
      <c r="G361" s="58" t="s">
        <v>8200</v>
      </c>
      <c r="H361" s="57"/>
    </row>
    <row r="362" spans="6:8">
      <c r="F362" s="56" t="s">
        <v>8201</v>
      </c>
      <c r="G362" s="58" t="s">
        <v>8201</v>
      </c>
      <c r="H362" s="57"/>
    </row>
    <row r="363" spans="6:8">
      <c r="F363" s="56" t="s">
        <v>8205</v>
      </c>
      <c r="G363" s="58" t="s">
        <v>8205</v>
      </c>
      <c r="H363" s="57"/>
    </row>
    <row r="364" spans="6:8">
      <c r="F364" s="56" t="s">
        <v>8206</v>
      </c>
      <c r="G364" s="58" t="s">
        <v>8206</v>
      </c>
      <c r="H364" s="57"/>
    </row>
    <row r="365" spans="6:8">
      <c r="F365" s="56" t="s">
        <v>8207</v>
      </c>
      <c r="G365" s="58" t="s">
        <v>8207</v>
      </c>
      <c r="H365" s="57"/>
    </row>
    <row r="366" spans="6:8">
      <c r="F366" s="56" t="s">
        <v>4725</v>
      </c>
      <c r="G366" s="58" t="s">
        <v>4725</v>
      </c>
      <c r="H366" s="57"/>
    </row>
    <row r="367" spans="6:8">
      <c r="F367" s="56" t="s">
        <v>4726</v>
      </c>
      <c r="G367" s="58" t="s">
        <v>4726</v>
      </c>
      <c r="H367" s="57"/>
    </row>
    <row r="368" spans="6:8">
      <c r="F368" s="56" t="s">
        <v>4727</v>
      </c>
      <c r="G368" s="58" t="s">
        <v>4727</v>
      </c>
      <c r="H368" s="57"/>
    </row>
    <row r="369" spans="6:8">
      <c r="F369" s="56" t="s">
        <v>4728</v>
      </c>
      <c r="G369" s="58" t="s">
        <v>4728</v>
      </c>
      <c r="H369" s="57"/>
    </row>
    <row r="370" spans="6:8">
      <c r="F370" s="56" t="s">
        <v>4729</v>
      </c>
      <c r="G370" s="58" t="s">
        <v>4729</v>
      </c>
      <c r="H370" s="57"/>
    </row>
    <row r="371" spans="6:8">
      <c r="F371" s="56" t="s">
        <v>4730</v>
      </c>
      <c r="G371" s="58" t="s">
        <v>4730</v>
      </c>
      <c r="H371" s="57"/>
    </row>
    <row r="372" spans="6:8">
      <c r="F372" s="56" t="s">
        <v>4731</v>
      </c>
      <c r="G372" s="58" t="s">
        <v>4731</v>
      </c>
      <c r="H372" s="57"/>
    </row>
    <row r="373" spans="6:8">
      <c r="F373" s="56" t="s">
        <v>4732</v>
      </c>
      <c r="G373" s="58" t="s">
        <v>4732</v>
      </c>
      <c r="H373" s="57"/>
    </row>
    <row r="374" spans="6:8">
      <c r="F374" s="56" t="s">
        <v>4733</v>
      </c>
      <c r="G374" s="58" t="s">
        <v>4733</v>
      </c>
      <c r="H374" s="57"/>
    </row>
    <row r="375" spans="6:8">
      <c r="F375" s="56" t="s">
        <v>4734</v>
      </c>
      <c r="G375" s="58" t="s">
        <v>4734</v>
      </c>
      <c r="H375" s="57"/>
    </row>
    <row r="376" spans="6:8">
      <c r="F376" s="56" t="s">
        <v>4735</v>
      </c>
      <c r="G376" s="58" t="s">
        <v>4735</v>
      </c>
      <c r="H376" s="57"/>
    </row>
    <row r="377" spans="6:8">
      <c r="F377" s="56" t="s">
        <v>4736</v>
      </c>
      <c r="G377" s="58" t="s">
        <v>4736</v>
      </c>
      <c r="H377" s="57"/>
    </row>
    <row r="378" spans="6:8">
      <c r="F378" s="56" t="s">
        <v>8219</v>
      </c>
      <c r="G378" s="58" t="s">
        <v>8219</v>
      </c>
      <c r="H378" s="57"/>
    </row>
    <row r="379" spans="6:8">
      <c r="F379" s="56" t="s">
        <v>8221</v>
      </c>
      <c r="G379" s="58" t="s">
        <v>8221</v>
      </c>
      <c r="H379" s="57"/>
    </row>
    <row r="380" spans="6:8">
      <c r="F380" s="56" t="s">
        <v>8223</v>
      </c>
      <c r="G380" s="58" t="s">
        <v>8223</v>
      </c>
      <c r="H380" s="57"/>
    </row>
    <row r="381" spans="6:8">
      <c r="F381" s="56" t="s">
        <v>8225</v>
      </c>
      <c r="G381" s="58" t="s">
        <v>8225</v>
      </c>
      <c r="H381" s="57"/>
    </row>
    <row r="382" spans="6:8">
      <c r="F382" s="56" t="s">
        <v>8227</v>
      </c>
      <c r="G382" s="58" t="s">
        <v>8227</v>
      </c>
      <c r="H382" s="57"/>
    </row>
    <row r="383" spans="6:8">
      <c r="F383" s="56" t="s">
        <v>8229</v>
      </c>
      <c r="G383" s="58" t="s">
        <v>8229</v>
      </c>
      <c r="H383" s="57"/>
    </row>
    <row r="384" spans="6:8">
      <c r="F384" s="56" t="s">
        <v>8231</v>
      </c>
      <c r="G384" s="58" t="s">
        <v>8231</v>
      </c>
      <c r="H384" s="57"/>
    </row>
    <row r="385" spans="6:8">
      <c r="F385" s="56" t="s">
        <v>8233</v>
      </c>
      <c r="G385" s="58" t="s">
        <v>8233</v>
      </c>
      <c r="H385" s="57"/>
    </row>
    <row r="386" spans="6:8">
      <c r="F386" s="56" t="s">
        <v>8235</v>
      </c>
      <c r="G386" s="58" t="s">
        <v>8235</v>
      </c>
      <c r="H386" s="57"/>
    </row>
    <row r="387" spans="6:8">
      <c r="F387" s="56" t="s">
        <v>8237</v>
      </c>
      <c r="G387" s="58" t="s">
        <v>8237</v>
      </c>
      <c r="H387" s="57"/>
    </row>
    <row r="388" spans="6:8">
      <c r="F388" s="56" t="s">
        <v>8239</v>
      </c>
      <c r="G388" s="58" t="s">
        <v>8239</v>
      </c>
      <c r="H388" s="57"/>
    </row>
    <row r="389" spans="6:8">
      <c r="F389" s="56" t="s">
        <v>8241</v>
      </c>
      <c r="G389" s="58" t="s">
        <v>8241</v>
      </c>
      <c r="H389" s="57"/>
    </row>
    <row r="390" spans="6:8">
      <c r="F390" s="56" t="s">
        <v>8243</v>
      </c>
      <c r="G390" s="58" t="s">
        <v>8243</v>
      </c>
      <c r="H390" s="57"/>
    </row>
    <row r="391" spans="6:8">
      <c r="F391" s="56" t="s">
        <v>8245</v>
      </c>
      <c r="G391" s="58" t="s">
        <v>8245</v>
      </c>
      <c r="H391" s="57"/>
    </row>
    <row r="392" spans="6:8">
      <c r="F392" s="56" t="s">
        <v>8247</v>
      </c>
      <c r="G392" s="58" t="s">
        <v>8247</v>
      </c>
      <c r="H392" s="57"/>
    </row>
    <row r="393" spans="6:8">
      <c r="F393" s="56" t="s">
        <v>8249</v>
      </c>
      <c r="G393" s="58" t="s">
        <v>8249</v>
      </c>
      <c r="H393" s="57"/>
    </row>
    <row r="394" spans="6:8">
      <c r="F394" s="56" t="s">
        <v>8251</v>
      </c>
      <c r="G394" s="58" t="s">
        <v>8251</v>
      </c>
      <c r="H394" s="57"/>
    </row>
    <row r="395" spans="6:8">
      <c r="F395" s="56" t="s">
        <v>8253</v>
      </c>
      <c r="G395" s="58" t="s">
        <v>8253</v>
      </c>
      <c r="H395" s="57"/>
    </row>
    <row r="396" spans="6:8">
      <c r="F396" s="56" t="s">
        <v>8255</v>
      </c>
      <c r="G396" s="58" t="s">
        <v>8255</v>
      </c>
      <c r="H396" s="57"/>
    </row>
    <row r="397" spans="6:8">
      <c r="F397" s="56" t="s">
        <v>8257</v>
      </c>
      <c r="G397" s="58" t="s">
        <v>8257</v>
      </c>
      <c r="H397" s="57"/>
    </row>
    <row r="398" spans="6:8">
      <c r="F398" s="56" t="s">
        <v>8259</v>
      </c>
      <c r="G398" s="58" t="s">
        <v>8259</v>
      </c>
      <c r="H398" s="57"/>
    </row>
    <row r="399" spans="6:8">
      <c r="F399" s="56" t="s">
        <v>8261</v>
      </c>
      <c r="G399" s="58" t="s">
        <v>8261</v>
      </c>
      <c r="H399" s="57"/>
    </row>
    <row r="400" spans="6:8">
      <c r="F400" s="56" t="s">
        <v>8263</v>
      </c>
      <c r="G400" s="58" t="s">
        <v>8263</v>
      </c>
      <c r="H400" s="57"/>
    </row>
    <row r="401" spans="6:8">
      <c r="F401" s="56" t="s">
        <v>8265</v>
      </c>
      <c r="G401" s="58" t="s">
        <v>8265</v>
      </c>
      <c r="H401" s="57"/>
    </row>
    <row r="402" spans="6:8">
      <c r="F402" s="56" t="s">
        <v>8267</v>
      </c>
      <c r="G402" s="58" t="s">
        <v>8267</v>
      </c>
      <c r="H402" s="57"/>
    </row>
    <row r="403" spans="6:8">
      <c r="F403" s="56" t="s">
        <v>8269</v>
      </c>
      <c r="G403" s="58" t="s">
        <v>8269</v>
      </c>
      <c r="H403" s="57"/>
    </row>
    <row r="404" spans="6:8">
      <c r="F404" s="56" t="s">
        <v>8271</v>
      </c>
      <c r="G404" s="58" t="s">
        <v>8271</v>
      </c>
      <c r="H404" s="57"/>
    </row>
    <row r="405" spans="6:8">
      <c r="F405" s="56" t="s">
        <v>8273</v>
      </c>
      <c r="G405" s="58" t="s">
        <v>8273</v>
      </c>
      <c r="H405" s="57"/>
    </row>
    <row r="406" spans="6:8">
      <c r="F406" s="56" t="s">
        <v>8275</v>
      </c>
      <c r="G406" s="58" t="s">
        <v>8275</v>
      </c>
      <c r="H406" s="57"/>
    </row>
    <row r="407" spans="6:8">
      <c r="F407" s="56" t="s">
        <v>8277</v>
      </c>
      <c r="G407" s="58" t="s">
        <v>8277</v>
      </c>
      <c r="H407" s="57"/>
    </row>
    <row r="408" spans="6:8">
      <c r="F408" s="56" t="s">
        <v>8279</v>
      </c>
      <c r="G408" s="58" t="s">
        <v>8279</v>
      </c>
      <c r="H408" s="57"/>
    </row>
    <row r="409" spans="6:8">
      <c r="F409" s="56" t="s">
        <v>8281</v>
      </c>
      <c r="G409" s="58" t="s">
        <v>8281</v>
      </c>
      <c r="H409" s="57"/>
    </row>
    <row r="410" spans="6:8">
      <c r="F410" s="56" t="s">
        <v>8283</v>
      </c>
      <c r="G410" s="58" t="s">
        <v>8283</v>
      </c>
      <c r="H410" s="57"/>
    </row>
    <row r="411" spans="6:8">
      <c r="F411" s="56" t="s">
        <v>8285</v>
      </c>
      <c r="G411" s="58" t="s">
        <v>8285</v>
      </c>
      <c r="H411" s="57"/>
    </row>
    <row r="412" spans="6:8">
      <c r="F412" s="56" t="s">
        <v>8287</v>
      </c>
      <c r="G412" s="58" t="s">
        <v>8287</v>
      </c>
      <c r="H412" s="57"/>
    </row>
    <row r="413" spans="6:8">
      <c r="F413" s="56" t="s">
        <v>8289</v>
      </c>
      <c r="G413" s="58" t="s">
        <v>8289</v>
      </c>
      <c r="H413" s="57"/>
    </row>
    <row r="414" spans="6:8">
      <c r="F414" s="56" t="s">
        <v>8291</v>
      </c>
      <c r="G414" s="58" t="s">
        <v>8291</v>
      </c>
      <c r="H414" s="57"/>
    </row>
    <row r="415" spans="6:8">
      <c r="F415" s="56" t="s">
        <v>8293</v>
      </c>
      <c r="G415" s="58" t="s">
        <v>8293</v>
      </c>
      <c r="H415" s="57"/>
    </row>
    <row r="416" spans="6:8">
      <c r="F416" s="56" t="s">
        <v>8295</v>
      </c>
      <c r="G416" s="58" t="s">
        <v>8295</v>
      </c>
      <c r="H416" s="57"/>
    </row>
    <row r="417" spans="6:8">
      <c r="F417" s="56" t="s">
        <v>8297</v>
      </c>
      <c r="G417" s="58" t="s">
        <v>8297</v>
      </c>
      <c r="H417" s="57"/>
    </row>
    <row r="418" spans="6:8">
      <c r="F418" s="56" t="s">
        <v>8299</v>
      </c>
      <c r="G418" s="58" t="s">
        <v>8299</v>
      </c>
      <c r="H418" s="57"/>
    </row>
    <row r="419" spans="6:8">
      <c r="F419" s="56" t="s">
        <v>8301</v>
      </c>
      <c r="G419" s="58" t="s">
        <v>8301</v>
      </c>
      <c r="H419" s="57"/>
    </row>
    <row r="420" spans="6:8">
      <c r="F420" s="56" t="s">
        <v>8303</v>
      </c>
      <c r="G420" s="58" t="s">
        <v>8303</v>
      </c>
      <c r="H420" s="57"/>
    </row>
    <row r="421" spans="6:8">
      <c r="F421" s="56" t="s">
        <v>8305</v>
      </c>
      <c r="G421" s="58" t="s">
        <v>8305</v>
      </c>
      <c r="H421" s="57"/>
    </row>
    <row r="422" spans="6:8">
      <c r="F422" s="56" t="s">
        <v>8307</v>
      </c>
      <c r="G422" s="58" t="s">
        <v>8307</v>
      </c>
      <c r="H422" s="57"/>
    </row>
    <row r="423" spans="6:8">
      <c r="F423" s="56" t="s">
        <v>8309</v>
      </c>
      <c r="G423" s="58" t="s">
        <v>8309</v>
      </c>
      <c r="H423" s="57"/>
    </row>
    <row r="424" spans="6:8">
      <c r="F424" s="56" t="s">
        <v>8311</v>
      </c>
      <c r="G424" s="58" t="s">
        <v>8311</v>
      </c>
      <c r="H424" s="57"/>
    </row>
    <row r="425" spans="6:8">
      <c r="F425" s="56" t="s">
        <v>8313</v>
      </c>
      <c r="G425" s="58" t="s">
        <v>8313</v>
      </c>
      <c r="H425" s="57"/>
    </row>
    <row r="426" spans="6:8">
      <c r="F426" s="56" t="s">
        <v>8315</v>
      </c>
      <c r="G426" s="58" t="s">
        <v>8315</v>
      </c>
      <c r="H426" s="57"/>
    </row>
    <row r="427" spans="6:8">
      <c r="F427" s="56" t="s">
        <v>8317</v>
      </c>
      <c r="G427" s="58" t="s">
        <v>8317</v>
      </c>
      <c r="H427" s="57"/>
    </row>
    <row r="428" spans="6:8">
      <c r="F428" s="56" t="s">
        <v>8319</v>
      </c>
      <c r="G428" s="58" t="s">
        <v>8319</v>
      </c>
      <c r="H428" s="57"/>
    </row>
    <row r="429" spans="6:8">
      <c r="F429" s="56" t="s">
        <v>8321</v>
      </c>
      <c r="G429" s="58" t="s">
        <v>8321</v>
      </c>
      <c r="H429" s="57"/>
    </row>
    <row r="430" spans="6:8">
      <c r="F430" s="56" t="s">
        <v>8323</v>
      </c>
      <c r="G430" s="58" t="s">
        <v>8323</v>
      </c>
      <c r="H430" s="57"/>
    </row>
    <row r="431" spans="6:8">
      <c r="F431" s="56" t="s">
        <v>8325</v>
      </c>
      <c r="G431" s="58" t="s">
        <v>8325</v>
      </c>
      <c r="H431" s="57"/>
    </row>
    <row r="432" spans="6:8">
      <c r="F432" s="56" t="s">
        <v>8327</v>
      </c>
      <c r="G432" s="58" t="s">
        <v>8327</v>
      </c>
      <c r="H432" s="57"/>
    </row>
    <row r="433" spans="6:8">
      <c r="F433" s="56" t="s">
        <v>8329</v>
      </c>
      <c r="G433" s="58" t="s">
        <v>8329</v>
      </c>
      <c r="H433" s="57"/>
    </row>
    <row r="434" spans="6:8">
      <c r="F434" s="56" t="s">
        <v>8331</v>
      </c>
      <c r="G434" s="58" t="s">
        <v>8331</v>
      </c>
      <c r="H434" s="57"/>
    </row>
    <row r="435" spans="6:8">
      <c r="F435" s="56" t="s">
        <v>8333</v>
      </c>
      <c r="G435" s="58" t="s">
        <v>8333</v>
      </c>
      <c r="H435" s="57"/>
    </row>
    <row r="436" spans="6:8">
      <c r="F436" s="56" t="s">
        <v>8335</v>
      </c>
      <c r="G436" s="58" t="s">
        <v>8335</v>
      </c>
      <c r="H436" s="57"/>
    </row>
    <row r="437" spans="6:8">
      <c r="F437" s="56" t="s">
        <v>8337</v>
      </c>
      <c r="G437" s="58" t="s">
        <v>8337</v>
      </c>
      <c r="H437" s="57"/>
    </row>
    <row r="438" spans="6:8">
      <c r="F438" s="56" t="s">
        <v>8339</v>
      </c>
      <c r="G438" s="58" t="s">
        <v>8339</v>
      </c>
      <c r="H438" s="57"/>
    </row>
    <row r="439" spans="6:8">
      <c r="F439" s="56" t="s">
        <v>8341</v>
      </c>
      <c r="G439" s="58" t="s">
        <v>8341</v>
      </c>
      <c r="H439" s="57"/>
    </row>
    <row r="440" spans="6:8">
      <c r="F440" s="56" t="s">
        <v>8343</v>
      </c>
      <c r="G440" s="58" t="s">
        <v>8343</v>
      </c>
      <c r="H440" s="57"/>
    </row>
    <row r="441" spans="6:8">
      <c r="F441" s="56" t="s">
        <v>8345</v>
      </c>
      <c r="G441" s="58" t="s">
        <v>8345</v>
      </c>
      <c r="H441" s="57"/>
    </row>
    <row r="442" spans="6:8">
      <c r="F442" s="56" t="s">
        <v>8347</v>
      </c>
      <c r="G442" s="58" t="s">
        <v>8347</v>
      </c>
      <c r="H442" s="57"/>
    </row>
    <row r="443" spans="6:8">
      <c r="F443" s="56" t="s">
        <v>8349</v>
      </c>
      <c r="G443" s="58" t="s">
        <v>8349</v>
      </c>
      <c r="H443" s="57"/>
    </row>
    <row r="444" spans="6:8">
      <c r="F444" s="56" t="s">
        <v>8351</v>
      </c>
      <c r="G444" s="58" t="s">
        <v>8351</v>
      </c>
      <c r="H444" s="57"/>
    </row>
    <row r="445" spans="6:8">
      <c r="F445" s="56" t="s">
        <v>8353</v>
      </c>
      <c r="G445" s="58" t="s">
        <v>8353</v>
      </c>
      <c r="H445" s="57"/>
    </row>
    <row r="446" spans="6:8">
      <c r="F446" s="56" t="s">
        <v>8355</v>
      </c>
      <c r="G446" s="58" t="s">
        <v>8355</v>
      </c>
      <c r="H446" s="57"/>
    </row>
    <row r="447" spans="6:8">
      <c r="F447" s="56" t="s">
        <v>8357</v>
      </c>
      <c r="G447" s="58" t="s">
        <v>8357</v>
      </c>
      <c r="H447" s="57"/>
    </row>
    <row r="448" spans="6:8">
      <c r="F448" s="56" t="s">
        <v>8359</v>
      </c>
      <c r="G448" s="58" t="s">
        <v>8359</v>
      </c>
      <c r="H448" s="57"/>
    </row>
    <row r="449" spans="6:8">
      <c r="F449" s="56" t="s">
        <v>8361</v>
      </c>
      <c r="G449" s="58" t="s">
        <v>8361</v>
      </c>
      <c r="H449" s="57"/>
    </row>
    <row r="450" spans="6:8">
      <c r="F450" s="56" t="s">
        <v>8363</v>
      </c>
      <c r="G450" s="58" t="s">
        <v>8363</v>
      </c>
      <c r="H450" s="57"/>
    </row>
    <row r="451" spans="6:8">
      <c r="F451" s="56" t="s">
        <v>8365</v>
      </c>
      <c r="G451" s="58" t="s">
        <v>8365</v>
      </c>
      <c r="H451" s="57"/>
    </row>
    <row r="452" spans="6:8">
      <c r="F452" s="56" t="s">
        <v>8367</v>
      </c>
      <c r="G452" s="58" t="s">
        <v>8367</v>
      </c>
      <c r="H452" s="57"/>
    </row>
    <row r="453" spans="6:8">
      <c r="F453" s="56" t="s">
        <v>8369</v>
      </c>
      <c r="G453" s="58" t="s">
        <v>8369</v>
      </c>
      <c r="H453" s="57"/>
    </row>
    <row r="454" spans="6:8">
      <c r="F454" s="56" t="s">
        <v>8371</v>
      </c>
      <c r="G454" s="58" t="s">
        <v>8371</v>
      </c>
      <c r="H454" s="57"/>
    </row>
    <row r="455" spans="6:8">
      <c r="F455" s="56" t="s">
        <v>8373</v>
      </c>
      <c r="G455" s="58" t="s">
        <v>8373</v>
      </c>
      <c r="H455" s="57"/>
    </row>
    <row r="456" spans="6:8">
      <c r="F456" s="56" t="s">
        <v>8375</v>
      </c>
      <c r="G456" s="58" t="s">
        <v>8375</v>
      </c>
      <c r="H456" s="57"/>
    </row>
    <row r="457" spans="6:8">
      <c r="F457" s="56" t="s">
        <v>8377</v>
      </c>
      <c r="G457" s="58" t="s">
        <v>8377</v>
      </c>
      <c r="H457" s="57"/>
    </row>
    <row r="458" spans="6:8">
      <c r="F458" s="56" t="s">
        <v>8379</v>
      </c>
      <c r="G458" s="58" t="s">
        <v>8379</v>
      </c>
      <c r="H458" s="57"/>
    </row>
    <row r="459" spans="6:8">
      <c r="F459" s="56" t="s">
        <v>8382</v>
      </c>
      <c r="G459" s="58" t="s">
        <v>8382</v>
      </c>
      <c r="H459" s="57"/>
    </row>
    <row r="460" spans="6:8">
      <c r="F460" s="56" t="s">
        <v>4815</v>
      </c>
      <c r="G460" s="58" t="s">
        <v>4815</v>
      </c>
      <c r="H460" s="57"/>
    </row>
    <row r="461" spans="6:8">
      <c r="F461" s="56" t="s">
        <v>4816</v>
      </c>
      <c r="G461" s="58" t="s">
        <v>4816</v>
      </c>
      <c r="H461" s="57"/>
    </row>
    <row r="462" spans="6:8">
      <c r="F462" s="56" t="s">
        <v>4817</v>
      </c>
      <c r="G462" s="58" t="s">
        <v>4817</v>
      </c>
      <c r="H462" s="57"/>
    </row>
    <row r="463" spans="6:8">
      <c r="F463" s="56" t="s">
        <v>4818</v>
      </c>
      <c r="G463" s="58" t="s">
        <v>4818</v>
      </c>
      <c r="H463" s="57"/>
    </row>
    <row r="464" spans="6:8">
      <c r="F464" s="56" t="s">
        <v>8390</v>
      </c>
      <c r="G464" s="58" t="s">
        <v>8390</v>
      </c>
      <c r="H464" s="57"/>
    </row>
    <row r="465" spans="6:8">
      <c r="F465" s="56" t="s">
        <v>8394</v>
      </c>
      <c r="G465" s="58" t="s">
        <v>8394</v>
      </c>
      <c r="H465" s="57"/>
    </row>
    <row r="466" spans="6:8">
      <c r="F466" s="56" t="s">
        <v>8396</v>
      </c>
      <c r="G466" s="58" t="s">
        <v>8396</v>
      </c>
      <c r="H466" s="57"/>
    </row>
    <row r="467" spans="6:8">
      <c r="F467" s="56" t="s">
        <v>8398</v>
      </c>
      <c r="G467" s="58" t="s">
        <v>8398</v>
      </c>
      <c r="H467" s="57"/>
    </row>
    <row r="468" spans="6:8">
      <c r="F468" s="56" t="s">
        <v>8400</v>
      </c>
      <c r="G468" s="58" t="s">
        <v>8400</v>
      </c>
      <c r="H468" s="57"/>
    </row>
    <row r="469" spans="6:8">
      <c r="F469" s="56" t="s">
        <v>8401</v>
      </c>
      <c r="G469" s="58" t="s">
        <v>8401</v>
      </c>
      <c r="H469" s="57"/>
    </row>
    <row r="470" spans="6:8">
      <c r="F470" s="56" t="s">
        <v>8404</v>
      </c>
      <c r="G470" s="58" t="s">
        <v>8404</v>
      </c>
      <c r="H470" s="57"/>
    </row>
    <row r="471" spans="6:8">
      <c r="F471" s="56" t="s">
        <v>4820</v>
      </c>
      <c r="G471" s="58" t="s">
        <v>4820</v>
      </c>
      <c r="H471" s="57"/>
    </row>
    <row r="472" spans="6:8">
      <c r="F472" s="56" t="s">
        <v>4821</v>
      </c>
      <c r="G472" s="58" t="s">
        <v>4821</v>
      </c>
      <c r="H472" s="57"/>
    </row>
    <row r="473" spans="6:8">
      <c r="F473" s="56" t="s">
        <v>4823</v>
      </c>
      <c r="G473" s="58" t="s">
        <v>4823</v>
      </c>
      <c r="H473" s="57"/>
    </row>
    <row r="474" spans="6:8">
      <c r="F474" s="56" t="s">
        <v>4824</v>
      </c>
      <c r="G474" s="58" t="s">
        <v>4824</v>
      </c>
      <c r="H474" s="57"/>
    </row>
    <row r="475" spans="6:8">
      <c r="F475" s="56" t="s">
        <v>4825</v>
      </c>
      <c r="G475" s="58" t="s">
        <v>4825</v>
      </c>
      <c r="H475" s="57"/>
    </row>
    <row r="476" spans="6:8">
      <c r="F476" s="56" t="s">
        <v>4846</v>
      </c>
      <c r="G476" s="58" t="s">
        <v>4846</v>
      </c>
      <c r="H476" s="57"/>
    </row>
    <row r="477" spans="6:8">
      <c r="F477" s="56" t="s">
        <v>4867</v>
      </c>
      <c r="G477" s="58" t="s">
        <v>4867</v>
      </c>
      <c r="H477" s="57"/>
    </row>
    <row r="478" spans="6:8">
      <c r="F478" s="56" t="s">
        <v>4868</v>
      </c>
      <c r="G478" s="58" t="s">
        <v>4868</v>
      </c>
      <c r="H478" s="57"/>
    </row>
    <row r="479" spans="6:8">
      <c r="F479" s="56" t="s">
        <v>8413</v>
      </c>
      <c r="G479" s="58" t="s">
        <v>8413</v>
      </c>
      <c r="H479" s="57"/>
    </row>
    <row r="480" spans="6:8">
      <c r="F480" s="56" t="s">
        <v>8414</v>
      </c>
      <c r="G480" s="58" t="s">
        <v>8414</v>
      </c>
      <c r="H480" s="57"/>
    </row>
    <row r="481" spans="6:8">
      <c r="F481" s="56" t="s">
        <v>8415</v>
      </c>
      <c r="G481" s="58" t="s">
        <v>8415</v>
      </c>
      <c r="H481" s="57"/>
    </row>
    <row r="482" spans="6:8">
      <c r="F482" s="56" t="s">
        <v>8419</v>
      </c>
      <c r="G482" s="58" t="s">
        <v>8419</v>
      </c>
      <c r="H482" s="57"/>
    </row>
    <row r="483" spans="6:8">
      <c r="F483" s="56" t="s">
        <v>8421</v>
      </c>
      <c r="G483" s="58" t="s">
        <v>8421</v>
      </c>
      <c r="H483" s="57"/>
    </row>
    <row r="484" spans="6:8">
      <c r="F484" s="56" t="s">
        <v>8426</v>
      </c>
      <c r="G484" s="58" t="s">
        <v>8426</v>
      </c>
      <c r="H484" s="57"/>
    </row>
    <row r="485" spans="6:8">
      <c r="F485" s="56" t="s">
        <v>8427</v>
      </c>
      <c r="G485" s="58" t="s">
        <v>8427</v>
      </c>
      <c r="H485" s="57"/>
    </row>
    <row r="486" spans="6:8">
      <c r="F486" s="56" t="s">
        <v>8428</v>
      </c>
      <c r="G486" s="58" t="s">
        <v>8428</v>
      </c>
      <c r="H486" s="57"/>
    </row>
    <row r="487" spans="6:8">
      <c r="F487" s="56" t="s">
        <v>8429</v>
      </c>
      <c r="G487" s="58" t="s">
        <v>8429</v>
      </c>
      <c r="H487" s="57"/>
    </row>
    <row r="488" spans="6:8">
      <c r="F488" s="56" t="s">
        <v>8430</v>
      </c>
      <c r="G488" s="58" t="s">
        <v>8430</v>
      </c>
      <c r="H488" s="57"/>
    </row>
    <row r="489" spans="6:8">
      <c r="F489" s="56" t="s">
        <v>8436</v>
      </c>
      <c r="G489" s="58" t="s">
        <v>8436</v>
      </c>
      <c r="H489" s="57"/>
    </row>
    <row r="490" spans="6:8">
      <c r="F490" s="56" t="s">
        <v>8432</v>
      </c>
      <c r="G490" s="58" t="s">
        <v>8432</v>
      </c>
      <c r="H490" s="57"/>
    </row>
    <row r="491" spans="6:8">
      <c r="F491" s="56" t="s">
        <v>8437</v>
      </c>
      <c r="G491" s="58" t="s">
        <v>8437</v>
      </c>
      <c r="H491" s="57"/>
    </row>
    <row r="492" spans="6:8">
      <c r="F492" s="56" t="s">
        <v>8439</v>
      </c>
      <c r="G492" s="58" t="s">
        <v>8439</v>
      </c>
      <c r="H492" s="57"/>
    </row>
    <row r="493" spans="6:8">
      <c r="F493" s="56" t="s">
        <v>8441</v>
      </c>
      <c r="G493" s="58" t="s">
        <v>8441</v>
      </c>
      <c r="H493" s="57"/>
    </row>
    <row r="494" spans="6:8">
      <c r="F494" s="56" t="s">
        <v>8443</v>
      </c>
      <c r="G494" s="58" t="s">
        <v>8443</v>
      </c>
      <c r="H494" s="57"/>
    </row>
    <row r="495" spans="6:8">
      <c r="F495" s="56" t="s">
        <v>8449</v>
      </c>
      <c r="G495" s="58" t="s">
        <v>8449</v>
      </c>
      <c r="H495" s="57"/>
    </row>
    <row r="496" spans="6:8">
      <c r="F496" s="56" t="s">
        <v>8450</v>
      </c>
      <c r="G496" s="58" t="s">
        <v>8450</v>
      </c>
      <c r="H496" s="57"/>
    </row>
    <row r="497" spans="6:8">
      <c r="F497" s="56" t="s">
        <v>8451</v>
      </c>
      <c r="G497" s="58" t="s">
        <v>8451</v>
      </c>
      <c r="H497" s="57"/>
    </row>
    <row r="498" spans="6:8">
      <c r="F498" s="56" t="s">
        <v>8452</v>
      </c>
      <c r="G498" s="58" t="s">
        <v>8452</v>
      </c>
      <c r="H498" s="57"/>
    </row>
    <row r="499" spans="6:8">
      <c r="F499" s="56" t="s">
        <v>8454</v>
      </c>
      <c r="G499" s="58" t="s">
        <v>8454</v>
      </c>
      <c r="H499" s="57"/>
    </row>
    <row r="500" spans="6:8">
      <c r="F500" s="56" t="s">
        <v>8455</v>
      </c>
      <c r="G500" s="58" t="s">
        <v>8455</v>
      </c>
      <c r="H500" s="57"/>
    </row>
    <row r="501" spans="6:8">
      <c r="F501" s="56" t="s">
        <v>3724</v>
      </c>
      <c r="G501" s="58" t="s">
        <v>3724</v>
      </c>
      <c r="H501" s="57"/>
    </row>
    <row r="502" spans="6:8">
      <c r="F502" s="56" t="s">
        <v>8457</v>
      </c>
      <c r="G502" s="58" t="s">
        <v>8457</v>
      </c>
      <c r="H502" s="57"/>
    </row>
    <row r="503" spans="6:8">
      <c r="F503" s="56" t="s">
        <v>3726</v>
      </c>
      <c r="G503" s="58" t="s">
        <v>3726</v>
      </c>
      <c r="H503" s="57"/>
    </row>
    <row r="504" spans="6:8">
      <c r="F504" s="56" t="s">
        <v>3727</v>
      </c>
      <c r="G504" s="58" t="s">
        <v>3727</v>
      </c>
      <c r="H504" s="57"/>
    </row>
    <row r="505" spans="6:8">
      <c r="F505" s="56" t="s">
        <v>3728</v>
      </c>
      <c r="G505" s="58" t="s">
        <v>3728</v>
      </c>
      <c r="H505" s="57"/>
    </row>
    <row r="506" spans="6:8">
      <c r="F506" s="56" t="s">
        <v>8468</v>
      </c>
      <c r="G506" s="58" t="s">
        <v>8468</v>
      </c>
      <c r="H506" s="57"/>
    </row>
    <row r="507" spans="6:8">
      <c r="F507" s="56" t="s">
        <v>8469</v>
      </c>
      <c r="G507" s="58" t="s">
        <v>8469</v>
      </c>
      <c r="H507" s="57"/>
    </row>
    <row r="508" spans="6:8">
      <c r="F508" s="56" t="s">
        <v>8471</v>
      </c>
      <c r="G508" s="58" t="s">
        <v>8471</v>
      </c>
      <c r="H508" s="57"/>
    </row>
    <row r="509" spans="6:8">
      <c r="F509" s="56" t="s">
        <v>8473</v>
      </c>
      <c r="G509" s="58" t="s">
        <v>8473</v>
      </c>
      <c r="H509" s="57"/>
    </row>
    <row r="510" spans="6:8">
      <c r="F510" s="56" t="s">
        <v>3731</v>
      </c>
      <c r="G510" s="58" t="s">
        <v>3731</v>
      </c>
      <c r="H510" s="57"/>
    </row>
    <row r="511" spans="6:8">
      <c r="F511" s="56" t="s">
        <v>3732</v>
      </c>
      <c r="G511" s="58" t="s">
        <v>3732</v>
      </c>
      <c r="H511" s="57"/>
    </row>
    <row r="512" spans="6:8">
      <c r="F512" s="56" t="s">
        <v>8486</v>
      </c>
      <c r="G512" s="58" t="s">
        <v>8486</v>
      </c>
      <c r="H512" s="57"/>
    </row>
    <row r="513" spans="6:8">
      <c r="F513" s="56" t="s">
        <v>8488</v>
      </c>
      <c r="G513" s="58" t="s">
        <v>8488</v>
      </c>
      <c r="H513" s="57"/>
    </row>
    <row r="514" spans="6:8">
      <c r="F514" s="56" t="s">
        <v>8490</v>
      </c>
      <c r="G514" s="58" t="s">
        <v>8490</v>
      </c>
      <c r="H514" s="57"/>
    </row>
    <row r="515" spans="6:8">
      <c r="F515" s="56" t="s">
        <v>8491</v>
      </c>
      <c r="G515" s="58" t="s">
        <v>8491</v>
      </c>
      <c r="H515" s="57"/>
    </row>
    <row r="516" spans="6:8">
      <c r="F516" s="56" t="s">
        <v>8493</v>
      </c>
      <c r="G516" s="58" t="s">
        <v>8493</v>
      </c>
      <c r="H516" s="57"/>
    </row>
    <row r="517" spans="6:8">
      <c r="F517" s="56" t="s">
        <v>8495</v>
      </c>
      <c r="G517" s="58" t="s">
        <v>8495</v>
      </c>
      <c r="H517" s="57"/>
    </row>
    <row r="518" spans="6:8">
      <c r="F518" s="56" t="s">
        <v>8497</v>
      </c>
      <c r="G518" s="58" t="s">
        <v>8497</v>
      </c>
      <c r="H518" s="57"/>
    </row>
    <row r="519" spans="6:8">
      <c r="F519" s="56" t="s">
        <v>8499</v>
      </c>
      <c r="G519" s="58" t="s">
        <v>8499</v>
      </c>
      <c r="H519" s="57"/>
    </row>
    <row r="520" spans="6:8">
      <c r="F520" s="56" t="s">
        <v>8501</v>
      </c>
      <c r="G520" s="58" t="s">
        <v>8501</v>
      </c>
      <c r="H520" s="57"/>
    </row>
    <row r="521" spans="6:8">
      <c r="F521" s="56" t="s">
        <v>8503</v>
      </c>
      <c r="G521" s="58" t="s">
        <v>8503</v>
      </c>
      <c r="H521" s="57"/>
    </row>
    <row r="522" spans="6:8">
      <c r="F522" s="56" t="s">
        <v>8505</v>
      </c>
      <c r="G522" s="58" t="s">
        <v>8505</v>
      </c>
      <c r="H522" s="57"/>
    </row>
    <row r="523" spans="6:8">
      <c r="F523" s="56" t="s">
        <v>8507</v>
      </c>
      <c r="G523" s="58" t="s">
        <v>8507</v>
      </c>
      <c r="H523" s="57"/>
    </row>
    <row r="524" spans="6:8">
      <c r="F524" s="56" t="s">
        <v>8512</v>
      </c>
      <c r="G524" s="58" t="s">
        <v>8512</v>
      </c>
      <c r="H524" s="57"/>
    </row>
    <row r="525" spans="6:8">
      <c r="F525" s="56" t="s">
        <v>8517</v>
      </c>
      <c r="G525" s="58" t="s">
        <v>8517</v>
      </c>
      <c r="H525" s="57"/>
    </row>
    <row r="526" spans="6:8">
      <c r="F526" s="56" t="s">
        <v>8521</v>
      </c>
      <c r="G526" s="58" t="s">
        <v>8521</v>
      </c>
      <c r="H526" s="57"/>
    </row>
    <row r="527" spans="6:8">
      <c r="F527" s="56" t="s">
        <v>8524</v>
      </c>
      <c r="G527" s="58" t="s">
        <v>8524</v>
      </c>
      <c r="H527" s="57"/>
    </row>
    <row r="528" spans="6:8">
      <c r="F528" s="56" t="s">
        <v>8533</v>
      </c>
      <c r="G528" s="58" t="s">
        <v>8533</v>
      </c>
      <c r="H528" s="57"/>
    </row>
    <row r="529" spans="6:8">
      <c r="F529" s="56" t="s">
        <v>8531</v>
      </c>
      <c r="G529" s="58" t="s">
        <v>8531</v>
      </c>
      <c r="H529" s="57"/>
    </row>
    <row r="530" spans="6:8">
      <c r="F530" s="56" t="s">
        <v>8539</v>
      </c>
      <c r="G530" s="58" t="s">
        <v>8539</v>
      </c>
      <c r="H530" s="57"/>
    </row>
    <row r="531" spans="6:8">
      <c r="F531" s="56" t="s">
        <v>8540</v>
      </c>
      <c r="G531" s="58" t="s">
        <v>8540</v>
      </c>
      <c r="H531" s="57"/>
    </row>
    <row r="532" spans="6:8">
      <c r="F532" s="56" t="s">
        <v>8543</v>
      </c>
      <c r="G532" s="58" t="s">
        <v>8543</v>
      </c>
      <c r="H532" s="57"/>
    </row>
    <row r="533" spans="6:8">
      <c r="F533" s="56" t="s">
        <v>8547</v>
      </c>
      <c r="G533" s="58" t="s">
        <v>8547</v>
      </c>
      <c r="H533" s="57"/>
    </row>
    <row r="534" spans="6:8">
      <c r="F534" s="56" t="s">
        <v>8549</v>
      </c>
      <c r="G534" s="58" t="s">
        <v>8549</v>
      </c>
      <c r="H534" s="57"/>
    </row>
    <row r="535" spans="6:8">
      <c r="F535" s="56" t="s">
        <v>8551</v>
      </c>
      <c r="G535" s="58" t="s">
        <v>8551</v>
      </c>
      <c r="H535" s="57"/>
    </row>
    <row r="536" spans="6:8">
      <c r="F536" s="56" t="s">
        <v>8552</v>
      </c>
      <c r="G536" s="58" t="s">
        <v>8552</v>
      </c>
      <c r="H536" s="57"/>
    </row>
    <row r="537" spans="6:8">
      <c r="F537" s="56" t="s">
        <v>8553</v>
      </c>
      <c r="G537" s="58" t="s">
        <v>8553</v>
      </c>
      <c r="H537" s="57"/>
    </row>
    <row r="538" spans="6:8">
      <c r="F538" s="56" t="s">
        <v>8554</v>
      </c>
      <c r="G538" s="58" t="s">
        <v>8554</v>
      </c>
      <c r="H538" s="57"/>
    </row>
    <row r="539" spans="6:8">
      <c r="F539" s="56" t="s">
        <v>8556</v>
      </c>
      <c r="G539" s="58" t="s">
        <v>8556</v>
      </c>
      <c r="H539" s="57"/>
    </row>
    <row r="540" spans="6:8">
      <c r="F540" s="56" t="s">
        <v>8558</v>
      </c>
      <c r="G540" s="58" t="s">
        <v>8558</v>
      </c>
      <c r="H540" s="57"/>
    </row>
    <row r="541" spans="6:8">
      <c r="F541" s="56" t="s">
        <v>8561</v>
      </c>
      <c r="G541" s="58" t="s">
        <v>8561</v>
      </c>
      <c r="H541" s="57"/>
    </row>
    <row r="542" spans="6:8">
      <c r="F542" s="56" t="s">
        <v>8564</v>
      </c>
      <c r="G542" s="58" t="s">
        <v>8564</v>
      </c>
      <c r="H542" s="57"/>
    </row>
    <row r="543" spans="6:8">
      <c r="F543" s="56" t="s">
        <v>8568</v>
      </c>
      <c r="G543" s="58" t="s">
        <v>8568</v>
      </c>
      <c r="H543" s="57"/>
    </row>
    <row r="544" spans="6:8">
      <c r="F544" s="56" t="s">
        <v>8572</v>
      </c>
      <c r="G544" s="58" t="s">
        <v>8572</v>
      </c>
      <c r="H544" s="57"/>
    </row>
    <row r="545" spans="6:8">
      <c r="F545" s="56" t="s">
        <v>8571</v>
      </c>
      <c r="G545" s="58" t="s">
        <v>8571</v>
      </c>
      <c r="H545" s="57"/>
    </row>
    <row r="546" spans="6:8">
      <c r="F546" s="56" t="s">
        <v>8575</v>
      </c>
      <c r="G546" s="58" t="s">
        <v>8575</v>
      </c>
      <c r="H546" s="57"/>
    </row>
    <row r="547" spans="6:8">
      <c r="F547" s="56" t="s">
        <v>8576</v>
      </c>
      <c r="G547" s="58" t="s">
        <v>8576</v>
      </c>
      <c r="H547" s="57"/>
    </row>
    <row r="548" spans="6:8">
      <c r="F548" s="56" t="s">
        <v>8577</v>
      </c>
      <c r="G548" s="58" t="s">
        <v>8577</v>
      </c>
      <c r="H548" s="57"/>
    </row>
    <row r="549" spans="6:8">
      <c r="F549" s="56" t="s">
        <v>8580</v>
      </c>
      <c r="G549" s="58" t="s">
        <v>8580</v>
      </c>
      <c r="H549" s="57"/>
    </row>
    <row r="550" spans="6:8">
      <c r="F550" s="56" t="s">
        <v>8582</v>
      </c>
      <c r="G550" s="58" t="s">
        <v>8582</v>
      </c>
      <c r="H550" s="57"/>
    </row>
    <row r="551" spans="6:8">
      <c r="F551" s="56" t="s">
        <v>8584</v>
      </c>
      <c r="G551" s="58" t="s">
        <v>8584</v>
      </c>
      <c r="H551" s="57"/>
    </row>
    <row r="552" spans="6:8">
      <c r="F552" s="56" t="s">
        <v>8585</v>
      </c>
      <c r="G552" s="58" t="s">
        <v>8585</v>
      </c>
      <c r="H552" s="57"/>
    </row>
    <row r="553" spans="6:8">
      <c r="F553" s="56" t="s">
        <v>8587</v>
      </c>
      <c r="G553" s="58" t="s">
        <v>8587</v>
      </c>
      <c r="H553" s="57"/>
    </row>
    <row r="554" spans="6:8">
      <c r="F554" s="56" t="s">
        <v>8588</v>
      </c>
      <c r="G554" s="58" t="s">
        <v>8588</v>
      </c>
      <c r="H554" s="57"/>
    </row>
    <row r="555" spans="6:8">
      <c r="F555" s="56" t="s">
        <v>8590</v>
      </c>
      <c r="G555" s="58" t="s">
        <v>8590</v>
      </c>
      <c r="H555" s="57"/>
    </row>
    <row r="556" spans="6:8">
      <c r="F556" s="56" t="s">
        <v>8591</v>
      </c>
      <c r="G556" s="58" t="s">
        <v>8591</v>
      </c>
      <c r="H556" s="57"/>
    </row>
    <row r="557" spans="6:8">
      <c r="F557" s="56" t="s">
        <v>8593</v>
      </c>
      <c r="G557" s="58" t="s">
        <v>8593</v>
      </c>
      <c r="H557" s="57"/>
    </row>
    <row r="558" spans="6:8">
      <c r="F558" s="56" t="s">
        <v>8595</v>
      </c>
      <c r="G558" s="58" t="s">
        <v>8595</v>
      </c>
      <c r="H558" s="57"/>
    </row>
    <row r="559" spans="6:8">
      <c r="F559" s="56" t="s">
        <v>8597</v>
      </c>
      <c r="G559" s="58" t="s">
        <v>8597</v>
      </c>
      <c r="H559" s="57"/>
    </row>
    <row r="560" spans="6:8">
      <c r="F560" s="56" t="s">
        <v>8600</v>
      </c>
      <c r="G560" s="58" t="s">
        <v>8600</v>
      </c>
      <c r="H560" s="57"/>
    </row>
    <row r="561" spans="6:8">
      <c r="F561" s="56" t="s">
        <v>8604</v>
      </c>
      <c r="G561" s="58" t="s">
        <v>8604</v>
      </c>
      <c r="H561" s="57"/>
    </row>
    <row r="562" spans="6:8">
      <c r="F562" s="56" t="s">
        <v>8606</v>
      </c>
      <c r="G562" s="58" t="s">
        <v>8606</v>
      </c>
      <c r="H562" s="57"/>
    </row>
    <row r="563" spans="6:8">
      <c r="F563" s="56" t="s">
        <v>8608</v>
      </c>
      <c r="G563" s="58" t="s">
        <v>8608</v>
      </c>
      <c r="H563" s="57"/>
    </row>
    <row r="564" spans="6:8">
      <c r="F564" s="56" t="s">
        <v>8609</v>
      </c>
      <c r="G564" s="58" t="s">
        <v>8609</v>
      </c>
      <c r="H564" s="57"/>
    </row>
    <row r="565" spans="6:8">
      <c r="F565" s="56" t="s">
        <v>8610</v>
      </c>
      <c r="G565" s="58" t="s">
        <v>8610</v>
      </c>
      <c r="H565" s="57"/>
    </row>
    <row r="566" spans="6:8">
      <c r="F566" s="56" t="s">
        <v>8611</v>
      </c>
      <c r="G566" s="58" t="s">
        <v>8611</v>
      </c>
      <c r="H566" s="57"/>
    </row>
    <row r="567" spans="6:8">
      <c r="F567" s="56" t="s">
        <v>8612</v>
      </c>
      <c r="G567" s="58" t="s">
        <v>8612</v>
      </c>
      <c r="H567" s="57"/>
    </row>
    <row r="568" spans="6:8">
      <c r="F568" s="56" t="s">
        <v>8615</v>
      </c>
      <c r="G568" s="58" t="s">
        <v>8615</v>
      </c>
      <c r="H568" s="57"/>
    </row>
    <row r="569" spans="6:8">
      <c r="F569" s="56" t="s">
        <v>8618</v>
      </c>
      <c r="G569" s="58" t="s">
        <v>8618</v>
      </c>
      <c r="H569" s="57"/>
    </row>
    <row r="570" spans="6:8">
      <c r="F570" s="56" t="s">
        <v>8620</v>
      </c>
      <c r="G570" s="58" t="s">
        <v>8620</v>
      </c>
      <c r="H570" s="57"/>
    </row>
    <row r="571" spans="6:8">
      <c r="F571" s="56" t="s">
        <v>8623</v>
      </c>
      <c r="G571" s="58" t="s">
        <v>8623</v>
      </c>
      <c r="H571" s="57"/>
    </row>
    <row r="572" spans="6:8">
      <c r="F572" s="56" t="s">
        <v>8626</v>
      </c>
      <c r="G572" s="58" t="s">
        <v>8626</v>
      </c>
      <c r="H572" s="57"/>
    </row>
    <row r="573" spans="6:8">
      <c r="F573" s="56" t="s">
        <v>8629</v>
      </c>
      <c r="G573" s="58" t="s">
        <v>8629</v>
      </c>
      <c r="H573" s="57"/>
    </row>
    <row r="574" spans="6:8">
      <c r="F574" s="56" t="s">
        <v>8630</v>
      </c>
      <c r="G574" s="58" t="s">
        <v>8630</v>
      </c>
      <c r="H574" s="57"/>
    </row>
    <row r="575" spans="6:8">
      <c r="F575" s="56" t="s">
        <v>8633</v>
      </c>
      <c r="G575" s="58" t="s">
        <v>8633</v>
      </c>
      <c r="H575" s="57"/>
    </row>
    <row r="576" spans="6:8">
      <c r="F576" s="56" t="s">
        <v>8635</v>
      </c>
      <c r="G576" s="58" t="s">
        <v>8635</v>
      </c>
      <c r="H576" s="57"/>
    </row>
    <row r="577" spans="6:8">
      <c r="F577" s="56" t="s">
        <v>8637</v>
      </c>
      <c r="G577" s="58" t="s">
        <v>8637</v>
      </c>
      <c r="H577" s="57"/>
    </row>
    <row r="578" spans="6:8">
      <c r="F578" s="56" t="s">
        <v>8640</v>
      </c>
      <c r="G578" s="58" t="s">
        <v>8640</v>
      </c>
      <c r="H578" s="57"/>
    </row>
    <row r="579" spans="6:8">
      <c r="F579" s="56" t="s">
        <v>8642</v>
      </c>
      <c r="G579" s="58" t="s">
        <v>8642</v>
      </c>
      <c r="H579" s="57"/>
    </row>
    <row r="580" spans="6:8">
      <c r="F580" s="56" t="s">
        <v>8644</v>
      </c>
      <c r="G580" s="58" t="s">
        <v>8644</v>
      </c>
      <c r="H580" s="57"/>
    </row>
    <row r="581" spans="6:8">
      <c r="F581" s="56" t="s">
        <v>4900</v>
      </c>
      <c r="G581" s="58" t="s">
        <v>4900</v>
      </c>
      <c r="H581" s="57"/>
    </row>
    <row r="582" spans="6:8">
      <c r="F582" s="56" t="s">
        <v>4901</v>
      </c>
      <c r="G582" s="58" t="s">
        <v>4901</v>
      </c>
      <c r="H582" s="57"/>
    </row>
    <row r="583" spans="6:8">
      <c r="F583" s="56" t="s">
        <v>8648</v>
      </c>
      <c r="G583" s="58" t="s">
        <v>8648</v>
      </c>
      <c r="H583" s="57"/>
    </row>
    <row r="584" spans="6:8">
      <c r="F584" s="56" t="s">
        <v>8650</v>
      </c>
      <c r="G584" s="58" t="s">
        <v>8650</v>
      </c>
      <c r="H584" s="57"/>
    </row>
    <row r="585" spans="6:8">
      <c r="F585" s="56" t="s">
        <v>8652</v>
      </c>
      <c r="G585" s="58" t="s">
        <v>8652</v>
      </c>
      <c r="H585" s="57"/>
    </row>
    <row r="586" spans="6:8">
      <c r="F586" s="56" t="s">
        <v>8654</v>
      </c>
      <c r="G586" s="58" t="s">
        <v>8654</v>
      </c>
      <c r="H586" s="57"/>
    </row>
    <row r="587" spans="6:8">
      <c r="F587" s="56" t="s">
        <v>8656</v>
      </c>
      <c r="G587" s="58" t="s">
        <v>8656</v>
      </c>
      <c r="H587" s="57"/>
    </row>
    <row r="588" spans="6:8">
      <c r="F588" s="56" t="s">
        <v>8658</v>
      </c>
      <c r="G588" s="58" t="s">
        <v>8658</v>
      </c>
      <c r="H588" s="57"/>
    </row>
    <row r="589" spans="6:8">
      <c r="F589" s="56" t="s">
        <v>4903</v>
      </c>
      <c r="G589" s="58" t="s">
        <v>4903</v>
      </c>
      <c r="H589" s="57"/>
    </row>
    <row r="590" spans="6:8">
      <c r="F590" s="56" t="s">
        <v>8661</v>
      </c>
      <c r="G590" s="58" t="s">
        <v>8661</v>
      </c>
      <c r="H590" s="57"/>
    </row>
    <row r="591" spans="6:8">
      <c r="F591" s="56" t="s">
        <v>8663</v>
      </c>
      <c r="G591" s="58" t="s">
        <v>8663</v>
      </c>
      <c r="H591" s="57"/>
    </row>
    <row r="592" spans="6:8">
      <c r="F592" s="56" t="s">
        <v>8665</v>
      </c>
      <c r="G592" s="58" t="s">
        <v>8665</v>
      </c>
      <c r="H592" s="57"/>
    </row>
    <row r="593" spans="6:8">
      <c r="F593" s="56" t="s">
        <v>8667</v>
      </c>
      <c r="G593" s="58" t="s">
        <v>8667</v>
      </c>
      <c r="H593" s="57"/>
    </row>
    <row r="594" spans="6:8">
      <c r="F594" s="56" t="s">
        <v>8669</v>
      </c>
      <c r="G594" s="58" t="s">
        <v>8669</v>
      </c>
      <c r="H594" s="57"/>
    </row>
    <row r="595" spans="6:8">
      <c r="F595" s="56" t="s">
        <v>8671</v>
      </c>
      <c r="G595" s="58" t="s">
        <v>8671</v>
      </c>
      <c r="H595" s="57"/>
    </row>
    <row r="596" spans="6:8">
      <c r="F596" s="56" t="s">
        <v>8673</v>
      </c>
      <c r="G596" s="58" t="s">
        <v>8673</v>
      </c>
      <c r="H596" s="57"/>
    </row>
    <row r="597" spans="6:8">
      <c r="F597" s="56" t="s">
        <v>8675</v>
      </c>
      <c r="G597" s="58" t="s">
        <v>8675</v>
      </c>
      <c r="H597" s="57"/>
    </row>
    <row r="598" spans="6:8">
      <c r="F598" s="56" t="s">
        <v>8677</v>
      </c>
      <c r="G598" s="58" t="s">
        <v>8677</v>
      </c>
      <c r="H598" s="57"/>
    </row>
    <row r="599" spans="6:8">
      <c r="F599" s="56" t="s">
        <v>8679</v>
      </c>
      <c r="G599" s="58" t="s">
        <v>8679</v>
      </c>
      <c r="H599" s="57"/>
    </row>
    <row r="600" spans="6:8">
      <c r="F600" s="56" t="s">
        <v>4929</v>
      </c>
      <c r="G600" s="58" t="s">
        <v>4929</v>
      </c>
      <c r="H600" s="57"/>
    </row>
    <row r="601" spans="6:8">
      <c r="F601" s="56" t="s">
        <v>8682</v>
      </c>
      <c r="G601" s="58" t="s">
        <v>8682</v>
      </c>
      <c r="H601" s="57"/>
    </row>
    <row r="602" spans="6:8">
      <c r="F602" s="56" t="s">
        <v>8684</v>
      </c>
      <c r="G602" s="58" t="s">
        <v>8684</v>
      </c>
      <c r="H602" s="57"/>
    </row>
    <row r="603" spans="6:8">
      <c r="F603" s="56" t="s">
        <v>8686</v>
      </c>
      <c r="G603" s="58" t="s">
        <v>8686</v>
      </c>
      <c r="H603" s="57"/>
    </row>
    <row r="604" spans="6:8">
      <c r="F604" s="56" t="s">
        <v>4930</v>
      </c>
      <c r="G604" s="58" t="s">
        <v>4930</v>
      </c>
      <c r="H604" s="57"/>
    </row>
    <row r="605" spans="6:8">
      <c r="F605" s="56" t="s">
        <v>4931</v>
      </c>
      <c r="G605" s="58" t="s">
        <v>4931</v>
      </c>
      <c r="H605" s="57"/>
    </row>
    <row r="606" spans="6:8">
      <c r="F606" s="56" t="s">
        <v>8690</v>
      </c>
      <c r="G606" s="58" t="s">
        <v>8690</v>
      </c>
      <c r="H606" s="57"/>
    </row>
    <row r="607" spans="6:8">
      <c r="F607" s="56" t="s">
        <v>8692</v>
      </c>
      <c r="G607" s="58" t="s">
        <v>8692</v>
      </c>
      <c r="H607" s="57"/>
    </row>
    <row r="608" spans="6:8">
      <c r="F608" s="56" t="s">
        <v>8694</v>
      </c>
      <c r="G608" s="58" t="s">
        <v>8694</v>
      </c>
      <c r="H608" s="57"/>
    </row>
    <row r="609" spans="6:8">
      <c r="F609" s="56" t="s">
        <v>8696</v>
      </c>
      <c r="G609" s="58" t="s">
        <v>8696</v>
      </c>
      <c r="H609" s="57"/>
    </row>
    <row r="610" spans="6:8">
      <c r="F610" s="56" t="s">
        <v>8698</v>
      </c>
      <c r="G610" s="58" t="s">
        <v>8698</v>
      </c>
      <c r="H610" s="57"/>
    </row>
    <row r="611" spans="6:8">
      <c r="F611" s="56" t="s">
        <v>8700</v>
      </c>
      <c r="G611" s="58" t="s">
        <v>8700</v>
      </c>
      <c r="H611" s="57"/>
    </row>
    <row r="612" spans="6:8">
      <c r="F612" s="56" t="s">
        <v>4932</v>
      </c>
      <c r="G612" s="58" t="s">
        <v>4932</v>
      </c>
      <c r="H612" s="57"/>
    </row>
    <row r="613" spans="6:8">
      <c r="F613" s="56" t="s">
        <v>4946</v>
      </c>
      <c r="G613" s="58" t="s">
        <v>4946</v>
      </c>
      <c r="H613" s="57"/>
    </row>
    <row r="614" spans="6:8">
      <c r="F614" s="56" t="s">
        <v>8704</v>
      </c>
      <c r="G614" s="58" t="s">
        <v>8704</v>
      </c>
      <c r="H614" s="57"/>
    </row>
    <row r="615" spans="6:8">
      <c r="F615" s="56" t="s">
        <v>4979</v>
      </c>
      <c r="G615" s="58" t="s">
        <v>4979</v>
      </c>
      <c r="H615" s="57"/>
    </row>
    <row r="616" spans="6:8">
      <c r="F616" s="56" t="s">
        <v>8707</v>
      </c>
      <c r="G616" s="58" t="s">
        <v>8707</v>
      </c>
      <c r="H616" s="57"/>
    </row>
    <row r="617" spans="6:8">
      <c r="F617" s="56" t="s">
        <v>8709</v>
      </c>
      <c r="G617" s="58" t="s">
        <v>8709</v>
      </c>
      <c r="H617" s="57"/>
    </row>
    <row r="618" spans="6:8">
      <c r="F618" s="56" t="s">
        <v>8711</v>
      </c>
      <c r="G618" s="58" t="s">
        <v>8711</v>
      </c>
      <c r="H618" s="57"/>
    </row>
    <row r="619" spans="6:8">
      <c r="F619" s="56" t="s">
        <v>8712</v>
      </c>
      <c r="G619" s="58" t="s">
        <v>8712</v>
      </c>
      <c r="H619" s="57"/>
    </row>
    <row r="620" spans="6:8">
      <c r="F620" s="56" t="s">
        <v>8714</v>
      </c>
      <c r="G620" s="58" t="s">
        <v>8714</v>
      </c>
      <c r="H620" s="57"/>
    </row>
    <row r="621" spans="6:8">
      <c r="F621" s="56" t="s">
        <v>8715</v>
      </c>
      <c r="G621" s="58" t="s">
        <v>8715</v>
      </c>
      <c r="H621" s="57"/>
    </row>
    <row r="622" spans="6:8">
      <c r="F622" s="56" t="s">
        <v>8716</v>
      </c>
      <c r="G622" s="58" t="s">
        <v>8716</v>
      </c>
      <c r="H622" s="57"/>
    </row>
    <row r="623" spans="6:8">
      <c r="F623" s="56" t="s">
        <v>8719</v>
      </c>
      <c r="G623" s="58" t="s">
        <v>8719</v>
      </c>
      <c r="H623" s="57"/>
    </row>
    <row r="624" spans="6:8">
      <c r="F624" s="56" t="s">
        <v>8720</v>
      </c>
      <c r="G624" s="58" t="s">
        <v>8720</v>
      </c>
      <c r="H624" s="57"/>
    </row>
    <row r="625" spans="6:8">
      <c r="F625" s="56" t="s">
        <v>8722</v>
      </c>
      <c r="G625" s="58" t="s">
        <v>8722</v>
      </c>
      <c r="H625" s="57"/>
    </row>
    <row r="626" spans="6:8">
      <c r="F626" s="56" t="s">
        <v>8726</v>
      </c>
      <c r="G626" s="58" t="s">
        <v>8726</v>
      </c>
      <c r="H626" s="57"/>
    </row>
    <row r="627" spans="6:8">
      <c r="F627" s="56" t="s">
        <v>8727</v>
      </c>
      <c r="G627" s="58" t="s">
        <v>8727</v>
      </c>
      <c r="H627" s="57"/>
    </row>
    <row r="628" spans="6:8">
      <c r="F628" s="56" t="s">
        <v>8734</v>
      </c>
      <c r="G628" s="58" t="s">
        <v>8734</v>
      </c>
      <c r="H628" s="57"/>
    </row>
    <row r="629" spans="6:8">
      <c r="F629" s="56" t="s">
        <v>8728</v>
      </c>
      <c r="G629" s="58" t="s">
        <v>8728</v>
      </c>
      <c r="H629" s="57"/>
    </row>
    <row r="630" spans="6:8">
      <c r="F630" s="56" t="s">
        <v>7424</v>
      </c>
      <c r="G630" s="58" t="s">
        <v>7424</v>
      </c>
      <c r="H630" s="57"/>
    </row>
    <row r="631" spans="6:8">
      <c r="F631" s="56" t="s">
        <v>8737</v>
      </c>
      <c r="G631" s="58" t="s">
        <v>8737</v>
      </c>
      <c r="H631" s="57"/>
    </row>
    <row r="632" spans="6:8">
      <c r="F632" s="56" t="s">
        <v>8740</v>
      </c>
      <c r="G632" s="58" t="s">
        <v>8740</v>
      </c>
      <c r="H632" s="57"/>
    </row>
    <row r="633" spans="6:8">
      <c r="F633" s="56" t="s">
        <v>8741</v>
      </c>
      <c r="G633" s="58" t="s">
        <v>8741</v>
      </c>
      <c r="H633" s="57"/>
    </row>
    <row r="634" spans="6:8">
      <c r="F634" s="56" t="s">
        <v>8742</v>
      </c>
      <c r="G634" s="58" t="s">
        <v>8742</v>
      </c>
      <c r="H634" s="57"/>
    </row>
    <row r="635" spans="6:8">
      <c r="F635" s="56" t="s">
        <v>8744</v>
      </c>
      <c r="G635" s="58" t="s">
        <v>8744</v>
      </c>
      <c r="H635" s="57"/>
    </row>
    <row r="636" spans="6:8">
      <c r="F636" s="56" t="s">
        <v>8746</v>
      </c>
      <c r="G636" s="58" t="s">
        <v>8746</v>
      </c>
      <c r="H636" s="57"/>
    </row>
    <row r="637" spans="6:8">
      <c r="F637" s="56" t="s">
        <v>8747</v>
      </c>
      <c r="G637" s="58" t="s">
        <v>8747</v>
      </c>
      <c r="H637" s="57"/>
    </row>
    <row r="638" spans="6:8">
      <c r="F638" s="56" t="s">
        <v>8749</v>
      </c>
      <c r="G638" s="58" t="s">
        <v>8749</v>
      </c>
      <c r="H638" s="57"/>
    </row>
    <row r="639" spans="6:8">
      <c r="F639" s="56" t="s">
        <v>8750</v>
      </c>
      <c r="G639" s="58" t="s">
        <v>8750</v>
      </c>
      <c r="H639" s="57"/>
    </row>
    <row r="640" spans="6:8">
      <c r="F640" s="56" t="s">
        <v>8752</v>
      </c>
      <c r="G640" s="58" t="s">
        <v>8752</v>
      </c>
      <c r="H640" s="57"/>
    </row>
    <row r="641" spans="6:8">
      <c r="F641" s="56" t="s">
        <v>8753</v>
      </c>
      <c r="G641" s="58" t="s">
        <v>8753</v>
      </c>
      <c r="H641" s="57"/>
    </row>
    <row r="642" spans="6:8">
      <c r="F642" s="56" t="s">
        <v>8755</v>
      </c>
      <c r="G642" s="58" t="s">
        <v>8755</v>
      </c>
      <c r="H642" s="57"/>
    </row>
    <row r="643" spans="6:8">
      <c r="F643" s="56" t="s">
        <v>8755</v>
      </c>
      <c r="G643" s="58" t="s">
        <v>8755</v>
      </c>
      <c r="H643" s="57"/>
    </row>
    <row r="644" spans="6:8">
      <c r="F644" s="56" t="s">
        <v>8757</v>
      </c>
      <c r="G644" s="58" t="s">
        <v>8757</v>
      </c>
      <c r="H644" s="57"/>
    </row>
    <row r="645" spans="6:8">
      <c r="F645" s="56" t="s">
        <v>8758</v>
      </c>
      <c r="G645" s="58" t="s">
        <v>8758</v>
      </c>
      <c r="H645" s="57"/>
    </row>
    <row r="646" spans="6:8">
      <c r="F646" s="56" t="s">
        <v>8761</v>
      </c>
      <c r="G646" s="58" t="s">
        <v>8761</v>
      </c>
      <c r="H646" s="57"/>
    </row>
    <row r="647" spans="6:8">
      <c r="F647" s="56" t="s">
        <v>8763</v>
      </c>
      <c r="G647" s="58" t="s">
        <v>8763</v>
      </c>
      <c r="H647" s="57"/>
    </row>
    <row r="648" spans="6:8">
      <c r="F648" s="56" t="s">
        <v>8765</v>
      </c>
      <c r="G648" s="58" t="s">
        <v>8765</v>
      </c>
      <c r="H648" s="57"/>
    </row>
    <row r="649" spans="6:8">
      <c r="F649" s="56" t="s">
        <v>8767</v>
      </c>
      <c r="G649" s="58" t="s">
        <v>8767</v>
      </c>
      <c r="H649" s="57"/>
    </row>
    <row r="650" spans="6:8">
      <c r="F650" s="56" t="s">
        <v>8768</v>
      </c>
      <c r="G650" s="58" t="s">
        <v>8768</v>
      </c>
      <c r="H650" s="57"/>
    </row>
    <row r="651" spans="6:8">
      <c r="F651" s="56" t="s">
        <v>8770</v>
      </c>
      <c r="G651" s="58" t="s">
        <v>8770</v>
      </c>
      <c r="H651" s="57"/>
    </row>
    <row r="652" spans="6:8">
      <c r="F652" s="56" t="s">
        <v>8771</v>
      </c>
      <c r="G652" s="58" t="s">
        <v>8771</v>
      </c>
      <c r="H652" s="57"/>
    </row>
    <row r="653" spans="6:8">
      <c r="F653" s="56" t="s">
        <v>8773</v>
      </c>
      <c r="G653" s="58" t="s">
        <v>8773</v>
      </c>
      <c r="H653" s="57"/>
    </row>
    <row r="654" spans="6:8">
      <c r="F654" s="56" t="s">
        <v>8775</v>
      </c>
      <c r="G654" s="58" t="s">
        <v>8775</v>
      </c>
      <c r="H654" s="57"/>
    </row>
    <row r="655" spans="6:8">
      <c r="F655" s="56" t="s">
        <v>8776</v>
      </c>
      <c r="G655" s="58" t="s">
        <v>8776</v>
      </c>
      <c r="H655" s="57"/>
    </row>
    <row r="656" spans="6:8">
      <c r="F656" s="56" t="s">
        <v>8779</v>
      </c>
      <c r="G656" s="58" t="s">
        <v>8779</v>
      </c>
      <c r="H656" s="57"/>
    </row>
    <row r="657" spans="6:8">
      <c r="F657" s="56" t="s">
        <v>8784</v>
      </c>
      <c r="G657" s="58" t="s">
        <v>8784</v>
      </c>
      <c r="H657" s="57"/>
    </row>
    <row r="658" spans="6:8">
      <c r="F658" s="56" t="s">
        <v>8791</v>
      </c>
      <c r="G658" s="58" t="s">
        <v>8791</v>
      </c>
      <c r="H658" s="57"/>
    </row>
    <row r="659" spans="6:8">
      <c r="F659" s="56" t="s">
        <v>8789</v>
      </c>
      <c r="G659" s="58" t="s">
        <v>8789</v>
      </c>
      <c r="H659" s="57"/>
    </row>
    <row r="660" spans="6:8">
      <c r="F660" s="56" t="s">
        <v>8786</v>
      </c>
      <c r="G660" s="58" t="s">
        <v>8786</v>
      </c>
      <c r="H660" s="57"/>
    </row>
    <row r="661" spans="6:8">
      <c r="F661" s="56" t="s">
        <v>8796</v>
      </c>
      <c r="G661" s="58" t="s">
        <v>8796</v>
      </c>
      <c r="H661" s="57"/>
    </row>
    <row r="662" spans="6:8">
      <c r="F662" s="56" t="s">
        <v>8793</v>
      </c>
      <c r="G662" s="58" t="s">
        <v>8793</v>
      </c>
      <c r="H662" s="57"/>
    </row>
    <row r="663" spans="6:8">
      <c r="F663" s="56" t="s">
        <v>8780</v>
      </c>
      <c r="G663" s="58" t="s">
        <v>8780</v>
      </c>
      <c r="H663" s="57"/>
    </row>
    <row r="664" spans="6:8">
      <c r="F664" s="56" t="s">
        <v>5002</v>
      </c>
      <c r="G664" s="58" t="s">
        <v>5002</v>
      </c>
      <c r="H664" s="57"/>
    </row>
    <row r="665" spans="6:8">
      <c r="F665" s="56" t="s">
        <v>8802</v>
      </c>
      <c r="G665" s="58" t="s">
        <v>8802</v>
      </c>
      <c r="H665" s="57"/>
    </row>
    <row r="666" spans="6:8">
      <c r="F666" s="56" t="s">
        <v>8803</v>
      </c>
      <c r="G666" s="58" t="s">
        <v>8803</v>
      </c>
      <c r="H666" s="57"/>
    </row>
    <row r="667" spans="6:8">
      <c r="F667" s="56" t="s">
        <v>8805</v>
      </c>
      <c r="G667" s="58" t="s">
        <v>8805</v>
      </c>
      <c r="H667" s="57"/>
    </row>
    <row r="668" spans="6:8">
      <c r="F668" s="56" t="s">
        <v>8808</v>
      </c>
      <c r="G668" s="58" t="s">
        <v>8808</v>
      </c>
      <c r="H668" s="57"/>
    </row>
    <row r="669" spans="6:8">
      <c r="F669" s="56" t="s">
        <v>8809</v>
      </c>
      <c r="G669" s="58" t="s">
        <v>8809</v>
      </c>
      <c r="H669" s="57"/>
    </row>
    <row r="670" spans="6:8">
      <c r="F670" s="56" t="s">
        <v>8810</v>
      </c>
      <c r="G670" s="58" t="s">
        <v>8810</v>
      </c>
      <c r="H670" s="57"/>
    </row>
    <row r="671" spans="6:8">
      <c r="F671" s="56" t="s">
        <v>8812</v>
      </c>
      <c r="G671" s="58" t="s">
        <v>8812</v>
      </c>
      <c r="H671" s="57"/>
    </row>
    <row r="672" spans="6:8">
      <c r="F672" s="56" t="s">
        <v>8815</v>
      </c>
      <c r="G672" s="58" t="s">
        <v>8815</v>
      </c>
      <c r="H672" s="57"/>
    </row>
    <row r="673" spans="6:8">
      <c r="F673" s="56" t="s">
        <v>8818</v>
      </c>
      <c r="G673" s="58" t="s">
        <v>8818</v>
      </c>
      <c r="H673" s="57"/>
    </row>
    <row r="674" spans="6:8">
      <c r="F674" s="56" t="s">
        <v>8821</v>
      </c>
      <c r="G674" s="58" t="s">
        <v>8821</v>
      </c>
      <c r="H674" s="57"/>
    </row>
    <row r="675" spans="6:8">
      <c r="F675" s="56" t="s">
        <v>8824</v>
      </c>
      <c r="G675" s="58" t="s">
        <v>8824</v>
      </c>
      <c r="H675" s="57"/>
    </row>
    <row r="676" spans="6:8">
      <c r="F676" s="56" t="s">
        <v>8827</v>
      </c>
      <c r="G676" s="58" t="s">
        <v>8827</v>
      </c>
      <c r="H676" s="57"/>
    </row>
    <row r="677" spans="6:8">
      <c r="F677" s="56" t="s">
        <v>8830</v>
      </c>
      <c r="G677" s="58" t="s">
        <v>8830</v>
      </c>
      <c r="H677" s="57"/>
    </row>
    <row r="678" spans="6:8">
      <c r="F678" s="56" t="s">
        <v>8831</v>
      </c>
      <c r="G678" s="58" t="s">
        <v>8831</v>
      </c>
      <c r="H678" s="57"/>
    </row>
    <row r="679" spans="6:8">
      <c r="F679" s="56" t="s">
        <v>8834</v>
      </c>
      <c r="G679" s="58" t="s">
        <v>8834</v>
      </c>
      <c r="H679" s="57"/>
    </row>
    <row r="680" spans="6:8">
      <c r="F680" s="56" t="s">
        <v>8832</v>
      </c>
      <c r="G680" s="58" t="s">
        <v>8832</v>
      </c>
      <c r="H680" s="57"/>
    </row>
    <row r="681" spans="6:8">
      <c r="F681" s="56" t="s">
        <v>3801</v>
      </c>
      <c r="G681" s="58" t="s">
        <v>3801</v>
      </c>
      <c r="H681" s="57">
        <v>1</v>
      </c>
    </row>
    <row r="682" spans="6:8">
      <c r="F682" s="56" t="s">
        <v>8838</v>
      </c>
      <c r="G682" s="58" t="s">
        <v>8838</v>
      </c>
      <c r="H682" s="57">
        <v>1</v>
      </c>
    </row>
    <row r="683" spans="6:8">
      <c r="F683" s="56" t="s">
        <v>8836</v>
      </c>
      <c r="G683" s="58" t="s">
        <v>8836</v>
      </c>
      <c r="H683" s="57">
        <v>1</v>
      </c>
    </row>
    <row r="684" spans="6:8">
      <c r="F684" s="56" t="s">
        <v>3802</v>
      </c>
      <c r="G684" s="58" t="s">
        <v>3802</v>
      </c>
      <c r="H684" s="57">
        <v>1</v>
      </c>
    </row>
    <row r="685" spans="6:8">
      <c r="F685" s="56" t="s">
        <v>8839</v>
      </c>
      <c r="G685" s="58" t="s">
        <v>8839</v>
      </c>
      <c r="H685" s="57">
        <v>1</v>
      </c>
    </row>
    <row r="686" spans="6:8">
      <c r="F686" s="56" t="s">
        <v>3803</v>
      </c>
      <c r="G686" s="58" t="s">
        <v>3803</v>
      </c>
      <c r="H686" s="57">
        <v>1</v>
      </c>
    </row>
    <row r="687" spans="6:8">
      <c r="F687" s="56" t="s">
        <v>8840</v>
      </c>
      <c r="G687" s="58" t="s">
        <v>8840</v>
      </c>
      <c r="H687" s="57">
        <v>1</v>
      </c>
    </row>
    <row r="688" spans="6:8">
      <c r="F688" s="56" t="s">
        <v>3804</v>
      </c>
      <c r="G688" s="58" t="s">
        <v>3804</v>
      </c>
      <c r="H688" s="57">
        <v>1</v>
      </c>
    </row>
    <row r="689" spans="6:8">
      <c r="F689" s="56" t="s">
        <v>8841</v>
      </c>
      <c r="G689" s="58" t="s">
        <v>8841</v>
      </c>
      <c r="H689" s="57">
        <v>1</v>
      </c>
    </row>
    <row r="690" spans="6:8">
      <c r="F690" s="56" t="s">
        <v>3805</v>
      </c>
      <c r="G690" s="58" t="s">
        <v>3805</v>
      </c>
      <c r="H690" s="57">
        <v>1</v>
      </c>
    </row>
    <row r="691" spans="6:8">
      <c r="F691" s="56" t="s">
        <v>8842</v>
      </c>
      <c r="G691" s="58" t="s">
        <v>8842</v>
      </c>
      <c r="H691" s="57">
        <v>1</v>
      </c>
    </row>
    <row r="692" spans="6:8">
      <c r="F692" s="56" t="s">
        <v>3806</v>
      </c>
      <c r="G692" s="58" t="s">
        <v>3806</v>
      </c>
      <c r="H692" s="57">
        <v>1</v>
      </c>
    </row>
    <row r="693" spans="6:8">
      <c r="F693" s="56" t="s">
        <v>8843</v>
      </c>
      <c r="G693" s="58" t="s">
        <v>8843</v>
      </c>
      <c r="H693" s="57">
        <v>1</v>
      </c>
    </row>
    <row r="694" spans="6:8">
      <c r="F694" s="56" t="s">
        <v>8844</v>
      </c>
      <c r="G694" s="58" t="s">
        <v>8844</v>
      </c>
      <c r="H694" s="57">
        <v>1</v>
      </c>
    </row>
    <row r="695" spans="6:8">
      <c r="F695" s="56" t="s">
        <v>8849</v>
      </c>
      <c r="G695" s="58" t="s">
        <v>8849</v>
      </c>
      <c r="H695" s="57">
        <v>1</v>
      </c>
    </row>
    <row r="696" spans="6:8">
      <c r="F696" s="56" t="s">
        <v>8852</v>
      </c>
      <c r="G696" s="58" t="s">
        <v>8852</v>
      </c>
      <c r="H696" s="57">
        <v>1</v>
      </c>
    </row>
    <row r="697" spans="6:8">
      <c r="F697" s="56" t="s">
        <v>8854</v>
      </c>
      <c r="G697" s="58" t="s">
        <v>8854</v>
      </c>
      <c r="H697" s="57">
        <v>1</v>
      </c>
    </row>
    <row r="698" spans="6:8">
      <c r="F698" s="56" t="s">
        <v>8855</v>
      </c>
      <c r="G698" s="58" t="s">
        <v>8855</v>
      </c>
      <c r="H698" s="57">
        <v>1</v>
      </c>
    </row>
    <row r="699" spans="6:8">
      <c r="F699" s="56" t="s">
        <v>8856</v>
      </c>
      <c r="G699" s="58" t="s">
        <v>8856</v>
      </c>
      <c r="H699" s="57"/>
    </row>
    <row r="700" spans="6:8">
      <c r="F700" s="56" t="s">
        <v>8858</v>
      </c>
      <c r="G700" s="58" t="s">
        <v>8858</v>
      </c>
      <c r="H700" s="57"/>
    </row>
    <row r="701" spans="6:8">
      <c r="F701" s="56" t="s">
        <v>8860</v>
      </c>
      <c r="G701" s="58" t="s">
        <v>8860</v>
      </c>
      <c r="H701" s="57"/>
    </row>
    <row r="702" spans="6:8">
      <c r="F702" s="56" t="s">
        <v>8861</v>
      </c>
      <c r="G702" s="58" t="s">
        <v>8861</v>
      </c>
      <c r="H702" s="57"/>
    </row>
    <row r="703" spans="6:8">
      <c r="F703" s="56" t="s">
        <v>8863</v>
      </c>
      <c r="G703" s="58" t="s">
        <v>8863</v>
      </c>
      <c r="H703" s="57"/>
    </row>
    <row r="704" spans="6:8">
      <c r="F704" s="56" t="s">
        <v>8865</v>
      </c>
      <c r="G704" s="58" t="s">
        <v>8865</v>
      </c>
      <c r="H704" s="57"/>
    </row>
    <row r="705" spans="6:8">
      <c r="F705" s="56" t="s">
        <v>8867</v>
      </c>
      <c r="G705" s="58" t="s">
        <v>8867</v>
      </c>
      <c r="H705" s="57"/>
    </row>
    <row r="706" spans="6:8">
      <c r="F706" s="56" t="s">
        <v>8869</v>
      </c>
      <c r="G706" s="58" t="s">
        <v>8869</v>
      </c>
      <c r="H706" s="57"/>
    </row>
    <row r="707" spans="6:8">
      <c r="F707" s="56" t="s">
        <v>8871</v>
      </c>
      <c r="G707" s="58" t="s">
        <v>8871</v>
      </c>
      <c r="H707" s="57"/>
    </row>
    <row r="708" spans="6:8">
      <c r="F708" s="56" t="s">
        <v>8872</v>
      </c>
      <c r="G708" s="58" t="s">
        <v>8872</v>
      </c>
      <c r="H708" s="57"/>
    </row>
    <row r="709" spans="6:8">
      <c r="F709" s="56" t="s">
        <v>8873</v>
      </c>
      <c r="G709" s="58" t="s">
        <v>8873</v>
      </c>
      <c r="H709" s="57"/>
    </row>
    <row r="710" spans="6:8">
      <c r="F710" s="56" t="s">
        <v>8881</v>
      </c>
      <c r="G710" s="58" t="s">
        <v>8881</v>
      </c>
      <c r="H710" s="57"/>
    </row>
    <row r="711" spans="6:8">
      <c r="F711" s="56" t="s">
        <v>8883</v>
      </c>
      <c r="G711" s="58" t="s">
        <v>8883</v>
      </c>
      <c r="H711" s="57"/>
    </row>
    <row r="712" spans="6:8">
      <c r="F712" s="56" t="s">
        <v>8874</v>
      </c>
      <c r="G712" s="58" t="s">
        <v>8874</v>
      </c>
      <c r="H712" s="57"/>
    </row>
    <row r="713" spans="6:8">
      <c r="F713" s="56" t="s">
        <v>8885</v>
      </c>
      <c r="G713" s="58" t="s">
        <v>8885</v>
      </c>
      <c r="H713" s="57"/>
    </row>
    <row r="714" spans="6:8">
      <c r="F714" s="56" t="s">
        <v>8888</v>
      </c>
      <c r="G714" s="58" t="s">
        <v>8888</v>
      </c>
      <c r="H714" s="57"/>
    </row>
    <row r="715" spans="6:8">
      <c r="F715" s="56" t="s">
        <v>8892</v>
      </c>
      <c r="G715" s="58" t="s">
        <v>8892</v>
      </c>
      <c r="H715" s="57"/>
    </row>
    <row r="716" spans="6:8">
      <c r="F716" s="56" t="s">
        <v>8894</v>
      </c>
      <c r="G716" s="58" t="s">
        <v>8894</v>
      </c>
      <c r="H716" s="57"/>
    </row>
    <row r="717" spans="6:8">
      <c r="F717" s="56" t="s">
        <v>8895</v>
      </c>
      <c r="G717" s="58" t="s">
        <v>8895</v>
      </c>
      <c r="H717" s="57"/>
    </row>
    <row r="718" spans="6:8">
      <c r="F718" s="56" t="s">
        <v>8896</v>
      </c>
      <c r="G718" s="58" t="s">
        <v>8896</v>
      </c>
      <c r="H718" s="57"/>
    </row>
    <row r="719" spans="6:8">
      <c r="F719" s="56" t="s">
        <v>8897</v>
      </c>
      <c r="G719" s="58" t="s">
        <v>8897</v>
      </c>
      <c r="H719" s="57"/>
    </row>
    <row r="720" spans="6:8">
      <c r="F720" s="56" t="s">
        <v>8898</v>
      </c>
      <c r="G720" s="58" t="s">
        <v>8898</v>
      </c>
      <c r="H720" s="57"/>
    </row>
    <row r="721" spans="6:8">
      <c r="F721" s="56" t="s">
        <v>8899</v>
      </c>
      <c r="G721" s="58" t="s">
        <v>8899</v>
      </c>
      <c r="H721" s="57"/>
    </row>
    <row r="722" spans="6:8">
      <c r="F722" s="56" t="s">
        <v>8901</v>
      </c>
      <c r="G722" s="58" t="s">
        <v>8901</v>
      </c>
      <c r="H722" s="57"/>
    </row>
    <row r="723" spans="6:8">
      <c r="F723" s="56" t="s">
        <v>8902</v>
      </c>
      <c r="G723" s="58" t="s">
        <v>8902</v>
      </c>
      <c r="H723" s="57"/>
    </row>
    <row r="724" spans="6:8">
      <c r="F724" s="56" t="s">
        <v>8903</v>
      </c>
      <c r="G724" s="58" t="s">
        <v>8903</v>
      </c>
      <c r="H724" s="57"/>
    </row>
    <row r="725" spans="6:8">
      <c r="F725" s="56" t="s">
        <v>8904</v>
      </c>
      <c r="G725" s="58" t="s">
        <v>8904</v>
      </c>
      <c r="H725" s="57"/>
    </row>
    <row r="726" spans="6:8">
      <c r="F726" s="56" t="s">
        <v>3871</v>
      </c>
      <c r="G726" s="58" t="s">
        <v>3871</v>
      </c>
      <c r="H726" s="57"/>
    </row>
    <row r="727" spans="6:8">
      <c r="F727" s="56" t="s">
        <v>8907</v>
      </c>
      <c r="G727" s="58" t="s">
        <v>8907</v>
      </c>
      <c r="H727" s="57"/>
    </row>
    <row r="728" spans="6:8">
      <c r="F728" s="56" t="s">
        <v>8910</v>
      </c>
      <c r="G728" s="58" t="s">
        <v>8910</v>
      </c>
      <c r="H728" s="57"/>
    </row>
    <row r="729" spans="6:8">
      <c r="F729" s="56" t="s">
        <v>8911</v>
      </c>
      <c r="G729" s="58" t="s">
        <v>8911</v>
      </c>
      <c r="H729" s="57"/>
    </row>
    <row r="730" spans="6:8">
      <c r="F730" s="56" t="s">
        <v>8912</v>
      </c>
      <c r="G730" s="58" t="s">
        <v>8912</v>
      </c>
      <c r="H730" s="57"/>
    </row>
    <row r="731" spans="6:8">
      <c r="F731" s="56" t="s">
        <v>8908</v>
      </c>
      <c r="G731" s="58" t="s">
        <v>8908</v>
      </c>
      <c r="H731" s="57"/>
    </row>
    <row r="732" spans="6:8">
      <c r="F732" s="56" t="s">
        <v>8915</v>
      </c>
      <c r="G732" s="58" t="s">
        <v>8915</v>
      </c>
      <c r="H732" s="57"/>
    </row>
    <row r="733" spans="6:8">
      <c r="F733" s="56" t="s">
        <v>8916</v>
      </c>
      <c r="G733" s="58" t="s">
        <v>8916</v>
      </c>
      <c r="H733" s="57"/>
    </row>
    <row r="734" spans="6:8">
      <c r="F734" s="56" t="s">
        <v>8918</v>
      </c>
      <c r="G734" s="58" t="s">
        <v>8918</v>
      </c>
      <c r="H734" s="57"/>
    </row>
    <row r="735" spans="6:8">
      <c r="F735" s="56" t="s">
        <v>8920</v>
      </c>
      <c r="G735" s="58" t="s">
        <v>8920</v>
      </c>
      <c r="H735" s="57"/>
    </row>
    <row r="736" spans="6:8">
      <c r="F736" s="56" t="s">
        <v>8921</v>
      </c>
      <c r="G736" s="58" t="s">
        <v>8921</v>
      </c>
      <c r="H736" s="57"/>
    </row>
    <row r="737" spans="6:8">
      <c r="F737" s="56" t="s">
        <v>8923</v>
      </c>
      <c r="G737" s="58" t="s">
        <v>8923</v>
      </c>
      <c r="H737" s="57"/>
    </row>
    <row r="738" spans="6:8">
      <c r="F738" s="56" t="s">
        <v>6759</v>
      </c>
      <c r="G738" s="58" t="s">
        <v>6759</v>
      </c>
      <c r="H738" s="57"/>
    </row>
    <row r="739" spans="6:8">
      <c r="F739" s="56" t="s">
        <v>8924</v>
      </c>
      <c r="G739" s="58" t="s">
        <v>8924</v>
      </c>
      <c r="H739" s="57"/>
    </row>
    <row r="740" spans="6:8">
      <c r="F740" s="56" t="s">
        <v>6757</v>
      </c>
      <c r="G740" s="58" t="s">
        <v>6757</v>
      </c>
      <c r="H740" s="57"/>
    </row>
    <row r="741" spans="6:8">
      <c r="F741" s="56" t="s">
        <v>8929</v>
      </c>
      <c r="G741" s="58" t="s">
        <v>8929</v>
      </c>
      <c r="H741" s="57"/>
    </row>
    <row r="742" spans="6:8">
      <c r="F742" s="56" t="s">
        <v>8930</v>
      </c>
      <c r="G742" s="58" t="s">
        <v>8930</v>
      </c>
      <c r="H742" s="57"/>
    </row>
    <row r="743" spans="6:8">
      <c r="F743" s="56" t="s">
        <v>8931</v>
      </c>
      <c r="G743" s="58" t="s">
        <v>8931</v>
      </c>
      <c r="H743" s="57"/>
    </row>
    <row r="744" spans="6:8">
      <c r="F744" s="56" t="s">
        <v>8932</v>
      </c>
      <c r="G744" s="58" t="s">
        <v>8932</v>
      </c>
      <c r="H744" s="57"/>
    </row>
    <row r="745" spans="6:8">
      <c r="F745" s="56" t="s">
        <v>8933</v>
      </c>
      <c r="G745" s="58" t="s">
        <v>8933</v>
      </c>
      <c r="H745" s="57"/>
    </row>
    <row r="746" spans="6:8">
      <c r="F746" s="56" t="s">
        <v>8934</v>
      </c>
      <c r="G746" s="58" t="s">
        <v>8934</v>
      </c>
      <c r="H746" s="57"/>
    </row>
    <row r="747" spans="6:8">
      <c r="F747" s="56" t="s">
        <v>8935</v>
      </c>
      <c r="G747" s="58" t="s">
        <v>8935</v>
      </c>
      <c r="H747" s="57"/>
    </row>
    <row r="748" spans="6:8">
      <c r="F748" s="56" t="s">
        <v>8936</v>
      </c>
      <c r="G748" s="58" t="s">
        <v>8936</v>
      </c>
      <c r="H748" s="57"/>
    </row>
    <row r="749" spans="6:8">
      <c r="F749" s="56" t="s">
        <v>8937</v>
      </c>
      <c r="G749" s="58" t="s">
        <v>8937</v>
      </c>
      <c r="H749" s="57"/>
    </row>
    <row r="750" spans="6:8">
      <c r="F750" s="56" t="s">
        <v>8938</v>
      </c>
      <c r="G750" s="58" t="s">
        <v>8938</v>
      </c>
      <c r="H750" s="57"/>
    </row>
    <row r="751" spans="6:8">
      <c r="F751" s="56" t="s">
        <v>8939</v>
      </c>
      <c r="G751" s="58" t="s">
        <v>8939</v>
      </c>
      <c r="H751" s="57"/>
    </row>
    <row r="752" spans="6:8">
      <c r="F752" s="56" t="s">
        <v>8943</v>
      </c>
      <c r="G752" s="58" t="s">
        <v>8943</v>
      </c>
      <c r="H752" s="57"/>
    </row>
    <row r="753" spans="6:8">
      <c r="F753" s="56" t="s">
        <v>8946</v>
      </c>
      <c r="G753" s="58" t="s">
        <v>8946</v>
      </c>
      <c r="H753" s="57"/>
    </row>
    <row r="754" spans="6:8">
      <c r="F754" s="56" t="s">
        <v>8948</v>
      </c>
      <c r="G754" s="58" t="s">
        <v>8948</v>
      </c>
      <c r="H754" s="57"/>
    </row>
    <row r="755" spans="6:8">
      <c r="F755" s="56" t="s">
        <v>8949</v>
      </c>
      <c r="G755" s="58" t="s">
        <v>8949</v>
      </c>
      <c r="H755" s="57"/>
    </row>
    <row r="756" spans="6:8">
      <c r="F756" s="56" t="s">
        <v>8951</v>
      </c>
      <c r="G756" s="58" t="s">
        <v>8951</v>
      </c>
      <c r="H756" s="57"/>
    </row>
    <row r="757" spans="6:8">
      <c r="F757" s="56" t="s">
        <v>8954</v>
      </c>
      <c r="G757" s="58" t="s">
        <v>8954</v>
      </c>
      <c r="H757" s="57"/>
    </row>
    <row r="758" spans="6:8">
      <c r="F758" s="56" t="s">
        <v>8955</v>
      </c>
      <c r="G758" s="58" t="s">
        <v>8955</v>
      </c>
      <c r="H758" s="57"/>
    </row>
    <row r="759" spans="6:8">
      <c r="F759" s="56" t="s">
        <v>8956</v>
      </c>
      <c r="G759" s="58" t="s">
        <v>8956</v>
      </c>
      <c r="H759" s="57"/>
    </row>
    <row r="760" spans="6:8">
      <c r="F760" s="56" t="s">
        <v>8958</v>
      </c>
      <c r="G760" s="58" t="s">
        <v>8958</v>
      </c>
      <c r="H760" s="57"/>
    </row>
    <row r="761" spans="6:8">
      <c r="F761" s="56" t="s">
        <v>8959</v>
      </c>
      <c r="G761" s="58" t="s">
        <v>8959</v>
      </c>
      <c r="H761" s="57"/>
    </row>
    <row r="762" spans="6:8">
      <c r="F762" s="56" t="s">
        <v>8961</v>
      </c>
      <c r="G762" s="58" t="s">
        <v>8961</v>
      </c>
      <c r="H762" s="57"/>
    </row>
    <row r="763" spans="6:8">
      <c r="F763" s="56" t="s">
        <v>8952</v>
      </c>
      <c r="G763" s="58" t="s">
        <v>8952</v>
      </c>
      <c r="H763" s="57"/>
    </row>
    <row r="764" spans="6:8">
      <c r="F764" s="56" t="s">
        <v>8962</v>
      </c>
      <c r="G764" s="58" t="s">
        <v>8962</v>
      </c>
      <c r="H764" s="57"/>
    </row>
    <row r="765" spans="6:8">
      <c r="F765" s="56" t="s">
        <v>3807</v>
      </c>
      <c r="G765" s="58" t="s">
        <v>3807</v>
      </c>
      <c r="H765" s="57"/>
    </row>
    <row r="766" spans="6:8">
      <c r="F766" s="56" t="s">
        <v>8965</v>
      </c>
      <c r="G766" s="58" t="s">
        <v>8965</v>
      </c>
      <c r="H766" s="57"/>
    </row>
    <row r="767" spans="6:8">
      <c r="F767" s="56" t="s">
        <v>8966</v>
      </c>
      <c r="G767" s="58" t="s">
        <v>8966</v>
      </c>
      <c r="H767" s="57"/>
    </row>
    <row r="768" spans="6:8">
      <c r="F768" s="56" t="s">
        <v>8966</v>
      </c>
      <c r="G768" s="58" t="s">
        <v>8966</v>
      </c>
      <c r="H768" s="57"/>
    </row>
    <row r="769" spans="6:8">
      <c r="F769" s="56" t="s">
        <v>8968</v>
      </c>
      <c r="G769" s="58" t="s">
        <v>8968</v>
      </c>
      <c r="H769" s="57"/>
    </row>
    <row r="770" spans="6:8">
      <c r="F770" s="56" t="s">
        <v>8970</v>
      </c>
      <c r="G770" s="58" t="s">
        <v>8970</v>
      </c>
      <c r="H770" s="57"/>
    </row>
    <row r="771" spans="6:8">
      <c r="F771" s="56" t="s">
        <v>8972</v>
      </c>
      <c r="G771" s="58" t="s">
        <v>8972</v>
      </c>
      <c r="H771" s="57"/>
    </row>
    <row r="772" spans="6:8">
      <c r="F772" s="56" t="s">
        <v>8974</v>
      </c>
      <c r="G772" s="58" t="s">
        <v>8974</v>
      </c>
      <c r="H772" s="57"/>
    </row>
    <row r="773" spans="6:8">
      <c r="F773" s="56" t="s">
        <v>8976</v>
      </c>
      <c r="G773" s="58" t="s">
        <v>8976</v>
      </c>
      <c r="H773" s="57"/>
    </row>
    <row r="774" spans="6:8">
      <c r="F774" s="56" t="s">
        <v>8978</v>
      </c>
      <c r="G774" s="58" t="s">
        <v>8978</v>
      </c>
      <c r="H774" s="57"/>
    </row>
    <row r="775" spans="6:8">
      <c r="F775" s="56" t="s">
        <v>8980</v>
      </c>
      <c r="G775" s="58" t="s">
        <v>8980</v>
      </c>
      <c r="H775" s="57"/>
    </row>
    <row r="776" spans="6:8">
      <c r="F776" s="56" t="s">
        <v>8982</v>
      </c>
      <c r="G776" s="58" t="s">
        <v>8982</v>
      </c>
      <c r="H776" s="57"/>
    </row>
    <row r="777" spans="6:8">
      <c r="F777" s="56" t="s">
        <v>8984</v>
      </c>
      <c r="G777" s="58" t="s">
        <v>8984</v>
      </c>
      <c r="H777" s="57"/>
    </row>
    <row r="778" spans="6:8">
      <c r="F778" s="56" t="s">
        <v>8986</v>
      </c>
      <c r="G778" s="58" t="s">
        <v>8986</v>
      </c>
      <c r="H778" s="57"/>
    </row>
    <row r="779" spans="6:8">
      <c r="F779" s="56" t="s">
        <v>8988</v>
      </c>
      <c r="G779" s="58" t="s">
        <v>8988</v>
      </c>
      <c r="H779" s="57"/>
    </row>
    <row r="780" spans="6:8">
      <c r="F780" s="56" t="s">
        <v>8990</v>
      </c>
      <c r="G780" s="58" t="s">
        <v>8990</v>
      </c>
      <c r="H780" s="57"/>
    </row>
    <row r="781" spans="6:8">
      <c r="F781" s="56" t="s">
        <v>8992</v>
      </c>
      <c r="G781" s="58" t="s">
        <v>8992</v>
      </c>
      <c r="H781" s="57"/>
    </row>
    <row r="782" spans="6:8">
      <c r="F782" s="56" t="s">
        <v>8993</v>
      </c>
      <c r="G782" s="58" t="s">
        <v>8993</v>
      </c>
      <c r="H782" s="57"/>
    </row>
    <row r="783" spans="6:8">
      <c r="F783" s="56" t="s">
        <v>8995</v>
      </c>
      <c r="G783" s="58" t="s">
        <v>8995</v>
      </c>
      <c r="H783" s="57"/>
    </row>
    <row r="784" spans="6:8">
      <c r="F784" s="56" t="s">
        <v>8997</v>
      </c>
      <c r="G784" s="58" t="s">
        <v>8997</v>
      </c>
      <c r="H784" s="57"/>
    </row>
    <row r="785" spans="6:8">
      <c r="F785" s="56" t="s">
        <v>8999</v>
      </c>
      <c r="G785" s="58" t="s">
        <v>8999</v>
      </c>
      <c r="H785" s="57"/>
    </row>
    <row r="786" spans="6:8">
      <c r="F786" s="56" t="s">
        <v>9001</v>
      </c>
      <c r="G786" s="58" t="s">
        <v>9001</v>
      </c>
      <c r="H786" s="57"/>
    </row>
    <row r="787" spans="6:8">
      <c r="F787" s="56" t="s">
        <v>9003</v>
      </c>
      <c r="G787" s="58" t="s">
        <v>9003</v>
      </c>
      <c r="H787" s="57"/>
    </row>
    <row r="788" spans="6:8">
      <c r="F788" s="56" t="s">
        <v>9005</v>
      </c>
      <c r="G788" s="58" t="s">
        <v>9005</v>
      </c>
      <c r="H788" s="57"/>
    </row>
    <row r="789" spans="6:8">
      <c r="F789" s="56" t="s">
        <v>9007</v>
      </c>
      <c r="G789" s="58" t="s">
        <v>9007</v>
      </c>
      <c r="H789" s="57"/>
    </row>
    <row r="790" spans="6:8">
      <c r="F790" s="56" t="s">
        <v>9009</v>
      </c>
      <c r="G790" s="58" t="s">
        <v>9009</v>
      </c>
      <c r="H790" s="57"/>
    </row>
    <row r="791" spans="6:8">
      <c r="F791" s="56" t="s">
        <v>9011</v>
      </c>
      <c r="G791" s="58" t="s">
        <v>9011</v>
      </c>
      <c r="H791" s="57"/>
    </row>
    <row r="792" spans="6:8">
      <c r="F792" s="56" t="s">
        <v>9013</v>
      </c>
      <c r="G792" s="58" t="s">
        <v>9013</v>
      </c>
      <c r="H792" s="57"/>
    </row>
    <row r="793" spans="6:8">
      <c r="F793" s="56" t="s">
        <v>9015</v>
      </c>
      <c r="G793" s="58" t="s">
        <v>9015</v>
      </c>
      <c r="H793" s="57"/>
    </row>
    <row r="794" spans="6:8">
      <c r="F794" s="56" t="s">
        <v>9017</v>
      </c>
      <c r="G794" s="58" t="s">
        <v>9017</v>
      </c>
      <c r="H794" s="57"/>
    </row>
    <row r="795" spans="6:8">
      <c r="F795" s="56" t="s">
        <v>9019</v>
      </c>
      <c r="G795" s="58" t="s">
        <v>9019</v>
      </c>
      <c r="H795" s="57"/>
    </row>
    <row r="796" spans="6:8">
      <c r="F796" s="56" t="s">
        <v>9021</v>
      </c>
      <c r="G796" s="58" t="s">
        <v>9021</v>
      </c>
      <c r="H796" s="57"/>
    </row>
    <row r="797" spans="6:8">
      <c r="F797" s="56" t="s">
        <v>9023</v>
      </c>
      <c r="G797" s="58" t="s">
        <v>9023</v>
      </c>
      <c r="H797" s="57"/>
    </row>
    <row r="798" spans="6:8">
      <c r="F798" s="56" t="s">
        <v>9025</v>
      </c>
      <c r="G798" s="58" t="s">
        <v>9025</v>
      </c>
      <c r="H798" s="57"/>
    </row>
    <row r="799" spans="6:8">
      <c r="F799" s="56" t="s">
        <v>9026</v>
      </c>
      <c r="G799" s="58" t="s">
        <v>9026</v>
      </c>
      <c r="H799" s="57"/>
    </row>
    <row r="800" spans="6:8">
      <c r="F800" s="56" t="s">
        <v>9027</v>
      </c>
      <c r="G800" s="58" t="s">
        <v>9027</v>
      </c>
      <c r="H800" s="57"/>
    </row>
    <row r="801" spans="6:8">
      <c r="F801" s="56" t="s">
        <v>9028</v>
      </c>
      <c r="G801" s="58" t="s">
        <v>9028</v>
      </c>
      <c r="H801" s="57"/>
    </row>
    <row r="802" spans="6:8">
      <c r="F802" s="56" t="s">
        <v>9029</v>
      </c>
      <c r="G802" s="58" t="s">
        <v>9029</v>
      </c>
      <c r="H802" s="57"/>
    </row>
    <row r="803" spans="6:8">
      <c r="F803" s="56" t="s">
        <v>9030</v>
      </c>
      <c r="G803" s="58" t="s">
        <v>9030</v>
      </c>
      <c r="H803" s="57"/>
    </row>
    <row r="804" spans="6:8">
      <c r="F804" s="56" t="s">
        <v>5223</v>
      </c>
      <c r="G804" s="58" t="s">
        <v>5223</v>
      </c>
      <c r="H804" s="57"/>
    </row>
    <row r="805" spans="6:8">
      <c r="F805" s="56" t="s">
        <v>5224</v>
      </c>
      <c r="G805" s="58" t="s">
        <v>5224</v>
      </c>
      <c r="H805" s="57"/>
    </row>
    <row r="806" spans="6:8">
      <c r="F806" s="56" t="s">
        <v>5225</v>
      </c>
      <c r="G806" s="58" t="s">
        <v>5225</v>
      </c>
      <c r="H806" s="57"/>
    </row>
    <row r="807" spans="6:8">
      <c r="F807" s="56" t="s">
        <v>5226</v>
      </c>
      <c r="G807" s="58" t="s">
        <v>5226</v>
      </c>
      <c r="H807" s="57"/>
    </row>
    <row r="808" spans="6:8">
      <c r="F808" s="56" t="s">
        <v>5227</v>
      </c>
      <c r="G808" s="58" t="s">
        <v>5227</v>
      </c>
      <c r="H808" s="57"/>
    </row>
    <row r="809" spans="6:8">
      <c r="F809" s="56" t="s">
        <v>5228</v>
      </c>
      <c r="G809" s="58" t="s">
        <v>5228</v>
      </c>
      <c r="H809" s="57"/>
    </row>
    <row r="810" spans="6:8">
      <c r="F810" s="56" t="s">
        <v>9038</v>
      </c>
      <c r="G810" s="58" t="s">
        <v>9038</v>
      </c>
      <c r="H810" s="57"/>
    </row>
    <row r="811" spans="6:8">
      <c r="F811" s="56" t="s">
        <v>9040</v>
      </c>
      <c r="G811" s="58" t="s">
        <v>9040</v>
      </c>
      <c r="H811" s="57"/>
    </row>
    <row r="812" spans="6:8">
      <c r="F812" s="56" t="s">
        <v>9044</v>
      </c>
      <c r="G812" s="58" t="s">
        <v>9044</v>
      </c>
      <c r="H812" s="57"/>
    </row>
    <row r="813" spans="6:8">
      <c r="F813" s="56" t="s">
        <v>9045</v>
      </c>
      <c r="G813" s="58" t="s">
        <v>9045</v>
      </c>
      <c r="H813" s="57"/>
    </row>
    <row r="814" spans="6:8">
      <c r="F814" s="56" t="s">
        <v>9048</v>
      </c>
      <c r="G814" s="58" t="s">
        <v>9048</v>
      </c>
      <c r="H814" s="57"/>
    </row>
    <row r="815" spans="6:8">
      <c r="F815" s="56" t="s">
        <v>9049</v>
      </c>
      <c r="G815" s="58" t="s">
        <v>9049</v>
      </c>
      <c r="H815" s="57"/>
    </row>
    <row r="816" spans="6:8">
      <c r="F816" s="56" t="s">
        <v>9052</v>
      </c>
      <c r="G816" s="58" t="s">
        <v>9052</v>
      </c>
      <c r="H816" s="57"/>
    </row>
    <row r="817" spans="6:8">
      <c r="F817" s="56" t="s">
        <v>9053</v>
      </c>
      <c r="G817" s="58" t="s">
        <v>9053</v>
      </c>
      <c r="H817" s="57"/>
    </row>
    <row r="818" spans="6:8">
      <c r="F818" s="56" t="s">
        <v>9056</v>
      </c>
      <c r="G818" s="58" t="s">
        <v>9056</v>
      </c>
      <c r="H818" s="57"/>
    </row>
    <row r="819" spans="6:8">
      <c r="F819" s="56" t="s">
        <v>9057</v>
      </c>
      <c r="G819" s="58" t="s">
        <v>9057</v>
      </c>
      <c r="H819" s="57"/>
    </row>
    <row r="820" spans="6:8">
      <c r="F820" s="56" t="s">
        <v>9058</v>
      </c>
      <c r="G820" s="58" t="s">
        <v>9058</v>
      </c>
      <c r="H820" s="57"/>
    </row>
    <row r="821" spans="6:8">
      <c r="F821" s="56" t="s">
        <v>9059</v>
      </c>
      <c r="G821" s="58" t="s">
        <v>9059</v>
      </c>
      <c r="H821" s="57"/>
    </row>
    <row r="822" spans="6:8">
      <c r="F822" s="56" t="s">
        <v>9061</v>
      </c>
      <c r="G822" s="58" t="s">
        <v>9061</v>
      </c>
      <c r="H822" s="57"/>
    </row>
    <row r="823" spans="6:8">
      <c r="F823" s="56" t="s">
        <v>9063</v>
      </c>
      <c r="G823" s="58" t="s">
        <v>9063</v>
      </c>
      <c r="H823" s="57"/>
    </row>
    <row r="824" spans="6:8">
      <c r="F824" s="56" t="s">
        <v>9065</v>
      </c>
      <c r="G824" s="58" t="s">
        <v>9065</v>
      </c>
      <c r="H824" s="57"/>
    </row>
    <row r="825" spans="6:8">
      <c r="F825" s="56" t="s">
        <v>9069</v>
      </c>
      <c r="G825" s="58" t="s">
        <v>9069</v>
      </c>
      <c r="H825" s="57"/>
    </row>
    <row r="826" spans="6:8">
      <c r="F826" s="56" t="s">
        <v>9070</v>
      </c>
      <c r="G826" s="58" t="s">
        <v>9070</v>
      </c>
      <c r="H826" s="57"/>
    </row>
    <row r="827" spans="6:8">
      <c r="F827" s="56" t="s">
        <v>9074</v>
      </c>
      <c r="G827" s="58" t="s">
        <v>9074</v>
      </c>
      <c r="H827" s="57"/>
    </row>
    <row r="828" spans="6:8">
      <c r="F828" s="56" t="s">
        <v>9075</v>
      </c>
      <c r="G828" s="58" t="s">
        <v>9075</v>
      </c>
      <c r="H828" s="57"/>
    </row>
    <row r="829" spans="6:8">
      <c r="F829" s="56" t="s">
        <v>9079</v>
      </c>
      <c r="G829" s="58" t="s">
        <v>9079</v>
      </c>
      <c r="H829" s="57"/>
    </row>
    <row r="830" spans="6:8">
      <c r="F830" s="56" t="s">
        <v>9076</v>
      </c>
      <c r="G830" s="58" t="s">
        <v>9076</v>
      </c>
      <c r="H830" s="57"/>
    </row>
    <row r="831" spans="6:8">
      <c r="F831" s="56" t="s">
        <v>9080</v>
      </c>
      <c r="G831" s="58" t="s">
        <v>9080</v>
      </c>
      <c r="H831" s="57"/>
    </row>
    <row r="832" spans="6:8">
      <c r="F832" s="56" t="s">
        <v>9082</v>
      </c>
      <c r="G832" s="58" t="s">
        <v>9082</v>
      </c>
      <c r="H832" s="57"/>
    </row>
    <row r="833" spans="6:8">
      <c r="F833" s="56" t="s">
        <v>9083</v>
      </c>
      <c r="G833" s="58" t="s">
        <v>9083</v>
      </c>
      <c r="H833" s="57"/>
    </row>
    <row r="834" spans="6:8">
      <c r="F834" s="56" t="s">
        <v>9085</v>
      </c>
      <c r="G834" s="58" t="s">
        <v>9085</v>
      </c>
      <c r="H834" s="57"/>
    </row>
    <row r="835" spans="6:8">
      <c r="F835" s="56" t="s">
        <v>9090</v>
      </c>
      <c r="G835" s="58" t="s">
        <v>9090</v>
      </c>
      <c r="H835" s="57"/>
    </row>
    <row r="836" spans="6:8">
      <c r="F836" s="56" t="s">
        <v>9094</v>
      </c>
      <c r="G836" s="58" t="s">
        <v>9094</v>
      </c>
      <c r="H836" s="57"/>
    </row>
    <row r="837" spans="6:8">
      <c r="F837" s="56" t="s">
        <v>9096</v>
      </c>
      <c r="G837" s="58" t="s">
        <v>9096</v>
      </c>
      <c r="H837" s="57"/>
    </row>
    <row r="838" spans="6:8">
      <c r="F838" s="56" t="s">
        <v>9098</v>
      </c>
      <c r="G838" s="58" t="s">
        <v>9098</v>
      </c>
      <c r="H838" s="57"/>
    </row>
    <row r="839" spans="6:8">
      <c r="F839" s="56" t="s">
        <v>9097</v>
      </c>
      <c r="G839" s="58" t="s">
        <v>9097</v>
      </c>
      <c r="H839" s="57"/>
    </row>
    <row r="840" spans="6:8">
      <c r="F840" s="56" t="s">
        <v>9088</v>
      </c>
      <c r="G840" s="58" t="s">
        <v>9088</v>
      </c>
      <c r="H840" s="57"/>
    </row>
    <row r="841" spans="6:8">
      <c r="F841" s="56" t="s">
        <v>9100</v>
      </c>
      <c r="G841" s="58" t="s">
        <v>9100</v>
      </c>
      <c r="H841" s="57"/>
    </row>
    <row r="842" spans="6:8">
      <c r="F842" s="56" t="s">
        <v>9102</v>
      </c>
      <c r="G842" s="58" t="s">
        <v>9102</v>
      </c>
      <c r="H842" s="57"/>
    </row>
    <row r="843" spans="6:8">
      <c r="F843" s="56" t="s">
        <v>9104</v>
      </c>
      <c r="G843" s="58" t="s">
        <v>9104</v>
      </c>
      <c r="H843" s="57"/>
    </row>
    <row r="844" spans="6:8">
      <c r="F844" s="56" t="s">
        <v>9105</v>
      </c>
      <c r="G844" s="58" t="s">
        <v>9105</v>
      </c>
      <c r="H844" s="57"/>
    </row>
    <row r="845" spans="6:8">
      <c r="F845" s="56" t="s">
        <v>9107</v>
      </c>
      <c r="G845" s="58" t="s">
        <v>9107</v>
      </c>
      <c r="H845" s="57"/>
    </row>
    <row r="846" spans="6:8">
      <c r="F846" s="56" t="s">
        <v>9109</v>
      </c>
      <c r="G846" s="58" t="s">
        <v>9109</v>
      </c>
      <c r="H846" s="57"/>
    </row>
    <row r="847" spans="6:8">
      <c r="F847" s="56" t="s">
        <v>9113</v>
      </c>
      <c r="G847" s="58" t="s">
        <v>9113</v>
      </c>
      <c r="H847" s="57"/>
    </row>
    <row r="848" spans="6:8">
      <c r="F848" s="56" t="s">
        <v>9114</v>
      </c>
      <c r="G848" s="58" t="s">
        <v>9114</v>
      </c>
      <c r="H848" s="57"/>
    </row>
    <row r="849" spans="6:8">
      <c r="F849" s="56" t="s">
        <v>9116</v>
      </c>
      <c r="G849" s="58" t="s">
        <v>9116</v>
      </c>
      <c r="H849" s="57"/>
    </row>
    <row r="850" spans="6:8">
      <c r="F850" s="56" t="s">
        <v>9117</v>
      </c>
      <c r="G850" s="58" t="s">
        <v>9117</v>
      </c>
      <c r="H850" s="57"/>
    </row>
    <row r="851" spans="6:8">
      <c r="F851" s="56" t="s">
        <v>9124</v>
      </c>
      <c r="G851" s="58" t="s">
        <v>9124</v>
      </c>
      <c r="H851" s="57"/>
    </row>
    <row r="852" spans="6:8">
      <c r="F852" s="56" t="s">
        <v>9126</v>
      </c>
      <c r="G852" s="58" t="s">
        <v>9126</v>
      </c>
      <c r="H852" s="57"/>
    </row>
    <row r="853" spans="6:8">
      <c r="F853" s="56" t="s">
        <v>9128</v>
      </c>
      <c r="G853" s="58" t="s">
        <v>9128</v>
      </c>
      <c r="H853" s="57"/>
    </row>
    <row r="854" spans="6:8">
      <c r="F854" s="56" t="s">
        <v>9129</v>
      </c>
      <c r="G854" s="58" t="s">
        <v>9129</v>
      </c>
      <c r="H854" s="57"/>
    </row>
    <row r="855" spans="6:8">
      <c r="F855" s="56" t="s">
        <v>9130</v>
      </c>
      <c r="G855" s="58" t="s">
        <v>9130</v>
      </c>
      <c r="H855" s="57"/>
    </row>
    <row r="856" spans="6:8">
      <c r="F856" s="56" t="s">
        <v>9132</v>
      </c>
      <c r="G856" s="58" t="s">
        <v>9132</v>
      </c>
      <c r="H856" s="57"/>
    </row>
    <row r="857" spans="6:8">
      <c r="F857" s="56" t="s">
        <v>9135</v>
      </c>
      <c r="G857" s="58" t="s">
        <v>9135</v>
      </c>
      <c r="H857" s="57"/>
    </row>
    <row r="858" spans="6:8">
      <c r="F858" s="56" t="s">
        <v>9138</v>
      </c>
      <c r="G858" s="58" t="s">
        <v>9138</v>
      </c>
      <c r="H858" s="57"/>
    </row>
    <row r="859" spans="6:8">
      <c r="F859" s="56" t="s">
        <v>9139</v>
      </c>
      <c r="G859" s="58" t="s">
        <v>9139</v>
      </c>
      <c r="H859" s="57"/>
    </row>
    <row r="860" spans="6:8">
      <c r="F860" s="56" t="s">
        <v>9140</v>
      </c>
      <c r="G860" s="58" t="s">
        <v>9140</v>
      </c>
      <c r="H860" s="57"/>
    </row>
    <row r="861" spans="6:8">
      <c r="F861" s="56" t="s">
        <v>9142</v>
      </c>
      <c r="G861" s="58" t="s">
        <v>9142</v>
      </c>
      <c r="H861" s="57"/>
    </row>
    <row r="862" spans="6:8">
      <c r="F862" s="56" t="s">
        <v>9143</v>
      </c>
      <c r="G862" s="58" t="s">
        <v>9143</v>
      </c>
      <c r="H862" s="57"/>
    </row>
    <row r="863" spans="6:8">
      <c r="F863" s="56" t="s">
        <v>9144</v>
      </c>
      <c r="G863" s="58" t="s">
        <v>9144</v>
      </c>
      <c r="H863" s="57"/>
    </row>
    <row r="864" spans="6:8">
      <c r="F864" s="56" t="s">
        <v>9146</v>
      </c>
      <c r="G864" s="58" t="s">
        <v>9146</v>
      </c>
      <c r="H864" s="57"/>
    </row>
    <row r="865" spans="6:8">
      <c r="F865" s="56" t="s">
        <v>9148</v>
      </c>
      <c r="G865" s="58" t="s">
        <v>9148</v>
      </c>
      <c r="H865" s="57"/>
    </row>
    <row r="866" spans="6:8">
      <c r="F866" s="56" t="s">
        <v>9149</v>
      </c>
      <c r="G866" s="58" t="s">
        <v>9149</v>
      </c>
      <c r="H866" s="57"/>
    </row>
    <row r="867" spans="6:8">
      <c r="F867" s="56" t="s">
        <v>9151</v>
      </c>
      <c r="G867" s="58" t="s">
        <v>9151</v>
      </c>
      <c r="H867" s="57"/>
    </row>
    <row r="868" spans="6:8">
      <c r="F868" s="56" t="s">
        <v>9152</v>
      </c>
      <c r="G868" s="58" t="s">
        <v>9152</v>
      </c>
      <c r="H868" s="57"/>
    </row>
    <row r="869" spans="6:8">
      <c r="F869" s="56" t="s">
        <v>9153</v>
      </c>
      <c r="G869" s="58" t="s">
        <v>9153</v>
      </c>
      <c r="H869" s="57"/>
    </row>
    <row r="870" spans="6:8">
      <c r="F870" s="56" t="s">
        <v>9154</v>
      </c>
      <c r="G870" s="58" t="s">
        <v>9154</v>
      </c>
      <c r="H870" s="57"/>
    </row>
    <row r="871" spans="6:8">
      <c r="F871" s="56" t="s">
        <v>9156</v>
      </c>
      <c r="G871" s="58" t="s">
        <v>9156</v>
      </c>
      <c r="H871" s="57"/>
    </row>
    <row r="872" spans="6:8">
      <c r="F872" s="56" t="s">
        <v>9159</v>
      </c>
      <c r="G872" s="58" t="s">
        <v>9159</v>
      </c>
      <c r="H872" s="57"/>
    </row>
    <row r="873" spans="6:8">
      <c r="F873" s="56" t="s">
        <v>9160</v>
      </c>
      <c r="G873" s="58" t="s">
        <v>9160</v>
      </c>
      <c r="H873" s="57"/>
    </row>
    <row r="874" spans="6:8">
      <c r="F874" s="56" t="s">
        <v>9161</v>
      </c>
      <c r="G874" s="58" t="s">
        <v>9161</v>
      </c>
      <c r="H874" s="57"/>
    </row>
    <row r="875" spans="6:8">
      <c r="F875" s="56" t="s">
        <v>9162</v>
      </c>
      <c r="G875" s="58" t="s">
        <v>9162</v>
      </c>
      <c r="H875" s="57"/>
    </row>
    <row r="876" spans="6:8">
      <c r="F876" s="56" t="s">
        <v>9164</v>
      </c>
      <c r="G876" s="58" t="s">
        <v>9164</v>
      </c>
      <c r="H876" s="57"/>
    </row>
    <row r="877" spans="6:8">
      <c r="F877" s="56" t="s">
        <v>9166</v>
      </c>
      <c r="G877" s="58" t="s">
        <v>9166</v>
      </c>
      <c r="H877" s="57"/>
    </row>
    <row r="878" spans="6:8">
      <c r="F878" s="56" t="s">
        <v>9169</v>
      </c>
      <c r="G878" s="58" t="s">
        <v>9169</v>
      </c>
      <c r="H878" s="57"/>
    </row>
    <row r="879" spans="6:8">
      <c r="F879" s="56" t="s">
        <v>9167</v>
      </c>
      <c r="G879" s="58" t="s">
        <v>9167</v>
      </c>
      <c r="H879" s="57"/>
    </row>
    <row r="880" spans="6:8">
      <c r="F880" s="56" t="s">
        <v>9170</v>
      </c>
      <c r="G880" s="58" t="s">
        <v>9170</v>
      </c>
      <c r="H880" s="57"/>
    </row>
    <row r="881" spans="6:8">
      <c r="F881" s="56" t="s">
        <v>9171</v>
      </c>
      <c r="G881" s="58" t="s">
        <v>9171</v>
      </c>
      <c r="H881" s="57"/>
    </row>
    <row r="882" spans="6:8">
      <c r="F882" s="56" t="s">
        <v>9172</v>
      </c>
      <c r="G882" s="58" t="s">
        <v>9172</v>
      </c>
      <c r="H882" s="57"/>
    </row>
    <row r="883" spans="6:8">
      <c r="F883" s="56" t="s">
        <v>9173</v>
      </c>
      <c r="G883" s="58" t="s">
        <v>9173</v>
      </c>
      <c r="H883" s="57"/>
    </row>
    <row r="884" spans="6:8">
      <c r="F884" s="56" t="s">
        <v>9175</v>
      </c>
      <c r="G884" s="58" t="s">
        <v>9175</v>
      </c>
      <c r="H884" s="57"/>
    </row>
    <row r="885" spans="6:8">
      <c r="F885" s="56" t="s">
        <v>4447</v>
      </c>
      <c r="G885" s="58" t="s">
        <v>4447</v>
      </c>
      <c r="H885" s="57"/>
    </row>
    <row r="886" spans="6:8">
      <c r="F886" s="56" t="s">
        <v>5266</v>
      </c>
      <c r="G886" s="58" t="s">
        <v>5266</v>
      </c>
      <c r="H886" s="57"/>
    </row>
    <row r="887" spans="6:8">
      <c r="F887" s="56" t="s">
        <v>9178</v>
      </c>
      <c r="G887" s="58" t="s">
        <v>9178</v>
      </c>
      <c r="H887" s="57"/>
    </row>
    <row r="888" spans="6:8">
      <c r="F888" s="56" t="s">
        <v>9180</v>
      </c>
      <c r="G888" s="58" t="s">
        <v>9180</v>
      </c>
      <c r="H888" s="57"/>
    </row>
    <row r="889" spans="6:8">
      <c r="F889" s="56" t="s">
        <v>9182</v>
      </c>
      <c r="G889" s="58" t="s">
        <v>9182</v>
      </c>
      <c r="H889" s="57"/>
    </row>
    <row r="890" spans="6:8">
      <c r="F890" s="56" t="s">
        <v>5267</v>
      </c>
      <c r="G890" s="58" t="s">
        <v>5267</v>
      </c>
      <c r="H890" s="57"/>
    </row>
    <row r="891" spans="6:8">
      <c r="F891" s="56" t="s">
        <v>5268</v>
      </c>
      <c r="G891" s="58" t="s">
        <v>5268</v>
      </c>
      <c r="H891" s="57"/>
    </row>
    <row r="892" spans="6:8">
      <c r="F892" s="56" t="s">
        <v>5269</v>
      </c>
      <c r="G892" s="58" t="s">
        <v>5269</v>
      </c>
      <c r="H892" s="57"/>
    </row>
    <row r="893" spans="6:8">
      <c r="F893" s="56" t="s">
        <v>5270</v>
      </c>
      <c r="G893" s="58" t="s">
        <v>5270</v>
      </c>
      <c r="H893" s="57"/>
    </row>
    <row r="894" spans="6:8">
      <c r="F894" s="56" t="s">
        <v>9188</v>
      </c>
      <c r="G894" s="58" t="s">
        <v>9188</v>
      </c>
      <c r="H894" s="57"/>
    </row>
    <row r="895" spans="6:8">
      <c r="F895" s="56" t="s">
        <v>9190</v>
      </c>
      <c r="G895" s="58" t="s">
        <v>9190</v>
      </c>
      <c r="H895" s="57"/>
    </row>
    <row r="896" spans="6:8">
      <c r="F896" s="56" t="s">
        <v>9192</v>
      </c>
      <c r="G896" s="58" t="s">
        <v>9192</v>
      </c>
      <c r="H896" s="57"/>
    </row>
    <row r="897" spans="6:8">
      <c r="F897" s="56" t="s">
        <v>9194</v>
      </c>
      <c r="G897" s="58" t="s">
        <v>9194</v>
      </c>
      <c r="H897" s="57"/>
    </row>
    <row r="898" spans="6:8">
      <c r="F898" s="56" t="s">
        <v>9196</v>
      </c>
      <c r="G898" s="58" t="s">
        <v>9196</v>
      </c>
      <c r="H898" s="57"/>
    </row>
    <row r="899" spans="6:8">
      <c r="F899" s="56" t="s">
        <v>9198</v>
      </c>
      <c r="G899" s="58" t="s">
        <v>9198</v>
      </c>
      <c r="H899" s="57"/>
    </row>
    <row r="900" spans="6:8">
      <c r="F900" s="56" t="s">
        <v>9200</v>
      </c>
      <c r="G900" s="58" t="s">
        <v>9200</v>
      </c>
      <c r="H900" s="57"/>
    </row>
    <row r="901" spans="6:8">
      <c r="F901" s="56" t="s">
        <v>9202</v>
      </c>
      <c r="G901" s="58" t="s">
        <v>9202</v>
      </c>
      <c r="H901" s="57"/>
    </row>
    <row r="902" spans="6:8">
      <c r="F902" s="56" t="s">
        <v>9204</v>
      </c>
      <c r="G902" s="58" t="s">
        <v>9204</v>
      </c>
      <c r="H902" s="57"/>
    </row>
    <row r="903" spans="6:8">
      <c r="F903" s="56" t="s">
        <v>9206</v>
      </c>
      <c r="G903" s="58" t="s">
        <v>9206</v>
      </c>
      <c r="H903" s="57"/>
    </row>
    <row r="904" spans="6:8">
      <c r="F904" s="56" t="s">
        <v>4374</v>
      </c>
      <c r="G904" s="58" t="s">
        <v>4374</v>
      </c>
      <c r="H904" s="57"/>
    </row>
    <row r="905" spans="6:8">
      <c r="F905" s="56" t="s">
        <v>9209</v>
      </c>
      <c r="G905" s="58" t="s">
        <v>9209</v>
      </c>
      <c r="H905" s="57"/>
    </row>
    <row r="906" spans="6:8">
      <c r="F906" s="56" t="s">
        <v>9212</v>
      </c>
      <c r="G906" s="58" t="s">
        <v>9212</v>
      </c>
      <c r="H906" s="57"/>
    </row>
    <row r="907" spans="6:8">
      <c r="F907" s="56" t="s">
        <v>9213</v>
      </c>
      <c r="G907" s="58" t="s">
        <v>9213</v>
      </c>
      <c r="H907" s="57"/>
    </row>
    <row r="908" spans="6:8">
      <c r="F908" s="56" t="s">
        <v>9214</v>
      </c>
      <c r="G908" s="58" t="s">
        <v>9214</v>
      </c>
      <c r="H908" s="57"/>
    </row>
    <row r="909" spans="6:8">
      <c r="F909" s="56" t="s">
        <v>9215</v>
      </c>
      <c r="G909" s="58" t="s">
        <v>9215</v>
      </c>
      <c r="H909" s="57"/>
    </row>
    <row r="910" spans="6:8">
      <c r="F910" s="56" t="s">
        <v>9216</v>
      </c>
      <c r="G910" s="58" t="s">
        <v>9216</v>
      </c>
      <c r="H910" s="57"/>
    </row>
    <row r="911" spans="6:8">
      <c r="F911" s="56" t="s">
        <v>9217</v>
      </c>
      <c r="G911" s="58" t="s">
        <v>9217</v>
      </c>
      <c r="H911" s="57"/>
    </row>
    <row r="912" spans="6:8">
      <c r="F912" s="56" t="s">
        <v>9218</v>
      </c>
      <c r="G912" s="58" t="s">
        <v>9218</v>
      </c>
      <c r="H912" s="57"/>
    </row>
    <row r="913" spans="6:8">
      <c r="F913" s="56" t="s">
        <v>9219</v>
      </c>
      <c r="G913" s="58" t="s">
        <v>9219</v>
      </c>
      <c r="H913" s="57"/>
    </row>
    <row r="914" spans="6:8">
      <c r="F914" s="56" t="s">
        <v>9221</v>
      </c>
      <c r="G914" s="58" t="s">
        <v>9221</v>
      </c>
      <c r="H914" s="57"/>
    </row>
    <row r="915" spans="6:8">
      <c r="F915" s="56" t="s">
        <v>9222</v>
      </c>
      <c r="G915" s="58" t="s">
        <v>9222</v>
      </c>
      <c r="H915" s="57"/>
    </row>
    <row r="916" spans="6:8">
      <c r="F916" s="56" t="s">
        <v>9223</v>
      </c>
      <c r="G916" s="58" t="s">
        <v>9223</v>
      </c>
      <c r="H916" s="57"/>
    </row>
    <row r="917" spans="6:8">
      <c r="F917" s="56" t="s">
        <v>9224</v>
      </c>
      <c r="G917" s="58" t="s">
        <v>9224</v>
      </c>
      <c r="H917" s="57"/>
    </row>
    <row r="918" spans="6:8">
      <c r="F918" s="56" t="s">
        <v>9225</v>
      </c>
      <c r="G918" s="58" t="s">
        <v>9225</v>
      </c>
      <c r="H918" s="57"/>
    </row>
    <row r="919" spans="6:8">
      <c r="F919" s="56" t="s">
        <v>9226</v>
      </c>
      <c r="G919" s="58" t="s">
        <v>9226</v>
      </c>
      <c r="H919" s="57"/>
    </row>
    <row r="920" spans="6:8">
      <c r="F920" s="56" t="s">
        <v>9227</v>
      </c>
      <c r="G920" s="58" t="s">
        <v>9227</v>
      </c>
      <c r="H920" s="57"/>
    </row>
    <row r="921" spans="6:8">
      <c r="F921" s="56" t="s">
        <v>9228</v>
      </c>
      <c r="G921" s="58" t="s">
        <v>9228</v>
      </c>
      <c r="H921" s="57"/>
    </row>
    <row r="922" spans="6:8">
      <c r="F922" s="56" t="s">
        <v>9230</v>
      </c>
      <c r="G922" s="58" t="s">
        <v>9230</v>
      </c>
      <c r="H922" s="57"/>
    </row>
    <row r="923" spans="6:8">
      <c r="F923" s="56" t="s">
        <v>4448</v>
      </c>
      <c r="G923" s="58" t="s">
        <v>4448</v>
      </c>
      <c r="H923" s="57"/>
    </row>
    <row r="924" spans="6:8">
      <c r="F924" s="56" t="s">
        <v>9233</v>
      </c>
      <c r="G924" s="58" t="s">
        <v>9233</v>
      </c>
      <c r="H924" s="57"/>
    </row>
    <row r="925" spans="6:8">
      <c r="F925" s="56" t="s">
        <v>9235</v>
      </c>
      <c r="G925" s="58" t="s">
        <v>9235</v>
      </c>
      <c r="H925" s="57"/>
    </row>
    <row r="926" spans="6:8">
      <c r="F926" s="56" t="s">
        <v>9237</v>
      </c>
      <c r="G926" s="58" t="s">
        <v>9237</v>
      </c>
      <c r="H926" s="57"/>
    </row>
    <row r="927" spans="6:8">
      <c r="F927" s="56" t="s">
        <v>9239</v>
      </c>
      <c r="G927" s="58" t="s">
        <v>9239</v>
      </c>
      <c r="H927" s="57"/>
    </row>
    <row r="928" spans="6:8">
      <c r="F928" s="56" t="s">
        <v>9241</v>
      </c>
      <c r="G928" s="58" t="s">
        <v>9241</v>
      </c>
      <c r="H928" s="57"/>
    </row>
    <row r="929" spans="6:8">
      <c r="F929" s="56" t="s">
        <v>9243</v>
      </c>
      <c r="G929" s="58" t="s">
        <v>9243</v>
      </c>
      <c r="H929" s="57"/>
    </row>
    <row r="930" spans="6:8">
      <c r="F930" s="56" t="s">
        <v>9245</v>
      </c>
      <c r="G930" s="58" t="s">
        <v>9245</v>
      </c>
      <c r="H930" s="57"/>
    </row>
    <row r="931" spans="6:8">
      <c r="F931" s="56" t="s">
        <v>9247</v>
      </c>
      <c r="G931" s="58" t="s">
        <v>9247</v>
      </c>
      <c r="H931" s="57"/>
    </row>
    <row r="932" spans="6:8">
      <c r="F932" s="56" t="s">
        <v>9249</v>
      </c>
      <c r="G932" s="58" t="s">
        <v>9249</v>
      </c>
      <c r="H932" s="57"/>
    </row>
    <row r="933" spans="6:8">
      <c r="F933" s="56" t="s">
        <v>9251</v>
      </c>
      <c r="G933" s="58" t="s">
        <v>9251</v>
      </c>
      <c r="H933" s="57"/>
    </row>
    <row r="934" spans="6:8">
      <c r="F934" s="56" t="s">
        <v>9253</v>
      </c>
      <c r="G934" s="58" t="s">
        <v>9253</v>
      </c>
      <c r="H934" s="57"/>
    </row>
    <row r="935" spans="6:8">
      <c r="F935" s="56" t="s">
        <v>9255</v>
      </c>
      <c r="G935" s="58" t="s">
        <v>9255</v>
      </c>
      <c r="H935" s="57"/>
    </row>
    <row r="936" spans="6:8">
      <c r="F936" s="56" t="s">
        <v>4449</v>
      </c>
      <c r="G936" s="58" t="s">
        <v>4449</v>
      </c>
      <c r="H936" s="57"/>
    </row>
    <row r="937" spans="6:8">
      <c r="F937" s="56" t="s">
        <v>9258</v>
      </c>
      <c r="G937" s="58" t="s">
        <v>9258</v>
      </c>
      <c r="H937" s="57"/>
    </row>
    <row r="938" spans="6:8">
      <c r="F938" s="56" t="s">
        <v>9260</v>
      </c>
      <c r="G938" s="58" t="s">
        <v>9260</v>
      </c>
      <c r="H938" s="57"/>
    </row>
    <row r="939" spans="6:8">
      <c r="F939" s="56" t="s">
        <v>9262</v>
      </c>
      <c r="G939" s="58" t="s">
        <v>9262</v>
      </c>
      <c r="H939" s="57"/>
    </row>
    <row r="940" spans="6:8">
      <c r="F940" s="56" t="s">
        <v>9264</v>
      </c>
      <c r="G940" s="58" t="s">
        <v>9264</v>
      </c>
      <c r="H940" s="57"/>
    </row>
    <row r="941" spans="6:8">
      <c r="F941" s="56" t="s">
        <v>9266</v>
      </c>
      <c r="G941" s="58" t="s">
        <v>9266</v>
      </c>
      <c r="H941" s="57"/>
    </row>
    <row r="942" spans="6:8">
      <c r="F942" s="56" t="s">
        <v>9268</v>
      </c>
      <c r="G942" s="58" t="s">
        <v>9268</v>
      </c>
      <c r="H942" s="57"/>
    </row>
    <row r="943" spans="6:8">
      <c r="F943" s="56" t="s">
        <v>9270</v>
      </c>
      <c r="G943" s="58" t="s">
        <v>9270</v>
      </c>
      <c r="H943" s="57"/>
    </row>
    <row r="944" spans="6:8">
      <c r="F944" s="56" t="s">
        <v>9272</v>
      </c>
      <c r="G944" s="58" t="s">
        <v>9272</v>
      </c>
      <c r="H944" s="57"/>
    </row>
    <row r="945" spans="6:8">
      <c r="F945" s="56" t="s">
        <v>9274</v>
      </c>
      <c r="G945" s="58" t="s">
        <v>9274</v>
      </c>
      <c r="H945" s="57"/>
    </row>
    <row r="946" spans="6:8">
      <c r="F946" s="56" t="s">
        <v>9276</v>
      </c>
      <c r="G946" s="58" t="s">
        <v>9276</v>
      </c>
      <c r="H946" s="57"/>
    </row>
    <row r="947" spans="6:8">
      <c r="F947" s="56" t="s">
        <v>9278</v>
      </c>
      <c r="G947" s="58" t="s">
        <v>9278</v>
      </c>
      <c r="H947" s="57"/>
    </row>
    <row r="948" spans="6:8">
      <c r="F948" s="56" t="s">
        <v>9280</v>
      </c>
      <c r="G948" s="58" t="s">
        <v>9280</v>
      </c>
      <c r="H948" s="57"/>
    </row>
    <row r="949" spans="6:8">
      <c r="F949" s="56" t="s">
        <v>4450</v>
      </c>
      <c r="G949" s="58" t="s">
        <v>4450</v>
      </c>
      <c r="H949" s="57"/>
    </row>
    <row r="950" spans="6:8">
      <c r="F950" s="56" t="s">
        <v>5395</v>
      </c>
      <c r="G950" s="58" t="s">
        <v>5395</v>
      </c>
      <c r="H950" s="57"/>
    </row>
    <row r="951" spans="6:8">
      <c r="F951" s="56" t="s">
        <v>9283</v>
      </c>
      <c r="G951" s="58" t="s">
        <v>9283</v>
      </c>
      <c r="H951" s="57"/>
    </row>
    <row r="952" spans="6:8">
      <c r="F952" s="56" t="s">
        <v>9285</v>
      </c>
      <c r="G952" s="58" t="s">
        <v>9285</v>
      </c>
      <c r="H952" s="57"/>
    </row>
    <row r="953" spans="6:8">
      <c r="F953" s="56" t="s">
        <v>9287</v>
      </c>
      <c r="G953" s="58" t="s">
        <v>9287</v>
      </c>
      <c r="H953" s="57"/>
    </row>
    <row r="954" spans="6:8">
      <c r="F954" s="56" t="s">
        <v>5396</v>
      </c>
      <c r="G954" s="58" t="s">
        <v>5396</v>
      </c>
      <c r="H954" s="57"/>
    </row>
    <row r="955" spans="6:8">
      <c r="F955" s="56" t="s">
        <v>5397</v>
      </c>
      <c r="G955" s="58" t="s">
        <v>5397</v>
      </c>
      <c r="H955" s="57"/>
    </row>
    <row r="956" spans="6:8">
      <c r="F956" s="56" t="s">
        <v>5398</v>
      </c>
      <c r="G956" s="58" t="s">
        <v>5398</v>
      </c>
      <c r="H956" s="57"/>
    </row>
    <row r="957" spans="6:8">
      <c r="F957" s="56" t="s">
        <v>5399</v>
      </c>
      <c r="G957" s="58" t="s">
        <v>5399</v>
      </c>
      <c r="H957" s="57"/>
    </row>
    <row r="958" spans="6:8">
      <c r="F958" s="56" t="s">
        <v>9293</v>
      </c>
      <c r="G958" s="58" t="s">
        <v>9293</v>
      </c>
      <c r="H958" s="57"/>
    </row>
    <row r="959" spans="6:8">
      <c r="F959" s="56" t="s">
        <v>9295</v>
      </c>
      <c r="G959" s="58" t="s">
        <v>9295</v>
      </c>
      <c r="H959" s="57"/>
    </row>
    <row r="960" spans="6:8">
      <c r="F960" s="56" t="s">
        <v>9297</v>
      </c>
      <c r="G960" s="58" t="s">
        <v>9297</v>
      </c>
      <c r="H960" s="57"/>
    </row>
    <row r="961" spans="6:8">
      <c r="F961" s="56" t="s">
        <v>9299</v>
      </c>
      <c r="G961" s="58" t="s">
        <v>9299</v>
      </c>
      <c r="H961" s="57"/>
    </row>
    <row r="962" spans="6:8">
      <c r="F962" s="56" t="s">
        <v>9301</v>
      </c>
      <c r="G962" s="58" t="s">
        <v>9301</v>
      </c>
      <c r="H962" s="57"/>
    </row>
    <row r="963" spans="6:8">
      <c r="F963" s="56" t="s">
        <v>9303</v>
      </c>
      <c r="G963" s="58" t="s">
        <v>9303</v>
      </c>
      <c r="H963" s="57"/>
    </row>
    <row r="964" spans="6:8">
      <c r="F964" s="56" t="s">
        <v>9305</v>
      </c>
      <c r="G964" s="58" t="s">
        <v>9305</v>
      </c>
      <c r="H964" s="57"/>
    </row>
    <row r="965" spans="6:8">
      <c r="F965" s="56" t="s">
        <v>9307</v>
      </c>
      <c r="G965" s="58" t="s">
        <v>9307</v>
      </c>
      <c r="H965" s="57"/>
    </row>
    <row r="966" spans="6:8">
      <c r="F966" s="56" t="s">
        <v>9309</v>
      </c>
      <c r="G966" s="58" t="s">
        <v>9309</v>
      </c>
      <c r="H966" s="57"/>
    </row>
    <row r="967" spans="6:8">
      <c r="F967" s="56" t="s">
        <v>9311</v>
      </c>
      <c r="G967" s="58" t="s">
        <v>9311</v>
      </c>
      <c r="H967" s="57"/>
    </row>
    <row r="968" spans="6:8">
      <c r="F968" s="56" t="s">
        <v>9313</v>
      </c>
      <c r="G968" s="58" t="s">
        <v>9313</v>
      </c>
      <c r="H968" s="57"/>
    </row>
    <row r="969" spans="6:8">
      <c r="F969" s="56" t="s">
        <v>9314</v>
      </c>
      <c r="G969" s="58" t="s">
        <v>9314</v>
      </c>
      <c r="H969" s="57"/>
    </row>
    <row r="970" spans="6:8">
      <c r="F970" s="56" t="s">
        <v>4451</v>
      </c>
      <c r="G970" s="58" t="s">
        <v>4451</v>
      </c>
      <c r="H970" s="57"/>
    </row>
    <row r="971" spans="6:8">
      <c r="F971" s="56" t="s">
        <v>5437</v>
      </c>
      <c r="G971" s="58" t="s">
        <v>5437</v>
      </c>
      <c r="H971" s="57"/>
    </row>
    <row r="972" spans="6:8">
      <c r="F972" s="56" t="s">
        <v>5438</v>
      </c>
      <c r="G972" s="58" t="s">
        <v>5438</v>
      </c>
      <c r="H972" s="57"/>
    </row>
    <row r="973" spans="6:8">
      <c r="F973" s="56" t="s">
        <v>5439</v>
      </c>
      <c r="G973" s="58" t="s">
        <v>5439</v>
      </c>
      <c r="H973" s="57"/>
    </row>
    <row r="974" spans="6:8">
      <c r="F974" s="56" t="s">
        <v>5440</v>
      </c>
      <c r="G974" s="58" t="s">
        <v>5440</v>
      </c>
      <c r="H974" s="57"/>
    </row>
    <row r="975" spans="6:8">
      <c r="F975" s="56" t="s">
        <v>5441</v>
      </c>
      <c r="G975" s="58" t="s">
        <v>5441</v>
      </c>
      <c r="H975" s="57"/>
    </row>
    <row r="976" spans="6:8">
      <c r="F976" s="56" t="s">
        <v>9315</v>
      </c>
      <c r="G976" s="58" t="s">
        <v>9315</v>
      </c>
      <c r="H976" s="57"/>
    </row>
    <row r="977" spans="6:8">
      <c r="F977" s="56" t="s">
        <v>5442</v>
      </c>
      <c r="G977" s="58" t="s">
        <v>5442</v>
      </c>
      <c r="H977" s="57"/>
    </row>
    <row r="978" spans="6:8">
      <c r="F978" s="56" t="s">
        <v>4452</v>
      </c>
      <c r="G978" s="58" t="s">
        <v>4452</v>
      </c>
      <c r="H978" s="57"/>
    </row>
    <row r="979" spans="6:8">
      <c r="F979" s="56" t="s">
        <v>5478</v>
      </c>
      <c r="G979" s="58" t="s">
        <v>5478</v>
      </c>
      <c r="H979" s="57"/>
    </row>
    <row r="980" spans="6:8">
      <c r="F980" s="56" t="s">
        <v>9318</v>
      </c>
      <c r="G980" s="58" t="s">
        <v>9318</v>
      </c>
      <c r="H980" s="57"/>
    </row>
    <row r="981" spans="6:8">
      <c r="F981" s="56" t="s">
        <v>9319</v>
      </c>
      <c r="G981" s="58" t="s">
        <v>9319</v>
      </c>
      <c r="H981" s="57"/>
    </row>
    <row r="982" spans="6:8">
      <c r="F982" s="56" t="s">
        <v>9320</v>
      </c>
      <c r="G982" s="58" t="s">
        <v>9320</v>
      </c>
      <c r="H982" s="57"/>
    </row>
    <row r="983" spans="6:8">
      <c r="F983" s="56" t="s">
        <v>5479</v>
      </c>
      <c r="G983" s="58" t="s">
        <v>5479</v>
      </c>
      <c r="H983" s="57"/>
    </row>
    <row r="984" spans="6:8">
      <c r="F984" s="56" t="s">
        <v>5480</v>
      </c>
      <c r="G984" s="58" t="s">
        <v>5480</v>
      </c>
      <c r="H984" s="57"/>
    </row>
    <row r="985" spans="6:8">
      <c r="F985" s="56" t="s">
        <v>5481</v>
      </c>
      <c r="G985" s="58" t="s">
        <v>5481</v>
      </c>
      <c r="H985" s="57"/>
    </row>
    <row r="986" spans="6:8">
      <c r="F986" s="56" t="s">
        <v>5482</v>
      </c>
      <c r="G986" s="58" t="s">
        <v>5482</v>
      </c>
      <c r="H986" s="57"/>
    </row>
    <row r="987" spans="6:8">
      <c r="F987" s="56" t="s">
        <v>9321</v>
      </c>
      <c r="G987" s="58" t="s">
        <v>9321</v>
      </c>
      <c r="H987" s="57"/>
    </row>
    <row r="988" spans="6:8">
      <c r="F988" s="56" t="s">
        <v>9322</v>
      </c>
      <c r="G988" s="58" t="s">
        <v>9322</v>
      </c>
      <c r="H988" s="57"/>
    </row>
    <row r="989" spans="6:8">
      <c r="F989" s="56" t="s">
        <v>9323</v>
      </c>
      <c r="G989" s="58" t="s">
        <v>9323</v>
      </c>
      <c r="H989" s="57"/>
    </row>
    <row r="990" spans="6:8">
      <c r="F990" s="56" t="s">
        <v>9324</v>
      </c>
      <c r="G990" s="58" t="s">
        <v>9324</v>
      </c>
      <c r="H990" s="57"/>
    </row>
    <row r="991" spans="6:8">
      <c r="F991" s="56" t="s">
        <v>9325</v>
      </c>
      <c r="G991" s="58" t="s">
        <v>9325</v>
      </c>
      <c r="H991" s="57"/>
    </row>
    <row r="992" spans="6:8">
      <c r="F992" s="56" t="s">
        <v>9327</v>
      </c>
      <c r="G992" s="58" t="s">
        <v>9327</v>
      </c>
      <c r="H992" s="57"/>
    </row>
    <row r="993" spans="6:8">
      <c r="F993" s="56" t="s">
        <v>9329</v>
      </c>
      <c r="G993" s="58" t="s">
        <v>9329</v>
      </c>
      <c r="H993" s="57"/>
    </row>
    <row r="994" spans="6:8">
      <c r="F994" s="56" t="s">
        <v>9332</v>
      </c>
      <c r="G994" s="58" t="s">
        <v>9332</v>
      </c>
      <c r="H994" s="57"/>
    </row>
    <row r="995" spans="6:8">
      <c r="F995" s="56" t="s">
        <v>9333</v>
      </c>
      <c r="G995" s="58" t="s">
        <v>9333</v>
      </c>
      <c r="H995" s="57"/>
    </row>
    <row r="996" spans="6:8">
      <c r="F996" s="56" t="s">
        <v>9333</v>
      </c>
      <c r="G996" s="58" t="s">
        <v>9333</v>
      </c>
      <c r="H996" s="57"/>
    </row>
    <row r="997" spans="6:8">
      <c r="F997" s="56" t="s">
        <v>5549</v>
      </c>
      <c r="G997" s="58" t="s">
        <v>5549</v>
      </c>
      <c r="H997" s="57"/>
    </row>
    <row r="998" spans="6:8">
      <c r="F998" s="56" t="s">
        <v>5550</v>
      </c>
      <c r="G998" s="58" t="s">
        <v>5550</v>
      </c>
      <c r="H998" s="57"/>
    </row>
    <row r="999" spans="6:8">
      <c r="F999" s="56" t="s">
        <v>5551</v>
      </c>
      <c r="G999" s="58" t="s">
        <v>5551</v>
      </c>
      <c r="H999" s="57"/>
    </row>
    <row r="1000" spans="6:8">
      <c r="F1000" s="56" t="s">
        <v>5552</v>
      </c>
      <c r="G1000" s="58" t="s">
        <v>5552</v>
      </c>
      <c r="H1000" s="57"/>
    </row>
    <row r="1001" spans="6:8">
      <c r="F1001" s="56" t="s">
        <v>5553</v>
      </c>
      <c r="G1001" s="58" t="s">
        <v>5553</v>
      </c>
      <c r="H1001" s="57"/>
    </row>
    <row r="1002" spans="6:8">
      <c r="F1002" s="56" t="s">
        <v>5554</v>
      </c>
      <c r="G1002" s="58" t="s">
        <v>5554</v>
      </c>
      <c r="H1002" s="57"/>
    </row>
    <row r="1003" spans="6:8">
      <c r="F1003" s="56" t="s">
        <v>5555</v>
      </c>
      <c r="G1003" s="58" t="s">
        <v>5555</v>
      </c>
      <c r="H1003" s="57"/>
    </row>
    <row r="1004" spans="6:8">
      <c r="F1004" s="56" t="s">
        <v>5556</v>
      </c>
      <c r="G1004" s="58" t="s">
        <v>5556</v>
      </c>
      <c r="H1004" s="57"/>
    </row>
    <row r="1005" spans="6:8">
      <c r="F1005" s="56" t="s">
        <v>5557</v>
      </c>
      <c r="G1005" s="58" t="s">
        <v>5557</v>
      </c>
      <c r="H1005" s="57"/>
    </row>
    <row r="1006" spans="6:8">
      <c r="F1006" s="56" t="s">
        <v>5558</v>
      </c>
      <c r="G1006" s="58" t="s">
        <v>5558</v>
      </c>
      <c r="H1006" s="57"/>
    </row>
    <row r="1007" spans="6:8">
      <c r="F1007" s="56" t="s">
        <v>5559</v>
      </c>
      <c r="G1007" s="58" t="s">
        <v>5559</v>
      </c>
      <c r="H1007" s="57"/>
    </row>
    <row r="1008" spans="6:8">
      <c r="F1008" s="56" t="s">
        <v>9347</v>
      </c>
      <c r="G1008" s="58" t="s">
        <v>9347</v>
      </c>
      <c r="H1008" s="57"/>
    </row>
    <row r="1009" spans="6:8">
      <c r="F1009" s="56" t="s">
        <v>9349</v>
      </c>
      <c r="G1009" s="58" t="s">
        <v>9349</v>
      </c>
      <c r="H1009" s="57"/>
    </row>
    <row r="1010" spans="6:8">
      <c r="F1010" s="56" t="s">
        <v>9351</v>
      </c>
      <c r="G1010" s="58" t="s">
        <v>9351</v>
      </c>
      <c r="H1010" s="57"/>
    </row>
    <row r="1011" spans="6:8">
      <c r="F1011" s="56" t="s">
        <v>9353</v>
      </c>
      <c r="G1011" s="58" t="s">
        <v>9353</v>
      </c>
      <c r="H1011" s="57"/>
    </row>
    <row r="1012" spans="6:8">
      <c r="F1012" s="56" t="s">
        <v>9355</v>
      </c>
      <c r="G1012" s="58" t="s">
        <v>9355</v>
      </c>
      <c r="H1012" s="57"/>
    </row>
    <row r="1013" spans="6:8">
      <c r="F1013" s="56" t="s">
        <v>9357</v>
      </c>
      <c r="G1013" s="58" t="s">
        <v>9357</v>
      </c>
      <c r="H1013" s="57"/>
    </row>
    <row r="1014" spans="6:8">
      <c r="F1014" s="56" t="s">
        <v>9359</v>
      </c>
      <c r="G1014" s="58" t="s">
        <v>9359</v>
      </c>
      <c r="H1014" s="57"/>
    </row>
    <row r="1015" spans="6:8">
      <c r="F1015" s="56" t="s">
        <v>5673</v>
      </c>
      <c r="G1015" s="58" t="s">
        <v>5673</v>
      </c>
      <c r="H1015" s="57"/>
    </row>
    <row r="1016" spans="6:8">
      <c r="F1016" s="56" t="s">
        <v>5674</v>
      </c>
      <c r="G1016" s="58" t="s">
        <v>5674</v>
      </c>
      <c r="H1016" s="57"/>
    </row>
    <row r="1017" spans="6:8">
      <c r="F1017" s="56" t="s">
        <v>5675</v>
      </c>
      <c r="G1017" s="58" t="s">
        <v>5675</v>
      </c>
      <c r="H1017" s="57"/>
    </row>
    <row r="1018" spans="6:8">
      <c r="F1018" s="56" t="s">
        <v>5676</v>
      </c>
      <c r="G1018" s="58" t="s">
        <v>5676</v>
      </c>
      <c r="H1018" s="57"/>
    </row>
    <row r="1019" spans="6:8">
      <c r="F1019" s="56" t="s">
        <v>9365</v>
      </c>
      <c r="G1019" s="58" t="s">
        <v>9365</v>
      </c>
      <c r="H1019" s="57"/>
    </row>
    <row r="1020" spans="6:8">
      <c r="F1020" s="56" t="s">
        <v>9367</v>
      </c>
      <c r="G1020" s="58" t="s">
        <v>9367</v>
      </c>
      <c r="H1020" s="57"/>
    </row>
    <row r="1021" spans="6:8">
      <c r="F1021" s="56" t="s">
        <v>9369</v>
      </c>
      <c r="G1021" s="58" t="s">
        <v>9369</v>
      </c>
      <c r="H1021" s="57"/>
    </row>
    <row r="1022" spans="6:8">
      <c r="F1022" s="56" t="s">
        <v>9371</v>
      </c>
      <c r="G1022" s="58" t="s">
        <v>9371</v>
      </c>
      <c r="H1022" s="57"/>
    </row>
    <row r="1023" spans="6:8">
      <c r="F1023" s="56" t="s">
        <v>9373</v>
      </c>
      <c r="G1023" s="58" t="s">
        <v>9373</v>
      </c>
      <c r="H1023" s="57"/>
    </row>
    <row r="1024" spans="6:8">
      <c r="F1024" s="56" t="s">
        <v>9375</v>
      </c>
      <c r="G1024" s="58" t="s">
        <v>9375</v>
      </c>
      <c r="H1024" s="57"/>
    </row>
    <row r="1025" spans="6:8">
      <c r="F1025" s="56" t="s">
        <v>9377</v>
      </c>
      <c r="G1025" s="58" t="s">
        <v>9377</v>
      </c>
      <c r="H1025" s="57"/>
    </row>
    <row r="1026" spans="6:8">
      <c r="F1026" s="56" t="s">
        <v>9379</v>
      </c>
      <c r="G1026" s="58" t="s">
        <v>9379</v>
      </c>
      <c r="H1026" s="57"/>
    </row>
    <row r="1027" spans="6:8">
      <c r="F1027" s="56" t="s">
        <v>5677</v>
      </c>
      <c r="G1027" s="58" t="s">
        <v>5677</v>
      </c>
      <c r="H1027" s="57"/>
    </row>
    <row r="1028" spans="6:8">
      <c r="F1028" s="56" t="s">
        <v>5678</v>
      </c>
      <c r="G1028" s="58" t="s">
        <v>5678</v>
      </c>
      <c r="H1028" s="57"/>
    </row>
    <row r="1029" spans="6:8">
      <c r="F1029" s="56" t="s">
        <v>9383</v>
      </c>
      <c r="G1029" s="58" t="s">
        <v>9383</v>
      </c>
      <c r="H1029" s="57"/>
    </row>
    <row r="1030" spans="6:8">
      <c r="F1030" s="56" t="s">
        <v>9385</v>
      </c>
      <c r="G1030" s="58" t="s">
        <v>9385</v>
      </c>
      <c r="H1030" s="57"/>
    </row>
    <row r="1031" spans="6:8">
      <c r="F1031" s="56" t="s">
        <v>9387</v>
      </c>
      <c r="G1031" s="58" t="s">
        <v>9387</v>
      </c>
      <c r="H1031" s="57"/>
    </row>
    <row r="1032" spans="6:8">
      <c r="F1032" s="56" t="s">
        <v>5679</v>
      </c>
      <c r="G1032" s="58" t="s">
        <v>5679</v>
      </c>
      <c r="H1032" s="57"/>
    </row>
    <row r="1033" spans="6:8">
      <c r="F1033" s="56" t="s">
        <v>5680</v>
      </c>
      <c r="G1033" s="58" t="s">
        <v>5680</v>
      </c>
      <c r="H1033" s="57"/>
    </row>
    <row r="1034" spans="6:8">
      <c r="F1034" s="56" t="s">
        <v>5681</v>
      </c>
      <c r="G1034" s="58" t="s">
        <v>5681</v>
      </c>
      <c r="H1034" s="57"/>
    </row>
    <row r="1035" spans="6:8">
      <c r="F1035" s="56" t="s">
        <v>5682</v>
      </c>
      <c r="G1035" s="58" t="s">
        <v>5682</v>
      </c>
      <c r="H1035" s="57"/>
    </row>
    <row r="1036" spans="6:8">
      <c r="F1036" s="56" t="s">
        <v>9393</v>
      </c>
      <c r="G1036" s="58" t="s">
        <v>9393</v>
      </c>
      <c r="H1036" s="57"/>
    </row>
    <row r="1037" spans="6:8">
      <c r="F1037" s="56" t="s">
        <v>9395</v>
      </c>
      <c r="G1037" s="58" t="s">
        <v>9395</v>
      </c>
      <c r="H1037" s="57"/>
    </row>
    <row r="1038" spans="6:8">
      <c r="F1038" s="56" t="s">
        <v>9397</v>
      </c>
      <c r="G1038" s="58" t="s">
        <v>9397</v>
      </c>
      <c r="H1038" s="57"/>
    </row>
    <row r="1039" spans="6:8">
      <c r="F1039" s="56" t="s">
        <v>9399</v>
      </c>
      <c r="G1039" s="58" t="s">
        <v>9399</v>
      </c>
      <c r="H1039" s="57"/>
    </row>
    <row r="1040" spans="6:8">
      <c r="F1040" s="56" t="s">
        <v>9401</v>
      </c>
      <c r="G1040" s="58" t="s">
        <v>9401</v>
      </c>
      <c r="H1040" s="57"/>
    </row>
    <row r="1041" spans="6:8">
      <c r="F1041" s="56" t="s">
        <v>9402</v>
      </c>
      <c r="G1041" s="58" t="s">
        <v>9402</v>
      </c>
      <c r="H1041" s="57"/>
    </row>
    <row r="1042" spans="6:8">
      <c r="F1042" s="56" t="s">
        <v>9404</v>
      </c>
      <c r="G1042" s="58" t="s">
        <v>9404</v>
      </c>
      <c r="H1042" s="57"/>
    </row>
    <row r="1043" spans="6:8">
      <c r="F1043" s="56" t="s">
        <v>9405</v>
      </c>
      <c r="G1043" s="58" t="s">
        <v>9405</v>
      </c>
      <c r="H1043" s="57"/>
    </row>
    <row r="1044" spans="6:8">
      <c r="F1044" s="56" t="s">
        <v>9406</v>
      </c>
      <c r="G1044" s="58" t="s">
        <v>9406</v>
      </c>
      <c r="H1044" s="57"/>
    </row>
    <row r="1045" spans="6:8">
      <c r="F1045" s="56" t="s">
        <v>9407</v>
      </c>
      <c r="G1045" s="58" t="s">
        <v>9407</v>
      </c>
      <c r="H1045" s="57"/>
    </row>
    <row r="1046" spans="6:8">
      <c r="F1046" s="56" t="s">
        <v>9411</v>
      </c>
      <c r="G1046" s="58" t="s">
        <v>9411</v>
      </c>
      <c r="H1046" s="57"/>
    </row>
    <row r="1047" spans="6:8">
      <c r="F1047" s="56" t="s">
        <v>9412</v>
      </c>
      <c r="G1047" s="58" t="s">
        <v>9412</v>
      </c>
      <c r="H1047" s="57"/>
    </row>
    <row r="1048" spans="6:8">
      <c r="F1048" s="56" t="s">
        <v>9414</v>
      </c>
      <c r="G1048" s="58" t="s">
        <v>9414</v>
      </c>
      <c r="H1048" s="57"/>
    </row>
    <row r="1049" spans="6:8">
      <c r="F1049" s="56" t="s">
        <v>9408</v>
      </c>
      <c r="G1049" s="58" t="s">
        <v>9408</v>
      </c>
      <c r="H1049" s="57"/>
    </row>
    <row r="1050" spans="6:8">
      <c r="F1050" s="56" t="s">
        <v>9415</v>
      </c>
      <c r="G1050" s="58" t="s">
        <v>9415</v>
      </c>
      <c r="H1050" s="57"/>
    </row>
    <row r="1051" spans="6:8">
      <c r="F1051" s="56" t="s">
        <v>9416</v>
      </c>
      <c r="G1051" s="58" t="s">
        <v>9416</v>
      </c>
      <c r="H1051" s="57"/>
    </row>
    <row r="1052" spans="6:8">
      <c r="F1052" s="56" t="s">
        <v>4453</v>
      </c>
      <c r="G1052" s="58" t="s">
        <v>4453</v>
      </c>
      <c r="H1052" s="57"/>
    </row>
    <row r="1053" spans="6:8">
      <c r="F1053" s="56" t="s">
        <v>5715</v>
      </c>
      <c r="G1053" s="58" t="s">
        <v>5715</v>
      </c>
      <c r="H1053" s="57"/>
    </row>
    <row r="1054" spans="6:8">
      <c r="F1054" s="56" t="s">
        <v>9419</v>
      </c>
      <c r="G1054" s="58" t="s">
        <v>9419</v>
      </c>
      <c r="H1054" s="57"/>
    </row>
    <row r="1055" spans="6:8">
      <c r="F1055" s="56" t="s">
        <v>9421</v>
      </c>
      <c r="G1055" s="58" t="s">
        <v>9421</v>
      </c>
      <c r="H1055" s="57"/>
    </row>
    <row r="1056" spans="6:8">
      <c r="F1056" s="56" t="s">
        <v>9423</v>
      </c>
      <c r="G1056" s="58" t="s">
        <v>9423</v>
      </c>
      <c r="H1056" s="57"/>
    </row>
    <row r="1057" spans="6:8">
      <c r="F1057" s="56" t="s">
        <v>5716</v>
      </c>
      <c r="G1057" s="58" t="s">
        <v>5716</v>
      </c>
      <c r="H1057" s="57"/>
    </row>
    <row r="1058" spans="6:8">
      <c r="F1058" s="56" t="s">
        <v>5717</v>
      </c>
      <c r="G1058" s="58" t="s">
        <v>5717</v>
      </c>
      <c r="H1058" s="57"/>
    </row>
    <row r="1059" spans="6:8">
      <c r="F1059" s="56" t="s">
        <v>5718</v>
      </c>
      <c r="G1059" s="58" t="s">
        <v>5718</v>
      </c>
      <c r="H1059" s="57"/>
    </row>
    <row r="1060" spans="6:8">
      <c r="F1060" s="56" t="s">
        <v>5719</v>
      </c>
      <c r="G1060" s="58" t="s">
        <v>5719</v>
      </c>
      <c r="H1060" s="57"/>
    </row>
    <row r="1061" spans="6:8">
      <c r="F1061" s="56" t="s">
        <v>9429</v>
      </c>
      <c r="G1061" s="58" t="s">
        <v>9429</v>
      </c>
      <c r="H1061" s="57"/>
    </row>
    <row r="1062" spans="6:8">
      <c r="F1062" s="56" t="s">
        <v>9431</v>
      </c>
      <c r="G1062" s="58" t="s">
        <v>9431</v>
      </c>
      <c r="H1062" s="57"/>
    </row>
    <row r="1063" spans="6:8">
      <c r="F1063" s="56" t="s">
        <v>9433</v>
      </c>
      <c r="G1063" s="58" t="s">
        <v>9433</v>
      </c>
      <c r="H1063" s="57"/>
    </row>
    <row r="1064" spans="6:8">
      <c r="F1064" s="56" t="s">
        <v>9435</v>
      </c>
      <c r="G1064" s="58" t="s">
        <v>9435</v>
      </c>
      <c r="H1064" s="57"/>
    </row>
    <row r="1065" spans="6:8">
      <c r="F1065" s="56" t="s">
        <v>4454</v>
      </c>
      <c r="G1065" s="58" t="s">
        <v>4454</v>
      </c>
      <c r="H1065" s="57"/>
    </row>
    <row r="1066" spans="6:8">
      <c r="F1066" s="56" t="s">
        <v>9438</v>
      </c>
      <c r="G1066" s="58" t="s">
        <v>9438</v>
      </c>
      <c r="H1066" s="57"/>
    </row>
    <row r="1067" spans="6:8">
      <c r="F1067" s="56" t="s">
        <v>9440</v>
      </c>
      <c r="G1067" s="58" t="s">
        <v>9440</v>
      </c>
      <c r="H1067" s="57"/>
    </row>
    <row r="1068" spans="6:8">
      <c r="F1068" s="56" t="s">
        <v>9442</v>
      </c>
      <c r="G1068" s="58" t="s">
        <v>9442</v>
      </c>
      <c r="H1068" s="57"/>
    </row>
    <row r="1069" spans="6:8">
      <c r="F1069" s="56" t="s">
        <v>9444</v>
      </c>
      <c r="G1069" s="58" t="s">
        <v>9444</v>
      </c>
      <c r="H1069" s="57"/>
    </row>
    <row r="1070" spans="6:8">
      <c r="F1070" s="56" t="s">
        <v>9446</v>
      </c>
      <c r="G1070" s="58" t="s">
        <v>9446</v>
      </c>
      <c r="H1070" s="57"/>
    </row>
    <row r="1071" spans="6:8">
      <c r="F1071" s="56" t="s">
        <v>9447</v>
      </c>
      <c r="G1071" s="58" t="s">
        <v>9447</v>
      </c>
      <c r="H1071" s="57"/>
    </row>
    <row r="1072" spans="6:8">
      <c r="F1072" s="56" t="s">
        <v>9448</v>
      </c>
      <c r="G1072" s="58" t="s">
        <v>9448</v>
      </c>
      <c r="H1072" s="57"/>
    </row>
    <row r="1073" spans="6:8">
      <c r="F1073" s="56" t="s">
        <v>9449</v>
      </c>
      <c r="G1073" s="58" t="s">
        <v>9449</v>
      </c>
      <c r="H1073" s="57"/>
    </row>
    <row r="1074" spans="6:8">
      <c r="F1074" s="56" t="s">
        <v>9451</v>
      </c>
      <c r="G1074" s="58" t="s">
        <v>9451</v>
      </c>
      <c r="H1074" s="57"/>
    </row>
    <row r="1075" spans="6:8">
      <c r="F1075" s="56" t="s">
        <v>9453</v>
      </c>
      <c r="G1075" s="58" t="s">
        <v>9453</v>
      </c>
      <c r="H1075" s="57"/>
    </row>
    <row r="1076" spans="6:8">
      <c r="F1076" s="56" t="s">
        <v>9455</v>
      </c>
      <c r="G1076" s="58" t="s">
        <v>9455</v>
      </c>
      <c r="H1076" s="57"/>
    </row>
    <row r="1077" spans="6:8">
      <c r="F1077" s="56" t="s">
        <v>9457</v>
      </c>
      <c r="G1077" s="58" t="s">
        <v>9457</v>
      </c>
      <c r="H1077" s="57"/>
    </row>
    <row r="1078" spans="6:8">
      <c r="F1078" s="56" t="s">
        <v>9459</v>
      </c>
      <c r="G1078" s="58" t="s">
        <v>9459</v>
      </c>
      <c r="H1078" s="57"/>
    </row>
    <row r="1079" spans="6:8">
      <c r="F1079" s="56" t="s">
        <v>9460</v>
      </c>
      <c r="G1079" s="58" t="s">
        <v>9460</v>
      </c>
      <c r="H1079" s="57"/>
    </row>
    <row r="1080" spans="6:8">
      <c r="F1080" s="56" t="s">
        <v>9462</v>
      </c>
      <c r="G1080" s="58" t="s">
        <v>9462</v>
      </c>
      <c r="H1080" s="57"/>
    </row>
    <row r="1081" spans="6:8">
      <c r="F1081" s="56" t="s">
        <v>9466</v>
      </c>
      <c r="G1081" s="58" t="s">
        <v>9466</v>
      </c>
      <c r="H1081" s="57"/>
    </row>
    <row r="1082" spans="6:8">
      <c r="F1082" s="56" t="s">
        <v>9465</v>
      </c>
      <c r="G1082" s="58" t="s">
        <v>9465</v>
      </c>
      <c r="H1082" s="57"/>
    </row>
    <row r="1083" spans="6:8">
      <c r="F1083" s="56" t="s">
        <v>9469</v>
      </c>
      <c r="G1083" s="58" t="s">
        <v>9469</v>
      </c>
      <c r="H1083" s="57"/>
    </row>
    <row r="1084" spans="6:8">
      <c r="F1084" s="56" t="s">
        <v>9470</v>
      </c>
      <c r="G1084" s="58" t="s">
        <v>9470</v>
      </c>
      <c r="H1084" s="57"/>
    </row>
    <row r="1085" spans="6:8">
      <c r="F1085" s="56" t="s">
        <v>9471</v>
      </c>
      <c r="G1085" s="58" t="s">
        <v>9471</v>
      </c>
      <c r="H1085" s="57"/>
    </row>
    <row r="1086" spans="6:8">
      <c r="F1086" s="56" t="s">
        <v>9474</v>
      </c>
      <c r="G1086" s="58" t="s">
        <v>9474</v>
      </c>
      <c r="H1086" s="57"/>
    </row>
    <row r="1087" spans="6:8">
      <c r="F1087" s="56" t="s">
        <v>9473</v>
      </c>
      <c r="G1087" s="58" t="s">
        <v>9473</v>
      </c>
      <c r="H1087" s="57"/>
    </row>
    <row r="1088" spans="6:8">
      <c r="F1088" s="56" t="s">
        <v>9476</v>
      </c>
      <c r="G1088" s="58" t="s">
        <v>9476</v>
      </c>
      <c r="H1088" s="57"/>
    </row>
    <row r="1089" spans="6:8">
      <c r="F1089" s="56" t="s">
        <v>9480</v>
      </c>
      <c r="G1089" s="58" t="s">
        <v>9480</v>
      </c>
      <c r="H1089" s="57"/>
    </row>
    <row r="1090" spans="6:8">
      <c r="F1090" s="56" t="s">
        <v>9478</v>
      </c>
      <c r="G1090" s="58" t="s">
        <v>9478</v>
      </c>
      <c r="H1090" s="57"/>
    </row>
    <row r="1091" spans="6:8">
      <c r="F1091" s="56" t="s">
        <v>9484</v>
      </c>
      <c r="G1091" s="58" t="s">
        <v>9484</v>
      </c>
      <c r="H1091" s="57"/>
    </row>
    <row r="1092" spans="6:8">
      <c r="F1092" s="56" t="s">
        <v>9482</v>
      </c>
      <c r="G1092" s="58" t="s">
        <v>9482</v>
      </c>
      <c r="H1092" s="57"/>
    </row>
    <row r="1093" spans="6:8">
      <c r="F1093" s="56" t="s">
        <v>9481</v>
      </c>
      <c r="G1093" s="58" t="s">
        <v>9481</v>
      </c>
      <c r="H1093" s="57"/>
    </row>
    <row r="1094" spans="6:8">
      <c r="F1094" s="56" t="s">
        <v>9487</v>
      </c>
      <c r="G1094" s="58" t="s">
        <v>9487</v>
      </c>
      <c r="H1094" s="57"/>
    </row>
    <row r="1095" spans="6:8">
      <c r="F1095" s="56" t="s">
        <v>9489</v>
      </c>
      <c r="G1095" s="58" t="s">
        <v>9489</v>
      </c>
      <c r="H1095" s="57"/>
    </row>
    <row r="1096" spans="6:8">
      <c r="F1096" s="56" t="s">
        <v>9485</v>
      </c>
      <c r="G1096" s="58" t="s">
        <v>9485</v>
      </c>
      <c r="H1096" s="57"/>
    </row>
    <row r="1097" spans="6:8">
      <c r="F1097" s="56" t="s">
        <v>9493</v>
      </c>
      <c r="G1097" s="58" t="s">
        <v>9493</v>
      </c>
      <c r="H1097" s="57"/>
    </row>
    <row r="1098" spans="6:8">
      <c r="F1098" s="56" t="s">
        <v>9496</v>
      </c>
      <c r="G1098" s="58" t="s">
        <v>9496</v>
      </c>
      <c r="H1098" s="57"/>
    </row>
    <row r="1099" spans="6:8">
      <c r="F1099" s="56" t="s">
        <v>9495</v>
      </c>
      <c r="G1099" s="58" t="s">
        <v>9495</v>
      </c>
      <c r="H1099" s="57"/>
    </row>
    <row r="1100" spans="6:8">
      <c r="F1100" s="56" t="s">
        <v>9491</v>
      </c>
      <c r="G1100" s="58" t="s">
        <v>9491</v>
      </c>
      <c r="H1100" s="57"/>
    </row>
    <row r="1101" spans="6:8">
      <c r="F1101" s="56" t="s">
        <v>9498</v>
      </c>
      <c r="G1101" s="58" t="s">
        <v>9498</v>
      </c>
      <c r="H1101" s="57"/>
    </row>
    <row r="1102" spans="6:8">
      <c r="F1102" s="56" t="s">
        <v>9501</v>
      </c>
      <c r="G1102" s="58" t="s">
        <v>9501</v>
      </c>
      <c r="H1102" s="57"/>
    </row>
    <row r="1103" spans="6:8">
      <c r="F1103" s="56" t="s">
        <v>9499</v>
      </c>
      <c r="G1103" s="58" t="s">
        <v>9499</v>
      </c>
      <c r="H1103" s="57"/>
    </row>
    <row r="1104" spans="6:8">
      <c r="F1104" s="56" t="s">
        <v>5799</v>
      </c>
      <c r="G1104" s="58" t="s">
        <v>5799</v>
      </c>
      <c r="H1104" s="57"/>
    </row>
    <row r="1105" spans="6:8">
      <c r="F1105" s="56" t="s">
        <v>5800</v>
      </c>
      <c r="G1105" s="58" t="s">
        <v>5800</v>
      </c>
      <c r="H1105" s="57"/>
    </row>
    <row r="1106" spans="6:8">
      <c r="F1106" s="56" t="s">
        <v>5801</v>
      </c>
      <c r="G1106" s="58" t="s">
        <v>5801</v>
      </c>
      <c r="H1106" s="57"/>
    </row>
    <row r="1107" spans="6:8">
      <c r="F1107" s="56" t="s">
        <v>5802</v>
      </c>
      <c r="G1107" s="58" t="s">
        <v>5802</v>
      </c>
      <c r="H1107" s="57"/>
    </row>
    <row r="1108" spans="6:8">
      <c r="F1108" s="56" t="s">
        <v>5803</v>
      </c>
      <c r="G1108" s="58" t="s">
        <v>5803</v>
      </c>
      <c r="H1108" s="57"/>
    </row>
    <row r="1109" spans="6:8">
      <c r="F1109" s="56" t="s">
        <v>4455</v>
      </c>
      <c r="G1109" s="58" t="s">
        <v>4455</v>
      </c>
      <c r="H1109" s="57"/>
    </row>
    <row r="1110" spans="6:8">
      <c r="F1110" s="56" t="s">
        <v>9510</v>
      </c>
      <c r="G1110" s="58" t="s">
        <v>9510</v>
      </c>
      <c r="H1110" s="57"/>
    </row>
    <row r="1111" spans="6:8">
      <c r="F1111" s="56" t="s">
        <v>9512</v>
      </c>
      <c r="G1111" s="58" t="s">
        <v>9512</v>
      </c>
      <c r="H1111" s="57"/>
    </row>
    <row r="1112" spans="6:8">
      <c r="F1112" s="56" t="s">
        <v>9514</v>
      </c>
      <c r="G1112" s="58" t="s">
        <v>9514</v>
      </c>
      <c r="H1112" s="57"/>
    </row>
    <row r="1113" spans="6:8">
      <c r="F1113" s="56" t="s">
        <v>9516</v>
      </c>
      <c r="G1113" s="58" t="s">
        <v>9516</v>
      </c>
      <c r="H1113" s="57"/>
    </row>
    <row r="1114" spans="6:8">
      <c r="F1114" s="56" t="s">
        <v>9518</v>
      </c>
      <c r="G1114" s="58" t="s">
        <v>9518</v>
      </c>
      <c r="H1114" s="57"/>
    </row>
    <row r="1115" spans="6:8">
      <c r="F1115" s="56" t="s">
        <v>9519</v>
      </c>
      <c r="G1115" s="58" t="s">
        <v>9519</v>
      </c>
      <c r="H1115" s="57"/>
    </row>
    <row r="1116" spans="6:8">
      <c r="F1116" s="56" t="s">
        <v>9520</v>
      </c>
      <c r="G1116" s="58" t="s">
        <v>9520</v>
      </c>
      <c r="H1116" s="57"/>
    </row>
    <row r="1117" spans="6:8">
      <c r="F1117" s="56" t="s">
        <v>9521</v>
      </c>
      <c r="G1117" s="58" t="s">
        <v>9521</v>
      </c>
      <c r="H1117" s="57"/>
    </row>
    <row r="1118" spans="6:8">
      <c r="F1118" s="56" t="s">
        <v>9523</v>
      </c>
      <c r="G1118" s="58" t="s">
        <v>9523</v>
      </c>
      <c r="H1118" s="57"/>
    </row>
    <row r="1119" spans="6:8">
      <c r="F1119" s="56" t="s">
        <v>9525</v>
      </c>
      <c r="G1119" s="58" t="s">
        <v>9525</v>
      </c>
      <c r="H1119" s="57"/>
    </row>
    <row r="1120" spans="6:8">
      <c r="F1120" s="56" t="s">
        <v>9527</v>
      </c>
      <c r="G1120" s="58" t="s">
        <v>9527</v>
      </c>
      <c r="H1120" s="57"/>
    </row>
    <row r="1121" spans="6:8">
      <c r="F1121" s="56" t="s">
        <v>9529</v>
      </c>
      <c r="G1121" s="58" t="s">
        <v>9529</v>
      </c>
      <c r="H1121" s="57"/>
    </row>
    <row r="1122" spans="6:8">
      <c r="F1122" s="56" t="s">
        <v>9531</v>
      </c>
      <c r="G1122" s="58" t="s">
        <v>9531</v>
      </c>
      <c r="H1122" s="57"/>
    </row>
    <row r="1123" spans="6:8">
      <c r="F1123" s="56" t="s">
        <v>9532</v>
      </c>
      <c r="G1123" s="58" t="s">
        <v>9532</v>
      </c>
      <c r="H1123" s="57"/>
    </row>
    <row r="1124" spans="6:8">
      <c r="F1124" s="56" t="s">
        <v>9533</v>
      </c>
      <c r="G1124" s="58" t="s">
        <v>9533</v>
      </c>
      <c r="H1124" s="57"/>
    </row>
    <row r="1125" spans="6:8">
      <c r="F1125" s="56" t="s">
        <v>9534</v>
      </c>
      <c r="G1125" s="58" t="s">
        <v>9534</v>
      </c>
      <c r="H1125" s="57"/>
    </row>
    <row r="1126" spans="6:8">
      <c r="F1126" s="56" t="s">
        <v>9536</v>
      </c>
      <c r="G1126" s="58" t="s">
        <v>9536</v>
      </c>
      <c r="H1126" s="57"/>
    </row>
    <row r="1127" spans="6:8">
      <c r="F1127" s="56" t="s">
        <v>9538</v>
      </c>
      <c r="G1127" s="58" t="s">
        <v>9538</v>
      </c>
      <c r="H1127" s="57"/>
    </row>
    <row r="1128" spans="6:8">
      <c r="F1128" s="56" t="s">
        <v>9543</v>
      </c>
      <c r="G1128" s="58" t="s">
        <v>9543</v>
      </c>
      <c r="H1128" s="57"/>
    </row>
    <row r="1129" spans="6:8">
      <c r="F1129" s="56" t="s">
        <v>9544</v>
      </c>
      <c r="G1129" s="58" t="s">
        <v>9544</v>
      </c>
      <c r="H1129" s="57"/>
    </row>
    <row r="1130" spans="6:8">
      <c r="F1130" s="56" t="s">
        <v>9545</v>
      </c>
      <c r="G1130" s="58" t="s">
        <v>9545</v>
      </c>
      <c r="H1130" s="57"/>
    </row>
    <row r="1131" spans="6:8">
      <c r="F1131" s="56" t="s">
        <v>9547</v>
      </c>
      <c r="G1131" s="58" t="s">
        <v>9547</v>
      </c>
      <c r="H1131" s="57"/>
    </row>
    <row r="1132" spans="6:8">
      <c r="F1132" s="56" t="s">
        <v>4456</v>
      </c>
      <c r="G1132" s="58" t="s">
        <v>4456</v>
      </c>
      <c r="H1132" s="57"/>
    </row>
    <row r="1133" spans="6:8">
      <c r="F1133" s="56" t="s">
        <v>5840</v>
      </c>
      <c r="G1133" s="58" t="s">
        <v>5840</v>
      </c>
      <c r="H1133" s="57"/>
    </row>
    <row r="1134" spans="6:8">
      <c r="F1134" s="56" t="s">
        <v>9551</v>
      </c>
      <c r="G1134" s="58" t="s">
        <v>9551</v>
      </c>
      <c r="H1134" s="57"/>
    </row>
    <row r="1135" spans="6:8">
      <c r="F1135" s="56" t="s">
        <v>9553</v>
      </c>
      <c r="G1135" s="58" t="s">
        <v>9553</v>
      </c>
      <c r="H1135" s="57"/>
    </row>
    <row r="1136" spans="6:8">
      <c r="F1136" s="56" t="s">
        <v>9555</v>
      </c>
      <c r="G1136" s="58" t="s">
        <v>9555</v>
      </c>
      <c r="H1136" s="57"/>
    </row>
    <row r="1137" spans="6:8">
      <c r="F1137" s="56" t="s">
        <v>5841</v>
      </c>
      <c r="G1137" s="58" t="s">
        <v>5841</v>
      </c>
      <c r="H1137" s="57"/>
    </row>
    <row r="1138" spans="6:8">
      <c r="F1138" s="56" t="s">
        <v>5842</v>
      </c>
      <c r="G1138" s="58" t="s">
        <v>5842</v>
      </c>
      <c r="H1138" s="57"/>
    </row>
    <row r="1139" spans="6:8">
      <c r="F1139" s="56" t="s">
        <v>5843</v>
      </c>
      <c r="G1139" s="58" t="s">
        <v>5843</v>
      </c>
      <c r="H1139" s="57"/>
    </row>
    <row r="1140" spans="6:8">
      <c r="F1140" s="56" t="s">
        <v>5844</v>
      </c>
      <c r="G1140" s="58" t="s">
        <v>5844</v>
      </c>
      <c r="H1140" s="57"/>
    </row>
    <row r="1141" spans="6:8">
      <c r="F1141" s="56" t="s">
        <v>9561</v>
      </c>
      <c r="G1141" s="58" t="s">
        <v>9561</v>
      </c>
      <c r="H1141" s="57"/>
    </row>
    <row r="1142" spans="6:8">
      <c r="F1142" s="56" t="s">
        <v>9563</v>
      </c>
      <c r="G1142" s="58" t="s">
        <v>9563</v>
      </c>
      <c r="H1142" s="57"/>
    </row>
    <row r="1143" spans="6:8">
      <c r="F1143" s="56" t="s">
        <v>9565</v>
      </c>
      <c r="G1143" s="58" t="s">
        <v>9565</v>
      </c>
      <c r="H1143" s="57"/>
    </row>
    <row r="1144" spans="6:8">
      <c r="F1144" s="56" t="s">
        <v>9567</v>
      </c>
      <c r="G1144" s="58" t="s">
        <v>9567</v>
      </c>
      <c r="H1144" s="57"/>
    </row>
    <row r="1145" spans="6:8">
      <c r="F1145" s="56" t="s">
        <v>9569</v>
      </c>
      <c r="G1145" s="58" t="s">
        <v>9569</v>
      </c>
      <c r="H1145" s="57"/>
    </row>
    <row r="1146" spans="6:8">
      <c r="F1146" s="56" t="s">
        <v>5875</v>
      </c>
      <c r="G1146" s="58" t="s">
        <v>5875</v>
      </c>
      <c r="H1146" s="57"/>
    </row>
    <row r="1147" spans="6:8">
      <c r="F1147" s="56" t="s">
        <v>5876</v>
      </c>
      <c r="G1147" s="58" t="s">
        <v>5876</v>
      </c>
      <c r="H1147" s="57"/>
    </row>
    <row r="1148" spans="6:8">
      <c r="F1148" s="56" t="s">
        <v>5877</v>
      </c>
      <c r="G1148" s="58" t="s">
        <v>5877</v>
      </c>
      <c r="H1148" s="57"/>
    </row>
    <row r="1149" spans="6:8">
      <c r="F1149" s="56" t="s">
        <v>5878</v>
      </c>
      <c r="G1149" s="58" t="s">
        <v>5878</v>
      </c>
      <c r="H1149" s="57"/>
    </row>
    <row r="1150" spans="6:8">
      <c r="F1150" s="56" t="s">
        <v>5879</v>
      </c>
      <c r="G1150" s="58" t="s">
        <v>5879</v>
      </c>
      <c r="H1150" s="57"/>
    </row>
    <row r="1151" spans="6:8">
      <c r="F1151" s="56" t="s">
        <v>5880</v>
      </c>
      <c r="G1151" s="58" t="s">
        <v>5880</v>
      </c>
      <c r="H1151" s="57"/>
    </row>
    <row r="1152" spans="6:8">
      <c r="F1152" s="56" t="s">
        <v>9575</v>
      </c>
      <c r="G1152" s="58" t="s">
        <v>9575</v>
      </c>
      <c r="H1152" s="57"/>
    </row>
    <row r="1153" spans="6:8">
      <c r="F1153" s="56" t="s">
        <v>4457</v>
      </c>
      <c r="G1153" s="58" t="s">
        <v>4457</v>
      </c>
      <c r="H1153" s="57"/>
    </row>
    <row r="1154" spans="6:8">
      <c r="F1154" s="56" t="s">
        <v>5911</v>
      </c>
      <c r="G1154" s="58" t="s">
        <v>5911</v>
      </c>
      <c r="H1154" s="57"/>
    </row>
    <row r="1155" spans="6:8">
      <c r="F1155" s="56" t="s">
        <v>9576</v>
      </c>
      <c r="G1155" s="58" t="s">
        <v>9576</v>
      </c>
      <c r="H1155" s="57"/>
    </row>
    <row r="1156" spans="6:8">
      <c r="F1156" s="56" t="s">
        <v>9577</v>
      </c>
      <c r="G1156" s="58" t="s">
        <v>9577</v>
      </c>
      <c r="H1156" s="57"/>
    </row>
    <row r="1157" spans="6:8">
      <c r="F1157" s="56" t="s">
        <v>9578</v>
      </c>
      <c r="G1157" s="58" t="s">
        <v>9578</v>
      </c>
      <c r="H1157" s="57"/>
    </row>
    <row r="1158" spans="6:8">
      <c r="F1158" s="56" t="s">
        <v>5912</v>
      </c>
      <c r="G1158" s="58" t="s">
        <v>5912</v>
      </c>
      <c r="H1158" s="57"/>
    </row>
    <row r="1159" spans="6:8">
      <c r="F1159" s="56" t="s">
        <v>5913</v>
      </c>
      <c r="G1159" s="58" t="s">
        <v>5913</v>
      </c>
      <c r="H1159" s="57"/>
    </row>
    <row r="1160" spans="6:8">
      <c r="F1160" s="56" t="s">
        <v>5914</v>
      </c>
      <c r="G1160" s="58" t="s">
        <v>5914</v>
      </c>
      <c r="H1160" s="57"/>
    </row>
    <row r="1161" spans="6:8">
      <c r="F1161" s="56" t="s">
        <v>5915</v>
      </c>
      <c r="G1161" s="58" t="s">
        <v>5915</v>
      </c>
      <c r="H1161" s="57"/>
    </row>
    <row r="1162" spans="6:8">
      <c r="F1162" s="56" t="s">
        <v>9579</v>
      </c>
      <c r="G1162" s="58" t="s">
        <v>9579</v>
      </c>
      <c r="H1162" s="57"/>
    </row>
    <row r="1163" spans="6:8">
      <c r="F1163" s="56" t="s">
        <v>9580</v>
      </c>
      <c r="G1163" s="58" t="s">
        <v>9580</v>
      </c>
      <c r="H1163" s="57"/>
    </row>
    <row r="1164" spans="6:8">
      <c r="F1164" s="56" t="s">
        <v>9581</v>
      </c>
      <c r="G1164" s="58" t="s">
        <v>9581</v>
      </c>
      <c r="H1164" s="57"/>
    </row>
    <row r="1165" spans="6:8">
      <c r="F1165" s="56" t="s">
        <v>9582</v>
      </c>
      <c r="G1165" s="58" t="s">
        <v>9582</v>
      </c>
      <c r="H1165" s="57"/>
    </row>
    <row r="1166" spans="6:8">
      <c r="F1166" s="56" t="s">
        <v>9583</v>
      </c>
      <c r="G1166" s="58" t="s">
        <v>9583</v>
      </c>
      <c r="H1166" s="57"/>
    </row>
    <row r="1167" spans="6:8">
      <c r="F1167" s="56" t="s">
        <v>9584</v>
      </c>
      <c r="G1167" s="58" t="s">
        <v>9584</v>
      </c>
      <c r="H1167" s="57"/>
    </row>
    <row r="1168" spans="6:8">
      <c r="F1168" s="56" t="s">
        <v>9585</v>
      </c>
      <c r="G1168" s="58" t="s">
        <v>9585</v>
      </c>
      <c r="H1168" s="57"/>
    </row>
    <row r="1169" spans="6:8">
      <c r="F1169" s="56" t="s">
        <v>9587</v>
      </c>
      <c r="G1169" s="58" t="s">
        <v>9587</v>
      </c>
      <c r="H1169" s="57"/>
    </row>
    <row r="1170" spans="6:8">
      <c r="F1170" s="56" t="s">
        <v>9589</v>
      </c>
      <c r="G1170" s="58" t="s">
        <v>9589</v>
      </c>
      <c r="H1170" s="57"/>
    </row>
    <row r="1171" spans="6:8">
      <c r="F1171" s="56" t="s">
        <v>9590</v>
      </c>
      <c r="G1171" s="58" t="s">
        <v>9590</v>
      </c>
      <c r="H1171" s="57"/>
    </row>
    <row r="1172" spans="6:8">
      <c r="F1172" s="56" t="s">
        <v>9591</v>
      </c>
      <c r="G1172" s="58" t="s">
        <v>9591</v>
      </c>
      <c r="H1172" s="57"/>
    </row>
    <row r="1173" spans="6:8">
      <c r="F1173" s="56" t="s">
        <v>9591</v>
      </c>
      <c r="G1173" s="58" t="s">
        <v>9591</v>
      </c>
      <c r="H1173" s="57"/>
    </row>
    <row r="1174" spans="6:8">
      <c r="F1174" s="56" t="s">
        <v>9593</v>
      </c>
      <c r="G1174" s="58" t="s">
        <v>9593</v>
      </c>
      <c r="H1174" s="57"/>
    </row>
    <row r="1175" spans="6:8">
      <c r="F1175" s="56" t="s">
        <v>9595</v>
      </c>
      <c r="G1175" s="58" t="s">
        <v>9595</v>
      </c>
      <c r="H1175" s="57"/>
    </row>
    <row r="1176" spans="6:8">
      <c r="F1176" s="56" t="s">
        <v>9597</v>
      </c>
      <c r="G1176" s="58" t="s">
        <v>9597</v>
      </c>
      <c r="H1176" s="57"/>
    </row>
    <row r="1177" spans="6:8">
      <c r="F1177" s="56" t="s">
        <v>9599</v>
      </c>
      <c r="G1177" s="58" t="s">
        <v>9599</v>
      </c>
      <c r="H1177" s="57"/>
    </row>
    <row r="1178" spans="6:8">
      <c r="F1178" s="56" t="s">
        <v>9601</v>
      </c>
      <c r="G1178" s="58" t="s">
        <v>9601</v>
      </c>
      <c r="H1178" s="57"/>
    </row>
    <row r="1179" spans="6:8">
      <c r="F1179" s="56" t="s">
        <v>9603</v>
      </c>
      <c r="G1179" s="58" t="s">
        <v>9603</v>
      </c>
      <c r="H1179" s="57"/>
    </row>
    <row r="1180" spans="6:8">
      <c r="F1180" s="56" t="s">
        <v>9605</v>
      </c>
      <c r="G1180" s="58" t="s">
        <v>9605</v>
      </c>
      <c r="H1180" s="57"/>
    </row>
    <row r="1181" spans="6:8">
      <c r="F1181" s="56" t="s">
        <v>9607</v>
      </c>
      <c r="G1181" s="58" t="s">
        <v>9607</v>
      </c>
      <c r="H1181" s="57"/>
    </row>
    <row r="1182" spans="6:8">
      <c r="F1182" s="56" t="s">
        <v>9609</v>
      </c>
      <c r="G1182" s="58" t="s">
        <v>9609</v>
      </c>
      <c r="H1182" s="57"/>
    </row>
    <row r="1183" spans="6:8">
      <c r="F1183" s="56" t="s">
        <v>9611</v>
      </c>
      <c r="G1183" s="58" t="s">
        <v>9611</v>
      </c>
      <c r="H1183" s="57"/>
    </row>
    <row r="1184" spans="6:8">
      <c r="F1184" s="56" t="s">
        <v>9613</v>
      </c>
      <c r="G1184" s="58" t="s">
        <v>9613</v>
      </c>
      <c r="H1184" s="57"/>
    </row>
    <row r="1185" spans="6:8">
      <c r="F1185" s="56" t="s">
        <v>9615</v>
      </c>
      <c r="G1185" s="58" t="s">
        <v>9615</v>
      </c>
      <c r="H1185" s="57"/>
    </row>
    <row r="1186" spans="6:8">
      <c r="F1186" s="56" t="s">
        <v>9617</v>
      </c>
      <c r="G1186" s="58" t="s">
        <v>9617</v>
      </c>
      <c r="H1186" s="57"/>
    </row>
    <row r="1187" spans="6:8">
      <c r="F1187" s="56" t="s">
        <v>9618</v>
      </c>
      <c r="G1187" s="58" t="s">
        <v>9618</v>
      </c>
      <c r="H1187" s="57"/>
    </row>
    <row r="1188" spans="6:8">
      <c r="F1188" s="56" t="s">
        <v>9620</v>
      </c>
      <c r="G1188" s="58" t="s">
        <v>9620</v>
      </c>
      <c r="H1188" s="57"/>
    </row>
    <row r="1189" spans="6:8">
      <c r="F1189" s="56" t="s">
        <v>9622</v>
      </c>
      <c r="G1189" s="58" t="s">
        <v>9622</v>
      </c>
      <c r="H1189" s="57"/>
    </row>
    <row r="1190" spans="6:8">
      <c r="F1190" s="56" t="s">
        <v>9624</v>
      </c>
      <c r="G1190" s="58" t="s">
        <v>9624</v>
      </c>
      <c r="H1190" s="57"/>
    </row>
    <row r="1191" spans="6:8">
      <c r="F1191" s="56" t="s">
        <v>9626</v>
      </c>
      <c r="G1191" s="58" t="s">
        <v>9626</v>
      </c>
      <c r="H1191" s="57"/>
    </row>
    <row r="1192" spans="6:8">
      <c r="F1192" s="56" t="s">
        <v>9628</v>
      </c>
      <c r="G1192" s="58" t="s">
        <v>9628</v>
      </c>
      <c r="H1192" s="57"/>
    </row>
    <row r="1193" spans="6:8">
      <c r="F1193" s="56" t="s">
        <v>9630</v>
      </c>
      <c r="G1193" s="58" t="s">
        <v>9630</v>
      </c>
      <c r="H1193" s="57"/>
    </row>
    <row r="1194" spans="6:8">
      <c r="F1194" s="56" t="s">
        <v>9632</v>
      </c>
      <c r="G1194" s="58" t="s">
        <v>9632</v>
      </c>
      <c r="H1194" s="57"/>
    </row>
    <row r="1195" spans="6:8">
      <c r="F1195" s="56" t="s">
        <v>9634</v>
      </c>
      <c r="G1195" s="58" t="s">
        <v>9634</v>
      </c>
      <c r="H1195" s="57"/>
    </row>
    <row r="1196" spans="6:8">
      <c r="F1196" s="56" t="s">
        <v>9636</v>
      </c>
      <c r="G1196" s="58" t="s">
        <v>9636</v>
      </c>
      <c r="H1196" s="57"/>
    </row>
    <row r="1197" spans="6:8">
      <c r="F1197" s="56" t="s">
        <v>9638</v>
      </c>
      <c r="G1197" s="58" t="s">
        <v>9638</v>
      </c>
      <c r="H1197" s="57"/>
    </row>
    <row r="1198" spans="6:8">
      <c r="F1198" s="56" t="s">
        <v>9640</v>
      </c>
      <c r="G1198" s="58" t="s">
        <v>9640</v>
      </c>
      <c r="H1198" s="57"/>
    </row>
    <row r="1199" spans="6:8">
      <c r="F1199" s="56" t="s">
        <v>3697</v>
      </c>
      <c r="G1199" s="58" t="s">
        <v>3697</v>
      </c>
      <c r="H1199" s="57"/>
    </row>
    <row r="1200" spans="6:8">
      <c r="F1200" s="56" t="s">
        <v>3698</v>
      </c>
      <c r="G1200" s="58" t="s">
        <v>3698</v>
      </c>
      <c r="H1200" s="57"/>
    </row>
    <row r="1201" spans="6:8">
      <c r="F1201" s="56" t="s">
        <v>3699</v>
      </c>
      <c r="G1201" s="58" t="s">
        <v>3699</v>
      </c>
      <c r="H1201" s="57"/>
    </row>
    <row r="1202" spans="6:8">
      <c r="F1202" s="56" t="s">
        <v>9645</v>
      </c>
      <c r="G1202" s="58" t="s">
        <v>9645</v>
      </c>
      <c r="H1202" s="57"/>
    </row>
    <row r="1203" spans="6:8">
      <c r="F1203" s="56" t="s">
        <v>9648</v>
      </c>
      <c r="G1203" s="58" t="s">
        <v>9648</v>
      </c>
      <c r="H1203" s="57"/>
    </row>
    <row r="1204" spans="6:8">
      <c r="F1204" s="56" t="s">
        <v>9651</v>
      </c>
      <c r="G1204" s="58" t="s">
        <v>9651</v>
      </c>
      <c r="H1204" s="57"/>
    </row>
    <row r="1205" spans="6:8">
      <c r="F1205" s="56" t="s">
        <v>9654</v>
      </c>
      <c r="G1205" s="58" t="s">
        <v>9654</v>
      </c>
      <c r="H1205" s="57"/>
    </row>
    <row r="1206" spans="6:8">
      <c r="F1206" s="56" t="s">
        <v>9656</v>
      </c>
      <c r="G1206" s="58" t="s">
        <v>9656</v>
      </c>
      <c r="H1206" s="57"/>
    </row>
    <row r="1207" spans="6:8">
      <c r="F1207" s="56" t="s">
        <v>9658</v>
      </c>
      <c r="G1207" s="58" t="s">
        <v>9658</v>
      </c>
      <c r="H1207" s="57"/>
    </row>
    <row r="1208" spans="6:8">
      <c r="F1208" s="56" t="s">
        <v>9660</v>
      </c>
      <c r="G1208" s="58" t="s">
        <v>9660</v>
      </c>
      <c r="H1208" s="57"/>
    </row>
    <row r="1209" spans="6:8">
      <c r="F1209" s="56" t="s">
        <v>9662</v>
      </c>
      <c r="G1209" s="58" t="s">
        <v>9662</v>
      </c>
      <c r="H1209" s="57"/>
    </row>
    <row r="1210" spans="6:8">
      <c r="F1210" s="56" t="s">
        <v>9664</v>
      </c>
      <c r="G1210" s="58" t="s">
        <v>9664</v>
      </c>
      <c r="H1210" s="57"/>
    </row>
    <row r="1211" spans="6:8">
      <c r="F1211" s="56" t="s">
        <v>9666</v>
      </c>
      <c r="G1211" s="58" t="s">
        <v>9666</v>
      </c>
      <c r="H1211" s="57"/>
    </row>
    <row r="1212" spans="6:8">
      <c r="F1212" s="56" t="s">
        <v>9667</v>
      </c>
      <c r="G1212" s="58" t="s">
        <v>9667</v>
      </c>
      <c r="H1212" s="57"/>
    </row>
    <row r="1213" spans="6:8">
      <c r="F1213" s="56" t="s">
        <v>9668</v>
      </c>
      <c r="G1213" s="58" t="s">
        <v>9668</v>
      </c>
      <c r="H1213" s="57"/>
    </row>
    <row r="1214" spans="6:8">
      <c r="F1214" s="56" t="s">
        <v>7196</v>
      </c>
      <c r="G1214" s="58" t="s">
        <v>7196</v>
      </c>
      <c r="H1214" s="57"/>
    </row>
    <row r="1215" spans="6:8">
      <c r="F1215" s="56" t="s">
        <v>9670</v>
      </c>
      <c r="G1215" s="58" t="s">
        <v>9670</v>
      </c>
      <c r="H1215" s="57"/>
    </row>
    <row r="1216" spans="6:8">
      <c r="F1216" s="56" t="s">
        <v>9672</v>
      </c>
      <c r="G1216" s="58" t="s">
        <v>9672</v>
      </c>
      <c r="H1216" s="57"/>
    </row>
    <row r="1217" spans="6:8">
      <c r="F1217" s="56" t="s">
        <v>9674</v>
      </c>
      <c r="G1217" s="58" t="s">
        <v>9674</v>
      </c>
      <c r="H1217" s="57"/>
    </row>
    <row r="1218" spans="6:8">
      <c r="F1218" s="56" t="s">
        <v>9677</v>
      </c>
      <c r="G1218" s="58" t="s">
        <v>9677</v>
      </c>
      <c r="H1218" s="57"/>
    </row>
    <row r="1219" spans="6:8">
      <c r="F1219" s="56" t="s">
        <v>9678</v>
      </c>
      <c r="G1219" s="58" t="s">
        <v>9678</v>
      </c>
      <c r="H1219" s="57"/>
    </row>
    <row r="1220" spans="6:8">
      <c r="F1220" s="56" t="s">
        <v>9679</v>
      </c>
      <c r="G1220" s="58" t="s">
        <v>9679</v>
      </c>
      <c r="H1220" s="57"/>
    </row>
    <row r="1221" spans="6:8">
      <c r="F1221" s="56" t="s">
        <v>9680</v>
      </c>
      <c r="G1221" s="58" t="s">
        <v>9680</v>
      </c>
      <c r="H1221" s="57"/>
    </row>
    <row r="1222" spans="6:8">
      <c r="F1222" s="56" t="s">
        <v>9682</v>
      </c>
      <c r="G1222" s="58" t="s">
        <v>9682</v>
      </c>
      <c r="H1222" s="57"/>
    </row>
    <row r="1223" spans="6:8">
      <c r="F1223" s="56" t="s">
        <v>9684</v>
      </c>
      <c r="G1223" s="58" t="s">
        <v>9684</v>
      </c>
      <c r="H1223" s="57"/>
    </row>
    <row r="1224" spans="6:8">
      <c r="F1224" s="56" t="s">
        <v>9686</v>
      </c>
      <c r="G1224" s="58" t="s">
        <v>9686</v>
      </c>
      <c r="H1224" s="57"/>
    </row>
    <row r="1225" spans="6:8">
      <c r="F1225" s="56" t="s">
        <v>9689</v>
      </c>
      <c r="G1225" s="58" t="s">
        <v>9689</v>
      </c>
      <c r="H1225" s="57"/>
    </row>
    <row r="1226" spans="6:8">
      <c r="F1226" s="56" t="s">
        <v>9690</v>
      </c>
      <c r="G1226" s="58" t="s">
        <v>9690</v>
      </c>
      <c r="H1226" s="57"/>
    </row>
    <row r="1227" spans="6:8">
      <c r="F1227" s="56" t="s">
        <v>9691</v>
      </c>
      <c r="G1227" s="58" t="s">
        <v>9691</v>
      </c>
      <c r="H1227" s="57"/>
    </row>
    <row r="1228" spans="6:8">
      <c r="F1228" s="56" t="s">
        <v>9692</v>
      </c>
      <c r="G1228" s="58" t="s">
        <v>9692</v>
      </c>
      <c r="H1228" s="57"/>
    </row>
    <row r="1229" spans="6:8">
      <c r="F1229" s="56" t="s">
        <v>9693</v>
      </c>
      <c r="G1229" s="58" t="s">
        <v>9693</v>
      </c>
      <c r="H1229" s="57"/>
    </row>
    <row r="1230" spans="6:8">
      <c r="F1230" s="56" t="s">
        <v>9696</v>
      </c>
      <c r="G1230" s="58" t="s">
        <v>9696</v>
      </c>
      <c r="H1230" s="57"/>
    </row>
    <row r="1231" spans="6:8">
      <c r="F1231" s="56" t="s">
        <v>9699</v>
      </c>
      <c r="G1231" s="58" t="s">
        <v>9699</v>
      </c>
      <c r="H1231" s="57"/>
    </row>
    <row r="1232" spans="6:8">
      <c r="F1232" s="56" t="s">
        <v>9700</v>
      </c>
      <c r="G1232" s="58" t="s">
        <v>9700</v>
      </c>
      <c r="H1232" s="57"/>
    </row>
    <row r="1233" spans="6:8">
      <c r="F1233" s="56" t="s">
        <v>9702</v>
      </c>
      <c r="G1233" s="58" t="s">
        <v>9702</v>
      </c>
      <c r="H1233" s="57"/>
    </row>
    <row r="1234" spans="6:8">
      <c r="F1234" s="56" t="s">
        <v>9708</v>
      </c>
      <c r="G1234" s="58" t="s">
        <v>9708</v>
      </c>
      <c r="H1234" s="57"/>
    </row>
    <row r="1235" spans="6:8">
      <c r="F1235" s="56" t="s">
        <v>9711</v>
      </c>
      <c r="G1235" s="58" t="s">
        <v>9711</v>
      </c>
      <c r="H1235" s="57"/>
    </row>
    <row r="1236" spans="6:8">
      <c r="F1236" s="56" t="s">
        <v>9712</v>
      </c>
      <c r="G1236" s="58" t="s">
        <v>9712</v>
      </c>
      <c r="H1236" s="57"/>
    </row>
    <row r="1237" spans="6:8">
      <c r="F1237" s="56" t="s">
        <v>9714</v>
      </c>
      <c r="G1237" s="58" t="s">
        <v>9714</v>
      </c>
      <c r="H1237" s="57"/>
    </row>
    <row r="1238" spans="6:8">
      <c r="F1238" s="56" t="s">
        <v>9717</v>
      </c>
      <c r="G1238" s="58" t="s">
        <v>9717</v>
      </c>
      <c r="H1238" s="57"/>
    </row>
    <row r="1239" spans="6:8">
      <c r="F1239" s="56" t="s">
        <v>9718</v>
      </c>
      <c r="G1239" s="58" t="s">
        <v>9718</v>
      </c>
      <c r="H1239" s="57"/>
    </row>
    <row r="1240" spans="6:8">
      <c r="F1240" s="56" t="s">
        <v>9719</v>
      </c>
      <c r="G1240" s="58" t="s">
        <v>9719</v>
      </c>
      <c r="H1240" s="57"/>
    </row>
    <row r="1241" spans="6:8">
      <c r="F1241" s="56" t="s">
        <v>9721</v>
      </c>
      <c r="G1241" s="58" t="s">
        <v>9721</v>
      </c>
      <c r="H1241" s="57"/>
    </row>
    <row r="1242" spans="6:8">
      <c r="F1242" s="56" t="s">
        <v>9725</v>
      </c>
      <c r="G1242" s="58" t="s">
        <v>9725</v>
      </c>
      <c r="H1242" s="57"/>
    </row>
    <row r="1243" spans="6:8">
      <c r="F1243" s="56" t="s">
        <v>9728</v>
      </c>
      <c r="G1243" s="58" t="s">
        <v>9728</v>
      </c>
      <c r="H1243" s="57"/>
    </row>
    <row r="1244" spans="6:8">
      <c r="F1244" s="56" t="s">
        <v>9729</v>
      </c>
      <c r="G1244" s="58" t="s">
        <v>9729</v>
      </c>
      <c r="H1244" s="57"/>
    </row>
    <row r="1245" spans="6:8">
      <c r="F1245" s="56" t="s">
        <v>9730</v>
      </c>
      <c r="G1245" s="58" t="s">
        <v>9730</v>
      </c>
      <c r="H1245" s="57"/>
    </row>
    <row r="1246" spans="6:8">
      <c r="F1246" s="56" t="s">
        <v>9731</v>
      </c>
      <c r="G1246" s="58" t="s">
        <v>9731</v>
      </c>
      <c r="H1246" s="57"/>
    </row>
    <row r="1247" spans="6:8">
      <c r="F1247" s="56" t="s">
        <v>9733</v>
      </c>
      <c r="G1247" s="58" t="s">
        <v>9733</v>
      </c>
      <c r="H1247" s="57"/>
    </row>
    <row r="1248" spans="6:8">
      <c r="F1248" s="56" t="s">
        <v>9734</v>
      </c>
      <c r="G1248" s="58" t="s">
        <v>9734</v>
      </c>
      <c r="H1248" s="57"/>
    </row>
    <row r="1249" spans="6:8">
      <c r="F1249" s="56" t="s">
        <v>9736</v>
      </c>
      <c r="G1249" s="58" t="s">
        <v>9736</v>
      </c>
      <c r="H1249" s="57"/>
    </row>
    <row r="1250" spans="6:8">
      <c r="F1250" s="56" t="s">
        <v>9735</v>
      </c>
      <c r="G1250" s="58" t="s">
        <v>9735</v>
      </c>
      <c r="H1250" s="57"/>
    </row>
    <row r="1251" spans="6:8">
      <c r="F1251" s="56" t="s">
        <v>9737</v>
      </c>
      <c r="G1251" s="58" t="s">
        <v>9737</v>
      </c>
      <c r="H1251" s="57"/>
    </row>
    <row r="1252" spans="6:8">
      <c r="F1252" s="56" t="s">
        <v>9740</v>
      </c>
      <c r="G1252" s="58" t="s">
        <v>9740</v>
      </c>
      <c r="H1252" s="57"/>
    </row>
    <row r="1253" spans="6:8">
      <c r="F1253" s="56" t="s">
        <v>9739</v>
      </c>
      <c r="G1253" s="58" t="s">
        <v>9739</v>
      </c>
      <c r="H1253" s="57"/>
    </row>
    <row r="1254" spans="6:8">
      <c r="F1254" s="56" t="s">
        <v>9741</v>
      </c>
      <c r="G1254" s="58" t="s">
        <v>9741</v>
      </c>
      <c r="H1254" s="57"/>
    </row>
    <row r="1255" spans="6:8">
      <c r="F1255" s="56" t="s">
        <v>9743</v>
      </c>
      <c r="G1255" s="58" t="s">
        <v>9743</v>
      </c>
      <c r="H1255" s="57"/>
    </row>
    <row r="1256" spans="6:8">
      <c r="F1256" s="56" t="s">
        <v>9744</v>
      </c>
      <c r="G1256" s="58" t="s">
        <v>9744</v>
      </c>
      <c r="H1256" s="57"/>
    </row>
    <row r="1257" spans="6:8">
      <c r="F1257" s="56" t="s">
        <v>9745</v>
      </c>
      <c r="G1257" s="58" t="s">
        <v>9745</v>
      </c>
      <c r="H1257" s="57"/>
    </row>
    <row r="1258" spans="6:8">
      <c r="F1258" s="56" t="s">
        <v>9747</v>
      </c>
      <c r="G1258" s="58" t="s">
        <v>9747</v>
      </c>
      <c r="H1258" s="57"/>
    </row>
    <row r="1259" spans="6:8">
      <c r="F1259" s="56" t="s">
        <v>9746</v>
      </c>
      <c r="G1259" s="58" t="s">
        <v>9746</v>
      </c>
      <c r="H1259" s="57"/>
    </row>
    <row r="1260" spans="6:8">
      <c r="F1260" s="56" t="s">
        <v>9748</v>
      </c>
      <c r="G1260" s="58" t="s">
        <v>9748</v>
      </c>
      <c r="H1260" s="57"/>
    </row>
    <row r="1261" spans="6:8">
      <c r="F1261" s="56" t="s">
        <v>9751</v>
      </c>
      <c r="G1261" s="58" t="s">
        <v>9751</v>
      </c>
      <c r="H1261" s="57"/>
    </row>
    <row r="1262" spans="6:8">
      <c r="F1262" s="56" t="s">
        <v>9752</v>
      </c>
      <c r="G1262" s="58" t="s">
        <v>9752</v>
      </c>
      <c r="H1262" s="57"/>
    </row>
    <row r="1263" spans="6:8">
      <c r="F1263" s="56" t="s">
        <v>9754</v>
      </c>
      <c r="G1263" s="58" t="s">
        <v>9754</v>
      </c>
      <c r="H1263" s="57"/>
    </row>
    <row r="1264" spans="6:8">
      <c r="F1264" s="56" t="s">
        <v>9755</v>
      </c>
      <c r="G1264" s="58" t="s">
        <v>9755</v>
      </c>
      <c r="H1264" s="57"/>
    </row>
    <row r="1265" spans="6:8">
      <c r="F1265" s="56" t="s">
        <v>9757</v>
      </c>
      <c r="G1265" s="58" t="s">
        <v>9757</v>
      </c>
      <c r="H1265" s="57"/>
    </row>
    <row r="1266" spans="6:8">
      <c r="F1266" s="56" t="s">
        <v>9750</v>
      </c>
      <c r="G1266" s="58" t="s">
        <v>9750</v>
      </c>
      <c r="H1266" s="57"/>
    </row>
    <row r="1267" spans="6:8">
      <c r="F1267" s="56" t="s">
        <v>9759</v>
      </c>
      <c r="G1267" s="58" t="s">
        <v>9759</v>
      </c>
      <c r="H1267" s="57"/>
    </row>
    <row r="1268" spans="6:8">
      <c r="F1268" s="56" t="s">
        <v>9761</v>
      </c>
      <c r="G1268" s="58" t="s">
        <v>9761</v>
      </c>
      <c r="H1268" s="57"/>
    </row>
    <row r="1269" spans="6:8">
      <c r="F1269" s="56" t="s">
        <v>9762</v>
      </c>
      <c r="G1269" s="58" t="s">
        <v>9762</v>
      </c>
      <c r="H1269" s="57"/>
    </row>
    <row r="1270" spans="6:8">
      <c r="F1270" s="56" t="s">
        <v>9763</v>
      </c>
      <c r="G1270" s="58" t="s">
        <v>9763</v>
      </c>
      <c r="H1270" s="57"/>
    </row>
    <row r="1271" spans="6:8">
      <c r="F1271" s="56" t="s">
        <v>9765</v>
      </c>
      <c r="G1271" s="58" t="s">
        <v>9765</v>
      </c>
      <c r="H1271" s="57"/>
    </row>
    <row r="1272" spans="6:8">
      <c r="F1272" s="56" t="s">
        <v>9766</v>
      </c>
      <c r="G1272" s="58" t="s">
        <v>9766</v>
      </c>
      <c r="H1272" s="57"/>
    </row>
    <row r="1273" spans="6:8">
      <c r="F1273" s="56" t="s">
        <v>9769</v>
      </c>
      <c r="G1273" s="58" t="s">
        <v>9769</v>
      </c>
      <c r="H1273" s="57"/>
    </row>
    <row r="1274" spans="6:8">
      <c r="F1274" s="56" t="s">
        <v>9771</v>
      </c>
      <c r="G1274" s="58" t="s">
        <v>9771</v>
      </c>
      <c r="H1274" s="57"/>
    </row>
    <row r="1275" spans="6:8">
      <c r="F1275" s="56" t="s">
        <v>9772</v>
      </c>
      <c r="G1275" s="58" t="s">
        <v>9772</v>
      </c>
      <c r="H1275" s="57"/>
    </row>
    <row r="1276" spans="6:8">
      <c r="F1276" s="56" t="s">
        <v>9773</v>
      </c>
      <c r="G1276" s="58" t="s">
        <v>9773</v>
      </c>
      <c r="H1276" s="57"/>
    </row>
    <row r="1277" spans="6:8">
      <c r="F1277" s="56" t="s">
        <v>9776</v>
      </c>
      <c r="G1277" s="58" t="s">
        <v>9776</v>
      </c>
      <c r="H1277" s="57"/>
    </row>
    <row r="1278" spans="6:8">
      <c r="F1278" s="56" t="s">
        <v>9778</v>
      </c>
      <c r="G1278" s="58" t="s">
        <v>9778</v>
      </c>
      <c r="H1278" s="57"/>
    </row>
    <row r="1279" spans="6:8">
      <c r="F1279" s="56" t="s">
        <v>9781</v>
      </c>
      <c r="G1279" s="58" t="s">
        <v>9781</v>
      </c>
      <c r="H1279" s="57"/>
    </row>
    <row r="1280" spans="6:8">
      <c r="F1280" s="56" t="s">
        <v>9783</v>
      </c>
      <c r="G1280" s="58" t="s">
        <v>9783</v>
      </c>
      <c r="H1280" s="57"/>
    </row>
    <row r="1281" spans="6:8">
      <c r="F1281" s="56" t="s">
        <v>9785</v>
      </c>
      <c r="G1281" s="58" t="s">
        <v>9785</v>
      </c>
      <c r="H1281" s="57"/>
    </row>
    <row r="1282" spans="6:8">
      <c r="F1282" s="56" t="s">
        <v>9786</v>
      </c>
      <c r="G1282" s="58" t="s">
        <v>9786</v>
      </c>
      <c r="H1282" s="57"/>
    </row>
    <row r="1283" spans="6:8">
      <c r="F1283" s="56" t="s">
        <v>9788</v>
      </c>
      <c r="G1283" s="58" t="s">
        <v>9788</v>
      </c>
      <c r="H1283" s="57"/>
    </row>
    <row r="1284" spans="6:8">
      <c r="F1284" s="56" t="s">
        <v>9790</v>
      </c>
      <c r="G1284" s="58" t="s">
        <v>9790</v>
      </c>
      <c r="H1284" s="57"/>
    </row>
    <row r="1285" spans="6:8">
      <c r="F1285" s="56" t="s">
        <v>9791</v>
      </c>
      <c r="G1285" s="58" t="s">
        <v>9791</v>
      </c>
      <c r="H1285" s="57"/>
    </row>
    <row r="1286" spans="6:8">
      <c r="F1286" s="56" t="s">
        <v>9794</v>
      </c>
      <c r="G1286" s="58" t="s">
        <v>9794</v>
      </c>
      <c r="H1286" s="57"/>
    </row>
    <row r="1287" spans="6:8">
      <c r="F1287" s="56" t="s">
        <v>9795</v>
      </c>
      <c r="G1287" s="58" t="s">
        <v>9795</v>
      </c>
      <c r="H1287" s="57"/>
    </row>
    <row r="1288" spans="6:8">
      <c r="F1288" s="56" t="s">
        <v>9796</v>
      </c>
      <c r="G1288" s="58" t="s">
        <v>9796</v>
      </c>
      <c r="H1288" s="57"/>
    </row>
    <row r="1289" spans="6:8">
      <c r="F1289" s="56" t="s">
        <v>9797</v>
      </c>
      <c r="G1289" s="58" t="s">
        <v>9797</v>
      </c>
      <c r="H1289" s="57"/>
    </row>
    <row r="1290" spans="6:8">
      <c r="F1290" s="56" t="s">
        <v>9798</v>
      </c>
      <c r="G1290" s="58" t="s">
        <v>9798</v>
      </c>
      <c r="H1290" s="57"/>
    </row>
    <row r="1291" spans="6:8">
      <c r="F1291" s="56" t="s">
        <v>9799</v>
      </c>
      <c r="G1291" s="58" t="s">
        <v>9799</v>
      </c>
      <c r="H1291" s="57"/>
    </row>
    <row r="1292" spans="6:8">
      <c r="F1292" s="56" t="s">
        <v>9801</v>
      </c>
      <c r="G1292" s="58" t="s">
        <v>9801</v>
      </c>
      <c r="H1292" s="57"/>
    </row>
    <row r="1293" spans="6:8">
      <c r="F1293" s="56" t="s">
        <v>9802</v>
      </c>
      <c r="G1293" s="58" t="s">
        <v>9802</v>
      </c>
      <c r="H1293" s="57"/>
    </row>
    <row r="1294" spans="6:8">
      <c r="F1294" s="56" t="s">
        <v>9803</v>
      </c>
      <c r="G1294" s="58" t="s">
        <v>9803</v>
      </c>
      <c r="H1294" s="57"/>
    </row>
    <row r="1295" spans="6:8">
      <c r="F1295" s="56" t="s">
        <v>9804</v>
      </c>
      <c r="G1295" s="58" t="s">
        <v>9804</v>
      </c>
      <c r="H1295" s="57"/>
    </row>
    <row r="1296" spans="6:8">
      <c r="F1296" s="56" t="s">
        <v>9806</v>
      </c>
      <c r="G1296" s="58" t="s">
        <v>9806</v>
      </c>
      <c r="H1296" s="57"/>
    </row>
    <row r="1297" spans="6:8">
      <c r="F1297" s="56" t="s">
        <v>9808</v>
      </c>
      <c r="G1297" s="58" t="s">
        <v>9808</v>
      </c>
      <c r="H1297" s="57"/>
    </row>
    <row r="1298" spans="6:8">
      <c r="F1298" s="56" t="s">
        <v>9809</v>
      </c>
      <c r="G1298" s="58" t="s">
        <v>9809</v>
      </c>
      <c r="H1298" s="57"/>
    </row>
    <row r="1299" spans="6:8">
      <c r="F1299" s="56" t="s">
        <v>9810</v>
      </c>
      <c r="G1299" s="58" t="s">
        <v>9810</v>
      </c>
      <c r="H1299" s="57"/>
    </row>
    <row r="1300" spans="6:8">
      <c r="F1300" s="56" t="s">
        <v>9814</v>
      </c>
      <c r="G1300" s="58" t="s">
        <v>9814</v>
      </c>
      <c r="H1300" s="57"/>
    </row>
    <row r="1301" spans="6:8">
      <c r="F1301" s="56" t="s">
        <v>9817</v>
      </c>
      <c r="G1301" s="58" t="s">
        <v>9817</v>
      </c>
      <c r="H1301" s="57"/>
    </row>
    <row r="1302" spans="6:8">
      <c r="F1302" s="56" t="s">
        <v>9819</v>
      </c>
      <c r="G1302" s="58" t="s">
        <v>9819</v>
      </c>
      <c r="H1302" s="57"/>
    </row>
    <row r="1303" spans="6:8">
      <c r="F1303" s="56" t="s">
        <v>9821</v>
      </c>
      <c r="G1303" s="58" t="s">
        <v>9821</v>
      </c>
      <c r="H1303" s="57"/>
    </row>
    <row r="1304" spans="6:8">
      <c r="F1304" s="56" t="s">
        <v>9822</v>
      </c>
      <c r="G1304" s="58" t="s">
        <v>9822</v>
      </c>
      <c r="H1304" s="57"/>
    </row>
    <row r="1305" spans="6:8">
      <c r="F1305" s="56" t="s">
        <v>9823</v>
      </c>
      <c r="G1305" s="58" t="s">
        <v>9823</v>
      </c>
      <c r="H1305" s="57"/>
    </row>
    <row r="1306" spans="6:8">
      <c r="F1306" s="56" t="s">
        <v>9825</v>
      </c>
      <c r="G1306" s="58" t="s">
        <v>9825</v>
      </c>
      <c r="H1306" s="57"/>
    </row>
    <row r="1307" spans="6:8">
      <c r="F1307" s="56" t="s">
        <v>9826</v>
      </c>
      <c r="G1307" s="58" t="s">
        <v>9826</v>
      </c>
      <c r="H1307" s="57"/>
    </row>
    <row r="1308" spans="6:8">
      <c r="F1308" s="56" t="s">
        <v>9827</v>
      </c>
      <c r="G1308" s="58" t="s">
        <v>9827</v>
      </c>
      <c r="H1308" s="57"/>
    </row>
    <row r="1309" spans="6:8">
      <c r="F1309" s="56" t="s">
        <v>9830</v>
      </c>
      <c r="G1309" s="58" t="s">
        <v>9830</v>
      </c>
      <c r="H1309" s="57"/>
    </row>
    <row r="1310" spans="6:8">
      <c r="F1310" s="56" t="s">
        <v>9828</v>
      </c>
      <c r="G1310" s="58" t="s">
        <v>9828</v>
      </c>
      <c r="H1310" s="57"/>
    </row>
    <row r="1311" spans="6:8">
      <c r="F1311" s="56" t="s">
        <v>9831</v>
      </c>
      <c r="G1311" s="58" t="s">
        <v>9831</v>
      </c>
      <c r="H1311" s="57"/>
    </row>
    <row r="1312" spans="6:8">
      <c r="F1312" s="56" t="s">
        <v>9832</v>
      </c>
      <c r="G1312" s="58" t="s">
        <v>9832</v>
      </c>
      <c r="H1312" s="57"/>
    </row>
    <row r="1313" spans="6:8">
      <c r="F1313" s="56" t="s">
        <v>9833</v>
      </c>
      <c r="G1313" s="58" t="s">
        <v>9833</v>
      </c>
      <c r="H1313" s="57"/>
    </row>
    <row r="1314" spans="6:8">
      <c r="F1314" s="56" t="s">
        <v>9835</v>
      </c>
      <c r="G1314" s="58" t="s">
        <v>9835</v>
      </c>
      <c r="H1314" s="57"/>
    </row>
    <row r="1315" spans="6:8">
      <c r="F1315" s="56" t="s">
        <v>9836</v>
      </c>
      <c r="G1315" s="58" t="s">
        <v>9836</v>
      </c>
      <c r="H1315" s="57"/>
    </row>
    <row r="1316" spans="6:8">
      <c r="F1316" s="56" t="s">
        <v>9837</v>
      </c>
      <c r="G1316" s="58" t="s">
        <v>9837</v>
      </c>
      <c r="H1316" s="57"/>
    </row>
    <row r="1317" spans="6:8">
      <c r="F1317" s="56" t="s">
        <v>9839</v>
      </c>
      <c r="G1317" s="58" t="s">
        <v>9839</v>
      </c>
      <c r="H1317" s="57"/>
    </row>
    <row r="1318" spans="6:8">
      <c r="F1318" s="56" t="s">
        <v>9841</v>
      </c>
      <c r="G1318" s="58" t="s">
        <v>9841</v>
      </c>
      <c r="H1318" s="57"/>
    </row>
    <row r="1319" spans="6:8">
      <c r="F1319" s="56" t="s">
        <v>9842</v>
      </c>
      <c r="G1319" s="58" t="s">
        <v>9842</v>
      </c>
      <c r="H1319" s="57"/>
    </row>
    <row r="1320" spans="6:8">
      <c r="F1320" s="56" t="s">
        <v>9843</v>
      </c>
      <c r="G1320" s="58" t="s">
        <v>9843</v>
      </c>
      <c r="H1320" s="57"/>
    </row>
    <row r="1321" spans="6:8">
      <c r="F1321" s="56" t="s">
        <v>9845</v>
      </c>
      <c r="G1321" s="58" t="s">
        <v>9845</v>
      </c>
      <c r="H1321" s="57"/>
    </row>
    <row r="1322" spans="6:8">
      <c r="F1322" s="56" t="s">
        <v>9847</v>
      </c>
      <c r="G1322" s="58" t="s">
        <v>9847</v>
      </c>
      <c r="H1322" s="57"/>
    </row>
    <row r="1323" spans="6:8">
      <c r="F1323" s="56" t="s">
        <v>9850</v>
      </c>
      <c r="G1323" s="58" t="s">
        <v>9850</v>
      </c>
      <c r="H1323" s="57"/>
    </row>
    <row r="1324" spans="6:8">
      <c r="F1324" s="56" t="s">
        <v>9851</v>
      </c>
      <c r="G1324" s="58" t="s">
        <v>9851</v>
      </c>
      <c r="H1324" s="57"/>
    </row>
    <row r="1325" spans="6:8">
      <c r="F1325" s="56" t="s">
        <v>9853</v>
      </c>
      <c r="G1325" s="58" t="s">
        <v>9853</v>
      </c>
      <c r="H1325" s="57"/>
    </row>
    <row r="1326" spans="6:8">
      <c r="F1326" s="56" t="s">
        <v>9854</v>
      </c>
      <c r="G1326" s="58" t="s">
        <v>9854</v>
      </c>
      <c r="H1326" s="57"/>
    </row>
    <row r="1327" spans="6:8">
      <c r="F1327" s="56" t="s">
        <v>9855</v>
      </c>
      <c r="G1327" s="58" t="s">
        <v>9855</v>
      </c>
      <c r="H1327" s="57"/>
    </row>
    <row r="1328" spans="6:8">
      <c r="F1328" s="56" t="s">
        <v>3814</v>
      </c>
      <c r="G1328" s="58" t="s">
        <v>3814</v>
      </c>
      <c r="H1328" s="57"/>
    </row>
    <row r="1329" spans="6:8">
      <c r="F1329" s="56" t="s">
        <v>9857</v>
      </c>
      <c r="G1329" s="58" t="s">
        <v>9857</v>
      </c>
      <c r="H1329" s="57"/>
    </row>
    <row r="1330" spans="6:8">
      <c r="F1330" s="56" t="s">
        <v>9858</v>
      </c>
      <c r="G1330" s="58" t="s">
        <v>9858</v>
      </c>
      <c r="H1330" s="57"/>
    </row>
    <row r="1331" spans="6:8">
      <c r="F1331" s="56" t="s">
        <v>9859</v>
      </c>
      <c r="G1331" s="58" t="s">
        <v>9859</v>
      </c>
      <c r="H1331" s="57"/>
    </row>
    <row r="1332" spans="6:8">
      <c r="F1332" s="56" t="s">
        <v>9860</v>
      </c>
      <c r="G1332" s="58" t="s">
        <v>9860</v>
      </c>
      <c r="H1332" s="57"/>
    </row>
    <row r="1333" spans="6:8">
      <c r="F1333" s="56" t="s">
        <v>9861</v>
      </c>
      <c r="G1333" s="58" t="s">
        <v>9861</v>
      </c>
      <c r="H1333" s="57"/>
    </row>
    <row r="1334" spans="6:8">
      <c r="F1334" s="56" t="s">
        <v>9862</v>
      </c>
      <c r="G1334" s="58" t="s">
        <v>9862</v>
      </c>
      <c r="H1334" s="57"/>
    </row>
    <row r="1335" spans="6:8">
      <c r="F1335" s="56" t="s">
        <v>9863</v>
      </c>
      <c r="G1335" s="58" t="s">
        <v>9863</v>
      </c>
      <c r="H1335" s="57"/>
    </row>
    <row r="1336" spans="6:8">
      <c r="F1336" s="56" t="s">
        <v>9865</v>
      </c>
      <c r="G1336" s="58" t="s">
        <v>9865</v>
      </c>
      <c r="H1336" s="57"/>
    </row>
    <row r="1337" spans="6:8">
      <c r="F1337" s="56" t="s">
        <v>9867</v>
      </c>
      <c r="G1337" s="58" t="s">
        <v>9867</v>
      </c>
      <c r="H1337" s="57"/>
    </row>
    <row r="1338" spans="6:8">
      <c r="F1338" s="56" t="s">
        <v>9869</v>
      </c>
      <c r="G1338" s="58" t="s">
        <v>9869</v>
      </c>
      <c r="H1338" s="57"/>
    </row>
    <row r="1339" spans="6:8">
      <c r="F1339" s="56" t="s">
        <v>9871</v>
      </c>
      <c r="G1339" s="58" t="s">
        <v>9871</v>
      </c>
      <c r="H1339" s="57"/>
    </row>
    <row r="1340" spans="6:8">
      <c r="F1340" s="56" t="s">
        <v>9872</v>
      </c>
      <c r="G1340" s="58" t="s">
        <v>9872</v>
      </c>
      <c r="H1340" s="57"/>
    </row>
    <row r="1341" spans="6:8">
      <c r="F1341" s="56" t="s">
        <v>9873</v>
      </c>
      <c r="G1341" s="58" t="s">
        <v>9873</v>
      </c>
      <c r="H1341" s="57"/>
    </row>
    <row r="1342" spans="6:8">
      <c r="F1342" s="56" t="s">
        <v>9874</v>
      </c>
      <c r="G1342" s="58" t="s">
        <v>9874</v>
      </c>
      <c r="H1342" s="57"/>
    </row>
    <row r="1343" spans="6:8">
      <c r="F1343" s="56" t="s">
        <v>9875</v>
      </c>
      <c r="G1343" s="58" t="s">
        <v>9875</v>
      </c>
      <c r="H1343" s="57"/>
    </row>
    <row r="1344" spans="6:8">
      <c r="F1344" s="56" t="s">
        <v>9876</v>
      </c>
      <c r="G1344" s="58" t="s">
        <v>9876</v>
      </c>
      <c r="H1344" s="57"/>
    </row>
    <row r="1345" spans="6:8">
      <c r="F1345" s="56" t="s">
        <v>9878</v>
      </c>
      <c r="G1345" s="58" t="s">
        <v>9878</v>
      </c>
      <c r="H1345" s="57"/>
    </row>
    <row r="1346" spans="6:8">
      <c r="F1346" s="56" t="s">
        <v>9880</v>
      </c>
      <c r="G1346" s="58" t="s">
        <v>9880</v>
      </c>
      <c r="H1346" s="57"/>
    </row>
    <row r="1347" spans="6:8">
      <c r="F1347" s="56" t="s">
        <v>9882</v>
      </c>
      <c r="G1347" s="58" t="s">
        <v>9882</v>
      </c>
      <c r="H1347" s="57"/>
    </row>
    <row r="1348" spans="6:8">
      <c r="F1348" s="56" t="s">
        <v>9883</v>
      </c>
      <c r="G1348" s="58" t="s">
        <v>9883</v>
      </c>
      <c r="H1348" s="57"/>
    </row>
    <row r="1349" spans="6:8">
      <c r="F1349" s="56" t="s">
        <v>3772</v>
      </c>
      <c r="G1349" s="58" t="s">
        <v>3772</v>
      </c>
      <c r="H1349" s="57"/>
    </row>
    <row r="1350" spans="6:8">
      <c r="F1350" s="56" t="s">
        <v>3865</v>
      </c>
      <c r="G1350" s="58" t="s">
        <v>3865</v>
      </c>
      <c r="H1350" s="57"/>
    </row>
    <row r="1351" spans="6:8">
      <c r="F1351" s="56" t="s">
        <v>9887</v>
      </c>
      <c r="G1351" s="58" t="s">
        <v>9887</v>
      </c>
      <c r="H1351" s="57"/>
    </row>
    <row r="1352" spans="6:8">
      <c r="F1352" s="56" t="s">
        <v>9888</v>
      </c>
      <c r="G1352" s="58" t="s">
        <v>9888</v>
      </c>
      <c r="H1352" s="57"/>
    </row>
    <row r="1353" spans="6:8">
      <c r="F1353" s="56" t="s">
        <v>9891</v>
      </c>
      <c r="G1353" s="58" t="s">
        <v>9891</v>
      </c>
      <c r="H1353" s="57"/>
    </row>
    <row r="1354" spans="6:8">
      <c r="F1354" s="56" t="s">
        <v>9892</v>
      </c>
      <c r="G1354" s="58" t="s">
        <v>9892</v>
      </c>
      <c r="H1354" s="57"/>
    </row>
    <row r="1355" spans="6:8">
      <c r="F1355" s="56" t="s">
        <v>9894</v>
      </c>
      <c r="G1355" s="58" t="s">
        <v>9894</v>
      </c>
      <c r="H1355" s="57"/>
    </row>
    <row r="1356" spans="6:8">
      <c r="F1356" s="56" t="s">
        <v>9896</v>
      </c>
      <c r="G1356" s="58" t="s">
        <v>9896</v>
      </c>
      <c r="H1356" s="57"/>
    </row>
    <row r="1357" spans="6:8">
      <c r="F1357" s="56" t="s">
        <v>9898</v>
      </c>
      <c r="G1357" s="58" t="s">
        <v>9898</v>
      </c>
      <c r="H1357" s="57"/>
    </row>
    <row r="1358" spans="6:8">
      <c r="F1358" s="56" t="s">
        <v>9903</v>
      </c>
      <c r="G1358" s="58" t="s">
        <v>9903</v>
      </c>
      <c r="H1358" s="57"/>
    </row>
    <row r="1359" spans="6:8">
      <c r="F1359" s="56" t="s">
        <v>9906</v>
      </c>
      <c r="G1359" s="58" t="s">
        <v>9906</v>
      </c>
      <c r="H1359" s="57"/>
    </row>
    <row r="1360" spans="6:8">
      <c r="F1360" s="56" t="s">
        <v>9911</v>
      </c>
      <c r="G1360" s="58" t="s">
        <v>9911</v>
      </c>
      <c r="H1360" s="57"/>
    </row>
    <row r="1361" spans="6:8">
      <c r="F1361" s="56" t="s">
        <v>9912</v>
      </c>
      <c r="G1361" s="58" t="s">
        <v>9912</v>
      </c>
      <c r="H1361" s="57"/>
    </row>
    <row r="1362" spans="6:8">
      <c r="F1362" s="56" t="s">
        <v>9914</v>
      </c>
      <c r="G1362" s="58" t="s">
        <v>9914</v>
      </c>
      <c r="H1362" s="57"/>
    </row>
    <row r="1363" spans="6:8">
      <c r="F1363" s="56" t="s">
        <v>9917</v>
      </c>
      <c r="G1363" s="58" t="s">
        <v>9917</v>
      </c>
      <c r="H1363" s="57"/>
    </row>
    <row r="1364" spans="6:8">
      <c r="F1364" s="56" t="s">
        <v>9919</v>
      </c>
      <c r="G1364" s="58" t="s">
        <v>9919</v>
      </c>
      <c r="H1364" s="57"/>
    </row>
    <row r="1365" spans="6:8">
      <c r="F1365" s="56" t="s">
        <v>9921</v>
      </c>
      <c r="G1365" s="58" t="s">
        <v>9921</v>
      </c>
      <c r="H1365" s="57"/>
    </row>
    <row r="1366" spans="6:8">
      <c r="F1366" s="56" t="s">
        <v>9923</v>
      </c>
      <c r="G1366" s="58" t="s">
        <v>9923</v>
      </c>
      <c r="H1366" s="57"/>
    </row>
    <row r="1367" spans="6:8">
      <c r="F1367" s="56" t="s">
        <v>9925</v>
      </c>
      <c r="G1367" s="58" t="s">
        <v>9925</v>
      </c>
      <c r="H1367" s="57"/>
    </row>
    <row r="1368" spans="6:8">
      <c r="F1368" s="56" t="s">
        <v>9927</v>
      </c>
      <c r="G1368" s="58" t="s">
        <v>9927</v>
      </c>
      <c r="H1368" s="57"/>
    </row>
    <row r="1369" spans="6:8">
      <c r="F1369" s="56" t="s">
        <v>9928</v>
      </c>
      <c r="G1369" s="58" t="s">
        <v>9928</v>
      </c>
      <c r="H1369" s="57"/>
    </row>
    <row r="1370" spans="6:8">
      <c r="F1370" s="56" t="s">
        <v>9930</v>
      </c>
      <c r="G1370" s="58" t="s">
        <v>9930</v>
      </c>
      <c r="H1370" s="57"/>
    </row>
    <row r="1371" spans="6:8">
      <c r="F1371" s="56" t="s">
        <v>9931</v>
      </c>
      <c r="G1371" s="58" t="s">
        <v>9931</v>
      </c>
      <c r="H1371" s="57"/>
    </row>
    <row r="1372" spans="6:8">
      <c r="F1372" s="56" t="s">
        <v>9933</v>
      </c>
      <c r="G1372" s="58" t="s">
        <v>9933</v>
      </c>
      <c r="H1372" s="57"/>
    </row>
    <row r="1373" spans="6:8">
      <c r="F1373" s="56" t="s">
        <v>9934</v>
      </c>
      <c r="G1373" s="58" t="s">
        <v>9934</v>
      </c>
      <c r="H1373" s="57"/>
    </row>
    <row r="1374" spans="6:8">
      <c r="F1374" s="56" t="s">
        <v>9935</v>
      </c>
      <c r="G1374" s="58" t="s">
        <v>9935</v>
      </c>
      <c r="H1374" s="57"/>
    </row>
    <row r="1375" spans="6:8">
      <c r="F1375" s="56" t="s">
        <v>9939</v>
      </c>
      <c r="G1375" s="58" t="s">
        <v>9939</v>
      </c>
      <c r="H1375" s="57"/>
    </row>
    <row r="1376" spans="6:8">
      <c r="F1376" s="56" t="s">
        <v>9940</v>
      </c>
      <c r="G1376" s="58" t="s">
        <v>9940</v>
      </c>
      <c r="H1376" s="57"/>
    </row>
    <row r="1377" spans="6:8">
      <c r="F1377" s="56" t="s">
        <v>9941</v>
      </c>
      <c r="G1377" s="58" t="s">
        <v>9941</v>
      </c>
      <c r="H1377" s="57"/>
    </row>
    <row r="1378" spans="6:8">
      <c r="F1378" s="56" t="s">
        <v>9943</v>
      </c>
      <c r="G1378" s="58" t="s">
        <v>9943</v>
      </c>
      <c r="H1378" s="57"/>
    </row>
    <row r="1379" spans="6:8">
      <c r="F1379" s="56" t="s">
        <v>9944</v>
      </c>
      <c r="G1379" s="58" t="s">
        <v>9944</v>
      </c>
      <c r="H1379" s="57"/>
    </row>
    <row r="1380" spans="6:8">
      <c r="F1380" s="56" t="s">
        <v>9945</v>
      </c>
      <c r="G1380" s="58" t="s">
        <v>9945</v>
      </c>
      <c r="H1380" s="57"/>
    </row>
    <row r="1381" spans="6:8">
      <c r="F1381" s="56" t="s">
        <v>9946</v>
      </c>
      <c r="G1381" s="58" t="s">
        <v>9946</v>
      </c>
      <c r="H1381" s="57"/>
    </row>
    <row r="1382" spans="6:8">
      <c r="F1382" s="56" t="s">
        <v>9948</v>
      </c>
      <c r="G1382" s="58" t="s">
        <v>9948</v>
      </c>
      <c r="H1382" s="57"/>
    </row>
    <row r="1383" spans="6:8">
      <c r="F1383" s="56" t="s">
        <v>9952</v>
      </c>
      <c r="G1383" s="58" t="s">
        <v>9952</v>
      </c>
      <c r="H1383" s="57"/>
    </row>
    <row r="1384" spans="6:8">
      <c r="F1384" s="56" t="s">
        <v>9956</v>
      </c>
      <c r="G1384" s="58" t="s">
        <v>9956</v>
      </c>
      <c r="H1384" s="57"/>
    </row>
    <row r="1385" spans="6:8">
      <c r="F1385" s="56" t="s">
        <v>9963</v>
      </c>
      <c r="G1385" s="58" t="s">
        <v>9963</v>
      </c>
      <c r="H1385" s="57"/>
    </row>
    <row r="1386" spans="6:8">
      <c r="F1386" s="56" t="s">
        <v>9964</v>
      </c>
      <c r="G1386" s="58" t="s">
        <v>9964</v>
      </c>
      <c r="H1386" s="57"/>
    </row>
    <row r="1387" spans="6:8">
      <c r="F1387" s="56" t="s">
        <v>9966</v>
      </c>
      <c r="G1387" s="58" t="s">
        <v>9966</v>
      </c>
      <c r="H1387" s="57"/>
    </row>
    <row r="1388" spans="6:8">
      <c r="F1388" s="56" t="s">
        <v>9967</v>
      </c>
      <c r="G1388" s="58" t="s">
        <v>9967</v>
      </c>
      <c r="H1388" s="57"/>
    </row>
    <row r="1389" spans="6:8">
      <c r="F1389" s="56" t="s">
        <v>9969</v>
      </c>
      <c r="G1389" s="58" t="s">
        <v>9969</v>
      </c>
      <c r="H1389" s="57"/>
    </row>
    <row r="1390" spans="6:8">
      <c r="F1390" s="56" t="s">
        <v>9974</v>
      </c>
      <c r="G1390" s="58" t="s">
        <v>9974</v>
      </c>
      <c r="H1390" s="57"/>
    </row>
    <row r="1391" spans="6:8">
      <c r="F1391" s="56" t="s">
        <v>9975</v>
      </c>
      <c r="G1391" s="58" t="s">
        <v>9975</v>
      </c>
      <c r="H1391" s="57"/>
    </row>
    <row r="1392" spans="6:8">
      <c r="F1392" s="56" t="s">
        <v>9977</v>
      </c>
      <c r="G1392" s="58" t="s">
        <v>9977</v>
      </c>
      <c r="H1392" s="57"/>
    </row>
    <row r="1393" spans="6:8">
      <c r="F1393" s="56" t="s">
        <v>9980</v>
      </c>
      <c r="G1393" s="58" t="s">
        <v>9980</v>
      </c>
      <c r="H1393" s="57"/>
    </row>
    <row r="1394" spans="6:8">
      <c r="F1394" s="56" t="s">
        <v>9978</v>
      </c>
      <c r="G1394" s="58" t="s">
        <v>9978</v>
      </c>
      <c r="H1394" s="57"/>
    </row>
    <row r="1395" spans="6:8">
      <c r="F1395" s="56" t="s">
        <v>9981</v>
      </c>
      <c r="G1395" s="58" t="s">
        <v>9981</v>
      </c>
      <c r="H1395" s="57"/>
    </row>
    <row r="1396" spans="6:8">
      <c r="F1396" s="56" t="s">
        <v>9983</v>
      </c>
      <c r="G1396" s="58" t="s">
        <v>9983</v>
      </c>
      <c r="H1396" s="57"/>
    </row>
    <row r="1397" spans="6:8">
      <c r="F1397" s="56" t="s">
        <v>9984</v>
      </c>
      <c r="G1397" s="58" t="s">
        <v>9984</v>
      </c>
      <c r="H1397" s="57"/>
    </row>
    <row r="1398" spans="6:8">
      <c r="F1398" s="56" t="s">
        <v>9985</v>
      </c>
      <c r="G1398" s="58" t="s">
        <v>9985</v>
      </c>
      <c r="H1398" s="57"/>
    </row>
    <row r="1399" spans="6:8">
      <c r="F1399" s="56" t="s">
        <v>9986</v>
      </c>
      <c r="G1399" s="58" t="s">
        <v>9986</v>
      </c>
      <c r="H1399" s="57"/>
    </row>
    <row r="1400" spans="6:8">
      <c r="F1400" s="56" t="s">
        <v>9987</v>
      </c>
      <c r="G1400" s="58" t="s">
        <v>9987</v>
      </c>
      <c r="H1400" s="57"/>
    </row>
    <row r="1401" spans="6:8">
      <c r="F1401" s="56" t="s">
        <v>9989</v>
      </c>
      <c r="G1401" s="58" t="s">
        <v>9989</v>
      </c>
      <c r="H1401" s="57"/>
    </row>
    <row r="1402" spans="6:8">
      <c r="F1402" s="56" t="s">
        <v>9992</v>
      </c>
      <c r="G1402" s="58" t="s">
        <v>9992</v>
      </c>
      <c r="H1402" s="57"/>
    </row>
    <row r="1403" spans="6:8">
      <c r="F1403" s="56" t="s">
        <v>10001</v>
      </c>
      <c r="G1403" s="58" t="s">
        <v>10001</v>
      </c>
      <c r="H1403" s="57"/>
    </row>
    <row r="1404" spans="6:8">
      <c r="F1404" s="56" t="s">
        <v>10004</v>
      </c>
      <c r="G1404" s="58" t="s">
        <v>10004</v>
      </c>
      <c r="H1404" s="57"/>
    </row>
    <row r="1405" spans="6:8">
      <c r="F1405" s="56" t="s">
        <v>6041</v>
      </c>
      <c r="G1405" s="58" t="s">
        <v>6041</v>
      </c>
      <c r="H1405" s="57"/>
    </row>
    <row r="1406" spans="6:8">
      <c r="F1406" s="56" t="s">
        <v>6041</v>
      </c>
      <c r="G1406" s="58" t="s">
        <v>6041</v>
      </c>
      <c r="H1406" s="57"/>
    </row>
    <row r="1407" spans="6:8">
      <c r="F1407" s="56" t="s">
        <v>10009</v>
      </c>
      <c r="G1407" s="58" t="s">
        <v>10009</v>
      </c>
      <c r="H1407" s="57"/>
    </row>
    <row r="1408" spans="6:8">
      <c r="F1408" s="56" t="s">
        <v>10011</v>
      </c>
      <c r="G1408" s="58" t="s">
        <v>10011</v>
      </c>
      <c r="H1408" s="57"/>
    </row>
    <row r="1409" spans="6:8">
      <c r="F1409" s="56" t="s">
        <v>10013</v>
      </c>
      <c r="G1409" s="58" t="s">
        <v>10013</v>
      </c>
      <c r="H1409" s="57"/>
    </row>
    <row r="1410" spans="6:8">
      <c r="F1410" s="56" t="s">
        <v>10015</v>
      </c>
      <c r="G1410" s="58" t="s">
        <v>10015</v>
      </c>
      <c r="H1410" s="57"/>
    </row>
    <row r="1411" spans="6:8">
      <c r="F1411" s="56" t="s">
        <v>10017</v>
      </c>
      <c r="G1411" s="58" t="s">
        <v>10017</v>
      </c>
      <c r="H1411" s="57"/>
    </row>
    <row r="1412" spans="6:8">
      <c r="F1412" s="56" t="s">
        <v>10019</v>
      </c>
      <c r="G1412" s="58" t="s">
        <v>10019</v>
      </c>
      <c r="H1412" s="57"/>
    </row>
    <row r="1413" spans="6:8">
      <c r="F1413" s="56" t="s">
        <v>10021</v>
      </c>
      <c r="G1413" s="58" t="s">
        <v>10021</v>
      </c>
      <c r="H1413" s="57"/>
    </row>
    <row r="1414" spans="6:8">
      <c r="F1414" s="56" t="s">
        <v>10023</v>
      </c>
      <c r="G1414" s="58" t="s">
        <v>10023</v>
      </c>
      <c r="H1414" s="57"/>
    </row>
    <row r="1415" spans="6:8">
      <c r="F1415" s="56" t="s">
        <v>10025</v>
      </c>
      <c r="G1415" s="58" t="s">
        <v>10025</v>
      </c>
      <c r="H1415" s="57"/>
    </row>
    <row r="1416" spans="6:8">
      <c r="F1416" s="56" t="s">
        <v>10027</v>
      </c>
      <c r="G1416" s="58" t="s">
        <v>10027</v>
      </c>
      <c r="H1416" s="57"/>
    </row>
    <row r="1417" spans="6:8">
      <c r="F1417" s="56" t="s">
        <v>10029</v>
      </c>
      <c r="G1417" s="58" t="s">
        <v>10029</v>
      </c>
      <c r="H1417" s="57"/>
    </row>
    <row r="1418" spans="6:8">
      <c r="F1418" s="56" t="s">
        <v>10031</v>
      </c>
      <c r="G1418" s="58" t="s">
        <v>10031</v>
      </c>
      <c r="H1418" s="57"/>
    </row>
    <row r="1419" spans="6:8">
      <c r="F1419" s="56" t="s">
        <v>10033</v>
      </c>
      <c r="G1419" s="58" t="s">
        <v>10033</v>
      </c>
      <c r="H1419" s="57"/>
    </row>
    <row r="1420" spans="6:8">
      <c r="F1420" s="56" t="s">
        <v>10034</v>
      </c>
      <c r="G1420" s="58" t="s">
        <v>10034</v>
      </c>
      <c r="H1420" s="57"/>
    </row>
    <row r="1421" spans="6:8">
      <c r="F1421" s="56" t="s">
        <v>10036</v>
      </c>
      <c r="G1421" s="58" t="s">
        <v>10036</v>
      </c>
      <c r="H1421" s="57"/>
    </row>
    <row r="1422" spans="6:8">
      <c r="F1422" s="56" t="s">
        <v>10038</v>
      </c>
      <c r="G1422" s="58" t="s">
        <v>10038</v>
      </c>
      <c r="H1422" s="57"/>
    </row>
    <row r="1423" spans="6:8">
      <c r="F1423" s="56" t="s">
        <v>10040</v>
      </c>
      <c r="G1423" s="58" t="s">
        <v>10040</v>
      </c>
      <c r="H1423" s="57"/>
    </row>
    <row r="1424" spans="6:8">
      <c r="F1424" s="56" t="s">
        <v>10042</v>
      </c>
      <c r="G1424" s="58" t="s">
        <v>10042</v>
      </c>
      <c r="H1424" s="57"/>
    </row>
    <row r="1425" spans="6:8">
      <c r="F1425" s="56" t="s">
        <v>10044</v>
      </c>
      <c r="G1425" s="58" t="s">
        <v>10044</v>
      </c>
      <c r="H1425" s="57"/>
    </row>
    <row r="1426" spans="6:8">
      <c r="F1426" s="56" t="s">
        <v>10046</v>
      </c>
      <c r="G1426" s="58" t="s">
        <v>10046</v>
      </c>
      <c r="H1426" s="57"/>
    </row>
    <row r="1427" spans="6:8">
      <c r="F1427" s="56" t="s">
        <v>10048</v>
      </c>
      <c r="G1427" s="58" t="s">
        <v>10048</v>
      </c>
      <c r="H1427" s="57"/>
    </row>
    <row r="1428" spans="6:8">
      <c r="F1428" s="56" t="s">
        <v>10050</v>
      </c>
      <c r="G1428" s="58" t="s">
        <v>10050</v>
      </c>
      <c r="H1428" s="57"/>
    </row>
    <row r="1429" spans="6:8">
      <c r="F1429" s="56" t="s">
        <v>10052</v>
      </c>
      <c r="G1429" s="58" t="s">
        <v>10052</v>
      </c>
      <c r="H1429" s="57"/>
    </row>
    <row r="1430" spans="6:8">
      <c r="F1430" s="56" t="s">
        <v>10054</v>
      </c>
      <c r="G1430" s="58" t="s">
        <v>10054</v>
      </c>
      <c r="H1430" s="57"/>
    </row>
    <row r="1431" spans="6:8">
      <c r="F1431" s="56" t="s">
        <v>10056</v>
      </c>
      <c r="G1431" s="58" t="s">
        <v>10056</v>
      </c>
      <c r="H1431" s="57"/>
    </row>
    <row r="1432" spans="6:8">
      <c r="F1432" s="56" t="s">
        <v>10058</v>
      </c>
      <c r="G1432" s="58" t="s">
        <v>10058</v>
      </c>
      <c r="H1432" s="57"/>
    </row>
    <row r="1433" spans="6:8">
      <c r="F1433" s="56" t="s">
        <v>10060</v>
      </c>
      <c r="G1433" s="58" t="s">
        <v>10060</v>
      </c>
      <c r="H1433" s="57"/>
    </row>
    <row r="1434" spans="6:8">
      <c r="F1434" s="56" t="s">
        <v>10061</v>
      </c>
      <c r="G1434" s="58" t="s">
        <v>10061</v>
      </c>
      <c r="H1434" s="57"/>
    </row>
    <row r="1435" spans="6:8">
      <c r="F1435" s="56" t="s">
        <v>10062</v>
      </c>
      <c r="G1435" s="58" t="s">
        <v>10062</v>
      </c>
      <c r="H1435" s="57"/>
    </row>
    <row r="1436" spans="6:8">
      <c r="F1436" s="56" t="s">
        <v>10063</v>
      </c>
      <c r="G1436" s="58" t="s">
        <v>10063</v>
      </c>
      <c r="H1436" s="57"/>
    </row>
    <row r="1437" spans="6:8">
      <c r="F1437" s="56" t="s">
        <v>10064</v>
      </c>
      <c r="G1437" s="58" t="s">
        <v>10064</v>
      </c>
      <c r="H1437" s="57"/>
    </row>
    <row r="1438" spans="6:8">
      <c r="F1438" s="56" t="s">
        <v>10065</v>
      </c>
      <c r="G1438" s="58" t="s">
        <v>10065</v>
      </c>
      <c r="H1438" s="57"/>
    </row>
    <row r="1439" spans="6:8">
      <c r="F1439" s="56" t="s">
        <v>10066</v>
      </c>
      <c r="G1439" s="58" t="s">
        <v>10066</v>
      </c>
      <c r="H1439" s="57"/>
    </row>
    <row r="1440" spans="6:8">
      <c r="F1440" s="56" t="s">
        <v>10067</v>
      </c>
      <c r="G1440" s="58" t="s">
        <v>10067</v>
      </c>
      <c r="H1440" s="57"/>
    </row>
    <row r="1441" spans="6:8">
      <c r="F1441" s="56" t="s">
        <v>10072</v>
      </c>
      <c r="G1441" s="58" t="s">
        <v>10072</v>
      </c>
      <c r="H1441" s="57"/>
    </row>
    <row r="1442" spans="6:8">
      <c r="F1442" s="56" t="s">
        <v>10070</v>
      </c>
      <c r="G1442" s="58" t="s">
        <v>10070</v>
      </c>
      <c r="H1442" s="57"/>
    </row>
    <row r="1443" spans="6:8">
      <c r="F1443" s="56" t="s">
        <v>10075</v>
      </c>
      <c r="G1443" s="58" t="s">
        <v>10075</v>
      </c>
      <c r="H1443" s="57"/>
    </row>
    <row r="1444" spans="6:8">
      <c r="F1444" s="56" t="s">
        <v>10073</v>
      </c>
      <c r="G1444" s="58" t="s">
        <v>10073</v>
      </c>
      <c r="H1444" s="57"/>
    </row>
    <row r="1445" spans="6:8">
      <c r="F1445" s="56" t="s">
        <v>10076</v>
      </c>
      <c r="G1445" s="58" t="s">
        <v>10076</v>
      </c>
      <c r="H1445" s="57"/>
    </row>
    <row r="1446" spans="6:8">
      <c r="F1446" s="56" t="s">
        <v>10077</v>
      </c>
      <c r="G1446" s="58" t="s">
        <v>10077</v>
      </c>
      <c r="H1446" s="57"/>
    </row>
    <row r="1447" spans="6:8">
      <c r="F1447" s="56" t="s">
        <v>10079</v>
      </c>
      <c r="G1447" s="58" t="s">
        <v>10079</v>
      </c>
      <c r="H1447" s="57"/>
    </row>
    <row r="1448" spans="6:8">
      <c r="F1448" s="56" t="s">
        <v>10080</v>
      </c>
      <c r="G1448" s="58" t="s">
        <v>10080</v>
      </c>
      <c r="H1448" s="57"/>
    </row>
    <row r="1449" spans="6:8">
      <c r="F1449" s="56" t="s">
        <v>10082</v>
      </c>
      <c r="G1449" s="58" t="s">
        <v>10082</v>
      </c>
      <c r="H1449" s="57"/>
    </row>
    <row r="1450" spans="6:8">
      <c r="F1450" s="56" t="s">
        <v>6049</v>
      </c>
      <c r="G1450" s="58" t="s">
        <v>6049</v>
      </c>
      <c r="H1450" s="57"/>
    </row>
    <row r="1451" spans="6:8">
      <c r="F1451" s="56" t="s">
        <v>10087</v>
      </c>
      <c r="G1451" s="58" t="s">
        <v>10087</v>
      </c>
      <c r="H1451" s="57"/>
    </row>
    <row r="1452" spans="6:8">
      <c r="F1452" s="56" t="s">
        <v>10089</v>
      </c>
      <c r="G1452" s="58" t="s">
        <v>10089</v>
      </c>
      <c r="H1452" s="57"/>
    </row>
    <row r="1453" spans="6:8">
      <c r="F1453" s="56" t="s">
        <v>10091</v>
      </c>
      <c r="G1453" s="58" t="s">
        <v>10091</v>
      </c>
      <c r="H1453" s="57"/>
    </row>
    <row r="1454" spans="6:8">
      <c r="F1454" s="56" t="s">
        <v>10093</v>
      </c>
      <c r="G1454" s="58" t="s">
        <v>10093</v>
      </c>
      <c r="H1454" s="57"/>
    </row>
    <row r="1455" spans="6:8">
      <c r="F1455" s="56" t="s">
        <v>10095</v>
      </c>
      <c r="G1455" s="58" t="s">
        <v>10095</v>
      </c>
      <c r="H1455" s="57"/>
    </row>
    <row r="1456" spans="6:8">
      <c r="F1456" s="56" t="s">
        <v>10097</v>
      </c>
      <c r="G1456" s="58" t="s">
        <v>10097</v>
      </c>
      <c r="H1456" s="57"/>
    </row>
    <row r="1457" spans="6:8">
      <c r="F1457" s="56" t="s">
        <v>10099</v>
      </c>
      <c r="G1457" s="58" t="s">
        <v>10099</v>
      </c>
      <c r="H1457" s="57"/>
    </row>
    <row r="1458" spans="6:8">
      <c r="F1458" s="56" t="s">
        <v>10101</v>
      </c>
      <c r="G1458" s="58" t="s">
        <v>10101</v>
      </c>
      <c r="H1458" s="57"/>
    </row>
    <row r="1459" spans="6:8">
      <c r="F1459" s="56" t="s">
        <v>10103</v>
      </c>
      <c r="G1459" s="58" t="s">
        <v>10103</v>
      </c>
      <c r="H1459" s="57"/>
    </row>
    <row r="1460" spans="6:8">
      <c r="F1460" s="56" t="s">
        <v>10106</v>
      </c>
      <c r="G1460" s="58" t="s">
        <v>10106</v>
      </c>
      <c r="H1460" s="57"/>
    </row>
    <row r="1461" spans="6:8">
      <c r="F1461" s="56" t="s">
        <v>10108</v>
      </c>
      <c r="G1461" s="58" t="s">
        <v>10108</v>
      </c>
      <c r="H1461" s="57"/>
    </row>
    <row r="1462" spans="6:8">
      <c r="F1462" s="56" t="s">
        <v>10110</v>
      </c>
      <c r="G1462" s="58" t="s">
        <v>10110</v>
      </c>
      <c r="H1462" s="57"/>
    </row>
    <row r="1463" spans="6:8">
      <c r="F1463" s="56" t="s">
        <v>10112</v>
      </c>
      <c r="G1463" s="58" t="s">
        <v>10112</v>
      </c>
      <c r="H1463" s="57"/>
    </row>
    <row r="1464" spans="6:8">
      <c r="F1464" s="56" t="s">
        <v>10114</v>
      </c>
      <c r="G1464" s="58" t="s">
        <v>10114</v>
      </c>
      <c r="H1464" s="57"/>
    </row>
    <row r="1465" spans="6:8">
      <c r="F1465" s="56" t="s">
        <v>10115</v>
      </c>
      <c r="G1465" s="58" t="s">
        <v>10115</v>
      </c>
      <c r="H1465" s="57"/>
    </row>
  </sheetData>
  <phoneticPr fontId="3" type="noConversion"/>
  <hyperlinks>
    <hyperlink ref="F9" r:id="rId1" location="anim-fade-in" display="https://zeke.github.io/primer-cheatsheet/ - anim-fade-in" xr:uid="{5E2D1489-4E6B-184A-92AF-C7A6A92A1808}"/>
    <hyperlink ref="F10" r:id="rId2" location="anim-fade-in-fast" display="https://zeke.github.io/primer-cheatsheet/ - anim-fade-in-fast" xr:uid="{011C3DA4-F0AD-EC4F-9913-62699A825C24}"/>
    <hyperlink ref="F11" r:id="rId3" location="anim-fade-out" display="https://zeke.github.io/primer-cheatsheet/ - anim-fade-out" xr:uid="{F0EDE76B-2F6D-0940-9B28-9AB0A9ABD80B}"/>
    <hyperlink ref="F12" r:id="rId4" location="anim-fade-out-fast" display="https://zeke.github.io/primer-cheatsheet/ - anim-fade-out-fast" xr:uid="{5EC97108-7AF0-9F4A-8BA6-DF0A0C72F8F6}"/>
    <hyperlink ref="F13" r:id="rId5" location="anim-fade-up" display="https://zeke.github.io/primer-cheatsheet/ - anim-fade-up" xr:uid="{F4940FBF-CD5A-7245-A743-A0136D7CBCB7}"/>
    <hyperlink ref="F14" r:id="rId6" location="anim-grow-x" display="https://zeke.github.io/primer-cheatsheet/ - anim-grow-x" xr:uid="{7ECF3A04-20F5-A94D-AEA5-BBEDE8AB59E3}"/>
    <hyperlink ref="F15" r:id="rId7" location="anim-pulse" display="https://zeke.github.io/primer-cheatsheet/ - anim-pulse" xr:uid="{182BB4AA-225A-544A-AB5E-B7A1F675F170}"/>
    <hyperlink ref="F16" r:id="rId8" location="anim-pulse-in" display="https://zeke.github.io/primer-cheatsheet/ - anim-pulse-in" xr:uid="{CD0C1CB1-6B0A-1B4A-944B-FD09329F3256}"/>
    <hyperlink ref="F17" r:id="rId9" location="anim-scale-in" display="https://zeke.github.io/primer-cheatsheet/ - anim-scale-in" xr:uid="{C6D042FB-8499-394F-A73E-AA00FACBE933}"/>
    <hyperlink ref="F18" r:id="rId10" location="anim-shrink-x" display="https://zeke.github.io/primer-cheatsheet/ - anim-shrink-x" xr:uid="{0E66716E-FC14-9946-9EC3-2F0A31749A05}"/>
    <hyperlink ref="F19" r:id="rId11" location="animated-ellipsis" display="https://zeke.github.io/primer-cheatsheet/ - animated-ellipsis" xr:uid="{52806325-C4AA-1D40-A465-691D62A79B8D}"/>
    <hyperlink ref="F20" r:id="rId12" location="animated-ellipsis-after" display="https://zeke.github.io/primer-cheatsheet/ - animated-ellipsis-after" xr:uid="{9CE4D04D-DA9D-4143-9144-216D3ED101C0}"/>
    <hyperlink ref="F21" r:id="rId13" location="autocomplete-item" display="https://zeke.github.io/primer-cheatsheet/ - autocomplete-item" xr:uid="{0F7F89DF-14A8-7A4A-86D9-3C64CA6B7577}"/>
    <hyperlink ref="F23" r:id="rId14" location="autocomplete-item-hover" display="https://zeke.github.io/primer-cheatsheet/ - autocomplete-item-hover" xr:uid="{2839552E-7431-3F43-B9B2-E41F64E23C3B}"/>
    <hyperlink ref="F22" r:id="rId15" location="autocomplete-item-hover" display="https://zeke.github.io/primer-cheatsheet/ - autocomplete-item-hover" xr:uid="{DD6516D0-A3AF-E14E-8D6D-7FED59180859}"/>
    <hyperlink ref="F24" r:id="rId16" location="autocomplete-results" display="https://zeke.github.io/primer-cheatsheet/ - autocomplete-results" xr:uid="{BEEAB4CB-F734-2449-9C3E-97121387AFB0}"/>
    <hyperlink ref="F25" r:id="rId17" location="avatar" display="https://zeke.github.io/primer-cheatsheet/ - avatar" xr:uid="{13484A55-C7B9-F94C-97D5-FCDD64EE8B25}"/>
    <hyperlink ref="F26" r:id="rId18" location="avatar-child" display="https://zeke.github.io/primer-cheatsheet/ - avatar-child" xr:uid="{CB1A5DDD-22FC-C248-932C-8149DA39BBC2}"/>
    <hyperlink ref="F27" r:id="rId19" location="avatar-group-item" display="https://zeke.github.io/primer-cheatsheet/ - avatar-group-item" xr:uid="{7EE5E949-4590-6C4D-A032-F5EC2299F62A}"/>
    <hyperlink ref="F28" r:id="rId20" location="avatar-link" display="https://zeke.github.io/primer-cheatsheet/ - avatar-link" xr:uid="{EB962237-E6A8-CE43-8BE1-81533C4F3EB6}"/>
    <hyperlink ref="F29" r:id="rId21" location="avatar-parent-child" display="https://zeke.github.io/primer-cheatsheet/ - avatar-parent-child" xr:uid="{8DDA9DB1-2608-4E40-8995-018E76D2C20B}"/>
    <hyperlink ref="F30" r:id="rId22" location="avatar-small" display="https://zeke.github.io/primer-cheatsheet/ - avatar-small" xr:uid="{D850730F-8878-684B-A3A8-25ADFD3E0C86}"/>
    <hyperlink ref="F31" r:id="rId23" location="avatar-avatar-more" display="https://zeke.github.io/primer-cheatsheet/ - avatar-avatar-more" xr:uid="{D2B9A9DE-AFB9-AB46-8010-75B88EA6D199}"/>
    <hyperlink ref="F32" r:id="rId24" location="avatar-avatar-more-after" display="https://zeke.github.io/primer-cheatsheet/ - avatar-avatar-more-after" xr:uid="{8C15CE61-6C23-7F4C-B97B-D882F64FCC5C}"/>
    <hyperlink ref="F34" r:id="rId25" location="avatar-avatar-more-before" display="https://zeke.github.io/primer-cheatsheet/ - avatar-avatar-more-before" xr:uid="{10A971CE-3C19-A244-891E-FBAC9015C897}"/>
    <hyperlink ref="F33" r:id="rId26" location="avatar-avatar-more-before" display="https://zeke.github.io/primer-cheatsheet/ - avatar-avatar-more-before" xr:uid="{5F614BEC-94AF-A84D-95AE-1EBA22171D9D}"/>
    <hyperlink ref="F35" r:id="rId27" location="avatar-stack" display="https://zeke.github.io/primer-cheatsheet/ - avatar-stack" xr:uid="{D1D83FAB-3010-BD40-BCCD-E1B0B8024B66}"/>
    <hyperlink ref="F36" r:id="rId28" location="avatar-stack-avatar-stack-body" display="https://zeke.github.io/primer-cheatsheet/ - avatar-stack-avatar-stack-body" xr:uid="{421E89CC-1EAC-7B48-BE92-AD5E9CF871BE}"/>
    <hyperlink ref="F37" r:id="rId29" location="avatar-stack-right-avatar" display="https://zeke.github.io/primer-cheatsheet/ - avatar-stack-right-avatar" xr:uid="{7BE56D13-5D82-BC43-8A48-546D6EEF2E33}"/>
    <hyperlink ref="F38" r:id="rId30" location="avatar-stack-right-avatar-avatar-more" display="https://zeke.github.io/primer-cheatsheet/ - avatar-stack-right-avatar-avatar-more" xr:uid="{E1545278-E314-ED4F-A121-5B6B0568BDFB}"/>
    <hyperlink ref="F39" r:id="rId31" location="avatar-stack-right-avatar-avatar-more-after" display="https://zeke.github.io/primer-cheatsheet/ - avatar-stack-right-avatar-avatar-more-after" xr:uid="{9800EC46-A574-FE4B-929D-D959C10EEC28}"/>
    <hyperlink ref="F40" r:id="rId32" location="avatar-stack-right-avatar-avatar-more-before" display="https://zeke.github.io/primer-cheatsheet/ - avatar-stack-right-avatar-avatar-more-before" xr:uid="{56D76C5F-0DEE-6344-A35F-35FB08B9FEF7}"/>
    <hyperlink ref="F41" r:id="rId33" location="avatar-stack-right-avatar-stack-body" display="https://zeke.github.io/primer-cheatsheet/ - avatar-stack-right-avatar-stack-body" xr:uid="{9729FD06-2E05-C849-8FF7-EEB17B0E65D2}"/>
    <hyperlink ref="F42" r:id="rId34" location="avatar-stack-right-avatar-stack-body-hover-avatar" display="https://zeke.github.io/primer-cheatsheet/ - avatar-stack-right-avatar-stack-body-hover-avatar" xr:uid="{46980C0B-49BE-E544-8E61-C898A7BDC739}"/>
    <hyperlink ref="F43" r:id="rId35" location="avatar-stack-body" display="https://zeke.github.io/primer-cheatsheet/ - avatar-stack-body" xr:uid="{935A1C42-9CC5-7F45-9F83-2AE81B542BEE}"/>
    <hyperlink ref="F44" r:id="rId36" location="avatar-stack-body-avatar" display="https://zeke.github.io/primer-cheatsheet/ - avatar-stack-body-avatar" xr:uid="{8331D5D9-5C3F-744D-AA99-5A370EF3920A}"/>
    <hyperlink ref="F45" r:id="rId37" location="avatar-stack-body-avatar-img" display="https://zeke.github.io/primer-cheatsheet/ - avatar-stack-body-avatar-img" xr:uid="{9A14BB18-B167-284F-B3AC-521B3557D56A}"/>
    <hyperlink ref="F46" r:id="rId38" location="avatar-stack-body-avatar-first-child" display="https://zeke.github.io/primer-cheatsheet/ - avatar-stack-body-avatar-first-child" xr:uid="{F0A99EEC-70B1-3D4A-8A40-9136426E4596}"/>
    <hyperlink ref="F47" r:id="rId39" location="avatar-stack-body-avatar-last-child" display="https://zeke.github.io/primer-cheatsheet/ - avatar-stack-body-avatar-last-child" xr:uid="{BEF95ACD-F743-F748-93C5-B4006F396947}"/>
    <hyperlink ref="F48" r:id="rId40" location="avatar-stack-body-avatar-nth-child-n-4" display="https://zeke.github.io/primer-cheatsheet/ - avatar-stack-body-avatar-nth-child-n-4" xr:uid="{EE0B20D4-4E78-AF43-943D-2DD2D1254971}"/>
    <hyperlink ref="F49" r:id="rId41" location="avatar-stack-body-hover-avatar" display="https://zeke.github.io/primer-cheatsheet/ - avatar-stack-body-hover-avatar" xr:uid="{8DCCF104-99CE-AF48-8660-BB7CCA620C88}"/>
    <hyperlink ref="F50" r:id="rId42" location="avatar-stack-body-hover-avatar-more" display="https://zeke.github.io/primer-cheatsheet/ - avatar-stack-body-hover-avatar-more" xr:uid="{F4CB742F-24BC-2B45-8341-C0CE05D5A4E3}"/>
    <hyperlink ref="F51" r:id="rId43" location="avatar-stack-body-hover-avatar-nth-child-n-4" display="https://zeke.github.io/primer-cheatsheet/ - avatar-stack-body-hover-avatar-nth-child-n-4" xr:uid="{0FA31013-36CC-BB41-8C90-285E6A647509}"/>
    <hyperlink ref="F52" r:id="rId44" location="avatar-stack-avatar-stack-three-plus" display="https://zeke.github.io/primer-cheatsheet/ - avatar-stack-avatar-stack-three-plus" xr:uid="{ACBD0AEF-B5D5-7E45-883D-F151D2A3F877}"/>
    <hyperlink ref="F53" r:id="rId45" location="avatar-stack-avatar-stack-two" display="https://zeke.github.io/primer-cheatsheet/ - avatar-stack-avatar-stack-two" xr:uid="{0FC5BDAA-D15A-4942-BD46-B4C2A08C9E2F}"/>
    <hyperlink ref="F54" r:id="rId46" location="bg-blue" display="https://zeke.github.io/primer-cheatsheet/ - bg-blue" xr:uid="{8A4E6961-72AC-014B-8F0C-7E52AD7574F6}"/>
    <hyperlink ref="F55" r:id="rId47" location="bg-blue-0" display="https://zeke.github.io/primer-cheatsheet/ - bg-blue-0" xr:uid="{FC64473A-C906-824A-9B83-45A2582B1A72}"/>
    <hyperlink ref="F56" r:id="rId48" location="bg-blue-1" display="https://zeke.github.io/primer-cheatsheet/ - bg-blue-1" xr:uid="{41B52A4A-5A00-7549-834E-0C08C870AECE}"/>
    <hyperlink ref="F57" r:id="rId49" location="bg-blue-2" display="https://zeke.github.io/primer-cheatsheet/ - bg-blue-2" xr:uid="{26020EB6-E514-1247-8749-298786B125C8}"/>
    <hyperlink ref="F58" r:id="rId50" location="bg-blue-3" display="https://zeke.github.io/primer-cheatsheet/ - bg-blue-3" xr:uid="{646380C4-D7A4-8A47-B5A0-CF896BEAEE7D}"/>
    <hyperlink ref="F59" r:id="rId51" location="bg-blue-4" display="https://zeke.github.io/primer-cheatsheet/ - bg-blue-4" xr:uid="{E0DB8D5A-4430-1C44-B4C1-35A0EF33DC5E}"/>
    <hyperlink ref="F60" r:id="rId52" location="bg-blue-5" display="https://zeke.github.io/primer-cheatsheet/ - bg-blue-5" xr:uid="{44275292-D722-914E-B2F6-FF68A61CFF6A}"/>
    <hyperlink ref="F61" r:id="rId53" location="bg-blue-6" display="https://zeke.github.io/primer-cheatsheet/ - bg-blue-6" xr:uid="{15C2C8BA-8990-A943-B455-21ECA0DD41F1}"/>
    <hyperlink ref="F62" r:id="rId54" location="bg-blue-7" display="https://zeke.github.io/primer-cheatsheet/ - bg-blue-7" xr:uid="{98918A2F-CB17-5041-97B9-E9F1FA5A57D0}"/>
    <hyperlink ref="F63" r:id="rId55" location="bg-blue-8" display="https://zeke.github.io/primer-cheatsheet/ - bg-blue-8" xr:uid="{8CDBD835-7A23-CA40-89DF-5978932CCE7E}"/>
    <hyperlink ref="F64" r:id="rId56" location="bg-blue-9" display="https://zeke.github.io/primer-cheatsheet/ - bg-blue-9" xr:uid="{8E698262-8489-2446-8058-3BA4C2CEA336}"/>
    <hyperlink ref="F65" r:id="rId57" location="bg-blue-light" display="https://zeke.github.io/primer-cheatsheet/ - bg-blue-light" xr:uid="{B4CA39DB-F443-A047-B242-FBABEE29BA35}"/>
    <hyperlink ref="F66" r:id="rId58" location="bg-gray" display="https://zeke.github.io/primer-cheatsheet/ - bg-gray" xr:uid="{5AE712B2-827D-0043-9A41-F0A58A2CD99C}"/>
    <hyperlink ref="F67" r:id="rId59" location="bg-gray-0" display="https://zeke.github.io/primer-cheatsheet/ - bg-gray-0" xr:uid="{A8FA5A25-5260-CD43-A66A-FF782B273EDD}"/>
    <hyperlink ref="F68" r:id="rId60" location="bg-gray-1" display="https://zeke.github.io/primer-cheatsheet/ - bg-gray-1" xr:uid="{F9B1FC8C-F1E9-7D49-84C6-7F241A83E9C2}"/>
    <hyperlink ref="F69" r:id="rId61" location="bg-gray-2" display="https://zeke.github.io/primer-cheatsheet/ - bg-gray-2" xr:uid="{35F2B78B-AE84-E94F-B5C1-16D6FA4D5E34}"/>
    <hyperlink ref="F70" r:id="rId62" location="bg-gray-3" display="https://zeke.github.io/primer-cheatsheet/ - bg-gray-3" xr:uid="{84CA4AD1-7C8A-3845-AD58-19E668D8F8F3}"/>
    <hyperlink ref="F71" r:id="rId63" location="bg-gray-4" display="https://zeke.github.io/primer-cheatsheet/ - bg-gray-4" xr:uid="{72B2EF11-3735-5342-8CE4-062C3C2F76F8}"/>
    <hyperlink ref="F72" r:id="rId64" location="bg-gray-5" display="https://zeke.github.io/primer-cheatsheet/ - bg-gray-5" xr:uid="{FD23A048-0294-914A-8B15-F5B16B74457D}"/>
    <hyperlink ref="F73" r:id="rId65" location="bg-gray-6" display="https://zeke.github.io/primer-cheatsheet/ - bg-gray-6" xr:uid="{78718281-813F-A045-B942-F2CE4D821539}"/>
    <hyperlink ref="F74" r:id="rId66" location="bg-gray-7" display="https://zeke.github.io/primer-cheatsheet/ - bg-gray-7" xr:uid="{81DA60D1-C142-4B48-AF03-F126998565ED}"/>
    <hyperlink ref="F75" r:id="rId67" location="bg-gray-8" display="https://zeke.github.io/primer-cheatsheet/ - bg-gray-8" xr:uid="{99C3F7AD-4A07-9345-91F7-B36D0FD3FE86}"/>
    <hyperlink ref="F76" r:id="rId68" location="bg-gray-9" display="https://zeke.github.io/primer-cheatsheet/ - bg-gray-9" xr:uid="{393411F7-1498-2E4F-AEA5-EEB08FD0A16B}"/>
    <hyperlink ref="F77" r:id="rId69" location="bg-gray-dark" display="https://zeke.github.io/primer-cheatsheet/ - bg-gray-dark" xr:uid="{7DCDBBCB-6013-A645-AEEF-F931BF6D9DEB}"/>
    <hyperlink ref="F78" r:id="rId70" location="bg-gray-light" display="https://zeke.github.io/primer-cheatsheet/ - bg-gray-light" xr:uid="{C8E20D41-D19F-224A-AA47-383FCA8C17B2}"/>
    <hyperlink ref="F79" r:id="rId71" location="bg-green" display="https://zeke.github.io/primer-cheatsheet/ - bg-green" xr:uid="{C490F03B-0E05-B149-9A08-A53F6EC21BB1}"/>
    <hyperlink ref="F80" r:id="rId72" location="bg-green-0" display="https://zeke.github.io/primer-cheatsheet/ - bg-green-0" xr:uid="{B26B9CD8-526D-D94A-A0BB-9542DD5F7AC5}"/>
    <hyperlink ref="F81" r:id="rId73" location="bg-green-1" display="https://zeke.github.io/primer-cheatsheet/ - bg-green-1" xr:uid="{524E3CE1-C066-8646-86BA-E9AEBA551FB2}"/>
    <hyperlink ref="F82" r:id="rId74" location="bg-green-2" display="https://zeke.github.io/primer-cheatsheet/ - bg-green-2" xr:uid="{11772488-BE3B-614C-B544-C24FE0A412E0}"/>
    <hyperlink ref="F83" r:id="rId75" location="bg-green-3" display="https://zeke.github.io/primer-cheatsheet/ - bg-green-3" xr:uid="{3AE38730-641A-4743-B492-E83D62B32C05}"/>
    <hyperlink ref="F84" r:id="rId76" location="bg-green-4" display="https://zeke.github.io/primer-cheatsheet/ - bg-green-4" xr:uid="{58EF3CA5-1CE6-A94A-8277-DE122AA735B3}"/>
    <hyperlink ref="F85" r:id="rId77" location="bg-green-5" display="https://zeke.github.io/primer-cheatsheet/ - bg-green-5" xr:uid="{A78FA030-CF94-8540-9CD9-2AF1676314C9}"/>
    <hyperlink ref="F86" r:id="rId78" location="bg-green-6" display="https://zeke.github.io/primer-cheatsheet/ - bg-green-6" xr:uid="{6697242F-6F0B-754B-8E6A-C3E96BC7E8EC}"/>
    <hyperlink ref="F87" r:id="rId79" location="bg-green-7" display="https://zeke.github.io/primer-cheatsheet/ - bg-green-7" xr:uid="{ECC6CBEC-1159-0C4E-AA02-B40A33D54AE9}"/>
    <hyperlink ref="F88" r:id="rId80" location="bg-green-8" display="https://zeke.github.io/primer-cheatsheet/ - bg-green-8" xr:uid="{C31AC66E-0095-5641-9B10-3777FFDDF289}"/>
    <hyperlink ref="F89" r:id="rId81" location="bg-green-9" display="https://zeke.github.io/primer-cheatsheet/ - bg-green-9" xr:uid="{3FACF4CE-7E5F-7943-957B-80F5E9D554F5}"/>
    <hyperlink ref="F90" r:id="rId82" location="bg-green-light" display="https://zeke.github.io/primer-cheatsheet/ - bg-green-light" xr:uid="{F1EA5AE6-C0CB-DA47-9BD4-FB636A03C797}"/>
    <hyperlink ref="F91" r:id="rId83" location="bg-orange-0" display="https://zeke.github.io/primer-cheatsheet/ - bg-orange-0" xr:uid="{CE8574C3-3490-8B48-B432-0BC7B1CFB933}"/>
    <hyperlink ref="F92" r:id="rId84" location="bg-orange-1" display="https://zeke.github.io/primer-cheatsheet/ - bg-orange-1" xr:uid="{FC76F161-865F-D042-8E59-AB706EBB79DA}"/>
    <hyperlink ref="F93" r:id="rId85" location="bg-orange-2" display="https://zeke.github.io/primer-cheatsheet/ - bg-orange-2" xr:uid="{8052BE27-D801-F743-B3A1-DF3F0EEF93C2}"/>
    <hyperlink ref="F94" r:id="rId86" location="bg-orange-3" display="https://zeke.github.io/primer-cheatsheet/ - bg-orange-3" xr:uid="{0A2532F2-4181-4146-AEF0-88743AB450FF}"/>
    <hyperlink ref="F95" r:id="rId87" location="bg-orange-4" display="https://zeke.github.io/primer-cheatsheet/ - bg-orange-4" xr:uid="{29C0481F-BF3A-2741-9B5A-C8F187E4DEF8}"/>
    <hyperlink ref="F96" r:id="rId88" location="bg-orange-5" display="https://zeke.github.io/primer-cheatsheet/ - bg-orange-5" xr:uid="{5C397DFF-1F3D-3042-8418-668E87797BF0}"/>
    <hyperlink ref="F97" r:id="rId89" location="bg-orange-6" display="https://zeke.github.io/primer-cheatsheet/ - bg-orange-6" xr:uid="{DC25D3A7-8BFF-AC45-8885-A8F96C264FB6}"/>
    <hyperlink ref="F98" r:id="rId90" location="bg-orange-7" display="https://zeke.github.io/primer-cheatsheet/ - bg-orange-7" xr:uid="{5B659646-5120-504D-8C44-4A331F6627F5}"/>
    <hyperlink ref="F99" r:id="rId91" location="bg-orange-8" display="https://zeke.github.io/primer-cheatsheet/ - bg-orange-8" xr:uid="{B956A662-70CC-0546-991F-9FA0E3D08E28}"/>
    <hyperlink ref="F100" r:id="rId92" location="bg-orange-9" display="https://zeke.github.io/primer-cheatsheet/ - bg-orange-9" xr:uid="{ED9D93AB-6514-4C4C-BB2D-FCA06E7FB374}"/>
    <hyperlink ref="F101" r:id="rId93" location="bg-pink" display="https://zeke.github.io/primer-cheatsheet/ - bg-pink" xr:uid="{872F0BF3-4C8E-F64A-A9EE-E8315FD8E211}"/>
    <hyperlink ref="F102" r:id="rId94" location="bg-pink-0" display="https://zeke.github.io/primer-cheatsheet/ - bg-pink-0" xr:uid="{6FCAD0CB-EE8B-014A-8112-CDE524C75682}"/>
    <hyperlink ref="F103" r:id="rId95" location="bg-pink-1" display="https://zeke.github.io/primer-cheatsheet/ - bg-pink-1" xr:uid="{B1E217E4-570D-4A46-9DCD-90C346DE3A31}"/>
    <hyperlink ref="F104" r:id="rId96" location="bg-pink-2" display="https://zeke.github.io/primer-cheatsheet/ - bg-pink-2" xr:uid="{17119852-C3AE-C44E-BF13-606F649F7B08}"/>
    <hyperlink ref="F105" r:id="rId97" location="bg-pink-3" display="https://zeke.github.io/primer-cheatsheet/ - bg-pink-3" xr:uid="{C9CB7335-B428-794C-9526-A7579C36A6F9}"/>
    <hyperlink ref="F106" r:id="rId98" location="bg-pink-4" display="https://zeke.github.io/primer-cheatsheet/ - bg-pink-4" xr:uid="{BD260716-1571-C940-90F1-1E5314FE669C}"/>
    <hyperlink ref="F107" r:id="rId99" location="bg-pink-5" display="https://zeke.github.io/primer-cheatsheet/ - bg-pink-5" xr:uid="{85470A80-42D0-1C4B-8839-0EB1FFE5FCEC}"/>
    <hyperlink ref="F108" r:id="rId100" location="bg-pink-6" display="https://zeke.github.io/primer-cheatsheet/ - bg-pink-6" xr:uid="{2D3C0C2D-8921-0F4B-8175-F7E6A728052E}"/>
    <hyperlink ref="F109" r:id="rId101" location="bg-pink-7" display="https://zeke.github.io/primer-cheatsheet/ - bg-pink-7" xr:uid="{29486277-838C-CA48-8BC2-D74C87B742D0}"/>
    <hyperlink ref="F110" r:id="rId102" location="bg-pink-8" display="https://zeke.github.io/primer-cheatsheet/ - bg-pink-8" xr:uid="{CF59D3AA-B8E7-8143-A172-A0DC2839A177}"/>
    <hyperlink ref="F111" r:id="rId103" location="bg-pink-9" display="https://zeke.github.io/primer-cheatsheet/ - bg-pink-9" xr:uid="{AC190A4F-441C-FA4A-B432-BABB703EE8A4}"/>
    <hyperlink ref="F112" r:id="rId104" location="bg-purple" display="https://zeke.github.io/primer-cheatsheet/ - bg-purple" xr:uid="{61956A4E-FCE4-414F-BE2C-97F8817B6B7E}"/>
    <hyperlink ref="F113" r:id="rId105" location="bg-purple-0" display="https://zeke.github.io/primer-cheatsheet/ - bg-purple-0" xr:uid="{D28CC21E-3285-2142-9645-4C88ACF76693}"/>
    <hyperlink ref="F114" r:id="rId106" location="bg-purple-1" display="https://zeke.github.io/primer-cheatsheet/ - bg-purple-1" xr:uid="{5A3B99BE-D37E-DF4D-A8BB-3663D1AA9684}"/>
    <hyperlink ref="F115" r:id="rId107" location="bg-purple-2" display="https://zeke.github.io/primer-cheatsheet/ - bg-purple-2" xr:uid="{28D0E0DF-5351-A544-8A93-78A74168DFCD}"/>
    <hyperlink ref="F116" r:id="rId108" location="bg-purple-3" display="https://zeke.github.io/primer-cheatsheet/ - bg-purple-3" xr:uid="{746D2CB7-CA45-F543-A8DA-E97E96239462}"/>
    <hyperlink ref="F117" r:id="rId109" location="bg-purple-4" display="https://zeke.github.io/primer-cheatsheet/ - bg-purple-4" xr:uid="{E59936CF-F976-AB4B-8447-D5B8CDE41B78}"/>
    <hyperlink ref="F118" r:id="rId110" location="bg-purple-5" display="https://zeke.github.io/primer-cheatsheet/ - bg-purple-5" xr:uid="{F5D70ED1-702F-F74D-A49B-0AC01C982380}"/>
    <hyperlink ref="F119" r:id="rId111" location="bg-purple-6" display="https://zeke.github.io/primer-cheatsheet/ - bg-purple-6" xr:uid="{F7B271E6-FC2F-C14B-AFB7-354B4B1D20B8}"/>
    <hyperlink ref="F120" r:id="rId112" location="bg-purple-7" display="https://zeke.github.io/primer-cheatsheet/ - bg-purple-7" xr:uid="{EEB1296A-94AB-4443-8F80-BCA699DF27CE}"/>
    <hyperlink ref="F121" r:id="rId113" location="bg-purple-8" display="https://zeke.github.io/primer-cheatsheet/ - bg-purple-8" xr:uid="{0339E050-1F96-D047-A81A-F23DE8685BE9}"/>
    <hyperlink ref="F122" r:id="rId114" location="bg-purple-9" display="https://zeke.github.io/primer-cheatsheet/ - bg-purple-9" xr:uid="{0D01A5CB-5CD7-8742-A470-0F1F1B12D8EB}"/>
    <hyperlink ref="F123" r:id="rId115" location="bg-purple-light" display="https://zeke.github.io/primer-cheatsheet/ - bg-purple-light" xr:uid="{85D5F73C-0D16-1442-834C-56FE5DD555AB}"/>
    <hyperlink ref="F124" r:id="rId116" location="bg-red" display="https://zeke.github.io/primer-cheatsheet/ - bg-red" xr:uid="{150E977D-5E95-0442-9E68-39C0AB21917F}"/>
    <hyperlink ref="F125" r:id="rId117" location="bg-red-0" display="https://zeke.github.io/primer-cheatsheet/ - bg-red-0" xr:uid="{1308AEB1-44C0-B541-A7E6-DB7A1F4DE784}"/>
    <hyperlink ref="F126" r:id="rId118" location="bg-red-1" display="https://zeke.github.io/primer-cheatsheet/ - bg-red-1" xr:uid="{CBCB0418-499C-CB48-A318-5B0657166643}"/>
    <hyperlink ref="F127" r:id="rId119" location="bg-red-2" display="https://zeke.github.io/primer-cheatsheet/ - bg-red-2" xr:uid="{9D29DDB9-EE65-834B-86E7-1646DDDDD0BD}"/>
    <hyperlink ref="F128" r:id="rId120" location="bg-red-3" display="https://zeke.github.io/primer-cheatsheet/ - bg-red-3" xr:uid="{4EDF829E-097F-7E4A-AAD3-03CF4D903979}"/>
    <hyperlink ref="F129" r:id="rId121" location="bg-red-4" display="https://zeke.github.io/primer-cheatsheet/ - bg-red-4" xr:uid="{2637E4CB-0740-7D46-BADA-25394903D11C}"/>
    <hyperlink ref="F130" r:id="rId122" location="bg-red-5" display="https://zeke.github.io/primer-cheatsheet/ - bg-red-5" xr:uid="{EC07D8D6-63DF-964D-8EE6-6C7AA5152011}"/>
    <hyperlink ref="F131" r:id="rId123" location="bg-red-6" display="https://zeke.github.io/primer-cheatsheet/ - bg-red-6" xr:uid="{C379C470-55C3-8545-9E13-5714AA8337CA}"/>
    <hyperlink ref="F132" r:id="rId124" location="bg-red-7" display="https://zeke.github.io/primer-cheatsheet/ - bg-red-7" xr:uid="{B0A4C1FE-34EC-6D42-B181-42D71EA0436E}"/>
    <hyperlink ref="F133" r:id="rId125" location="bg-red-8" display="https://zeke.github.io/primer-cheatsheet/ - bg-red-8" xr:uid="{C88F96D4-4E0F-674C-8C3A-DA299168C482}"/>
    <hyperlink ref="F134" r:id="rId126" location="bg-red-9" display="https://zeke.github.io/primer-cheatsheet/ - bg-red-9" xr:uid="{7134035D-81EE-ED42-A14C-A98D25202AB3}"/>
    <hyperlink ref="F135" r:id="rId127" location="bg-red-light" display="https://zeke.github.io/primer-cheatsheet/ - bg-red-light" xr:uid="{659A01EE-848C-C54B-944E-0CB483D8A642}"/>
    <hyperlink ref="F136" r:id="rId128" location="bg-shade-gradient" display="https://zeke.github.io/primer-cheatsheet/ - bg-shade-gradient" xr:uid="{E4EF91A5-D617-0048-BDB6-B2DFFF127945}"/>
    <hyperlink ref="F137" r:id="rId129" location="bg-white" display="https://zeke.github.io/primer-cheatsheet/ - bg-white" xr:uid="{DDA5F619-F810-3E44-AC49-F30B2C038CBB}"/>
    <hyperlink ref="F138" r:id="rId130" location="bg-yellow" display="https://zeke.github.io/primer-cheatsheet/ - bg-yellow" xr:uid="{BAB74EB9-9CAB-CB4F-8E96-3D22A700C113}"/>
    <hyperlink ref="F139" r:id="rId131" location="bg-yellow-0" display="https://zeke.github.io/primer-cheatsheet/ - bg-yellow-0" xr:uid="{9EE3DE21-5317-8F48-B843-D7A653308650}"/>
    <hyperlink ref="F140" r:id="rId132" location="bg-yellow-1" display="https://zeke.github.io/primer-cheatsheet/ - bg-yellow-1" xr:uid="{AB20BC31-B032-B14C-8F1E-558520232D3B}"/>
    <hyperlink ref="F141" r:id="rId133" location="bg-yellow-2" display="https://zeke.github.io/primer-cheatsheet/ - bg-yellow-2" xr:uid="{DF056DD3-B86B-FB44-A616-C290CAE9C3BE}"/>
    <hyperlink ref="F142" r:id="rId134" location="bg-yellow-3" display="https://zeke.github.io/primer-cheatsheet/ - bg-yellow-3" xr:uid="{C3A7393C-6596-3C47-A071-0C64195B04FC}"/>
    <hyperlink ref="F143" r:id="rId135" location="bg-yellow-4" display="https://zeke.github.io/primer-cheatsheet/ - bg-yellow-4" xr:uid="{BEEFAA76-D188-3C46-B592-4D0E8544C562}"/>
    <hyperlink ref="F144" r:id="rId136" location="bg-yellow-5" display="https://zeke.github.io/primer-cheatsheet/ - bg-yellow-5" xr:uid="{9C23EA21-8FC6-5144-8B75-1AC229FCFE5D}"/>
    <hyperlink ref="F145" r:id="rId137" location="bg-yellow-6" display="https://zeke.github.io/primer-cheatsheet/ - bg-yellow-6" xr:uid="{DD57B130-903B-B544-8DCF-6C85EFA65321}"/>
    <hyperlink ref="F146" r:id="rId138" location="bg-yellow-7" display="https://zeke.github.io/primer-cheatsheet/ - bg-yellow-7" xr:uid="{C3278891-3083-8542-97D6-E637A1EA3B4C}"/>
    <hyperlink ref="F147" r:id="rId139" location="bg-yellow-8" display="https://zeke.github.io/primer-cheatsheet/ - bg-yellow-8" xr:uid="{D741D1E6-6B38-5249-8583-CD57A78AD0A3}"/>
    <hyperlink ref="F148" r:id="rId140" location="bg-yellow-9" display="https://zeke.github.io/primer-cheatsheet/ - bg-yellow-9" xr:uid="{F5660F2E-0A2E-C848-85D2-EE6152C24757}"/>
    <hyperlink ref="F149" r:id="rId141" location="bg-yellow-dark" display="https://zeke.github.io/primer-cheatsheet/ - bg-yellow-dark" xr:uid="{B0660D9E-5E54-9945-88DF-77F77B56F813}"/>
    <hyperlink ref="F150" r:id="rId142" location="bg-yellow-light" display="https://zeke.github.io/primer-cheatsheet/ - bg-yellow-light" xr:uid="{D675D20F-BCD4-CE43-A975-F7E413066F45}"/>
    <hyperlink ref="F151" r:id="rId143" location="blankslate" display="https://zeke.github.io/primer-cheatsheet/ - blankslate" xr:uid="{7CDF17F6-0F5F-0B4C-8B7D-43CF299102D2}"/>
    <hyperlink ref="F152" r:id="rId144" location="blankslate-code" display="https://zeke.github.io/primer-cheatsheet/ - blankslate-code" xr:uid="{E5F0D6AE-407F-1246-9FBE-1F774D005857}"/>
    <hyperlink ref="F153" r:id="rId145" location="blankslate-img" display="https://zeke.github.io/primer-cheatsheet/ - blankslate-img" xr:uid="{26C3BFFF-0A82-4640-A65D-8F382F26497C}"/>
    <hyperlink ref="F154" r:id="rId146" location="blankslate-capped" display="https://zeke.github.io/primer-cheatsheet/ - blankslate-capped" xr:uid="{A40B055B-D76D-6D40-965D-7FD3A62AA561}"/>
    <hyperlink ref="F155" r:id="rId147" location="blankslate-clean-background" display="https://zeke.github.io/primer-cheatsheet/ - blankslate-clean-background" xr:uid="{31E1C077-3ABD-1740-8247-403379C7DC3E}"/>
    <hyperlink ref="F156" r:id="rId148" location="blankslate-icon" display="https://zeke.github.io/primer-cheatsheet/ - blankslate-icon" xr:uid="{F797339F-8465-B940-8A23-4113D2400679}"/>
    <hyperlink ref="F157" r:id="rId149" location="blankslate-large-h3" display="https://zeke.github.io/primer-cheatsheet/ - blankslate-large-h3" xr:uid="{7861B7EA-B80E-464F-9220-C58BCBA11B66}"/>
    <hyperlink ref="F158" r:id="rId150" location="blankslate-large-img" display="https://zeke.github.io/primer-cheatsheet/ - blankslate-large-img" xr:uid="{F1A6FE06-1819-584B-AD01-37740A4FF4C9}"/>
    <hyperlink ref="F159" r:id="rId151" location="blankslate-large-p" display="https://zeke.github.io/primer-cheatsheet/ - blankslate-large-p" xr:uid="{55329D24-1521-8244-9370-444FCE945745}"/>
    <hyperlink ref="F160" r:id="rId152" location="blankslate-narrow" display="https://zeke.github.io/primer-cheatsheet/ - blankslate-narrow" xr:uid="{595D3D1F-787F-B141-808A-6707C8DE7D57}"/>
    <hyperlink ref="F161" r:id="rId153" location="blankslate-spacious" display="https://zeke.github.io/primer-cheatsheet/ - blankslate-spacious" xr:uid="{62292E94-B236-B24D-9714-C2DB07A63756}"/>
    <hyperlink ref="F162" r:id="rId154" location="border" display="https://zeke.github.io/primer-cheatsheet/ - border" xr:uid="{621D93AF-1609-7348-98C0-31AEFFD158A4}"/>
    <hyperlink ref="F163" r:id="rId155" location="border-0" display="https://zeke.github.io/primer-cheatsheet/ - border-0" xr:uid="{CCF7FF0A-5B24-D344-ABEE-950723F7E9BA}"/>
    <hyperlink ref="F164" r:id="rId156" location="border-black-fade" display="https://zeke.github.io/primer-cheatsheet/ - border-black-fade" xr:uid="{18CD2CBC-A86B-C349-B705-F1C29C22658E}"/>
    <hyperlink ref="F165" r:id="rId157" location="border-blue" display="https://zeke.github.io/primer-cheatsheet/ - border-blue" xr:uid="{7360A9DE-FAD5-254D-BBD3-B99B61B45273}"/>
    <hyperlink ref="F166" r:id="rId158" location="border-blue-light" display="https://zeke.github.io/primer-cheatsheet/ - border-blue-light" xr:uid="{D2468808-0CCC-314D-9119-A47293A486D8}"/>
    <hyperlink ref="F167" r:id="rId159" location="border-bottom" display="https://zeke.github.io/primer-cheatsheet/ - border-bottom" xr:uid="{580A6764-84D4-4041-A2C3-0F4B0B7BE11C}"/>
    <hyperlink ref="F168" r:id="rId160" location="border-bottom-0" display="https://zeke.github.io/primer-cheatsheet/ - border-bottom-0" xr:uid="{538937AB-428E-D543-AAF6-E6E4A1CBB700}"/>
    <hyperlink ref="F169" r:id="rId161" location="border-dashed" display="https://zeke.github.io/primer-cheatsheet/ - border-dashed" xr:uid="{FFF8C152-9222-3A4C-8100-F076CE3A67F9}"/>
    <hyperlink ref="F170" r:id="rId162" location="border-gray-dark" display="https://zeke.github.io/primer-cheatsheet/ - border-gray-dark" xr:uid="{0DF47EF4-E217-ED41-B8A7-46B19D7B0DF0}"/>
    <hyperlink ref="F171" r:id="rId163" location="border-gray-light" display="https://zeke.github.io/primer-cheatsheet/ - border-gray-light" xr:uid="{4DF9801B-E36C-8F4E-8659-0A24C39462CE}"/>
    <hyperlink ref="F172" r:id="rId164" location="border-green" display="https://zeke.github.io/primer-cheatsheet/ - border-green" xr:uid="{7C9A818A-D07C-D14A-9D68-B0A6707F9C6B}"/>
    <hyperlink ref="F173" r:id="rId165" location="border-green-light" display="https://zeke.github.io/primer-cheatsheet/ - border-green-light" xr:uid="{876D7C16-9672-9645-8A53-5E470EBF5907}"/>
    <hyperlink ref="F174" r:id="rId166" location="border-left" display="https://zeke.github.io/primer-cheatsheet/ - border-left" xr:uid="{A732A668-118F-8A42-B666-9BC7F543E7C4}"/>
    <hyperlink ref="F175" r:id="rId167" location="border-left-0" display="https://zeke.github.io/primer-cheatsheet/ - border-left-0" xr:uid="{B5FDA0CF-33DE-E84C-B540-8D101B78194D}"/>
    <hyperlink ref="F176" r:id="rId168" location="border-purple" display="https://zeke.github.io/primer-cheatsheet/ - border-purple" xr:uid="{A1D08831-5B7B-0D42-9731-02976B175252}"/>
    <hyperlink ref="F177" r:id="rId169" location="border-red" display="https://zeke.github.io/primer-cheatsheet/ - border-red" xr:uid="{33A22BCC-206D-8C42-A522-FB937240FED5}"/>
    <hyperlink ref="F178" r:id="rId170" location="border-red-light" display="https://zeke.github.io/primer-cheatsheet/ - border-red-light" xr:uid="{1DE939C4-1F39-6040-B4A4-2A7E6DB8223E}"/>
    <hyperlink ref="F179" r:id="rId171" location="border-right" display="https://zeke.github.io/primer-cheatsheet/ - border-right" xr:uid="{0A9F2489-7975-D44C-9903-49E525FCA9AD}"/>
    <hyperlink ref="F180" r:id="rId172" location="border-right-0" display="https://zeke.github.io/primer-cheatsheet/ - border-right-0" xr:uid="{CA0292AE-09AA-6341-BA4A-17A79A65DB95}"/>
    <hyperlink ref="F181" r:id="rId173" location="border-top" display="https://zeke.github.io/primer-cheatsheet/ - border-top" xr:uid="{F43A64EF-03EF-974B-B7FF-491E34780E83}"/>
    <hyperlink ref="F182" r:id="rId174" location="border-top-0" display="https://zeke.github.io/primer-cheatsheet/ - border-top-0" xr:uid="{E5D52B86-E0AD-1B45-9EDD-1CB43C2CC54E}"/>
    <hyperlink ref="F183" r:id="rId175" location="border-white-fade" display="https://zeke.github.io/primer-cheatsheet/ - border-white-fade" xr:uid="{EFA102B7-CA4A-8A4A-B175-805F1369FE53}"/>
    <hyperlink ref="F184" r:id="rId176" location="border-white-fade-15" display="https://zeke.github.io/primer-cheatsheet/ - border-white-fade-15" xr:uid="{5F3C9CE0-FDAC-4745-B745-DD51E5323EA8}"/>
    <hyperlink ref="F185" r:id="rId177" location="border-white-fade-30" display="https://zeke.github.io/primer-cheatsheet/ - border-white-fade-30" xr:uid="{859D3378-37DB-7140-B4AD-ABE17D2179F5}"/>
    <hyperlink ref="F186" r:id="rId178" location="border-white-fade-50" display="https://zeke.github.io/primer-cheatsheet/ - border-white-fade-50" xr:uid="{F6382511-4363-A94A-9637-A1CB199DD13D}"/>
    <hyperlink ref="F187" r:id="rId179" location="border-white-fade-70" display="https://zeke.github.io/primer-cheatsheet/ - border-white-fade-70" xr:uid="{1DE1EF62-94F8-F34A-A4B3-5FBBCF9492E5}"/>
    <hyperlink ref="F188" r:id="rId180" location="border-white-fade-85" display="https://zeke.github.io/primer-cheatsheet/ - border-white-fade-85" xr:uid="{5CF860BC-05BE-8D48-A4EC-2260C3DB2C45}"/>
    <hyperlink ref="F189" r:id="rId181" location="border-x" display="https://zeke.github.io/primer-cheatsheet/ - border-x" xr:uid="{5CE6C36B-A1CB-EB46-BA9D-B7D4A20627D0}"/>
    <hyperlink ref="F190" r:id="rId182" location="border-y" display="https://zeke.github.io/primer-cheatsheet/ - border-y" xr:uid="{1205A882-FEC7-AB41-9200-CF9AF5C58EAA}"/>
    <hyperlink ref="F191" r:id="rId183" location="border-yellow" display="https://zeke.github.io/primer-cheatsheet/ - border-yellow" xr:uid="{20F3F0BB-54B8-144A-8243-A01BC0315459}"/>
    <hyperlink ref="F192" r:id="rId184" location="bottom-0" display="https://zeke.github.io/primer-cheatsheet/ - bottom-0" xr:uid="{5CC8A7DC-685E-BF4C-A7E7-0075FF4E2D2F}"/>
    <hyperlink ref="F193" r:id="rId185" location="bottom-0" display="https://zeke.github.io/primer-cheatsheet/ - bottom-0" xr:uid="{7E4B292C-94AD-3D49-B863-025C78F4E90A}"/>
    <hyperlink ref="F194" r:id="rId186" location="bottom-1" display="https://zeke.github.io/primer-cheatsheet/ - bottom-1" xr:uid="{750A7637-62FE-4F44-AD49-85F18C055EF1}"/>
    <hyperlink ref="F195" r:id="rId187" location="bottom-10" display="https://zeke.github.io/primer-cheatsheet/ - bottom-10" xr:uid="{794A4AF3-4D83-7940-9737-1C72C4C279A9}"/>
    <hyperlink ref="F196" r:id="rId188" location="bottom-11" display="https://zeke.github.io/primer-cheatsheet/ - bottom-11" xr:uid="{C8B0C862-6474-B448-8716-A6395ABA085B}"/>
    <hyperlink ref="F197" r:id="rId189" location="bottom-12" display="https://zeke.github.io/primer-cheatsheet/ - bottom-12" xr:uid="{DD47DB1D-ADC7-B049-9427-01A97C066552}"/>
    <hyperlink ref="F198" r:id="rId190" location="bottom-2" display="https://zeke.github.io/primer-cheatsheet/ - bottom-2" xr:uid="{A289D550-7A33-AD42-AFA9-4F4F9BDF57F3}"/>
    <hyperlink ref="F199" r:id="rId191" location="bottom-3" display="https://zeke.github.io/primer-cheatsheet/ - bottom-3" xr:uid="{104235F0-17E9-0244-BC42-8D547EEA86DC}"/>
    <hyperlink ref="F200" r:id="rId192" location="bottom-4" display="https://zeke.github.io/primer-cheatsheet/ - bottom-4" xr:uid="{7CBB1691-7E7E-B148-ABE2-52BE3AD65B77}"/>
    <hyperlink ref="F201" r:id="rId193" location="bottom-5" display="https://zeke.github.io/primer-cheatsheet/ - bottom-5" xr:uid="{B7F96412-3246-6649-89BB-2F3820E800D6}"/>
    <hyperlink ref="F202" r:id="rId194" location="bottom-6" display="https://zeke.github.io/primer-cheatsheet/ - bottom-6" xr:uid="{61A2C7BB-601C-EB4F-8BBD-ECC188F8F1A0}"/>
    <hyperlink ref="F203" r:id="rId195" location="bottom-7" display="https://zeke.github.io/primer-cheatsheet/ - bottom-7" xr:uid="{47DE008B-5EBC-2548-9E5C-323569953EFC}"/>
    <hyperlink ref="F204" r:id="rId196" location="bottom-8" display="https://zeke.github.io/primer-cheatsheet/ - bottom-8" xr:uid="{8F74A6D9-EA0A-9A44-9D4B-51D54DDBD0EC}"/>
    <hyperlink ref="F205" r:id="rId197" location="bottom-9" display="https://zeke.github.io/primer-cheatsheet/ - bottom-9" xr:uid="{C232B7F8-9805-C94C-9BD1-5F76434EEB21}"/>
    <hyperlink ref="F206" r:id="rId198" location="bottom-n0" display="https://zeke.github.io/primer-cheatsheet/ - bottom-n0" xr:uid="{A8F20AFB-5BB0-A442-9ECC-F6E43B0DB7AC}"/>
    <hyperlink ref="F207" r:id="rId199" location="bottom-n1" display="https://zeke.github.io/primer-cheatsheet/ - bottom-n1" xr:uid="{EA36F497-CB45-C746-98F3-E1324638E93F}"/>
    <hyperlink ref="F208" r:id="rId200" location="bottom-n10" display="https://zeke.github.io/primer-cheatsheet/ - bottom-n10" xr:uid="{BF03170D-1D59-1446-B5C2-83ADBAF68A36}"/>
    <hyperlink ref="F209" r:id="rId201" location="bottom-n11" display="https://zeke.github.io/primer-cheatsheet/ - bottom-n11" xr:uid="{F66AA64C-D471-C94B-8831-3CE58684251E}"/>
    <hyperlink ref="F210" r:id="rId202" location="bottom-n12" display="https://zeke.github.io/primer-cheatsheet/ - bottom-n12" xr:uid="{F2226082-A2DA-E742-972A-95587146D9EC}"/>
    <hyperlink ref="F211" r:id="rId203" location="bottom-n2" display="https://zeke.github.io/primer-cheatsheet/ - bottom-n2" xr:uid="{A2C8DBA2-1CE4-1C43-A4D0-04C3BD5ADD3E}"/>
    <hyperlink ref="F212" r:id="rId204" location="bottom-n3" display="https://zeke.github.io/primer-cheatsheet/ - bottom-n3" xr:uid="{80B30934-81E4-7D49-B307-6B507396411F}"/>
    <hyperlink ref="F213" r:id="rId205" location="bottom-n4" display="https://zeke.github.io/primer-cheatsheet/ - bottom-n4" xr:uid="{BD994D1E-C595-E145-BAE3-9915208F72D8}"/>
    <hyperlink ref="F214" r:id="rId206" location="bottom-n5" display="https://zeke.github.io/primer-cheatsheet/ - bottom-n5" xr:uid="{ECA58711-68C3-EB45-B4E1-30619C5285C6}"/>
    <hyperlink ref="F215" r:id="rId207" location="bottom-n6" display="https://zeke.github.io/primer-cheatsheet/ - bottom-n6" xr:uid="{7FE74CA0-57AD-2E48-BA7F-3FCA6E0AA618}"/>
    <hyperlink ref="F216" r:id="rId208" location="bottom-n7" display="https://zeke.github.io/primer-cheatsheet/ - bottom-n7" xr:uid="{211CB00F-7891-2540-8461-607C1A2F0659}"/>
    <hyperlink ref="F217" r:id="rId209" location="bottom-n8" display="https://zeke.github.io/primer-cheatsheet/ - bottom-n8" xr:uid="{6916EDE0-A973-574D-97E6-B7C4F5FBE429}"/>
    <hyperlink ref="F218" r:id="rId210" location="bottom-n9" display="https://zeke.github.io/primer-cheatsheet/ - bottom-n9" xr:uid="{727E24C9-66CD-024A-8BCF-CE7F46DE8D55}"/>
    <hyperlink ref="F219" r:id="rId211" location="box" display="https://zeke.github.io/primer-cheatsheet/ - box" xr:uid="{062F0AA7-52C1-064D-81C1-2E3F5FF6D087}"/>
    <hyperlink ref="F220" r:id="rId212" location="box-blue" display="https://zeke.github.io/primer-cheatsheet/ - box-blue" xr:uid="{08AC9C06-73E3-8D4C-9574-BB76C2DD17A1}"/>
    <hyperlink ref="F221" r:id="rId213" location="box-blue-box-body" display="https://zeke.github.io/primer-cheatsheet/ - box-blue-box-body" xr:uid="{5097C5E2-C44A-A240-8B45-B1E02A909B94}"/>
    <hyperlink ref="F222" r:id="rId214" location="box-blue-box-footer" display="https://zeke.github.io/primer-cheatsheet/ - box-blue-box-footer" xr:uid="{8A67E13B-5C23-1040-B0B4-C7C04D55CC7B}"/>
    <hyperlink ref="F223" r:id="rId215" location="box-blue-box-header" display="https://zeke.github.io/primer-cheatsheet/ - box-blue-box-header" xr:uid="{CE79B1CB-1765-6A49-BD5A-36700A4974C2}"/>
    <hyperlink ref="F224" r:id="rId216" location="box-blue-box-row" display="https://zeke.github.io/primer-cheatsheet/ - box-blue-box-row" xr:uid="{B191A2FD-FF17-5F45-A998-E8A1E52C1723}"/>
    <hyperlink ref="F225" r:id="rId217" location="box-condensed" display="https://zeke.github.io/primer-cheatsheet/ - box-condensed" xr:uid="{F3DBF241-CBB8-254D-B7FE-9A20AB0ABA86}"/>
    <hyperlink ref="F226" r:id="rId218" location="box-condensed-box-body" display="https://zeke.github.io/primer-cheatsheet/ - box-condensed-box-body" xr:uid="{B18BC31F-5C82-A845-9358-38D1951785D9}"/>
    <hyperlink ref="F227" r:id="rId219" location="box-condensed-box-btn-octicon-btn-octicon" display="https://zeke.github.io/primer-cheatsheet/ - box-condensed-box-btn-octicon-btn-octicon" xr:uid="{00A421B9-1F02-174D-B826-1CBF0A57427E}"/>
    <hyperlink ref="F228" r:id="rId220" location="box-condensed-box-footer" display="https://zeke.github.io/primer-cheatsheet/ - box-condensed-box-footer" xr:uid="{AC8DDCFF-95F8-CB4E-B2F2-609E51C052DF}"/>
    <hyperlink ref="F229" r:id="rId221" location="box-condensed-box-header" display="https://zeke.github.io/primer-cheatsheet/ - box-condensed-box-header" xr:uid="{B5E65EA4-E81F-F84B-B9BD-F91A41634F7D}"/>
    <hyperlink ref="F230" r:id="rId222" location="box-condensed-box-row" display="https://zeke.github.io/primer-cheatsheet/ - box-condensed-box-row" xr:uid="{EC01BF32-89B5-6540-9163-9BDE3F6503BB}"/>
    <hyperlink ref="F231" r:id="rId223" location="box-danger" display="https://zeke.github.io/primer-cheatsheet/ - box-danger" xr:uid="{457F51C3-B6CB-8340-8952-355638F67E1E}"/>
    <hyperlink ref="F232" r:id="rId224" location="box-danger-box-body-last-of-type" display="https://zeke.github.io/primer-cheatsheet/ - box-danger-box-body-last-of-type" xr:uid="{B58295F4-F9B4-4249-A92F-9CEA9280ABD4}"/>
    <hyperlink ref="F233" r:id="rId225" location="box-danger-box-row-first-of-type" display="https://zeke.github.io/primer-cheatsheet/ - box-danger-box-row-first-of-type" xr:uid="{F4B43BA2-9F76-E943-973B-FB30F1238924}"/>
    <hyperlink ref="F234" r:id="rId226" location="box-scrollable" display="https://zeke.github.io/primer-cheatsheet/ - box-scrollable" xr:uid="{121DA1A8-FED5-2E4F-B31E-73FDC10161E2}"/>
    <hyperlink ref="F235" r:id="rId227" location="box-spacious-box-body" display="https://zeke.github.io/primer-cheatsheet/ - box-spacious-box-body" xr:uid="{162A4F00-90A1-6D43-9799-4BEE1AEBD5BF}"/>
    <hyperlink ref="F236" r:id="rId228" location="box-spacious-box-btn-octicon-btn-octicon" display="https://zeke.github.io/primer-cheatsheet/ - box-spacious-box-btn-octicon-btn-octicon" xr:uid="{5A5BAB55-D42D-5644-A510-7167C99F6C00}"/>
    <hyperlink ref="F237" r:id="rId229" location="box-spacious-box-footer" display="https://zeke.github.io/primer-cheatsheet/ - box-spacious-box-footer" xr:uid="{81C99CC8-FFAC-3F42-A35E-91B01F8211C5}"/>
    <hyperlink ref="F238" r:id="rId230" location="box-spacious-box-header" display="https://zeke.github.io/primer-cheatsheet/ - box-spacious-box-header" xr:uid="{66D96DA8-39A8-EB46-A025-24DB1DD0128D}"/>
    <hyperlink ref="F239" r:id="rId231" location="box-spacious-box-row" display="https://zeke.github.io/primer-cheatsheet/ - box-spacious-box-row" xr:uid="{993FFF73-0140-2D43-A890-0DBDC5C53630}"/>
    <hyperlink ref="F240" r:id="rId232" location="box-spacious-box-title" display="https://zeke.github.io/primer-cheatsheet/ - box-spacious-box-title" xr:uid="{25A7CB20-6B06-1141-B6D0-3B81497FDAE8}"/>
    <hyperlink ref="F241" r:id="rId233" location="box-body" display="https://zeke.github.io/primer-cheatsheet/ - box-body" xr:uid="{29772820-25D0-BE48-BB68-E73AB8FFA6F6}"/>
    <hyperlink ref="F242" r:id="rId234" location="box-body-last-of-type" display="https://zeke.github.io/primer-cheatsheet/ - box-body-last-of-type" xr:uid="{E1379F88-29A8-1C44-A17A-3389D5A91CA1}"/>
    <hyperlink ref="F243" r:id="rId235" location="box-btn-octicon-btn-octicon" display="https://zeke.github.io/primer-cheatsheet/ - box-btn-octicon-btn-octicon" xr:uid="{0FEF7D54-B8F8-C044-B072-7D3B85C05BE9}"/>
    <hyperlink ref="F244" r:id="rId236" location="box-footer" display="https://zeke.github.io/primer-cheatsheet/ - box-footer" xr:uid="{BA1B7B13-E922-F64A-B439-8BB248246B37}"/>
    <hyperlink ref="F245" r:id="rId237" location="box-header" display="https://zeke.github.io/primer-cheatsheet/ - box-header" xr:uid="{76FDEB06-5355-544C-9E77-35762ACFB9E4}"/>
    <hyperlink ref="F246" r:id="rId238" location="box-header-blue" display="https://zeke.github.io/primer-cheatsheet/ - box-header-blue" xr:uid="{778D870A-0762-F643-A1ED-F45411FDE078}"/>
    <hyperlink ref="F247" r:id="rId239" location="box-row" display="https://zeke.github.io/primer-cheatsheet/ - box-row" xr:uid="{465DB9CE-C357-7243-BE52-8D8F82BFCA8E}"/>
    <hyperlink ref="F248" r:id="rId240" location="box-row-blue" display="https://zeke.github.io/primer-cheatsheet/ - box-row-blue" xr:uid="{7A934A40-1869-0A4B-9162-D151B04917B6}"/>
    <hyperlink ref="F249" r:id="rId241" location="box-row-drag-button" display="https://zeke.github.io/primer-cheatsheet/ - box-row-drag-button" xr:uid="{BD0EC0C7-70A4-6B42-A45C-8CCB96137172}"/>
    <hyperlink ref="F250" r:id="rId242" location="box-row-focus-blue-navigation-focus" display="https://zeke.github.io/primer-cheatsheet/ - box-row-focus-blue-navigation-focus" xr:uid="{52D4DB53-CE58-7647-930C-4B1F8847C869}"/>
    <hyperlink ref="F251" r:id="rId243" location="box-row-focus-gray-navigation-focus" display="https://zeke.github.io/primer-cheatsheet/ - box-row-focus-gray-navigation-focus" xr:uid="{317151D3-EA08-1E46-9450-CC0DC49FF961}"/>
    <hyperlink ref="F252" r:id="rId244" location="box-row-gray" display="https://zeke.github.io/primer-cheatsheet/ - box-row-gray" xr:uid="{C9DCDFEB-83DD-F84C-BFC6-68EC850DF0C3}"/>
    <hyperlink ref="F253" r:id="rId245" location="box-row-hover-blue-hover" display="https://zeke.github.io/primer-cheatsheet/ - box-row-hover-blue-hover" xr:uid="{0C7D04B9-BFA1-CF49-895A-35EDDC9F1918}"/>
    <hyperlink ref="F254" r:id="rId246" location="box-row-hover-gray-hover" display="https://zeke.github.io/primer-cheatsheet/ - box-row-hover-gray-hover" xr:uid="{28AE1A64-289C-F445-A367-5008C806B5F3}"/>
    <hyperlink ref="F255" r:id="rId247" location="box-row-yellow" display="https://zeke.github.io/primer-cheatsheet/ - box-row-yellow" xr:uid="{4D765043-FB07-1743-B5EE-DF0C5DDBDF03}"/>
    <hyperlink ref="F256" r:id="rId248" location="box-row-first-of-type" display="https://zeke.github.io/primer-cheatsheet/ - box-row-first-of-type" xr:uid="{E4D23602-EF5C-ED4A-87EB-FC9D73750C6E}"/>
    <hyperlink ref="F257" r:id="rId249" location="box-row-last-of-type" display="https://zeke.github.io/primer-cheatsheet/ - box-row-last-of-type" xr:uid="{A1600A1D-AF10-A44E-9E5F-C3A052BAA992}"/>
    <hyperlink ref="F258" r:id="rId250" location="box-row-box-row-unread" display="https://zeke.github.io/primer-cheatsheet/ - box-row-box-row-unread" xr:uid="{84EC2901-7740-EF45-B818-5DEB9396A2CE}"/>
    <hyperlink ref="F259" r:id="rId251" location="box-row-navigation-focus-box-row-drag-button" display="https://zeke.github.io/primer-cheatsheet/ - box-row-navigation-focus-box-row-drag-button" xr:uid="{DFC15864-3E32-634E-827D-08E9B2D2C15B}"/>
    <hyperlink ref="F260" r:id="rId252" location="box-row-navigation-focus-is-dragging-box-row-drag-button" display="https://zeke.github.io/primer-cheatsheet/ - box-row-navigation-focus-is-dragging-box-row-drag-button" xr:uid="{9721B032-C9C8-BD42-B397-A9B9973501B7}"/>
    <hyperlink ref="F261" r:id="rId253" location="box-row-navigation-focus-sortable-chosen" display="https://zeke.github.io/primer-cheatsheet/ - box-row-navigation-focus-sortable-chosen" xr:uid="{37483878-9115-0F4D-97C8-4FEFCA93F8A6}"/>
    <hyperlink ref="F262" r:id="rId254" location="box-row-navigation-focus-sortable-ghost" display="https://zeke.github.io/primer-cheatsheet/ - box-row-navigation-focus-sortable-ghost" xr:uid="{A56BE1BC-19C2-DE4E-8A84-3B8E0D3574B6}"/>
    <hyperlink ref="F263" r:id="rId255" location="box-row-navigation-focus-sortable-ghost-box-row-drag-hide" display="https://zeke.github.io/primer-cheatsheet/ - box-row-navigation-focus-sortable-ghost-box-row-drag-hide" xr:uid="{4E665E38-6FA5-DA43-847C-8527B3EF2F0A}"/>
    <hyperlink ref="F264" r:id="rId256" location="box-shadow" display="https://zeke.github.io/primer-cheatsheet/ - box-shadow" xr:uid="{138F09B8-E003-564D-8D78-79D4666A8B89}"/>
    <hyperlink ref="F265" r:id="rId257" location="box-shadow-extra-large" display="https://zeke.github.io/primer-cheatsheet/ - box-shadow-extra-large" xr:uid="{6C626FF9-B4CB-434B-B532-88049CA0D417}"/>
    <hyperlink ref="F266" r:id="rId258" location="box-shadow-large" display="https://zeke.github.io/primer-cheatsheet/ - box-shadow-large" xr:uid="{464D99A3-DDCC-2E48-9D30-F92745A0E90C}"/>
    <hyperlink ref="F267" r:id="rId259" location="box-shadow-medium" display="https://zeke.github.io/primer-cheatsheet/ - box-shadow-medium" xr:uid="{D1AB9D3C-DEC0-3C40-A543-DFA55E8C6B79}"/>
    <hyperlink ref="F268" r:id="rId260" location="box-shadow-none" display="https://zeke.github.io/primer-cheatsheet/ - box-shadow-none" xr:uid="{041908DA-DF2C-0E4E-AE46-28FCDF0C13E1}"/>
    <hyperlink ref="F269" r:id="rId261" location="box-title" display="https://zeke.github.io/primer-cheatsheet/ - box-title" xr:uid="{9BA8F820-073C-5B4A-BEB8-47A88A87D379}"/>
    <hyperlink ref="F270" r:id="rId262" location="branch-name" display="https://zeke.github.io/primer-cheatsheet/ - branch-name" xr:uid="{F1839690-0F33-5440-A569-1346DF4FD4F3}"/>
    <hyperlink ref="F271" r:id="rId263" location="branch-name-octicon" display="https://zeke.github.io/primer-cheatsheet/ - branch-name-octicon" xr:uid="{878EA95F-018C-9043-BB1D-13CCA4A732DF}"/>
    <hyperlink ref="F272" r:id="rId264" location="breadcrumb-item" display="https://zeke.github.io/primer-cheatsheet/ - breadcrumb-item" xr:uid="{72822313-7747-494E-9E52-974A9524808A}"/>
    <hyperlink ref="F273" r:id="rId265" location="breadcrumb-item-selected-after" display="https://zeke.github.io/primer-cheatsheet/ - breadcrumb-item-selected-after" xr:uid="{24DBFF60-4F2A-2045-9A0D-8FF6B202975F}"/>
    <hyperlink ref="F274" r:id="rId266" location="breadcrumb-item-after" display="https://zeke.github.io/primer-cheatsheet/ - breadcrumb-item-after" xr:uid="{D17CE2C1-E2FE-E24F-A143-A6D292B61A39}"/>
    <hyperlink ref="F275" r:id="rId267" location="breadcrumb-item-first-child" display="https://zeke.github.io/primer-cheatsheet/ - breadcrumb-item-first-child" xr:uid="{FA63DAE7-1E92-BD46-824A-5378D9FAA32A}"/>
    <hyperlink ref="F276" r:id="rId268" location="break-word" display="https://zeke.github.io/primer-cheatsheet/ - break-word" xr:uid="{CC515DCB-2DB8-7542-8C56-14806E7E927C}"/>
    <hyperlink ref="F277" r:id="rId269" location="btn" display="https://zeke.github.io/primer-cheatsheet/ - btn" xr:uid="{B79F5A64-7157-2047-9A39-0FDE67252E3B}"/>
    <hyperlink ref="F278" r:id="rId270" location="btn" display="https://zeke.github.io/primer-cheatsheet/ - btn" xr:uid="{42A80E77-E71E-DC47-AB12-478AC67937F2}"/>
    <hyperlink ref="F279" r:id="rId271" location="btn-counter" display="https://zeke.github.io/primer-cheatsheet/ - btn-counter" xr:uid="{1D5308B5-EFD3-634A-904F-A62FE8B32B70}"/>
    <hyperlink ref="F280" r:id="rId272" location="btn-manual-file-chooser" display="https://zeke.github.io/primer-cheatsheet/ - btn-manual-file-chooser" xr:uid="{F52AEB20-C34C-DE49-BDED-9BCC5E79CC1C}"/>
    <hyperlink ref="F281" r:id="rId273" location="btn-octicon" display="https://zeke.github.io/primer-cheatsheet/ - btn-octicon" xr:uid="{3411FF09-D6A8-6C45-8457-6696BE3CADD3}"/>
    <hyperlink ref="F282" r:id="rId274" location="btn-i" display="https://zeke.github.io/primer-cheatsheet/ - btn-i" xr:uid="{C23F9AEE-5FF0-0B42-B738-65E12362DCB5}"/>
    <hyperlink ref="F283" r:id="rId275" location="btn-block" display="https://zeke.github.io/primer-cheatsheet/ - btn-block" xr:uid="{AD88D74E-BD5B-E340-9CAB-E2E00AF52823}"/>
    <hyperlink ref="F284" r:id="rId276" location="btn-blue" display="https://zeke.github.io/primer-cheatsheet/ - btn-blue" xr:uid="{F3E27CD3-B518-F54F-B139-B1717A517237}"/>
    <hyperlink ref="F285" r:id="rId277" location="btn-blue-counter" display="https://zeke.github.io/primer-cheatsheet/ - btn-blue-counter" xr:uid="{80464E1B-0D5F-5144-A00E-2B3AA3041652}"/>
    <hyperlink ref="F286" r:id="rId278" location="btn-blue-active" display="https://zeke.github.io/primer-cheatsheet/ - btn-blue-active" xr:uid="{2D59BDE7-E345-074D-A6D6-50D24D55E1E1}"/>
    <hyperlink ref="F287" r:id="rId279" location="btn-blue-disabled" display="https://zeke.github.io/primer-cheatsheet/ - btn-blue-disabled" xr:uid="{458625EB-A86D-3F40-85C3-9F28F988FB82}"/>
    <hyperlink ref="F288" r:id="rId280" location="btn-blue-focus" display="https://zeke.github.io/primer-cheatsheet/ - btn-blue-focus" xr:uid="{E5A60D37-840B-884C-86B1-C85C76310FB0}"/>
    <hyperlink ref="F289" r:id="rId281" location="btn-blue-hover" display="https://zeke.github.io/primer-cheatsheet/ - btn-blue-hover" xr:uid="{C8E5F08D-237D-5144-93FF-2F370556BEB2}"/>
    <hyperlink ref="F290" r:id="rId282" location="btn-danger" display="https://zeke.github.io/primer-cheatsheet/ - btn-danger" xr:uid="{937A4ACB-A1B7-C542-95D4-503B405DE181}"/>
    <hyperlink ref="F291" r:id="rId283" location="btn-danger-active" display="https://zeke.github.io/primer-cheatsheet/ - btn-danger-active" xr:uid="{C2FDD2BE-A5EF-6140-BFCA-CA6B46C8CAC8}"/>
    <hyperlink ref="F292" r:id="rId284" location="btn-danger-disabled" display="https://zeke.github.io/primer-cheatsheet/ - btn-danger-disabled" xr:uid="{47015744-18F5-9D41-AA56-4A782AC9043D}"/>
    <hyperlink ref="F293" r:id="rId285" location="btn-danger-focus" display="https://zeke.github.io/primer-cheatsheet/ - btn-danger-focus" xr:uid="{17708670-5C9F-C542-A671-C75CF0DD729D}"/>
    <hyperlink ref="F294" r:id="rId286" location="btn-danger-hover" display="https://zeke.github.io/primer-cheatsheet/ - btn-danger-hover" xr:uid="{68A83687-5D0F-A645-B346-5CF5C1146979}"/>
    <hyperlink ref="F295" r:id="rId287" location="btn-danger-hover-counter" display="https://zeke.github.io/primer-cheatsheet/ - btn-danger-hover-counter" xr:uid="{50646A63-193C-7648-852A-DAE1CAEC3EBA}"/>
    <hyperlink ref="F296" r:id="rId288" location="btn-invisible" display="https://zeke.github.io/primer-cheatsheet/ - btn-invisible" xr:uid="{2D670666-49A8-A442-A765-0998D9F43D5D}"/>
    <hyperlink ref="F297" r:id="rId289" location="btn-invisible-hover" display="https://zeke.github.io/primer-cheatsheet/ - btn-invisible-hover" xr:uid="{97B13930-FFDF-BF49-8FCB-BE307EB67558}"/>
    <hyperlink ref="F298" r:id="rId290" location="btn-large" display="https://zeke.github.io/primer-cheatsheet/ - btn-large" xr:uid="{8E6A4480-6FA3-5944-AB28-F854019A1093}"/>
    <hyperlink ref="F299" r:id="rId291" location="btn-large-mktg" display="https://zeke.github.io/primer-cheatsheet/ - btn-large-mktg" xr:uid="{B85D39D2-4C5F-3F40-A7B4-329FEA7A26A3}"/>
    <hyperlink ref="F300" r:id="rId292" location="btn-link" display="https://zeke.github.io/primer-cheatsheet/ - btn-link" xr:uid="{393F68F3-E0BF-5B4B-9A4F-CE1D679A26E6}"/>
    <hyperlink ref="F301" r:id="rId293" location="btn-link-disabled" display="https://zeke.github.io/primer-cheatsheet/ - btn-link-disabled" xr:uid="{4895E533-33E0-AA46-B3C8-F97C51CF9650}"/>
    <hyperlink ref="F302" r:id="rId294" location="btn-link-hover" display="https://zeke.github.io/primer-cheatsheet/ - btn-link-hover" xr:uid="{C4DADA1D-69DD-C34E-A725-CAEF344CFA0C}"/>
    <hyperlink ref="F303" r:id="rId295" location="btn-mktg" display="https://zeke.github.io/primer-cheatsheet/ - btn-mktg" xr:uid="{03D033EF-C222-624C-A628-84DD00B3D09C}"/>
    <hyperlink ref="F304" r:id="rId296" location="btn-mktg-disabled" display="https://zeke.github.io/primer-cheatsheet/ - btn-mktg-disabled" xr:uid="{CE959962-5CDF-3849-B992-8E4A268B4E38}"/>
    <hyperlink ref="F305" r:id="rId297" location="btn-mktg-focus" display="https://zeke.github.io/primer-cheatsheet/ - btn-mktg-focus" xr:uid="{16742A1A-B15A-8249-90FF-E48BCA8F3C51}"/>
    <hyperlink ref="F306" r:id="rId298" location="btn-mktg-hover" display="https://zeke.github.io/primer-cheatsheet/ - btn-mktg-hover" xr:uid="{BB149EE4-5E4E-FE48-9FF6-17CFDB8F3709}"/>
    <hyperlink ref="F307" r:id="rId299" location="btn-octicon" display="https://zeke.github.io/primer-cheatsheet/ - btn-octicon" xr:uid="{D014029C-5884-6E40-9408-90AD97C2AFF3}"/>
    <hyperlink ref="F308" r:id="rId300" location="btn-octicon-danger-hover" display="https://zeke.github.io/primer-cheatsheet/ - btn-octicon-danger-hover" xr:uid="{D2089543-9AD5-F848-87DD-7647B1A005D2}"/>
    <hyperlink ref="F309" r:id="rId301" location="btn-octicon-hover" display="https://zeke.github.io/primer-cheatsheet/ - btn-octicon-hover" xr:uid="{D447DFE7-7152-2D4E-B4F1-295E003A620A}"/>
    <hyperlink ref="F310" r:id="rId302" location="btn-octicon-disabled" display="https://zeke.github.io/primer-cheatsheet/ - btn-octicon-disabled" xr:uid="{26AA3102-7776-5141-BBAA-A6E118A66243}"/>
    <hyperlink ref="F311" r:id="rId303" location="btn-octicon-disabled-hover" display="https://zeke.github.io/primer-cheatsheet/ - btn-octicon-disabled-hover" xr:uid="{81CE86FB-2591-CE4C-AA3F-F663799A9FBF}"/>
    <hyperlink ref="F312" r:id="rId304" location="btn-outline" display="https://zeke.github.io/primer-cheatsheet/ - btn-outline" xr:uid="{391A8FBB-B094-3443-A3F1-69A6FD96E29E}"/>
    <hyperlink ref="F313" r:id="rId305" location="btn-outline-counter" display="https://zeke.github.io/primer-cheatsheet/ - btn-outline-counter" xr:uid="{803A28FE-BE03-2446-B14D-58427986D64A}"/>
    <hyperlink ref="F314" r:id="rId306" location="btn-outline-mktg" display="https://zeke.github.io/primer-cheatsheet/ - btn-outline-mktg" xr:uid="{A960F679-064D-5A44-BDA4-B8947E204B7D}"/>
    <hyperlink ref="F315" r:id="rId307" location="btn-outline-mktg-hover" display="https://zeke.github.io/primer-cheatsheet/ - btn-outline-mktg-hover" xr:uid="{AD7CDB75-7A00-2A45-8819-14CD1BDFF503}"/>
    <hyperlink ref="F316" r:id="rId308" location="btn-outline-disabled" display="https://zeke.github.io/primer-cheatsheet/ - btn-outline-disabled" xr:uid="{43C52338-0CCC-E44C-9932-0C8B5CB07E3A}"/>
    <hyperlink ref="F317" r:id="rId309" location="btn-outline-focus" display="https://zeke.github.io/primer-cheatsheet/ - btn-outline-focus" xr:uid="{08F444E5-2F42-3A40-AEEF-FEE8BEC581D7}"/>
    <hyperlink ref="F319" r:id="rId310" location="btn-outline-hover" display="https://zeke.github.io/primer-cheatsheet/ - btn-outline-hover" xr:uid="{455BF64E-11A7-AB4D-AE60-327D14A66E87}"/>
    <hyperlink ref="F318" r:id="rId311" location="btn-outline-hover-counter" display="https://zeke.github.io/primer-cheatsheet/ - btn-outline-hover-counter" xr:uid="{FA93C976-2A25-8943-8EA8-0AC98995E7B4}"/>
    <hyperlink ref="F320" r:id="rId312" location="btn-primary" display="https://zeke.github.io/primer-cheatsheet/ - btn-primary" xr:uid="{6EC12FE6-28D6-2746-B7D5-215895886005}"/>
    <hyperlink ref="F321" r:id="rId313" location="btn-primary-counter" display="https://zeke.github.io/primer-cheatsheet/ - btn-primary-counter" xr:uid="{264C8BF4-BACF-6341-89AD-150630E92C44}"/>
    <hyperlink ref="F322" r:id="rId314" location="btn-primary-mktg" display="https://zeke.github.io/primer-cheatsheet/ - btn-primary-mktg" xr:uid="{104F43CF-FAFF-C24E-B4F0-616350019935}"/>
    <hyperlink ref="F323" r:id="rId315" location="btn-primary-mktg-focus" display="https://zeke.github.io/primer-cheatsheet/ - btn-primary-mktg-focus" xr:uid="{74B49B68-C5AA-FF40-BD97-D5CF7CDFE853}"/>
    <hyperlink ref="F324" r:id="rId316" location="btn-primary-mktg-hover" display="https://zeke.github.io/primer-cheatsheet/ - btn-primary-mktg-hover" xr:uid="{280151DF-3DE3-744F-9012-C82F9324EAC0}"/>
    <hyperlink ref="F325" r:id="rId317" location="btn-primary-active" display="https://zeke.github.io/primer-cheatsheet/ - btn-primary-active" xr:uid="{52A6DEFE-73DD-D24B-968D-C352005D8B70}"/>
    <hyperlink ref="F326" r:id="rId318" location="btn-primary-disabled" display="https://zeke.github.io/primer-cheatsheet/ - btn-primary-disabled" xr:uid="{F9855F0E-EC42-0845-BA4E-B9594D5F6116}"/>
    <hyperlink ref="F327" r:id="rId319" location="btn-primary-focus" display="https://zeke.github.io/primer-cheatsheet/ - btn-primary-focus" xr:uid="{F0A13DCF-B11D-3240-9D11-5BFDF9857750}"/>
    <hyperlink ref="F328" r:id="rId320" location="btn-primary-hover" display="https://zeke.github.io/primer-cheatsheet/ - btn-primary-hover" xr:uid="{468B920B-FB8A-394D-964C-4E3BE6564219}"/>
    <hyperlink ref="F329" r:id="rId321" location="btn-sm" display="https://zeke.github.io/primer-cheatsheet/ - btn-sm" xr:uid="{84E51D00-249D-C041-8ADD-302A07AC9E9E}"/>
    <hyperlink ref="F330" r:id="rId322" location="btn-transparent" display="https://zeke.github.io/primer-cheatsheet/ - btn-transparent" xr:uid="{DC37EF30-F653-B146-BBAF-EDB00636F94B}"/>
    <hyperlink ref="F331" r:id="rId323" location="btn-transparent-hover" display="https://zeke.github.io/primer-cheatsheet/ - btn-transparent-hover" xr:uid="{8A707EE8-A359-D940-8829-D1713F05BB72}"/>
    <hyperlink ref="F332" r:id="rId324" location="btn-with-count" display="https://zeke.github.io/primer-cheatsheet/ - btn-with-count" xr:uid="{12713943-20CF-4A4F-B550-70AF52105C58}"/>
    <hyperlink ref="F333" r:id="rId325" location="btn-active" display="https://zeke.github.io/primer-cheatsheet/ - btn-active" xr:uid="{3B5EA8C9-ADD6-C94D-BDD8-633EC6252F5C}"/>
    <hyperlink ref="F334" r:id="rId326" location="btn-active" display="https://zeke.github.io/primer-cheatsheet/ - btn-active" xr:uid="{E319F6DE-AC00-9643-AC76-95D5C18709B5}"/>
    <hyperlink ref="F335" r:id="rId327" location="btn-disabled" display="https://zeke.github.io/primer-cheatsheet/ - btn-disabled" xr:uid="{0C1299EF-3391-F84B-A433-A2E6CF2E9265}"/>
    <hyperlink ref="F336" r:id="rId328" location="btn-disabled" display="https://zeke.github.io/primer-cheatsheet/ - btn-disabled" xr:uid="{2319D843-88B6-6143-839E-F4A202151D47}"/>
    <hyperlink ref="F337" r:id="rId329" location="btn-focus" display="https://zeke.github.io/primer-cheatsheet/ - btn-focus" xr:uid="{1BC1285F-D2CF-CA48-8786-074C6751D743}"/>
    <hyperlink ref="F338" r:id="rId330" location="btn-focus" display="https://zeke.github.io/primer-cheatsheet/ - btn-focus" xr:uid="{38FEF6D1-6F75-0F44-81FB-27E5A4872266}"/>
    <hyperlink ref="F339" r:id="rId331" location="btn-hover" display="https://zeke.github.io/primer-cheatsheet/ - btn-hover" xr:uid="{BCCAE7D0-A790-2743-8A5E-FB0E235E9B7B}"/>
    <hyperlink ref="F340" r:id="rId332" location="btn-hover" display="https://zeke.github.io/primer-cheatsheet/ - btn-hover" xr:uid="{6FF78F0C-65F4-544E-A980-6F3FE6DC9BDC}"/>
    <hyperlink ref="F341" r:id="rId333" location="btn-group" display="https://zeke.github.io/primer-cheatsheet/ - btn-group" xr:uid="{862DF2E3-5489-5D4F-9469-D65F0971E865}"/>
    <hyperlink ref="F342" r:id="rId334" location="btn-group-item" display="https://zeke.github.io/primer-cheatsheet/ - btn-group-item" xr:uid="{E51CA529-E65B-A041-9A89-3CAB3932B886}"/>
    <hyperlink ref="F343" r:id="rId335" location="btn-group-item-first-child" display="https://zeke.github.io/primer-cheatsheet/ - btn-group-item-first-child" xr:uid="{6517F9B1-C8AA-2949-B8A2-105E83661AE2}"/>
    <hyperlink ref="F344" r:id="rId336" location="btn-group-item-focus" display="https://zeke.github.io/primer-cheatsheet/ - btn-group-item-focus" xr:uid="{2E85BDCC-4BB6-E048-ADC7-FCACD03A86F8}"/>
    <hyperlink ref="F345" r:id="rId337" location="btn-group-item-last-child" display="https://zeke.github.io/primer-cheatsheet/ - btn-group-item-last-child" xr:uid="{2FB4CDFC-C9E9-E74B-9907-DFB53BB314A3}"/>
    <hyperlink ref="F346" r:id="rId338" location="btn-group-item-selected" display="https://zeke.github.io/primer-cheatsheet/ - btn-group-item-selected" xr:uid="{CF826D0F-2070-D049-AF24-31FDF6E9197E}"/>
    <hyperlink ref="F347" r:id="rId339" location="btn-group-item-selected-btn-group-item" display="https://zeke.github.io/primer-cheatsheet/ - btn-group-item-selected-btn-group-item" xr:uid="{54DCD5B1-F6C6-C64B-88DD-98B27422643C}"/>
    <hyperlink ref="F348" r:id="rId340" location="btn-group-parent" display="https://zeke.github.io/primer-cheatsheet/ - btn-group-parent" xr:uid="{E01AAB2A-6560-E949-93CB-742F49686F43}"/>
    <hyperlink ref="F349" r:id="rId341" location="btn-group-parent-btn-group-item" display="https://zeke.github.io/primer-cheatsheet/ - btn-group-parent-btn-group-item" xr:uid="{4E4493CB-E4D0-E045-9B88-885991075BFB}"/>
    <hyperlink ref="F350" r:id="rId342" location="btn-group-parent-first-child-btn-group-item" display="https://zeke.github.io/primer-cheatsheet/ - btn-group-parent-first-child-btn-group-item" xr:uid="{183E3AA1-2FA3-E24A-BCB4-D120F0975560}"/>
    <hyperlink ref="F351" r:id="rId343" location="btn-group-parent-last-child-btn-group-item" display="https://zeke.github.io/primer-cheatsheet/ - btn-group-parent-last-child-btn-group-item" xr:uid="{B5CFBF30-777C-8E4D-B53C-CE305044559F}"/>
    <hyperlink ref="F352" r:id="rId344" location="btn-group-parent-selected-btn-group-item" display="https://zeke.github.io/primer-cheatsheet/ - btn-group-parent-selected-btn-group-item" xr:uid="{58D4BE52-45D0-E149-AD64-9230EC650301}"/>
    <hyperlink ref="F353" r:id="rId345" location="btn-group-parent-selected-btn-group-item" display="https://zeke.github.io/primer-cheatsheet/ - btn-group-parent-selected-btn-group-item" xr:uid="{13AD772A-5CA7-3948-B1A2-3E6423C82CAA}"/>
    <hyperlink ref="F354" r:id="rId346" location="btn-group-after" display="https://zeke.github.io/primer-cheatsheet/ - btn-group-after" xr:uid="{3811D71A-AA22-3045-8F3E-3921553F2DAA}"/>
    <hyperlink ref="F355" r:id="rId347" location="btn-group-before" display="https://zeke.github.io/primer-cheatsheet/ - btn-group-before" xr:uid="{C9FC31F2-9EF2-474E-8701-E8EDAA9B39B7}"/>
    <hyperlink ref="F356" r:id="rId348" location="btn-group-btn-group" display="https://zeke.github.io/primer-cheatsheet/ - btn-group-btn-group" xr:uid="{DD465C1A-E549-3F46-B480-F8E7D9003379}"/>
    <hyperlink ref="F357" r:id="rId349" location="circle" display="https://zeke.github.io/primer-cheatsheet/ - circle" xr:uid="{2719AE19-E1C2-5F44-A1C2-5A42ED7A0D8B}"/>
    <hyperlink ref="F358" r:id="rId350" location="circle-badge" display="https://zeke.github.io/primer-cheatsheet/ - circle-badge" xr:uid="{689BC0F6-B387-454D-A96A-301F4031204C}"/>
    <hyperlink ref="F359" r:id="rId351" location="circle-badge-large" display="https://zeke.github.io/primer-cheatsheet/ - circle-badge-large" xr:uid="{D20D12A1-34CA-AA49-8121-32CFE0E4EBB9}"/>
    <hyperlink ref="F360" r:id="rId352" location="circle-badge-medium" display="https://zeke.github.io/primer-cheatsheet/ - circle-badge-medium" xr:uid="{69518A2B-0415-7C49-9D61-337744395559}"/>
    <hyperlink ref="F361" r:id="rId353" location="circle-badge-small" display="https://zeke.github.io/primer-cheatsheet/ - circle-badge-small" xr:uid="{E2AD6ABD-C2AD-A149-9F70-8648FA683BA9}"/>
    <hyperlink ref="F362" r:id="rId354" location="circle-badge-icon" display="https://zeke.github.io/primer-cheatsheet/ - circle-badge-icon" xr:uid="{D7B6B004-033E-CB44-9B01-C789B82DECA0}"/>
    <hyperlink ref="F363" r:id="rId355" location="clearfix-after" display="https://zeke.github.io/primer-cheatsheet/ - clearfix-after" xr:uid="{103A0D69-07A6-AF41-B8C6-53A0B7459B35}"/>
    <hyperlink ref="F364" r:id="rId356" location="clearfix-before" display="https://zeke.github.io/primer-cheatsheet/ - clearfix-before" xr:uid="{BCFF7C95-2A1F-A34A-9073-4987FEDB8DFD}"/>
    <hyperlink ref="F365" r:id="rId357" location="close-button" display="https://zeke.github.io/primer-cheatsheet/ - close-button" xr:uid="{00C39C87-A757-724C-B859-869CCD12F937}"/>
    <hyperlink ref="F366" r:id="rId358" location="col-1" display="https://zeke.github.io/primer-cheatsheet/ - col-1" xr:uid="{490557FD-9DEF-0744-9CED-636D2773E575}"/>
    <hyperlink ref="F367" r:id="rId359" location="col-10" display="https://zeke.github.io/primer-cheatsheet/ - col-10" xr:uid="{D9761402-C7C8-B846-A96B-3F7EE9786677}"/>
    <hyperlink ref="F368" r:id="rId360" location="col-11" display="https://zeke.github.io/primer-cheatsheet/ - col-11" xr:uid="{49560C82-3636-F14D-8280-89479F6FF0C5}"/>
    <hyperlink ref="F369" r:id="rId361" location="col-12" display="https://zeke.github.io/primer-cheatsheet/ - col-12" xr:uid="{0EDD694C-2D2A-884C-BC3D-05CE92444B0A}"/>
    <hyperlink ref="F370" r:id="rId362" location="col-2" display="https://zeke.github.io/primer-cheatsheet/ - col-2" xr:uid="{C151222D-04C7-704D-A7CE-5CDBEA9D3AB1}"/>
    <hyperlink ref="F371" r:id="rId363" location="col-3" display="https://zeke.github.io/primer-cheatsheet/ - col-3" xr:uid="{CD772A3C-F198-7A40-8ED1-E7D83959887F}"/>
    <hyperlink ref="F372" r:id="rId364" location="col-4" display="https://zeke.github.io/primer-cheatsheet/ - col-4" xr:uid="{47534F79-FA42-8F42-AAC1-88AFF75D3B62}"/>
    <hyperlink ref="F373" r:id="rId365" location="col-5" display="https://zeke.github.io/primer-cheatsheet/ - col-5" xr:uid="{D28672E7-A257-A442-B009-6AFC9280BC09}"/>
    <hyperlink ref="F374" r:id="rId366" location="col-6" display="https://zeke.github.io/primer-cheatsheet/ - col-6" xr:uid="{51A9850C-1E5E-AD42-99E8-E982712BF18D}"/>
    <hyperlink ref="F375" r:id="rId367" location="col-7" display="https://zeke.github.io/primer-cheatsheet/ - col-7" xr:uid="{9FF6CABD-667D-9347-AB6F-B9B9937A9670}"/>
    <hyperlink ref="F376" r:id="rId368" location="col-8" display="https://zeke.github.io/primer-cheatsheet/ - col-8" xr:uid="{0ABEF0F6-4B08-E442-9F11-5F5C66F549A3}"/>
    <hyperlink ref="F377" r:id="rId369" location="col-9" display="https://zeke.github.io/primer-cheatsheet/ - col-9" xr:uid="{4CD3363F-7A5E-AF4F-884D-89BF0163A6EB}"/>
    <hyperlink ref="F378" r:id="rId370" location="color-blue-0" display="https://zeke.github.io/primer-cheatsheet/ - color-blue-0" xr:uid="{C6086FF0-14B9-734D-B8B2-CD44A2C55DEB}"/>
    <hyperlink ref="F379" r:id="rId371" location="color-blue-1" display="https://zeke.github.io/primer-cheatsheet/ - color-blue-1" xr:uid="{AFB9FA7F-1F85-6447-BCB5-E87350C90900}"/>
    <hyperlink ref="F380" r:id="rId372" location="color-blue-2" display="https://zeke.github.io/primer-cheatsheet/ - color-blue-2" xr:uid="{EB55C7CB-EC22-9940-B311-C855283BAFEC}"/>
    <hyperlink ref="F381" r:id="rId373" location="color-blue-3" display="https://zeke.github.io/primer-cheatsheet/ - color-blue-3" xr:uid="{6A3E6D65-F541-9B46-A025-28D3BE65F7B2}"/>
    <hyperlink ref="F382" r:id="rId374" location="color-blue-4" display="https://zeke.github.io/primer-cheatsheet/ - color-blue-4" xr:uid="{E1C02FCA-65BF-EA45-8340-F1C1B0F756DD}"/>
    <hyperlink ref="F383" r:id="rId375" location="color-blue-5" display="https://zeke.github.io/primer-cheatsheet/ - color-blue-5" xr:uid="{7D5E12C2-1062-ED4F-896F-258EB49D2BB5}"/>
    <hyperlink ref="F384" r:id="rId376" location="color-blue-6" display="https://zeke.github.io/primer-cheatsheet/ - color-blue-6" xr:uid="{B542D6DA-683C-8347-B6BF-EC83B4702DEF}"/>
    <hyperlink ref="F385" r:id="rId377" location="color-blue-7" display="https://zeke.github.io/primer-cheatsheet/ - color-blue-7" xr:uid="{153A51D2-1D4D-BE4E-A0B3-E269E6F62489}"/>
    <hyperlink ref="F386" r:id="rId378" location="color-blue-8" display="https://zeke.github.io/primer-cheatsheet/ - color-blue-8" xr:uid="{7858C7CC-A5FD-0B49-A8D2-61EF32545696}"/>
    <hyperlink ref="F387" r:id="rId379" location="color-blue-9" display="https://zeke.github.io/primer-cheatsheet/ - color-blue-9" xr:uid="{C45B7315-681D-254C-96AD-AF86A0DF0691}"/>
    <hyperlink ref="F388" r:id="rId380" location="color-gray-0" display="https://zeke.github.io/primer-cheatsheet/ - color-gray-0" xr:uid="{AE8D3969-54C4-7740-A642-F71FB2BB5DA0}"/>
    <hyperlink ref="F389" r:id="rId381" location="color-gray-1" display="https://zeke.github.io/primer-cheatsheet/ - color-gray-1" xr:uid="{76F8A8E8-B5D7-7546-BF00-17D8ACE8454E}"/>
    <hyperlink ref="F390" r:id="rId382" location="color-gray-2" display="https://zeke.github.io/primer-cheatsheet/ - color-gray-2" xr:uid="{88A2AC65-14B4-204E-BE20-D271BF6AF82E}"/>
    <hyperlink ref="F391" r:id="rId383" location="color-gray-3" display="https://zeke.github.io/primer-cheatsheet/ - color-gray-3" xr:uid="{5409DBA8-33A9-5D4C-958B-17C6E63C4ABF}"/>
    <hyperlink ref="F392" r:id="rId384" location="color-gray-4" display="https://zeke.github.io/primer-cheatsheet/ - color-gray-4" xr:uid="{0B87CA8B-B1FF-2D48-8ED6-EF4CCE5D6DB3}"/>
    <hyperlink ref="F393" r:id="rId385" location="color-gray-5" display="https://zeke.github.io/primer-cheatsheet/ - color-gray-5" xr:uid="{54881DF3-E7DD-C643-962C-D166A4000273}"/>
    <hyperlink ref="F394" r:id="rId386" location="color-gray-6" display="https://zeke.github.io/primer-cheatsheet/ - color-gray-6" xr:uid="{28C9E0C2-137A-4147-BAD7-114C6EAD89D5}"/>
    <hyperlink ref="F395" r:id="rId387" location="color-gray-7" display="https://zeke.github.io/primer-cheatsheet/ - color-gray-7" xr:uid="{DE2F0DB6-9FFD-4540-A50D-D8DCB649DC33}"/>
    <hyperlink ref="F396" r:id="rId388" location="color-gray-8" display="https://zeke.github.io/primer-cheatsheet/ - color-gray-8" xr:uid="{E6652C60-6E31-3F42-A758-095E43B1886F}"/>
    <hyperlink ref="F397" r:id="rId389" location="color-gray-9" display="https://zeke.github.io/primer-cheatsheet/ - color-gray-9" xr:uid="{5A57BD32-9B74-DA43-8828-EEF248A47638}"/>
    <hyperlink ref="F398" r:id="rId390" location="color-green-0" display="https://zeke.github.io/primer-cheatsheet/ - color-green-0" xr:uid="{08E366E4-70F7-9A49-99C5-B5C8DD86ECB2}"/>
    <hyperlink ref="F399" r:id="rId391" location="color-green-1" display="https://zeke.github.io/primer-cheatsheet/ - color-green-1" xr:uid="{13ACD37F-50FF-AA43-8AE1-82C55B9B8251}"/>
    <hyperlink ref="F400" r:id="rId392" location="color-green-2" display="https://zeke.github.io/primer-cheatsheet/ - color-green-2" xr:uid="{603E0FAE-BF9A-9141-9B8D-3E96B8D4D406}"/>
    <hyperlink ref="F401" r:id="rId393" location="color-green-3" display="https://zeke.github.io/primer-cheatsheet/ - color-green-3" xr:uid="{0CCFE862-FDA1-5C41-A2D8-7603736C9D6F}"/>
    <hyperlink ref="F402" r:id="rId394" location="color-green-4" display="https://zeke.github.io/primer-cheatsheet/ - color-green-4" xr:uid="{3E950570-126B-7C43-AB6F-47DDDDB46FAB}"/>
    <hyperlink ref="F403" r:id="rId395" location="color-green-5" display="https://zeke.github.io/primer-cheatsheet/ - color-green-5" xr:uid="{904385F1-C918-434E-AEA4-B8EB92BC9C3C}"/>
    <hyperlink ref="F404" r:id="rId396" location="color-green-6" display="https://zeke.github.io/primer-cheatsheet/ - color-green-6" xr:uid="{B4856D18-0FC4-B54A-A81C-E34679B38A42}"/>
    <hyperlink ref="F405" r:id="rId397" location="color-green-7" display="https://zeke.github.io/primer-cheatsheet/ - color-green-7" xr:uid="{FA324828-0416-5B4C-A8DE-51D1C6F6860D}"/>
    <hyperlink ref="F406" r:id="rId398" location="color-green-8" display="https://zeke.github.io/primer-cheatsheet/ - color-green-8" xr:uid="{DAE2EB04-4EFD-6748-AF0F-F796BA70FFD9}"/>
    <hyperlink ref="F407" r:id="rId399" location="color-green-9" display="https://zeke.github.io/primer-cheatsheet/ - color-green-9" xr:uid="{D305EE1B-CAE5-8F46-8A11-836B8C45EEF8}"/>
    <hyperlink ref="F408" r:id="rId400" location="color-orange-0" display="https://zeke.github.io/primer-cheatsheet/ - color-orange-0" xr:uid="{0F0113F2-1CD4-3541-87B1-5EFC5A313449}"/>
    <hyperlink ref="F409" r:id="rId401" location="color-orange-1" display="https://zeke.github.io/primer-cheatsheet/ - color-orange-1" xr:uid="{30C3C363-39DF-4740-98FB-618A6DE1C7E5}"/>
    <hyperlink ref="F410" r:id="rId402" location="color-orange-2" display="https://zeke.github.io/primer-cheatsheet/ - color-orange-2" xr:uid="{94F96F9F-0983-094A-AFC0-8A50761AC415}"/>
    <hyperlink ref="F411" r:id="rId403" location="color-orange-3" display="https://zeke.github.io/primer-cheatsheet/ - color-orange-3" xr:uid="{78659D7F-7ECA-AB41-8534-20B3E571F5F9}"/>
    <hyperlink ref="F412" r:id="rId404" location="color-orange-4" display="https://zeke.github.io/primer-cheatsheet/ - color-orange-4" xr:uid="{4F5C2011-E0EA-9A4B-B28D-5B1354A554D0}"/>
    <hyperlink ref="F413" r:id="rId405" location="color-orange-5" display="https://zeke.github.io/primer-cheatsheet/ - color-orange-5" xr:uid="{6F07B76B-6F21-044F-A8AE-5B28287F79E7}"/>
    <hyperlink ref="F414" r:id="rId406" location="color-orange-6" display="https://zeke.github.io/primer-cheatsheet/ - color-orange-6" xr:uid="{A698E492-7C12-4C4E-A7F6-374F1871CFA5}"/>
    <hyperlink ref="F415" r:id="rId407" location="color-orange-7" display="https://zeke.github.io/primer-cheatsheet/ - color-orange-7" xr:uid="{3290A391-6DA7-104F-A582-5067C4454690}"/>
    <hyperlink ref="F416" r:id="rId408" location="color-orange-8" display="https://zeke.github.io/primer-cheatsheet/ - color-orange-8" xr:uid="{06C505CA-3DD9-FE43-B9F6-AD8D99E1A2DA}"/>
    <hyperlink ref="F417" r:id="rId409" location="color-orange-9" display="https://zeke.github.io/primer-cheatsheet/ - color-orange-9" xr:uid="{6AE9C1EB-56E6-F04B-9A02-E2AA973B9707}"/>
    <hyperlink ref="F418" r:id="rId410" location="color-pink-0" display="https://zeke.github.io/primer-cheatsheet/ - color-pink-0" xr:uid="{588E1149-8924-AB4B-B3EB-BD1F54591156}"/>
    <hyperlink ref="F419" r:id="rId411" location="color-pink-1" display="https://zeke.github.io/primer-cheatsheet/ - color-pink-1" xr:uid="{375CC543-5146-8E41-AF8B-B6354AF6846F}"/>
    <hyperlink ref="F420" r:id="rId412" location="color-pink-2" display="https://zeke.github.io/primer-cheatsheet/ - color-pink-2" xr:uid="{89371782-5AA7-EB41-83A2-52300C406845}"/>
    <hyperlink ref="F421" r:id="rId413" location="color-pink-3" display="https://zeke.github.io/primer-cheatsheet/ - color-pink-3" xr:uid="{8867DD10-4D2A-3243-BD66-9BF391D668AB}"/>
    <hyperlink ref="F422" r:id="rId414" location="color-pink-4" display="https://zeke.github.io/primer-cheatsheet/ - color-pink-4" xr:uid="{78C48528-6180-B743-8A4E-0299C90583C9}"/>
    <hyperlink ref="F423" r:id="rId415" location="color-pink-5" display="https://zeke.github.io/primer-cheatsheet/ - color-pink-5" xr:uid="{DD110A85-BA99-504D-AF21-D8CFF5F23CE8}"/>
    <hyperlink ref="F424" r:id="rId416" location="color-pink-6" display="https://zeke.github.io/primer-cheatsheet/ - color-pink-6" xr:uid="{01880E31-AADA-1E46-B383-4735E98958E7}"/>
    <hyperlink ref="F425" r:id="rId417" location="color-pink-7" display="https://zeke.github.io/primer-cheatsheet/ - color-pink-7" xr:uid="{869D9638-1247-6642-BAFC-F6BC4CB109E6}"/>
    <hyperlink ref="F426" r:id="rId418" location="color-pink-8" display="https://zeke.github.io/primer-cheatsheet/ - color-pink-8" xr:uid="{00463B71-75EF-1E45-A67D-C9EA63D57441}"/>
    <hyperlink ref="F427" r:id="rId419" location="color-pink-9" display="https://zeke.github.io/primer-cheatsheet/ - color-pink-9" xr:uid="{487AF5A5-1852-B043-A774-45840BF72574}"/>
    <hyperlink ref="F428" r:id="rId420" location="color-purple-0" display="https://zeke.github.io/primer-cheatsheet/ - color-purple-0" xr:uid="{D7114409-A798-1A45-9F21-5080D5731C1E}"/>
    <hyperlink ref="F429" r:id="rId421" location="color-purple-1" display="https://zeke.github.io/primer-cheatsheet/ - color-purple-1" xr:uid="{AC40B6EF-9886-F74F-A5AF-904F1E718D43}"/>
    <hyperlink ref="F430" r:id="rId422" location="color-purple-2" display="https://zeke.github.io/primer-cheatsheet/ - color-purple-2" xr:uid="{31DF86A8-D6AA-3B4A-A498-CF50EADD7F23}"/>
    <hyperlink ref="F431" r:id="rId423" location="color-purple-3" display="https://zeke.github.io/primer-cheatsheet/ - color-purple-3" xr:uid="{3D4AAD11-A717-2949-991B-AC4AF71FC981}"/>
    <hyperlink ref="F432" r:id="rId424" location="color-purple-4" display="https://zeke.github.io/primer-cheatsheet/ - color-purple-4" xr:uid="{F71C3136-8D94-4040-BA94-6A628CF4EECC}"/>
    <hyperlink ref="F433" r:id="rId425" location="color-purple-5" display="https://zeke.github.io/primer-cheatsheet/ - color-purple-5" xr:uid="{F62A60C5-E8CD-5F44-A2C2-DE1F1FA9E1E8}"/>
    <hyperlink ref="F434" r:id="rId426" location="color-purple-6" display="https://zeke.github.io/primer-cheatsheet/ - color-purple-6" xr:uid="{FD459D9C-B582-B641-B185-48574C01DC08}"/>
    <hyperlink ref="F435" r:id="rId427" location="color-purple-7" display="https://zeke.github.io/primer-cheatsheet/ - color-purple-7" xr:uid="{F08A217D-8FA3-9A40-A4F8-4800984F9349}"/>
    <hyperlink ref="F436" r:id="rId428" location="color-purple-8" display="https://zeke.github.io/primer-cheatsheet/ - color-purple-8" xr:uid="{7C754E57-51AA-0A43-BB49-AEB1F6054FAD}"/>
    <hyperlink ref="F437" r:id="rId429" location="color-purple-9" display="https://zeke.github.io/primer-cheatsheet/ - color-purple-9" xr:uid="{93825788-420B-6642-A940-0F06085F0CDF}"/>
    <hyperlink ref="F438" r:id="rId430" location="color-red-0" display="https://zeke.github.io/primer-cheatsheet/ - color-red-0" xr:uid="{5195F5DA-1E43-A245-9BDB-7BF2F6E71000}"/>
    <hyperlink ref="F439" r:id="rId431" location="color-red-1" display="https://zeke.github.io/primer-cheatsheet/ - color-red-1" xr:uid="{84B7CB09-73D3-5E40-9AF9-4EB799CEDBA1}"/>
    <hyperlink ref="F440" r:id="rId432" location="color-red-2" display="https://zeke.github.io/primer-cheatsheet/ - color-red-2" xr:uid="{AD07CBD6-C500-C94E-B998-349E7C047304}"/>
    <hyperlink ref="F441" r:id="rId433" location="color-red-3" display="https://zeke.github.io/primer-cheatsheet/ - color-red-3" xr:uid="{60919BE9-EA2C-FA46-9399-C5ED58704B96}"/>
    <hyperlink ref="F442" r:id="rId434" location="color-red-4" display="https://zeke.github.io/primer-cheatsheet/ - color-red-4" xr:uid="{3FC7AC85-4838-BD42-86A1-F79099B8DC52}"/>
    <hyperlink ref="F443" r:id="rId435" location="color-red-5" display="https://zeke.github.io/primer-cheatsheet/ - color-red-5" xr:uid="{0863D43F-C62E-9F48-AFCB-1B610B458A25}"/>
    <hyperlink ref="F444" r:id="rId436" location="color-red-6" display="https://zeke.github.io/primer-cheatsheet/ - color-red-6" xr:uid="{EAA64D92-F15C-494C-B68D-1F4E05E910A6}"/>
    <hyperlink ref="F445" r:id="rId437" location="color-red-7" display="https://zeke.github.io/primer-cheatsheet/ - color-red-7" xr:uid="{1D3F5E5E-9B4E-A74F-B95E-4AA0F5A48A74}"/>
    <hyperlink ref="F446" r:id="rId438" location="color-red-8" display="https://zeke.github.io/primer-cheatsheet/ - color-red-8" xr:uid="{F53D1C57-0662-E346-B2E2-34B3AFB1B75C}"/>
    <hyperlink ref="F447" r:id="rId439" location="color-red-9" display="https://zeke.github.io/primer-cheatsheet/ - color-red-9" xr:uid="{7FDA2F04-18B2-454C-AA74-E05F3C50CED7}"/>
    <hyperlink ref="F448" r:id="rId440" location="color-yellow-0" display="https://zeke.github.io/primer-cheatsheet/ - color-yellow-0" xr:uid="{49686621-4CCE-1D44-BB94-09754AE55599}"/>
    <hyperlink ref="F449" r:id="rId441" location="color-yellow-1" display="https://zeke.github.io/primer-cheatsheet/ - color-yellow-1" xr:uid="{17AAE122-F749-404E-AFD8-2E047DACF34A}"/>
    <hyperlink ref="F450" r:id="rId442" location="color-yellow-2" display="https://zeke.github.io/primer-cheatsheet/ - color-yellow-2" xr:uid="{63D1D9BE-8537-3B40-B316-8592C7989780}"/>
    <hyperlink ref="F451" r:id="rId443" location="color-yellow-3" display="https://zeke.github.io/primer-cheatsheet/ - color-yellow-3" xr:uid="{4139413B-6706-DE44-9E4F-6A83DE1988F0}"/>
    <hyperlink ref="F452" r:id="rId444" location="color-yellow-4" display="https://zeke.github.io/primer-cheatsheet/ - color-yellow-4" xr:uid="{72EDD83A-E5DF-AD45-8E9B-2FE911429A14}"/>
    <hyperlink ref="F453" r:id="rId445" location="color-yellow-5" display="https://zeke.github.io/primer-cheatsheet/ - color-yellow-5" xr:uid="{9A8AECEC-1B7C-9B42-843E-263C03172DBC}"/>
    <hyperlink ref="F454" r:id="rId446" location="color-yellow-6" display="https://zeke.github.io/primer-cheatsheet/ - color-yellow-6" xr:uid="{C27C9E5E-00D0-FC41-B640-25D853ED81E1}"/>
    <hyperlink ref="F455" r:id="rId447" location="color-yellow-7" display="https://zeke.github.io/primer-cheatsheet/ - color-yellow-7" xr:uid="{60A178EE-9687-4F4F-AEDF-0CE5E2341C33}"/>
    <hyperlink ref="F456" r:id="rId448" location="color-yellow-8" display="https://zeke.github.io/primer-cheatsheet/ - color-yellow-8" xr:uid="{5BCFAB44-2ADB-714A-B806-725A889E509B}"/>
    <hyperlink ref="F457" r:id="rId449" location="color-yellow-9" display="https://zeke.github.io/primer-cheatsheet/ - color-yellow-9" xr:uid="{80FE860E-5A5C-A74B-AA2A-416EE4811EDD}"/>
    <hyperlink ref="F458" r:id="rId450" location="composer-comment-form-textarea" display="https://zeke.github.io/primer-cheatsheet/ - composer-comment-form-textarea" xr:uid="{8880DEF1-9D4F-D845-8826-695877EA8126}"/>
    <hyperlink ref="F459" r:id="rId451" location="composer-tabnav" display="https://zeke.github.io/primer-cheatsheet/ - composer-tabnav" xr:uid="{BD0EB811-452B-3647-B11E-13BA55A9F90B}"/>
    <hyperlink ref="F460" r:id="rId452" location="container-lg" display="https://zeke.github.io/primer-cheatsheet/ - container-lg" xr:uid="{E79CBA38-471F-344F-B7C7-6615BCE356D2}"/>
    <hyperlink ref="F461" r:id="rId453" location="container-md" display="https://zeke.github.io/primer-cheatsheet/ - container-md" xr:uid="{163CB9A5-8DFA-764A-A8A8-F6B7210EF99B}"/>
    <hyperlink ref="F462" r:id="rId454" location="container-sm" display="https://zeke.github.io/primer-cheatsheet/ - container-sm" xr:uid="{6D7876B3-9532-974C-B0AD-48C2FBC2DE04}"/>
    <hyperlink ref="F463" r:id="rId455" location="container-xl" display="https://zeke.github.io/primer-cheatsheet/ - container-xl" xr:uid="{311E247C-70C0-7940-B1BE-1171131BA35F}"/>
    <hyperlink ref="F464" r:id="rId456" location="counter" display="https://zeke.github.io/primer-cheatsheet/ - counter" xr:uid="{789B5565-E70B-6743-A9C1-1D165F6CC023}"/>
    <hyperlink ref="F465" r:id="rId457" location="counter-gray" display="https://zeke.github.io/primer-cheatsheet/ - counter-gray" xr:uid="{602E9D52-060E-474E-8E71-863A7F2C5033}"/>
    <hyperlink ref="F466" r:id="rId458" location="counter-gray-light" display="https://zeke.github.io/primer-cheatsheet/ - counter-gray-light" xr:uid="{A46B2EE2-AF1D-E448-81A3-A9C04228DB05}"/>
    <hyperlink ref="F467" r:id="rId459" location="counter-empty" display="https://zeke.github.io/primer-cheatsheet/ - counter-empty" xr:uid="{635F3CA4-B5A9-1040-AAF8-472904221179}"/>
    <hyperlink ref="F468" r:id="rId460" location="css-truncate-css-truncate-overflow" display="https://zeke.github.io/primer-cheatsheet/ - css-truncate-css-truncate-overflow" xr:uid="{8A2F1C66-2C2E-5346-8028-23D5721F0A50}"/>
    <hyperlink ref="F469" r:id="rId461" location="css-truncate-css-truncate-target" display="https://zeke.github.io/primer-cheatsheet/ - css-truncate-css-truncate-target" xr:uid="{A26EADA9-09B8-C943-9D35-F66CA6910A02}"/>
    <hyperlink ref="F470" r:id="rId462" location="css-truncate-expandable-zeroclipboard-is-hover-css-truncate-target" display="https://zeke.github.io/primer-cheatsheet/ - css-truncate-expandable-zeroclipboard-is-hover-css-truncate-target" xr:uid="{8B354308-17FD-F543-A79B-38D17074829A}"/>
    <hyperlink ref="F471" r:id="rId463" location="d-block" display="https://zeke.github.io/primer-cheatsheet/ - d-block" xr:uid="{AA41AB71-0DE7-5749-8455-3DB057ADFDF7}"/>
    <hyperlink ref="F472" r:id="rId464" location="d-flex" display="https://zeke.github.io/primer-cheatsheet/ - d-flex" xr:uid="{C900551A-AA5B-984D-96E4-511387D237CB}"/>
    <hyperlink ref="F473" r:id="rId465" location="d-inline" display="https://zeke.github.io/primer-cheatsheet/ - d-inline" xr:uid="{1579FD8B-A443-314D-9B30-6236DC098314}"/>
    <hyperlink ref="F474" r:id="rId466" location="d-inline-block" display="https://zeke.github.io/primer-cheatsheet/ - d-inline-block" xr:uid="{C0F746C5-09F5-6B42-BCF9-C49DDA03C821}"/>
    <hyperlink ref="F475" r:id="rId467" location="d-inline-flex" display="https://zeke.github.io/primer-cheatsheet/ - d-inline-flex" xr:uid="{EA07A14E-1996-5348-B4F3-1532A1FFDF0A}"/>
    <hyperlink ref="F476" r:id="rId468" location="d-none" display="https://zeke.github.io/primer-cheatsheet/ - d-none" xr:uid="{8AFAD66A-280C-CC4A-8ECE-F6E48844B4E6}"/>
    <hyperlink ref="F477" r:id="rId469" location="d-table" display="https://zeke.github.io/primer-cheatsheet/ - d-table" xr:uid="{43D332E8-CB48-5745-BA38-418F2FD85567}"/>
    <hyperlink ref="F478" r:id="rId470" location="d-table-cell" display="https://zeke.github.io/primer-cheatsheet/ - d-table-cell" xr:uid="{BBC81509-42D4-AC4D-BFC9-D88C399B34F6}"/>
    <hyperlink ref="F479" r:id="rId471" location="dashed-connection" display="https://zeke.github.io/primer-cheatsheet/ - dashed-connection" xr:uid="{A84E8A85-B44A-2340-ABC5-954AF5481AF3}"/>
    <hyperlink ref="F480" r:id="rId472" location="dashed-connection-circle-badge" display="https://zeke.github.io/primer-cheatsheet/ - dashed-connection-circle-badge" xr:uid="{6CA47E7A-C806-A743-9903-08287A1B1F68}"/>
    <hyperlink ref="F481" r:id="rId473" location="dashed-connection-before" display="https://zeke.github.io/primer-cheatsheet/ - dashed-connection-before" xr:uid="{63B254EF-2E68-EA4A-A772-AEFF14B98757}"/>
    <hyperlink ref="F482" r:id="rId474" location="details-overlay-dark-open-summary-before" display="https://zeke.github.io/primer-cheatsheet/ - details-overlay-dark-open-summary-before" xr:uid="{FA024BF9-E9CE-8E49-A4AB-DE43397670B8}"/>
    <hyperlink ref="F483" r:id="rId475" location="details-overlay-open-summary-before" display="https://zeke.github.io/primer-cheatsheet/ - details-overlay-open-summary-before" xr:uid="{9933F82D-EC17-5C46-9021-F671BF6F8F5A}"/>
    <hyperlink ref="F484" r:id="rId476" location="details-reset-summary" display="https://zeke.github.io/primer-cheatsheet/ - details-reset-summary" xr:uid="{27FC1A66-6E9C-AC40-B3A4-6DFA0144B623}"/>
    <hyperlink ref="F485" r:id="rId477" location="details-reset-summary-webkit-details-marker" display="https://zeke.github.io/primer-cheatsheet/ - details-reset-summary-webkit-details-marker" xr:uid="{6A7FAF21-D71C-F441-8CD7-B08BC2C540CB}"/>
    <hyperlink ref="F486" r:id="rId478" location="details-reset-summary-before" display="https://zeke.github.io/primer-cheatsheet/ - details-reset-summary-before" xr:uid="{E818C71B-C228-3A4B-B500-BB6C88F704C7}"/>
    <hyperlink ref="F487" r:id="rId479" location="diffstat" display="https://zeke.github.io/primer-cheatsheet/ - diffstat" xr:uid="{C4549895-AD5B-094A-980D-2EED5F88C3BA}"/>
    <hyperlink ref="F488" r:id="rId480" location="diffstat-block-added" display="https://zeke.github.io/primer-cheatsheet/ - diffstat-block-added" xr:uid="{E879E745-3D26-9844-A7A1-2E7CE19E8026}"/>
    <hyperlink ref="F490" r:id="rId481" location="diffstat-block-deleted" display="https://zeke.github.io/primer-cheatsheet/ - diffstat-block-deleted" xr:uid="{F59F419A-43BB-1548-9C95-DD0E42BE005F}"/>
    <hyperlink ref="F489" r:id="rId482" location="diffstat-block-deleted" display="https://zeke.github.io/primer-cheatsheet/ - diffstat-block-deleted" xr:uid="{8B8223F6-34C7-B641-8D03-ECE7E23784B8}"/>
    <hyperlink ref="F491" r:id="rId483" location="diffstat-block-neutral" display="https://zeke.github.io/primer-cheatsheet/ - diffstat-block-neutral" xr:uid="{D4196ECC-9C1A-6144-937F-FA8B8252C5FC}"/>
    <hyperlink ref="F492" r:id="rId484" location="direction-ltr" display="https://zeke.github.io/primer-cheatsheet/ - direction-ltr" xr:uid="{53BAD0E8-1E76-6346-B52D-29294481F22E}"/>
    <hyperlink ref="F493" r:id="rId485" location="direction-rtl" display="https://zeke.github.io/primer-cheatsheet/ - direction-rtl" xr:uid="{34543A10-7F4A-2D45-814B-3E6B086ACBAF}"/>
    <hyperlink ref="F494" r:id="rId486" location="drag-and-drop" display="https://zeke.github.io/primer-cheatsheet/ - drag-and-drop" xr:uid="{3C43D050-BF21-3E4E-89C1-07FF064B3E2A}"/>
    <hyperlink ref="F495" r:id="rId487" location="drag-and-drop-default" display="https://zeke.github.io/primer-cheatsheet/ - drag-and-drop-default" xr:uid="{0A09AA4E-75D9-8A45-AC8F-AEB80D83A006}"/>
    <hyperlink ref="F496" r:id="rId488" location="drag-and-drop-error" display="https://zeke.github.io/primer-cheatsheet/ - drag-and-drop-error" xr:uid="{8A693858-20A6-A34F-BB4E-F100620C1C2E}"/>
    <hyperlink ref="F497" r:id="rId489" location="drag-and-drop-img" display="https://zeke.github.io/primer-cheatsheet/ - drag-and-drop-img" xr:uid="{9ADB6317-209E-8C47-AB75-39364BB34188}"/>
    <hyperlink ref="F498" r:id="rId490" location="drag-and-drop-error-info" display="https://zeke.github.io/primer-cheatsheet/ - drag-and-drop-error-info" xr:uid="{3356EBB1-8E9C-324D-B015-7F3AF3545D3A}"/>
    <hyperlink ref="F499" r:id="rId491" location="drag-and-drop-error-info-a" display="https://zeke.github.io/primer-cheatsheet/ - drag-and-drop-error-info-a" xr:uid="{63183979-4E18-CF4A-A819-D5330A532C16}"/>
    <hyperlink ref="F500" r:id="rId492" location="dragover-textarea" display="https://zeke.github.io/primer-cheatsheet/ - dragover-textarea" xr:uid="{0DCA99FE-3C24-9C43-A3F6-BB718A314059}"/>
    <hyperlink ref="F501" r:id="rId493" location="dropdown" display="https://zeke.github.io/primer-cheatsheet/ - dropdown" xr:uid="{B153A1CE-CB28-CD49-844A-04F7809BDC64}"/>
    <hyperlink ref="F502" r:id="rId494" location="dropdown-caret" display="https://zeke.github.io/primer-cheatsheet/ - dropdown-caret" xr:uid="{A551AD01-FD26-6D46-AE08-7F2269A1C29D}"/>
    <hyperlink ref="F503" r:id="rId495" location="dropdown-divider" display="https://zeke.github.io/primer-cheatsheet/ - dropdown-divider" xr:uid="{095BDE65-5760-C247-9D38-1654E6B29FF9}"/>
    <hyperlink ref="F504" r:id="rId496" location="dropdown-header" display="https://zeke.github.io/primer-cheatsheet/ - dropdown-header" xr:uid="{4B2B10EB-479B-C441-A615-E9B3A4544666}"/>
    <hyperlink ref="F505" r:id="rId497" location="dropdown-item" display="https://zeke.github.io/primer-cheatsheet/ - dropdown-item" xr:uid="{487738D1-434A-1C43-8EE6-C0C8DECC7B31}"/>
    <hyperlink ref="F506" r:id="rId498" location="dropdown-item-focus" display="https://zeke.github.io/primer-cheatsheet/ - dropdown-item-focus" xr:uid="{A37BA48B-D033-1943-95B3-C387D3F895DD}"/>
    <hyperlink ref="F507" r:id="rId499" location="dropdown-item-focus-octicon" display="https://zeke.github.io/primer-cheatsheet/ - dropdown-item-focus-octicon" xr:uid="{4FE41642-829F-8A40-9A9F-FB4B779887BA}"/>
    <hyperlink ref="F508" r:id="rId500" location="dropdown-item-btn-link" display="https://zeke.github.io/primer-cheatsheet/ - dropdown-item-btn-link" xr:uid="{DA0277A6-59C1-B745-B2C2-1CE30BE4F71F}"/>
    <hyperlink ref="F509" r:id="rId501" location="dropdown-item-aria-checked-false-octicon-check" display="https://zeke.github.io/primer-cheatsheet/ - dropdown-item-aria-checked-false-octicon-check" xr:uid="{419D2DEA-0664-4543-A40C-556EB84A0916}"/>
    <hyperlink ref="F510" r:id="rId502" location="dropdown-menu" display="https://zeke.github.io/primer-cheatsheet/ - dropdown-menu" xr:uid="{8B153DF2-C399-5E44-A839-D1A167FED66E}"/>
    <hyperlink ref="F511" r:id="rId503" location="dropdown-menu-dark" display="https://zeke.github.io/primer-cheatsheet/ - dropdown-menu-dark" xr:uid="{E07F9A8E-C038-2A40-87C4-691AA12988E3}"/>
    <hyperlink ref="F512" r:id="rId504" location="dropdown-menu-dark-dropdown-divider" display="https://zeke.github.io/primer-cheatsheet/ - dropdown-menu-dark-dropdown-divider" xr:uid="{DD2020AA-63F9-F54D-9B92-3C5E8D2CFFB5}"/>
    <hyperlink ref="F513" r:id="rId505" location="dropdown-menu-dark-dropdown-header" display="https://zeke.github.io/primer-cheatsheet/ - dropdown-menu-dark-dropdown-header" xr:uid="{D19D7325-A0C9-0540-93D6-2CFED88D1A4D}"/>
    <hyperlink ref="F514" r:id="rId506" location="dropdown-menu-dark-dropdown-item" display="https://zeke.github.io/primer-cheatsheet/ - dropdown-menu-dark-dropdown-item" xr:uid="{B6435F4E-8054-5945-8F96-950EB927E14E}"/>
    <hyperlink ref="F515" r:id="rId507" location="dropdown-menu-dark-after" display="https://zeke.github.io/primer-cheatsheet/ - dropdown-menu-dark-after" xr:uid="{0BBB23C9-ADF7-D447-8084-D9EF25259809}"/>
    <hyperlink ref="F516" r:id="rId508" location="dropdown-menu-dark-before" display="https://zeke.github.io/primer-cheatsheet/ - dropdown-menu-dark-before" xr:uid="{3C3ECC0F-820A-944D-BD50-E064B020347B}"/>
    <hyperlink ref="F517" r:id="rId509" location="dropdown-menu-dark-dropdown-menu-e-after" display="https://zeke.github.io/primer-cheatsheet/ - dropdown-menu-dark-dropdown-menu-e-after" xr:uid="{D6606E22-35CE-A341-B13D-96FC9F161E0C}"/>
    <hyperlink ref="F518" r:id="rId510" location="dropdown-menu-dark-dropdown-menu-e-before" display="https://zeke.github.io/primer-cheatsheet/ - dropdown-menu-dark-dropdown-menu-e-before" xr:uid="{BBCF8AC8-CD21-5449-BEF6-460F0DE2DB68}"/>
    <hyperlink ref="F519" r:id="rId511" location="dropdown-menu-dark-dropdown-menu-ne-after" display="https://zeke.github.io/primer-cheatsheet/ - dropdown-menu-dark-dropdown-menu-ne-after" xr:uid="{8154BEDC-3E23-8D46-BC36-AE2201F1D267}"/>
    <hyperlink ref="F520" r:id="rId512" location="dropdown-menu-dark-dropdown-menu-ne-before" display="https://zeke.github.io/primer-cheatsheet/ - dropdown-menu-dark-dropdown-menu-ne-before" xr:uid="{BD0FCCAB-9E57-8D48-B2BA-CFE0ECD05223}"/>
    <hyperlink ref="F521" r:id="rId513" location="dropdown-menu-dark-dropdown-menu-w-after" display="https://zeke.github.io/primer-cheatsheet/ - dropdown-menu-dark-dropdown-menu-w-after" xr:uid="{7B1DBA53-BC9D-A44F-943E-89B0F54CBC1B}"/>
    <hyperlink ref="F522" r:id="rId514" location="dropdown-menu-dark-dropdown-menu-w-before" display="https://zeke.github.io/primer-cheatsheet/ - dropdown-menu-dark-dropdown-menu-w-before" xr:uid="{CF79F2BB-D385-604F-BD19-D6D3317770C1}"/>
    <hyperlink ref="F523" r:id="rId515" location="dropdown-menu-e" display="https://zeke.github.io/primer-cheatsheet/ - dropdown-menu-e" xr:uid="{CFC16079-28B0-674C-98C4-5E891FE3E1D4}"/>
    <hyperlink ref="F524" r:id="rId516" location="dropdown-menu-e-after" display="https://zeke.github.io/primer-cheatsheet/ - dropdown-menu-e-after" xr:uid="{A8A13C18-F5CF-C94B-89BB-2912F61DC3A6}"/>
    <hyperlink ref="F525" r:id="rId517" location="dropdown-menu-e-before" display="https://zeke.github.io/primer-cheatsheet/ - dropdown-menu-e-before" xr:uid="{5ABDDD72-D710-284D-8145-5FD6000E3A18}"/>
    <hyperlink ref="F526" r:id="rId518" location="dropdown-menu-ne" display="https://zeke.github.io/primer-cheatsheet/ - dropdown-menu-ne" xr:uid="{1932E6CF-BBE3-B54E-8897-1048F111B085}"/>
    <hyperlink ref="F527" r:id="rId519" location="dropdown-menu-ne-after" display="https://zeke.github.io/primer-cheatsheet/ - dropdown-menu-ne-after" xr:uid="{D09D6B5E-942D-7148-AFB2-4434EA39EE2F}"/>
    <hyperlink ref="F529" r:id="rId520" location="dropdown-menu-ne-before" display="https://zeke.github.io/primer-cheatsheet/ - dropdown-menu-ne-before" xr:uid="{810ADD0E-F98E-3944-9F42-409A6E5C5E24}"/>
    <hyperlink ref="F528" r:id="rId521" location="dropdown-menu-ne-before" display="https://zeke.github.io/primer-cheatsheet/ - dropdown-menu-ne-before" xr:uid="{231ACBDD-FA3D-E143-8F37-DB3BA01BC81B}"/>
    <hyperlink ref="F530" r:id="rId522" location="dropdown-menu-no-overflow" display="https://zeke.github.io/primer-cheatsheet/ - dropdown-menu-no-overflow" xr:uid="{309A73A3-68CB-D146-A357-DC94692B2781}"/>
    <hyperlink ref="F531" r:id="rId523" location="dropdown-menu-no-overflow-dropdown-item" display="https://zeke.github.io/primer-cheatsheet/ - dropdown-menu-no-overflow-dropdown-item" xr:uid="{129D6EE5-81E4-984F-97EA-3B60793966DF}"/>
    <hyperlink ref="F532" r:id="rId524" location="dropdown-menu-s" display="https://zeke.github.io/primer-cheatsheet/ - dropdown-menu-s" xr:uid="{C50279AB-DF2E-364D-A1FC-94B27202C680}"/>
    <hyperlink ref="F533" r:id="rId525" location="dropdown-menu-s-after" display="https://zeke.github.io/primer-cheatsheet/ - dropdown-menu-s-after" xr:uid="{2E650048-5313-2F4E-8B17-F92C40A9ADFA}"/>
    <hyperlink ref="F534" r:id="rId526" location="dropdown-menu-s-before" display="https://zeke.github.io/primer-cheatsheet/ - dropdown-menu-s-before" xr:uid="{D1824D31-DA04-614C-9249-72328A1FC52D}"/>
    <hyperlink ref="F535" r:id="rId527" location="dropdown-menu-se-after" display="https://zeke.github.io/primer-cheatsheet/ - dropdown-menu-se-after" xr:uid="{6329BD1F-E971-7744-8C48-482423CB2FDD}"/>
    <hyperlink ref="F536" r:id="rId528" location="dropdown-menu-se-before" display="https://zeke.github.io/primer-cheatsheet/ - dropdown-menu-se-before" xr:uid="{5D028B88-0322-3145-B1BC-A1F145DC1A34}"/>
    <hyperlink ref="F537" r:id="rId529" location="dropdown-menu-sw" display="https://zeke.github.io/primer-cheatsheet/ - dropdown-menu-sw" xr:uid="{498B51A0-C4EB-B245-A721-4C405DFECDBA}"/>
    <hyperlink ref="F538" r:id="rId530" location="dropdown-menu-sw-after" display="https://zeke.github.io/primer-cheatsheet/ - dropdown-menu-sw-after" xr:uid="{A0F2FB07-E34E-BC4C-97EA-74945838F407}"/>
    <hyperlink ref="F539" r:id="rId531" location="dropdown-menu-sw-before" display="https://zeke.github.io/primer-cheatsheet/ - dropdown-menu-sw-before" xr:uid="{AED18ADB-1EF8-D94C-832B-7BEAF8E25A13}"/>
    <hyperlink ref="F540" r:id="rId532" location="dropdown-menu-w" display="https://zeke.github.io/primer-cheatsheet/ - dropdown-menu-w" xr:uid="{0E0A1DCD-870E-0240-B727-843D0F89BC44}"/>
    <hyperlink ref="F541" r:id="rId533" location="dropdown-menu-w-after" display="https://zeke.github.io/primer-cheatsheet/ - dropdown-menu-w-after" xr:uid="{04C43291-E961-4441-B30E-8EEAC6667B5F}"/>
    <hyperlink ref="F542" r:id="rId534" location="dropdown-menu-w-before" display="https://zeke.github.io/primer-cheatsheet/ - dropdown-menu-w-before" xr:uid="{2B2B2215-1A12-4E49-A5F1-9310533DFE52}"/>
    <hyperlink ref="F543" r:id="rId535" location="dropdown-menu-after" display="https://zeke.github.io/primer-cheatsheet/ - dropdown-menu-after" xr:uid="{8EB11405-37EE-654A-8F51-803CDA0DC837}"/>
    <hyperlink ref="F545" r:id="rId536" location="dropdown-menu-before" display="https://zeke.github.io/primer-cheatsheet/ - dropdown-menu-before" xr:uid="{E52CA16F-85DF-5D4C-9DE7-F91E49A7D9F5}"/>
    <hyperlink ref="F544" r:id="rId537" location="dropdown-menu-before" display="https://zeke.github.io/primer-cheatsheet/ - dropdown-menu-before" xr:uid="{8418AFE5-CCEC-4E4D-8CBC-5A5A908E1E29}"/>
    <hyperlink ref="F546" r:id="rId538" location="dropdown-menu-ul" display="https://zeke.github.io/primer-cheatsheet/ - dropdown-menu-ul" xr:uid="{609DDE5D-48B9-6A49-A007-EE38E568E674}"/>
    <hyperlink ref="F547" r:id="rId539" location="dropdown-signout" display="https://zeke.github.io/primer-cheatsheet/ - dropdown-signout" xr:uid="{A8688FAD-F576-924E-9D04-4B9233113348}"/>
    <hyperlink ref="F548" r:id="rId540" location="f0-light" display="https://zeke.github.io/primer-cheatsheet/ - f0-light" xr:uid="{96129451-E768-4345-91AF-527F481C041C}"/>
    <hyperlink ref="F549" r:id="rId541" location="f00-light" display="https://zeke.github.io/primer-cheatsheet/ - f00-light" xr:uid="{558CAD3C-A44F-3246-97C8-799987C79762}"/>
    <hyperlink ref="F550" r:id="rId542" location="f1" display="https://zeke.github.io/primer-cheatsheet/ - f1" xr:uid="{F40910EF-066A-1042-9064-FD171637CA3D}"/>
    <hyperlink ref="F551" r:id="rId543" location="f1-light" display="https://zeke.github.io/primer-cheatsheet/ - f1-light" xr:uid="{D39F954E-838F-F247-AA97-4B27382831A6}"/>
    <hyperlink ref="F552" r:id="rId544" location="f2" display="https://zeke.github.io/primer-cheatsheet/ - f2" xr:uid="{9C22D7B6-8C39-3C4C-A248-FD3AFD70FA27}"/>
    <hyperlink ref="F553" r:id="rId545" location="f2-light" display="https://zeke.github.io/primer-cheatsheet/ - f2-light" xr:uid="{BBDF2772-2C13-7E4A-BDAF-1216EF577E39}"/>
    <hyperlink ref="F554" r:id="rId546" location="f3" display="https://zeke.github.io/primer-cheatsheet/ - f3" xr:uid="{344CDE69-3C26-304F-A392-43087C75AEDE}"/>
    <hyperlink ref="F555" r:id="rId547" location="f3-light" display="https://zeke.github.io/primer-cheatsheet/ - f3-light" xr:uid="{38CC7F9A-1911-5045-AEEE-E0D748C9A3E8}"/>
    <hyperlink ref="F556" r:id="rId548" location="f4" display="https://zeke.github.io/primer-cheatsheet/ - f4" xr:uid="{910E3D3D-11A8-CD4C-8479-6E71FDBE627C}"/>
    <hyperlink ref="F557" r:id="rId549" location="f5" display="https://zeke.github.io/primer-cheatsheet/ - f5" xr:uid="{19E13A5A-0DCF-A842-9CEE-D66732484296}"/>
    <hyperlink ref="F558" r:id="rId550" location="f6" display="https://zeke.github.io/primer-cheatsheet/ - f6" xr:uid="{430AF104-ACD9-D147-A2F1-0BB60AFA36FA}"/>
    <hyperlink ref="F559" r:id="rId551" location="filter-item" display="https://zeke.github.io/primer-cheatsheet/ - filter-item" xr:uid="{E824BEDA-B6C5-8D4A-BA0F-6F0E0E4AE2D8}"/>
    <hyperlink ref="F560" r:id="rId552" location="filter-item-bar" display="https://zeke.github.io/primer-cheatsheet/ - filter-item-bar" xr:uid="{3E0EFB2D-1EE2-6949-93E9-D50206FD584A}"/>
    <hyperlink ref="F561" r:id="rId553" location="filter-item-count" display="https://zeke.github.io/primer-cheatsheet/ - filter-item-count" xr:uid="{AD56D8B2-6AE6-224A-A472-C6796209783F}"/>
    <hyperlink ref="F562" r:id="rId554" location="filter-item-hover" display="https://zeke.github.io/primer-cheatsheet/ - filter-item-hover" xr:uid="{C2E00C6D-D08B-FF4E-919A-2D5C31A1F00D}"/>
    <hyperlink ref="F563" r:id="rId555" location="filter-item-selected" display="https://zeke.github.io/primer-cheatsheet/ - filter-item-selected" xr:uid="{C04F8808-D2FD-E841-A947-6E0140C14CB7}"/>
    <hyperlink ref="F564" r:id="rId556" location="filter-list" display="https://zeke.github.io/primer-cheatsheet/ - filter-list" xr:uid="{A9166C51-275C-A743-AD7E-7A67B76FA020}"/>
    <hyperlink ref="F565" r:id="rId557" location="filter-list-pjax-active-filter-item" display="https://zeke.github.io/primer-cheatsheet/ - filter-list-pjax-active-filter-item" xr:uid="{B83B8BEB-85D5-C140-80FD-1CC8395D2963}"/>
    <hyperlink ref="F566" r:id="rId558" location="filter-list-pjax-active-filter-item-pjax-active" display="https://zeke.github.io/primer-cheatsheet/ - filter-list-pjax-active-filter-item-pjax-active" xr:uid="{0922C543-A29F-DD48-9C59-B9CE611D0841}"/>
    <hyperlink ref="F567" r:id="rId559" location="filter-list-small-filter-item" display="https://zeke.github.io/primer-cheatsheet/ - filter-list-small-filter-item" xr:uid="{A683FF63-E480-7F4C-9996-C6DF6D44A59A}"/>
    <hyperlink ref="F568" r:id="rId560" location="flash" display="https://zeke.github.io/primer-cheatsheet/ - flash" xr:uid="{26D6DFB6-3D7D-F540-8717-C19DC1814FF8}"/>
    <hyperlink ref="F569" r:id="rId561" location="flash-p-last-child" display="https://zeke.github.io/primer-cheatsheet/ - flash-p-last-child" xr:uid="{16E62A8D-D61B-A04A-87BD-9234F30E59DB}"/>
    <hyperlink ref="F570" r:id="rId562" location="flash-action" display="https://zeke.github.io/primer-cheatsheet/ - flash-action" xr:uid="{5E361F01-A8FF-D447-8900-43E5822454AA}"/>
    <hyperlink ref="F571" r:id="rId563" location="flash-banner" display="https://zeke.github.io/primer-cheatsheet/ - flash-banner" xr:uid="{F265A403-FD90-DD4D-9172-0470038E7FEE}"/>
    <hyperlink ref="F572" r:id="rId564" location="flash-close" display="https://zeke.github.io/primer-cheatsheet/ - flash-close" xr:uid="{81303E6A-22E4-D94D-A01A-F82CAF9FEF55}"/>
    <hyperlink ref="F573" r:id="rId565" location="flash-close-hover" display="https://zeke.github.io/primer-cheatsheet/ - flash-close-hover" xr:uid="{B3A0383C-0B9F-F34B-8CE1-F8991DA89D43}"/>
    <hyperlink ref="F574" r:id="rId566" location="flash-error" display="https://zeke.github.io/primer-cheatsheet/ - flash-error" xr:uid="{3C4A4512-56F6-A24E-BA42-BC68811495CE}"/>
    <hyperlink ref="F575" r:id="rId567" location="flash-full" display="https://zeke.github.io/primer-cheatsheet/ - flash-full" xr:uid="{8F9D1EBD-DC45-9943-B1BC-BD999FF1C233}"/>
    <hyperlink ref="F576" r:id="rId568" location="flash-messages" display="https://zeke.github.io/primer-cheatsheet/ - flash-messages" xr:uid="{E93B12E2-7C79-6745-A470-5ED175F0BE1D}"/>
    <hyperlink ref="F577" r:id="rId569" location="flash-success" display="https://zeke.github.io/primer-cheatsheet/ - flash-success" xr:uid="{533FCD21-DB90-064C-B219-BB79DD8394FA}"/>
    <hyperlink ref="F578" r:id="rId570" location="flash-warn" display="https://zeke.github.io/primer-cheatsheet/ - flash-warn" xr:uid="{8B44CB21-9932-3F4B-A2F2-B04631B7B664}"/>
    <hyperlink ref="F579" r:id="rId571" location="flex-1" display="https://zeke.github.io/primer-cheatsheet/ - flex-1" xr:uid="{774D85FF-550C-304F-9592-FFEA10FDFE3B}"/>
    <hyperlink ref="F580" r:id="rId572" location="flex-auto" display="https://zeke.github.io/primer-cheatsheet/ - flex-auto" xr:uid="{5EC76425-7125-8648-91CB-1D76CCF42C2B}"/>
    <hyperlink ref="F581" r:id="rId573" location="flex-column" display="https://zeke.github.io/primer-cheatsheet/ - flex-column" xr:uid="{F55B0CF6-1C76-584D-A18B-55CC3FD402D1}"/>
    <hyperlink ref="F582" r:id="rId574" location="flex-column-reverse" display="https://zeke.github.io/primer-cheatsheet/ - flex-column-reverse" xr:uid="{6ADCB499-6CB4-EE45-BC40-F4EB511AA32E}"/>
    <hyperlink ref="F583" r:id="rId575" location="flex-content-around" display="https://zeke.github.io/primer-cheatsheet/ - flex-content-around" xr:uid="{34BD1E37-4821-8247-9C39-822A5837322D}"/>
    <hyperlink ref="F584" r:id="rId576" location="flex-content-between" display="https://zeke.github.io/primer-cheatsheet/ - flex-content-between" xr:uid="{3FBEEF27-EEDF-A34C-863D-9F60EF0A484B}"/>
    <hyperlink ref="F585" r:id="rId577" location="flex-content-center" display="https://zeke.github.io/primer-cheatsheet/ - flex-content-center" xr:uid="{F81380AA-BE63-B148-A2EA-3172D0EE2A67}"/>
    <hyperlink ref="F586" r:id="rId578" location="flex-content-end" display="https://zeke.github.io/primer-cheatsheet/ - flex-content-end" xr:uid="{5051EB6A-B6C6-3847-845B-E0E8FF9DEE49}"/>
    <hyperlink ref="F587" r:id="rId579" location="flex-content-start" display="https://zeke.github.io/primer-cheatsheet/ - flex-content-start" xr:uid="{4137F9E0-AE08-5B46-AED7-74CAAD96531E}"/>
    <hyperlink ref="F588" r:id="rId580" location="flex-content-stretch" display="https://zeke.github.io/primer-cheatsheet/ - flex-content-stretch" xr:uid="{8299AD81-2501-7647-8C33-098B247492F4}"/>
    <hyperlink ref="F589" r:id="rId581" location="flex-grow-0" display="https://zeke.github.io/primer-cheatsheet/ - flex-grow-0" xr:uid="{374360CE-9DFE-1E4B-A5F2-493AE55B025F}"/>
    <hyperlink ref="F590" r:id="rId582" location="flex-items-baseline" display="https://zeke.github.io/primer-cheatsheet/ - flex-items-baseline" xr:uid="{3215FB43-2A34-3042-930F-E5C5986216E9}"/>
    <hyperlink ref="F591" r:id="rId583" location="flex-items-center" display="https://zeke.github.io/primer-cheatsheet/ - flex-items-center" xr:uid="{8B0AA3FA-A33F-9249-BDA9-87DF2E5894ED}"/>
    <hyperlink ref="F592" r:id="rId584" location="flex-items-end" display="https://zeke.github.io/primer-cheatsheet/ - flex-items-end" xr:uid="{719CC4AE-96E5-204E-AF86-C4F15E39E4E6}"/>
    <hyperlink ref="F593" r:id="rId585" location="flex-items-start" display="https://zeke.github.io/primer-cheatsheet/ - flex-items-start" xr:uid="{5F22698C-1910-6342-A545-46F7802A5244}"/>
    <hyperlink ref="F594" r:id="rId586" location="flex-items-stretch" display="https://zeke.github.io/primer-cheatsheet/ - flex-items-stretch" xr:uid="{355F9381-6033-484A-8135-CD024D215C98}"/>
    <hyperlink ref="F595" r:id="rId587" location="flex-justify-around" display="https://zeke.github.io/primer-cheatsheet/ - flex-justify-around" xr:uid="{0D8360AC-DE7D-154C-AF70-1CFB56B05802}"/>
    <hyperlink ref="F596" r:id="rId588" location="flex-justify-between" display="https://zeke.github.io/primer-cheatsheet/ - flex-justify-between" xr:uid="{1A721465-8659-184C-9DDF-CD5F76F488E1}"/>
    <hyperlink ref="F597" r:id="rId589" location="flex-justify-center" display="https://zeke.github.io/primer-cheatsheet/ - flex-justify-center" xr:uid="{65A0F15E-E214-7140-8468-5554D444AC1E}"/>
    <hyperlink ref="F598" r:id="rId590" location="flex-justify-end" display="https://zeke.github.io/primer-cheatsheet/ - flex-justify-end" xr:uid="{1B21CF05-DA0D-B84C-9B59-3B72903CFDA0}"/>
    <hyperlink ref="F599" r:id="rId591" location="flex-justify-start" display="https://zeke.github.io/primer-cheatsheet/ - flex-justify-start" xr:uid="{3358FF86-EB5F-1440-86B4-AF952B2453EE}"/>
    <hyperlink ref="F600" r:id="rId592" location="flex-nowrap" display="https://zeke.github.io/primer-cheatsheet/ - flex-nowrap" xr:uid="{8D58C1F1-6202-BA45-85EB-90A0E267530E}"/>
    <hyperlink ref="F601" r:id="rId593" location="flex-order-1" display="https://zeke.github.io/primer-cheatsheet/ - flex-order-1" xr:uid="{0F7B023E-5781-F545-964E-7A7271A43587}"/>
    <hyperlink ref="F602" r:id="rId594" location="flex-order-2" display="https://zeke.github.io/primer-cheatsheet/ - flex-order-2" xr:uid="{C4386534-6041-5B40-B2A3-F7B12FFE1DD6}"/>
    <hyperlink ref="F603" r:id="rId595" location="flex-order-none" display="https://zeke.github.io/primer-cheatsheet/ - flex-order-none" xr:uid="{417E6DB5-7386-B444-9132-85D160B7763C}"/>
    <hyperlink ref="F604" r:id="rId596" location="flex-row" display="https://zeke.github.io/primer-cheatsheet/ - flex-row" xr:uid="{148BFE2A-10E6-5940-A5D0-D75A3E6DBE69}"/>
    <hyperlink ref="F605" r:id="rId597" location="flex-row-reverse" display="https://zeke.github.io/primer-cheatsheet/ - flex-row-reverse" xr:uid="{E92DC8D7-8C08-8A4D-8E27-DC57851F416E}"/>
    <hyperlink ref="F606" r:id="rId598" location="flex-self-auto" display="https://zeke.github.io/primer-cheatsheet/ - flex-self-auto" xr:uid="{8743FBED-E272-6346-B184-7F76354F2D90}"/>
    <hyperlink ref="F607" r:id="rId599" location="flex-self-baseline" display="https://zeke.github.io/primer-cheatsheet/ - flex-self-baseline" xr:uid="{9F17CC1A-3262-DD41-9F6F-CCB326BBCA1A}"/>
    <hyperlink ref="F608" r:id="rId600" location="flex-self-center" display="https://zeke.github.io/primer-cheatsheet/ - flex-self-center" xr:uid="{828A02B5-7BC5-0643-BF40-5042F66437E7}"/>
    <hyperlink ref="F609" r:id="rId601" location="flex-self-end" display="https://zeke.github.io/primer-cheatsheet/ - flex-self-end" xr:uid="{2C43E0B4-A1D7-2A42-BF79-43F6FC1D1066}"/>
    <hyperlink ref="F610" r:id="rId602" location="flex-self-start" display="https://zeke.github.io/primer-cheatsheet/ - flex-self-start" xr:uid="{31E511DC-4651-9A49-924D-72852FB1A06B}"/>
    <hyperlink ref="F611" r:id="rId603" location="flex-self-stretch" display="https://zeke.github.io/primer-cheatsheet/ - flex-self-stretch" xr:uid="{8FFA6A0F-D9C7-6049-9BD0-4E7FD38D2BF4}"/>
    <hyperlink ref="F612" r:id="rId604" location="flex-shrink-0" display="https://zeke.github.io/primer-cheatsheet/ - flex-shrink-0" xr:uid="{FD014586-0C7B-E342-8FD4-62EA8A9857CF}"/>
    <hyperlink ref="F613" r:id="rId605" location="flex-wrap" display="https://zeke.github.io/primer-cheatsheet/ - flex-wrap" xr:uid="{77235A32-EB5C-E945-8333-82184351A0BF}"/>
    <hyperlink ref="F614" r:id="rId606" location="float-left" display="https://zeke.github.io/primer-cheatsheet/ - float-left" xr:uid="{DF9CED9E-6EBA-574B-905C-3173A52082A6}"/>
    <hyperlink ref="F615" r:id="rId607" location="float-none" display="https://zeke.github.io/primer-cheatsheet/ - float-none" xr:uid="{70694380-AEE0-4B41-B342-43B3E20E6F6B}"/>
    <hyperlink ref="F616" r:id="rId608" location="float-right" display="https://zeke.github.io/primer-cheatsheet/ - float-right" xr:uid="{4E6BFF5E-E81C-DB4A-9129-53AD4E96DACD}"/>
    <hyperlink ref="F617" r:id="rId609" location="form-action-spacious" display="https://zeke.github.io/primer-cheatsheet/ - form-action-spacious" xr:uid="{07E64A5A-047F-B340-9C48-16D38C487DBA}"/>
    <hyperlink ref="F618" r:id="rId610" location="form-actions-btn" display="https://zeke.github.io/primer-cheatsheet/ - form-actions-btn" xr:uid="{BD1EEEBB-B249-4F4D-9407-98F6AC8959E4}"/>
    <hyperlink ref="F619" r:id="rId611" location="form-actions-btn-btn" display="https://zeke.github.io/primer-cheatsheet/ - form-actions-btn-btn" xr:uid="{F00A1D09-54C8-6D40-8C5C-275ADAA438C0}"/>
    <hyperlink ref="F620" r:id="rId612" location="form-actions-after" display="https://zeke.github.io/primer-cheatsheet/ - form-actions-after" xr:uid="{234F0E96-3E8D-074A-8357-B105904AC863}"/>
    <hyperlink ref="F621" r:id="rId613" location="form-actions-before" display="https://zeke.github.io/primer-cheatsheet/ - form-actions-before" xr:uid="{914760BC-1173-2945-8DCE-D748F2746D4D}"/>
    <hyperlink ref="F622" r:id="rId614" location="form-checkbox" display="https://zeke.github.io/primer-cheatsheet/ - form-checkbox" xr:uid="{D3AECAC5-C734-1D42-8468-37660F2F8929}"/>
    <hyperlink ref="F623" r:id="rId615" location="form-checkbox-note" display="https://zeke.github.io/primer-cheatsheet/ - form-checkbox-note" xr:uid="{13A10D04-B18C-B54D-B97D-9B664EE6ABFF}"/>
    <hyperlink ref="F624" r:id="rId616" location="form-checkbox-input-type-checkbox" display="https://zeke.github.io/primer-cheatsheet/ - form-checkbox-input-type-checkbox" xr:uid="{568E2018-6191-3C46-9D18-2945FDBDD4FA}"/>
    <hyperlink ref="F625" r:id="rId617" location="form-checkbox-label-em-highlight" display="https://zeke.github.io/primer-cheatsheet/ - form-checkbox-label-em-highlight" xr:uid="{65268897-1DA4-E844-8647-F29926BF0CE5}"/>
    <hyperlink ref="F626" r:id="rId618" location="form-checkbox-details" display="https://zeke.github.io/primer-cheatsheet/ - form-checkbox-details" xr:uid="{A8047A22-F9CD-4D4C-9F76-1E409890C2C2}"/>
    <hyperlink ref="F627" r:id="rId619" location="form-checkbox-details-trigger-checked-form-checkbox-details" display="https://zeke.github.io/primer-cheatsheet/ - form-checkbox-details-trigger-checked-form-checkbox-details" xr:uid="{F3AA38D9-4F8C-D54D-8C85-556C309339C4}"/>
    <hyperlink ref="F629" r:id="rId620" location="form-control" display="https://zeke.github.io/primer-cheatsheet/ - form-control" xr:uid="{15F3CC4B-4576-3548-9C44-8E15FF692C28}"/>
    <hyperlink ref="F628" r:id="rId621" location="form-control-focus" display="https://zeke.github.io/primer-cheatsheet/ - form-control-focus" xr:uid="{FDB61EA2-6C41-C541-BD03-F98D2116E446}"/>
    <hyperlink ref="F630" r:id="rId622" location="form-group" display="https://zeke.github.io/primer-cheatsheet/ - form-group" xr:uid="{341AEA49-0147-4E42-9818-A1ADFCA75FEB}"/>
    <hyperlink ref="F631" r:id="rId623" location="form-group-form-control" display="https://zeke.github.io/primer-cheatsheet/ - form-group-form-control" xr:uid="{9431C3DD-0280-C04D-948C-C96E09F738DA}"/>
    <hyperlink ref="F632" r:id="rId624" location="form-group-form-control-focus" display="https://zeke.github.io/primer-cheatsheet/ - form-group-form-control-focus" xr:uid="{3A81EA29-F499-1642-B51C-AC6A57A9EBBC}"/>
    <hyperlink ref="F633" r:id="rId625" location="form-group-form-control-long" display="https://zeke.github.io/primer-cheatsheet/ - form-group-form-control-long" xr:uid="{E707862A-008D-C345-AD54-89E5FCD1C2A8}"/>
    <hyperlink ref="F634" r:id="rId626" location="form-group-form-control-short" display="https://zeke.github.io/primer-cheatsheet/ - form-group-form-control-short" xr:uid="{4D9A9352-5699-2B46-AF46-83D44D2317AE}"/>
    <hyperlink ref="F635" r:id="rId627" location="form-group-form-control-shorter" display="https://zeke.github.io/primer-cheatsheet/ - form-group-form-control-shorter" xr:uid="{61637342-E911-F545-96F6-B8C186B81715}"/>
    <hyperlink ref="F636" r:id="rId628" location="form-group-success" display="https://zeke.github.io/primer-cheatsheet/ - form-group-success" xr:uid="{66ED4AA0-FF21-154A-BA21-74A8F573D4A1}"/>
    <hyperlink ref="F637" r:id="rId629" location="form-group-dd-h4" display="https://zeke.github.io/primer-cheatsheet/ - form-group-dd-h4" xr:uid="{E19C6AC4-8783-1545-A992-0D05F15E1C24}"/>
    <hyperlink ref="F638" r:id="rId630" location="form-group-dd-h4-is-error" display="https://zeke.github.io/primer-cheatsheet/ - form-group-dd-h4-is-error" xr:uid="{D035DD4C-471D-D349-8AEC-95EF0070031A}"/>
    <hyperlink ref="F639" r:id="rId631" location="form-group-dd-h4-is-success" display="https://zeke.github.io/primer-cheatsheet/ - form-group-dd-h4-is-success" xr:uid="{C42CDA4B-3D69-CE45-9389-EF62F47CEFFE}"/>
    <hyperlink ref="F640" r:id="rId632" location="form-group-dd-h4-note" display="https://zeke.github.io/primer-cheatsheet/ - form-group-dd-h4-note" xr:uid="{A8871207-DFD9-4B40-8D12-AAEA1EF9D3D0}"/>
    <hyperlink ref="F641" r:id="rId633" location="form-group-dt" display="https://zeke.github.io/primer-cheatsheet/ - form-group-dt" xr:uid="{DB98BA32-F857-174E-A340-E40E2DCE6F6F}"/>
    <hyperlink ref="F642" r:id="rId634" location="form-group-label" display="https://zeke.github.io/primer-cheatsheet/ - form-group-label" xr:uid="{8D3EBA4F-BC1E-F144-BC41-09DB37E414D9}"/>
    <hyperlink ref="F643" r:id="rId635" location="form-group-label" display="https://zeke.github.io/primer-cheatsheet/ - form-group-label" xr:uid="{D98D0AB3-E232-714E-BF03-7C404A537E55}"/>
    <hyperlink ref="F644" r:id="rId636" location="form-group-textarea-form-control" display="https://zeke.github.io/primer-cheatsheet/ - form-group-textarea-form-control" xr:uid="{8AC3E9C4-2A99-7F4F-B415-8F87A9B83B98}"/>
    <hyperlink ref="F645" r:id="rId637" location="form-group-textarea-form-control-short" display="https://zeke.github.io/primer-cheatsheet/ - form-group-textarea-form-control-short" xr:uid="{008A0BB6-EB0F-CE4A-8D53-CF29575E9888}"/>
    <hyperlink ref="F646" r:id="rId638" location="form-group-errored-error" display="https://zeke.github.io/primer-cheatsheet/ - form-group-errored-error" xr:uid="{E9C4A6A9-E7C1-694F-A85F-5BD2586379E8}"/>
    <hyperlink ref="F647" r:id="rId639" location="form-group-errored-error-after" display="https://zeke.github.io/primer-cheatsheet/ - form-group-errored-error-after" xr:uid="{4E8FC716-28A8-5C4B-94BB-EEAB96B68108}"/>
    <hyperlink ref="F648" r:id="rId640" location="form-group-errored-error-before" display="https://zeke.github.io/primer-cheatsheet/ - form-group-errored-error-before" xr:uid="{EE296D36-CE7F-AF4A-A7C5-9CFBA368A208}"/>
    <hyperlink ref="F649" r:id="rId641" location="form-group-errored-label" display="https://zeke.github.io/primer-cheatsheet/ - form-group-errored-label" xr:uid="{AC08C122-F4F3-F047-966C-B03D07D33F34}"/>
    <hyperlink ref="F650" r:id="rId642" location="form-group-flattened-dd" display="https://zeke.github.io/primer-cheatsheet/ - form-group-flattened-dd" xr:uid="{D66C2481-D71C-DE47-8AE3-485311021866}"/>
    <hyperlink ref="F651" r:id="rId643" location="form-group-flattened-dt" display="https://zeke.github.io/primer-cheatsheet/ - form-group-flattened-dt" xr:uid="{732DD1D1-11B5-DA42-A6E6-7736BE851C96}"/>
    <hyperlink ref="F652" r:id="rId644" location="form-group-loading" display="https://zeke.github.io/primer-cheatsheet/ - form-group-loading" xr:uid="{079DEDF9-E1C0-4B41-8FB7-73D55B92AD3A}"/>
    <hyperlink ref="F653" r:id="rId645" location="form-group-loading-indicator" display="https://zeke.github.io/primer-cheatsheet/ - form-group-loading-indicator" xr:uid="{AE6EC4CE-C3E3-484D-98CC-ADE18EAF0788}"/>
    <hyperlink ref="F654" r:id="rId646" location="form-group-loading-spinner" display="https://zeke.github.io/primer-cheatsheet/ - form-group-loading-spinner" xr:uid="{C404C3CC-219C-B94D-89B7-DCADB7B2D6C4}"/>
    <hyperlink ref="F655" r:id="rId647" location="form-group-required-dt-label-after" display="https://zeke.github.io/primer-cheatsheet/ - form-group-required-dt-label-after" xr:uid="{88141451-3214-0A41-BA11-399710B554CA}"/>
    <hyperlink ref="F656" r:id="rId648" location="form-group-successful-success" display="https://zeke.github.io/primer-cheatsheet/ - form-group-successful-success" xr:uid="{0994B01E-D8B8-2347-B8F5-58AF0699E68B}"/>
    <hyperlink ref="F663" r:id="rId649" location="form-group-warn-warning" display="https://zeke.github.io/primer-cheatsheet/ - form-group-warn-warning" xr:uid="{FECA2669-22ED-BE48-BC54-432840882004}"/>
    <hyperlink ref="F657" r:id="rId650" location="form-group-warn-warning" display="https://zeke.github.io/primer-cheatsheet/ - form-group-warn-warning" xr:uid="{75F048AC-657B-AA4F-99D3-AB5DC9EAA9F4}"/>
    <hyperlink ref="F660" r:id="rId651" location="form-group-warn-warning-after" display="https://zeke.github.io/primer-cheatsheet/ - form-group-warn-warning-after" xr:uid="{126A2989-D888-DD49-A4C4-63F7FC9DEF40}"/>
    <hyperlink ref="F659" r:id="rId652" location="form-group-warn-warning-after" display="https://zeke.github.io/primer-cheatsheet/ - form-group-warn-warning-after" xr:uid="{1A4DA6A4-D32B-C147-B93C-19C1FED0ECA0}"/>
    <hyperlink ref="F658" r:id="rId653" location="form-group-warn-warning-after" display="https://zeke.github.io/primer-cheatsheet/ - form-group-warn-warning-after" xr:uid="{835C90D9-1DB4-0A4B-BC70-D8A76F811289}"/>
    <hyperlink ref="F662" r:id="rId654" location="form-group-warn-warning-before" display="https://zeke.github.io/primer-cheatsheet/ - form-group-warn-warning-before" xr:uid="{9CCF1653-A288-0F49-B0C8-DB3A0A553DA3}"/>
    <hyperlink ref="F661" r:id="rId655" location="form-group-warn-warning-before" display="https://zeke.github.io/primer-cheatsheet/ - form-group-warn-warning-before" xr:uid="{1E747CA0-A0FE-024B-AD51-A48D650BE2A7}"/>
    <hyperlink ref="F664" r:id="rId656" location="form-select" display="https://zeke.github.io/primer-cheatsheet/ - form-select" xr:uid="{D2E8B727-60C7-024E-924A-96D73EE3975B}"/>
    <hyperlink ref="F665" r:id="rId657" location="form-select-ms-expand" display="https://zeke.github.io/primer-cheatsheet/ - form-select-ms-expand" xr:uid="{0DD4EC9C-6207-424A-88E3-653FE8EF925F}"/>
    <hyperlink ref="F666" r:id="rId658" location="form-select-multiple" display="https://zeke.github.io/primer-cheatsheet/ - form-select-multiple" xr:uid="{D182E8A2-37E0-234B-B0B5-344E737B243C}"/>
    <hyperlink ref="F667" r:id="rId659" location="form-warning" display="https://zeke.github.io/primer-cheatsheet/ - form-warning" xr:uid="{46E5DA2F-3F48-3742-AF34-E623304783B9}"/>
    <hyperlink ref="F668" r:id="rId660" location="form-warning-a" display="https://zeke.github.io/primer-cheatsheet/ - form-warning-a" xr:uid="{39108E01-B22F-C64F-890F-EE872DBC52F3}"/>
    <hyperlink ref="F669" r:id="rId661" location="form-warning-p" display="https://zeke.github.io/primer-cheatsheet/ - form-warning-p" xr:uid="{45A2A53F-E115-FF40-9A90-D77BF90539FD}"/>
    <hyperlink ref="F670" r:id="rId662" location="grayscale" display="https://zeke.github.io/primer-cheatsheet/ - grayscale" xr:uid="{E94C3247-E206-E74E-AE14-CE9A73B4DBAB}"/>
    <hyperlink ref="F671" r:id="rId663" location="gutter" display="https://zeke.github.io/primer-cheatsheet/ - gutter" xr:uid="{FC05AFF9-94F4-1541-8F73-E1C93A67A905}"/>
    <hyperlink ref="F672" r:id="rId664" location="gutter-condensed" display="https://zeke.github.io/primer-cheatsheet/ - gutter-condensed" xr:uid="{B2C034EA-2765-B84B-A967-B687904D5BDC}"/>
    <hyperlink ref="F673" r:id="rId665" location="gutter-condensed-class-col" display="https://zeke.github.io/primer-cheatsheet/ - gutter-condensed-class-col" xr:uid="{4458BA61-39F8-BB4E-BA34-92D5543A1C92}"/>
    <hyperlink ref="F674" r:id="rId666" location="gutter-spacious" display="https://zeke.github.io/primer-cheatsheet/ - gutter-spacious" xr:uid="{FA660C45-E395-E649-92A8-F543E628CB10}"/>
    <hyperlink ref="F675" r:id="rId667" location="gutter-spacious-class-col" display="https://zeke.github.io/primer-cheatsheet/ - gutter-spacious-class-col" xr:uid="{4E6DBEE8-F079-6543-BFCE-8D74A9C53C91}"/>
    <hyperlink ref="F676" r:id="rId668" location="gutter-class-col" display="https://zeke.github.io/primer-cheatsheet/ - gutter-class-col" xr:uid="{3C0A47F7-DB19-454B-A635-ACF81152F23F}"/>
    <hyperlink ref="F677" r:id="rId669" location="h0-mktg" display="https://zeke.github.io/primer-cheatsheet/ - h0-mktg" xr:uid="{C19F4646-67E8-A242-B30C-36CBBFCAD002}"/>
    <hyperlink ref="F678" r:id="rId670" location="h00-mktg" display="https://zeke.github.io/primer-cheatsheet/ - h00-mktg" xr:uid="{5A0B834F-32E6-DE47-A8E7-0F84F308A53F}"/>
    <hyperlink ref="F680" r:id="rId671" location="h000-mktg" display="https://zeke.github.io/primer-cheatsheet/ - h000-mktg" xr:uid="{3F576343-E710-B94F-BD8C-34FB6A114837}"/>
    <hyperlink ref="F679" r:id="rId672" location="h000-mktg" display="https://zeke.github.io/primer-cheatsheet/ - h000-mktg" xr:uid="{B7C43A75-B650-094C-A2BE-16614E81D5CD}"/>
    <hyperlink ref="F681" r:id="rId673" location="h1" display="https://zeke.github.io/primer-cheatsheet/ - h1" xr:uid="{6BF53E78-AF87-254C-A746-E680EB2871FC}"/>
    <hyperlink ref="F683" r:id="rId674" location="h1" display="https://zeke.github.io/primer-cheatsheet/ - h1" xr:uid="{720ABB48-59FD-5C4A-9231-C0D312155A60}"/>
    <hyperlink ref="F682" r:id="rId675" location="h1-mktg" display="https://zeke.github.io/primer-cheatsheet/ - h1-mktg" xr:uid="{F34C9FFB-6137-DF47-8B73-CDCE7C57087C}"/>
    <hyperlink ref="F684" r:id="rId676" location="h2" display="https://zeke.github.io/primer-cheatsheet/ - h2" xr:uid="{43CC3570-9588-0E4C-A81B-25E2B47E611E}"/>
    <hyperlink ref="F685" r:id="rId677" location="h2-mktg" display="https://zeke.github.io/primer-cheatsheet/ - h2-mktg" xr:uid="{599BFAFF-7A96-FF4A-B73E-A8E7E2807171}"/>
    <hyperlink ref="F686" r:id="rId678" location="h3" display="https://zeke.github.io/primer-cheatsheet/ - h3" xr:uid="{48569575-3C37-3C4D-AC67-3505FCFAABE1}"/>
    <hyperlink ref="F687" r:id="rId679" location="h3-mktg" display="https://zeke.github.io/primer-cheatsheet/ - h3-mktg" xr:uid="{F38C1ADB-FE0A-7447-9A37-125AC33FE8FD}"/>
    <hyperlink ref="F688" r:id="rId680" location="h4" display="https://zeke.github.io/primer-cheatsheet/ - h4" xr:uid="{031DB279-CBB1-284F-966C-4AB70094ADC2}"/>
    <hyperlink ref="F689" r:id="rId681" location="h4-mktg" display="https://zeke.github.io/primer-cheatsheet/ - h4-mktg" xr:uid="{ED6C8AC5-BFE3-0A45-848D-FFB0F05DE6DB}"/>
    <hyperlink ref="F690" r:id="rId682" location="h5" display="https://zeke.github.io/primer-cheatsheet/ - h5" xr:uid="{4AB52E20-8003-9948-A612-4E89034F3974}"/>
    <hyperlink ref="F691" r:id="rId683" location="h5-mktg" display="https://zeke.github.io/primer-cheatsheet/ - h5-mktg" xr:uid="{AC45DFBE-C34D-F44F-8E71-4327549AB85E}"/>
    <hyperlink ref="F692" r:id="rId684" location="h6" display="https://zeke.github.io/primer-cheatsheet/ - h6" xr:uid="{69583BAC-4098-FA4C-9188-F86BA2B529E3}"/>
    <hyperlink ref="F693" r:id="rId685" location="h6-mktg" display="https://zeke.github.io/primer-cheatsheet/ - h6-mktg" xr:uid="{ED668784-2EE7-B740-B7F8-B8D855828CE5}"/>
    <hyperlink ref="F694" r:id="rId686" location="header" display="https://zeke.github.io/primer-cheatsheet/ - header" xr:uid="{8A66B069-95F3-FB4C-8501-8F18030A3940}"/>
    <hyperlink ref="F695" r:id="rId687" location="header-item" display="https://zeke.github.io/primer-cheatsheet/ - header-item" xr:uid="{78460F63-0728-5B45-A994-E722CE942737}"/>
    <hyperlink ref="F696" r:id="rId688" location="header-item-full" display="https://zeke.github.io/primer-cheatsheet/ - header-item-full" xr:uid="{F5F0180A-8D9E-7A45-B9A2-605A7EB2E300}"/>
    <hyperlink ref="F697" r:id="rId689" location="header-link" display="https://zeke.github.io/primer-cheatsheet/ - header-link" xr:uid="{80E5FC48-2121-004C-92A3-3CA7686A5C0F}"/>
    <hyperlink ref="F698" r:id="rId690" location="header-link-hover" display="https://zeke.github.io/primer-cheatsheet/ - header-link-hover" xr:uid="{A977C4F2-F211-CC47-9AC4-E448D59E5582}"/>
    <hyperlink ref="F699" r:id="rId691" location="height-fit" display="https://zeke.github.io/primer-cheatsheet/ - height-fit" xr:uid="{0F094CCF-F515-0748-81F3-60CAF3098B21}"/>
    <hyperlink ref="F700" r:id="rId692" location="height-full" display="https://zeke.github.io/primer-cheatsheet/ - height-full" xr:uid="{BD28FDD2-B88D-CD4D-A1AD-DDBB94821354}"/>
    <hyperlink ref="F701" r:id="rId693" location="hfields" display="https://zeke.github.io/primer-cheatsheet/ - hfields" xr:uid="{1BA2B36D-47D9-ED4B-B96A-DD8F4B369412}"/>
    <hyperlink ref="F702" r:id="rId694" location="hfields-btn" display="https://zeke.github.io/primer-cheatsheet/ - hfields-btn" xr:uid="{AD7D95B2-6510-E74F-AA15-1F8D7C28B534}"/>
    <hyperlink ref="F703" r:id="rId695" location="hfields-form-group" display="https://zeke.github.io/primer-cheatsheet/ - hfields-form-group" xr:uid="{BE40C244-9D41-2343-99E4-63D69D502A09}"/>
    <hyperlink ref="F704" r:id="rId696" location="hfields-form-group-dt-img" display="https://zeke.github.io/primer-cheatsheet/ - hfields-form-group-dt-img" xr:uid="{E1C84187-C3A5-2843-93C0-43DF5B3FEA7F}"/>
    <hyperlink ref="F705" r:id="rId697" location="hfields-form-group-dt-label" display="https://zeke.github.io/primer-cheatsheet/ - hfields-form-group-dt-label" xr:uid="{14060929-6617-EA40-9EDD-086A532D8340}"/>
    <hyperlink ref="F706" r:id="rId698" location="hfields-form-select" display="https://zeke.github.io/primer-cheatsheet/ - hfields-form-select" xr:uid="{C25F70B9-FB80-6843-9F89-4BAA97C8187D}"/>
    <hyperlink ref="F707" r:id="rId699" location="hfields-after" display="https://zeke.github.io/primer-cheatsheet/ - hfields-after" xr:uid="{108FB61B-69AC-2C47-9DBB-A3F13EF93076}"/>
    <hyperlink ref="F708" r:id="rId700" location="hfields-before" display="https://zeke.github.io/primer-cheatsheet/ - hfields-before" xr:uid="{517FCFD0-CE17-4B4F-957F-EC666BC084B0}"/>
    <hyperlink ref="F709" r:id="rId701" location="hidden-text-expander" display="https://zeke.github.io/primer-cheatsheet/ - hidden-text-expander" xr:uid="{92EC9A33-B67B-0142-86BC-D98F82B92B65}"/>
    <hyperlink ref="F712" r:id="rId702" location="hidden-text-expander-a" display="https://zeke.github.io/primer-cheatsheet/ - hidden-text-expander-a" xr:uid="{0477825B-AA79-7449-9E3E-F7D071566622}"/>
    <hyperlink ref="F710" r:id="rId703" location="hidden-text-expander-a-active" display="https://zeke.github.io/primer-cheatsheet/ - hidden-text-expander-a-active" xr:uid="{300381E7-104F-4A44-BD96-C778EAA9A0BF}"/>
    <hyperlink ref="F711" r:id="rId704" location="hidden-text-expander-a-hover" display="https://zeke.github.io/primer-cheatsheet/ - hidden-text-expander-a-hover" xr:uid="{8A23FA6F-CD63-404C-B16C-DD2E72D98633}"/>
    <hyperlink ref="F713" r:id="rId705" location="hidden-text-expander-inline" display="https://zeke.github.io/primer-cheatsheet/ - hidden-text-expander-inline" xr:uid="{175694D2-C5FC-B84A-9E80-915D58221FD6}"/>
    <hyperlink ref="F714" r:id="rId706" location="hover-grow" display="https://zeke.github.io/primer-cheatsheet/ - hover-grow" xr:uid="{EBF97E22-9388-4E4E-BD60-E8384FB6884E}"/>
    <hyperlink ref="F715" r:id="rId707" location="hover-grow-hover" display="https://zeke.github.io/primer-cheatsheet/ - hover-grow-hover" xr:uid="{4C05C867-2718-D44D-9181-C15204863AF6}"/>
    <hyperlink ref="F716" r:id="rId708" location="inline-form" display="https://zeke.github.io/primer-cheatsheet/ - inline-form" xr:uid="{DB3D7D71-14B6-3643-BCF4-97E8D24FE780}"/>
    <hyperlink ref="F717" r:id="rId709" location="inline-form-btn-plain" display="https://zeke.github.io/primer-cheatsheet/ - inline-form-btn-plain" xr:uid="{EF7D2AEA-9B08-2049-9263-5D95E257CBFB}"/>
    <hyperlink ref="F718" r:id="rId710" location="input-block" display="https://zeke.github.io/primer-cheatsheet/ - input-block" xr:uid="{41F88C40-6BFA-BE4B-A025-644A8FC80DA5}"/>
    <hyperlink ref="F719" r:id="rId711" location="input-contrast" display="https://zeke.github.io/primer-cheatsheet/ - input-contrast" xr:uid="{6879E044-6D01-1E47-B20A-69CCD9541564}"/>
    <hyperlink ref="F720" r:id="rId712" location="input-contrast-focus" display="https://zeke.github.io/primer-cheatsheet/ - input-contrast-focus" xr:uid="{22BD05CB-0BCF-A644-9DED-441AC8749441}"/>
    <hyperlink ref="F721" r:id="rId713" location="input-dark" display="https://zeke.github.io/primer-cheatsheet/ - input-dark" xr:uid="{71676ED1-BB57-1148-86C2-76D9B82E6F95}"/>
    <hyperlink ref="F722" r:id="rId714" location="input-dark-ms-input-placeholder" display="https://zeke.github.io/primer-cheatsheet/ - input-dark-ms-input-placeholder" xr:uid="{56655418-EEB6-B348-9D63-A0C0BAD3D1C5}"/>
    <hyperlink ref="F723" r:id="rId715" location="input-dark-ms-input-placeholder" display="https://zeke.github.io/primer-cheatsheet/ - input-dark-ms-input-placeholder" xr:uid="{27842548-4EFA-D043-8761-6D1BAB899F2E}"/>
    <hyperlink ref="F724" r:id="rId716" location="input-dark-placeholder" display="https://zeke.github.io/primer-cheatsheet/ - input-dark-placeholder" xr:uid="{7797CF61-EC5D-6A46-A93F-4E7F4390EBCB}"/>
    <hyperlink ref="F725" r:id="rId717" location="input-dark-focus" display="https://zeke.github.io/primer-cheatsheet/ - input-dark-focus" xr:uid="{2B9CB141-9F58-A549-91FF-705BE3C236AD}"/>
    <hyperlink ref="F726" r:id="rId718" location="input-group" display="https://zeke.github.io/primer-cheatsheet/ - input-group" xr:uid="{D6EC0EDA-79A6-3840-B20F-DE737EA06EDC}"/>
    <hyperlink ref="F727" r:id="rId719" location="input-group-form-control" display="https://zeke.github.io/primer-cheatsheet/ - input-group-form-control" xr:uid="{22894307-D824-BC42-8D7E-8ECBF89F1BB4}"/>
    <hyperlink ref="F731" r:id="rId720" location="input-group-form-control" display="https://zeke.github.io/primer-cheatsheet/ - input-group-form-control" xr:uid="{065DF7A5-6899-424C-8D20-3A0802B08650}"/>
    <hyperlink ref="F728" r:id="rId721" location="input-group-form-control-first-child" display="https://zeke.github.io/primer-cheatsheet/ - input-group-form-control-first-child" xr:uid="{C3F3B8FC-7AD1-C54A-B87D-711CE2295E23}"/>
    <hyperlink ref="F729" r:id="rId722" location="input-group-form-control-focus" display="https://zeke.github.io/primer-cheatsheet/ - input-group-form-control-focus" xr:uid="{036F1E6D-3BCA-4347-BE8B-03EE9BE90E28}"/>
    <hyperlink ref="F730" r:id="rId723" location="input-group-form-control-last-child" display="https://zeke.github.io/primer-cheatsheet/ - input-group-form-control-last-child" xr:uid="{316EDEB3-ADC4-E343-AC8C-6A693B4F940B}"/>
    <hyperlink ref="F732" r:id="rId724" location="input-group-form-control-btn" display="https://zeke.github.io/primer-cheatsheet/ - input-group-form-control-btn" xr:uid="{E720A033-F237-7A40-9F6E-1C99D580DBC4}"/>
    <hyperlink ref="F733" r:id="rId725" location="input-group-button" display="https://zeke.github.io/primer-cheatsheet/ - input-group-button" xr:uid="{E76AC524-2035-894F-83C3-E511AC76F2CC}"/>
    <hyperlink ref="F734" r:id="rId726" location="input-group-button-first-child-btn" display="https://zeke.github.io/primer-cheatsheet/ - input-group-button-first-child-btn" xr:uid="{D73E0B4D-0A1E-2D45-B8EC-60DF80656381}"/>
    <hyperlink ref="F735" r:id="rId727" location="input-group-button-last-child-btn" display="https://zeke.github.io/primer-cheatsheet/ - input-group-button-last-child-btn" xr:uid="{C66EA4C2-83DD-7A41-86A7-41F2932EA8F8}"/>
    <hyperlink ref="F736" r:id="rId728" location="input-group-inline" display="https://zeke.github.io/primer-cheatsheet/ - input-group-inline" xr:uid="{9482675C-D7D5-8449-AC40-C65E9DC3A0A9}"/>
    <hyperlink ref="F737" r:id="rId729" location="input-hide-webkit-autofill-webkit-contacts-auto-fill-button" display="https://zeke.github.io/primer-cheatsheet/ - input-hide-webkit-autofill-webkit-contacts-auto-fill-button" xr:uid="{3577EE29-F969-D648-AE0B-29AD23EECE7C}"/>
    <hyperlink ref="F738" r:id="rId730" location="input-lg" display="https://zeke.github.io/primer-cheatsheet/ - input-lg" xr:uid="{110BF49E-7185-0A43-9D89-290B2061E672}"/>
    <hyperlink ref="F739" r:id="rId731" location="input-monospace" display="https://zeke.github.io/primer-cheatsheet/ - input-monospace" xr:uid="{28EA8ED7-A91A-0C4E-8E12-8325C9C14D14}"/>
    <hyperlink ref="F740" r:id="rId732" location="input-sm" display="https://zeke.github.io/primer-cheatsheet/ - input-sm" xr:uid="{F529BB8D-AC41-7A48-898A-DF71EE7C3A54}"/>
    <hyperlink ref="F741" r:id="rId733" location="is-bad-file-drag-and-drop-bad-file" display="https://zeke.github.io/primer-cheatsheet/ - is-bad-file-drag-and-drop-bad-file" xr:uid="{DF8FE800-C97B-674B-BCD0-4707CB453DA0}"/>
    <hyperlink ref="F742" r:id="rId734" location="is-bad-permissions-drag-and-drop-bad-permissions" display="https://zeke.github.io/primer-cheatsheet/ - is-bad-permissions-drag-and-drop-bad-permissions" xr:uid="{17C79F85-6F1F-E341-A350-6113ECCA9FE9}"/>
    <hyperlink ref="F743" r:id="rId735" location="is-default-drag-and-drop-default" display="https://zeke.github.io/primer-cheatsheet/ - is-default-drag-and-drop-default" xr:uid="{B4E9BEFD-11D9-1A43-95F1-83EF03F5D494}"/>
    <hyperlink ref="F744" r:id="rId736" location="is-duplicate-filename-drag-and-drop-duplicate-filename" display="https://zeke.github.io/primer-cheatsheet/ - is-duplicate-filename-drag-and-drop-duplicate-filename" xr:uid="{20F28611-1E52-7C4C-9E4A-7CFBDFE97B3D}"/>
    <hyperlink ref="F745" r:id="rId737" location="is-empty-drag-and-drop-empty" display="https://zeke.github.io/primer-cheatsheet/ - is-empty-drag-and-drop-empty" xr:uid="{94D9F590-284B-7248-8507-537EB48F9235}"/>
    <hyperlink ref="F746" r:id="rId738" location="is-failed-drag-and-drop-failed-request" display="https://zeke.github.io/primer-cheatsheet/ - is-failed-drag-and-drop-failed-request" xr:uid="{53568297-A9BC-E74F-A3F0-E3C0BF7DB6DE}"/>
    <hyperlink ref="F747" r:id="rId739" location="is-hidden-file-drag-and-drop-hidden-file" display="https://zeke.github.io/primer-cheatsheet/ - is-hidden-file-drag-and-drop-hidden-file" xr:uid="{797F9EEC-90F8-1F40-B41E-17D64E4B7CAA}"/>
    <hyperlink ref="F748" r:id="rId740" location="is-repository-required-drag-and-drop-repository-required" display="https://zeke.github.io/primer-cheatsheet/ - is-repository-required-drag-and-drop-repository-required" xr:uid="{7E1B8CF1-93DD-4545-A053-DFCE2B5CB855}"/>
    <hyperlink ref="F749" r:id="rId741" location="is-too-big-drag-and-drop-too-big" display="https://zeke.github.io/primer-cheatsheet/ - is-too-big-drag-and-drop-too-big" xr:uid="{62F215C7-34A7-174F-BE8D-EE76B2156054}"/>
    <hyperlink ref="F750" r:id="rId742" location="is-uploading-drag-and-drop-loading" display="https://zeke.github.io/primer-cheatsheet/ - is-uploading-drag-and-drop-loading" xr:uid="{4346CF4C-CE60-3542-A135-1C03430BE9E3}"/>
    <hyperlink ref="F751" r:id="rId743" location="issue-label" display="https://zeke.github.io/primer-cheatsheet/ - issue-label" xr:uid="{F74F5D97-582B-5A49-A33C-A9841CBAC139}"/>
    <hyperlink ref="F752" r:id="rId744" location="issue-label-g-emoji" display="https://zeke.github.io/primer-cheatsheet/ - issue-label-g-emoji" xr:uid="{58ABDEA9-F412-9249-8D39-F0438987C82F}"/>
    <hyperlink ref="F753" r:id="rId745" location="issue-label-big" display="https://zeke.github.io/primer-cheatsheet/ - issue-label-big" xr:uid="{7289ED90-65CD-3148-A795-570E21E39477}"/>
    <hyperlink ref="F754" r:id="rId746" location="issue-label-big-g-emoji" display="https://zeke.github.io/primer-cheatsheet/ - issue-label-big-g-emoji" xr:uid="{2583505C-3127-CC47-8312-7343D7CA8A09}"/>
    <hyperlink ref="F755" r:id="rId747" location="issue-label-big-hover" display="https://zeke.github.io/primer-cheatsheet/ - issue-label-big-hover" xr:uid="{4886694B-CB52-B848-B833-21BE570A8683}"/>
    <hyperlink ref="F756" r:id="rId748" location="issue-label-hover" display="https://zeke.github.io/primer-cheatsheet/ - issue-label-hover" xr:uid="{DD05AEB8-7A0F-F84F-A13A-08F3340C7D3B}"/>
    <hyperlink ref="F763" r:id="rId749" location="label" display="https://zeke.github.io/primer-cheatsheet/ - label" xr:uid="{6CD19988-22B1-924A-A5EF-A10057862D55}"/>
    <hyperlink ref="F757" r:id="rId750" location="label-gray" display="https://zeke.github.io/primer-cheatsheet/ - label-gray" xr:uid="{0C97CD53-1AB9-3344-8C7B-0724F29F1118}"/>
    <hyperlink ref="F758" r:id="rId751" location="label-gray-darker" display="https://zeke.github.io/primer-cheatsheet/ - label-gray-darker" xr:uid="{4BE25DE1-FEE7-D645-B3EA-D334E0BD8CAD}"/>
    <hyperlink ref="F759" r:id="rId752" location="label-orange" display="https://zeke.github.io/primer-cheatsheet/ - label-orange" xr:uid="{2EFECFA6-A23B-B34A-97B7-E5BF3A67EEC1}"/>
    <hyperlink ref="F760" r:id="rId753" location="label-outline" display="https://zeke.github.io/primer-cheatsheet/ - label-outline" xr:uid="{698F570B-22D5-124D-B291-2B479456D899}"/>
    <hyperlink ref="F761" r:id="rId754" location="label-outline-green" display="https://zeke.github.io/primer-cheatsheet/ - label-outline-green" xr:uid="{CDE2614E-DC12-4246-9B74-B8390C280FA6}"/>
    <hyperlink ref="F762" r:id="rId755" location="label-hover" display="https://zeke.github.io/primer-cheatsheet/ - label-hover" xr:uid="{30991BAE-AE16-EA48-A1C2-E5104655D7A9}"/>
    <hyperlink ref="F764" r:id="rId756" location="labels" display="https://zeke.github.io/primer-cheatsheet/ - labels" xr:uid="{D8C48AF2-D19E-B444-8C39-C86A237449C3}"/>
    <hyperlink ref="F765" r:id="rId757" location="lead" display="https://zeke.github.io/primer-cheatsheet/ - lead" xr:uid="{85D331FD-7C7C-F64C-9A6F-52D6842781DB}"/>
    <hyperlink ref="F766" r:id="rId758" location="lead-mktg" display="https://zeke.github.io/primer-cheatsheet/ - lead-mktg" xr:uid="{B7D53830-E376-F04E-B7DE-2EDA02FC28BE}"/>
    <hyperlink ref="F767" r:id="rId759" location="left-0" display="https://zeke.github.io/primer-cheatsheet/ - left-0" xr:uid="{0C06E053-3A5A-3148-B336-0A6D6EED1BE1}"/>
    <hyperlink ref="F768" r:id="rId760" location="left-0" display="https://zeke.github.io/primer-cheatsheet/ - left-0" xr:uid="{8F467969-0B9C-E44B-874F-37D4B1E948CC}"/>
    <hyperlink ref="F769" r:id="rId761" location="left-1" display="https://zeke.github.io/primer-cheatsheet/ - left-1" xr:uid="{5CD5B500-764A-F546-B79C-C19EE299C87F}"/>
    <hyperlink ref="F770" r:id="rId762" location="left-10" display="https://zeke.github.io/primer-cheatsheet/ - left-10" xr:uid="{0B442B73-5C80-2340-9D36-019100C1D9BA}"/>
    <hyperlink ref="F771" r:id="rId763" location="left-11" display="https://zeke.github.io/primer-cheatsheet/ - left-11" xr:uid="{C71DC6DB-5267-5C4E-B6F4-B84197302F9A}"/>
    <hyperlink ref="F772" r:id="rId764" location="left-12" display="https://zeke.github.io/primer-cheatsheet/ - left-12" xr:uid="{4389F41F-2A87-6A4D-9A0C-E4E315C95A70}"/>
    <hyperlink ref="F773" r:id="rId765" location="left-2" display="https://zeke.github.io/primer-cheatsheet/ - left-2" xr:uid="{8336EF44-7149-0F41-83AE-B3DF38B33D9F}"/>
    <hyperlink ref="F774" r:id="rId766" location="left-3" display="https://zeke.github.io/primer-cheatsheet/ - left-3" xr:uid="{35D0503E-05C6-6741-A1A9-8874C15C9BD7}"/>
    <hyperlink ref="F775" r:id="rId767" location="left-4" display="https://zeke.github.io/primer-cheatsheet/ - left-4" xr:uid="{39CDD3F8-B322-E547-B899-9C205AF40E44}"/>
    <hyperlink ref="F776" r:id="rId768" location="left-5" display="https://zeke.github.io/primer-cheatsheet/ - left-5" xr:uid="{0481E777-A9B4-4943-871D-477B9C5FCBBA}"/>
    <hyperlink ref="F777" r:id="rId769" location="left-6" display="https://zeke.github.io/primer-cheatsheet/ - left-6" xr:uid="{0C83E5BD-2BB0-3540-BC5F-C16269CDFB18}"/>
    <hyperlink ref="F778" r:id="rId770" location="left-7" display="https://zeke.github.io/primer-cheatsheet/ - left-7" xr:uid="{C42296B9-FE25-8946-AFF6-43B2830B5E3B}"/>
    <hyperlink ref="F779" r:id="rId771" location="left-8" display="https://zeke.github.io/primer-cheatsheet/ - left-8" xr:uid="{A9E69AFF-2E4A-5641-AA3E-EB15FBA99B87}"/>
    <hyperlink ref="F780" r:id="rId772" location="left-9" display="https://zeke.github.io/primer-cheatsheet/ - left-9" xr:uid="{B1C8A63F-89B0-AF40-89C7-F6DFCF450905}"/>
    <hyperlink ref="F781" r:id="rId773" location="left-n0" display="https://zeke.github.io/primer-cheatsheet/ - left-n0" xr:uid="{7442F324-67F2-8244-824E-32A85FBFB60D}"/>
    <hyperlink ref="F782" r:id="rId774" location="left-n1" display="https://zeke.github.io/primer-cheatsheet/ - left-n1" xr:uid="{A9B16B03-3009-1D45-B7A5-45B3D352BEDB}"/>
    <hyperlink ref="F783" r:id="rId775" location="left-n10" display="https://zeke.github.io/primer-cheatsheet/ - left-n10" xr:uid="{180BD359-1D09-7943-9D1C-F75A834C5214}"/>
    <hyperlink ref="F784" r:id="rId776" location="left-n11" display="https://zeke.github.io/primer-cheatsheet/ - left-n11" xr:uid="{E67F26B3-5FEB-BB49-830B-AAFD9C98F1D2}"/>
    <hyperlink ref="F785" r:id="rId777" location="left-n12" display="https://zeke.github.io/primer-cheatsheet/ - left-n12" xr:uid="{F652FF5F-6100-014E-800F-EFC761C02AA2}"/>
    <hyperlink ref="F786" r:id="rId778" location="left-n2" display="https://zeke.github.io/primer-cheatsheet/ - left-n2" xr:uid="{1C5837D9-8816-994E-A7AB-BA2386BB81E3}"/>
    <hyperlink ref="F787" r:id="rId779" location="left-n3" display="https://zeke.github.io/primer-cheatsheet/ - left-n3" xr:uid="{823E4EB7-4E6A-2741-84B3-8AD4F5DB552C}"/>
    <hyperlink ref="F788" r:id="rId780" location="left-n4" display="https://zeke.github.io/primer-cheatsheet/ - left-n4" xr:uid="{0FF24132-885A-FF40-8C1D-2092279382A2}"/>
    <hyperlink ref="F789" r:id="rId781" location="left-n5" display="https://zeke.github.io/primer-cheatsheet/ - left-n5" xr:uid="{6F3C12CF-AD61-8040-8E8B-F81285B43688}"/>
    <hyperlink ref="F790" r:id="rId782" location="left-n6" display="https://zeke.github.io/primer-cheatsheet/ - left-n6" xr:uid="{6E93A24D-06ED-974F-B4BD-C4D502C28218}"/>
    <hyperlink ref="F791" r:id="rId783" location="left-n7" display="https://zeke.github.io/primer-cheatsheet/ - left-n7" xr:uid="{1152F1CE-3493-EC41-BDD4-4DD34F667901}"/>
    <hyperlink ref="F792" r:id="rId784" location="left-n8" display="https://zeke.github.io/primer-cheatsheet/ - left-n8" xr:uid="{C0B1507B-847B-D945-BC1A-CE9B6EC15E44}"/>
    <hyperlink ref="F793" r:id="rId785" location="left-n9" display="https://zeke.github.io/primer-cheatsheet/ - left-n9" xr:uid="{0ADA69E7-84F1-074C-A249-D293163BD2F8}"/>
    <hyperlink ref="F794" r:id="rId786" location="lh-0" display="https://zeke.github.io/primer-cheatsheet/ - lh-0" xr:uid="{1CB0B03E-19BF-764B-8AF5-E9051123032C}"/>
    <hyperlink ref="F795" r:id="rId787" location="lh-condensed" display="https://zeke.github.io/primer-cheatsheet/ - lh-condensed" xr:uid="{AF96F2F5-CB8B-0A41-8961-C212ADEABF8C}"/>
    <hyperlink ref="F796" r:id="rId788" location="lh-condensed-ultra" display="https://zeke.github.io/primer-cheatsheet/ - lh-condensed-ultra" xr:uid="{0B4F44C3-D793-0040-87FB-6648D58C5EDF}"/>
    <hyperlink ref="F797" r:id="rId789" location="lh-default" display="https://zeke.github.io/primer-cheatsheet/ - lh-default" xr:uid="{2034EFC1-5B36-944C-AFD2-C7A3FF915F03}"/>
    <hyperlink ref="F798" r:id="rId790" location="link-gray" display="https://zeke.github.io/primer-cheatsheet/ - link-gray" xr:uid="{AAE5FE27-1156-1446-92ED-466CE65A5D8E}"/>
    <hyperlink ref="F799" r:id="rId791" location="link-gray-dark" display="https://zeke.github.io/primer-cheatsheet/ - link-gray-dark" xr:uid="{10141B33-39AE-E747-8C0A-64A9EFA8DB00}"/>
    <hyperlink ref="F800" r:id="rId792" location="link-gray-dark-hover" display="https://zeke.github.io/primer-cheatsheet/ - link-gray-dark-hover" xr:uid="{CEED0790-1115-3A4E-AF77-1FED1AC05471}"/>
    <hyperlink ref="F801" r:id="rId793" location="link-gray-hover" display="https://zeke.github.io/primer-cheatsheet/ - link-gray-hover" xr:uid="{65B654A3-0904-7C46-BED6-F154987F2F52}"/>
    <hyperlink ref="F802" r:id="rId794" location="link-hover-blue-hover" display="https://zeke.github.io/primer-cheatsheet/ - link-hover-blue-hover" xr:uid="{24C64438-1F98-5448-80DF-B4DEDCFFED76}"/>
    <hyperlink ref="F803" r:id="rId795" location="list-style-none" display="https://zeke.github.io/primer-cheatsheet/ - list-style-none" xr:uid="{D671154D-45D5-694C-BB81-CF2C175EF2E5}"/>
    <hyperlink ref="F804" r:id="rId796" location="m-0" display="https://zeke.github.io/primer-cheatsheet/ - m-0" xr:uid="{7D72A9A7-6A13-2942-973B-800D0C052EB4}"/>
    <hyperlink ref="F805" r:id="rId797" location="m-1" display="https://zeke.github.io/primer-cheatsheet/ - m-1" xr:uid="{C3527899-EFC3-514B-B86F-A84E439312C6}"/>
    <hyperlink ref="F806" r:id="rId798" location="m-2" display="https://zeke.github.io/primer-cheatsheet/ - m-2" xr:uid="{CEA04063-E7EF-EB47-A6DE-5A4A3476F91A}"/>
    <hyperlink ref="F807" r:id="rId799" location="m-3" display="https://zeke.github.io/primer-cheatsheet/ - m-3" xr:uid="{E5F0E16A-C537-574F-BBCF-B634731CCACC}"/>
    <hyperlink ref="F808" r:id="rId800" location="m-4" display="https://zeke.github.io/primer-cheatsheet/ - m-4" xr:uid="{CE2EA3A4-7CEB-8746-B181-F3A8DD6FD8A3}"/>
    <hyperlink ref="F809" r:id="rId801" location="m-5" display="https://zeke.github.io/primer-cheatsheet/ - m-5" xr:uid="{D49DF0FB-A8CD-CC4D-9378-D6D3DDD289CB}"/>
    <hyperlink ref="F810" r:id="rId802" location="m-6" display="https://zeke.github.io/primer-cheatsheet/ - m-6" xr:uid="{6E1E1263-16DC-484B-BE9C-BE1AAF5BE42D}"/>
    <hyperlink ref="F811" r:id="rId803" location="manual-file-chooser" display="https://zeke.github.io/primer-cheatsheet/ - manual-file-chooser" xr:uid="{62E4FE0D-C670-1C48-B01A-76ADA54494D9}"/>
    <hyperlink ref="F812" r:id="rId804" location="manual-file-chooser-hover-manual-file-chooser-text" display="https://zeke.github.io/primer-cheatsheet/ - manual-file-chooser-hover-manual-file-chooser-text" xr:uid="{22470B6A-6F66-C742-AB7D-60DF996541A5}"/>
    <hyperlink ref="F813" r:id="rId805" location="markdown-body" display="https://zeke.github.io/primer-cheatsheet/ - markdown-body" xr:uid="{B1CFEEC0-C4CA-0948-8686-61837886D315}"/>
    <hyperlink ref="F814" r:id="rId806" location="markdown-body-absent" display="https://zeke.github.io/primer-cheatsheet/ - markdown-body-absent" xr:uid="{909A3A41-6E72-BA46-B5CB-D05B50C370C4}"/>
    <hyperlink ref="F815" r:id="rId807" location="markdown-body-anchor" display="https://zeke.github.io/primer-cheatsheet/ - markdown-body-anchor" xr:uid="{7992A9EC-A90B-A54E-9B0A-D18381128D1F}"/>
    <hyperlink ref="F816" r:id="rId808" location="markdown-body-anchor-focus" display="https://zeke.github.io/primer-cheatsheet/ - markdown-body-anchor-focus" xr:uid="{FC0D9CB2-A53B-7D40-A217-3169698C9940}"/>
    <hyperlink ref="F817" r:id="rId809" location="markdown-body-csv-data-blob-num" display="https://zeke.github.io/primer-cheatsheet/ - markdown-body-csv-data-blob-num" xr:uid="{40BB13E4-EE3F-F641-96B4-46586C0DCD2D}"/>
    <hyperlink ref="F818" r:id="rId810" location="markdown-body-csv-data-td" display="https://zeke.github.io/primer-cheatsheet/ - markdown-body-csv-data-td" xr:uid="{AD4DBF35-B4C9-CB45-B0C6-48CAB8A1A98D}"/>
    <hyperlink ref="F819" r:id="rId811" location="markdown-body-csv-data-th" display="https://zeke.github.io/primer-cheatsheet/ - markdown-body-csv-data-th" xr:uid="{E3CE93F8-FADF-3C42-859A-92C50DB821A9}"/>
    <hyperlink ref="F820" r:id="rId812" location="markdown-body-csv-data-tr" display="https://zeke.github.io/primer-cheatsheet/ - markdown-body-csv-data-tr" xr:uid="{1E681802-DDD0-1F43-A9FD-9994B39007A7}"/>
    <hyperlink ref="F821" r:id="rId813" location="markdown-body-emoji" display="https://zeke.github.io/primer-cheatsheet/ - markdown-body-emoji" xr:uid="{6EFC0166-8304-4041-A206-8E4443BF5EFB}"/>
    <hyperlink ref="F822" r:id="rId814" location="markdown-body-highlight" display="https://zeke.github.io/primer-cheatsheet/ - markdown-body-highlight" xr:uid="{490A9958-4FC5-1D48-B3EE-BB63D53C9F25}"/>
    <hyperlink ref="F823" r:id="rId815" location="markdown-body-highlight-pre" display="https://zeke.github.io/primer-cheatsheet/ - markdown-body-highlight-pre" xr:uid="{B951DEE3-F09C-9C45-99D9-98E9E2A39324}"/>
    <hyperlink ref="F824" r:id="rId816" location="markdown-body-highlight-pre" display="https://zeke.github.io/primer-cheatsheet/ - markdown-body-highlight-pre" xr:uid="{D3934EFF-9CAE-6E49-A355-FA98CAEFE68D}"/>
    <hyperlink ref="F825" r:id="rId817" location="markdown-body-a-not-href" display="https://zeke.github.io/primer-cheatsheet/ - markdown-body-a-not-href" xr:uid="{FD86B1BB-AA49-144F-9E33-C9C19A4A6BCA}"/>
    <hyperlink ref="F826" r:id="rId818" location="markdown-body-blockquote" display="https://zeke.github.io/primer-cheatsheet/ - markdown-body-blockquote" xr:uid="{24BB14C7-5D58-7D4C-A7E5-61005C58F6E5}"/>
    <hyperlink ref="F827" r:id="rId819" location="markdown-body-blockquote-first-child" display="https://zeke.github.io/primer-cheatsheet/ - markdown-body-blockquote-first-child" xr:uid="{534A4268-3EAC-4F4B-8000-759CEA13FD72}"/>
    <hyperlink ref="F828" r:id="rId820" location="markdown-body-blockquote-last-child" display="https://zeke.github.io/primer-cheatsheet/ - markdown-body-blockquote-last-child" xr:uid="{FFDF0926-D348-DC4C-9611-494C3845DA9B}"/>
    <hyperlink ref="F830" r:id="rId821" location="markdown-body-code" display="https://zeke.github.io/primer-cheatsheet/ - markdown-body-code" xr:uid="{BD0BD6DD-2405-9A47-9206-BF1255498534}"/>
    <hyperlink ref="F829" r:id="rId822" location="markdown-body-code-br" display="https://zeke.github.io/primer-cheatsheet/ - markdown-body-code-br" xr:uid="{88FEA993-C84F-0C4F-B70D-6D7A9134E30F}"/>
    <hyperlink ref="F831" r:id="rId823" location="markdown-body-del-code" display="https://zeke.github.io/primer-cheatsheet/ - markdown-body-del-code" xr:uid="{C558E86D-1218-CC49-B5F6-3FA02ECA88AE}"/>
    <hyperlink ref="F832" r:id="rId824" location="markdown-body-dl" display="https://zeke.github.io/primer-cheatsheet/ - markdown-body-dl" xr:uid="{25CB18CA-D946-5E40-B266-E4166724CE20}"/>
    <hyperlink ref="F833" r:id="rId825" location="markdown-body-dl-dd" display="https://zeke.github.io/primer-cheatsheet/ - markdown-body-dl-dd" xr:uid="{5E1F3541-F944-7B4B-8085-D0D4E93732E5}"/>
    <hyperlink ref="F834" r:id="rId826" location="markdown-body-dl-dt" display="https://zeke.github.io/primer-cheatsheet/ - markdown-body-dl-dt" xr:uid="{4182668C-608E-A148-B205-EA08F92AC479}"/>
    <hyperlink ref="F840" r:id="rId827" location="markdown-body-h1" display="https://zeke.github.io/primer-cheatsheet/ - markdown-body-h1" xr:uid="{5F590969-8F8F-254F-99C4-B3E34A3EAC4C}"/>
    <hyperlink ref="F835" r:id="rId828" location="markdown-body-h1" display="https://zeke.github.io/primer-cheatsheet/ - markdown-body-h1" xr:uid="{A70F0E3C-5BFA-8C43-B40A-C45C20142509}"/>
    <hyperlink ref="F836" r:id="rId829" location="markdown-body-h1-octicon-link" display="https://zeke.github.io/primer-cheatsheet/ - markdown-body-h1-octicon-link" xr:uid="{E95F460C-620F-A04D-BAB3-74F064282864}"/>
    <hyperlink ref="F837" r:id="rId830" location="markdown-body-h1-tt" display="https://zeke.github.io/primer-cheatsheet/ - markdown-body-h1-tt" xr:uid="{F15160C7-821E-E641-903D-A6CD1F267691}"/>
    <hyperlink ref="F839" r:id="rId831" location="markdown-body-h1-hover-anchor" display="https://zeke.github.io/primer-cheatsheet/ - markdown-body-h1-hover-anchor" xr:uid="{12BB719B-5C05-0A48-AEBA-9F88B3F1E04F}"/>
    <hyperlink ref="F838" r:id="rId832" location="markdown-body-h1-hover-anchor-octicon-link" display="https://zeke.github.io/primer-cheatsheet/ - markdown-body-h1-hover-anchor-octicon-link" xr:uid="{05566038-C967-9347-B45A-1B67B07B4F3A}"/>
    <hyperlink ref="F841" r:id="rId833" location="markdown-body-h2" display="https://zeke.github.io/primer-cheatsheet/ - markdown-body-h2" xr:uid="{721017AE-67AD-6143-918A-64584681CE09}"/>
    <hyperlink ref="F842" r:id="rId834" location="markdown-body-h3" display="https://zeke.github.io/primer-cheatsheet/ - markdown-body-h3" xr:uid="{7B1B32A2-3ED3-1A4F-99B8-142879A07BEE}"/>
    <hyperlink ref="F843" r:id="rId835" location="markdown-body-h4" display="https://zeke.github.io/primer-cheatsheet/ - markdown-body-h4" xr:uid="{6CFE7323-1E5F-FB42-9B56-A00FF9DD5831}"/>
    <hyperlink ref="F844" r:id="rId836" location="markdown-body-h5" display="https://zeke.github.io/primer-cheatsheet/ - markdown-body-h5" xr:uid="{F154E84C-07EB-BC44-8F5A-DD4325407C73}"/>
    <hyperlink ref="F845" r:id="rId837" location="markdown-body-h6" display="https://zeke.github.io/primer-cheatsheet/ - markdown-body-h6" xr:uid="{96B25A08-C7D5-F64E-B7A3-AF915EC51D77}"/>
    <hyperlink ref="F846" r:id="rId838" location="markdown-body-hr" display="https://zeke.github.io/primer-cheatsheet/ - markdown-body-hr" xr:uid="{43D55A2F-0E21-2F4B-ABBD-541955321BA1}"/>
    <hyperlink ref="F847" r:id="rId839" location="markdown-body-img" display="https://zeke.github.io/primer-cheatsheet/ - markdown-body-img" xr:uid="{D82D3439-2E9F-DF43-843B-D3AC4A5C3DA6}"/>
    <hyperlink ref="F848" r:id="rId840" location="markdown-body-img-align-left" display="https://zeke.github.io/primer-cheatsheet/ - markdown-body-img-align-left" xr:uid="{344247F2-7EAF-4149-BA2F-802E6990B4E3}"/>
    <hyperlink ref="F849" r:id="rId841" location="markdown-body-img-align-right" display="https://zeke.github.io/primer-cheatsheet/ - markdown-body-img-align-right" xr:uid="{F0C8A48A-37E6-E342-960F-CCA7EF7CD9E5}"/>
    <hyperlink ref="F850" r:id="rId842" location="markdown-body-kbd" display="https://zeke.github.io/primer-cheatsheet/ - markdown-body-kbd" xr:uid="{16E3CE80-ABCD-614C-9F41-CCC2DAE452E3}"/>
    <hyperlink ref="F851" r:id="rId843" location="markdown-body-li" display="https://zeke.github.io/primer-cheatsheet/ - markdown-body-li" xr:uid="{56B8A6BC-D274-D64A-BDD5-E69CF6E4A150}"/>
    <hyperlink ref="F852" r:id="rId844" location="markdown-body-li-li" display="https://zeke.github.io/primer-cheatsheet/ - markdown-body-li-li" xr:uid="{DED752A4-A632-F847-A48B-88A0EDC376DF}"/>
    <hyperlink ref="F853" r:id="rId845" location="markdown-body-li-p" display="https://zeke.github.io/primer-cheatsheet/ - markdown-body-li-p" xr:uid="{768E6055-256F-0D40-BB91-EC421EDB4367}"/>
    <hyperlink ref="F854" r:id="rId846" location="markdown-body-p" display="https://zeke.github.io/primer-cheatsheet/ - markdown-body-p" xr:uid="{8F241AD0-E2E6-794E-9F8E-432C9C3D973D}"/>
    <hyperlink ref="F855" r:id="rId847" location="markdown-body-pre" display="https://zeke.github.io/primer-cheatsheet/ - markdown-body-pre" xr:uid="{B22A871F-69A3-4140-A004-0F57FE0888C2}"/>
    <hyperlink ref="F856" r:id="rId848" location="markdown-body-pre-code" display="https://zeke.github.io/primer-cheatsheet/ - markdown-body-pre-code" xr:uid="{40ED2AD5-22D5-654F-8BF3-827D675F8651}"/>
    <hyperlink ref="F857" r:id="rId849" location="markdown-body-pre-code" display="https://zeke.github.io/primer-cheatsheet/ - markdown-body-pre-code" xr:uid="{B5A5B517-CF2F-2A44-AD9F-C8AAF7737BE6}"/>
    <hyperlink ref="F858" r:id="rId850" location="markdown-body-span-align-center" display="https://zeke.github.io/primer-cheatsheet/ - markdown-body-span-align-center" xr:uid="{8DAD11A7-E0DD-AC4A-9218-5588296C28CC}"/>
    <hyperlink ref="F859" r:id="rId851" location="markdown-body-span-align-center-span-img" display="https://zeke.github.io/primer-cheatsheet/ - markdown-body-span-align-center-span-img" xr:uid="{B9E5E910-0361-B541-AE31-5108E87FEA95}"/>
    <hyperlink ref="F860" r:id="rId852" location="markdown-body-span-align-center-span" display="https://zeke.github.io/primer-cheatsheet/ - markdown-body-span-align-center-span" xr:uid="{BE0B18CE-21EF-3D47-8E0C-42A69531172D}"/>
    <hyperlink ref="F861" r:id="rId853" location="markdown-body-span-align-right" display="https://zeke.github.io/primer-cheatsheet/ - markdown-body-span-align-right" xr:uid="{881FD18D-3B78-084A-9D69-96EEEB812FED}"/>
    <hyperlink ref="F862" r:id="rId854" location="markdown-body-span-align-right-span-img" display="https://zeke.github.io/primer-cheatsheet/ - markdown-body-span-align-right-span-img" xr:uid="{600710A6-0EF7-DD40-93BE-34DB03B26B6F}"/>
    <hyperlink ref="F863" r:id="rId855" location="markdown-body-span-align-right-span" display="https://zeke.github.io/primer-cheatsheet/ - markdown-body-span-align-right-span" xr:uid="{A7F77EF8-3FD3-0E41-AB22-F1EFAFF211E7}"/>
    <hyperlink ref="F864" r:id="rId856" location="markdown-body-span-float-left" display="https://zeke.github.io/primer-cheatsheet/ - markdown-body-span-float-left" xr:uid="{A2D81F21-0A7A-A748-8736-5255BB6FB05A}"/>
    <hyperlink ref="F865" r:id="rId857" location="markdown-body-span-float-left-span" display="https://zeke.github.io/primer-cheatsheet/ - markdown-body-span-float-left-span" xr:uid="{DAB88CD8-B7DF-7640-B601-4884F7D000F1}"/>
    <hyperlink ref="F866" r:id="rId858" location="markdown-body-span-float-right" display="https://zeke.github.io/primer-cheatsheet/ - markdown-body-span-float-right" xr:uid="{C77382A3-B60D-EC41-9826-7324D54B989D}"/>
    <hyperlink ref="F867" r:id="rId859" location="markdown-body-span-float-right-span" display="https://zeke.github.io/primer-cheatsheet/ - markdown-body-span-float-right-span" xr:uid="{6ED3917C-DF4C-DD41-9BFD-3758919DF905}"/>
    <hyperlink ref="F868" r:id="rId860" location="markdown-body-span-frame" display="https://zeke.github.io/primer-cheatsheet/ - markdown-body-span-frame" xr:uid="{5BFF2560-E349-7548-BE25-17700F153774}"/>
    <hyperlink ref="F869" r:id="rId861" location="markdown-body-span-frame-span-img" display="https://zeke.github.io/primer-cheatsheet/ - markdown-body-span-frame-span-img" xr:uid="{F44F53E4-6FE7-774F-8DC7-08F0686782CD}"/>
    <hyperlink ref="F870" r:id="rId862" location="markdown-body-span-frame-span-span" display="https://zeke.github.io/primer-cheatsheet/ - markdown-body-span-frame-span-span" xr:uid="{F76C8C3F-FE2C-A643-8F94-ECCBFCFA4C9E}"/>
    <hyperlink ref="F871" r:id="rId863" location="markdown-body-span-frame-span" display="https://zeke.github.io/primer-cheatsheet/ - markdown-body-span-frame-span" xr:uid="{16DE9258-C251-5141-8E70-EEC3930639EE}"/>
    <hyperlink ref="F872" r:id="rId864" location="markdown-body-table" display="https://zeke.github.io/primer-cheatsheet/ - markdown-body-table" xr:uid="{72FD00EE-5B5C-0A40-92BB-25400DD49939}"/>
    <hyperlink ref="F873" r:id="rId865" location="markdown-body-table-img" display="https://zeke.github.io/primer-cheatsheet/ - markdown-body-table-img" xr:uid="{7CC4DD75-4037-5B45-B829-2852E7BF1273}"/>
    <hyperlink ref="F874" r:id="rId866" location="markdown-body-table-th" display="https://zeke.github.io/primer-cheatsheet/ - markdown-body-table-th" xr:uid="{A4BBB1E7-D3C4-5243-9231-325DDAD9DC42}"/>
    <hyperlink ref="F875" r:id="rId867" location="markdown-body-table-th" display="https://zeke.github.io/primer-cheatsheet/ - markdown-body-table-th" xr:uid="{E906C5CE-59CC-1C41-BD30-C9151FB59CCA}"/>
    <hyperlink ref="F876" r:id="rId868" location="markdown-body-table-tr" display="https://zeke.github.io/primer-cheatsheet/ - markdown-body-table-tr" xr:uid="{36B86ECB-88A9-BA43-9024-463FC1120E08}"/>
    <hyperlink ref="F877" r:id="rId869" location="markdown-body-table-tr-nth-child-2n" display="https://zeke.github.io/primer-cheatsheet/ - markdown-body-table-tr-nth-child-2n" xr:uid="{03DC236A-5550-B341-A706-591749EC70E2}"/>
    <hyperlink ref="F879" r:id="rId870" location="markdown-body-ul" display="https://zeke.github.io/primer-cheatsheet/ - markdown-body-ul" xr:uid="{05B74C23-4883-B745-BEBF-7E0A31D9308C}"/>
    <hyperlink ref="F878" r:id="rId871" location="markdown-body-ul-ul" display="https://zeke.github.io/primer-cheatsheet/ - markdown-body-ul-ul" xr:uid="{62B83B2F-72AF-3F49-8E47-B0F1485A81A8}"/>
    <hyperlink ref="F880" r:id="rId872" location="markdown-body-ul-no-list" display="https://zeke.github.io/primer-cheatsheet/ - markdown-body-ul-no-list" xr:uid="{4E8B871C-FEB7-8447-8505-8211A0170210}"/>
    <hyperlink ref="F881" r:id="rId873" location="markdown-body-after" display="https://zeke.github.io/primer-cheatsheet/ - markdown-body-after" xr:uid="{0302065C-F910-134C-A745-0F7EBAF937D8}"/>
    <hyperlink ref="F882" r:id="rId874" location="markdown-body-before" display="https://zeke.github.io/primer-cheatsheet/ - markdown-body-before" xr:uid="{FAFC8028-C90A-8F40-B94A-CAE4EC11B00A}"/>
    <hyperlink ref="F883" r:id="rId875" location="markdown-body-first-child" display="https://zeke.github.io/primer-cheatsheet/ - markdown-body-first-child" xr:uid="{8A705DC0-ECF2-8E47-9CF1-FA5EE2C9FA01}"/>
    <hyperlink ref="F884" r:id="rId876" location="markdown-body-last-child" display="https://zeke.github.io/primer-cheatsheet/ - markdown-body-last-child" xr:uid="{DC270831-4798-5044-B2E1-1CD66120A233}"/>
    <hyperlink ref="F885" r:id="rId877" location="mb-0" display="https://zeke.github.io/primer-cheatsheet/ - mb-0" xr:uid="{499205BD-299C-7644-8239-CF56347678F5}"/>
    <hyperlink ref="F886" r:id="rId878" location="mb-1" display="https://zeke.github.io/primer-cheatsheet/ - mb-1" xr:uid="{83775F58-1DD0-374D-A560-5F834417722B}"/>
    <hyperlink ref="F887" r:id="rId879" location="mb-10" display="https://zeke.github.io/primer-cheatsheet/ - mb-10" xr:uid="{52A7C7A8-619E-734C-92A2-C002683FBC71}"/>
    <hyperlink ref="F888" r:id="rId880" location="mb-11" display="https://zeke.github.io/primer-cheatsheet/ - mb-11" xr:uid="{FDF941F1-9CE8-BA42-8BD2-557561B9FCD6}"/>
    <hyperlink ref="F889" r:id="rId881" location="mb-12" display="https://zeke.github.io/primer-cheatsheet/ - mb-12" xr:uid="{FCA9AD5D-3EC9-7B46-AEB6-9453F8179653}"/>
    <hyperlink ref="F890" r:id="rId882" location="mb-2" display="https://zeke.github.io/primer-cheatsheet/ - mb-2" xr:uid="{E3D3E0CC-0F27-0845-BF6B-7772AE40101B}"/>
    <hyperlink ref="F891" r:id="rId883" location="mb-3" display="https://zeke.github.io/primer-cheatsheet/ - mb-3" xr:uid="{7906C740-856D-3C45-92FB-76482FC455B7}"/>
    <hyperlink ref="F892" r:id="rId884" location="mb-4" display="https://zeke.github.io/primer-cheatsheet/ - mb-4" xr:uid="{EE3CACAB-5C56-F140-83CD-48627B0746A4}"/>
    <hyperlink ref="F893" r:id="rId885" location="mb-5" display="https://zeke.github.io/primer-cheatsheet/ - mb-5" xr:uid="{65DA701C-AC47-B64C-BA06-5A2840FF34E8}"/>
    <hyperlink ref="F894" r:id="rId886" location="mb-6" display="https://zeke.github.io/primer-cheatsheet/ - mb-6" xr:uid="{8545E13B-D657-5443-96B6-4FB6AD69CA2A}"/>
    <hyperlink ref="F895" r:id="rId887" location="mb-7" display="https://zeke.github.io/primer-cheatsheet/ - mb-7" xr:uid="{CD958953-8DEB-C24B-B882-5F34089E79BC}"/>
    <hyperlink ref="F896" r:id="rId888" location="mb-8" display="https://zeke.github.io/primer-cheatsheet/ - mb-8" xr:uid="{FCA5B508-403C-FF45-8ECC-F5DD587F4CFE}"/>
    <hyperlink ref="F897" r:id="rId889" location="mb-9" display="https://zeke.github.io/primer-cheatsheet/ - mb-9" xr:uid="{77D434A9-8A59-9E47-BBFD-25D3ECE6D373}"/>
    <hyperlink ref="F898" r:id="rId890" location="mb-n1" display="https://zeke.github.io/primer-cheatsheet/ - mb-n1" xr:uid="{69AD1427-00CC-D64A-A108-2556677BA583}"/>
    <hyperlink ref="F899" r:id="rId891" location="mb-n2" display="https://zeke.github.io/primer-cheatsheet/ - mb-n2" xr:uid="{DDB95717-8EBB-904D-B0A7-1FBD21C3AF27}"/>
    <hyperlink ref="F900" r:id="rId892" location="mb-n3" display="https://zeke.github.io/primer-cheatsheet/ - mb-n3" xr:uid="{BF589716-9B8B-8245-B45E-DDCB65F3346F}"/>
    <hyperlink ref="F901" r:id="rId893" location="mb-n4" display="https://zeke.github.io/primer-cheatsheet/ - mb-n4" xr:uid="{4A0C4EA1-2790-E04F-9466-A93492430C01}"/>
    <hyperlink ref="F902" r:id="rId894" location="mb-n5" display="https://zeke.github.io/primer-cheatsheet/ - mb-n5" xr:uid="{AA5D0E1B-82B5-FC41-8798-3077DD8EF9CE}"/>
    <hyperlink ref="F903" r:id="rId895" location="mb-n6" display="https://zeke.github.io/primer-cheatsheet/ - mb-n6" xr:uid="{D04A3AE1-3D21-DA44-A78B-37A269EB4384}"/>
    <hyperlink ref="F904" r:id="rId896" location="menu" display="https://zeke.github.io/primer-cheatsheet/ - menu" xr:uid="{0F707C38-A1D0-EF44-8232-758F585F9FC0}"/>
    <hyperlink ref="F905" r:id="rId897" location="menu-heading" display="https://zeke.github.io/primer-cheatsheet/ - menu-heading" xr:uid="{2ADBA405-4530-DE45-8B22-D2968233580E}"/>
    <hyperlink ref="F906" r:id="rId898" location="menu-heading-first-child" display="https://zeke.github.io/primer-cheatsheet/ - menu-heading-first-child" xr:uid="{152D6185-908E-5C41-886D-4D6E6ADD4577}"/>
    <hyperlink ref="F907" r:id="rId899" location="menu-heading-hover" display="https://zeke.github.io/primer-cheatsheet/ - menu-heading-hover" xr:uid="{E6CAF97B-5E9F-B340-8E26-A1CB19A387EB}"/>
    <hyperlink ref="F908" r:id="rId900" location="menu-heading-last-child" display="https://zeke.github.io/primer-cheatsheet/ - menu-heading-last-child" xr:uid="{CABB6D09-957C-9C4D-9425-9EC682DFE2D6}"/>
    <hyperlink ref="F909" r:id="rId901" location="menu-item" display="https://zeke.github.io/primer-cheatsheet/ - menu-item" xr:uid="{54A516FC-CF2F-2E4E-831B-35E1F5512853}"/>
    <hyperlink ref="F910" r:id="rId902" location="menu-item-avatar" display="https://zeke.github.io/primer-cheatsheet/ - menu-item-avatar" xr:uid="{BFCF8F7D-A6C3-8741-AD7E-7B45B67A6E5A}"/>
    <hyperlink ref="F911" r:id="rId903" location="menu-item-counter" display="https://zeke.github.io/primer-cheatsheet/ - menu-item-counter" xr:uid="{6AF10FE9-86C7-7E4A-8566-02751D2FB1DA}"/>
    <hyperlink ref="F912" r:id="rId904" location="menu-item-menu-warning" display="https://zeke.github.io/primer-cheatsheet/ - menu-item-menu-warning" xr:uid="{BED2E411-06CB-B84E-92F5-B29E4946D680}"/>
    <hyperlink ref="F913" r:id="rId905" location="menu-item-octicon" display="https://zeke.github.io/primer-cheatsheet/ - menu-item-octicon" xr:uid="{8843127E-F9DC-B248-AD4B-85A95AB959AF}"/>
    <hyperlink ref="F914" r:id="rId906" location="menu-item-first-child" display="https://zeke.github.io/primer-cheatsheet/ - menu-item-first-child" xr:uid="{B1201A90-354A-4A4E-8003-BA3C722CF099}"/>
    <hyperlink ref="F915" r:id="rId907" location="menu-item-first-child-before" display="https://zeke.github.io/primer-cheatsheet/ - menu-item-first-child-before" xr:uid="{D0266982-77DD-EE47-A324-12ABAEC93E42}"/>
    <hyperlink ref="F916" r:id="rId908" location="menu-item-hover" display="https://zeke.github.io/primer-cheatsheet/ - menu-item-hover" xr:uid="{A3A00E31-F20C-DC4A-8BF4-5322454022C8}"/>
    <hyperlink ref="F917" r:id="rId909" location="menu-item-last-child" display="https://zeke.github.io/primer-cheatsheet/ - menu-item-last-child" xr:uid="{245D475D-B29D-0746-AB34-2A67FB5CB88E}"/>
    <hyperlink ref="F918" r:id="rId910" location="menu-item-last-child-before" display="https://zeke.github.io/primer-cheatsheet/ - menu-item-last-child-before" xr:uid="{B5CFD2D6-1EFC-2347-8A64-128CAE471388}"/>
    <hyperlink ref="F919" r:id="rId911" location="menu-item-alert-counter" display="https://zeke.github.io/primer-cheatsheet/ - menu-item-alert-counter" xr:uid="{ECC50006-A8E5-C44D-B1D2-5B5F6DC6BED0}"/>
    <hyperlink ref="F920" r:id="rId912" location="menu-item-selected" display="https://zeke.github.io/primer-cheatsheet/ - menu-item-selected" xr:uid="{E081DEF6-C4CB-4A4A-95BF-67D2CED937E0}"/>
    <hyperlink ref="F921" r:id="rId913" location="menu-item-selected-before" display="https://zeke.github.io/primer-cheatsheet/ - menu-item-selected-before" xr:uid="{0E8D7594-C248-4847-837E-EC7A3642AE1F}"/>
    <hyperlink ref="F922" r:id="rId914" location="min-width-0" display="https://zeke.github.io/primer-cheatsheet/ - min-width-0" xr:uid="{35846B33-24CB-9742-9DC8-AD997548640A}"/>
    <hyperlink ref="F923" r:id="rId915" location="ml-0" display="https://zeke.github.io/primer-cheatsheet/ - ml-0" xr:uid="{0D6FA70B-888B-3E47-B34F-EABA0D094988}"/>
    <hyperlink ref="F924" r:id="rId916" location="ml-1" display="https://zeke.github.io/primer-cheatsheet/ - ml-1" xr:uid="{60FCC909-D434-2A4E-A0C0-C11294B18EE2}"/>
    <hyperlink ref="F925" r:id="rId917" location="ml-2" display="https://zeke.github.io/primer-cheatsheet/ - ml-2" xr:uid="{C1A30B2E-A5BB-E24F-9472-7C333A245017}"/>
    <hyperlink ref="F926" r:id="rId918" location="ml-3" display="https://zeke.github.io/primer-cheatsheet/ - ml-3" xr:uid="{70CB240B-7D90-4640-B887-E0E34B3FAA81}"/>
    <hyperlink ref="F927" r:id="rId919" location="ml-4" display="https://zeke.github.io/primer-cheatsheet/ - ml-4" xr:uid="{3EFEEB69-C119-B043-B64A-10035DC614AC}"/>
    <hyperlink ref="F928" r:id="rId920" location="ml-5" display="https://zeke.github.io/primer-cheatsheet/ - ml-5" xr:uid="{892D715A-DDA6-8E44-8231-8B79990EB13A}"/>
    <hyperlink ref="F929" r:id="rId921" location="ml-6" display="https://zeke.github.io/primer-cheatsheet/ - ml-6" xr:uid="{8C283E04-B077-EA48-9E16-BB3DE2A60924}"/>
    <hyperlink ref="F930" r:id="rId922" location="ml-n1" display="https://zeke.github.io/primer-cheatsheet/ - ml-n1" xr:uid="{EECE7A22-AF60-DE42-B0CF-2FC2B7DF2703}"/>
    <hyperlink ref="F931" r:id="rId923" location="ml-n2" display="https://zeke.github.io/primer-cheatsheet/ - ml-n2" xr:uid="{7630B674-332C-6542-868D-4414B869E19F}"/>
    <hyperlink ref="F932" r:id="rId924" location="ml-n3" display="https://zeke.github.io/primer-cheatsheet/ - ml-n3" xr:uid="{4089B353-9772-1E43-88F9-53AB60334680}"/>
    <hyperlink ref="F933" r:id="rId925" location="ml-n4" display="https://zeke.github.io/primer-cheatsheet/ - ml-n4" xr:uid="{9BEAF5AE-7983-5446-A70C-087B2553AF24}"/>
    <hyperlink ref="F934" r:id="rId926" location="ml-n5" display="https://zeke.github.io/primer-cheatsheet/ - ml-n5" xr:uid="{F2024412-283B-154D-91A3-8F8D00261F8B}"/>
    <hyperlink ref="F935" r:id="rId927" location="ml-n6" display="https://zeke.github.io/primer-cheatsheet/ - ml-n6" xr:uid="{2DA8B323-770D-8F48-B159-57BDE66ED855}"/>
    <hyperlink ref="F936" r:id="rId928" location="mr-0" display="https://zeke.github.io/primer-cheatsheet/ - mr-0" xr:uid="{08085912-889F-134C-A887-47354AFC1063}"/>
    <hyperlink ref="F937" r:id="rId929" location="mr-1" display="https://zeke.github.io/primer-cheatsheet/ - mr-1" xr:uid="{5C396E87-3AC4-D84E-9B57-CA860D861157}"/>
    <hyperlink ref="F938" r:id="rId930" location="mr-2" display="https://zeke.github.io/primer-cheatsheet/ - mr-2" xr:uid="{C5DA0F2B-F7B8-6F45-A128-F64662DEBCA0}"/>
    <hyperlink ref="F939" r:id="rId931" location="mr-3" display="https://zeke.github.io/primer-cheatsheet/ - mr-3" xr:uid="{99BF9855-758A-4046-A3DE-F29627810160}"/>
    <hyperlink ref="F940" r:id="rId932" location="mr-4" display="https://zeke.github.io/primer-cheatsheet/ - mr-4" xr:uid="{0180D725-C8DE-A146-827F-EBD1E9FEC894}"/>
    <hyperlink ref="F941" r:id="rId933" location="mr-5" display="https://zeke.github.io/primer-cheatsheet/ - mr-5" xr:uid="{93D063E2-BC2D-AC40-AE18-3830786DCD2E}"/>
    <hyperlink ref="F942" r:id="rId934" location="mr-6" display="https://zeke.github.io/primer-cheatsheet/ - mr-6" xr:uid="{FB10D83E-3E91-124B-94EE-D37A6722FA0D}"/>
    <hyperlink ref="F943" r:id="rId935" location="mr-n1" display="https://zeke.github.io/primer-cheatsheet/ - mr-n1" xr:uid="{2F72377E-D88E-D249-9AB1-8AE639F2DF59}"/>
    <hyperlink ref="F944" r:id="rId936" location="mr-n2" display="https://zeke.github.io/primer-cheatsheet/ - mr-n2" xr:uid="{329D0DBD-7138-2647-AD1F-722B21366FE0}"/>
    <hyperlink ref="F945" r:id="rId937" location="mr-n3" display="https://zeke.github.io/primer-cheatsheet/ - mr-n3" xr:uid="{9949AF2F-BEC3-C64D-8A0E-26C1CEBF9047}"/>
    <hyperlink ref="F946" r:id="rId938" location="mr-n4" display="https://zeke.github.io/primer-cheatsheet/ - mr-n4" xr:uid="{0B22B3E5-8DB3-4E4A-8CC2-27AC173990C0}"/>
    <hyperlink ref="F947" r:id="rId939" location="mr-n5" display="https://zeke.github.io/primer-cheatsheet/ - mr-n5" xr:uid="{4C199DA3-F324-8A4E-8836-5E63B3B7D67D}"/>
    <hyperlink ref="F948" r:id="rId940" location="mr-n6" display="https://zeke.github.io/primer-cheatsheet/ - mr-n6" xr:uid="{846BF3FE-60D6-F84D-A63C-BB5B145C140A}"/>
    <hyperlink ref="F949" r:id="rId941" location="mt-0" display="https://zeke.github.io/primer-cheatsheet/ - mt-0" xr:uid="{E9EB3A44-7B31-C249-BA86-B7630F53BB97}"/>
    <hyperlink ref="F950" r:id="rId942" location="mt-1" display="https://zeke.github.io/primer-cheatsheet/ - mt-1" xr:uid="{DB34D7BA-DFF8-DA4A-B07A-FE0E90FA6E9B}"/>
    <hyperlink ref="F951" r:id="rId943" location="mt-10" display="https://zeke.github.io/primer-cheatsheet/ - mt-10" xr:uid="{62E64313-FB3F-1E4B-B4FB-BBA1522CFD9C}"/>
    <hyperlink ref="F952" r:id="rId944" location="mt-11" display="https://zeke.github.io/primer-cheatsheet/ - mt-11" xr:uid="{F823B972-DA1D-E345-A4C5-63880946F232}"/>
    <hyperlink ref="F953" r:id="rId945" location="mt-12" display="https://zeke.github.io/primer-cheatsheet/ - mt-12" xr:uid="{9C9CB9B6-DFCF-C643-901F-AF27937BF6E3}"/>
    <hyperlink ref="F954" r:id="rId946" location="mt-2" display="https://zeke.github.io/primer-cheatsheet/ - mt-2" xr:uid="{8C567291-F307-1549-B11F-2B99505134F5}"/>
    <hyperlink ref="F955" r:id="rId947" location="mt-3" display="https://zeke.github.io/primer-cheatsheet/ - mt-3" xr:uid="{A289339B-3C9F-B94F-A568-4B1126FC2B4D}"/>
    <hyperlink ref="F956" r:id="rId948" location="mt-4" display="https://zeke.github.io/primer-cheatsheet/ - mt-4" xr:uid="{CBA3EA71-25D6-A74A-B752-CFDA6D055682}"/>
    <hyperlink ref="F957" r:id="rId949" location="mt-5" display="https://zeke.github.io/primer-cheatsheet/ - mt-5" xr:uid="{D1334411-859F-8843-B3E4-F2F6B5D1B9CA}"/>
    <hyperlink ref="F958" r:id="rId950" location="mt-6" display="https://zeke.github.io/primer-cheatsheet/ - mt-6" xr:uid="{0354669E-6532-6643-8013-A5A55FDE06C8}"/>
    <hyperlink ref="F959" r:id="rId951" location="mt-7" display="https://zeke.github.io/primer-cheatsheet/ - mt-7" xr:uid="{6AC6747A-19AB-074F-B9BC-97EC82A8C770}"/>
    <hyperlink ref="F960" r:id="rId952" location="mt-8" display="https://zeke.github.io/primer-cheatsheet/ - mt-8" xr:uid="{74381EF7-AC58-4547-B3CB-A9867C4295D7}"/>
    <hyperlink ref="F961" r:id="rId953" location="mt-9" display="https://zeke.github.io/primer-cheatsheet/ - mt-9" xr:uid="{BEC3FC19-7F77-9D47-AE21-DD766499831B}"/>
    <hyperlink ref="F962" r:id="rId954" location="mt-n1" display="https://zeke.github.io/primer-cheatsheet/ - mt-n1" xr:uid="{ECCBC4C4-69B3-B341-BBF8-3A7326ADBAFC}"/>
    <hyperlink ref="F963" r:id="rId955" location="mt-n2" display="https://zeke.github.io/primer-cheatsheet/ - mt-n2" xr:uid="{8053529D-5533-5940-B552-60058DA86D80}"/>
    <hyperlink ref="F964" r:id="rId956" location="mt-n3" display="https://zeke.github.io/primer-cheatsheet/ - mt-n3" xr:uid="{F805D891-B9F2-D24C-AA15-43ADC5334440}"/>
    <hyperlink ref="F965" r:id="rId957" location="mt-n4" display="https://zeke.github.io/primer-cheatsheet/ - mt-n4" xr:uid="{686349BD-318A-6A4B-9BFF-95AAECFD1866}"/>
    <hyperlink ref="F966" r:id="rId958" location="mt-n5" display="https://zeke.github.io/primer-cheatsheet/ - mt-n5" xr:uid="{7F2B13DA-22C6-5A45-8F67-052A19F72982}"/>
    <hyperlink ref="F967" r:id="rId959" location="mt-n6" display="https://zeke.github.io/primer-cheatsheet/ - mt-n6" xr:uid="{BBFF3C8D-B462-B041-B85F-E79E40C6CBA3}"/>
    <hyperlink ref="F968" r:id="rId960" location="muted-link" display="https://zeke.github.io/primer-cheatsheet/ - muted-link" xr:uid="{27586336-29B7-BD40-AD91-C0B513243E66}"/>
    <hyperlink ref="F969" r:id="rId961" location="muted-link-hover" display="https://zeke.github.io/primer-cheatsheet/ - muted-link-hover" xr:uid="{5F49762D-103C-E74D-9872-B15827324B5E}"/>
    <hyperlink ref="F970" r:id="rId962" location="mx-0" display="https://zeke.github.io/primer-cheatsheet/ - mx-0" xr:uid="{7B27D7AA-6367-4C4D-9B37-C689F9145401}"/>
    <hyperlink ref="F971" r:id="rId963" location="mx-1" display="https://zeke.github.io/primer-cheatsheet/ - mx-1" xr:uid="{D1932B38-B050-9648-AC87-0746154CB54B}"/>
    <hyperlink ref="F972" r:id="rId964" location="mx-2" display="https://zeke.github.io/primer-cheatsheet/ - mx-2" xr:uid="{6E02E8FD-EB6D-4C40-9E10-FE5535F37016}"/>
    <hyperlink ref="F973" r:id="rId965" location="mx-3" display="https://zeke.github.io/primer-cheatsheet/ - mx-3" xr:uid="{DE27A1F4-B26F-444B-8A2A-97AACF38F745}"/>
    <hyperlink ref="F974" r:id="rId966" location="mx-4" display="https://zeke.github.io/primer-cheatsheet/ - mx-4" xr:uid="{448F161E-60C9-E84E-A2DE-ABB4C1FAA28D}"/>
    <hyperlink ref="F975" r:id="rId967" location="mx-5" display="https://zeke.github.io/primer-cheatsheet/ - mx-5" xr:uid="{C93C7A85-8EA8-AB41-B96E-8AB46B2343C2}"/>
    <hyperlink ref="F976" r:id="rId968" location="mx-6" display="https://zeke.github.io/primer-cheatsheet/ - mx-6" xr:uid="{207248E5-BC31-0A47-822A-B84C46CA094B}"/>
    <hyperlink ref="F977" r:id="rId969" location="mx-auto" display="https://zeke.github.io/primer-cheatsheet/ - mx-auto" xr:uid="{8B828689-DB06-354C-8BF3-BFCA88A7085C}"/>
    <hyperlink ref="F978" r:id="rId970" location="my-0" display="https://zeke.github.io/primer-cheatsheet/ - my-0" xr:uid="{BE3FCE61-5976-1442-8AC7-17B49B5A2A5E}"/>
    <hyperlink ref="F979" r:id="rId971" location="my-1" display="https://zeke.github.io/primer-cheatsheet/ - my-1" xr:uid="{6FBF3A9B-DF64-5A4A-917B-45B08BEE31AB}"/>
    <hyperlink ref="F980" r:id="rId972" location="my-10" display="https://zeke.github.io/primer-cheatsheet/ - my-10" xr:uid="{726DC63F-01F8-4F40-BD2F-67FBBE3E1102}"/>
    <hyperlink ref="F981" r:id="rId973" location="my-11" display="https://zeke.github.io/primer-cheatsheet/ - my-11" xr:uid="{107B1029-9D10-D644-8058-A4F1427D00FB}"/>
    <hyperlink ref="F982" r:id="rId974" location="my-12" display="https://zeke.github.io/primer-cheatsheet/ - my-12" xr:uid="{2DD877B4-7382-7148-9E8C-45F932FE96D2}"/>
    <hyperlink ref="F983" r:id="rId975" location="my-2" display="https://zeke.github.io/primer-cheatsheet/ - my-2" xr:uid="{8D962A1F-B41B-024C-A572-DFC9901AB3EA}"/>
    <hyperlink ref="F984" r:id="rId976" location="my-3" display="https://zeke.github.io/primer-cheatsheet/ - my-3" xr:uid="{E412D3C1-1B8C-C348-81B7-31C4FCC17CF5}"/>
    <hyperlink ref="F985" r:id="rId977" location="my-4" display="https://zeke.github.io/primer-cheatsheet/ - my-4" xr:uid="{17AC66B6-EC8B-964C-863A-413A6B6D7C66}"/>
    <hyperlink ref="F986" r:id="rId978" location="my-5" display="https://zeke.github.io/primer-cheatsheet/ - my-5" xr:uid="{6209ED3F-4DEE-4D47-9702-F32FB13E181E}"/>
    <hyperlink ref="F987" r:id="rId979" location="my-6" display="https://zeke.github.io/primer-cheatsheet/ - my-6" xr:uid="{64C9729B-EBB0-FB43-A373-AD72DCA6864D}"/>
    <hyperlink ref="F988" r:id="rId980" location="my-7" display="https://zeke.github.io/primer-cheatsheet/ - my-7" xr:uid="{BF598358-16B7-0647-AB1C-3A8A1638397C}"/>
    <hyperlink ref="F989" r:id="rId981" location="my-8" display="https://zeke.github.io/primer-cheatsheet/ - my-8" xr:uid="{15505DC3-692A-2D43-B8D6-298703EB87F1}"/>
    <hyperlink ref="F990" r:id="rId982" location="my-9" display="https://zeke.github.io/primer-cheatsheet/ - my-9" xr:uid="{7ED419F7-D349-8D4B-BAE3-DAEE88DB7E39}"/>
    <hyperlink ref="F991" r:id="rId983" location="no-underline" display="https://zeke.github.io/primer-cheatsheet/ - no-underline" xr:uid="{466AD24A-3960-1C4F-A6A5-1A2B2E2B118F}"/>
    <hyperlink ref="F992" r:id="rId984" location="no-wrap" display="https://zeke.github.io/primer-cheatsheet/ - no-wrap" xr:uid="{BBE8A0CE-5125-F94F-AD49-D5682E0B96CC}"/>
    <hyperlink ref="F993" r:id="rId985" location="note" display="https://zeke.github.io/primer-cheatsheet/ - note" xr:uid="{E62F3B48-EE15-9E48-AA96-6AD038F72B46}"/>
    <hyperlink ref="F994" r:id="rId986" location="note-spinner" display="https://zeke.github.io/primer-cheatsheet/ - note-spinner" xr:uid="{4E429330-1D83-AA4E-A37D-7ECE0442A16C}"/>
    <hyperlink ref="F995" r:id="rId987" location="octicon" display="https://zeke.github.io/primer-cheatsheet/ - octicon" xr:uid="{833CDDD2-FB52-6142-96CB-5FBC5A900A18}"/>
    <hyperlink ref="F996" r:id="rId988" location="octicon" display="https://zeke.github.io/primer-cheatsheet/ - octicon" xr:uid="{0677ACBD-8E3B-BE44-A92C-5107049F5E5B}"/>
    <hyperlink ref="F997" r:id="rId989" location="offset-1" display="https://zeke.github.io/primer-cheatsheet/ - offset-1" xr:uid="{BA59D88B-7821-AC4A-AE2A-54F9EDBFABB6}"/>
    <hyperlink ref="F998" r:id="rId990" location="offset-10" display="https://zeke.github.io/primer-cheatsheet/ - offset-10" xr:uid="{32D2E61F-3548-BE46-9850-FA3CF892BF20}"/>
    <hyperlink ref="F999" r:id="rId991" location="offset-11" display="https://zeke.github.io/primer-cheatsheet/ - offset-11" xr:uid="{5CE7B2A4-A176-4845-971E-5F0E3DBE1E1E}"/>
    <hyperlink ref="F1000" r:id="rId992" location="offset-2" display="https://zeke.github.io/primer-cheatsheet/ - offset-2" xr:uid="{8E279DAD-59E8-8044-B86B-1FD6EED6624E}"/>
    <hyperlink ref="F1001" r:id="rId993" location="offset-3" display="https://zeke.github.io/primer-cheatsheet/ - offset-3" xr:uid="{2586FE9E-8D10-4048-B1F7-CE1D9F7B9511}"/>
    <hyperlink ref="F1002" r:id="rId994" location="offset-4" display="https://zeke.github.io/primer-cheatsheet/ - offset-4" xr:uid="{B0AA619E-4890-AA4D-AB2E-3B330271A14A}"/>
    <hyperlink ref="F1003" r:id="rId995" location="offset-5" display="https://zeke.github.io/primer-cheatsheet/ - offset-5" xr:uid="{AE971833-40AB-5D44-B160-EBB884BECC77}"/>
    <hyperlink ref="F1004" r:id="rId996" location="offset-6" display="https://zeke.github.io/primer-cheatsheet/ - offset-6" xr:uid="{4088ACA0-473C-5D44-8DD2-E4BE79B308BE}"/>
    <hyperlink ref="F1005" r:id="rId997" location="offset-7" display="https://zeke.github.io/primer-cheatsheet/ - offset-7" xr:uid="{E6B8A45F-43FA-4140-B9F4-FC1C3242A787}"/>
    <hyperlink ref="F1006" r:id="rId998" location="offset-8" display="https://zeke.github.io/primer-cheatsheet/ - offset-8" xr:uid="{0AA0B4D6-B2D5-194F-8756-02C448EA11CF}"/>
    <hyperlink ref="F1007" r:id="rId999" location="offset-9" display="https://zeke.github.io/primer-cheatsheet/ - offset-9" xr:uid="{E45140FA-F869-0048-8EA9-757CECF0D138}"/>
    <hyperlink ref="F1008" r:id="rId1000" location="offset-n1" display="https://zeke.github.io/primer-cheatsheet/ - offset-n1" xr:uid="{10C893D9-DA22-B84D-BC84-5EA09CCFF1C7}"/>
    <hyperlink ref="F1009" r:id="rId1001" location="offset-n2" display="https://zeke.github.io/primer-cheatsheet/ - offset-n2" xr:uid="{27520C0C-66DF-AD4C-86A0-815ACB91D8B9}"/>
    <hyperlink ref="F1010" r:id="rId1002" location="offset-n3" display="https://zeke.github.io/primer-cheatsheet/ - offset-n3" xr:uid="{C746A97C-7F07-1E40-A86B-09DA998FFEAF}"/>
    <hyperlink ref="F1011" r:id="rId1003" location="offset-n4" display="https://zeke.github.io/primer-cheatsheet/ - offset-n4" xr:uid="{DAA24BF9-6ED2-B94F-B4FC-4B0AF7550FF2}"/>
    <hyperlink ref="F1012" r:id="rId1004" location="offset-n5" display="https://zeke.github.io/primer-cheatsheet/ - offset-n5" xr:uid="{93526F31-A7AE-CA45-99CA-42212651DB4F}"/>
    <hyperlink ref="F1013" r:id="rId1005" location="offset-n6" display="https://zeke.github.io/primer-cheatsheet/ - offset-n6" xr:uid="{3E98B97E-7227-8841-8DBA-1086E7355C37}"/>
    <hyperlink ref="F1014" r:id="rId1006" location="offset-n7" display="https://zeke.github.io/primer-cheatsheet/ - offset-n7" xr:uid="{FB3238F4-FB69-5840-823C-474F06D8BFDB}"/>
    <hyperlink ref="F1015" r:id="rId1007" location="overflow-auto" display="https://zeke.github.io/primer-cheatsheet/ - overflow-auto" xr:uid="{A27C65AA-0050-A248-99F8-C0085A56A13C}"/>
    <hyperlink ref="F1016" r:id="rId1008" location="overflow-hidden" display="https://zeke.github.io/primer-cheatsheet/ - overflow-hidden" xr:uid="{E818CE6A-4C35-4F44-9750-6069A150B487}"/>
    <hyperlink ref="F1017" r:id="rId1009" location="overflow-scroll" display="https://zeke.github.io/primer-cheatsheet/ - overflow-scroll" xr:uid="{AB721EC0-01E0-E34F-B86B-21140B41F584}"/>
    <hyperlink ref="F1018" r:id="rId1010" location="overflow-visible" display="https://zeke.github.io/primer-cheatsheet/ - overflow-visible" xr:uid="{9177CD7E-AE2B-5248-A539-01A5D0224588}"/>
    <hyperlink ref="F1019" r:id="rId1011" location="overflow-x-auto" display="https://zeke.github.io/primer-cheatsheet/ - overflow-x-auto" xr:uid="{E8956A74-3ED0-8C4F-AD73-5E5D22610572}"/>
    <hyperlink ref="F1020" r:id="rId1012" location="overflow-x-hidden" display="https://zeke.github.io/primer-cheatsheet/ - overflow-x-hidden" xr:uid="{A9D20B4F-E43E-874E-B69F-298E8BEF2F3E}"/>
    <hyperlink ref="F1021" r:id="rId1013" location="overflow-x-scroll" display="https://zeke.github.io/primer-cheatsheet/ - overflow-x-scroll" xr:uid="{9508C178-D49C-3C43-98C9-A72D3D0E732B}"/>
    <hyperlink ref="F1022" r:id="rId1014" location="overflow-x-visible" display="https://zeke.github.io/primer-cheatsheet/ - overflow-x-visible" xr:uid="{68A1071F-F1B3-984F-B0D2-DB03E1D724E8}"/>
    <hyperlink ref="F1023" r:id="rId1015" location="overflow-y-auto" display="https://zeke.github.io/primer-cheatsheet/ - overflow-y-auto" xr:uid="{B9960B99-3B49-F04B-96CE-72D34E871964}"/>
    <hyperlink ref="F1024" r:id="rId1016" location="overflow-y-hidden" display="https://zeke.github.io/primer-cheatsheet/ - overflow-y-hidden" xr:uid="{3FA7AE60-C7A7-BC43-A686-6E9701911075}"/>
    <hyperlink ref="F1025" r:id="rId1017" location="overflow-y-scroll" display="https://zeke.github.io/primer-cheatsheet/ - overflow-y-scroll" xr:uid="{10569B3A-0A4F-2241-8519-25DBDE464963}"/>
    <hyperlink ref="F1026" r:id="rId1018" location="overflow-y-visible" display="https://zeke.github.io/primer-cheatsheet/ - overflow-y-visible" xr:uid="{863AAF1D-7787-B742-A0AA-2EC74310DD8A}"/>
    <hyperlink ref="F1027" r:id="rId1019" location="p-0" display="https://zeke.github.io/primer-cheatsheet/ - p-0" xr:uid="{ACCE9232-57C7-4E4B-AD55-5AEE16DFF125}"/>
    <hyperlink ref="F1028" r:id="rId1020" location="p-1" display="https://zeke.github.io/primer-cheatsheet/ - p-1" xr:uid="{F70BDC26-CAB6-6742-A921-5BCB5DB1327F}"/>
    <hyperlink ref="F1029" r:id="rId1021" location="p-10" display="https://zeke.github.io/primer-cheatsheet/ - p-10" xr:uid="{52977655-7F21-B441-B3E3-A3A8B6ED8BEC}"/>
    <hyperlink ref="F1030" r:id="rId1022" location="p-11" display="https://zeke.github.io/primer-cheatsheet/ - p-11" xr:uid="{15DABF12-AC6C-7B48-B34A-246CD54BD029}"/>
    <hyperlink ref="F1031" r:id="rId1023" location="p-12" display="https://zeke.github.io/primer-cheatsheet/ - p-12" xr:uid="{648DACCD-6069-5F4B-B55C-85AACE5345ED}"/>
    <hyperlink ref="F1032" r:id="rId1024" location="p-2" display="https://zeke.github.io/primer-cheatsheet/ - p-2" xr:uid="{20762BEF-9B6B-7D48-A492-78C0B1050538}"/>
    <hyperlink ref="F1033" r:id="rId1025" location="p-3" display="https://zeke.github.io/primer-cheatsheet/ - p-3" xr:uid="{4C708229-B2E0-6D45-B7FE-756A35F69F3E}"/>
    <hyperlink ref="F1034" r:id="rId1026" location="p-4" display="https://zeke.github.io/primer-cheatsheet/ - p-4" xr:uid="{73ED1993-4909-AF43-B40D-DBD8BDB45D22}"/>
    <hyperlink ref="F1035" r:id="rId1027" location="p-5" display="https://zeke.github.io/primer-cheatsheet/ - p-5" xr:uid="{C20F9841-F7AD-014E-B1D1-F05BB66B1AC0}"/>
    <hyperlink ref="F1036" r:id="rId1028" location="p-6" display="https://zeke.github.io/primer-cheatsheet/ - p-6" xr:uid="{EC7C0D99-35BC-C142-A523-AF842CAEB01C}"/>
    <hyperlink ref="F1037" r:id="rId1029" location="p-7" display="https://zeke.github.io/primer-cheatsheet/ - p-7" xr:uid="{6FC9E381-51AF-E54F-9D89-C9B453B0A131}"/>
    <hyperlink ref="F1038" r:id="rId1030" location="p-8" display="https://zeke.github.io/primer-cheatsheet/ - p-8" xr:uid="{08BABC76-31E3-DE47-A2B0-025AE8276B07}"/>
    <hyperlink ref="F1039" r:id="rId1031" location="p-9" display="https://zeke.github.io/primer-cheatsheet/ - p-9" xr:uid="{29CC272B-9A73-404B-9D2C-482BA7F826B6}"/>
    <hyperlink ref="F1040" r:id="rId1032" location="p-responsive" display="https://zeke.github.io/primer-cheatsheet/ - p-responsive" xr:uid="{A0BC6C17-3446-9D44-9CD4-1FB0A5F20B37}"/>
    <hyperlink ref="F1041" r:id="rId1033" location="paginate-container" display="https://zeke.github.io/primer-cheatsheet/ - paginate-container" xr:uid="{EFD2B5E8-A770-FD4E-A1C4-D6C9C0B4C4E3}"/>
    <hyperlink ref="F1042" r:id="rId1034" location="paginate-container-pagination" display="https://zeke.github.io/primer-cheatsheet/ - paginate-container-pagination" xr:uid="{121675CC-E3A5-C34F-B447-0EC78DB3E604}"/>
    <hyperlink ref="F1043" r:id="rId1035" location="pagination-current" display="https://zeke.github.io/primer-cheatsheet/ - pagination-current" xr:uid="{956DBF42-E029-2E45-9191-D761A66FA482}"/>
    <hyperlink ref="F1044" r:id="rId1036" location="pagination-gap" display="https://zeke.github.io/primer-cheatsheet/ - pagination-gap" xr:uid="{5873498C-F053-8642-ABAE-3B6C8FD521ED}"/>
    <hyperlink ref="F1045" r:id="rId1037" location="pagination-selected" display="https://zeke.github.io/primer-cheatsheet/ - pagination-selected" xr:uid="{B3C8ACD5-058C-8D4A-8955-1422E0D0973E}"/>
    <hyperlink ref="F1049" r:id="rId1038" location="pagination-a" display="https://zeke.github.io/primer-cheatsheet/ - pagination-a" xr:uid="{B60A7F57-2838-A743-8E99-321BA2812193}"/>
    <hyperlink ref="F1046" r:id="rId1039" location="pagination-a-first-child" display="https://zeke.github.io/primer-cheatsheet/ - pagination-a-first-child" xr:uid="{74361187-7B74-2B4E-87AC-6D1A0D5ECD0B}"/>
    <hyperlink ref="F1047" r:id="rId1040" location="pagination-a-hover" display="https://zeke.github.io/primer-cheatsheet/ - pagination-a-hover" xr:uid="{AABBB348-089E-904F-AA6C-C84AF1092E20}"/>
    <hyperlink ref="F1048" r:id="rId1041" location="pagination-a-last-child" display="https://zeke.github.io/primer-cheatsheet/ - pagination-a-last-child" xr:uid="{EFE10FB6-5A10-AC40-BDB9-C5459D075E2C}"/>
    <hyperlink ref="F1050" r:id="rId1042" location="pagination-after" display="https://zeke.github.io/primer-cheatsheet/ - pagination-after" xr:uid="{7A3FBF5D-8109-144B-BD26-39ECAA2F6EE4}"/>
    <hyperlink ref="F1051" r:id="rId1043" location="pagination-before" display="https://zeke.github.io/primer-cheatsheet/ - pagination-before" xr:uid="{5655B204-EBB8-844D-A437-A8B955F3714A}"/>
    <hyperlink ref="F1052" r:id="rId1044" location="pb-0" display="https://zeke.github.io/primer-cheatsheet/ - pb-0" xr:uid="{E14FB1A3-7A5A-A14D-855B-134257574B0B}"/>
    <hyperlink ref="F1053" r:id="rId1045" location="pb-1" display="https://zeke.github.io/primer-cheatsheet/ - pb-1" xr:uid="{38AA6DBE-62AA-1341-879F-506768286C39}"/>
    <hyperlink ref="F1054" r:id="rId1046" location="pb-10" display="https://zeke.github.io/primer-cheatsheet/ - pb-10" xr:uid="{EA5E9B38-6396-DF48-865F-CB7D0A9E0EA4}"/>
    <hyperlink ref="F1055" r:id="rId1047" location="pb-11" display="https://zeke.github.io/primer-cheatsheet/ - pb-11" xr:uid="{3554302F-9ACE-3148-80E3-DA1F1CA7BC32}"/>
    <hyperlink ref="F1056" r:id="rId1048" location="pb-12" display="https://zeke.github.io/primer-cheatsheet/ - pb-12" xr:uid="{97900918-269F-E447-BDEA-D887504C9540}"/>
    <hyperlink ref="F1057" r:id="rId1049" location="pb-2" display="https://zeke.github.io/primer-cheatsheet/ - pb-2" xr:uid="{6EE716A7-4048-DB48-AC64-C484A321BD14}"/>
    <hyperlink ref="F1058" r:id="rId1050" location="pb-3" display="https://zeke.github.io/primer-cheatsheet/ - pb-3" xr:uid="{6BAFDF2A-92A2-1C4F-8A41-50C7CBC173B0}"/>
    <hyperlink ref="F1059" r:id="rId1051" location="pb-4" display="https://zeke.github.io/primer-cheatsheet/ - pb-4" xr:uid="{573C6ECA-E806-4441-8ECF-5434197F8B44}"/>
    <hyperlink ref="F1060" r:id="rId1052" location="pb-5" display="https://zeke.github.io/primer-cheatsheet/ - pb-5" xr:uid="{E5F9B8C0-9343-EC4B-840A-7159988E1AC3}"/>
    <hyperlink ref="F1061" r:id="rId1053" location="pb-6" display="https://zeke.github.io/primer-cheatsheet/ - pb-6" xr:uid="{C3CAB940-E5F1-AC41-9714-205BDC2009F2}"/>
    <hyperlink ref="F1062" r:id="rId1054" location="pb-7" display="https://zeke.github.io/primer-cheatsheet/ - pb-7" xr:uid="{065B1797-0C7A-B84C-A95A-95284DEB488A}"/>
    <hyperlink ref="F1063" r:id="rId1055" location="pb-8" display="https://zeke.github.io/primer-cheatsheet/ - pb-8" xr:uid="{D89224D4-B1BC-2D47-B976-EAC9B6242657}"/>
    <hyperlink ref="F1064" r:id="rId1056" location="pb-9" display="https://zeke.github.io/primer-cheatsheet/ - pb-9" xr:uid="{959D4B7D-581D-E04D-BA40-46A6D49F1D77}"/>
    <hyperlink ref="F1065" r:id="rId1057" location="pl-0" display="https://zeke.github.io/primer-cheatsheet/ - pl-0" xr:uid="{BC99E285-BDCB-F448-8AD7-B5735BD73C73}"/>
    <hyperlink ref="F1066" r:id="rId1058" location="pl-1" display="https://zeke.github.io/primer-cheatsheet/ - pl-1" xr:uid="{D65DC26F-69C4-3E48-BA17-3AAB2459B6D8}"/>
    <hyperlink ref="F1067" r:id="rId1059" location="pl-10" display="https://zeke.github.io/primer-cheatsheet/ - pl-10" xr:uid="{88249FBA-E49C-5343-A3A0-D7778BB10554}"/>
    <hyperlink ref="F1068" r:id="rId1060" location="pl-11" display="https://zeke.github.io/primer-cheatsheet/ - pl-11" xr:uid="{2D8A9CD2-37CC-F94A-ACF6-18CBC4247350}"/>
    <hyperlink ref="F1069" r:id="rId1061" location="pl-12" display="https://zeke.github.io/primer-cheatsheet/ - pl-12" xr:uid="{9F602945-8224-B84C-9F79-6E7A235E3232}"/>
    <hyperlink ref="F1070" r:id="rId1062" location="pl-2" display="https://zeke.github.io/primer-cheatsheet/ - pl-2" xr:uid="{43AD3D37-C2B3-EF40-ADA3-EA61D70F07D5}"/>
    <hyperlink ref="F1071" r:id="rId1063" location="pl-3" display="https://zeke.github.io/primer-cheatsheet/ - pl-3" xr:uid="{40E59276-6914-8E42-92C3-85D7454542A1}"/>
    <hyperlink ref="F1072" r:id="rId1064" location="pl-4" display="https://zeke.github.io/primer-cheatsheet/ - pl-4" xr:uid="{A38004AC-AD63-6E44-ABE5-977A4D9FB2F4}"/>
    <hyperlink ref="F1073" r:id="rId1065" location="pl-5" display="https://zeke.github.io/primer-cheatsheet/ - pl-5" xr:uid="{9E126033-46F5-3740-901B-EE7E97692B65}"/>
    <hyperlink ref="F1074" r:id="rId1066" location="pl-6" display="https://zeke.github.io/primer-cheatsheet/ - pl-6" xr:uid="{455C5C74-01F7-8143-9845-726E5E12E1D9}"/>
    <hyperlink ref="F1075" r:id="rId1067" location="pl-7" display="https://zeke.github.io/primer-cheatsheet/ - pl-7" xr:uid="{C132A42F-429F-A44C-AE3C-8726FA1D657C}"/>
    <hyperlink ref="F1076" r:id="rId1068" location="pl-8" display="https://zeke.github.io/primer-cheatsheet/ - pl-8" xr:uid="{A50CCDCB-90E4-A348-9700-ADBFE64507E5}"/>
    <hyperlink ref="F1077" r:id="rId1069" location="pl-9" display="https://zeke.github.io/primer-cheatsheet/ - pl-9" xr:uid="{C41C8403-8A0A-6244-BE04-B9505B173621}"/>
    <hyperlink ref="F1078" r:id="rId1070" location="popover" display="https://zeke.github.io/primer-cheatsheet/ - popover" xr:uid="{23709D31-0B6E-ED4A-B0AC-8D31C7B9FBA0}"/>
    <hyperlink ref="F1079" r:id="rId1071" location="popover-message" display="https://zeke.github.io/primer-cheatsheet/ - popover-message" xr:uid="{54606921-FDA5-2142-BFF2-D62A179C428F}"/>
    <hyperlink ref="F1080" r:id="rId1072" location="popover-message-bottom-after" display="https://zeke.github.io/primer-cheatsheet/ - popover-message-bottom-after" xr:uid="{42DAC408-3DBA-7648-8AFF-F6ECA2C1061F}"/>
    <hyperlink ref="F1082" r:id="rId1073" location="popover-message-bottom-before" display="https://zeke.github.io/primer-cheatsheet/ - popover-message-bottom-before" xr:uid="{60581684-BF53-E948-98BC-2EB976E85ACD}"/>
    <hyperlink ref="F1081" r:id="rId1074" location="popover-message-bottom-before" display="https://zeke.github.io/primer-cheatsheet/ - popover-message-bottom-before" xr:uid="{C3A4EFD2-E365-4146-923A-4105BE835422}"/>
    <hyperlink ref="F1083" r:id="rId1075" location="popover-message-left-after" display="https://zeke.github.io/primer-cheatsheet/ - popover-message-left-after" xr:uid="{87963B07-72F7-4747-A671-57174CC85243}"/>
    <hyperlink ref="F1084" r:id="rId1076" location="popover-message-left-before" display="https://zeke.github.io/primer-cheatsheet/ - popover-message-left-before" xr:uid="{30C62CE5-D42F-0E4A-A390-D9677D989599}"/>
    <hyperlink ref="F1085" r:id="rId1077" location="popover-message-right-bottom-after" display="https://zeke.github.io/primer-cheatsheet/ - popover-message-right-bottom-after" xr:uid="{96A9BB5E-D1F0-9E47-9CE5-8E8684AFE66A}"/>
    <hyperlink ref="F1087" r:id="rId1078" location="popover-message-right-bottom-before" display="https://zeke.github.io/primer-cheatsheet/ - popover-message-right-bottom-before" xr:uid="{F76086DB-0375-1347-8816-2DFD49F21980}"/>
    <hyperlink ref="F1086" r:id="rId1079" location="popover-message-right-bottom-before" display="https://zeke.github.io/primer-cheatsheet/ - popover-message-right-bottom-before" xr:uid="{9A47F7D1-E046-6145-B5EC-7640149FE99A}"/>
    <hyperlink ref="F1088" r:id="rId1080" location="popover-message-right-top-before" display="https://zeke.github.io/primer-cheatsheet/ - popover-message-right-top-before" xr:uid="{6AB2ED28-2E8F-6443-98EA-AF81FC7FDE83}"/>
    <hyperlink ref="F1090" r:id="rId1081" location="popover-message-right-after" display="https://zeke.github.io/primer-cheatsheet/ - popover-message-right-after" xr:uid="{D1918802-A6A5-574D-B245-983ECCDC951B}"/>
    <hyperlink ref="F1089" r:id="rId1082" location="popover-message-right-after" display="https://zeke.github.io/primer-cheatsheet/ - popover-message-right-after" xr:uid="{CBD7996A-272E-1A4F-8A68-E3450742D996}"/>
    <hyperlink ref="F1093" r:id="rId1083" location="popover-message-right-before" display="https://zeke.github.io/primer-cheatsheet/ - popover-message-right-before" xr:uid="{9F4C8F51-4C9F-EF4B-928E-62D88CDD7D73}"/>
    <hyperlink ref="F1092" r:id="rId1084" location="popover-message-right-before" display="https://zeke.github.io/primer-cheatsheet/ - popover-message-right-before" xr:uid="{B4C14883-4C84-184B-B562-718847C1F69F}"/>
    <hyperlink ref="F1091" r:id="rId1085" location="popover-message-right-before" display="https://zeke.github.io/primer-cheatsheet/ - popover-message-right-before" xr:uid="{012D9822-CDA6-BB48-A9C0-57031CE66CAF}"/>
    <hyperlink ref="F1096" r:id="rId1086" location="popover-message-top-left" display="https://zeke.github.io/primer-cheatsheet/ - popover-message-top-left" xr:uid="{E35A686B-35ED-3B4F-8B6B-E9D939104195}"/>
    <hyperlink ref="F1094" r:id="rId1087" location="popover-message-top-left-after" display="https://zeke.github.io/primer-cheatsheet/ - popover-message-top-left-after" xr:uid="{26CAA646-6D45-884D-BE89-2188268F9B6F}"/>
    <hyperlink ref="F1095" r:id="rId1088" location="popover-message-top-left-before" display="https://zeke.github.io/primer-cheatsheet/ - popover-message-top-left-before" xr:uid="{57DB1D19-5E26-EF42-A507-7BBD924278BC}"/>
    <hyperlink ref="F1100" r:id="rId1089" location="popover-message-top-right" display="https://zeke.github.io/primer-cheatsheet/ - popover-message-top-right" xr:uid="{C6F7E8BB-C090-1640-A06C-6426BD82C7D7}"/>
    <hyperlink ref="F1097" r:id="rId1090" location="popover-message-top-right-after" display="https://zeke.github.io/primer-cheatsheet/ - popover-message-top-right-after" xr:uid="{3D21B66A-B08B-5B42-BC9C-4E0A3FECBEC6}"/>
    <hyperlink ref="F1099" r:id="rId1091" location="popover-message-top-right-before" display="https://zeke.github.io/primer-cheatsheet/ - popover-message-top-right-before" xr:uid="{208BD47A-4286-464A-A98E-8108713A5B26}"/>
    <hyperlink ref="F1098" r:id="rId1092" location="popover-message-top-right-before" display="https://zeke.github.io/primer-cheatsheet/ - popover-message-top-right-before" xr:uid="{9E767EF3-F7A5-8142-89DB-EA921ABE5088}"/>
    <hyperlink ref="F1101" r:id="rId1093" location="popover-message-after" display="https://zeke.github.io/primer-cheatsheet/ - popover-message-after" xr:uid="{37305D10-D55D-CC48-A1DD-4734E70BE204}"/>
    <hyperlink ref="F1103" r:id="rId1094" location="popover-message-before" display="https://zeke.github.io/primer-cheatsheet/ - popover-message-before" xr:uid="{9E7886A4-74D0-7244-8651-512D5F2A68C5}"/>
    <hyperlink ref="F1102" r:id="rId1095" location="popover-message-before" display="https://zeke.github.io/primer-cheatsheet/ - popover-message-before" xr:uid="{E9CEE4CE-5A6B-A041-9120-7613F07CD47E}"/>
    <hyperlink ref="F1104" r:id="rId1096" location="position-absolute" display="https://zeke.github.io/primer-cheatsheet/ - position-absolute" xr:uid="{D546C33A-FD32-0845-B90A-956FBA14D0ED}"/>
    <hyperlink ref="F1105" r:id="rId1097" location="position-fixed" display="https://zeke.github.io/primer-cheatsheet/ - position-fixed" xr:uid="{FBF10775-7549-A64D-A25F-5F3D91C1B1D8}"/>
    <hyperlink ref="F1106" r:id="rId1098" location="position-relative" display="https://zeke.github.io/primer-cheatsheet/ - position-relative" xr:uid="{4A5FA16B-4FDE-FC43-8BA6-E857B40A04C9}"/>
    <hyperlink ref="F1107" r:id="rId1099" location="position-static" display="https://zeke.github.io/primer-cheatsheet/ - position-static" xr:uid="{5B6022F8-26F2-1048-AB4D-585117CC133A}"/>
    <hyperlink ref="F1108" r:id="rId1100" location="position-sticky" display="https://zeke.github.io/primer-cheatsheet/ - position-sticky" xr:uid="{E7273DA9-BF45-FF4E-B9E3-1A8527703040}"/>
    <hyperlink ref="F1109" r:id="rId1101" location="pr-0" display="https://zeke.github.io/primer-cheatsheet/ - pr-0" xr:uid="{9D40CFB1-F93D-A14D-8AC7-DCBA7C276CB6}"/>
    <hyperlink ref="F1110" r:id="rId1102" location="pr-1" display="https://zeke.github.io/primer-cheatsheet/ - pr-1" xr:uid="{4E0FBF91-2CAD-724A-87DC-0991F6756340}"/>
    <hyperlink ref="F1111" r:id="rId1103" location="pr-10" display="https://zeke.github.io/primer-cheatsheet/ - pr-10" xr:uid="{03657DCD-7FDE-B344-9550-6ABDB65B161C}"/>
    <hyperlink ref="F1112" r:id="rId1104" location="pr-11" display="https://zeke.github.io/primer-cheatsheet/ - pr-11" xr:uid="{E36850BB-9B49-2849-BBB0-68B11B58BB68}"/>
    <hyperlink ref="F1113" r:id="rId1105" location="pr-12" display="https://zeke.github.io/primer-cheatsheet/ - pr-12" xr:uid="{F62BD094-E5F8-854B-88F9-87C5675C2E5B}"/>
    <hyperlink ref="F1114" r:id="rId1106" location="pr-2" display="https://zeke.github.io/primer-cheatsheet/ - pr-2" xr:uid="{BDA985D7-8F10-B747-BF0D-D8EA99537895}"/>
    <hyperlink ref="F1115" r:id="rId1107" location="pr-3" display="https://zeke.github.io/primer-cheatsheet/ - pr-3" xr:uid="{3897EBB6-917E-0F46-A5FA-D9798575147E}"/>
    <hyperlink ref="F1116" r:id="rId1108" location="pr-4" display="https://zeke.github.io/primer-cheatsheet/ - pr-4" xr:uid="{6F4E6EF6-C352-2446-8936-AA9C8EF627B9}"/>
    <hyperlink ref="F1117" r:id="rId1109" location="pr-5" display="https://zeke.github.io/primer-cheatsheet/ - pr-5" xr:uid="{C642D5EC-1318-DE4E-84B7-7B72BF68AF24}"/>
    <hyperlink ref="F1118" r:id="rId1110" location="pr-6" display="https://zeke.github.io/primer-cheatsheet/ - pr-6" xr:uid="{488FF0C3-A068-6F45-A52B-C0A7CB6423C2}"/>
    <hyperlink ref="F1119" r:id="rId1111" location="pr-7" display="https://zeke.github.io/primer-cheatsheet/ - pr-7" xr:uid="{405DBD07-4DBF-0941-A2D7-FE4F72F83E63}"/>
    <hyperlink ref="F1120" r:id="rId1112" location="pr-8" display="https://zeke.github.io/primer-cheatsheet/ - pr-8" xr:uid="{FEB378D5-D2BE-914B-9F2A-BB2E4E01D662}"/>
    <hyperlink ref="F1121" r:id="rId1113" location="pr-9" display="https://zeke.github.io/primer-cheatsheet/ - pr-9" xr:uid="{08FA4F73-74D7-144C-8DEF-D5977B2E0E8A}"/>
    <hyperlink ref="F1122" r:id="rId1114" location="previewable-comment-form" display="https://zeke.github.io/primer-cheatsheet/ - previewable-comment-form" xr:uid="{5FF2B48C-F76F-4048-94F8-C0DE149A6DF1}"/>
    <hyperlink ref="F1123" r:id="rId1115" location="previewable-comment-form-comment" display="https://zeke.github.io/primer-cheatsheet/ - previewable-comment-form-comment" xr:uid="{4D3F6876-AC09-CA4E-B1A1-9A2394920ED2}"/>
    <hyperlink ref="F1124" r:id="rId1116" location="previewable-comment-form-comment-form-error" display="https://zeke.github.io/primer-cheatsheet/ - previewable-comment-form-comment-form-error" xr:uid="{D8C9725B-585B-014A-9404-F39511079C15}"/>
    <hyperlink ref="F1125" r:id="rId1117" location="previewable-comment-form-tabnav" display="https://zeke.github.io/primer-cheatsheet/ - previewable-comment-form-tabnav" xr:uid="{5F84FABC-31C1-EC40-A86F-3BC4A9639D59}"/>
    <hyperlink ref="F1126" r:id="rId1118" location="previewable-comment-form-write-content" display="https://zeke.github.io/primer-cheatsheet/ - previewable-comment-form-write-content" xr:uid="{F15A6B74-5C12-5546-B516-0BC972189F43}"/>
    <hyperlink ref="F1127" r:id="rId1119" location="previewable-comment-form-textarea" display="https://zeke.github.io/primer-cheatsheet/ - previewable-comment-form-textarea" xr:uid="{6DD7335C-1918-DC4E-A0F1-E7027A85DB1C}"/>
    <hyperlink ref="F1128" r:id="rId1120" location="previewable-comment-form-write-selected-write-content" display="https://zeke.github.io/primer-cheatsheet/ - previewable-comment-form-write-selected-write-content" xr:uid="{B9C3375A-C427-894A-9307-071843BCBFBA}"/>
    <hyperlink ref="F1129" r:id="rId1121" location="progress" display="https://zeke.github.io/primer-cheatsheet/ - progress" xr:uid="{0A3CF0C3-8E0C-3D4E-8C14-0E91A0496FE7}"/>
    <hyperlink ref="F1130" r:id="rId1122" location="progress-large" display="https://zeke.github.io/primer-cheatsheet/ - progress-large" xr:uid="{7F4DF81D-DF6B-1949-9F58-DE0B642CD213}"/>
    <hyperlink ref="F1131" r:id="rId1123" location="progress-small" display="https://zeke.github.io/primer-cheatsheet/ - progress-small" xr:uid="{9DB1B638-754C-2A41-A343-6AC51C4C1657}"/>
    <hyperlink ref="F1132" r:id="rId1124" location="pt-0" display="https://zeke.github.io/primer-cheatsheet/ - pt-0" xr:uid="{5A3DB248-EC7D-2F44-8C2E-D691344B74B1}"/>
    <hyperlink ref="F1133" r:id="rId1125" location="pt-1" display="https://zeke.github.io/primer-cheatsheet/ - pt-1" xr:uid="{A527C200-7B1B-0940-8C13-584A04C4667A}"/>
    <hyperlink ref="F1134" r:id="rId1126" location="pt-10" display="https://zeke.github.io/primer-cheatsheet/ - pt-10" xr:uid="{B88B450A-A769-C04B-8CB5-3DF88C6C6CFC}"/>
    <hyperlink ref="F1135" r:id="rId1127" location="pt-11" display="https://zeke.github.io/primer-cheatsheet/ - pt-11" xr:uid="{A8DEE6C3-AC11-254D-8229-8A48C088DE8A}"/>
    <hyperlink ref="F1136" r:id="rId1128" location="pt-12" display="https://zeke.github.io/primer-cheatsheet/ - pt-12" xr:uid="{6F00D97C-2D33-2146-ACC0-24A7E0C38BD7}"/>
    <hyperlink ref="F1137" r:id="rId1129" location="pt-2" display="https://zeke.github.io/primer-cheatsheet/ - pt-2" xr:uid="{3B622ACC-05F4-9743-8D34-55BD62B5F6BF}"/>
    <hyperlink ref="F1138" r:id="rId1130" location="pt-3" display="https://zeke.github.io/primer-cheatsheet/ - pt-3" xr:uid="{FA6DD774-188A-BA4A-A998-FDA1E36B9517}"/>
    <hyperlink ref="F1139" r:id="rId1131" location="pt-4" display="https://zeke.github.io/primer-cheatsheet/ - pt-4" xr:uid="{1171EE14-0BF0-DF48-B1DE-15E7C9BA46F6}"/>
    <hyperlink ref="F1140" r:id="rId1132" location="pt-5" display="https://zeke.github.io/primer-cheatsheet/ - pt-5" xr:uid="{D21C09D5-3F4C-EB4B-9EDF-089859FBA201}"/>
    <hyperlink ref="F1141" r:id="rId1133" location="pt-6" display="https://zeke.github.io/primer-cheatsheet/ - pt-6" xr:uid="{5E1511A5-826F-7148-BD0A-A684CAF86510}"/>
    <hyperlink ref="F1142" r:id="rId1134" location="pt-7" display="https://zeke.github.io/primer-cheatsheet/ - pt-7" xr:uid="{8ED946C4-7810-AD4E-89A1-79CFA0422954}"/>
    <hyperlink ref="F1143" r:id="rId1135" location="pt-8" display="https://zeke.github.io/primer-cheatsheet/ - pt-8" xr:uid="{2B69B18D-AEF1-1E41-9536-09FC71C0E919}"/>
    <hyperlink ref="F1144" r:id="rId1136" location="pt-9" display="https://zeke.github.io/primer-cheatsheet/ - pt-9" xr:uid="{F1F0CAAF-5284-8D4A-8432-DD59D09A9B31}"/>
    <hyperlink ref="F1145" r:id="rId1137" location="pullquote" display="https://zeke.github.io/primer-cheatsheet/ - pullquote" xr:uid="{4EBF55F1-C8B5-E94E-B1A5-9863C4C550F9}"/>
    <hyperlink ref="F1146" r:id="rId1138" location="px-0" display="https://zeke.github.io/primer-cheatsheet/ - px-0" xr:uid="{E8FD5E01-A038-A24E-AC3B-7A443770E7A3}"/>
    <hyperlink ref="F1147" r:id="rId1139" location="px-1" display="https://zeke.github.io/primer-cheatsheet/ - px-1" xr:uid="{2C31A7D3-4A8D-434F-B5CE-8EC766016544}"/>
    <hyperlink ref="F1148" r:id="rId1140" location="px-2" display="https://zeke.github.io/primer-cheatsheet/ - px-2" xr:uid="{4E233C3C-D6C0-554B-9AB4-C00627594447}"/>
    <hyperlink ref="F1149" r:id="rId1141" location="px-3" display="https://zeke.github.io/primer-cheatsheet/ - px-3" xr:uid="{9E38F541-1BC4-D747-BE87-645072F3C2AD}"/>
    <hyperlink ref="F1150" r:id="rId1142" location="px-4" display="https://zeke.github.io/primer-cheatsheet/ - px-4" xr:uid="{AE55F18C-A1CE-0445-ACCB-396C03A62D4B}"/>
    <hyperlink ref="F1151" r:id="rId1143" location="px-5" display="https://zeke.github.io/primer-cheatsheet/ - px-5" xr:uid="{DFF77B92-AE01-EF45-9D2A-054323030635}"/>
    <hyperlink ref="F1152" r:id="rId1144" location="px-6" display="https://zeke.github.io/primer-cheatsheet/ - px-6" xr:uid="{A64F430C-D313-1B4B-86D0-0E083847164B}"/>
    <hyperlink ref="F1153" r:id="rId1145" location="py-0" display="https://zeke.github.io/primer-cheatsheet/ - py-0" xr:uid="{AD82DCF1-0859-064F-ABEA-CEACE3A0509F}"/>
    <hyperlink ref="F1154" r:id="rId1146" location="py-1" display="https://zeke.github.io/primer-cheatsheet/ - py-1" xr:uid="{3AE7E27F-F2D7-5845-8B83-D22D863266FF}"/>
    <hyperlink ref="F1155" r:id="rId1147" location="py-10" display="https://zeke.github.io/primer-cheatsheet/ - py-10" xr:uid="{1CDF826B-6C06-4546-95D5-8918F0A584B1}"/>
    <hyperlink ref="F1156" r:id="rId1148" location="py-11" display="https://zeke.github.io/primer-cheatsheet/ - py-11" xr:uid="{76B93FD0-7A65-1B41-A300-D609777D156E}"/>
    <hyperlink ref="F1157" r:id="rId1149" location="py-12" display="https://zeke.github.io/primer-cheatsheet/ - py-12" xr:uid="{C95150A9-8086-1C44-8D06-E480DADB34A4}"/>
    <hyperlink ref="F1158" r:id="rId1150" location="py-2" display="https://zeke.github.io/primer-cheatsheet/ - py-2" xr:uid="{24756BC7-B1F7-FF40-9551-CBB35126D4F1}"/>
    <hyperlink ref="F1159" r:id="rId1151" location="py-3" display="https://zeke.github.io/primer-cheatsheet/ - py-3" xr:uid="{60855F37-841A-E145-BB0D-EE035021F599}"/>
    <hyperlink ref="F1160" r:id="rId1152" location="py-4" display="https://zeke.github.io/primer-cheatsheet/ - py-4" xr:uid="{8ADD72A1-AF32-AD4B-B653-76798164A5D9}"/>
    <hyperlink ref="F1161" r:id="rId1153" location="py-5" display="https://zeke.github.io/primer-cheatsheet/ - py-5" xr:uid="{9D6AE5D0-648E-0C4C-ABF8-0BDF5358190F}"/>
    <hyperlink ref="F1162" r:id="rId1154" location="py-6" display="https://zeke.github.io/primer-cheatsheet/ - py-6" xr:uid="{A2B4FBFE-1A91-E140-B2F8-6A822020C376}"/>
    <hyperlink ref="F1163" r:id="rId1155" location="py-7" display="https://zeke.github.io/primer-cheatsheet/ - py-7" xr:uid="{492BAC68-5D0E-914A-B348-3A32DC55315C}"/>
    <hyperlink ref="F1164" r:id="rId1156" location="py-8" display="https://zeke.github.io/primer-cheatsheet/ - py-8" xr:uid="{68360F85-9D37-A443-91CC-681F6F46B1BB}"/>
    <hyperlink ref="F1165" r:id="rId1157" location="py-9" display="https://zeke.github.io/primer-cheatsheet/ - py-9" xr:uid="{A984C112-A7F6-F84B-99D9-5DE6BB40773D}"/>
    <hyperlink ref="F1166" r:id="rId1158" location="radio-group-after" display="https://zeke.github.io/primer-cheatsheet/ - radio-group-after" xr:uid="{CC56FCA9-6826-8441-ADFA-8ED4C1E55C9A}"/>
    <hyperlink ref="F1167" r:id="rId1159" location="radio-group-before" display="https://zeke.github.io/primer-cheatsheet/ - radio-group-before" xr:uid="{36066E50-ADF2-FC4A-9A85-3B590A849C6E}"/>
    <hyperlink ref="F1168" r:id="rId1160" location="radio-input" display="https://zeke.github.io/primer-cheatsheet/ - radio-input" xr:uid="{44DFB03B-3553-284C-96C0-BFA0CB22CE16}"/>
    <hyperlink ref="F1169" r:id="rId1161" location="radio-label" display="https://zeke.github.io/primer-cheatsheet/ - radio-label" xr:uid="{9D0756F7-88BC-B145-B376-07D1E0F68D82}"/>
    <hyperlink ref="F1170" r:id="rId1162" location="radio-label-first-of-type" display="https://zeke.github.io/primer-cheatsheet/ - radio-label-first-of-type" xr:uid="{FF5BE689-D0CD-624D-9A4C-A9DC169F76C4}"/>
    <hyperlink ref="F1171" r:id="rId1163" location="radio-label-last-of-type" display="https://zeke.github.io/primer-cheatsheet/ - radio-label-last-of-type" xr:uid="{FFF07830-9DE8-BA41-865D-6D68A59B741F}"/>
    <hyperlink ref="F1172" r:id="rId1164" location="right-0" display="https://zeke.github.io/primer-cheatsheet/ - right-0" xr:uid="{2FD853D7-F689-4046-A870-1194B37FD608}"/>
    <hyperlink ref="F1173" r:id="rId1165" location="right-0" display="https://zeke.github.io/primer-cheatsheet/ - right-0" xr:uid="{47ACCC7E-7738-4E4F-908F-8E7B0FEEC25F}"/>
    <hyperlink ref="F1174" r:id="rId1166" location="right-1" display="https://zeke.github.io/primer-cheatsheet/ - right-1" xr:uid="{F429C223-C676-1F47-80EA-578C038736F5}"/>
    <hyperlink ref="F1175" r:id="rId1167" location="right-10" display="https://zeke.github.io/primer-cheatsheet/ - right-10" xr:uid="{FA326ED0-9BD9-8144-8067-F64EC29C4E54}"/>
    <hyperlink ref="F1176" r:id="rId1168" location="right-11" display="https://zeke.github.io/primer-cheatsheet/ - right-11" xr:uid="{3F3D894A-CFAB-EC44-9637-24BC4E585F24}"/>
    <hyperlink ref="F1177" r:id="rId1169" location="right-12" display="https://zeke.github.io/primer-cheatsheet/ - right-12" xr:uid="{803C1376-582D-234A-A578-E528F6772C06}"/>
    <hyperlink ref="F1178" r:id="rId1170" location="right-2" display="https://zeke.github.io/primer-cheatsheet/ - right-2" xr:uid="{5E0F4765-A611-874F-AE95-B48400751082}"/>
    <hyperlink ref="F1179" r:id="rId1171" location="right-3" display="https://zeke.github.io/primer-cheatsheet/ - right-3" xr:uid="{8B4BAF77-A647-F540-B7E0-131C3D646947}"/>
    <hyperlink ref="F1180" r:id="rId1172" location="right-4" display="https://zeke.github.io/primer-cheatsheet/ - right-4" xr:uid="{238E4B20-72DB-9E42-AE1C-5AF89D412F17}"/>
    <hyperlink ref="F1181" r:id="rId1173" location="right-5" display="https://zeke.github.io/primer-cheatsheet/ - right-5" xr:uid="{C83025E0-4F64-A94E-A8F2-5E0C849424F0}"/>
    <hyperlink ref="F1182" r:id="rId1174" location="right-6" display="https://zeke.github.io/primer-cheatsheet/ - right-6" xr:uid="{23A48F5E-2793-494C-8B2B-55C4D1296013}"/>
    <hyperlink ref="F1183" r:id="rId1175" location="right-7" display="https://zeke.github.io/primer-cheatsheet/ - right-7" xr:uid="{F2946369-4FB4-6B47-AE3A-C2F704383DA4}"/>
    <hyperlink ref="F1184" r:id="rId1176" location="right-8" display="https://zeke.github.io/primer-cheatsheet/ - right-8" xr:uid="{72CB8AE7-7344-1745-89DB-B884AF197FCE}"/>
    <hyperlink ref="F1185" r:id="rId1177" location="right-9" display="https://zeke.github.io/primer-cheatsheet/ - right-9" xr:uid="{3A66FD1A-0E54-C646-9B1E-1BBE34CE04FF}"/>
    <hyperlink ref="F1186" r:id="rId1178" location="right-n0" display="https://zeke.github.io/primer-cheatsheet/ - right-n0" xr:uid="{AD70EF0A-8CFE-5044-8C11-85D3878B8067}"/>
    <hyperlink ref="F1187" r:id="rId1179" location="right-n1" display="https://zeke.github.io/primer-cheatsheet/ - right-n1" xr:uid="{48C0CF5D-2D5A-924B-B673-713972C5CEFF}"/>
    <hyperlink ref="F1188" r:id="rId1180" location="right-n10" display="https://zeke.github.io/primer-cheatsheet/ - right-n10" xr:uid="{F5C0D50F-E9E5-E34F-A4F9-90F340F553D5}"/>
    <hyperlink ref="F1189" r:id="rId1181" location="right-n11" display="https://zeke.github.io/primer-cheatsheet/ - right-n11" xr:uid="{B1E428BC-0FB1-284F-BEC9-234D04781E17}"/>
    <hyperlink ref="F1190" r:id="rId1182" location="right-n12" display="https://zeke.github.io/primer-cheatsheet/ - right-n12" xr:uid="{BFB72AC5-840A-074E-A57F-3476104BE88F}"/>
    <hyperlink ref="F1191" r:id="rId1183" location="right-n2" display="https://zeke.github.io/primer-cheatsheet/ - right-n2" xr:uid="{A649BF85-DC12-344E-A4EC-996AA1A26A65}"/>
    <hyperlink ref="F1192" r:id="rId1184" location="right-n3" display="https://zeke.github.io/primer-cheatsheet/ - right-n3" xr:uid="{3FBFE53A-11AC-EF4C-9F5F-F2BF5E267839}"/>
    <hyperlink ref="F1193" r:id="rId1185" location="right-n4" display="https://zeke.github.io/primer-cheatsheet/ - right-n4" xr:uid="{EB94B194-0906-F941-952C-AB6812629277}"/>
    <hyperlink ref="F1194" r:id="rId1186" location="right-n5" display="https://zeke.github.io/primer-cheatsheet/ - right-n5" xr:uid="{E416A68D-AE06-4341-9EF9-2174856567AF}"/>
    <hyperlink ref="F1195" r:id="rId1187" location="right-n6" display="https://zeke.github.io/primer-cheatsheet/ - right-n6" xr:uid="{94BA2F4D-E381-8049-97F3-52406D96F7CA}"/>
    <hyperlink ref="F1196" r:id="rId1188" location="right-n7" display="https://zeke.github.io/primer-cheatsheet/ - right-n7" xr:uid="{E4FD84B0-F45F-9647-B2A5-AF8EF306A04E}"/>
    <hyperlink ref="F1197" r:id="rId1189" location="right-n8" display="https://zeke.github.io/primer-cheatsheet/ - right-n8" xr:uid="{4F0FACB0-E3F1-3E46-B0D3-25FCDF247C2B}"/>
    <hyperlink ref="F1198" r:id="rId1190" location="right-n9" display="https://zeke.github.io/primer-cheatsheet/ - right-n9" xr:uid="{234D020B-54C3-A946-8DAB-3E0A0D2BFAAB}"/>
    <hyperlink ref="F1199" r:id="rId1191" location="rounded-0" display="https://zeke.github.io/primer-cheatsheet/ - rounded-0" xr:uid="{181462CB-6D40-2B43-82BE-A163E15A685B}"/>
    <hyperlink ref="F1200" r:id="rId1192" location="rounded-1" display="https://zeke.github.io/primer-cheatsheet/ - rounded-1" xr:uid="{E5A3F8C9-9CE2-0B43-8BC6-1998A758CE4E}"/>
    <hyperlink ref="F1201" r:id="rId1193" location="rounded-2" display="https://zeke.github.io/primer-cheatsheet/ - rounded-2" xr:uid="{B7B697B2-B1B6-9545-9675-C37E461680D4}"/>
    <hyperlink ref="F1202" r:id="rId1194" location="rounded-bottom-0" display="https://zeke.github.io/primer-cheatsheet/ - rounded-bottom-0" xr:uid="{FF1F0983-A95F-264B-B32C-5170A0C8FFAD}"/>
    <hyperlink ref="F1203" r:id="rId1195" location="rounded-bottom-1" display="https://zeke.github.io/primer-cheatsheet/ - rounded-bottom-1" xr:uid="{E3D4201E-3979-3948-9D08-80014E9405D2}"/>
    <hyperlink ref="F1204" r:id="rId1196" location="rounded-bottom-2" display="https://zeke.github.io/primer-cheatsheet/ - rounded-bottom-2" xr:uid="{5B0D8D38-A5D3-EE4F-8AAA-A2B683536D1F}"/>
    <hyperlink ref="F1205" r:id="rId1197" location="rounded-left-0" display="https://zeke.github.io/primer-cheatsheet/ - rounded-left-0" xr:uid="{A9D3A019-C6E5-1D48-A8A1-F7AF9528C6ED}"/>
    <hyperlink ref="F1206" r:id="rId1198" location="rounded-left-1" display="https://zeke.github.io/primer-cheatsheet/ - rounded-left-1" xr:uid="{F131FDEF-D809-664E-A27D-324632EE58D6}"/>
    <hyperlink ref="F1207" r:id="rId1199" location="rounded-left-2" display="https://zeke.github.io/primer-cheatsheet/ - rounded-left-2" xr:uid="{D832C2E9-458E-6845-AA8D-7A14A97A9470}"/>
    <hyperlink ref="F1208" r:id="rId1200" location="rounded-right-0" display="https://zeke.github.io/primer-cheatsheet/ - rounded-right-0" xr:uid="{70AB97F8-0C0E-6740-8B83-DA28145C32D4}"/>
    <hyperlink ref="F1209" r:id="rId1201" location="rounded-right-1" display="https://zeke.github.io/primer-cheatsheet/ - rounded-right-1" xr:uid="{4340B494-3C1E-9745-9A0A-C8D5C320B45F}"/>
    <hyperlink ref="F1210" r:id="rId1202" location="rounded-right-2" display="https://zeke.github.io/primer-cheatsheet/ - rounded-right-2" xr:uid="{F1C22015-77BE-6A43-9161-07CDA8F09E95}"/>
    <hyperlink ref="F1211" r:id="rId1203" location="rounded-top-0" display="https://zeke.github.io/primer-cheatsheet/ - rounded-top-0" xr:uid="{9BB5C112-352F-CF4A-BAB1-D7B6100C5BDF}"/>
    <hyperlink ref="F1212" r:id="rId1204" location="rounded-top-1" display="https://zeke.github.io/primer-cheatsheet/ - rounded-top-1" xr:uid="{566E3559-2CCF-DE4A-9E8B-BECACAD13A27}"/>
    <hyperlink ref="F1213" r:id="rId1205" location="rounded-top-2" display="https://zeke.github.io/primer-cheatsheet/ - rounded-top-2" xr:uid="{E1347481-824D-304A-B48F-A02EE4370855}"/>
    <hyperlink ref="F1214" r:id="rId1206" location="select-sm" display="https://zeke.github.io/primer-cheatsheet/ - select-sm" xr:uid="{35157158-2F31-0C41-917F-A4B0A876792B}"/>
    <hyperlink ref="F1215" r:id="rId1207" location="select-sm-multiple" display="https://zeke.github.io/primer-cheatsheet/ - select-sm-multiple" xr:uid="{25AA392F-6AF5-AF42-A3AE-9ECCA6E69C1A}"/>
    <hyperlink ref="F1216" r:id="rId1208" location="select-menu" display="https://zeke.github.io/primer-cheatsheet/ - select-menu" xr:uid="{33937D2D-3EA2-7D4F-9697-4C44E813F6C8}"/>
    <hyperlink ref="F1217" r:id="rId1209" location="select-menu-has-filter-select-menu-modal" display="https://zeke.github.io/primer-cheatsheet/ - select-menu-has-filter-select-menu-modal" xr:uid="{DF29E02D-C3C7-9E41-B1E3-49ACACE1BC71}"/>
    <hyperlink ref="F1218" r:id="rId1210" location="select-menu-close-button" display="https://zeke.github.io/primer-cheatsheet/ - select-menu-close-button" xr:uid="{FF135B70-2232-0649-ABB5-31BE346710FC}"/>
    <hyperlink ref="F1219" r:id="rId1211" location="select-menu-divider" display="https://zeke.github.io/primer-cheatsheet/ - select-menu-divider" xr:uid="{B7A4A85D-36FD-8D4B-A0AE-0471AC6DF41F}"/>
    <hyperlink ref="F1220" r:id="rId1212" location="select-menu-filter" display="https://zeke.github.io/primer-cheatsheet/ - select-menu-filter" xr:uid="{42EB3EC2-C9F2-5D49-82B1-D02FF3FFE946}"/>
    <hyperlink ref="F1221" r:id="rId1213" location="select-menu-footer" display="https://zeke.github.io/primer-cheatsheet/ - select-menu-footer" xr:uid="{986E40D9-07F9-934E-A46E-3E0524AD6F9A}"/>
    <hyperlink ref="F1222" r:id="rId1214" location="select-menu-header" display="https://zeke.github.io/primer-cheatsheet/ - select-menu-header" xr:uid="{EF8659C6-BFF2-9641-A967-2B0D7ECAD0AD}"/>
    <hyperlink ref="F1223" r:id="rId1215" location="select-menu-icon" display="https://zeke.github.io/primer-cheatsheet/ - select-menu-icon" xr:uid="{335BA537-3B72-6A41-928F-F978237C60A7}"/>
    <hyperlink ref="F1224" r:id="rId1216" location="select-menu-icon-check" display="https://zeke.github.io/primer-cheatsheet/ - select-menu-icon-check" xr:uid="{641727EB-E0D0-844E-8219-AE4ADA22C742}"/>
    <hyperlink ref="F1225" r:id="rId1217" location="select-menu-input" display="https://zeke.github.io/primer-cheatsheet/ - select-menu-input" xr:uid="{079CA3CE-2941-F341-A7A8-9DE769C3FAE1}"/>
    <hyperlink ref="F1226" r:id="rId1218" location="select-menu-item" display="https://zeke.github.io/primer-cheatsheet/ - select-menu-item" xr:uid="{56BB0D06-9246-D443-BD25-AF03E6BE6629}"/>
    <hyperlink ref="F1227" r:id="rId1219" location="select-menu-item-hover" display="https://zeke.github.io/primer-cheatsheet/ - select-menu-item-hover" xr:uid="{E26C98EC-B471-5747-8FAC-534CFC20725E}"/>
    <hyperlink ref="F1228" r:id="rId1220" location="select-menu-item-aria-checked-true" display="https://zeke.github.io/primer-cheatsheet/ - select-menu-item-aria-checked-true" xr:uid="{D8623EAB-8B54-AF40-8E26-9D9CC5D1BEA9}"/>
    <hyperlink ref="F1229" r:id="rId1221" location="select-menu-item-aria-checked-true-select-menu-icon-check" display="https://zeke.github.io/primer-cheatsheet/ - select-menu-item-aria-checked-true-select-menu-icon-check" xr:uid="{7E569D36-5A94-6944-87C7-D5376765368F}"/>
    <hyperlink ref="F1230" r:id="rId1222" location="select-menu-list" display="https://zeke.github.io/primer-cheatsheet/ - select-menu-list" xr:uid="{31C6215D-3F13-5545-82A0-AE309C5A4BA6}"/>
    <hyperlink ref="F1231" r:id="rId1223" location="select-menu-message" display="https://zeke.github.io/primer-cheatsheet/ - select-menu-message" xr:uid="{16BB2B1E-A045-D94B-8073-6268822D288A}"/>
    <hyperlink ref="F1232" r:id="rId1224" location="select-menu-message" display="https://zeke.github.io/primer-cheatsheet/ - select-menu-message" xr:uid="{4C185608-9E96-C84A-8A94-6B39F3DF482D}"/>
    <hyperlink ref="F1233" r:id="rId1225" location="select-menu-modal" display="https://zeke.github.io/primer-cheatsheet/ - select-menu-modal" xr:uid="{0585DBFF-2A6C-F349-B085-038D3187E704}"/>
    <hyperlink ref="F1234" r:id="rId1226" location="select-menu-tab" display="https://zeke.github.io/primer-cheatsheet/ - select-menu-tab" xr:uid="{57174DC3-9D89-0F4A-A08F-D06BD36255C5}"/>
    <hyperlink ref="F1235" r:id="rId1227" location="select-menu-tab-focus" display="https://zeke.github.io/primer-cheatsheet/ - select-menu-tab-focus" xr:uid="{5BD67FDE-28B4-0540-98C5-E331C4B65E8D}"/>
    <hyperlink ref="F1236" r:id="rId1228" location="select-menu-tab-aria-selected-true" display="https://zeke.github.io/primer-cheatsheet/ - select-menu-tab-aria-selected-true" xr:uid="{19AA08B3-F372-914E-A91D-8454ED5482E8}"/>
    <hyperlink ref="F1237" r:id="rId1229" location="select-menu-tabs" display="https://zeke.github.io/primer-cheatsheet/ - select-menu-tabs" xr:uid="{8809562A-2210-A94E-88D4-C870C761E5D6}"/>
    <hyperlink ref="F1238" r:id="rId1230" location="select-menu-tabs-webkit-scrollbar" display="https://zeke.github.io/primer-cheatsheet/ - select-menu-tabs-webkit-scrollbar" xr:uid="{C01D29E7-1126-AB4F-BE69-B7729E674994}"/>
    <hyperlink ref="F1239" r:id="rId1231" location="select-menu-title" display="https://zeke.github.io/primer-cheatsheet/ - select-menu-title" xr:uid="{FD16C393-84A2-0840-9632-74D8756AAF45}"/>
    <hyperlink ref="F1240" r:id="rId1232" location="select-menu-before" display="https://zeke.github.io/primer-cheatsheet/ - select-menu-before" xr:uid="{30FD25E7-EF1A-124A-B160-E1342FB94E57}"/>
    <hyperlink ref="F1241" r:id="rId1233" location="show-on-focus" display="https://zeke.github.io/primer-cheatsheet/ - show-on-focus" xr:uid="{7E90E06A-B032-6F49-AAFF-FD2F4B02DD37}"/>
    <hyperlink ref="F1242" r:id="rId1234" location="show-on-focus-focus" display="https://zeke.github.io/primer-cheatsheet/ - show-on-focus-focus" xr:uid="{C0392E03-84DE-824B-B876-633251F9AE2D}"/>
    <hyperlink ref="F1243" r:id="rId1235" location="side-nav" display="https://zeke.github.io/primer-cheatsheet/ - side-nav" xr:uid="{F2A75BB2-610A-B74A-B620-E74E52A94527}"/>
    <hyperlink ref="F1244" r:id="rId1236" location="side-nav-icon" display="https://zeke.github.io/primer-cheatsheet/ - side-nav-icon" xr:uid="{01EC4EE6-2370-5B4A-8C02-A1BFF1F65DAB}"/>
    <hyperlink ref="F1245" r:id="rId1237" location="side-nav-item" display="https://zeke.github.io/primer-cheatsheet/ - side-nav-item" xr:uid="{9ADF8632-CCF8-F541-ADF3-2DEE7208DE69}"/>
    <hyperlink ref="F1246" r:id="rId1238" location="side-nav-item-before" display="https://zeke.github.io/primer-cheatsheet/ - side-nav-item-before" xr:uid="{5D422AA9-5661-C84A-8A06-13099AB30527}"/>
    <hyperlink ref="F1247" r:id="rId1239" location="side-nav-item-active" display="https://zeke.github.io/primer-cheatsheet/ - side-nav-item-active" xr:uid="{AECF46CE-2AE1-2B49-98F8-E13A1C3ED640}"/>
    <hyperlink ref="F1248" r:id="rId1240" location="side-nav-item-first-child" display="https://zeke.github.io/primer-cheatsheet/ - side-nav-item-first-child" xr:uid="{B8E5E680-4DCA-A145-921D-18C92A99B494}"/>
    <hyperlink ref="F1250" r:id="rId1241" location="side-nav-item-hover" display="https://zeke.github.io/primer-cheatsheet/ - side-nav-item-hover" xr:uid="{598DE6A5-255C-A840-8A85-E2ACA2BD16D7}"/>
    <hyperlink ref="F1249" r:id="rId1242" location="side-nav-item-hover-before" display="https://zeke.github.io/primer-cheatsheet/ - side-nav-item-hover-before" xr:uid="{A08B0C6F-DD08-A444-82EF-9B8239114AA8}"/>
    <hyperlink ref="F1251" r:id="rId1243" location="side-nav-item-last-child" display="https://zeke.github.io/primer-cheatsheet/ - side-nav-item-last-child" xr:uid="{F9896DD5-40AC-7D4C-A9FE-5CCF82EA14DE}"/>
    <hyperlink ref="F1253" r:id="rId1244" location="side-nav-item-aria-current-page" display="https://zeke.github.io/primer-cheatsheet/ - side-nav-item-aria-current-page" xr:uid="{081F803F-F324-5E44-AB84-4FB6A821346C}"/>
    <hyperlink ref="F1252" r:id="rId1245" location="side-nav-item-aria-current-page-before" display="https://zeke.github.io/primer-cheatsheet/ - side-nav-item-aria-current-page-before" xr:uid="{D56D8695-EB97-744E-8431-3B10C81D6B90}"/>
    <hyperlink ref="F1254" r:id="rId1246" location="side-nav-sub-item" display="https://zeke.github.io/primer-cheatsheet/ - side-nav-sub-item" xr:uid="{2C905891-3A47-6F42-AE72-1C3EA39A15D2}"/>
    <hyperlink ref="F1255" r:id="rId1247" location="side-nav-sub-item-hover" display="https://zeke.github.io/primer-cheatsheet/ - side-nav-sub-item-hover" xr:uid="{C619D8FF-7C11-F340-9AE4-A5FD16D956E3}"/>
    <hyperlink ref="F1256" r:id="rId1248" location="side-nav-sub-item-aria-current-page" display="https://zeke.github.io/primer-cheatsheet/ - side-nav-sub-item-aria-current-page" xr:uid="{85C9CC28-8CA3-144E-BBC1-11DD2C0C6C63}"/>
    <hyperlink ref="F1257" r:id="rId1249" location="social-count" display="https://zeke.github.io/primer-cheatsheet/ - social-count" xr:uid="{9ABE33CC-5A78-F34F-8E38-66FD142982F4}"/>
    <hyperlink ref="F1259" r:id="rId1250" location="social-count-hover" display="https://zeke.github.io/primer-cheatsheet/ - social-count-hover" xr:uid="{4DDDFA8C-C0F8-9E4E-96FE-61729C0B0B9D}"/>
    <hyperlink ref="F1258" r:id="rId1251" location="social-count-hover" display="https://zeke.github.io/primer-cheatsheet/ - social-count-hover" xr:uid="{58B5D7E8-8574-9B41-B7ED-9D154E3A0E9F}"/>
    <hyperlink ref="F1260" r:id="rId1252" location="sr-only" display="https://zeke.github.io/primer-cheatsheet/ - sr-only" xr:uid="{20283E63-E4CF-7E49-B278-04714306CDE3}"/>
    <hyperlink ref="F1266" r:id="rId1253" location="state" display="https://zeke.github.io/primer-cheatsheet/ - state" xr:uid="{2FD6948D-10F8-2B4F-BD34-9FB40386BE66}"/>
    <hyperlink ref="F1261" r:id="rId1254" location="state-green" display="https://zeke.github.io/primer-cheatsheet/ - state-green" xr:uid="{A0A97991-5767-2849-BE38-B9BD7949D54D}"/>
    <hyperlink ref="F1262" r:id="rId1255" location="state-purple" display="https://zeke.github.io/primer-cheatsheet/ - state-purple" xr:uid="{732DD030-3CA0-9D4A-B39B-645304243B95}"/>
    <hyperlink ref="F1263" r:id="rId1256" location="state-red" display="https://zeke.github.io/primer-cheatsheet/ - state-red" xr:uid="{02CE585A-E3F2-6641-8FCF-FE538E471DF2}"/>
    <hyperlink ref="F1264" r:id="rId1257" location="state-small" display="https://zeke.github.io/primer-cheatsheet/ - state-small" xr:uid="{43CDB339-F136-1640-BEC0-C1BDE649CFC0}"/>
    <hyperlink ref="F1265" r:id="rId1258" location="state-small-octicon" display="https://zeke.github.io/primer-cheatsheet/ - state-small-octicon" xr:uid="{5D14FD50-75B6-F343-8043-693F94458AB4}"/>
    <hyperlink ref="F1267" r:id="rId1259" location="status-indicator" display="https://zeke.github.io/primer-cheatsheet/ - status-indicator" xr:uid="{4964FAC7-3733-DB40-A4DD-34C61A85EE03}"/>
    <hyperlink ref="F1268" r:id="rId1260" location="status-indicator-octicon" display="https://zeke.github.io/primer-cheatsheet/ - status-indicator-octicon" xr:uid="{679B30D6-BD94-3449-874C-76561AA8E5BA}"/>
    <hyperlink ref="F1269" r:id="rId1261" location="status-indicator-failed-octicon-check" display="https://zeke.github.io/primer-cheatsheet/ - status-indicator-failed-octicon-check" xr:uid="{373EC16F-1FB7-5346-8AF7-595CE7D37806}"/>
    <hyperlink ref="F1270" r:id="rId1262" location="status-indicator-failed-octicon-x" display="https://zeke.github.io/primer-cheatsheet/ - status-indicator-failed-octicon-x" xr:uid="{22A10F94-781E-3D40-913D-3D476E6FA877}"/>
    <hyperlink ref="F1271" r:id="rId1263" location="status-indicator-failed-before" display="https://zeke.github.io/primer-cheatsheet/ - status-indicator-failed-before" xr:uid="{E8806194-F1D9-B64B-8706-184833F297A5}"/>
    <hyperlink ref="F1272" r:id="rId1264" location="status-indicator-loading" display="https://zeke.github.io/primer-cheatsheet/ - status-indicator-loading" xr:uid="{445B12DA-F03C-0744-92D9-71D4AAA75014}"/>
    <hyperlink ref="F1273" r:id="rId1265" location="status-indicator-success-octicon-check" display="https://zeke.github.io/primer-cheatsheet/ - status-indicator-success-octicon-check" xr:uid="{4BD178C5-65B0-A44F-B60F-E41D31B76D01}"/>
    <hyperlink ref="F1274" r:id="rId1266" location="status-indicator-success-octicon-x" display="https://zeke.github.io/primer-cheatsheet/ - status-indicator-success-octicon-x" xr:uid="{6CDDF36E-09B0-ED40-B7CF-7A0F94EC7404}"/>
    <hyperlink ref="F1275" r:id="rId1267" location="status-indicator-success-before" display="https://zeke.github.io/primer-cheatsheet/ - status-indicator-success-before" xr:uid="{DA787664-AA20-CC44-8AEC-0E8971C3A28B}"/>
    <hyperlink ref="F1276" r:id="rId1268" location="subhead" display="https://zeke.github.io/primer-cheatsheet/ - subhead" xr:uid="{FF99E847-7683-E140-B30E-55D4010A4858}"/>
    <hyperlink ref="F1277" r:id="rId1269" location="subhead-spacious" display="https://zeke.github.io/primer-cheatsheet/ - subhead-spacious" xr:uid="{68BBE88B-941D-8A4F-8E4E-8F97CCFC9D8F}"/>
    <hyperlink ref="F1278" r:id="rId1270" location="subhead-actions" display="https://zeke.github.io/primer-cheatsheet/ - subhead-actions" xr:uid="{F10A2860-5E69-AE48-AFBF-8D903228BDF5}"/>
    <hyperlink ref="F1279" r:id="rId1271" location="subhead-description" display="https://zeke.github.io/primer-cheatsheet/ - subhead-description" xr:uid="{92754CB5-8A17-6B43-A82F-DED5224C9A65}"/>
    <hyperlink ref="F1280" r:id="rId1272" location="subhead-heading" display="https://zeke.github.io/primer-cheatsheet/ - subhead-heading" xr:uid="{F06B1204-0CDB-3D4D-B6F3-7D3787D51C5A}"/>
    <hyperlink ref="F1281" r:id="rId1273" location="subhead-heading-danger" display="https://zeke.github.io/primer-cheatsheet/ - subhead-heading-danger" xr:uid="{F5217591-61B9-E84F-B153-EF99FEB72B4A}"/>
    <hyperlink ref="F1282" r:id="rId1274" location="subnav" display="https://zeke.github.io/primer-cheatsheet/ - subnav" xr:uid="{29AD3615-80D4-2E4F-B2A9-0FBB24BA46C8}"/>
    <hyperlink ref="F1283" r:id="rId1275" location="subnav-bordered" display="https://zeke.github.io/primer-cheatsheet/ - subnav-bordered" xr:uid="{660F57FF-2A51-2C46-9D36-F2019A977059}"/>
    <hyperlink ref="F1284" r:id="rId1276" location="subnav-flush" display="https://zeke.github.io/primer-cheatsheet/ - subnav-flush" xr:uid="{D506596A-4F5A-F643-BE07-CC721622578B}"/>
    <hyperlink ref="F1285" r:id="rId1277" location="subnav-item" display="https://zeke.github.io/primer-cheatsheet/ - subnav-item" xr:uid="{7FE8ABE8-9DF4-5D4B-8E5B-BF10C22311A2}"/>
    <hyperlink ref="F1286" r:id="rId1278" location="subnav-item-first-child" display="https://zeke.github.io/primer-cheatsheet/ - subnav-item-first-child" xr:uid="{2A41D65D-D737-5A48-BEAC-F2D607EB48C7}"/>
    <hyperlink ref="F1287" r:id="rId1279" location="subnav-item-hover" display="https://zeke.github.io/primer-cheatsheet/ - subnav-item-hover" xr:uid="{4730427A-A99C-1145-BBF7-0513B45608EE}"/>
    <hyperlink ref="F1288" r:id="rId1280" location="subnav-item-last-child" display="https://zeke.github.io/primer-cheatsheet/ - subnav-item-last-child" xr:uid="{062A4DB4-56FB-5D4A-BFC6-9BD8E53ABFAF}"/>
    <hyperlink ref="F1289" r:id="rId1281" location="subnav-item-selected" display="https://zeke.github.io/primer-cheatsheet/ - subnav-item-selected" xr:uid="{6EDD977E-8632-A646-B6F4-12452BB62E45}"/>
    <hyperlink ref="F1290" r:id="rId1282" location="subnav-item-subnav-item" display="https://zeke.github.io/primer-cheatsheet/ - subnav-item-subnav-item" xr:uid="{C9539D26-CDAD-9240-A650-EDC265E99D5A}"/>
    <hyperlink ref="F1291" r:id="rId1283" location="subnav-search" display="https://zeke.github.io/primer-cheatsheet/ - subnav-search" xr:uid="{00CF46BB-A657-3B4F-9EC3-067E4022C4DB}"/>
    <hyperlink ref="F1292" r:id="rId1284" location="subnav-search-context-btn" display="https://zeke.github.io/primer-cheatsheet/ - subnav-search-context-btn" xr:uid="{3108EE54-8434-0B46-9A0B-E05111DAC253}"/>
    <hyperlink ref="F1293" r:id="rId1285" location="subnav-search-context-btn-hover" display="https://zeke.github.io/primer-cheatsheet/ - subnav-search-context-btn-hover" xr:uid="{F6ACF464-6EF4-0E49-B012-AB103137FEDC}"/>
    <hyperlink ref="F1294" r:id="rId1286" location="subnav-search-context-select-menu-item-icon" display="https://zeke.github.io/primer-cheatsheet/ - subnav-search-context-select-menu-item-icon" xr:uid="{459B9552-875D-D34E-BB03-B78395854BEF}"/>
    <hyperlink ref="F1295" r:id="rId1287" location="subnav-search-context-select-menu-modal" display="https://zeke.github.io/primer-cheatsheet/ - subnav-search-context-select-menu-modal" xr:uid="{CD7ED141-4582-4041-B842-47FF86D4A550}"/>
    <hyperlink ref="F1296" r:id="rId1288" location="subnav-search-context-select-menu-modal-holder" display="https://zeke.github.io/primer-cheatsheet/ - subnav-search-context-select-menu-modal-holder" xr:uid="{36656A7F-3151-3644-A1AD-BD1BF9D13076}"/>
    <hyperlink ref="F1297" r:id="rId1289" location="subnav-search-context-subnav-search" display="https://zeke.github.io/primer-cheatsheet/ - subnav-search-context-subnav-search" xr:uid="{F7431132-B670-F04E-9298-5ED1DA8235D8}"/>
    <hyperlink ref="F1298" r:id="rId1290" location="subnav-search-context-subnav-search-subnav-search-input" display="https://zeke.github.io/primer-cheatsheet/ - subnav-search-context-subnav-search-subnav-search-input" xr:uid="{487EEB24-4DA4-C146-A1E3-70AFA26FEC6A}"/>
    <hyperlink ref="F1299" r:id="rId1291" location="subnav-search-icon" display="https://zeke.github.io/primer-cheatsheet/ - subnav-search-icon" xr:uid="{6C65BF35-DDAB-6340-BF61-B96D2272E7C3}"/>
    <hyperlink ref="F1300" r:id="rId1292" location="subnav-search-input" display="https://zeke.github.io/primer-cheatsheet/ - subnav-search-input" xr:uid="{C0EEF09E-48C0-C644-91E8-121BBFF9B1B3}"/>
    <hyperlink ref="F1301" r:id="rId1293" location="subnav-search-input-wide" display="https://zeke.github.io/primer-cheatsheet/ - subnav-search-input-wide" xr:uid="{5DDC14D1-4FCB-8F4D-B1C9-6FF1E44F916E}"/>
    <hyperlink ref="F1302" r:id="rId1294" location="subnav-spacer-right" display="https://zeke.github.io/primer-cheatsheet/ - subnav-spacer-right" xr:uid="{5B4C9B18-DC9C-BF47-9B5C-2F0AAFAFCEA0}"/>
    <hyperlink ref="F1303" r:id="rId1295" location="subnav-after" display="https://zeke.github.io/primer-cheatsheet/ - subnav-after" xr:uid="{65375694-4301-094E-AA74-E6C1933E73DF}"/>
    <hyperlink ref="F1304" r:id="rId1296" location="subnav-before" display="https://zeke.github.io/primer-cheatsheet/ - subnav-before" xr:uid="{02D242FB-459E-E547-9968-1EFC4E0370EC}"/>
    <hyperlink ref="F1305" r:id="rId1297" location="suggester" display="https://zeke.github.io/primer-cheatsheet/ - suggester" xr:uid="{3DE5E797-4B05-9943-8E0D-3FEB230010E5}"/>
    <hyperlink ref="F1306" r:id="rId1298" location="suggester-li" display="https://zeke.github.io/primer-cheatsheet/ - suggester-li" xr:uid="{52873354-1130-C24E-A126-C53F9E459F66}"/>
    <hyperlink ref="F1307" r:id="rId1299" location="suggester-li-small" display="https://zeke.github.io/primer-cheatsheet/ - suggester-li-small" xr:uid="{4AEE1814-450E-C343-BCFB-D2C0089ACD4A}"/>
    <hyperlink ref="F1308" r:id="rId1300" location="suggester-li-first-child" display="https://zeke.github.io/primer-cheatsheet/ - suggester-li-first-child" xr:uid="{ED215F1D-6F3F-F547-B176-DB02F16E499D}"/>
    <hyperlink ref="F1310" r:id="rId1301" location="suggester-li-hover" display="https://zeke.github.io/primer-cheatsheet/ - suggester-li-hover" xr:uid="{919FF6C7-5C46-8045-B9DF-030D505A687D}"/>
    <hyperlink ref="F1309" r:id="rId1302" location="suggester-li-hover-small" display="https://zeke.github.io/primer-cheatsheet/ - suggester-li-hover-small" xr:uid="{34937EBE-132E-034C-A5CA-903B7FF718F9}"/>
    <hyperlink ref="F1311" r:id="rId1303" location="suggester-li-last-child" display="https://zeke.github.io/primer-cheatsheet/ - suggester-li-last-child" xr:uid="{EB89A018-72CD-4B49-8DDD-B20DC11709F4}"/>
    <hyperlink ref="F1312" r:id="rId1304" location="suggester-container" display="https://zeke.github.io/primer-cheatsheet/ - suggester-container" xr:uid="{CB8832CB-F573-C646-9AA4-CABB90DE10D7}"/>
    <hyperlink ref="F1313" r:id="rId1305" location="table-fixed" display="https://zeke.github.io/primer-cheatsheet/ - table-fixed" xr:uid="{16714008-5476-1646-8862-2ADE9C1FF8E1}"/>
    <hyperlink ref="F1314" r:id="rId1306" location="table-object" display="https://zeke.github.io/primer-cheatsheet/ - table-object" xr:uid="{4884D1A2-240B-FA4B-9347-BC20EFE04C99}"/>
    <hyperlink ref="F1315" r:id="rId1307" location="table-object-item" display="https://zeke.github.io/primer-cheatsheet/ - table-object-item" xr:uid="{79A58E94-A51A-4940-B6A5-565FD3934D49}"/>
    <hyperlink ref="F1316" r:id="rId1308" location="table-object-item-primary" display="https://zeke.github.io/primer-cheatsheet/ - table-object-item-primary" xr:uid="{8E37C134-6088-C745-9264-E1BE00BCD77C}"/>
    <hyperlink ref="F1317" r:id="rId1309" location="tabnav" display="https://zeke.github.io/primer-cheatsheet/ - tabnav" xr:uid="{89BE4BFB-A3F9-8049-B53A-18CA4CF20577}"/>
    <hyperlink ref="F1318" r:id="rId1310" location="tabnav-counter" display="https://zeke.github.io/primer-cheatsheet/ - tabnav-counter" xr:uid="{31F1E814-5AD9-B441-B747-9E8944091F00}"/>
    <hyperlink ref="F1319" r:id="rId1311" location="tabnav-btn" display="https://zeke.github.io/primer-cheatsheet/ - tabnav-btn" xr:uid="{980873C0-7D1C-8347-A7F6-DC59EEBC3583}"/>
    <hyperlink ref="F1320" r:id="rId1312" location="tabnav-extra" display="https://zeke.github.io/primer-cheatsheet/ - tabnav-extra" xr:uid="{955A0A0E-AA2B-5B48-B31E-7FF41244394C}"/>
    <hyperlink ref="F1321" r:id="rId1313" location="tabnav-extra-octicon" display="https://zeke.github.io/primer-cheatsheet/ - tabnav-extra-octicon" xr:uid="{5A9921CE-50AB-D04A-929C-EFCA4DEB6169}"/>
    <hyperlink ref="F1322" r:id="rId1314" location="tabnav-tab" display="https://zeke.github.io/primer-cheatsheet/ - tabnav-tab" xr:uid="{259CFE2F-CCEE-C949-95CF-7E104AE659FD}"/>
    <hyperlink ref="F1323" r:id="rId1315" location="tabnav-tab-hover" display="https://zeke.github.io/primer-cheatsheet/ - tabnav-tab-hover" xr:uid="{6C298745-99E5-B548-AB3D-CC8A414B691C}"/>
    <hyperlink ref="F1324" r:id="rId1316" location="tabnav-tab-aria-selected-true" display="https://zeke.github.io/primer-cheatsheet/ - tabnav-tab-aria-selected-true" xr:uid="{BEA633B4-1532-8346-B42C-71DD3DEA4FB9}"/>
    <hyperlink ref="F1325" r:id="rId1317" location="tabnav-tabs" display="https://zeke.github.io/primer-cheatsheet/ - tabnav-tabs" xr:uid="{9702AF0D-787E-0841-9EBA-652EE3275425}"/>
    <hyperlink ref="F1326" r:id="rId1318" location="text-blue" display="https://zeke.github.io/primer-cheatsheet/ - text-blue" xr:uid="{DEAC736E-3F30-BA45-8D16-E4B00690EF1B}"/>
    <hyperlink ref="F1327" r:id="rId1319" location="text-bold" display="https://zeke.github.io/primer-cheatsheet/ - text-bold" xr:uid="{5E3D8322-FD6B-D34A-8C58-74962BEFCCE8}"/>
    <hyperlink ref="F1328" r:id="rId1320" location="text-center" display="https://zeke.github.io/primer-cheatsheet/ - text-center" xr:uid="{C7A1BDBA-2A0C-2043-A0E1-5E472CE4A6D8}"/>
    <hyperlink ref="F1329" r:id="rId1321" location="text-emphasized" display="https://zeke.github.io/primer-cheatsheet/ - text-emphasized" xr:uid="{1D583AF5-D1DB-5F40-A0EB-F10A73D8D8EA}"/>
    <hyperlink ref="F1330" r:id="rId1322" location="text-gray" display="https://zeke.github.io/primer-cheatsheet/ - text-gray" xr:uid="{E07339CC-ACE7-7849-A6C5-3E7DCC77E8C1}"/>
    <hyperlink ref="F1331" r:id="rId1323" location="text-gray-dark" display="https://zeke.github.io/primer-cheatsheet/ - text-gray-dark" xr:uid="{40668A5C-EB2F-114E-88A0-064B2AFDDC4D}"/>
    <hyperlink ref="F1332" r:id="rId1324" location="text-gray-light" display="https://zeke.github.io/primer-cheatsheet/ - text-gray-light" xr:uid="{66073BF3-8DD7-C442-95BF-44A29612BAD1}"/>
    <hyperlink ref="F1333" r:id="rId1325" location="text-green" display="https://zeke.github.io/primer-cheatsheet/ - text-green" xr:uid="{D158DCED-5D93-AB43-AA2C-E60921FA5FE2}"/>
    <hyperlink ref="F1334" r:id="rId1326" location="text-inherit" display="https://zeke.github.io/primer-cheatsheet/ - text-inherit" xr:uid="{6E58793C-BF6C-4B4E-B2E4-31B2AAB66564}"/>
    <hyperlink ref="F1335" r:id="rId1327" location="text-italic" display="https://zeke.github.io/primer-cheatsheet/ - text-italic" xr:uid="{457009B0-7DBD-E04F-89C5-A77613FAA1E8}"/>
    <hyperlink ref="F1336" r:id="rId1328" location="text-left" display="https://zeke.github.io/primer-cheatsheet/ - text-left" xr:uid="{ECD481C4-2EF6-CB45-9FC8-F7E08D30104D}"/>
    <hyperlink ref="F1337" r:id="rId1329" location="text-mono" display="https://zeke.github.io/primer-cheatsheet/ - text-mono" xr:uid="{21FF9DF2-569D-124B-9B4F-94E7B36D076E}"/>
    <hyperlink ref="F1338" r:id="rId1330" location="text-normal" display="https://zeke.github.io/primer-cheatsheet/ - text-normal" xr:uid="{9329CB5F-A32B-1C41-8D3D-C0A1333B8676}"/>
    <hyperlink ref="F1339" r:id="rId1331" location="text-orange" display="https://zeke.github.io/primer-cheatsheet/ - text-orange" xr:uid="{6D359CEE-07F2-984A-A6E1-56351BD7C758}"/>
    <hyperlink ref="F1340" r:id="rId1332" location="text-orange-light" display="https://zeke.github.io/primer-cheatsheet/ - text-orange-light" xr:uid="{38DD1CCB-D793-1341-AEDB-D89D921F9428}"/>
    <hyperlink ref="F1341" r:id="rId1333" location="text-pink" display="https://zeke.github.io/primer-cheatsheet/ - text-pink" xr:uid="{CA598B40-CD9D-604E-B37C-FBFC07899C43}"/>
    <hyperlink ref="F1342" r:id="rId1334" location="text-purple" display="https://zeke.github.io/primer-cheatsheet/ - text-purple" xr:uid="{401126CA-24A0-194C-A719-A762870FC012}"/>
    <hyperlink ref="F1343" r:id="rId1335" location="text-red" display="https://zeke.github.io/primer-cheatsheet/ - text-red" xr:uid="{14DC6D88-89AA-5A49-B9DB-BFE783456320}"/>
    <hyperlink ref="F1344" r:id="rId1336" location="text-right" display="https://zeke.github.io/primer-cheatsheet/ - text-right" xr:uid="{2BC23A46-E1A0-8A4A-A7F7-8D20B3E9FB7A}"/>
    <hyperlink ref="F1345" r:id="rId1337" location="text-shadow-dark" display="https://zeke.github.io/primer-cheatsheet/ - text-shadow-dark" xr:uid="{8622254F-CE3E-0F47-9EEE-91ABD34AEF70}"/>
    <hyperlink ref="F1346" r:id="rId1338" location="text-shadow-light" display="https://zeke.github.io/primer-cheatsheet/ - text-shadow-light" xr:uid="{3FEEB544-0069-224C-B8B9-78C5EBEACD2F}"/>
    <hyperlink ref="F1347" r:id="rId1339" location="text-small" display="https://zeke.github.io/primer-cheatsheet/ - text-small" xr:uid="{0144A59B-6751-554F-BAB7-047CFC9C4A57}"/>
    <hyperlink ref="F1348" r:id="rId1340" location="text-underline" display="https://zeke.github.io/primer-cheatsheet/ - text-underline" xr:uid="{A3135C88-DB83-984F-A424-2A6741F8DB69}"/>
    <hyperlink ref="F1349" r:id="rId1341" location="text-uppercase" display="https://zeke.github.io/primer-cheatsheet/ - text-uppercase" xr:uid="{8617A64D-CD4A-0B4F-B5C2-5105A1AD4DC5}"/>
    <hyperlink ref="F1350" r:id="rId1342" location="text-white" display="https://zeke.github.io/primer-cheatsheet/ - text-white" xr:uid="{D8ACA6E6-2840-9843-B790-788CEC10A557}"/>
    <hyperlink ref="F1351" r:id="rId1343" location="text-yellow" display="https://zeke.github.io/primer-cheatsheet/ - text-yellow" xr:uid="{980BE624-CFCA-D647-B48B-028E68D15504}"/>
    <hyperlink ref="F1352" r:id="rId1344" location="timeline-item" display="https://zeke.github.io/primer-cheatsheet/ - timeline-item" xr:uid="{4F760584-0562-B940-B593-094EEB315DD3}"/>
    <hyperlink ref="F1353" r:id="rId1345" location="timeline-item-condensed" display="https://zeke.github.io/primer-cheatsheet/ - timeline-item-condensed" xr:uid="{02EEF719-7137-844C-8BC9-7FB9A66C22F3}"/>
    <hyperlink ref="F1354" r:id="rId1346" location="timeline-item-condensed-timeline-item-badge" display="https://zeke.github.io/primer-cheatsheet/ - timeline-item-condensed-timeline-item-badge" xr:uid="{84BA1161-FA44-6842-8878-311B9DAC226B}"/>
    <hyperlink ref="F1355" r:id="rId1347" location="timeline-item-condensed-last-child" display="https://zeke.github.io/primer-cheatsheet/ - timeline-item-condensed-last-child" xr:uid="{E9972835-31B2-5346-B5F7-011E28C2C70E}"/>
    <hyperlink ref="F1356" r:id="rId1348" location="timeline-item-avatar" display="https://zeke.github.io/primer-cheatsheet/ - timeline-item-avatar" xr:uid="{FB510CD7-4829-784B-9295-782AFF69BC59}"/>
    <hyperlink ref="F1357" r:id="rId1349" location="timeline-item-badge" display="https://zeke.github.io/primer-cheatsheet/ - timeline-item-badge" xr:uid="{1646A998-31B0-E24C-B7C0-3FD358376BCD}"/>
    <hyperlink ref="F1358" r:id="rId1350" location="timeline-item-body" display="https://zeke.github.io/primer-cheatsheet/ - timeline-item-body" xr:uid="{1915ACC8-6C83-3E4C-8FB7-F9B66FBC425A}"/>
    <hyperlink ref="F1359" r:id="rId1351" location="timeline-item-break" display="https://zeke.github.io/primer-cheatsheet/ - timeline-item-break" xr:uid="{BD41F56E-EFAF-D140-98F6-338422533C6F}"/>
    <hyperlink ref="F1360" r:id="rId1352" location="timeline-item-before" display="https://zeke.github.io/primer-cheatsheet/ - timeline-item-before" xr:uid="{62D37185-0A31-B443-ABB1-11CDD74B0F06}"/>
    <hyperlink ref="F1361" r:id="rId1353" location="timeline-item-target-timeline-item-badge" display="https://zeke.github.io/primer-cheatsheet/ - timeline-item-target-timeline-item-badge" xr:uid="{E48C7704-020F-CC4C-BD01-2852FE5ADD53}"/>
    <hyperlink ref="F1362" r:id="rId1354" location="toast" display="https://zeke.github.io/primer-cheatsheet/ - toast" xr:uid="{D97C4310-3391-4A47-9A53-F04DF93EA032}"/>
    <hyperlink ref="F1363" r:id="rId1355" location="toast-animate-in" display="https://zeke.github.io/primer-cheatsheet/ - toast-animate-in" xr:uid="{47C64FE1-A7E9-F040-BF0B-204A9675CACE}"/>
    <hyperlink ref="F1364" r:id="rId1356" location="toast-animate-out" display="https://zeke.github.io/primer-cheatsheet/ - toast-animate-out" xr:uid="{D67729AD-42D1-3644-B3B3-E7D43FB704B0}"/>
    <hyperlink ref="F1365" r:id="rId1357" location="toast-error-toast-icon" display="https://zeke.github.io/primer-cheatsheet/ - toast-error-toast-icon" xr:uid="{E313A540-79DE-AD4C-90CB-56732708F896}"/>
    <hyperlink ref="F1366" r:id="rId1358" location="toast-loading-toast-icon" display="https://zeke.github.io/primer-cheatsheet/ - toast-loading-toast-icon" xr:uid="{7426CB80-60AF-B948-9C01-8F82A7FEB63C}"/>
    <hyperlink ref="F1367" r:id="rId1359" location="toast-spinner" display="https://zeke.github.io/primer-cheatsheet/ - toast-spinner" xr:uid="{E38C737A-5049-9641-B5C3-3A5C184463FB}"/>
    <hyperlink ref="F1368" r:id="rId1360" location="toast-success-toast-icon" display="https://zeke.github.io/primer-cheatsheet/ - toast-success-toast-icon" xr:uid="{CF26030E-5FD9-984B-BE63-618F816B9989}"/>
    <hyperlink ref="F1369" r:id="rId1361" location="toast-warning-toast-icon" display="https://zeke.github.io/primer-cheatsheet/ - toast-warning-toast-icon" xr:uid="{440195C1-C9A7-CA41-87BE-3693ADC053A3}"/>
    <hyperlink ref="F1370" r:id="rId1362" location="toast-content" display="https://zeke.github.io/primer-cheatsheet/ - toast-content" xr:uid="{63FCF1E5-7303-B345-98C7-0498E0FE844C}"/>
    <hyperlink ref="F1371" r:id="rId1363" location="toast-dismiss-button" display="https://zeke.github.io/primer-cheatsheet/ - toast-dismiss-button" xr:uid="{4A26E032-8F4A-6F48-B92E-C4D06CE4DF16}"/>
    <hyperlink ref="F1372" r:id="rId1364" location="toast-dismiss-button-active" display="https://zeke.github.io/primer-cheatsheet/ - toast-dismiss-button-active" xr:uid="{EA712B2E-3A1A-A44C-954B-AA6FE22BC433}"/>
    <hyperlink ref="F1373" r:id="rId1365" location="toast-dismiss-button-focus" display="https://zeke.github.io/primer-cheatsheet/ - toast-dismiss-button-focus" xr:uid="{FC269ECA-57F6-B947-BB16-6A6379BCAA98}"/>
    <hyperlink ref="F1374" r:id="rId1366" location="toast-icon" display="https://zeke.github.io/primer-cheatsheet/ - toast-icon" xr:uid="{81B02DC9-E3E0-CF45-B577-2ED324A19D4D}"/>
    <hyperlink ref="F1375" r:id="rId1367" location="tooltipped" display="https://zeke.github.io/primer-cheatsheet/ - tooltipped" xr:uid="{491E6608-748B-0442-BDCD-17D5E5A4EEE0}"/>
    <hyperlink ref="F1376" r:id="rId1368" location="tooltipped-align-left-1-after" display="https://zeke.github.io/primer-cheatsheet/ - tooltipped-align-left-1-after" xr:uid="{43592E11-7C6E-8F4C-A150-19745142B7D4}"/>
    <hyperlink ref="F1377" r:id="rId1369" location="tooltipped-align-left-1-before" display="https://zeke.github.io/primer-cheatsheet/ - tooltipped-align-left-1-before" xr:uid="{EA83F879-FC92-8F48-8807-4972D3C3ECDC}"/>
    <hyperlink ref="F1378" r:id="rId1370" location="tooltipped-align-left-2-before" display="https://zeke.github.io/primer-cheatsheet/ - tooltipped-align-left-2-before" xr:uid="{4C219AC4-8D2B-0248-914F-DA3984BF5B4F}"/>
    <hyperlink ref="F1379" r:id="rId1371" location="tooltipped-align-right-1-after" display="https://zeke.github.io/primer-cheatsheet/ - tooltipped-align-right-1-after" xr:uid="{CFDDAE21-5C26-C746-89FA-D48DA4E7E4AD}"/>
    <hyperlink ref="F1380" r:id="rId1372" location="tooltipped-align-right-1-before" display="https://zeke.github.io/primer-cheatsheet/ - tooltipped-align-right-1-before" xr:uid="{BD707E7D-E3AF-1F4B-B29E-3355B878D3B6}"/>
    <hyperlink ref="F1381" r:id="rId1373" location="tooltipped-align-right-2-before" display="https://zeke.github.io/primer-cheatsheet/ - tooltipped-align-right-2-before" xr:uid="{5430347E-DD4C-9B48-B62E-7EEFE65E4121}"/>
    <hyperlink ref="F1382" r:id="rId1374" location="tooltipped-e-after" display="https://zeke.github.io/primer-cheatsheet/ - tooltipped-e-after" xr:uid="{E301A1E4-1958-624C-8D20-0DF175C633D3}"/>
    <hyperlink ref="F1383" r:id="rId1375" location="tooltipped-e-before" display="https://zeke.github.io/primer-cheatsheet/ - tooltipped-e-before" xr:uid="{B3120F13-4B23-044F-AF82-C442CA17AECC}"/>
    <hyperlink ref="F1384" r:id="rId1376" location="tooltipped-multiline-after" display="https://zeke.github.io/primer-cheatsheet/ - tooltipped-multiline-after" xr:uid="{8D290293-81E5-C642-9B16-2C55FBE9451A}"/>
    <hyperlink ref="F1385" r:id="rId1377" location="tooltipped-multiline-hover-after" display="https://zeke.github.io/primer-cheatsheet/ - tooltipped-multiline-hover-after" xr:uid="{18A93BAC-E1DA-F847-BE88-2F8A72DA3A7F}"/>
    <hyperlink ref="F1386" r:id="rId1378" location="tooltipped-multiline-tooltipped-s-after" display="https://zeke.github.io/primer-cheatsheet/ - tooltipped-multiline-tooltipped-s-after" xr:uid="{6B5B2DEB-65A5-254A-8688-181F5C2DB469}"/>
    <hyperlink ref="F1387" r:id="rId1379" location="tooltipped-multiline-tooltipped-w-after" display="https://zeke.github.io/primer-cheatsheet/ - tooltipped-multiline-tooltipped-w-after" xr:uid="{42D61BDC-BCE8-514D-9625-74EAE3F533B8}"/>
    <hyperlink ref="F1388" r:id="rId1380" location="tooltipped-n-after" display="https://zeke.github.io/primer-cheatsheet/ - tooltipped-n-after" xr:uid="{5AA5D17A-9BA3-2D44-9FA9-0691E2AB6E74}"/>
    <hyperlink ref="F1389" r:id="rId1381" location="tooltipped-n-before" display="https://zeke.github.io/primer-cheatsheet/ - tooltipped-n-before" xr:uid="{DF301EE2-4FD4-D149-977A-35D5ED01DF96}"/>
    <hyperlink ref="F1390" r:id="rId1382" location="tooltipped-ne-after" display="https://zeke.github.io/primer-cheatsheet/ - tooltipped-ne-after" xr:uid="{6D8126EA-297A-1144-9310-567733AF87CD}"/>
    <hyperlink ref="F1391" r:id="rId1383" location="tooltipped-no-delay-hover-before" display="https://zeke.github.io/primer-cheatsheet/ - tooltipped-no-delay-hover-before" xr:uid="{3E7C1AEF-F924-CF44-9984-8776DBC987DA}"/>
    <hyperlink ref="F1392" r:id="rId1384" location="tooltipped-nw-after" display="https://zeke.github.io/primer-cheatsheet/ - tooltipped-nw-after" xr:uid="{FB3DEADD-1753-8B44-BFD0-85DA89E1C21A}"/>
    <hyperlink ref="F1394" r:id="rId1385" location="tooltipped-s-after" display="https://zeke.github.io/primer-cheatsheet/ - tooltipped-s-after" xr:uid="{69557E44-0D18-5945-BB29-DBF552B7272F}"/>
    <hyperlink ref="F1393" r:id="rId1386" location="tooltipped-s-after" display="https://zeke.github.io/primer-cheatsheet/ - tooltipped-s-after" xr:uid="{062A0039-AEB0-6F4B-A7E6-83DA967D28EC}"/>
    <hyperlink ref="F1395" r:id="rId1387" location="tooltipped-s-before" display="https://zeke.github.io/primer-cheatsheet/ - tooltipped-s-before" xr:uid="{A2487B4C-3EA5-114C-B994-40FDE8286CC6}"/>
    <hyperlink ref="F1396" r:id="rId1388" location="tooltipped-se-after" display="https://zeke.github.io/primer-cheatsheet/ - tooltipped-se-after" xr:uid="{6B6596C0-9E91-BC40-B4BD-40591BA82EA4}"/>
    <hyperlink ref="F1397" r:id="rId1389" location="tooltipped-sticky-before" display="https://zeke.github.io/primer-cheatsheet/ - tooltipped-sticky-before" xr:uid="{4B2CAE48-A873-DB4A-A591-E7E71D7C818C}"/>
    <hyperlink ref="F1398" r:id="rId1390" location="tooltipped-sticky-tooltipped-multiline-after" display="https://zeke.github.io/primer-cheatsheet/ - tooltipped-sticky-tooltipped-multiline-after" xr:uid="{E8FC6B12-E3CB-2043-914E-44A9A371000C}"/>
    <hyperlink ref="F1399" r:id="rId1391" location="tooltipped-sw-after" display="https://zeke.github.io/primer-cheatsheet/ - tooltipped-sw-after" xr:uid="{EFC12918-1A01-4F47-B82F-A2F9CD77AFDA}"/>
    <hyperlink ref="F1400" r:id="rId1392" location="tooltipped-w-after" display="https://zeke.github.io/primer-cheatsheet/ - tooltipped-w-after" xr:uid="{6916ED50-5ABE-C34E-8C4E-B32E68627CB4}"/>
    <hyperlink ref="F1401" r:id="rId1393" location="tooltipped-w-before" display="https://zeke.github.io/primer-cheatsheet/ - tooltipped-w-before" xr:uid="{7891DE7E-41E3-1E49-83E2-6683856A6C47}"/>
    <hyperlink ref="F1402" r:id="rId1394" location="tooltipped-after" display="https://zeke.github.io/primer-cheatsheet/ - tooltipped-after" xr:uid="{72FD599C-F348-2D4F-9A9E-B361222CD2A0}"/>
    <hyperlink ref="F1403" r:id="rId1395" location="tooltipped-before" display="https://zeke.github.io/primer-cheatsheet/ - tooltipped-before" xr:uid="{29C4700C-EBFB-3044-993F-939AAB1EEDA8}"/>
    <hyperlink ref="F1404" r:id="rId1396" location="tooltipped-hover-before" display="https://zeke.github.io/primer-cheatsheet/ - tooltipped-hover-before" xr:uid="{C2F1A861-F6C9-C247-9136-A7B2DB935E06}"/>
    <hyperlink ref="F1405" r:id="rId1397" location="top-0" display="https://zeke.github.io/primer-cheatsheet/ - top-0" xr:uid="{82199B09-1CAE-9F44-8BBF-67C08E6EBE00}"/>
    <hyperlink ref="F1406" r:id="rId1398" location="top-0" display="https://zeke.github.io/primer-cheatsheet/ - top-0" xr:uid="{A7511978-289F-5D44-85EB-D96AFC75ED4D}"/>
    <hyperlink ref="F1407" r:id="rId1399" location="top-1" display="https://zeke.github.io/primer-cheatsheet/ - top-1" xr:uid="{ECD766C2-41E7-EA45-9E19-E385D14F7166}"/>
    <hyperlink ref="F1408" r:id="rId1400" location="top-10" display="https://zeke.github.io/primer-cheatsheet/ - top-10" xr:uid="{34DD4209-79E2-1548-96BF-9C618E11F6A8}"/>
    <hyperlink ref="F1409" r:id="rId1401" location="top-11" display="https://zeke.github.io/primer-cheatsheet/ - top-11" xr:uid="{97033CE9-4EBA-D749-B679-A00F0501D1E2}"/>
    <hyperlink ref="F1410" r:id="rId1402" location="top-12" display="https://zeke.github.io/primer-cheatsheet/ - top-12" xr:uid="{B22BA262-34FF-024A-94D8-8FAA2AB0239C}"/>
    <hyperlink ref="F1411" r:id="rId1403" location="top-2" display="https://zeke.github.io/primer-cheatsheet/ - top-2" xr:uid="{B531E513-FA56-5E41-AB0B-03056A10053F}"/>
    <hyperlink ref="F1412" r:id="rId1404" location="top-3" display="https://zeke.github.io/primer-cheatsheet/ - top-3" xr:uid="{D8E9C029-43D6-2249-AF78-BB5CE71614DA}"/>
    <hyperlink ref="F1413" r:id="rId1405" location="top-4" display="https://zeke.github.io/primer-cheatsheet/ - top-4" xr:uid="{D92B98F5-C3CA-C04F-B328-9EF0E98BAD5C}"/>
    <hyperlink ref="F1414" r:id="rId1406" location="top-5" display="https://zeke.github.io/primer-cheatsheet/ - top-5" xr:uid="{D51E7026-9672-874A-9C96-CEC8CF2911AD}"/>
    <hyperlink ref="F1415" r:id="rId1407" location="top-6" display="https://zeke.github.io/primer-cheatsheet/ - top-6" xr:uid="{242368C8-9E41-244C-819C-67635FC85B9A}"/>
    <hyperlink ref="F1416" r:id="rId1408" location="top-7" display="https://zeke.github.io/primer-cheatsheet/ - top-7" xr:uid="{3D8F87DB-0A4A-0E4A-BF87-1C98488D30BC}"/>
    <hyperlink ref="F1417" r:id="rId1409" location="top-8" display="https://zeke.github.io/primer-cheatsheet/ - top-8" xr:uid="{74EF442A-D04F-364F-9992-7A5689F24FFD}"/>
    <hyperlink ref="F1418" r:id="rId1410" location="top-9" display="https://zeke.github.io/primer-cheatsheet/ - top-9" xr:uid="{A9EA4595-2B2A-644E-90C0-68CB85273291}"/>
    <hyperlink ref="F1419" r:id="rId1411" location="top-n0" display="https://zeke.github.io/primer-cheatsheet/ - top-n0" xr:uid="{CAB1C99E-1B75-CF4F-83A0-0E4E4F2427A8}"/>
    <hyperlink ref="F1420" r:id="rId1412" location="top-n1" display="https://zeke.github.io/primer-cheatsheet/ - top-n1" xr:uid="{0A4FB7A7-F031-2E42-9B9E-5E80BA37438B}"/>
    <hyperlink ref="F1421" r:id="rId1413" location="top-n10" display="https://zeke.github.io/primer-cheatsheet/ - top-n10" xr:uid="{59694307-9DA8-CC4E-8434-A77611BA517A}"/>
    <hyperlink ref="F1422" r:id="rId1414" location="top-n11" display="https://zeke.github.io/primer-cheatsheet/ - top-n11" xr:uid="{A31C2693-EA02-4B47-91FD-754728FF2098}"/>
    <hyperlink ref="F1423" r:id="rId1415" location="top-n12" display="https://zeke.github.io/primer-cheatsheet/ - top-n12" xr:uid="{A6BD486D-F232-9F49-8DB8-3AD09CC6490C}"/>
    <hyperlink ref="F1424" r:id="rId1416" location="top-n2" display="https://zeke.github.io/primer-cheatsheet/ - top-n2" xr:uid="{37FEEC7F-28FD-C448-A759-8D37B749B865}"/>
    <hyperlink ref="F1425" r:id="rId1417" location="top-n3" display="https://zeke.github.io/primer-cheatsheet/ - top-n3" xr:uid="{994EEB12-5857-F846-B130-469307765738}"/>
    <hyperlink ref="F1426" r:id="rId1418" location="top-n4" display="https://zeke.github.io/primer-cheatsheet/ - top-n4" xr:uid="{A2972FEF-CBEA-7446-AE94-584672C296EA}"/>
    <hyperlink ref="F1427" r:id="rId1419" location="top-n5" display="https://zeke.github.io/primer-cheatsheet/ - top-n5" xr:uid="{FACB0AF8-715F-CE40-AE95-34D87E0ADADA}"/>
    <hyperlink ref="F1428" r:id="rId1420" location="top-n6" display="https://zeke.github.io/primer-cheatsheet/ - top-n6" xr:uid="{3EBD7F40-72B7-074F-B505-93F2CFCA75F4}"/>
    <hyperlink ref="F1429" r:id="rId1421" location="top-n7" display="https://zeke.github.io/primer-cheatsheet/ - top-n7" xr:uid="{85AD1FC3-2995-DC46-A429-FA444ED7F0C6}"/>
    <hyperlink ref="F1430" r:id="rId1422" location="top-n8" display="https://zeke.github.io/primer-cheatsheet/ - top-n8" xr:uid="{0EA6BC53-54A0-424E-8E27-62AE59F1E19E}"/>
    <hyperlink ref="F1431" r:id="rId1423" location="top-n9" display="https://zeke.github.io/primer-cheatsheet/ - top-n9" xr:uid="{675DD3C9-F201-4B47-AF72-CE6DABBB7FC7}"/>
    <hyperlink ref="F1432" r:id="rId1424" location="underline-nav" display="https://zeke.github.io/primer-cheatsheet/ - underline-nav" xr:uid="{165B9FE6-B16D-2D45-83DB-F9E7405F6C00}"/>
    <hyperlink ref="F1433" r:id="rId1425" location="underline-nav-full" display="https://zeke.github.io/primer-cheatsheet/ - underline-nav-full" xr:uid="{4852274C-4F0D-A04A-9A29-8D0EFDD6114E}"/>
    <hyperlink ref="F1434" r:id="rId1426" location="underline-nav-right" display="https://zeke.github.io/primer-cheatsheet/ - underline-nav-right" xr:uid="{5545C648-ADAF-6846-A234-091248C2BA51}"/>
    <hyperlink ref="F1435" r:id="rId1427" location="underline-nav-right-underline-nav-actions" display="https://zeke.github.io/primer-cheatsheet/ - underline-nav-right-underline-nav-actions" xr:uid="{FB87BD0D-55AC-1541-A690-2BA4C55FB8B3}"/>
    <hyperlink ref="F1436" r:id="rId1428" location="underline-nav-right-underline-nav-item" display="https://zeke.github.io/primer-cheatsheet/ - underline-nav-right-underline-nav-item" xr:uid="{B795AC3F-9D96-2D4D-8DCC-F71EF2772981}"/>
    <hyperlink ref="F1437" r:id="rId1429" location="underline-nav-actions" display="https://zeke.github.io/primer-cheatsheet/ - underline-nav-actions" xr:uid="{03F44C21-EE21-7842-ACDD-83E42CF35435}"/>
    <hyperlink ref="F1438" r:id="rId1430" location="underline-nav-body" display="https://zeke.github.io/primer-cheatsheet/ - underline-nav-body" xr:uid="{15EE72C0-E5C8-074A-A0FB-36A7F8E61209}"/>
    <hyperlink ref="F1439" r:id="rId1431" location="underline-nav-container" display="https://zeke.github.io/primer-cheatsheet/ - underline-nav-container" xr:uid="{B38D3160-B398-964F-A674-5D9D8F3F4298}"/>
    <hyperlink ref="F1440" r:id="rId1432" location="underline-nav-item" display="https://zeke.github.io/primer-cheatsheet/ - underline-nav-item" xr:uid="{A8DC0736-90F2-7F41-8E2C-2E274DE7C886}"/>
    <hyperlink ref="F1442" r:id="rId1433" location="underline-nav-item-hover" display="https://zeke.github.io/primer-cheatsheet/ - underline-nav-item-hover" xr:uid="{76F8866A-BA26-6E46-95DC-E5167AD83EB5}"/>
    <hyperlink ref="F1441" r:id="rId1434" location="underline-nav-item-hover-underline-nav-octicon" display="https://zeke.github.io/primer-cheatsheet/ - underline-nav-item-hover-underline-nav-octicon" xr:uid="{0E177D65-A84A-E742-BD9B-EDCB87191BDE}"/>
    <hyperlink ref="F1444" r:id="rId1435" location="underline-nav-item-role-tab-aria-selected-true" display="https://zeke.github.io/primer-cheatsheet/ - underline-nav-item-role-tab-aria-selected-true" xr:uid="{64CCA953-CB0C-D647-AC1E-468BF85DA5D5}"/>
    <hyperlink ref="F1443" r:id="rId1436" location="underline-nav-item-role-tab-aria-selected-true-underline-nav-octicon" display="https://zeke.github.io/primer-cheatsheet/ - underline-nav-item-role-tab-aria-selected-true-underline-nav-octicon" xr:uid="{334656AD-0637-454F-ADD0-515F2A20A0D3}"/>
    <hyperlink ref="F1445" r:id="rId1437" location="underline-nav-octicon" display="https://zeke.github.io/primer-cheatsheet/ - underline-nav-octicon" xr:uid="{30567C6E-B0EA-B94B-BF5C-20214E9E2622}"/>
    <hyperlink ref="F1446" r:id="rId1438" location="upload-enabled-textarea" display="https://zeke.github.io/primer-cheatsheet/ - upload-enabled-textarea" xr:uid="{CDAF9B23-3C6D-4F43-8C05-43698D75B84F}"/>
    <hyperlink ref="F1447" r:id="rId1439" location="upload-enabled-focused" display="https://zeke.github.io/primer-cheatsheet/ - upload-enabled-focused" xr:uid="{9B8717A8-0D95-3D4A-B270-CB0916776D43}"/>
    <hyperlink ref="F1448" r:id="rId1440" location="upload-enabled-focused-drag-and-drop" display="https://zeke.github.io/primer-cheatsheet/ - upload-enabled-focused-drag-and-drop" xr:uid="{0B801783-F502-4146-8DFE-DAAF66CED24F}"/>
    <hyperlink ref="F1449" r:id="rId1441" location="upload-enabled-focused-form-control" display="https://zeke.github.io/primer-cheatsheet/ - upload-enabled-focused-form-control" xr:uid="{D1825E1B-3C8E-4E4F-A0FB-62855FF1C092}"/>
    <hyperlink ref="F1450" r:id="rId1442" location="user-select-none" display="https://zeke.github.io/primer-cheatsheet/ - user-select-none" xr:uid="{126C80C8-6871-B44F-BA78-89EE2D049057}"/>
    <hyperlink ref="F1451" r:id="rId1443" location="v-align-baseline" display="https://zeke.github.io/primer-cheatsheet/ - v-align-baseline" xr:uid="{F118E616-9BDE-5F47-BD1A-27E7F6F77A67}"/>
    <hyperlink ref="F1452" r:id="rId1444" location="v-align-bottom" display="https://zeke.github.io/primer-cheatsheet/ - v-align-bottom" xr:uid="{8D16E5D7-689D-7244-A6CE-75D4F11EE429}"/>
    <hyperlink ref="F1453" r:id="rId1445" location="v-align-middle" display="https://zeke.github.io/primer-cheatsheet/ - v-align-middle" xr:uid="{01DA4951-ACFA-5848-BD5A-7D2637DCD0DE}"/>
    <hyperlink ref="F1454" r:id="rId1446" location="v-align-text-bottom" display="https://zeke.github.io/primer-cheatsheet/ - v-align-text-bottom" xr:uid="{83666D33-58C1-AA44-9463-922452ABFAE4}"/>
    <hyperlink ref="F1455" r:id="rId1447" location="v-align-text-top" display="https://zeke.github.io/primer-cheatsheet/ - v-align-text-top" xr:uid="{0F283910-2358-BC4B-B95A-9F20CAC763E0}"/>
    <hyperlink ref="F1456" r:id="rId1448" location="v-align-top" display="https://zeke.github.io/primer-cheatsheet/ - v-align-top" xr:uid="{70C09D36-3408-F84B-80D4-E01C5810D1FD}"/>
    <hyperlink ref="F1457" r:id="rId1449" location="v-hidden" display="https://zeke.github.io/primer-cheatsheet/ - v-hidden" xr:uid="{7EC2BB1C-843D-694C-B49E-D5A85902B811}"/>
    <hyperlink ref="F1458" r:id="rId1450" location="v-visible" display="https://zeke.github.io/primer-cheatsheet/ - v-visible" xr:uid="{FB1EA3D4-230F-2A4D-9C1A-410B7B2C2DDA}"/>
    <hyperlink ref="F1459" r:id="rId1451" location="warning" display="https://zeke.github.io/primer-cheatsheet/ - warning" xr:uid="{606912DF-1E70-0A47-BCF6-63C866848F0C}"/>
    <hyperlink ref="F1460" r:id="rId1452" location="wb-break-all" display="https://zeke.github.io/primer-cheatsheet/ - wb-break-all" xr:uid="{E728C03A-73D7-F341-A20B-B97097C1FC90}"/>
    <hyperlink ref="F1461" r:id="rId1453" location="width-auto" display="https://zeke.github.io/primer-cheatsheet/ - width-auto" xr:uid="{0F225145-57A4-3441-A597-643D9C3F03F5}"/>
    <hyperlink ref="F1462" r:id="rId1454" location="width-fit" display="https://zeke.github.io/primer-cheatsheet/ - width-fit" xr:uid="{0BB68F6D-E066-6F4C-823C-DE2F93438202}"/>
    <hyperlink ref="F1463" r:id="rId1455" location="width-full" display="https://zeke.github.io/primer-cheatsheet/ - width-full" xr:uid="{B94B76FB-B2ED-3741-AEC0-5504CF6B3582}"/>
    <hyperlink ref="F1464" r:id="rId1456" location="write-content" display="https://zeke.github.io/primer-cheatsheet/ - write-content" xr:uid="{82EE07C2-5DAA-2A41-8C0D-0007AFB21FA9}"/>
    <hyperlink ref="F1465" r:id="rId1457" location="ws-normal" display="https://zeke.github.io/primer-cheatsheet/ - ws-normal" xr:uid="{22734EFC-0307-3A4B-B9DE-AF7F2C936CB5}"/>
    <hyperlink ref="F8" r:id="rId1458" location="anim-fade-down" display="https://zeke.github.io/primer-cheatsheet/ - anim-fade-down" xr:uid="{D67E1420-E9B4-794F-A122-21FD227E9109}"/>
  </hyperlinks>
  <pageMargins left="0.7" right="0.7" top="0.75" bottom="0.75" header="0.3" footer="0.3"/>
  <tableParts count="1">
    <tablePart r:id="rId145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D6E3-B48F-C54B-87D4-70E12496BDDE}">
  <dimension ref="C4:G642"/>
  <sheetViews>
    <sheetView topLeftCell="A622" workbookViewId="0">
      <selection activeCell="D641" sqref="D641:D642"/>
    </sheetView>
  </sheetViews>
  <sheetFormatPr baseColWidth="10" defaultRowHeight="16"/>
  <cols>
    <col min="3" max="3" width="36.5" customWidth="1"/>
    <col min="4" max="4" width="36.5" style="41" customWidth="1"/>
    <col min="5" max="5" width="20" bestFit="1" customWidth="1"/>
  </cols>
  <sheetData>
    <row r="4" spans="3:7">
      <c r="E4" t="s">
        <v>6178</v>
      </c>
      <c r="F4" t="s">
        <v>6177</v>
      </c>
    </row>
    <row r="6" spans="3:7">
      <c r="C6" t="s">
        <v>3478</v>
      </c>
      <c r="D6" s="41" t="str">
        <f>"."&amp;E6</f>
        <v>.collapse</v>
      </c>
      <c r="E6" t="s">
        <v>3155</v>
      </c>
      <c r="F6" t="s">
        <v>6139</v>
      </c>
      <c r="G6" t="s">
        <v>3524</v>
      </c>
    </row>
    <row r="7" spans="3:7">
      <c r="C7" t="s">
        <v>3478</v>
      </c>
      <c r="D7" s="41" t="str">
        <f t="shared" ref="D7:D70" si="0">"."&amp;E7</f>
        <v>.collapse-title</v>
      </c>
      <c r="E7" t="s">
        <v>6140</v>
      </c>
      <c r="F7" t="s">
        <v>6141</v>
      </c>
      <c r="G7" t="s">
        <v>6142</v>
      </c>
    </row>
    <row r="8" spans="3:7">
      <c r="C8" t="s">
        <v>3478</v>
      </c>
      <c r="D8" s="41" t="str">
        <f t="shared" si="0"/>
        <v>.collapse-content</v>
      </c>
      <c r="E8" t="s">
        <v>6143</v>
      </c>
      <c r="F8" t="s">
        <v>6141</v>
      </c>
      <c r="G8" t="s">
        <v>6144</v>
      </c>
    </row>
    <row r="9" spans="3:7">
      <c r="C9" t="s">
        <v>3478</v>
      </c>
      <c r="D9" s="41" t="str">
        <f t="shared" si="0"/>
        <v>.collapse-arrow</v>
      </c>
      <c r="E9" t="s">
        <v>6145</v>
      </c>
      <c r="F9" t="s">
        <v>6146</v>
      </c>
      <c r="G9" t="s">
        <v>6147</v>
      </c>
    </row>
    <row r="10" spans="3:7">
      <c r="C10" t="s">
        <v>3478</v>
      </c>
      <c r="D10" s="41" t="str">
        <f t="shared" si="0"/>
        <v>.collapse-plus</v>
      </c>
      <c r="E10" t="s">
        <v>6148</v>
      </c>
      <c r="F10" t="s">
        <v>6146</v>
      </c>
      <c r="G10" t="s">
        <v>6149</v>
      </c>
    </row>
    <row r="11" spans="3:7">
      <c r="C11" t="s">
        <v>3478</v>
      </c>
      <c r="D11" s="41" t="str">
        <f t="shared" si="0"/>
        <v>.collapse-open</v>
      </c>
      <c r="E11" t="s">
        <v>6150</v>
      </c>
      <c r="F11" t="s">
        <v>6146</v>
      </c>
      <c r="G11" t="s">
        <v>6151</v>
      </c>
    </row>
    <row r="12" spans="3:7">
      <c r="C12" t="s">
        <v>3478</v>
      </c>
      <c r="D12" s="41" t="str">
        <f t="shared" si="0"/>
        <v>.collapse-close</v>
      </c>
      <c r="E12" t="s">
        <v>6152</v>
      </c>
      <c r="F12" t="s">
        <v>6146</v>
      </c>
      <c r="G12" t="s">
        <v>6153</v>
      </c>
    </row>
    <row r="13" spans="3:7">
      <c r="D13" s="41" t="str">
        <f t="shared" si="0"/>
        <v>.</v>
      </c>
    </row>
    <row r="14" spans="3:7">
      <c r="C14" t="s">
        <v>6176</v>
      </c>
      <c r="D14" s="41" t="str">
        <f t="shared" si="0"/>
        <v>.alert</v>
      </c>
      <c r="E14" t="s">
        <v>1153</v>
      </c>
      <c r="F14" t="s">
        <v>6139</v>
      </c>
      <c r="G14" t="s">
        <v>6154</v>
      </c>
    </row>
    <row r="15" spans="3:7">
      <c r="C15" t="s">
        <v>6176</v>
      </c>
      <c r="D15" s="41" t="str">
        <f t="shared" si="0"/>
        <v>.alert-outline</v>
      </c>
      <c r="E15" t="s">
        <v>6155</v>
      </c>
      <c r="F15" t="s">
        <v>6156</v>
      </c>
      <c r="G15" t="s">
        <v>6157</v>
      </c>
    </row>
    <row r="16" spans="3:7">
      <c r="C16" t="s">
        <v>6176</v>
      </c>
      <c r="D16" s="41" t="str">
        <f t="shared" si="0"/>
        <v>.alert-dash</v>
      </c>
      <c r="E16" t="s">
        <v>6158</v>
      </c>
      <c r="F16" t="s">
        <v>6156</v>
      </c>
      <c r="G16" t="s">
        <v>6159</v>
      </c>
    </row>
    <row r="17" spans="3:7">
      <c r="C17" t="s">
        <v>6176</v>
      </c>
      <c r="D17" s="41" t="str">
        <f t="shared" si="0"/>
        <v>.alert-soft</v>
      </c>
      <c r="E17" t="s">
        <v>6160</v>
      </c>
      <c r="F17" t="s">
        <v>6156</v>
      </c>
      <c r="G17" t="s">
        <v>6161</v>
      </c>
    </row>
    <row r="18" spans="3:7">
      <c r="C18" t="s">
        <v>6176</v>
      </c>
      <c r="D18" s="41" t="str">
        <f t="shared" si="0"/>
        <v>.alert-info</v>
      </c>
      <c r="E18" t="s">
        <v>6162</v>
      </c>
      <c r="F18" t="s">
        <v>6163</v>
      </c>
      <c r="G18" t="s">
        <v>6164</v>
      </c>
    </row>
    <row r="19" spans="3:7">
      <c r="C19" t="s">
        <v>6176</v>
      </c>
      <c r="D19" s="41" t="str">
        <f t="shared" si="0"/>
        <v>.alert-success</v>
      </c>
      <c r="E19" t="s">
        <v>6165</v>
      </c>
      <c r="F19" t="s">
        <v>6163</v>
      </c>
      <c r="G19" t="s">
        <v>6166</v>
      </c>
    </row>
    <row r="20" spans="3:7">
      <c r="C20" t="s">
        <v>6176</v>
      </c>
      <c r="D20" s="41" t="str">
        <f t="shared" si="0"/>
        <v>.alert-warning</v>
      </c>
      <c r="E20" t="s">
        <v>6167</v>
      </c>
      <c r="F20" t="s">
        <v>6163</v>
      </c>
      <c r="G20" t="s">
        <v>6168</v>
      </c>
    </row>
    <row r="21" spans="3:7">
      <c r="C21" t="s">
        <v>6176</v>
      </c>
      <c r="D21" s="41" t="str">
        <f t="shared" si="0"/>
        <v>.alert-error</v>
      </c>
      <c r="E21" t="s">
        <v>6169</v>
      </c>
      <c r="F21" t="s">
        <v>6163</v>
      </c>
      <c r="G21" t="s">
        <v>6170</v>
      </c>
    </row>
    <row r="22" spans="3:7">
      <c r="C22" t="s">
        <v>6176</v>
      </c>
      <c r="D22" s="41" t="str">
        <f t="shared" si="0"/>
        <v>.alert-vertical</v>
      </c>
      <c r="E22" t="s">
        <v>6171</v>
      </c>
      <c r="F22" t="s">
        <v>6172</v>
      </c>
      <c r="G22" t="s">
        <v>6173</v>
      </c>
    </row>
    <row r="23" spans="3:7">
      <c r="C23" t="s">
        <v>6176</v>
      </c>
      <c r="D23" s="41" t="str">
        <f t="shared" si="0"/>
        <v>.alert-horizontal</v>
      </c>
      <c r="E23" t="s">
        <v>6174</v>
      </c>
      <c r="F23" t="s">
        <v>6172</v>
      </c>
      <c r="G23" t="s">
        <v>6175</v>
      </c>
    </row>
    <row r="25" spans="3:7">
      <c r="C25" t="s">
        <v>6180</v>
      </c>
      <c r="D25" s="41" t="str">
        <f t="shared" si="0"/>
        <v>.avatar</v>
      </c>
      <c r="E25" s="39" t="s">
        <v>6179</v>
      </c>
      <c r="F25" s="40" t="s">
        <v>6139</v>
      </c>
      <c r="G25" s="40" t="s">
        <v>6180</v>
      </c>
    </row>
    <row r="26" spans="3:7">
      <c r="C26" t="s">
        <v>6180</v>
      </c>
      <c r="D26" s="41" t="str">
        <f t="shared" si="0"/>
        <v>.avatar-group</v>
      </c>
      <c r="E26" s="39" t="s">
        <v>6181</v>
      </c>
      <c r="F26" s="40" t="s">
        <v>6139</v>
      </c>
      <c r="G26" s="40" t="s">
        <v>6182</v>
      </c>
    </row>
    <row r="27" spans="3:7">
      <c r="C27" t="s">
        <v>6180</v>
      </c>
      <c r="D27" s="41" t="str">
        <f t="shared" si="0"/>
        <v>.avatar-online</v>
      </c>
      <c r="E27" s="39" t="s">
        <v>6183</v>
      </c>
      <c r="F27" s="40" t="s">
        <v>6146</v>
      </c>
      <c r="G27" s="40" t="s">
        <v>6184</v>
      </c>
    </row>
    <row r="28" spans="3:7">
      <c r="C28" t="s">
        <v>6180</v>
      </c>
      <c r="D28" s="41" t="str">
        <f t="shared" si="0"/>
        <v>.avatar-offline</v>
      </c>
      <c r="E28" s="39" t="s">
        <v>6185</v>
      </c>
      <c r="F28" s="40" t="s">
        <v>6146</v>
      </c>
      <c r="G28" s="40" t="s">
        <v>6186</v>
      </c>
    </row>
    <row r="29" spans="3:7">
      <c r="C29" t="s">
        <v>6180</v>
      </c>
      <c r="D29" s="41" t="str">
        <f t="shared" si="0"/>
        <v>.avatar-placeholder</v>
      </c>
      <c r="E29" s="39" t="s">
        <v>6187</v>
      </c>
      <c r="F29" s="40" t="s">
        <v>6146</v>
      </c>
      <c r="G29" s="40" t="s">
        <v>6188</v>
      </c>
    </row>
    <row r="31" spans="3:7">
      <c r="C31" t="s">
        <v>6247</v>
      </c>
      <c r="D31" s="41" t="str">
        <f t="shared" si="0"/>
        <v>.badge</v>
      </c>
      <c r="E31" s="39" t="s">
        <v>1194</v>
      </c>
      <c r="F31" s="40" t="s">
        <v>6139</v>
      </c>
      <c r="G31" s="40" t="s">
        <v>6154</v>
      </c>
    </row>
    <row r="32" spans="3:7">
      <c r="C32" t="s">
        <v>6247</v>
      </c>
      <c r="D32" s="41" t="str">
        <f t="shared" si="0"/>
        <v>.badge-outline</v>
      </c>
      <c r="E32" s="39" t="s">
        <v>6195</v>
      </c>
      <c r="F32" s="40" t="s">
        <v>6156</v>
      </c>
      <c r="G32" s="40" t="s">
        <v>6157</v>
      </c>
    </row>
    <row r="33" spans="3:7">
      <c r="C33" t="s">
        <v>6247</v>
      </c>
      <c r="D33" s="41" t="str">
        <f t="shared" si="0"/>
        <v>.badge-dash</v>
      </c>
      <c r="E33" s="39" t="s">
        <v>6196</v>
      </c>
      <c r="F33" s="40" t="s">
        <v>6156</v>
      </c>
      <c r="G33" s="40" t="s">
        <v>6159</v>
      </c>
    </row>
    <row r="34" spans="3:7">
      <c r="C34" t="s">
        <v>6247</v>
      </c>
      <c r="D34" s="41" t="str">
        <f t="shared" si="0"/>
        <v>.badge-soft</v>
      </c>
      <c r="E34" s="39" t="s">
        <v>6197</v>
      </c>
      <c r="F34" s="40" t="s">
        <v>6156</v>
      </c>
      <c r="G34" s="40" t="s">
        <v>6161</v>
      </c>
    </row>
    <row r="35" spans="3:7">
      <c r="C35" t="s">
        <v>6247</v>
      </c>
      <c r="D35" s="41" t="str">
        <f t="shared" si="0"/>
        <v>.badge-ghost</v>
      </c>
      <c r="E35" s="39" t="s">
        <v>6198</v>
      </c>
      <c r="F35" s="40" t="s">
        <v>6156</v>
      </c>
      <c r="G35" s="40" t="s">
        <v>6199</v>
      </c>
    </row>
    <row r="36" spans="3:7">
      <c r="C36" t="s">
        <v>6247</v>
      </c>
      <c r="D36" s="41" t="str">
        <f t="shared" si="0"/>
        <v>.badge-neutral</v>
      </c>
      <c r="E36" s="39" t="s">
        <v>6200</v>
      </c>
      <c r="F36" s="40" t="s">
        <v>6163</v>
      </c>
      <c r="G36" s="40" t="s">
        <v>6201</v>
      </c>
    </row>
    <row r="37" spans="3:7">
      <c r="C37" t="s">
        <v>6247</v>
      </c>
      <c r="D37" s="41" t="str">
        <f t="shared" si="0"/>
        <v>.badge-primary</v>
      </c>
      <c r="E37" s="39" t="s">
        <v>6202</v>
      </c>
      <c r="F37" s="40" t="s">
        <v>6163</v>
      </c>
      <c r="G37" s="40" t="s">
        <v>6203</v>
      </c>
    </row>
    <row r="38" spans="3:7">
      <c r="C38" t="s">
        <v>6247</v>
      </c>
      <c r="D38" s="41" t="str">
        <f t="shared" si="0"/>
        <v>.badge-secondary</v>
      </c>
      <c r="E38" s="39" t="s">
        <v>6204</v>
      </c>
      <c r="F38" s="40" t="s">
        <v>6163</v>
      </c>
      <c r="G38" s="40" t="s">
        <v>6205</v>
      </c>
    </row>
    <row r="39" spans="3:7">
      <c r="C39" t="s">
        <v>6247</v>
      </c>
      <c r="D39" s="41" t="str">
        <f t="shared" si="0"/>
        <v>.badge-accent</v>
      </c>
      <c r="E39" s="39" t="s">
        <v>6206</v>
      </c>
      <c r="F39" s="40" t="s">
        <v>6163</v>
      </c>
      <c r="G39" s="40" t="s">
        <v>6207</v>
      </c>
    </row>
    <row r="40" spans="3:7">
      <c r="C40" t="s">
        <v>6247</v>
      </c>
      <c r="D40" s="41" t="str">
        <f t="shared" si="0"/>
        <v>.badge-info</v>
      </c>
      <c r="E40" s="39" t="s">
        <v>6208</v>
      </c>
      <c r="F40" s="40" t="s">
        <v>6163</v>
      </c>
      <c r="G40" s="40" t="s">
        <v>6164</v>
      </c>
    </row>
    <row r="41" spans="3:7">
      <c r="C41" t="s">
        <v>6247</v>
      </c>
      <c r="D41" s="41" t="str">
        <f t="shared" si="0"/>
        <v>.badge-success</v>
      </c>
      <c r="E41" s="39" t="s">
        <v>6209</v>
      </c>
      <c r="F41" s="40" t="s">
        <v>6163</v>
      </c>
      <c r="G41" s="40" t="s">
        <v>6166</v>
      </c>
    </row>
    <row r="42" spans="3:7">
      <c r="C42" t="s">
        <v>6247</v>
      </c>
      <c r="D42" s="41" t="str">
        <f t="shared" si="0"/>
        <v>.badge-warning</v>
      </c>
      <c r="E42" s="39" t="s">
        <v>6210</v>
      </c>
      <c r="F42" s="40" t="s">
        <v>6163</v>
      </c>
      <c r="G42" s="40" t="s">
        <v>6168</v>
      </c>
    </row>
    <row r="43" spans="3:7">
      <c r="C43" t="s">
        <v>6247</v>
      </c>
      <c r="D43" s="41" t="str">
        <f t="shared" si="0"/>
        <v>.badge-error</v>
      </c>
      <c r="E43" s="39" t="s">
        <v>6211</v>
      </c>
      <c r="F43" s="40" t="s">
        <v>6163</v>
      </c>
      <c r="G43" s="40" t="s">
        <v>6170</v>
      </c>
    </row>
    <row r="44" spans="3:7">
      <c r="C44" t="s">
        <v>6247</v>
      </c>
      <c r="D44" s="41" t="str">
        <f t="shared" si="0"/>
        <v>.badge-xs</v>
      </c>
      <c r="E44" s="39" t="s">
        <v>6212</v>
      </c>
      <c r="F44" s="40" t="s">
        <v>6213</v>
      </c>
      <c r="G44" s="40" t="s">
        <v>6214</v>
      </c>
    </row>
    <row r="45" spans="3:7">
      <c r="C45" t="s">
        <v>6247</v>
      </c>
      <c r="D45" s="41" t="str">
        <f t="shared" si="0"/>
        <v>.badge-sm</v>
      </c>
      <c r="E45" s="39" t="s">
        <v>6215</v>
      </c>
      <c r="F45" s="40" t="s">
        <v>6213</v>
      </c>
      <c r="G45" s="40" t="s">
        <v>6216</v>
      </c>
    </row>
    <row r="46" spans="3:7">
      <c r="C46" t="s">
        <v>6247</v>
      </c>
      <c r="D46" s="41" t="str">
        <f t="shared" si="0"/>
        <v>.badge-md</v>
      </c>
      <c r="E46" s="39" t="s">
        <v>6217</v>
      </c>
      <c r="F46" s="40" t="s">
        <v>6213</v>
      </c>
      <c r="G46" s="40" t="s">
        <v>6218</v>
      </c>
    </row>
    <row r="47" spans="3:7">
      <c r="C47" t="s">
        <v>6247</v>
      </c>
      <c r="D47" s="41" t="str">
        <f t="shared" si="0"/>
        <v>.badge-lg</v>
      </c>
      <c r="E47" s="39" t="s">
        <v>6219</v>
      </c>
      <c r="F47" s="40" t="s">
        <v>6213</v>
      </c>
      <c r="G47" s="40" t="s">
        <v>6220</v>
      </c>
    </row>
    <row r="48" spans="3:7">
      <c r="C48" t="s">
        <v>6247</v>
      </c>
      <c r="D48" s="41" t="str">
        <f t="shared" si="0"/>
        <v>.badge-xl</v>
      </c>
      <c r="E48" s="39" t="s">
        <v>6221</v>
      </c>
      <c r="F48" s="40" t="s">
        <v>6213</v>
      </c>
      <c r="G48" s="40" t="s">
        <v>6222</v>
      </c>
    </row>
    <row r="50" spans="3:7">
      <c r="C50" s="39" t="s">
        <v>3518</v>
      </c>
      <c r="D50" s="41" t="str">
        <f t="shared" si="0"/>
        <v>.breadcrumbs</v>
      </c>
      <c r="E50" s="39" t="s">
        <v>6248</v>
      </c>
      <c r="F50" s="40" t="s">
        <v>6139</v>
      </c>
      <c r="G50" s="40" t="s">
        <v>6249</v>
      </c>
    </row>
    <row r="52" spans="3:7">
      <c r="C52" t="s">
        <v>3895</v>
      </c>
      <c r="D52" s="41" t="str">
        <f t="shared" si="0"/>
        <v>.btn-neutral</v>
      </c>
      <c r="E52" t="s">
        <v>6251</v>
      </c>
      <c r="F52" t="s">
        <v>6163</v>
      </c>
      <c r="G52" t="s">
        <v>6201</v>
      </c>
    </row>
    <row r="53" spans="3:7">
      <c r="C53" t="s">
        <v>3895</v>
      </c>
      <c r="D53" s="41" t="str">
        <f t="shared" si="0"/>
        <v>.btn-primary</v>
      </c>
      <c r="E53" t="s">
        <v>6252</v>
      </c>
      <c r="F53" t="s">
        <v>6163</v>
      </c>
      <c r="G53" t="s">
        <v>6203</v>
      </c>
    </row>
    <row r="54" spans="3:7">
      <c r="C54" t="s">
        <v>3895</v>
      </c>
      <c r="D54" s="41" t="str">
        <f t="shared" si="0"/>
        <v>.btn-secondary</v>
      </c>
      <c r="E54" t="s">
        <v>6253</v>
      </c>
      <c r="F54" t="s">
        <v>6163</v>
      </c>
      <c r="G54" t="s">
        <v>6205</v>
      </c>
    </row>
    <row r="55" spans="3:7">
      <c r="C55" t="s">
        <v>3895</v>
      </c>
      <c r="D55" s="41" t="str">
        <f t="shared" si="0"/>
        <v>.btn-accent</v>
      </c>
      <c r="E55" t="s">
        <v>6254</v>
      </c>
      <c r="F55" t="s">
        <v>6163</v>
      </c>
      <c r="G55" t="s">
        <v>6207</v>
      </c>
    </row>
    <row r="56" spans="3:7">
      <c r="C56" t="s">
        <v>3895</v>
      </c>
      <c r="D56" s="41" t="str">
        <f t="shared" si="0"/>
        <v>.btn-info</v>
      </c>
      <c r="E56" t="s">
        <v>6255</v>
      </c>
      <c r="F56" t="s">
        <v>6163</v>
      </c>
      <c r="G56" t="s">
        <v>6164</v>
      </c>
    </row>
    <row r="57" spans="3:7">
      <c r="C57" t="s">
        <v>3895</v>
      </c>
      <c r="D57" s="41" t="str">
        <f t="shared" si="0"/>
        <v>.btn-success</v>
      </c>
      <c r="E57" t="s">
        <v>6256</v>
      </c>
      <c r="F57" t="s">
        <v>6163</v>
      </c>
      <c r="G57" t="s">
        <v>6166</v>
      </c>
    </row>
    <row r="58" spans="3:7">
      <c r="C58" t="s">
        <v>3895</v>
      </c>
      <c r="D58" s="41" t="str">
        <f t="shared" si="0"/>
        <v>.btn-warning</v>
      </c>
      <c r="E58" t="s">
        <v>6257</v>
      </c>
      <c r="F58" t="s">
        <v>6163</v>
      </c>
      <c r="G58" t="s">
        <v>6168</v>
      </c>
    </row>
    <row r="59" spans="3:7">
      <c r="C59" t="s">
        <v>3895</v>
      </c>
      <c r="D59" s="41" t="str">
        <f t="shared" si="0"/>
        <v>.btn-error</v>
      </c>
      <c r="E59" t="s">
        <v>6258</v>
      </c>
      <c r="F59" t="s">
        <v>6163</v>
      </c>
      <c r="G59" t="s">
        <v>6170</v>
      </c>
    </row>
    <row r="60" spans="3:7">
      <c r="C60" t="s">
        <v>3895</v>
      </c>
      <c r="D60" s="41" t="str">
        <f t="shared" si="0"/>
        <v>.btn-outline</v>
      </c>
      <c r="E60" t="s">
        <v>6259</v>
      </c>
      <c r="F60" t="s">
        <v>6156</v>
      </c>
      <c r="G60" t="s">
        <v>6157</v>
      </c>
    </row>
    <row r="61" spans="3:7">
      <c r="C61" t="s">
        <v>3895</v>
      </c>
      <c r="D61" s="41" t="str">
        <f t="shared" si="0"/>
        <v>.btn-dash</v>
      </c>
      <c r="E61" t="s">
        <v>6260</v>
      </c>
      <c r="F61" t="s">
        <v>6156</v>
      </c>
      <c r="G61" t="s">
        <v>6261</v>
      </c>
    </row>
    <row r="62" spans="3:7">
      <c r="C62" t="s">
        <v>3895</v>
      </c>
      <c r="D62" s="41" t="str">
        <f t="shared" si="0"/>
        <v>.btn-soft</v>
      </c>
      <c r="E62" t="s">
        <v>6262</v>
      </c>
      <c r="F62" t="s">
        <v>6156</v>
      </c>
      <c r="G62" t="s">
        <v>6161</v>
      </c>
    </row>
    <row r="63" spans="3:7">
      <c r="C63" t="s">
        <v>3895</v>
      </c>
      <c r="D63" s="41" t="str">
        <f t="shared" si="0"/>
        <v>.btn-ghost</v>
      </c>
      <c r="E63" t="s">
        <v>6263</v>
      </c>
      <c r="F63" t="s">
        <v>6156</v>
      </c>
      <c r="G63" t="s">
        <v>6199</v>
      </c>
    </row>
    <row r="64" spans="3:7">
      <c r="C64" t="s">
        <v>3895</v>
      </c>
      <c r="D64" s="41" t="str">
        <f t="shared" si="0"/>
        <v>.btn-link</v>
      </c>
      <c r="E64" t="s">
        <v>6264</v>
      </c>
      <c r="F64" t="s">
        <v>6156</v>
      </c>
      <c r="G64" t="s">
        <v>6265</v>
      </c>
    </row>
    <row r="65" spans="3:7">
      <c r="C65" t="s">
        <v>3895</v>
      </c>
      <c r="D65" s="41" t="str">
        <f t="shared" si="0"/>
        <v>.btn-active</v>
      </c>
      <c r="E65" t="s">
        <v>6266</v>
      </c>
      <c r="F65" t="s">
        <v>6267</v>
      </c>
      <c r="G65" t="s">
        <v>6268</v>
      </c>
    </row>
    <row r="66" spans="3:7">
      <c r="C66" t="s">
        <v>3895</v>
      </c>
      <c r="D66" s="41" t="str">
        <f t="shared" si="0"/>
        <v>.btn-disabled</v>
      </c>
      <c r="E66" t="s">
        <v>6269</v>
      </c>
      <c r="F66" t="s">
        <v>6267</v>
      </c>
      <c r="G66" t="s">
        <v>6270</v>
      </c>
    </row>
    <row r="67" spans="3:7">
      <c r="C67" t="s">
        <v>3895</v>
      </c>
      <c r="D67" s="41" t="str">
        <f t="shared" si="0"/>
        <v>.btn-xs</v>
      </c>
      <c r="E67" t="s">
        <v>6271</v>
      </c>
      <c r="F67" t="s">
        <v>6213</v>
      </c>
      <c r="G67" t="s">
        <v>6272</v>
      </c>
    </row>
    <row r="68" spans="3:7">
      <c r="C68" t="s">
        <v>3895</v>
      </c>
      <c r="D68" s="41" t="str">
        <f t="shared" si="0"/>
        <v>.btn-sm</v>
      </c>
      <c r="E68" t="s">
        <v>6273</v>
      </c>
      <c r="F68" t="s">
        <v>6213</v>
      </c>
      <c r="G68" t="s">
        <v>6274</v>
      </c>
    </row>
    <row r="69" spans="3:7">
      <c r="C69" t="s">
        <v>3895</v>
      </c>
      <c r="D69" s="41" t="str">
        <f t="shared" si="0"/>
        <v>.btn-md</v>
      </c>
      <c r="E69" t="s">
        <v>6275</v>
      </c>
      <c r="F69" t="s">
        <v>6213</v>
      </c>
      <c r="G69" t="s">
        <v>6276</v>
      </c>
    </row>
    <row r="70" spans="3:7">
      <c r="C70" t="s">
        <v>3895</v>
      </c>
      <c r="D70" s="41" t="str">
        <f t="shared" si="0"/>
        <v>.btn-lg</v>
      </c>
      <c r="E70" t="s">
        <v>6277</v>
      </c>
      <c r="F70" t="s">
        <v>6213</v>
      </c>
      <c r="G70" t="s">
        <v>6278</v>
      </c>
    </row>
    <row r="71" spans="3:7">
      <c r="C71" t="s">
        <v>3895</v>
      </c>
      <c r="D71" s="41" t="str">
        <f t="shared" ref="D71:D75" si="1">"."&amp;E71</f>
        <v>.btn-xl</v>
      </c>
      <c r="E71" t="s">
        <v>6279</v>
      </c>
      <c r="F71" t="s">
        <v>6213</v>
      </c>
      <c r="G71" t="s">
        <v>6280</v>
      </c>
    </row>
    <row r="72" spans="3:7">
      <c r="C72" t="s">
        <v>3895</v>
      </c>
      <c r="D72" s="41" t="str">
        <f t="shared" si="1"/>
        <v>.btn-wide</v>
      </c>
      <c r="E72" t="s">
        <v>6281</v>
      </c>
      <c r="F72" t="s">
        <v>6146</v>
      </c>
      <c r="G72" t="s">
        <v>6282</v>
      </c>
    </row>
    <row r="73" spans="3:7">
      <c r="C73" t="s">
        <v>3895</v>
      </c>
      <c r="D73" s="41" t="str">
        <f t="shared" si="1"/>
        <v>.btn-block</v>
      </c>
      <c r="E73" t="s">
        <v>6283</v>
      </c>
      <c r="F73" t="s">
        <v>6146</v>
      </c>
      <c r="G73" t="s">
        <v>6284</v>
      </c>
    </row>
    <row r="74" spans="3:7">
      <c r="C74" t="s">
        <v>3895</v>
      </c>
      <c r="D74" s="41" t="str">
        <f t="shared" si="1"/>
        <v>.btn-square</v>
      </c>
      <c r="E74" t="s">
        <v>6285</v>
      </c>
      <c r="F74" t="s">
        <v>6146</v>
      </c>
      <c r="G74" t="s">
        <v>6286</v>
      </c>
    </row>
    <row r="75" spans="3:7">
      <c r="C75" t="s">
        <v>3895</v>
      </c>
      <c r="D75" s="41" t="str">
        <f t="shared" si="1"/>
        <v>.btn-circle</v>
      </c>
      <c r="E75" t="s">
        <v>6287</v>
      </c>
      <c r="F75" t="s">
        <v>6146</v>
      </c>
      <c r="G75" t="s">
        <v>6288</v>
      </c>
    </row>
    <row r="77" spans="3:7">
      <c r="C77" t="s">
        <v>6310</v>
      </c>
      <c r="E77" s="39" t="s">
        <v>6304</v>
      </c>
      <c r="F77" s="40" t="s">
        <v>6139</v>
      </c>
      <c r="G77" s="40" t="s">
        <v>6305</v>
      </c>
    </row>
    <row r="78" spans="3:7">
      <c r="C78" t="s">
        <v>6310</v>
      </c>
      <c r="E78" s="39" t="s">
        <v>6306</v>
      </c>
      <c r="F78" s="40" t="s">
        <v>6139</v>
      </c>
      <c r="G78" s="40" t="s">
        <v>6307</v>
      </c>
    </row>
    <row r="79" spans="3:7">
      <c r="C79" t="s">
        <v>6310</v>
      </c>
      <c r="E79" s="39" t="s">
        <v>6308</v>
      </c>
      <c r="F79" s="40" t="s">
        <v>6139</v>
      </c>
      <c r="G79" s="40" t="s">
        <v>6309</v>
      </c>
    </row>
    <row r="82" spans="3:7">
      <c r="C82" t="s">
        <v>3922</v>
      </c>
      <c r="D82" s="41" t="str">
        <f t="shared" ref="D82:D94" si="2">"."&amp;E82</f>
        <v>.card</v>
      </c>
      <c r="E82" s="39" t="s">
        <v>3082</v>
      </c>
      <c r="F82" s="40" t="s">
        <v>6139</v>
      </c>
      <c r="G82" s="40" t="s">
        <v>3922</v>
      </c>
    </row>
    <row r="83" spans="3:7">
      <c r="C83" t="s">
        <v>3922</v>
      </c>
      <c r="D83" s="41" t="str">
        <f t="shared" si="2"/>
        <v>.card-title</v>
      </c>
      <c r="E83" s="39" t="s">
        <v>6311</v>
      </c>
      <c r="F83" s="40" t="s">
        <v>6141</v>
      </c>
      <c r="G83" s="40" t="s">
        <v>6142</v>
      </c>
    </row>
    <row r="84" spans="3:7">
      <c r="C84" t="s">
        <v>3922</v>
      </c>
      <c r="D84" s="41" t="str">
        <f t="shared" si="2"/>
        <v>.card-body</v>
      </c>
      <c r="E84" s="39" t="s">
        <v>6312</v>
      </c>
      <c r="F84" s="40" t="s">
        <v>6141</v>
      </c>
      <c r="G84" s="40" t="s">
        <v>6313</v>
      </c>
    </row>
    <row r="85" spans="3:7">
      <c r="C85" t="s">
        <v>3922</v>
      </c>
      <c r="D85" s="41" t="str">
        <f t="shared" si="2"/>
        <v>.card-actions</v>
      </c>
      <c r="E85" s="39" t="s">
        <v>6314</v>
      </c>
      <c r="F85" s="40" t="s">
        <v>6141</v>
      </c>
      <c r="G85" s="40" t="s">
        <v>6315</v>
      </c>
    </row>
    <row r="86" spans="3:7">
      <c r="C86" t="s">
        <v>3922</v>
      </c>
      <c r="D86" s="41" t="str">
        <f t="shared" si="2"/>
        <v>.card-border</v>
      </c>
      <c r="E86" s="39" t="s">
        <v>6316</v>
      </c>
      <c r="F86" s="40" t="s">
        <v>6156</v>
      </c>
      <c r="G86" s="40" t="s">
        <v>6317</v>
      </c>
    </row>
    <row r="87" spans="3:7">
      <c r="C87" t="s">
        <v>3922</v>
      </c>
      <c r="D87" s="41" t="str">
        <f t="shared" si="2"/>
        <v>.card-dash</v>
      </c>
      <c r="E87" s="39" t="s">
        <v>6318</v>
      </c>
      <c r="F87" s="40" t="s">
        <v>6156</v>
      </c>
      <c r="G87" s="40" t="s">
        <v>6261</v>
      </c>
    </row>
    <row r="88" spans="3:7">
      <c r="C88" t="s">
        <v>3922</v>
      </c>
      <c r="D88" s="41" t="str">
        <f t="shared" si="2"/>
        <v>.card-side</v>
      </c>
      <c r="E88" s="39" t="s">
        <v>6319</v>
      </c>
      <c r="F88" s="40" t="s">
        <v>6146</v>
      </c>
      <c r="G88" s="40" t="s">
        <v>6320</v>
      </c>
    </row>
    <row r="89" spans="3:7">
      <c r="C89" t="s">
        <v>3922</v>
      </c>
      <c r="D89" s="41" t="str">
        <f t="shared" si="2"/>
        <v>.image-full</v>
      </c>
      <c r="E89" s="39" t="s">
        <v>6321</v>
      </c>
      <c r="F89" s="40" t="s">
        <v>6146</v>
      </c>
      <c r="G89" s="40" t="s">
        <v>6322</v>
      </c>
    </row>
    <row r="90" spans="3:7">
      <c r="C90" t="s">
        <v>3922</v>
      </c>
      <c r="D90" s="41" t="str">
        <f t="shared" si="2"/>
        <v>.card-xs</v>
      </c>
      <c r="E90" s="39" t="s">
        <v>6323</v>
      </c>
      <c r="F90" s="40" t="s">
        <v>6213</v>
      </c>
      <c r="G90" s="40" t="s">
        <v>6272</v>
      </c>
    </row>
    <row r="91" spans="3:7">
      <c r="C91" t="s">
        <v>3922</v>
      </c>
      <c r="D91" s="41" t="str">
        <f t="shared" si="2"/>
        <v>.card-sm</v>
      </c>
      <c r="E91" s="39" t="s">
        <v>6324</v>
      </c>
      <c r="F91" s="40" t="s">
        <v>6213</v>
      </c>
      <c r="G91" s="40" t="s">
        <v>6274</v>
      </c>
    </row>
    <row r="92" spans="3:7">
      <c r="C92" t="s">
        <v>3922</v>
      </c>
      <c r="D92" s="41" t="str">
        <f t="shared" si="2"/>
        <v>.card-md</v>
      </c>
      <c r="E92" s="39" t="s">
        <v>6325</v>
      </c>
      <c r="F92" s="40" t="s">
        <v>6213</v>
      </c>
      <c r="G92" s="40" t="s">
        <v>6276</v>
      </c>
    </row>
    <row r="93" spans="3:7">
      <c r="C93" t="s">
        <v>3922</v>
      </c>
      <c r="D93" s="41" t="str">
        <f t="shared" si="2"/>
        <v>.card-lg</v>
      </c>
      <c r="E93" s="39" t="s">
        <v>6326</v>
      </c>
      <c r="F93" s="40" t="s">
        <v>6213</v>
      </c>
      <c r="G93" s="40" t="s">
        <v>6278</v>
      </c>
    </row>
    <row r="94" spans="3:7">
      <c r="C94" t="s">
        <v>3922</v>
      </c>
      <c r="D94" s="41" t="str">
        <f t="shared" si="2"/>
        <v>.card-xl</v>
      </c>
      <c r="E94" s="39" t="s">
        <v>6327</v>
      </c>
      <c r="F94" s="40" t="s">
        <v>6213</v>
      </c>
      <c r="G94" s="40" t="s">
        <v>6280</v>
      </c>
    </row>
    <row r="97" spans="3:7">
      <c r="C97" t="s">
        <v>3523</v>
      </c>
      <c r="D97" s="41" t="str">
        <f t="shared" ref="D97:D103" si="3">"."&amp;E97</f>
        <v>.carousel</v>
      </c>
      <c r="E97" s="39" t="s">
        <v>3128</v>
      </c>
      <c r="F97" s="40" t="s">
        <v>6139</v>
      </c>
      <c r="G97" s="40" t="s">
        <v>6338</v>
      </c>
    </row>
    <row r="98" spans="3:7">
      <c r="C98" t="s">
        <v>3523</v>
      </c>
      <c r="D98" s="41" t="str">
        <f t="shared" si="3"/>
        <v>.carousel-item</v>
      </c>
      <c r="E98" s="39" t="s">
        <v>6339</v>
      </c>
      <c r="F98" s="40" t="s">
        <v>6141</v>
      </c>
      <c r="G98" s="40" t="s">
        <v>6340</v>
      </c>
    </row>
    <row r="99" spans="3:7">
      <c r="C99" t="s">
        <v>3523</v>
      </c>
      <c r="D99" s="41" t="str">
        <f t="shared" si="3"/>
        <v>.carousel-start</v>
      </c>
      <c r="E99" s="39" t="s">
        <v>6341</v>
      </c>
      <c r="F99" s="40" t="s">
        <v>6146</v>
      </c>
      <c r="G99" s="40" t="s">
        <v>6342</v>
      </c>
    </row>
    <row r="100" spans="3:7">
      <c r="C100" t="s">
        <v>3523</v>
      </c>
      <c r="D100" s="41" t="str">
        <f t="shared" si="3"/>
        <v>.carousel-center</v>
      </c>
      <c r="E100" s="39" t="s">
        <v>6343</v>
      </c>
      <c r="F100" s="40" t="s">
        <v>6146</v>
      </c>
      <c r="G100" s="40" t="s">
        <v>6344</v>
      </c>
    </row>
    <row r="101" spans="3:7">
      <c r="C101" t="s">
        <v>3523</v>
      </c>
      <c r="D101" s="41" t="str">
        <f t="shared" si="3"/>
        <v>.carousel-end</v>
      </c>
      <c r="E101" s="39" t="s">
        <v>6345</v>
      </c>
      <c r="F101" s="40" t="s">
        <v>6146</v>
      </c>
      <c r="G101" s="40" t="s">
        <v>6346</v>
      </c>
    </row>
    <row r="102" spans="3:7">
      <c r="C102" t="s">
        <v>3523</v>
      </c>
      <c r="D102" s="41" t="str">
        <f t="shared" si="3"/>
        <v>.carousel-horizontal</v>
      </c>
      <c r="E102" s="39" t="s">
        <v>6347</v>
      </c>
      <c r="F102" s="40" t="s">
        <v>6172</v>
      </c>
      <c r="G102" s="40" t="s">
        <v>6348</v>
      </c>
    </row>
    <row r="103" spans="3:7">
      <c r="C103" t="s">
        <v>3523</v>
      </c>
      <c r="D103" s="41" t="str">
        <f t="shared" si="3"/>
        <v>.carousel-vertical</v>
      </c>
      <c r="E103" s="39" t="s">
        <v>6349</v>
      </c>
      <c r="F103" s="40" t="s">
        <v>6172</v>
      </c>
      <c r="G103" s="40" t="s">
        <v>6350</v>
      </c>
    </row>
    <row r="107" spans="3:7">
      <c r="C107" t="s">
        <v>6387</v>
      </c>
      <c r="D107" s="41" t="str">
        <f t="shared" ref="D107:D121" si="4">"."&amp;E107</f>
        <v>.chat</v>
      </c>
      <c r="E107" s="39" t="s">
        <v>6356</v>
      </c>
      <c r="F107" t="s">
        <v>6139</v>
      </c>
      <c r="G107" t="s">
        <v>6357</v>
      </c>
    </row>
    <row r="108" spans="3:7">
      <c r="C108" t="s">
        <v>6387</v>
      </c>
      <c r="D108" s="41" t="str">
        <f t="shared" si="4"/>
        <v>.chat-image</v>
      </c>
      <c r="E108" s="39" t="s">
        <v>6358</v>
      </c>
      <c r="F108" t="s">
        <v>6141</v>
      </c>
      <c r="G108" t="s">
        <v>6359</v>
      </c>
    </row>
    <row r="109" spans="3:7">
      <c r="C109" t="s">
        <v>6387</v>
      </c>
      <c r="D109" s="41" t="str">
        <f t="shared" si="4"/>
        <v>.chat-header</v>
      </c>
      <c r="E109" s="39" t="s">
        <v>6360</v>
      </c>
      <c r="F109" t="s">
        <v>6141</v>
      </c>
      <c r="G109" t="s">
        <v>6361</v>
      </c>
    </row>
    <row r="110" spans="3:7">
      <c r="C110" t="s">
        <v>6387</v>
      </c>
      <c r="D110" s="41" t="str">
        <f t="shared" si="4"/>
        <v>.chat-footer</v>
      </c>
      <c r="E110" s="39" t="s">
        <v>6362</v>
      </c>
      <c r="F110" t="s">
        <v>6141</v>
      </c>
      <c r="G110" t="s">
        <v>6363</v>
      </c>
    </row>
    <row r="111" spans="3:7">
      <c r="C111" t="s">
        <v>6387</v>
      </c>
      <c r="D111" s="41" t="str">
        <f t="shared" si="4"/>
        <v>.chat-bubble</v>
      </c>
      <c r="E111" s="39" t="s">
        <v>6364</v>
      </c>
      <c r="F111" t="s">
        <v>6141</v>
      </c>
      <c r="G111" t="s">
        <v>6365</v>
      </c>
    </row>
    <row r="112" spans="3:7">
      <c r="C112" t="s">
        <v>6387</v>
      </c>
      <c r="D112" s="41" t="str">
        <f t="shared" si="4"/>
        <v>.chat-start</v>
      </c>
      <c r="E112" s="39" t="s">
        <v>6366</v>
      </c>
      <c r="F112" t="s">
        <v>6367</v>
      </c>
      <c r="G112" t="s">
        <v>6368</v>
      </c>
    </row>
    <row r="113" spans="3:7">
      <c r="C113" t="s">
        <v>6387</v>
      </c>
      <c r="D113" s="41" t="str">
        <f t="shared" si="4"/>
        <v>.chat-end</v>
      </c>
      <c r="E113" s="39" t="s">
        <v>6369</v>
      </c>
      <c r="F113" t="s">
        <v>6367</v>
      </c>
      <c r="G113" t="s">
        <v>6370</v>
      </c>
    </row>
    <row r="114" spans="3:7">
      <c r="C114" t="s">
        <v>6387</v>
      </c>
      <c r="D114" s="41" t="str">
        <f t="shared" si="4"/>
        <v>.chat-bubble-neutral</v>
      </c>
      <c r="E114" s="39" t="s">
        <v>6371</v>
      </c>
      <c r="F114" t="s">
        <v>6163</v>
      </c>
      <c r="G114" t="s">
        <v>6372</v>
      </c>
    </row>
    <row r="115" spans="3:7">
      <c r="C115" t="s">
        <v>6387</v>
      </c>
      <c r="D115" s="41" t="str">
        <f t="shared" si="4"/>
        <v>.chat-bubble-primary</v>
      </c>
      <c r="E115" s="39" t="s">
        <v>6373</v>
      </c>
      <c r="F115" t="s">
        <v>6163</v>
      </c>
      <c r="G115" t="s">
        <v>6374</v>
      </c>
    </row>
    <row r="116" spans="3:7">
      <c r="C116" t="s">
        <v>6387</v>
      </c>
      <c r="D116" s="41" t="str">
        <f t="shared" si="4"/>
        <v>.chat-bubble-secondary</v>
      </c>
      <c r="E116" s="39" t="s">
        <v>6375</v>
      </c>
      <c r="F116" t="s">
        <v>6163</v>
      </c>
      <c r="G116" t="s">
        <v>6376</v>
      </c>
    </row>
    <row r="117" spans="3:7">
      <c r="C117" t="s">
        <v>6387</v>
      </c>
      <c r="D117" s="41" t="str">
        <f t="shared" si="4"/>
        <v>.chat-bubble-accent</v>
      </c>
      <c r="E117" s="39" t="s">
        <v>6377</v>
      </c>
      <c r="F117" t="s">
        <v>6163</v>
      </c>
      <c r="G117" t="s">
        <v>6378</v>
      </c>
    </row>
    <row r="118" spans="3:7">
      <c r="C118" t="s">
        <v>6387</v>
      </c>
      <c r="D118" s="41" t="str">
        <f t="shared" si="4"/>
        <v>.chat-bubble-info</v>
      </c>
      <c r="E118" s="39" t="s">
        <v>6379</v>
      </c>
      <c r="F118" t="s">
        <v>6163</v>
      </c>
      <c r="G118" t="s">
        <v>6380</v>
      </c>
    </row>
    <row r="119" spans="3:7">
      <c r="C119" t="s">
        <v>6387</v>
      </c>
      <c r="D119" s="41" t="str">
        <f t="shared" si="4"/>
        <v>.chat-bubble-success</v>
      </c>
      <c r="E119" s="39" t="s">
        <v>6381</v>
      </c>
      <c r="F119" t="s">
        <v>6163</v>
      </c>
      <c r="G119" t="s">
        <v>6382</v>
      </c>
    </row>
    <row r="120" spans="3:7">
      <c r="C120" t="s">
        <v>6387</v>
      </c>
      <c r="D120" s="41" t="str">
        <f t="shared" si="4"/>
        <v>.chat-bubble-warning</v>
      </c>
      <c r="E120" s="39" t="s">
        <v>6383</v>
      </c>
      <c r="F120" t="s">
        <v>6163</v>
      </c>
      <c r="G120" t="s">
        <v>6384</v>
      </c>
    </row>
    <row r="121" spans="3:7">
      <c r="C121" t="s">
        <v>6387</v>
      </c>
      <c r="D121" s="41" t="str">
        <f t="shared" si="4"/>
        <v>.chat-bubble-error</v>
      </c>
      <c r="E121" s="39" t="s">
        <v>6385</v>
      </c>
      <c r="F121" t="s">
        <v>6163</v>
      </c>
      <c r="G121" t="s">
        <v>6386</v>
      </c>
    </row>
    <row r="124" spans="3:7">
      <c r="C124" t="s">
        <v>6417</v>
      </c>
      <c r="D124" s="41" t="str">
        <f t="shared" ref="D124:D174" si="5">"."&amp;E124</f>
        <v>.checkbox-primary</v>
      </c>
      <c r="E124" s="39" t="s">
        <v>6403</v>
      </c>
      <c r="F124" s="40" t="s">
        <v>6163</v>
      </c>
      <c r="G124" s="40" t="s">
        <v>6203</v>
      </c>
    </row>
    <row r="125" spans="3:7">
      <c r="C125" t="s">
        <v>6417</v>
      </c>
      <c r="D125" s="41" t="str">
        <f t="shared" si="5"/>
        <v>.checkbox-secondary</v>
      </c>
      <c r="E125" s="39" t="s">
        <v>6404</v>
      </c>
      <c r="F125" s="40" t="s">
        <v>6163</v>
      </c>
      <c r="G125" s="40" t="s">
        <v>6205</v>
      </c>
    </row>
    <row r="126" spans="3:7">
      <c r="C126" t="s">
        <v>6417</v>
      </c>
      <c r="D126" s="41" t="str">
        <f t="shared" si="5"/>
        <v>.checkbox-accent</v>
      </c>
      <c r="E126" s="39" t="s">
        <v>6405</v>
      </c>
      <c r="F126" s="40" t="s">
        <v>6163</v>
      </c>
      <c r="G126" s="40" t="s">
        <v>6207</v>
      </c>
    </row>
    <row r="127" spans="3:7">
      <c r="C127" t="s">
        <v>6417</v>
      </c>
      <c r="D127" s="41" t="str">
        <f t="shared" si="5"/>
        <v>.checkbox-neutral</v>
      </c>
      <c r="E127" s="39" t="s">
        <v>6406</v>
      </c>
      <c r="F127" s="40" t="s">
        <v>6163</v>
      </c>
      <c r="G127" s="40" t="s">
        <v>6201</v>
      </c>
    </row>
    <row r="128" spans="3:7">
      <c r="C128" t="s">
        <v>6417</v>
      </c>
      <c r="D128" s="41" t="str">
        <f t="shared" si="5"/>
        <v>.checkbox-success</v>
      </c>
      <c r="E128" s="39" t="s">
        <v>6407</v>
      </c>
      <c r="F128" s="40" t="s">
        <v>6163</v>
      </c>
      <c r="G128" s="40" t="s">
        <v>6166</v>
      </c>
    </row>
    <row r="129" spans="3:7">
      <c r="C129" t="s">
        <v>6417</v>
      </c>
      <c r="D129" s="41" t="str">
        <f t="shared" si="5"/>
        <v>.checkbox-warning</v>
      </c>
      <c r="E129" s="39" t="s">
        <v>6408</v>
      </c>
      <c r="F129" s="40" t="s">
        <v>6163</v>
      </c>
      <c r="G129" s="40" t="s">
        <v>6168</v>
      </c>
    </row>
    <row r="130" spans="3:7">
      <c r="C130" t="s">
        <v>6417</v>
      </c>
      <c r="D130" s="41" t="str">
        <f t="shared" si="5"/>
        <v>.checkbox-info</v>
      </c>
      <c r="E130" s="39" t="s">
        <v>6409</v>
      </c>
      <c r="F130" s="40" t="s">
        <v>6163</v>
      </c>
      <c r="G130" s="40" t="s">
        <v>6164</v>
      </c>
    </row>
    <row r="131" spans="3:7">
      <c r="C131" t="s">
        <v>6417</v>
      </c>
      <c r="D131" s="41" t="str">
        <f t="shared" si="5"/>
        <v>.checkbox-error</v>
      </c>
      <c r="E131" s="39" t="s">
        <v>6410</v>
      </c>
      <c r="F131" s="40" t="s">
        <v>6163</v>
      </c>
      <c r="G131" s="40" t="s">
        <v>6170</v>
      </c>
    </row>
    <row r="132" spans="3:7">
      <c r="C132" t="s">
        <v>6417</v>
      </c>
      <c r="D132" s="41" t="str">
        <f t="shared" si="5"/>
        <v>.checkbox-xs</v>
      </c>
      <c r="E132" s="39" t="s">
        <v>6411</v>
      </c>
      <c r="F132" s="40" t="s">
        <v>6213</v>
      </c>
      <c r="G132" s="40" t="s">
        <v>6272</v>
      </c>
    </row>
    <row r="133" spans="3:7">
      <c r="C133" t="s">
        <v>6417</v>
      </c>
      <c r="D133" s="41" t="str">
        <f t="shared" si="5"/>
        <v>.checkbox-sm</v>
      </c>
      <c r="E133" s="39" t="s">
        <v>6412</v>
      </c>
      <c r="F133" s="40" t="s">
        <v>6213</v>
      </c>
      <c r="G133" s="40" t="s">
        <v>6274</v>
      </c>
    </row>
    <row r="134" spans="3:7">
      <c r="C134" t="s">
        <v>6417</v>
      </c>
      <c r="D134" s="41" t="str">
        <f t="shared" si="5"/>
        <v>.checkbox-md</v>
      </c>
      <c r="E134" s="39" t="s">
        <v>6413</v>
      </c>
      <c r="F134" s="40" t="s">
        <v>6213</v>
      </c>
      <c r="G134" s="40" t="s">
        <v>6414</v>
      </c>
    </row>
    <row r="135" spans="3:7">
      <c r="C135" t="s">
        <v>6417</v>
      </c>
      <c r="D135" s="41" t="str">
        <f t="shared" si="5"/>
        <v>.checkbox-lg</v>
      </c>
      <c r="E135" s="39" t="s">
        <v>6415</v>
      </c>
      <c r="F135" s="40" t="s">
        <v>6213</v>
      </c>
      <c r="G135" s="40" t="s">
        <v>6278</v>
      </c>
    </row>
    <row r="136" spans="3:7">
      <c r="C136" t="s">
        <v>6417</v>
      </c>
      <c r="D136" s="41" t="str">
        <f t="shared" si="5"/>
        <v>.checkbox-xl</v>
      </c>
      <c r="E136" s="39" t="s">
        <v>6416</v>
      </c>
      <c r="F136" s="40" t="s">
        <v>6213</v>
      </c>
      <c r="G136" s="40" t="s">
        <v>6280</v>
      </c>
    </row>
    <row r="137" spans="3:7" ht="26">
      <c r="E137" s="42"/>
    </row>
    <row r="138" spans="3:7">
      <c r="C138" t="s">
        <v>3524</v>
      </c>
      <c r="D138" s="41" t="str">
        <f t="shared" si="5"/>
        <v>.collapse</v>
      </c>
      <c r="E138" s="39" t="s">
        <v>3155</v>
      </c>
      <c r="F138" s="40" t="s">
        <v>6139</v>
      </c>
      <c r="G138" s="40" t="s">
        <v>3524</v>
      </c>
    </row>
    <row r="139" spans="3:7">
      <c r="C139" t="s">
        <v>3524</v>
      </c>
      <c r="D139" s="41" t="str">
        <f t="shared" si="5"/>
        <v>.collapse-title</v>
      </c>
      <c r="E139" s="39" t="s">
        <v>6140</v>
      </c>
      <c r="F139" s="40" t="s">
        <v>6141</v>
      </c>
      <c r="G139" s="40" t="s">
        <v>6142</v>
      </c>
    </row>
    <row r="140" spans="3:7">
      <c r="C140" t="s">
        <v>3524</v>
      </c>
      <c r="D140" s="41" t="str">
        <f t="shared" si="5"/>
        <v>.collapse-content</v>
      </c>
      <c r="E140" s="39" t="s">
        <v>6143</v>
      </c>
      <c r="F140" s="40" t="s">
        <v>6141</v>
      </c>
      <c r="G140" s="40" t="s">
        <v>6144</v>
      </c>
    </row>
    <row r="141" spans="3:7">
      <c r="C141" t="s">
        <v>3524</v>
      </c>
      <c r="D141" s="41" t="str">
        <f t="shared" si="5"/>
        <v>.collapse-arrow</v>
      </c>
      <c r="E141" s="39" t="s">
        <v>6145</v>
      </c>
      <c r="F141" s="40" t="s">
        <v>6146</v>
      </c>
      <c r="G141" s="40" t="s">
        <v>6147</v>
      </c>
    </row>
    <row r="142" spans="3:7">
      <c r="C142" t="s">
        <v>3524</v>
      </c>
      <c r="D142" s="41" t="str">
        <f t="shared" si="5"/>
        <v>.collapse-plus</v>
      </c>
      <c r="E142" s="39" t="s">
        <v>6148</v>
      </c>
      <c r="F142" s="40" t="s">
        <v>6146</v>
      </c>
      <c r="G142" s="40" t="s">
        <v>6149</v>
      </c>
    </row>
    <row r="143" spans="3:7">
      <c r="C143" t="s">
        <v>3524</v>
      </c>
      <c r="D143" s="41" t="str">
        <f t="shared" si="5"/>
        <v>.collapse-open</v>
      </c>
      <c r="E143" s="39" t="s">
        <v>6150</v>
      </c>
      <c r="F143" s="40" t="s">
        <v>6146</v>
      </c>
      <c r="G143" s="40" t="s">
        <v>6151</v>
      </c>
    </row>
    <row r="144" spans="3:7">
      <c r="C144" t="s">
        <v>3524</v>
      </c>
      <c r="D144" s="41" t="str">
        <f t="shared" si="5"/>
        <v>.collapse-close</v>
      </c>
      <c r="E144" s="39" t="s">
        <v>6152</v>
      </c>
      <c r="F144" s="40" t="s">
        <v>6146</v>
      </c>
      <c r="G144" s="40" t="s">
        <v>6153</v>
      </c>
    </row>
    <row r="146" spans="3:7">
      <c r="C146" t="s">
        <v>6420</v>
      </c>
      <c r="D146" s="41" t="str">
        <f t="shared" si="5"/>
        <v>.countdown</v>
      </c>
      <c r="E146" s="39" t="s">
        <v>6418</v>
      </c>
      <c r="F146" s="40" t="s">
        <v>6139</v>
      </c>
      <c r="G146" s="40" t="s">
        <v>6419</v>
      </c>
    </row>
    <row r="148" spans="3:7">
      <c r="C148" t="s">
        <v>6428</v>
      </c>
      <c r="D148" s="41" t="str">
        <f t="shared" si="5"/>
        <v>.diff</v>
      </c>
      <c r="E148" s="39" t="s">
        <v>6421</v>
      </c>
      <c r="F148" t="s">
        <v>6139</v>
      </c>
      <c r="G148" t="s">
        <v>6154</v>
      </c>
    </row>
    <row r="149" spans="3:7">
      <c r="C149" t="s">
        <v>6428</v>
      </c>
      <c r="D149" s="41" t="str">
        <f t="shared" si="5"/>
        <v>.diff-item-1</v>
      </c>
      <c r="E149" s="39" t="s">
        <v>6422</v>
      </c>
      <c r="F149" t="s">
        <v>6141</v>
      </c>
      <c r="G149" t="s">
        <v>6423</v>
      </c>
    </row>
    <row r="150" spans="3:7">
      <c r="C150" t="s">
        <v>6428</v>
      </c>
      <c r="D150" s="41" t="str">
        <f t="shared" si="5"/>
        <v>.diff-item-2</v>
      </c>
      <c r="E150" s="39" t="s">
        <v>6424</v>
      </c>
      <c r="F150" t="s">
        <v>6141</v>
      </c>
      <c r="G150" t="s">
        <v>6425</v>
      </c>
    </row>
    <row r="151" spans="3:7">
      <c r="C151" t="s">
        <v>6428</v>
      </c>
      <c r="D151" s="41" t="str">
        <f t="shared" si="5"/>
        <v>.diff-resizer</v>
      </c>
      <c r="E151" s="39" t="s">
        <v>6426</v>
      </c>
      <c r="F151" t="s">
        <v>6141</v>
      </c>
      <c r="G151" t="s">
        <v>6427</v>
      </c>
    </row>
    <row r="153" spans="3:7">
      <c r="C153" t="s">
        <v>6446</v>
      </c>
      <c r="D153" s="41" t="str">
        <f t="shared" si="5"/>
        <v>.divider</v>
      </c>
      <c r="E153" s="39" t="s">
        <v>1532</v>
      </c>
      <c r="F153" s="40" t="s">
        <v>6139</v>
      </c>
      <c r="G153" s="40" t="s">
        <v>6429</v>
      </c>
    </row>
    <row r="154" spans="3:7">
      <c r="C154" t="s">
        <v>6446</v>
      </c>
      <c r="D154" s="41" t="str">
        <f t="shared" si="5"/>
        <v>.divider-neutral</v>
      </c>
      <c r="E154" s="39" t="s">
        <v>6430</v>
      </c>
      <c r="F154" s="40" t="s">
        <v>6163</v>
      </c>
      <c r="G154" s="40" t="s">
        <v>6201</v>
      </c>
    </row>
    <row r="155" spans="3:7">
      <c r="C155" t="s">
        <v>6446</v>
      </c>
      <c r="D155" s="41" t="str">
        <f t="shared" si="5"/>
        <v>.divider-primary</v>
      </c>
      <c r="E155" s="39" t="s">
        <v>6431</v>
      </c>
      <c r="F155" s="40" t="s">
        <v>6163</v>
      </c>
      <c r="G155" s="40" t="s">
        <v>6203</v>
      </c>
    </row>
    <row r="156" spans="3:7">
      <c r="C156" t="s">
        <v>6446</v>
      </c>
      <c r="D156" s="41" t="str">
        <f t="shared" si="5"/>
        <v>.divider-secondary</v>
      </c>
      <c r="E156" s="39" t="s">
        <v>6432</v>
      </c>
      <c r="F156" s="40" t="s">
        <v>6163</v>
      </c>
      <c r="G156" s="40" t="s">
        <v>6205</v>
      </c>
    </row>
    <row r="157" spans="3:7">
      <c r="C157" t="s">
        <v>6446</v>
      </c>
      <c r="D157" s="41" t="str">
        <f t="shared" si="5"/>
        <v>.divider-accent</v>
      </c>
      <c r="E157" s="39" t="s">
        <v>6433</v>
      </c>
      <c r="F157" s="40" t="s">
        <v>6163</v>
      </c>
      <c r="G157" s="40" t="s">
        <v>6207</v>
      </c>
    </row>
    <row r="158" spans="3:7">
      <c r="C158" t="s">
        <v>6446</v>
      </c>
      <c r="D158" s="41" t="str">
        <f t="shared" si="5"/>
        <v>.divider-success</v>
      </c>
      <c r="E158" s="39" t="s">
        <v>6434</v>
      </c>
      <c r="F158" s="40" t="s">
        <v>6163</v>
      </c>
      <c r="G158" s="40" t="s">
        <v>6166</v>
      </c>
    </row>
    <row r="159" spans="3:7">
      <c r="C159" t="s">
        <v>6446</v>
      </c>
      <c r="D159" s="41" t="str">
        <f t="shared" si="5"/>
        <v>.divider-warning</v>
      </c>
      <c r="E159" s="39" t="s">
        <v>6435</v>
      </c>
      <c r="F159" s="40" t="s">
        <v>6163</v>
      </c>
      <c r="G159" s="40" t="s">
        <v>6168</v>
      </c>
    </row>
    <row r="160" spans="3:7">
      <c r="C160" t="s">
        <v>6446</v>
      </c>
      <c r="D160" s="41" t="str">
        <f t="shared" si="5"/>
        <v>.divider-info</v>
      </c>
      <c r="E160" s="39" t="s">
        <v>6436</v>
      </c>
      <c r="F160" s="40" t="s">
        <v>6163</v>
      </c>
      <c r="G160" s="40" t="s">
        <v>6164</v>
      </c>
    </row>
    <row r="161" spans="3:7">
      <c r="C161" t="s">
        <v>6446</v>
      </c>
      <c r="D161" s="41" t="str">
        <f t="shared" si="5"/>
        <v>.divider-error</v>
      </c>
      <c r="E161" s="39" t="s">
        <v>6437</v>
      </c>
      <c r="F161" s="40" t="s">
        <v>6163</v>
      </c>
      <c r="G161" s="40" t="s">
        <v>6170</v>
      </c>
    </row>
    <row r="162" spans="3:7">
      <c r="C162" t="s">
        <v>6446</v>
      </c>
      <c r="D162" s="41" t="str">
        <f t="shared" si="5"/>
        <v>.divider-vertical</v>
      </c>
      <c r="E162" s="39" t="s">
        <v>6438</v>
      </c>
      <c r="F162" s="40" t="s">
        <v>6172</v>
      </c>
      <c r="G162" s="40" t="s">
        <v>6439</v>
      </c>
    </row>
    <row r="163" spans="3:7">
      <c r="C163" t="s">
        <v>6446</v>
      </c>
      <c r="D163" s="41" t="str">
        <f t="shared" si="5"/>
        <v>.divider-horizontal</v>
      </c>
      <c r="E163" s="39" t="s">
        <v>6440</v>
      </c>
      <c r="F163" s="40" t="s">
        <v>6172</v>
      </c>
      <c r="G163" s="40" t="s">
        <v>6441</v>
      </c>
    </row>
    <row r="164" spans="3:7">
      <c r="C164" t="s">
        <v>6446</v>
      </c>
      <c r="D164" s="41" t="str">
        <f t="shared" si="5"/>
        <v>.divider-start</v>
      </c>
      <c r="E164" s="39" t="s">
        <v>6442</v>
      </c>
      <c r="F164" s="40" t="s">
        <v>6367</v>
      </c>
      <c r="G164" s="40" t="s">
        <v>6443</v>
      </c>
    </row>
    <row r="165" spans="3:7">
      <c r="C165" t="s">
        <v>6446</v>
      </c>
      <c r="D165" s="41" t="str">
        <f t="shared" si="5"/>
        <v>.divider-end</v>
      </c>
      <c r="E165" s="39" t="s">
        <v>6444</v>
      </c>
      <c r="F165" s="40" t="s">
        <v>6367</v>
      </c>
      <c r="G165" s="40" t="s">
        <v>6445</v>
      </c>
    </row>
    <row r="167" spans="3:7">
      <c r="C167" t="s">
        <v>6448</v>
      </c>
      <c r="D167" s="41" t="str">
        <f t="shared" si="5"/>
        <v>.dock</v>
      </c>
      <c r="E167" s="39" t="s">
        <v>6447</v>
      </c>
      <c r="F167" s="40" t="s">
        <v>6139</v>
      </c>
      <c r="G167" s="40" t="s">
        <v>6448</v>
      </c>
    </row>
    <row r="168" spans="3:7">
      <c r="C168" t="s">
        <v>6448</v>
      </c>
      <c r="D168" s="41" t="str">
        <f t="shared" si="5"/>
        <v>.dock-label</v>
      </c>
      <c r="E168" s="39" t="s">
        <v>6449</v>
      </c>
      <c r="F168" s="40" t="s">
        <v>6141</v>
      </c>
      <c r="G168" s="40" t="s">
        <v>6450</v>
      </c>
    </row>
    <row r="169" spans="3:7">
      <c r="C169" t="s">
        <v>6448</v>
      </c>
      <c r="D169" s="41" t="str">
        <f t="shared" si="5"/>
        <v>.dock-active</v>
      </c>
      <c r="E169" s="39" t="s">
        <v>6451</v>
      </c>
      <c r="F169" s="40" t="s">
        <v>6146</v>
      </c>
      <c r="G169" s="40" t="s">
        <v>6452</v>
      </c>
    </row>
    <row r="170" spans="3:7">
      <c r="C170" t="s">
        <v>6448</v>
      </c>
      <c r="D170" s="41" t="str">
        <f t="shared" si="5"/>
        <v>.dock-xs</v>
      </c>
      <c r="E170" s="39" t="s">
        <v>6453</v>
      </c>
      <c r="F170" s="40" t="s">
        <v>6213</v>
      </c>
      <c r="G170" s="40" t="s">
        <v>6454</v>
      </c>
    </row>
    <row r="171" spans="3:7">
      <c r="C171" t="s">
        <v>6448</v>
      </c>
      <c r="D171" s="41" t="str">
        <f t="shared" si="5"/>
        <v>.dock-sm</v>
      </c>
      <c r="E171" s="39" t="s">
        <v>6455</v>
      </c>
      <c r="F171" s="40" t="s">
        <v>6213</v>
      </c>
      <c r="G171" s="40" t="s">
        <v>6456</v>
      </c>
    </row>
    <row r="172" spans="3:7">
      <c r="C172" t="s">
        <v>6448</v>
      </c>
      <c r="D172" s="41" t="str">
        <f t="shared" si="5"/>
        <v>.dock-md</v>
      </c>
      <c r="E172" s="39" t="s">
        <v>6457</v>
      </c>
      <c r="F172" s="40" t="s">
        <v>6213</v>
      </c>
      <c r="G172" s="40" t="s">
        <v>6458</v>
      </c>
    </row>
    <row r="173" spans="3:7">
      <c r="C173" t="s">
        <v>6448</v>
      </c>
      <c r="D173" s="41" t="str">
        <f t="shared" si="5"/>
        <v>.dock-lg</v>
      </c>
      <c r="E173" s="39" t="s">
        <v>6459</v>
      </c>
      <c r="F173" s="40" t="s">
        <v>6213</v>
      </c>
      <c r="G173" s="40" t="s">
        <v>6460</v>
      </c>
    </row>
    <row r="174" spans="3:7">
      <c r="C174" t="s">
        <v>6448</v>
      </c>
      <c r="D174" s="41" t="str">
        <f t="shared" si="5"/>
        <v>.dock-xl</v>
      </c>
      <c r="E174" s="39" t="s">
        <v>6461</v>
      </c>
      <c r="F174" s="40" t="s">
        <v>6213</v>
      </c>
      <c r="G174" s="40" t="s">
        <v>6462</v>
      </c>
    </row>
    <row r="177" spans="3:7">
      <c r="C177" t="s">
        <v>6481</v>
      </c>
      <c r="D177" s="41" t="str">
        <f t="shared" ref="D177:D185" si="6">"."&amp;E177</f>
        <v>.drawer</v>
      </c>
      <c r="E177" s="39" t="s">
        <v>6463</v>
      </c>
      <c r="F177" t="s">
        <v>6139</v>
      </c>
      <c r="G177" t="s">
        <v>6464</v>
      </c>
    </row>
    <row r="178" spans="3:7">
      <c r="C178" t="s">
        <v>6481</v>
      </c>
      <c r="D178" s="41" t="str">
        <f t="shared" si="6"/>
        <v>.drawer-toggle</v>
      </c>
      <c r="E178" s="39" t="s">
        <v>6465</v>
      </c>
      <c r="F178" t="s">
        <v>6141</v>
      </c>
      <c r="G178" t="s">
        <v>6466</v>
      </c>
    </row>
    <row r="179" spans="3:7">
      <c r="C179" t="s">
        <v>6481</v>
      </c>
      <c r="D179" s="41" t="str">
        <f t="shared" si="6"/>
        <v>.drawer-content</v>
      </c>
      <c r="E179" s="39" t="s">
        <v>6467</v>
      </c>
      <c r="F179" t="s">
        <v>6141</v>
      </c>
      <c r="G179" t="s">
        <v>6144</v>
      </c>
    </row>
    <row r="180" spans="3:7">
      <c r="C180" t="s">
        <v>6481</v>
      </c>
      <c r="D180" s="41" t="str">
        <f t="shared" si="6"/>
        <v>.drawer-side</v>
      </c>
      <c r="E180" s="39" t="s">
        <v>6468</v>
      </c>
      <c r="F180" t="s">
        <v>6141</v>
      </c>
      <c r="G180" t="s">
        <v>6469</v>
      </c>
    </row>
    <row r="181" spans="3:7">
      <c r="C181" t="s">
        <v>6481</v>
      </c>
      <c r="D181" s="41" t="str">
        <f t="shared" si="6"/>
        <v>.drawer-overlay</v>
      </c>
      <c r="E181" s="39" t="s">
        <v>6470</v>
      </c>
      <c r="F181" t="s">
        <v>6141</v>
      </c>
      <c r="G181" t="s">
        <v>6471</v>
      </c>
    </row>
    <row r="182" spans="3:7">
      <c r="C182" t="s">
        <v>6481</v>
      </c>
      <c r="D182" s="41" t="str">
        <f t="shared" si="6"/>
        <v>.drawer-end</v>
      </c>
      <c r="E182" s="39" t="s">
        <v>6472</v>
      </c>
      <c r="F182" t="s">
        <v>6367</v>
      </c>
      <c r="G182" t="s">
        <v>6473</v>
      </c>
    </row>
    <row r="183" spans="3:7">
      <c r="C183" t="s">
        <v>6481</v>
      </c>
      <c r="D183" s="41" t="str">
        <f t="shared" si="6"/>
        <v>.drawer-open</v>
      </c>
      <c r="E183" s="39" t="s">
        <v>6474</v>
      </c>
      <c r="F183" t="s">
        <v>6146</v>
      </c>
      <c r="G183" t="s">
        <v>6475</v>
      </c>
    </row>
    <row r="184" spans="3:7">
      <c r="C184" t="s">
        <v>6481</v>
      </c>
      <c r="D184" s="41" t="str">
        <f t="shared" si="6"/>
        <v>.is-drawer-open:</v>
      </c>
      <c r="E184" s="39" t="s">
        <v>6476</v>
      </c>
      <c r="F184" t="s">
        <v>6477</v>
      </c>
      <c r="G184" t="s">
        <v>6478</v>
      </c>
    </row>
    <row r="185" spans="3:7">
      <c r="C185" t="s">
        <v>6481</v>
      </c>
      <c r="D185" s="41" t="str">
        <f t="shared" si="6"/>
        <v>.is-drawer-close:</v>
      </c>
      <c r="E185" s="39" t="s">
        <v>6479</v>
      </c>
      <c r="F185" t="s">
        <v>6477</v>
      </c>
      <c r="G185" t="s">
        <v>6480</v>
      </c>
    </row>
    <row r="188" spans="3:7">
      <c r="C188" t="s">
        <v>4077</v>
      </c>
      <c r="D188" s="41" t="str">
        <f t="shared" ref="D188:D237" si="7">"."&amp;E188</f>
        <v>.dropdown</v>
      </c>
      <c r="E188" s="39" t="s">
        <v>3109</v>
      </c>
      <c r="F188" s="40" t="s">
        <v>6139</v>
      </c>
      <c r="G188" s="40" t="s">
        <v>6482</v>
      </c>
    </row>
    <row r="189" spans="3:7">
      <c r="C189" t="s">
        <v>4077</v>
      </c>
      <c r="D189" s="41" t="str">
        <f t="shared" si="7"/>
        <v>.dropdown-content</v>
      </c>
      <c r="E189" s="39" t="s">
        <v>6483</v>
      </c>
      <c r="F189" s="40" t="s">
        <v>6141</v>
      </c>
      <c r="G189" s="40" t="s">
        <v>6144</v>
      </c>
    </row>
    <row r="190" spans="3:7">
      <c r="C190" t="s">
        <v>4077</v>
      </c>
      <c r="D190" s="41" t="str">
        <f t="shared" si="7"/>
        <v>.dropdown-start</v>
      </c>
      <c r="E190" s="39" t="s">
        <v>6484</v>
      </c>
      <c r="F190" s="40" t="s">
        <v>6367</v>
      </c>
      <c r="G190" s="40" t="s">
        <v>6485</v>
      </c>
    </row>
    <row r="191" spans="3:7">
      <c r="C191" t="s">
        <v>4077</v>
      </c>
      <c r="D191" s="41" t="str">
        <f t="shared" si="7"/>
        <v>.dropdown-center</v>
      </c>
      <c r="E191" s="39" t="s">
        <v>6486</v>
      </c>
      <c r="F191" s="40" t="s">
        <v>6367</v>
      </c>
      <c r="G191" s="40" t="s">
        <v>6487</v>
      </c>
    </row>
    <row r="192" spans="3:7">
      <c r="C192" t="s">
        <v>4077</v>
      </c>
      <c r="D192" s="41" t="str">
        <f t="shared" si="7"/>
        <v>.dropdown-end</v>
      </c>
      <c r="E192" s="39" t="s">
        <v>6488</v>
      </c>
      <c r="F192" s="40" t="s">
        <v>6367</v>
      </c>
      <c r="G192" s="40" t="s">
        <v>6489</v>
      </c>
    </row>
    <row r="193" spans="3:7">
      <c r="C193" t="s">
        <v>4077</v>
      </c>
      <c r="D193" s="41" t="str">
        <f t="shared" si="7"/>
        <v>.dropdown-top</v>
      </c>
      <c r="E193" s="39" t="s">
        <v>6490</v>
      </c>
      <c r="F193" s="40" t="s">
        <v>6367</v>
      </c>
      <c r="G193" s="40" t="s">
        <v>6491</v>
      </c>
    </row>
    <row r="194" spans="3:7">
      <c r="C194" t="s">
        <v>4077</v>
      </c>
      <c r="D194" s="41" t="str">
        <f t="shared" si="7"/>
        <v>.dropdown-bottom</v>
      </c>
      <c r="E194" s="39" t="s">
        <v>6492</v>
      </c>
      <c r="F194" s="40" t="s">
        <v>6367</v>
      </c>
      <c r="G194" s="40" t="s">
        <v>6493</v>
      </c>
    </row>
    <row r="195" spans="3:7">
      <c r="C195" t="s">
        <v>4077</v>
      </c>
      <c r="D195" s="41" t="str">
        <f t="shared" si="7"/>
        <v>.dropdown-left</v>
      </c>
      <c r="E195" s="39" t="s">
        <v>6494</v>
      </c>
      <c r="F195" s="40" t="s">
        <v>6367</v>
      </c>
      <c r="G195" s="40" t="s">
        <v>6495</v>
      </c>
    </row>
    <row r="196" spans="3:7">
      <c r="C196" t="s">
        <v>4077</v>
      </c>
      <c r="D196" s="41" t="str">
        <f t="shared" si="7"/>
        <v>.dropdown-right</v>
      </c>
      <c r="E196" s="39" t="s">
        <v>6496</v>
      </c>
      <c r="F196" s="40" t="s">
        <v>6367</v>
      </c>
      <c r="G196" s="40" t="s">
        <v>6497</v>
      </c>
    </row>
    <row r="197" spans="3:7">
      <c r="C197" t="s">
        <v>4077</v>
      </c>
      <c r="D197" s="41" t="str">
        <f t="shared" si="7"/>
        <v>.dropdown-hover</v>
      </c>
      <c r="E197" s="39" t="s">
        <v>6498</v>
      </c>
      <c r="F197" s="40" t="s">
        <v>6146</v>
      </c>
      <c r="G197" s="40" t="s">
        <v>6499</v>
      </c>
    </row>
    <row r="198" spans="3:7">
      <c r="C198" t="s">
        <v>4077</v>
      </c>
      <c r="D198" s="41" t="str">
        <f t="shared" si="7"/>
        <v>.dropdown-open</v>
      </c>
      <c r="E198" s="39" t="s">
        <v>6500</v>
      </c>
      <c r="F198" s="40" t="s">
        <v>6146</v>
      </c>
      <c r="G198" s="40" t="s">
        <v>6151</v>
      </c>
    </row>
    <row r="199" spans="3:7">
      <c r="C199" t="s">
        <v>4077</v>
      </c>
      <c r="D199" s="41" t="str">
        <f t="shared" si="7"/>
        <v>.dropdown-close</v>
      </c>
      <c r="E199" s="39" t="s">
        <v>6501</v>
      </c>
      <c r="F199" s="40" t="s">
        <v>6146</v>
      </c>
      <c r="G199" s="40" t="s">
        <v>6153</v>
      </c>
    </row>
    <row r="201" spans="3:7">
      <c r="C201" t="s">
        <v>6510</v>
      </c>
      <c r="D201" s="41" t="str">
        <f t="shared" si="7"/>
        <v>.fab</v>
      </c>
      <c r="E201" s="39" t="s">
        <v>6502</v>
      </c>
      <c r="F201" s="40" t="s">
        <v>6139</v>
      </c>
      <c r="G201" s="40" t="s">
        <v>6503</v>
      </c>
    </row>
    <row r="202" spans="3:7">
      <c r="C202" t="s">
        <v>6510</v>
      </c>
      <c r="D202" s="41" t="str">
        <f t="shared" si="7"/>
        <v>.fab-close</v>
      </c>
      <c r="E202" s="39" t="s">
        <v>6504</v>
      </c>
      <c r="F202" s="40" t="s">
        <v>6141</v>
      </c>
      <c r="G202" s="40" t="s">
        <v>6505</v>
      </c>
    </row>
    <row r="203" spans="3:7">
      <c r="C203" t="s">
        <v>6510</v>
      </c>
      <c r="D203" s="41" t="str">
        <f t="shared" si="7"/>
        <v>.fab-main-action</v>
      </c>
      <c r="E203" s="39" t="s">
        <v>6506</v>
      </c>
      <c r="F203" s="40" t="s">
        <v>6141</v>
      </c>
      <c r="G203" s="40" t="s">
        <v>6507</v>
      </c>
    </row>
    <row r="204" spans="3:7">
      <c r="C204" t="s">
        <v>6510</v>
      </c>
      <c r="D204" s="41" t="str">
        <f t="shared" si="7"/>
        <v>.fab-flower</v>
      </c>
      <c r="E204" s="39" t="s">
        <v>6508</v>
      </c>
      <c r="F204" s="40" t="s">
        <v>6146</v>
      </c>
      <c r="G204" s="40" t="s">
        <v>6509</v>
      </c>
    </row>
    <row r="206" spans="3:7">
      <c r="C206" t="s">
        <v>6515</v>
      </c>
      <c r="D206" s="41" t="str">
        <f t="shared" si="7"/>
        <v>.fieldset</v>
      </c>
      <c r="E206" s="39" t="s">
        <v>542</v>
      </c>
      <c r="F206" s="40" t="s">
        <v>6139</v>
      </c>
      <c r="G206" s="40" t="s">
        <v>6511</v>
      </c>
    </row>
    <row r="207" spans="3:7">
      <c r="C207" t="s">
        <v>6515</v>
      </c>
      <c r="D207" s="41" t="str">
        <f t="shared" si="7"/>
        <v>.label</v>
      </c>
      <c r="E207" s="39" t="s">
        <v>554</v>
      </c>
      <c r="F207" s="40" t="s">
        <v>6139</v>
      </c>
      <c r="G207" s="40" t="s">
        <v>6512</v>
      </c>
    </row>
    <row r="208" spans="3:7">
      <c r="C208" t="s">
        <v>6515</v>
      </c>
      <c r="D208" s="41" t="str">
        <f t="shared" si="7"/>
        <v>.fieldset-legend</v>
      </c>
      <c r="E208" s="39" t="s">
        <v>6513</v>
      </c>
      <c r="F208" s="40" t="s">
        <v>6141</v>
      </c>
      <c r="G208" s="40" t="s">
        <v>6514</v>
      </c>
    </row>
    <row r="210" spans="3:7">
      <c r="C210" t="s">
        <v>6532</v>
      </c>
      <c r="D210" s="41" t="str">
        <f t="shared" si="7"/>
        <v>.file-input</v>
      </c>
      <c r="E210" s="39" t="s">
        <v>6516</v>
      </c>
      <c r="F210" s="40" t="s">
        <v>6139</v>
      </c>
      <c r="G210" s="40" t="s">
        <v>6517</v>
      </c>
    </row>
    <row r="211" spans="3:7">
      <c r="C211" t="s">
        <v>6532</v>
      </c>
      <c r="D211" s="41" t="str">
        <f t="shared" si="7"/>
        <v>.file-input-ghost</v>
      </c>
      <c r="E211" s="39" t="s">
        <v>6518</v>
      </c>
      <c r="F211" s="40" t="s">
        <v>6156</v>
      </c>
      <c r="G211" s="40" t="s">
        <v>6199</v>
      </c>
    </row>
    <row r="212" spans="3:7">
      <c r="C212" t="s">
        <v>6532</v>
      </c>
      <c r="D212" s="41" t="str">
        <f t="shared" si="7"/>
        <v>.file-input-neutral</v>
      </c>
      <c r="E212" s="39" t="s">
        <v>6519</v>
      </c>
      <c r="F212" s="40" t="s">
        <v>6163</v>
      </c>
      <c r="G212" s="40" t="s">
        <v>6201</v>
      </c>
    </row>
    <row r="213" spans="3:7">
      <c r="C213" t="s">
        <v>6532</v>
      </c>
      <c r="D213" s="41" t="str">
        <f t="shared" si="7"/>
        <v>.file-input-primary</v>
      </c>
      <c r="E213" s="39" t="s">
        <v>6520</v>
      </c>
      <c r="F213" s="40" t="s">
        <v>6163</v>
      </c>
      <c r="G213" s="40" t="s">
        <v>6203</v>
      </c>
    </row>
    <row r="214" spans="3:7">
      <c r="C214" t="s">
        <v>6532</v>
      </c>
      <c r="D214" s="41" t="str">
        <f t="shared" si="7"/>
        <v>.file-input-secondary</v>
      </c>
      <c r="E214" s="39" t="s">
        <v>6521</v>
      </c>
      <c r="F214" s="40" t="s">
        <v>6163</v>
      </c>
      <c r="G214" s="40" t="s">
        <v>6205</v>
      </c>
    </row>
    <row r="215" spans="3:7">
      <c r="C215" t="s">
        <v>6532</v>
      </c>
      <c r="D215" s="41" t="str">
        <f t="shared" si="7"/>
        <v>.file-input-accent</v>
      </c>
      <c r="E215" s="39" t="s">
        <v>6522</v>
      </c>
      <c r="F215" s="40" t="s">
        <v>6163</v>
      </c>
      <c r="G215" s="40" t="s">
        <v>6207</v>
      </c>
    </row>
    <row r="216" spans="3:7">
      <c r="C216" t="s">
        <v>6532</v>
      </c>
      <c r="D216" s="41" t="str">
        <f t="shared" si="7"/>
        <v>.file-input-info</v>
      </c>
      <c r="E216" s="39" t="s">
        <v>6523</v>
      </c>
      <c r="F216" s="40" t="s">
        <v>6163</v>
      </c>
      <c r="G216" s="40" t="s">
        <v>6164</v>
      </c>
    </row>
    <row r="217" spans="3:7">
      <c r="C217" t="s">
        <v>6532</v>
      </c>
      <c r="D217" s="41" t="str">
        <f t="shared" si="7"/>
        <v>.file-input-success</v>
      </c>
      <c r="E217" s="39" t="s">
        <v>6524</v>
      </c>
      <c r="F217" s="40" t="s">
        <v>6163</v>
      </c>
      <c r="G217" s="40" t="s">
        <v>6166</v>
      </c>
    </row>
    <row r="218" spans="3:7">
      <c r="C218" t="s">
        <v>6532</v>
      </c>
      <c r="D218" s="41" t="str">
        <f t="shared" si="7"/>
        <v>.file-input-warning</v>
      </c>
      <c r="E218" s="39" t="s">
        <v>6525</v>
      </c>
      <c r="F218" s="40" t="s">
        <v>6163</v>
      </c>
      <c r="G218" s="40" t="s">
        <v>6168</v>
      </c>
    </row>
    <row r="219" spans="3:7">
      <c r="C219" t="s">
        <v>6532</v>
      </c>
      <c r="D219" s="41" t="str">
        <f t="shared" si="7"/>
        <v>.file-input-error</v>
      </c>
      <c r="E219" s="39" t="s">
        <v>6526</v>
      </c>
      <c r="F219" s="40" t="s">
        <v>6163</v>
      </c>
      <c r="G219" s="40" t="s">
        <v>6170</v>
      </c>
    </row>
    <row r="220" spans="3:7">
      <c r="C220" t="s">
        <v>6532</v>
      </c>
      <c r="D220" s="41" t="str">
        <f t="shared" si="7"/>
        <v>.file-input-xs</v>
      </c>
      <c r="E220" s="39" t="s">
        <v>6527</v>
      </c>
      <c r="F220" s="40" t="s">
        <v>6213</v>
      </c>
      <c r="G220" s="40" t="s">
        <v>6272</v>
      </c>
    </row>
    <row r="221" spans="3:7">
      <c r="C221" t="s">
        <v>6532</v>
      </c>
      <c r="D221" s="41" t="str">
        <f t="shared" si="7"/>
        <v>.file-input-sm</v>
      </c>
      <c r="E221" s="39" t="s">
        <v>6528</v>
      </c>
      <c r="F221" s="40" t="s">
        <v>6213</v>
      </c>
      <c r="G221" s="40" t="s">
        <v>6274</v>
      </c>
    </row>
    <row r="222" spans="3:7">
      <c r="C222" t="s">
        <v>6532</v>
      </c>
      <c r="D222" s="41" t="str">
        <f t="shared" si="7"/>
        <v>.file-input-md</v>
      </c>
      <c r="E222" s="39" t="s">
        <v>6529</v>
      </c>
      <c r="F222" s="40" t="s">
        <v>6213</v>
      </c>
      <c r="G222" s="40" t="s">
        <v>6414</v>
      </c>
    </row>
    <row r="223" spans="3:7">
      <c r="C223" t="s">
        <v>6532</v>
      </c>
      <c r="D223" s="41" t="str">
        <f t="shared" si="7"/>
        <v>.file-input-lg</v>
      </c>
      <c r="E223" s="39" t="s">
        <v>6530</v>
      </c>
      <c r="F223" s="40" t="s">
        <v>6213</v>
      </c>
      <c r="G223" s="40" t="s">
        <v>6278</v>
      </c>
    </row>
    <row r="224" spans="3:7">
      <c r="C224" t="s">
        <v>6532</v>
      </c>
      <c r="D224" s="41" t="str">
        <f t="shared" si="7"/>
        <v>.file-input-xl</v>
      </c>
      <c r="E224" s="39" t="s">
        <v>6531</v>
      </c>
      <c r="F224" s="40" t="s">
        <v>6213</v>
      </c>
      <c r="G224" s="40" t="s">
        <v>6280</v>
      </c>
    </row>
    <row r="226" spans="3:7">
      <c r="C226" t="s">
        <v>6537</v>
      </c>
      <c r="D226" s="41" t="str">
        <f t="shared" si="7"/>
        <v>.filter</v>
      </c>
      <c r="E226" s="39" t="s">
        <v>6533</v>
      </c>
      <c r="F226" s="40" t="s">
        <v>6139</v>
      </c>
      <c r="G226" s="40" t="s">
        <v>6534</v>
      </c>
    </row>
    <row r="227" spans="3:7">
      <c r="C227" t="s">
        <v>6537</v>
      </c>
      <c r="D227" s="41" t="str">
        <f t="shared" si="7"/>
        <v>.filter-reset</v>
      </c>
      <c r="E227" s="39" t="s">
        <v>6535</v>
      </c>
      <c r="F227" s="40" t="s">
        <v>6141</v>
      </c>
      <c r="G227" s="40" t="s">
        <v>6536</v>
      </c>
    </row>
    <row r="229" spans="3:7">
      <c r="C229" t="s">
        <v>751</v>
      </c>
      <c r="D229" s="41" t="str">
        <f t="shared" si="7"/>
        <v>.footer</v>
      </c>
      <c r="E229" s="39" t="s">
        <v>451</v>
      </c>
      <c r="F229" t="s">
        <v>6139</v>
      </c>
      <c r="G229" t="s">
        <v>751</v>
      </c>
    </row>
    <row r="230" spans="3:7">
      <c r="C230" t="s">
        <v>751</v>
      </c>
      <c r="D230" s="41" t="str">
        <f t="shared" si="7"/>
        <v>.footer-title</v>
      </c>
      <c r="E230" s="39" t="s">
        <v>6538</v>
      </c>
      <c r="F230" t="s">
        <v>6141</v>
      </c>
      <c r="G230" t="s">
        <v>6539</v>
      </c>
    </row>
    <row r="231" spans="3:7">
      <c r="C231" t="s">
        <v>751</v>
      </c>
      <c r="D231" s="41" t="str">
        <f t="shared" si="7"/>
        <v>.footer-center</v>
      </c>
      <c r="E231" s="39" t="s">
        <v>6540</v>
      </c>
      <c r="F231" t="s">
        <v>6367</v>
      </c>
      <c r="G231" t="s">
        <v>6541</v>
      </c>
    </row>
    <row r="232" spans="3:7">
      <c r="C232" t="s">
        <v>751</v>
      </c>
      <c r="D232" s="41" t="str">
        <f t="shared" si="7"/>
        <v>.footer-horizontal</v>
      </c>
      <c r="E232" s="39" t="s">
        <v>6542</v>
      </c>
      <c r="F232" t="s">
        <v>6172</v>
      </c>
      <c r="G232" t="s">
        <v>6543</v>
      </c>
    </row>
    <row r="233" spans="3:7">
      <c r="C233" t="s">
        <v>751</v>
      </c>
      <c r="D233" s="41" t="str">
        <f t="shared" si="7"/>
        <v>.footer-vertical</v>
      </c>
      <c r="E233" s="39" t="s">
        <v>6544</v>
      </c>
      <c r="F233" t="s">
        <v>6172</v>
      </c>
      <c r="G233" t="s">
        <v>6545</v>
      </c>
    </row>
    <row r="235" spans="3:7">
      <c r="C235" t="s">
        <v>4308</v>
      </c>
      <c r="D235" s="41" t="str">
        <f t="shared" si="7"/>
        <v>.hero</v>
      </c>
      <c r="E235" s="39" t="s">
        <v>3135</v>
      </c>
      <c r="F235" s="40" t="s">
        <v>6139</v>
      </c>
      <c r="G235" s="40" t="s">
        <v>6546</v>
      </c>
    </row>
    <row r="236" spans="3:7">
      <c r="C236" t="s">
        <v>4308</v>
      </c>
      <c r="D236" s="41" t="str">
        <f t="shared" si="7"/>
        <v>.hero-content</v>
      </c>
      <c r="E236" s="39" t="s">
        <v>6547</v>
      </c>
      <c r="F236" s="40" t="s">
        <v>6141</v>
      </c>
      <c r="G236" s="40" t="s">
        <v>6548</v>
      </c>
    </row>
    <row r="237" spans="3:7">
      <c r="C237" t="s">
        <v>4308</v>
      </c>
      <c r="D237" s="41" t="str">
        <f t="shared" si="7"/>
        <v>.hero-overlay</v>
      </c>
      <c r="E237" s="39" t="s">
        <v>6549</v>
      </c>
      <c r="F237" s="40" t="s">
        <v>6141</v>
      </c>
      <c r="G237" s="40" t="s">
        <v>6550</v>
      </c>
    </row>
    <row r="254" spans="3:7">
      <c r="C254" t="s">
        <v>3563</v>
      </c>
      <c r="D254" s="41" t="str">
        <f t="shared" ref="D254:D260" si="8">"."&amp;E254</f>
        <v>.toast</v>
      </c>
      <c r="E254" s="39" t="s">
        <v>3143</v>
      </c>
      <c r="F254" t="s">
        <v>6139</v>
      </c>
      <c r="G254" t="s">
        <v>6551</v>
      </c>
    </row>
    <row r="255" spans="3:7">
      <c r="C255" t="s">
        <v>3563</v>
      </c>
      <c r="D255" s="41" t="str">
        <f t="shared" si="8"/>
        <v>.toast-start</v>
      </c>
      <c r="E255" s="39" t="s">
        <v>6552</v>
      </c>
      <c r="F255" t="s">
        <v>6367</v>
      </c>
      <c r="G255" t="s">
        <v>6553</v>
      </c>
    </row>
    <row r="256" spans="3:7">
      <c r="C256" t="s">
        <v>3563</v>
      </c>
      <c r="D256" s="41" t="str">
        <f t="shared" si="8"/>
        <v>.toast-center</v>
      </c>
      <c r="E256" s="39" t="s">
        <v>6554</v>
      </c>
      <c r="F256" t="s">
        <v>6367</v>
      </c>
      <c r="G256" t="s">
        <v>6555</v>
      </c>
    </row>
    <row r="257" spans="3:7">
      <c r="C257" t="s">
        <v>3563</v>
      </c>
      <c r="D257" s="41" t="str">
        <f t="shared" si="8"/>
        <v>.toast-end</v>
      </c>
      <c r="E257" s="39" t="s">
        <v>6556</v>
      </c>
      <c r="F257" t="s">
        <v>6367</v>
      </c>
      <c r="G257" t="s">
        <v>6557</v>
      </c>
    </row>
    <row r="258" spans="3:7">
      <c r="C258" t="s">
        <v>3563</v>
      </c>
      <c r="D258" s="41" t="str">
        <f t="shared" si="8"/>
        <v>.toast-top</v>
      </c>
      <c r="E258" s="39" t="s">
        <v>6558</v>
      </c>
      <c r="F258" t="s">
        <v>6367</v>
      </c>
      <c r="G258" t="s">
        <v>6559</v>
      </c>
    </row>
    <row r="259" spans="3:7">
      <c r="C259" t="s">
        <v>3563</v>
      </c>
      <c r="D259" s="41" t="str">
        <f t="shared" si="8"/>
        <v>.toast-middle</v>
      </c>
      <c r="E259" s="39" t="s">
        <v>6560</v>
      </c>
      <c r="F259" t="s">
        <v>6367</v>
      </c>
      <c r="G259" t="s">
        <v>6561</v>
      </c>
    </row>
    <row r="260" spans="3:7">
      <c r="C260" t="s">
        <v>3563</v>
      </c>
      <c r="D260" s="41" t="str">
        <f t="shared" si="8"/>
        <v>.toast-bottom</v>
      </c>
      <c r="E260" s="39" t="s">
        <v>6562</v>
      </c>
      <c r="F260" t="s">
        <v>6367</v>
      </c>
      <c r="G260" t="s">
        <v>6563</v>
      </c>
    </row>
    <row r="263" spans="3:7">
      <c r="C263" t="s">
        <v>6584</v>
      </c>
      <c r="D263" s="41" t="str">
        <f t="shared" ref="D263:D276" si="9">"."&amp;E263</f>
        <v>.toggle</v>
      </c>
      <c r="E263" s="39" t="s">
        <v>3110</v>
      </c>
      <c r="F263" t="s">
        <v>6139</v>
      </c>
      <c r="G263" t="s">
        <v>6570</v>
      </c>
    </row>
    <row r="264" spans="3:7">
      <c r="C264" t="s">
        <v>6584</v>
      </c>
      <c r="D264" s="41" t="str">
        <f t="shared" si="9"/>
        <v>.toggle-primary</v>
      </c>
      <c r="E264" s="39" t="s">
        <v>6571</v>
      </c>
      <c r="F264" t="s">
        <v>6163</v>
      </c>
      <c r="G264" t="s">
        <v>6203</v>
      </c>
    </row>
    <row r="265" spans="3:7">
      <c r="C265" t="s">
        <v>6584</v>
      </c>
      <c r="D265" s="41" t="str">
        <f t="shared" si="9"/>
        <v>.toggle-secondary</v>
      </c>
      <c r="E265" s="39" t="s">
        <v>6572</v>
      </c>
      <c r="F265" t="s">
        <v>6163</v>
      </c>
      <c r="G265" t="s">
        <v>6205</v>
      </c>
    </row>
    <row r="266" spans="3:7">
      <c r="C266" t="s">
        <v>6584</v>
      </c>
      <c r="D266" s="41" t="str">
        <f t="shared" si="9"/>
        <v>.toggle-accent</v>
      </c>
      <c r="E266" s="39" t="s">
        <v>6573</v>
      </c>
      <c r="F266" t="s">
        <v>6163</v>
      </c>
      <c r="G266" t="s">
        <v>6207</v>
      </c>
    </row>
    <row r="267" spans="3:7">
      <c r="C267" t="s">
        <v>6584</v>
      </c>
      <c r="D267" s="41" t="str">
        <f t="shared" si="9"/>
        <v>.toggle-neutral</v>
      </c>
      <c r="E267" s="39" t="s">
        <v>6574</v>
      </c>
      <c r="F267" t="s">
        <v>6163</v>
      </c>
      <c r="G267" t="s">
        <v>6201</v>
      </c>
    </row>
    <row r="268" spans="3:7">
      <c r="C268" t="s">
        <v>6584</v>
      </c>
      <c r="D268" s="41" t="str">
        <f t="shared" si="9"/>
        <v>.toggle-success</v>
      </c>
      <c r="E268" s="39" t="s">
        <v>6575</v>
      </c>
      <c r="F268" t="s">
        <v>6163</v>
      </c>
      <c r="G268" t="s">
        <v>6166</v>
      </c>
    </row>
    <row r="269" spans="3:7">
      <c r="C269" t="s">
        <v>6584</v>
      </c>
      <c r="D269" s="41" t="str">
        <f t="shared" si="9"/>
        <v>.toggle-warning</v>
      </c>
      <c r="E269" s="39" t="s">
        <v>6576</v>
      </c>
      <c r="F269" t="s">
        <v>6163</v>
      </c>
      <c r="G269" t="s">
        <v>6168</v>
      </c>
    </row>
    <row r="270" spans="3:7">
      <c r="C270" t="s">
        <v>6584</v>
      </c>
      <c r="D270" s="41" t="str">
        <f t="shared" si="9"/>
        <v>.toggle-info</v>
      </c>
      <c r="E270" s="39" t="s">
        <v>6577</v>
      </c>
      <c r="F270" t="s">
        <v>6163</v>
      </c>
      <c r="G270" t="s">
        <v>6164</v>
      </c>
    </row>
    <row r="271" spans="3:7">
      <c r="C271" t="s">
        <v>6584</v>
      </c>
      <c r="D271" s="41" t="str">
        <f t="shared" si="9"/>
        <v>.toggle-error</v>
      </c>
      <c r="E271" s="39" t="s">
        <v>6578</v>
      </c>
      <c r="F271" t="s">
        <v>6163</v>
      </c>
      <c r="G271" t="s">
        <v>6170</v>
      </c>
    </row>
    <row r="272" spans="3:7">
      <c r="C272" t="s">
        <v>6584</v>
      </c>
      <c r="D272" s="41" t="str">
        <f t="shared" si="9"/>
        <v>.toggle-xs</v>
      </c>
      <c r="E272" s="39" t="s">
        <v>6579</v>
      </c>
      <c r="F272" t="s">
        <v>6213</v>
      </c>
      <c r="G272" t="s">
        <v>6272</v>
      </c>
    </row>
    <row r="273" spans="3:7">
      <c r="C273" t="s">
        <v>6584</v>
      </c>
      <c r="D273" s="41" t="str">
        <f t="shared" si="9"/>
        <v>.toggle-sm</v>
      </c>
      <c r="E273" s="39" t="s">
        <v>6580</v>
      </c>
      <c r="F273" t="s">
        <v>6213</v>
      </c>
      <c r="G273" t="s">
        <v>6274</v>
      </c>
    </row>
    <row r="274" spans="3:7">
      <c r="C274" t="s">
        <v>6584</v>
      </c>
      <c r="D274" s="41" t="str">
        <f t="shared" si="9"/>
        <v>.toggle-md</v>
      </c>
      <c r="E274" s="39" t="s">
        <v>6581</v>
      </c>
      <c r="F274" t="s">
        <v>6213</v>
      </c>
      <c r="G274" t="s">
        <v>6414</v>
      </c>
    </row>
    <row r="275" spans="3:7">
      <c r="C275" t="s">
        <v>6584</v>
      </c>
      <c r="D275" s="41" t="str">
        <f t="shared" si="9"/>
        <v>.toggle-lg</v>
      </c>
      <c r="E275" s="39" t="s">
        <v>6582</v>
      </c>
      <c r="F275" t="s">
        <v>6213</v>
      </c>
      <c r="G275" t="s">
        <v>6278</v>
      </c>
    </row>
    <row r="276" spans="3:7">
      <c r="C276" t="s">
        <v>6584</v>
      </c>
      <c r="D276" s="41" t="str">
        <f t="shared" si="9"/>
        <v>.toggle-xl</v>
      </c>
      <c r="E276" s="39" t="s">
        <v>6583</v>
      </c>
      <c r="F276" t="s">
        <v>6213</v>
      </c>
      <c r="G276" t="s">
        <v>6280</v>
      </c>
    </row>
    <row r="279" spans="3:7">
      <c r="C279" t="s">
        <v>6605</v>
      </c>
      <c r="D279" s="41" t="str">
        <f t="shared" ref="D279:D293" si="10">"."&amp;E279</f>
        <v>.tooltip</v>
      </c>
      <c r="E279" s="39" t="s">
        <v>2871</v>
      </c>
      <c r="F279" t="s">
        <v>6139</v>
      </c>
      <c r="G279" t="s">
        <v>6154</v>
      </c>
    </row>
    <row r="280" spans="3:7">
      <c r="C280" t="s">
        <v>6605</v>
      </c>
      <c r="D280" s="41" t="str">
        <f t="shared" si="10"/>
        <v>.tooltip-content</v>
      </c>
      <c r="E280" s="39" t="s">
        <v>6585</v>
      </c>
      <c r="F280" t="s">
        <v>6141</v>
      </c>
      <c r="G280" t="s">
        <v>6586</v>
      </c>
    </row>
    <row r="281" spans="3:7">
      <c r="C281" t="s">
        <v>6605</v>
      </c>
      <c r="D281" s="41" t="str">
        <f t="shared" si="10"/>
        <v>.tooltip-top</v>
      </c>
      <c r="E281" s="39" t="s">
        <v>6587</v>
      </c>
      <c r="F281" t="s">
        <v>6367</v>
      </c>
      <c r="G281" t="s">
        <v>6588</v>
      </c>
    </row>
    <row r="282" spans="3:7">
      <c r="C282" t="s">
        <v>6605</v>
      </c>
      <c r="D282" s="41" t="str">
        <f t="shared" si="10"/>
        <v>.tooltip-bottom</v>
      </c>
      <c r="E282" s="39" t="s">
        <v>6589</v>
      </c>
      <c r="F282" t="s">
        <v>6367</v>
      </c>
      <c r="G282" t="s">
        <v>6590</v>
      </c>
    </row>
    <row r="283" spans="3:7">
      <c r="C283" t="s">
        <v>6605</v>
      </c>
      <c r="D283" s="41" t="str">
        <f t="shared" si="10"/>
        <v>.tooltip-left</v>
      </c>
      <c r="E283" s="39" t="s">
        <v>6591</v>
      </c>
      <c r="F283" t="s">
        <v>6367</v>
      </c>
      <c r="G283" t="s">
        <v>6592</v>
      </c>
    </row>
    <row r="284" spans="3:7">
      <c r="C284" t="s">
        <v>6605</v>
      </c>
      <c r="D284" s="41" t="str">
        <f t="shared" si="10"/>
        <v>.tooltip-right</v>
      </c>
      <c r="E284" s="39" t="s">
        <v>6593</v>
      </c>
      <c r="F284" t="s">
        <v>6367</v>
      </c>
      <c r="G284" t="s">
        <v>6594</v>
      </c>
    </row>
    <row r="285" spans="3:7">
      <c r="C285" t="s">
        <v>6605</v>
      </c>
      <c r="D285" s="41" t="str">
        <f t="shared" si="10"/>
        <v>.tooltip-open</v>
      </c>
      <c r="E285" s="39" t="s">
        <v>6595</v>
      </c>
      <c r="F285" t="s">
        <v>6146</v>
      </c>
      <c r="G285" t="s">
        <v>6596</v>
      </c>
    </row>
    <row r="286" spans="3:7">
      <c r="C286" t="s">
        <v>6605</v>
      </c>
      <c r="D286" s="41" t="str">
        <f t="shared" si="10"/>
        <v>.tooltip-neutral</v>
      </c>
      <c r="E286" s="39" t="s">
        <v>6597</v>
      </c>
      <c r="F286" t="s">
        <v>6163</v>
      </c>
      <c r="G286" t="s">
        <v>6201</v>
      </c>
    </row>
    <row r="287" spans="3:7">
      <c r="C287" t="s">
        <v>6605</v>
      </c>
      <c r="D287" s="41" t="str">
        <f t="shared" si="10"/>
        <v>.tooltip-primary</v>
      </c>
      <c r="E287" s="39" t="s">
        <v>6598</v>
      </c>
      <c r="F287" t="s">
        <v>6163</v>
      </c>
      <c r="G287" t="s">
        <v>6203</v>
      </c>
    </row>
    <row r="288" spans="3:7">
      <c r="C288" t="s">
        <v>6605</v>
      </c>
      <c r="D288" s="41" t="str">
        <f t="shared" si="10"/>
        <v>.tooltip-secondary</v>
      </c>
      <c r="E288" s="39" t="s">
        <v>6599</v>
      </c>
      <c r="F288" t="s">
        <v>6163</v>
      </c>
      <c r="G288" t="s">
        <v>6205</v>
      </c>
    </row>
    <row r="289" spans="3:7">
      <c r="C289" t="s">
        <v>6605</v>
      </c>
      <c r="D289" s="41" t="str">
        <f t="shared" si="10"/>
        <v>.tooltip-accent</v>
      </c>
      <c r="E289" s="39" t="s">
        <v>6600</v>
      </c>
      <c r="F289" t="s">
        <v>6163</v>
      </c>
      <c r="G289" t="s">
        <v>6207</v>
      </c>
    </row>
    <row r="290" spans="3:7">
      <c r="C290" t="s">
        <v>6605</v>
      </c>
      <c r="D290" s="41" t="str">
        <f t="shared" si="10"/>
        <v>.tooltip-info</v>
      </c>
      <c r="E290" s="39" t="s">
        <v>6601</v>
      </c>
      <c r="F290" t="s">
        <v>6163</v>
      </c>
      <c r="G290" t="s">
        <v>6164</v>
      </c>
    </row>
    <row r="291" spans="3:7">
      <c r="C291" t="s">
        <v>6605</v>
      </c>
      <c r="D291" s="41" t="str">
        <f t="shared" si="10"/>
        <v>.tooltip-success</v>
      </c>
      <c r="E291" s="39" t="s">
        <v>6602</v>
      </c>
      <c r="F291" t="s">
        <v>6163</v>
      </c>
      <c r="G291" t="s">
        <v>6166</v>
      </c>
    </row>
    <row r="292" spans="3:7">
      <c r="C292" t="s">
        <v>6605</v>
      </c>
      <c r="D292" s="41" t="str">
        <f t="shared" si="10"/>
        <v>.tooltip-warning</v>
      </c>
      <c r="E292" s="39" t="s">
        <v>6603</v>
      </c>
      <c r="F292" t="s">
        <v>6163</v>
      </c>
      <c r="G292" t="s">
        <v>6168</v>
      </c>
    </row>
    <row r="293" spans="3:7">
      <c r="C293" t="s">
        <v>6605</v>
      </c>
      <c r="D293" s="41" t="str">
        <f t="shared" si="10"/>
        <v>.tooltip-error</v>
      </c>
      <c r="E293" s="39" t="s">
        <v>6604</v>
      </c>
      <c r="F293" t="s">
        <v>6163</v>
      </c>
      <c r="G293" t="s">
        <v>6170</v>
      </c>
    </row>
    <row r="295" spans="3:7">
      <c r="C295" t="s">
        <v>6624</v>
      </c>
      <c r="E295" s="39" t="s">
        <v>6620</v>
      </c>
      <c r="F295" s="40" t="s">
        <v>6139</v>
      </c>
      <c r="G295" s="40" t="s">
        <v>6621</v>
      </c>
    </row>
    <row r="296" spans="3:7">
      <c r="C296" t="s">
        <v>6624</v>
      </c>
      <c r="E296" s="39" t="s">
        <v>6622</v>
      </c>
      <c r="F296" s="40" t="s">
        <v>6141</v>
      </c>
      <c r="G296" s="40" t="s">
        <v>6623</v>
      </c>
    </row>
    <row r="303" spans="3:7">
      <c r="C303" t="s">
        <v>3549</v>
      </c>
      <c r="D303" s="41" t="str">
        <f t="shared" ref="D303:D306" si="11">"."&amp;E303</f>
        <v>.join</v>
      </c>
      <c r="E303" s="39" t="s">
        <v>6625</v>
      </c>
      <c r="F303" s="40" t="s">
        <v>6139</v>
      </c>
      <c r="G303" s="40" t="s">
        <v>6626</v>
      </c>
    </row>
    <row r="304" spans="3:7">
      <c r="C304" t="s">
        <v>3549</v>
      </c>
      <c r="D304" s="41" t="str">
        <f t="shared" si="11"/>
        <v>.join-item</v>
      </c>
      <c r="E304" s="39" t="s">
        <v>6627</v>
      </c>
      <c r="F304" s="40" t="s">
        <v>6141</v>
      </c>
      <c r="G304" s="40" t="s">
        <v>6628</v>
      </c>
    </row>
    <row r="305" spans="3:7">
      <c r="C305" t="s">
        <v>3549</v>
      </c>
      <c r="D305" s="41" t="str">
        <f t="shared" si="11"/>
        <v>.join-vertical</v>
      </c>
      <c r="E305" s="39" t="s">
        <v>6629</v>
      </c>
      <c r="F305" s="40" t="s">
        <v>6172</v>
      </c>
      <c r="G305" s="40" t="s">
        <v>6630</v>
      </c>
    </row>
    <row r="306" spans="3:7">
      <c r="C306" t="s">
        <v>3549</v>
      </c>
      <c r="D306" s="41" t="str">
        <f t="shared" si="11"/>
        <v>.join-horizontal</v>
      </c>
      <c r="E306" s="39" t="s">
        <v>6631</v>
      </c>
      <c r="F306" s="40" t="s">
        <v>6172</v>
      </c>
      <c r="G306" s="40" t="s">
        <v>6632</v>
      </c>
    </row>
    <row r="311" spans="3:7">
      <c r="C311" t="s">
        <v>4467</v>
      </c>
      <c r="D311" s="41" t="str">
        <f t="shared" ref="D311:D325" si="12">"."&amp;E311</f>
        <v>.tabs</v>
      </c>
      <c r="E311" s="39" t="s">
        <v>4567</v>
      </c>
      <c r="F311" t="s">
        <v>6139</v>
      </c>
      <c r="G311" t="s">
        <v>6637</v>
      </c>
    </row>
    <row r="312" spans="3:7">
      <c r="C312" t="s">
        <v>4467</v>
      </c>
      <c r="D312" s="41" t="str">
        <f t="shared" si="12"/>
        <v>.tab</v>
      </c>
      <c r="E312" s="39" t="s">
        <v>2731</v>
      </c>
      <c r="F312" t="s">
        <v>6141</v>
      </c>
      <c r="G312" t="s">
        <v>6638</v>
      </c>
    </row>
    <row r="313" spans="3:7">
      <c r="C313" t="s">
        <v>4467</v>
      </c>
      <c r="D313" s="41" t="str">
        <f t="shared" si="12"/>
        <v>.tab-content</v>
      </c>
      <c r="E313" s="39" t="s">
        <v>6639</v>
      </c>
      <c r="F313" t="s">
        <v>6141</v>
      </c>
      <c r="G313" t="s">
        <v>6640</v>
      </c>
    </row>
    <row r="314" spans="3:7">
      <c r="C314" t="s">
        <v>4467</v>
      </c>
      <c r="D314" s="41" t="str">
        <f t="shared" si="12"/>
        <v>.tabs-box</v>
      </c>
      <c r="E314" s="39" t="s">
        <v>6641</v>
      </c>
      <c r="F314" t="s">
        <v>6156</v>
      </c>
      <c r="G314" t="s">
        <v>6642</v>
      </c>
    </row>
    <row r="315" spans="3:7">
      <c r="C315" t="s">
        <v>4467</v>
      </c>
      <c r="D315" s="41" t="str">
        <f t="shared" si="12"/>
        <v>.tabs-border</v>
      </c>
      <c r="E315" s="39" t="s">
        <v>6643</v>
      </c>
      <c r="F315" t="s">
        <v>6156</v>
      </c>
      <c r="G315" t="s">
        <v>6644</v>
      </c>
    </row>
    <row r="316" spans="3:7">
      <c r="C316" t="s">
        <v>4467</v>
      </c>
      <c r="D316" s="41" t="str">
        <f t="shared" si="12"/>
        <v>.tabs-lift</v>
      </c>
      <c r="E316" s="39" t="s">
        <v>6645</v>
      </c>
      <c r="F316" t="s">
        <v>6156</v>
      </c>
      <c r="G316" t="s">
        <v>6646</v>
      </c>
    </row>
    <row r="317" spans="3:7">
      <c r="C317" t="s">
        <v>4467</v>
      </c>
      <c r="D317" s="41" t="str">
        <f t="shared" si="12"/>
        <v>.tab-active</v>
      </c>
      <c r="E317" s="39" t="s">
        <v>6647</v>
      </c>
      <c r="F317" t="s">
        <v>6146</v>
      </c>
      <c r="G317" t="s">
        <v>6648</v>
      </c>
    </row>
    <row r="318" spans="3:7">
      <c r="C318" t="s">
        <v>4467</v>
      </c>
      <c r="D318" s="41" t="str">
        <f t="shared" si="12"/>
        <v>.tab-disabled</v>
      </c>
      <c r="E318" s="39" t="s">
        <v>6649</v>
      </c>
      <c r="F318" t="s">
        <v>6146</v>
      </c>
      <c r="G318" t="s">
        <v>6650</v>
      </c>
    </row>
    <row r="319" spans="3:7">
      <c r="C319" t="s">
        <v>4467</v>
      </c>
      <c r="D319" s="41" t="str">
        <f t="shared" si="12"/>
        <v>.tabs-top</v>
      </c>
      <c r="E319" s="39" t="s">
        <v>6651</v>
      </c>
      <c r="F319" t="s">
        <v>6367</v>
      </c>
      <c r="G319" t="s">
        <v>6652</v>
      </c>
    </row>
    <row r="320" spans="3:7">
      <c r="C320" t="s">
        <v>4467</v>
      </c>
      <c r="D320" s="41" t="str">
        <f t="shared" si="12"/>
        <v>.tabs-bottom</v>
      </c>
      <c r="E320" s="39" t="s">
        <v>6653</v>
      </c>
      <c r="F320" t="s">
        <v>6367</v>
      </c>
      <c r="G320" t="s">
        <v>6654</v>
      </c>
    </row>
    <row r="321" spans="3:7">
      <c r="C321" t="s">
        <v>4467</v>
      </c>
      <c r="D321" s="41" t="str">
        <f t="shared" si="12"/>
        <v>.tabs-xs</v>
      </c>
      <c r="E321" s="39" t="s">
        <v>6655</v>
      </c>
      <c r="F321" t="s">
        <v>6213</v>
      </c>
      <c r="G321" t="s">
        <v>6272</v>
      </c>
    </row>
    <row r="322" spans="3:7">
      <c r="C322" t="s">
        <v>4467</v>
      </c>
      <c r="D322" s="41" t="str">
        <f t="shared" si="12"/>
        <v>.tabs-sm</v>
      </c>
      <c r="E322" s="39" t="s">
        <v>6656</v>
      </c>
      <c r="F322" t="s">
        <v>6213</v>
      </c>
      <c r="G322" t="s">
        <v>6274</v>
      </c>
    </row>
    <row r="323" spans="3:7">
      <c r="C323" t="s">
        <v>4467</v>
      </c>
      <c r="D323" s="41" t="str">
        <f t="shared" si="12"/>
        <v>.tabs-md</v>
      </c>
      <c r="E323" s="39" t="s">
        <v>6657</v>
      </c>
      <c r="F323" t="s">
        <v>6213</v>
      </c>
      <c r="G323" t="s">
        <v>6414</v>
      </c>
    </row>
    <row r="324" spans="3:7">
      <c r="C324" t="s">
        <v>4467</v>
      </c>
      <c r="D324" s="41" t="str">
        <f t="shared" si="12"/>
        <v>.tabs-lg</v>
      </c>
      <c r="E324" s="39" t="s">
        <v>6658</v>
      </c>
      <c r="F324" t="s">
        <v>6213</v>
      </c>
      <c r="G324" t="s">
        <v>6278</v>
      </c>
    </row>
    <row r="325" spans="3:7">
      <c r="C325" t="s">
        <v>4467</v>
      </c>
      <c r="D325" s="41" t="str">
        <f t="shared" si="12"/>
        <v>.tabs-xl</v>
      </c>
      <c r="E325" s="39" t="s">
        <v>6659</v>
      </c>
      <c r="F325" t="s">
        <v>6213</v>
      </c>
      <c r="G325" t="s">
        <v>6280</v>
      </c>
    </row>
    <row r="330" spans="3:7">
      <c r="C330" t="s">
        <v>6688</v>
      </c>
      <c r="D330" s="41" t="str">
        <f t="shared" ref="D330:D344" si="13">"."&amp;E330</f>
        <v>.textarea</v>
      </c>
      <c r="E330" s="39" t="s">
        <v>596</v>
      </c>
      <c r="F330" s="40" t="s">
        <v>6139</v>
      </c>
      <c r="G330" s="40" t="s">
        <v>6673</v>
      </c>
    </row>
    <row r="331" spans="3:7">
      <c r="C331" t="s">
        <v>6688</v>
      </c>
      <c r="D331" s="41" t="str">
        <f t="shared" si="13"/>
        <v>.textarea-ghost</v>
      </c>
      <c r="E331" s="39" t="s">
        <v>6674</v>
      </c>
      <c r="F331" s="40" t="s">
        <v>6156</v>
      </c>
      <c r="G331" s="40" t="s">
        <v>6199</v>
      </c>
    </row>
    <row r="332" spans="3:7">
      <c r="C332" t="s">
        <v>6688</v>
      </c>
      <c r="D332" s="41" t="str">
        <f t="shared" si="13"/>
        <v>.textarea-neutral</v>
      </c>
      <c r="E332" s="39" t="s">
        <v>6675</v>
      </c>
      <c r="F332" s="40" t="s">
        <v>6163</v>
      </c>
      <c r="G332" s="40" t="s">
        <v>6201</v>
      </c>
    </row>
    <row r="333" spans="3:7">
      <c r="C333" t="s">
        <v>6688</v>
      </c>
      <c r="D333" s="41" t="str">
        <f t="shared" si="13"/>
        <v>.textarea-primary</v>
      </c>
      <c r="E333" s="39" t="s">
        <v>6676</v>
      </c>
      <c r="F333" s="40" t="s">
        <v>6163</v>
      </c>
      <c r="G333" s="40" t="s">
        <v>6203</v>
      </c>
    </row>
    <row r="334" spans="3:7">
      <c r="C334" t="s">
        <v>6688</v>
      </c>
      <c r="D334" s="41" t="str">
        <f t="shared" si="13"/>
        <v>.textarea-secondary</v>
      </c>
      <c r="E334" s="39" t="s">
        <v>6677</v>
      </c>
      <c r="F334" s="40" t="s">
        <v>6163</v>
      </c>
      <c r="G334" s="40" t="s">
        <v>6205</v>
      </c>
    </row>
    <row r="335" spans="3:7">
      <c r="C335" t="s">
        <v>6688</v>
      </c>
      <c r="D335" s="41" t="str">
        <f t="shared" si="13"/>
        <v>.textarea-accent</v>
      </c>
      <c r="E335" s="39" t="s">
        <v>6678</v>
      </c>
      <c r="F335" s="40" t="s">
        <v>6163</v>
      </c>
      <c r="G335" s="40" t="s">
        <v>6207</v>
      </c>
    </row>
    <row r="336" spans="3:7">
      <c r="C336" t="s">
        <v>6688</v>
      </c>
      <c r="D336" s="41" t="str">
        <f t="shared" si="13"/>
        <v>.textarea-info</v>
      </c>
      <c r="E336" s="39" t="s">
        <v>6679</v>
      </c>
      <c r="F336" s="40" t="s">
        <v>6163</v>
      </c>
      <c r="G336" s="40" t="s">
        <v>6164</v>
      </c>
    </row>
    <row r="337" spans="3:7">
      <c r="C337" t="s">
        <v>6688</v>
      </c>
      <c r="D337" s="41" t="str">
        <f t="shared" si="13"/>
        <v>.textarea-success</v>
      </c>
      <c r="E337" s="39" t="s">
        <v>6680</v>
      </c>
      <c r="F337" s="40" t="s">
        <v>6163</v>
      </c>
      <c r="G337" s="40" t="s">
        <v>6166</v>
      </c>
    </row>
    <row r="338" spans="3:7">
      <c r="C338" t="s">
        <v>6688</v>
      </c>
      <c r="D338" s="41" t="str">
        <f t="shared" si="13"/>
        <v>.textarea-warning</v>
      </c>
      <c r="E338" s="39" t="s">
        <v>6681</v>
      </c>
      <c r="F338" s="40" t="s">
        <v>6163</v>
      </c>
      <c r="G338" s="40" t="s">
        <v>6168</v>
      </c>
    </row>
    <row r="339" spans="3:7">
      <c r="C339" t="s">
        <v>6688</v>
      </c>
      <c r="D339" s="41" t="str">
        <f t="shared" si="13"/>
        <v>.textarea-error</v>
      </c>
      <c r="E339" s="39" t="s">
        <v>6682</v>
      </c>
      <c r="F339" s="40" t="s">
        <v>6163</v>
      </c>
      <c r="G339" s="40" t="s">
        <v>6170</v>
      </c>
    </row>
    <row r="340" spans="3:7">
      <c r="C340" t="s">
        <v>6688</v>
      </c>
      <c r="D340" s="41" t="str">
        <f t="shared" si="13"/>
        <v>.textarea-xs</v>
      </c>
      <c r="E340" s="39" t="s">
        <v>6683</v>
      </c>
      <c r="F340" s="40" t="s">
        <v>6213</v>
      </c>
      <c r="G340" s="40" t="s">
        <v>6272</v>
      </c>
    </row>
    <row r="341" spans="3:7">
      <c r="C341" t="s">
        <v>6688</v>
      </c>
      <c r="D341" s="41" t="str">
        <f t="shared" si="13"/>
        <v>.textarea-sm</v>
      </c>
      <c r="E341" s="39" t="s">
        <v>6684</v>
      </c>
      <c r="F341" s="40" t="s">
        <v>6213</v>
      </c>
      <c r="G341" s="40" t="s">
        <v>6274</v>
      </c>
    </row>
    <row r="342" spans="3:7">
      <c r="C342" t="s">
        <v>6688</v>
      </c>
      <c r="D342" s="41" t="str">
        <f t="shared" si="13"/>
        <v>.textarea-md</v>
      </c>
      <c r="E342" s="39" t="s">
        <v>6685</v>
      </c>
      <c r="F342" s="40" t="s">
        <v>6213</v>
      </c>
      <c r="G342" s="40" t="s">
        <v>6414</v>
      </c>
    </row>
    <row r="343" spans="3:7">
      <c r="C343" t="s">
        <v>6688</v>
      </c>
      <c r="D343" s="41" t="str">
        <f t="shared" si="13"/>
        <v>.textarea-lg</v>
      </c>
      <c r="E343" s="39" t="s">
        <v>6686</v>
      </c>
      <c r="F343" s="40" t="s">
        <v>6213</v>
      </c>
      <c r="G343" s="40" t="s">
        <v>6278</v>
      </c>
    </row>
    <row r="344" spans="3:7">
      <c r="C344" t="s">
        <v>6688</v>
      </c>
      <c r="D344" s="41" t="str">
        <f t="shared" si="13"/>
        <v>.textarea-xl</v>
      </c>
      <c r="E344" s="39" t="s">
        <v>6687</v>
      </c>
      <c r="F344" s="40" t="s">
        <v>6213</v>
      </c>
      <c r="G344" s="40" t="s">
        <v>6280</v>
      </c>
    </row>
    <row r="347" spans="3:7">
      <c r="C347" t="s">
        <v>6705</v>
      </c>
      <c r="E347" s="39" t="s">
        <v>6703</v>
      </c>
      <c r="F347" s="40" t="s">
        <v>6139</v>
      </c>
      <c r="G347" s="40" t="s">
        <v>6704</v>
      </c>
    </row>
    <row r="348" spans="3:7">
      <c r="E348" s="41"/>
    </row>
    <row r="349" spans="3:7">
      <c r="C349" t="s">
        <v>6708</v>
      </c>
      <c r="E349" s="39" t="s">
        <v>6706</v>
      </c>
      <c r="F349" s="40" t="s">
        <v>6139</v>
      </c>
      <c r="G349" s="40" t="s">
        <v>6707</v>
      </c>
    </row>
    <row r="350" spans="3:7">
      <c r="E350" s="41"/>
    </row>
    <row r="351" spans="3:7">
      <c r="C351" t="s">
        <v>6722</v>
      </c>
      <c r="D351" s="41" t="str">
        <f t="shared" ref="D351:D358" si="14">"."&amp;E351</f>
        <v>.indicator</v>
      </c>
      <c r="E351" s="39" t="s">
        <v>6709</v>
      </c>
      <c r="F351" s="40" t="s">
        <v>6139</v>
      </c>
      <c r="G351" s="40" t="s">
        <v>6154</v>
      </c>
    </row>
    <row r="352" spans="3:7">
      <c r="C352" t="s">
        <v>6722</v>
      </c>
      <c r="D352" s="41" t="str">
        <f t="shared" si="14"/>
        <v>.indicator-item</v>
      </c>
      <c r="E352" s="39" t="s">
        <v>6710</v>
      </c>
      <c r="F352" s="40" t="s">
        <v>6141</v>
      </c>
      <c r="G352" s="40" t="s">
        <v>6711</v>
      </c>
    </row>
    <row r="353" spans="3:7">
      <c r="C353" t="s">
        <v>6722</v>
      </c>
      <c r="D353" s="41" t="str">
        <f t="shared" si="14"/>
        <v>.indicator-start</v>
      </c>
      <c r="E353" s="39" t="s">
        <v>6712</v>
      </c>
      <c r="F353" s="40" t="s">
        <v>6367</v>
      </c>
      <c r="G353" s="40" t="s">
        <v>6713</v>
      </c>
    </row>
    <row r="354" spans="3:7">
      <c r="C354" t="s">
        <v>6722</v>
      </c>
      <c r="D354" s="41" t="str">
        <f t="shared" si="14"/>
        <v>.indicator-center</v>
      </c>
      <c r="E354" s="39" t="s">
        <v>6714</v>
      </c>
      <c r="F354" s="40" t="s">
        <v>6367</v>
      </c>
      <c r="G354" s="40" t="s">
        <v>6555</v>
      </c>
    </row>
    <row r="355" spans="3:7">
      <c r="C355" t="s">
        <v>6722</v>
      </c>
      <c r="D355" s="41" t="str">
        <f t="shared" si="14"/>
        <v>.indicator-end</v>
      </c>
      <c r="E355" s="39" t="s">
        <v>6715</v>
      </c>
      <c r="F355" s="40" t="s">
        <v>6367</v>
      </c>
      <c r="G355" s="40" t="s">
        <v>6716</v>
      </c>
    </row>
    <row r="356" spans="3:7">
      <c r="C356" t="s">
        <v>6722</v>
      </c>
      <c r="D356" s="41" t="str">
        <f t="shared" si="14"/>
        <v>.indicator-top</v>
      </c>
      <c r="E356" s="39" t="s">
        <v>6717</v>
      </c>
      <c r="F356" s="40" t="s">
        <v>6367</v>
      </c>
      <c r="G356" s="40" t="s">
        <v>6718</v>
      </c>
    </row>
    <row r="357" spans="3:7">
      <c r="C357" t="s">
        <v>6722</v>
      </c>
      <c r="D357" s="41" t="str">
        <f t="shared" si="14"/>
        <v>.indicator-middle</v>
      </c>
      <c r="E357" s="39" t="s">
        <v>6719</v>
      </c>
      <c r="F357" s="40" t="s">
        <v>6367</v>
      </c>
      <c r="G357" s="40" t="s">
        <v>6561</v>
      </c>
    </row>
    <row r="358" spans="3:7">
      <c r="C358" t="s">
        <v>6722</v>
      </c>
      <c r="D358" s="41" t="str">
        <f t="shared" si="14"/>
        <v>.indicator-bottom</v>
      </c>
      <c r="E358" s="39" t="s">
        <v>6720</v>
      </c>
      <c r="F358" s="40" t="s">
        <v>6367</v>
      </c>
      <c r="G358" s="40" t="s">
        <v>6721</v>
      </c>
    </row>
    <row r="359" spans="3:7">
      <c r="E359" s="41"/>
    </row>
    <row r="361" spans="3:7">
      <c r="C361" t="s">
        <v>6746</v>
      </c>
      <c r="D361" s="41" t="str">
        <f t="shared" ref="D361:D375" si="15">"."&amp;E361</f>
        <v>.input</v>
      </c>
      <c r="E361" s="39" t="s">
        <v>551</v>
      </c>
      <c r="F361" t="s">
        <v>6139</v>
      </c>
      <c r="G361" t="s">
        <v>6731</v>
      </c>
    </row>
    <row r="362" spans="3:7">
      <c r="C362" t="s">
        <v>6746</v>
      </c>
      <c r="D362" s="41" t="str">
        <f t="shared" si="15"/>
        <v>.input-ghost</v>
      </c>
      <c r="E362" s="39" t="s">
        <v>6732</v>
      </c>
      <c r="F362" t="s">
        <v>6156</v>
      </c>
      <c r="G362" t="s">
        <v>6199</v>
      </c>
    </row>
    <row r="363" spans="3:7">
      <c r="C363" t="s">
        <v>6746</v>
      </c>
      <c r="D363" s="41" t="str">
        <f t="shared" si="15"/>
        <v>.input-neutral</v>
      </c>
      <c r="E363" s="39" t="s">
        <v>6733</v>
      </c>
      <c r="F363" t="s">
        <v>6163</v>
      </c>
      <c r="G363" t="s">
        <v>6201</v>
      </c>
    </row>
    <row r="364" spans="3:7">
      <c r="C364" t="s">
        <v>6746</v>
      </c>
      <c r="D364" s="41" t="str">
        <f t="shared" si="15"/>
        <v>.input-primary</v>
      </c>
      <c r="E364" s="39" t="s">
        <v>6734</v>
      </c>
      <c r="F364" t="s">
        <v>6163</v>
      </c>
      <c r="G364" t="s">
        <v>6203</v>
      </c>
    </row>
    <row r="365" spans="3:7">
      <c r="C365" t="s">
        <v>6746</v>
      </c>
      <c r="D365" s="41" t="str">
        <f t="shared" si="15"/>
        <v>.input-secondary</v>
      </c>
      <c r="E365" s="39" t="s">
        <v>6735</v>
      </c>
      <c r="F365" t="s">
        <v>6163</v>
      </c>
      <c r="G365" t="s">
        <v>6205</v>
      </c>
    </row>
    <row r="366" spans="3:7">
      <c r="C366" t="s">
        <v>6746</v>
      </c>
      <c r="D366" s="41" t="str">
        <f t="shared" si="15"/>
        <v>.input-accent</v>
      </c>
      <c r="E366" s="39" t="s">
        <v>6736</v>
      </c>
      <c r="F366" t="s">
        <v>6163</v>
      </c>
      <c r="G366" t="s">
        <v>6207</v>
      </c>
    </row>
    <row r="367" spans="3:7">
      <c r="C367" t="s">
        <v>6746</v>
      </c>
      <c r="D367" s="41" t="str">
        <f t="shared" si="15"/>
        <v>.input-info</v>
      </c>
      <c r="E367" s="39" t="s">
        <v>6737</v>
      </c>
      <c r="F367" t="s">
        <v>6163</v>
      </c>
      <c r="G367" t="s">
        <v>6164</v>
      </c>
    </row>
    <row r="368" spans="3:7">
      <c r="C368" t="s">
        <v>6746</v>
      </c>
      <c r="D368" s="41" t="str">
        <f t="shared" si="15"/>
        <v>.input-success</v>
      </c>
      <c r="E368" s="39" t="s">
        <v>6738</v>
      </c>
      <c r="F368" t="s">
        <v>6163</v>
      </c>
      <c r="G368" t="s">
        <v>6166</v>
      </c>
    </row>
    <row r="369" spans="3:7">
      <c r="C369" t="s">
        <v>6746</v>
      </c>
      <c r="D369" s="41" t="str">
        <f t="shared" si="15"/>
        <v>.input-warning</v>
      </c>
      <c r="E369" s="39" t="s">
        <v>6739</v>
      </c>
      <c r="F369" t="s">
        <v>6163</v>
      </c>
      <c r="G369" t="s">
        <v>6168</v>
      </c>
    </row>
    <row r="370" spans="3:7">
      <c r="C370" t="s">
        <v>6746</v>
      </c>
      <c r="D370" s="41" t="str">
        <f t="shared" si="15"/>
        <v>.input-error</v>
      </c>
      <c r="E370" s="39" t="s">
        <v>6740</v>
      </c>
      <c r="F370" t="s">
        <v>6163</v>
      </c>
      <c r="G370" t="s">
        <v>6170</v>
      </c>
    </row>
    <row r="371" spans="3:7">
      <c r="C371" t="s">
        <v>6746</v>
      </c>
      <c r="D371" s="41" t="str">
        <f t="shared" si="15"/>
        <v>.input-xs</v>
      </c>
      <c r="E371" s="39" t="s">
        <v>6741</v>
      </c>
      <c r="F371" t="s">
        <v>6213</v>
      </c>
      <c r="G371" t="s">
        <v>6272</v>
      </c>
    </row>
    <row r="372" spans="3:7">
      <c r="C372" t="s">
        <v>6746</v>
      </c>
      <c r="D372" s="41" t="str">
        <f t="shared" si="15"/>
        <v>.input-sm</v>
      </c>
      <c r="E372" s="39" t="s">
        <v>6742</v>
      </c>
      <c r="F372" t="s">
        <v>6213</v>
      </c>
      <c r="G372" t="s">
        <v>6274</v>
      </c>
    </row>
    <row r="373" spans="3:7">
      <c r="C373" t="s">
        <v>6746</v>
      </c>
      <c r="D373" s="41" t="str">
        <f t="shared" si="15"/>
        <v>.input-md</v>
      </c>
      <c r="E373" s="39" t="s">
        <v>6743</v>
      </c>
      <c r="F373" t="s">
        <v>6213</v>
      </c>
      <c r="G373" t="s">
        <v>6414</v>
      </c>
    </row>
    <row r="374" spans="3:7">
      <c r="C374" t="s">
        <v>6746</v>
      </c>
      <c r="D374" s="41" t="str">
        <f t="shared" si="15"/>
        <v>.input-lg</v>
      </c>
      <c r="E374" s="39" t="s">
        <v>6744</v>
      </c>
      <c r="F374" t="s">
        <v>6213</v>
      </c>
      <c r="G374" t="s">
        <v>6278</v>
      </c>
    </row>
    <row r="375" spans="3:7">
      <c r="C375" t="s">
        <v>6746</v>
      </c>
      <c r="D375" s="41" t="str">
        <f t="shared" si="15"/>
        <v>.input-xl</v>
      </c>
      <c r="E375" s="39" t="s">
        <v>6745</v>
      </c>
      <c r="F375" t="s">
        <v>6213</v>
      </c>
      <c r="G375" t="s">
        <v>6280</v>
      </c>
    </row>
    <row r="378" spans="3:7">
      <c r="C378" t="s">
        <v>6767</v>
      </c>
      <c r="D378" s="41" t="str">
        <f t="shared" ref="D378:D383" si="16">"."&amp;E378</f>
        <v>.kbd</v>
      </c>
      <c r="E378" s="39" t="s">
        <v>553</v>
      </c>
      <c r="F378" s="40" t="s">
        <v>6139</v>
      </c>
      <c r="G378" s="40" t="s">
        <v>6761</v>
      </c>
    </row>
    <row r="379" spans="3:7">
      <c r="C379" t="s">
        <v>6767</v>
      </c>
      <c r="D379" s="41" t="str">
        <f t="shared" si="16"/>
        <v>.kbd-xs</v>
      </c>
      <c r="E379" s="39" t="s">
        <v>6762</v>
      </c>
      <c r="F379" s="40" t="s">
        <v>6213</v>
      </c>
      <c r="G379" s="40" t="s">
        <v>6272</v>
      </c>
    </row>
    <row r="380" spans="3:7">
      <c r="C380" t="s">
        <v>6767</v>
      </c>
      <c r="D380" s="41" t="str">
        <f t="shared" si="16"/>
        <v>.kbd-sm</v>
      </c>
      <c r="E380" s="39" t="s">
        <v>6763</v>
      </c>
      <c r="F380" s="40" t="s">
        <v>6213</v>
      </c>
      <c r="G380" s="40" t="s">
        <v>6274</v>
      </c>
    </row>
    <row r="381" spans="3:7">
      <c r="C381" t="s">
        <v>6767</v>
      </c>
      <c r="D381" s="41" t="str">
        <f t="shared" si="16"/>
        <v>.kbd-md</v>
      </c>
      <c r="E381" s="39" t="s">
        <v>6764</v>
      </c>
      <c r="F381" s="40" t="s">
        <v>6213</v>
      </c>
      <c r="G381" s="40" t="s">
        <v>6414</v>
      </c>
    </row>
    <row r="382" spans="3:7">
      <c r="C382" t="s">
        <v>6767</v>
      </c>
      <c r="D382" s="41" t="str">
        <f t="shared" si="16"/>
        <v>.kbd-lg</v>
      </c>
      <c r="E382" s="39" t="s">
        <v>6765</v>
      </c>
      <c r="F382" s="40" t="s">
        <v>6213</v>
      </c>
      <c r="G382" s="40" t="s">
        <v>6278</v>
      </c>
    </row>
    <row r="383" spans="3:7">
      <c r="C383" t="s">
        <v>6767</v>
      </c>
      <c r="D383" s="41" t="str">
        <f t="shared" si="16"/>
        <v>.kbd-xl</v>
      </c>
      <c r="E383" s="39" t="s">
        <v>6766</v>
      </c>
      <c r="F383" s="40" t="s">
        <v>6213</v>
      </c>
      <c r="G383" s="40" t="s">
        <v>6280</v>
      </c>
    </row>
    <row r="386" spans="3:7">
      <c r="C386" t="s">
        <v>4347</v>
      </c>
      <c r="D386" s="41" t="str">
        <f t="shared" ref="D386:D387" si="17">"."&amp;E386</f>
        <v>.label</v>
      </c>
      <c r="E386" s="39" t="s">
        <v>554</v>
      </c>
      <c r="F386" s="40" t="s">
        <v>6139</v>
      </c>
      <c r="G386" s="40" t="s">
        <v>6774</v>
      </c>
    </row>
    <row r="387" spans="3:7">
      <c r="C387" t="s">
        <v>4347</v>
      </c>
      <c r="D387" s="41" t="str">
        <f t="shared" si="17"/>
        <v>.floating-label</v>
      </c>
      <c r="E387" s="39" t="s">
        <v>6775</v>
      </c>
      <c r="F387" s="40" t="s">
        <v>6139</v>
      </c>
      <c r="G387" s="40" t="s">
        <v>6776</v>
      </c>
    </row>
    <row r="390" spans="3:7">
      <c r="C390" t="s">
        <v>6789</v>
      </c>
      <c r="D390" s="41" t="str">
        <f t="shared" ref="D390:D399" si="18">"."&amp;E390</f>
        <v>.link</v>
      </c>
      <c r="E390" s="39" t="s">
        <v>477</v>
      </c>
      <c r="F390" s="40" t="s">
        <v>6139</v>
      </c>
      <c r="G390" s="40" t="s">
        <v>6778</v>
      </c>
    </row>
    <row r="391" spans="3:7">
      <c r="C391" t="s">
        <v>6789</v>
      </c>
      <c r="D391" s="41" t="str">
        <f t="shared" si="18"/>
        <v>.link-hover</v>
      </c>
      <c r="E391" s="39" t="s">
        <v>6779</v>
      </c>
      <c r="F391" s="40" t="s">
        <v>6156</v>
      </c>
      <c r="G391" s="40" t="s">
        <v>6780</v>
      </c>
    </row>
    <row r="392" spans="3:7">
      <c r="C392" t="s">
        <v>6789</v>
      </c>
      <c r="D392" s="41" t="str">
        <f t="shared" si="18"/>
        <v>.link-neutral</v>
      </c>
      <c r="E392" s="39" t="s">
        <v>6781</v>
      </c>
      <c r="F392" s="40" t="s">
        <v>6163</v>
      </c>
      <c r="G392" s="40" t="s">
        <v>6201</v>
      </c>
    </row>
    <row r="393" spans="3:7">
      <c r="C393" t="s">
        <v>6789</v>
      </c>
      <c r="D393" s="41" t="str">
        <f t="shared" si="18"/>
        <v>.link-primary</v>
      </c>
      <c r="E393" s="39" t="s">
        <v>6782</v>
      </c>
      <c r="F393" s="40" t="s">
        <v>6163</v>
      </c>
      <c r="G393" s="40" t="s">
        <v>6203</v>
      </c>
    </row>
    <row r="394" spans="3:7">
      <c r="C394" t="s">
        <v>6789</v>
      </c>
      <c r="D394" s="41" t="str">
        <f t="shared" si="18"/>
        <v>.link-secondary</v>
      </c>
      <c r="E394" s="39" t="s">
        <v>6783</v>
      </c>
      <c r="F394" s="40" t="s">
        <v>6163</v>
      </c>
      <c r="G394" s="40" t="s">
        <v>6205</v>
      </c>
    </row>
    <row r="395" spans="3:7">
      <c r="C395" t="s">
        <v>6789</v>
      </c>
      <c r="D395" s="41" t="str">
        <f t="shared" si="18"/>
        <v>.link-accent</v>
      </c>
      <c r="E395" s="39" t="s">
        <v>6784</v>
      </c>
      <c r="F395" s="40" t="s">
        <v>6163</v>
      </c>
      <c r="G395" s="40" t="s">
        <v>6207</v>
      </c>
    </row>
    <row r="396" spans="3:7">
      <c r="C396" t="s">
        <v>6789</v>
      </c>
      <c r="D396" s="41" t="str">
        <f t="shared" si="18"/>
        <v>.link-success</v>
      </c>
      <c r="E396" s="39" t="s">
        <v>6785</v>
      </c>
      <c r="F396" s="40" t="s">
        <v>6163</v>
      </c>
      <c r="G396" s="40" t="s">
        <v>6166</v>
      </c>
    </row>
    <row r="397" spans="3:7">
      <c r="C397" t="s">
        <v>6789</v>
      </c>
      <c r="D397" s="41" t="str">
        <f t="shared" si="18"/>
        <v>.link-info</v>
      </c>
      <c r="E397" s="39" t="s">
        <v>6786</v>
      </c>
      <c r="F397" s="40" t="s">
        <v>6163</v>
      </c>
      <c r="G397" s="40" t="s">
        <v>6164</v>
      </c>
    </row>
    <row r="398" spans="3:7">
      <c r="C398" t="s">
        <v>6789</v>
      </c>
      <c r="D398" s="41" t="str">
        <f t="shared" si="18"/>
        <v>.link-warning</v>
      </c>
      <c r="E398" s="39" t="s">
        <v>6787</v>
      </c>
      <c r="F398" s="40" t="s">
        <v>6163</v>
      </c>
      <c r="G398" s="40" t="s">
        <v>6168</v>
      </c>
    </row>
    <row r="399" spans="3:7">
      <c r="C399" t="s">
        <v>6789</v>
      </c>
      <c r="D399" s="41" t="str">
        <f t="shared" si="18"/>
        <v>.link-error</v>
      </c>
      <c r="E399" s="39" t="s">
        <v>6788</v>
      </c>
      <c r="F399" s="40" t="s">
        <v>6163</v>
      </c>
      <c r="G399" s="40" t="s">
        <v>6170</v>
      </c>
    </row>
    <row r="402" spans="3:7">
      <c r="C402" t="s">
        <v>681</v>
      </c>
      <c r="D402" s="41" t="str">
        <f t="shared" ref="D402:D405" si="19">"."&amp;E402</f>
        <v>.list</v>
      </c>
      <c r="E402" s="39" t="s">
        <v>325</v>
      </c>
      <c r="F402" s="40" t="s">
        <v>6139</v>
      </c>
      <c r="G402" s="40" t="s">
        <v>6795</v>
      </c>
    </row>
    <row r="403" spans="3:7">
      <c r="C403" t="s">
        <v>681</v>
      </c>
      <c r="D403" s="41" t="str">
        <f t="shared" si="19"/>
        <v>.list-row</v>
      </c>
      <c r="E403" s="39" t="s">
        <v>6796</v>
      </c>
      <c r="F403" s="40" t="s">
        <v>6139</v>
      </c>
      <c r="G403" s="40" t="s">
        <v>6797</v>
      </c>
    </row>
    <row r="404" spans="3:7">
      <c r="C404" t="s">
        <v>681</v>
      </c>
      <c r="D404" s="41" t="str">
        <f t="shared" si="19"/>
        <v>.list-col-wrap</v>
      </c>
      <c r="E404" s="39" t="s">
        <v>6798</v>
      </c>
      <c r="F404" s="40" t="s">
        <v>6146</v>
      </c>
      <c r="G404" s="40" t="s">
        <v>6799</v>
      </c>
    </row>
    <row r="405" spans="3:7">
      <c r="C405" t="s">
        <v>681</v>
      </c>
      <c r="D405" s="41" t="str">
        <f t="shared" si="19"/>
        <v>.list-col-grow</v>
      </c>
      <c r="E405" s="39" t="s">
        <v>6800</v>
      </c>
      <c r="F405" s="40" t="s">
        <v>6146</v>
      </c>
      <c r="G405" s="40" t="s">
        <v>6801</v>
      </c>
    </row>
    <row r="408" spans="3:7">
      <c r="C408" t="s">
        <v>6924</v>
      </c>
      <c r="D408" s="41" t="str">
        <f t="shared" ref="D408:D419" si="20">"."&amp;E408</f>
        <v>.loading</v>
      </c>
      <c r="E408" s="39" t="s">
        <v>3208</v>
      </c>
      <c r="F408" s="40" t="s">
        <v>6139</v>
      </c>
      <c r="G408" s="40" t="s">
        <v>6906</v>
      </c>
    </row>
    <row r="409" spans="3:7">
      <c r="C409" t="s">
        <v>6924</v>
      </c>
      <c r="D409" s="41" t="str">
        <f t="shared" si="20"/>
        <v>.loading-spinner</v>
      </c>
      <c r="E409" s="39" t="s">
        <v>6907</v>
      </c>
      <c r="F409" s="40" t="s">
        <v>6156</v>
      </c>
      <c r="G409" s="40" t="s">
        <v>6908</v>
      </c>
    </row>
    <row r="410" spans="3:7">
      <c r="C410" t="s">
        <v>6924</v>
      </c>
      <c r="D410" s="41" t="str">
        <f t="shared" si="20"/>
        <v>.loading-dots</v>
      </c>
      <c r="E410" s="39" t="s">
        <v>6909</v>
      </c>
      <c r="F410" s="40" t="s">
        <v>6156</v>
      </c>
      <c r="G410" s="40" t="s">
        <v>6910</v>
      </c>
    </row>
    <row r="411" spans="3:7">
      <c r="C411" t="s">
        <v>6924</v>
      </c>
      <c r="D411" s="41" t="str">
        <f t="shared" si="20"/>
        <v>.loading-ring</v>
      </c>
      <c r="E411" s="39" t="s">
        <v>6911</v>
      </c>
      <c r="F411" s="40" t="s">
        <v>6156</v>
      </c>
      <c r="G411" s="40" t="s">
        <v>6912</v>
      </c>
    </row>
    <row r="412" spans="3:7">
      <c r="C412" t="s">
        <v>6924</v>
      </c>
      <c r="D412" s="41" t="str">
        <f t="shared" si="20"/>
        <v>.loading-ball</v>
      </c>
      <c r="E412" s="39" t="s">
        <v>6913</v>
      </c>
      <c r="F412" s="40" t="s">
        <v>6156</v>
      </c>
      <c r="G412" s="40" t="s">
        <v>6914</v>
      </c>
    </row>
    <row r="413" spans="3:7">
      <c r="C413" t="s">
        <v>6924</v>
      </c>
      <c r="D413" s="41" t="str">
        <f t="shared" si="20"/>
        <v>.loading-bars</v>
      </c>
      <c r="E413" s="39" t="s">
        <v>6915</v>
      </c>
      <c r="F413" s="40" t="s">
        <v>6156</v>
      </c>
      <c r="G413" s="40" t="s">
        <v>6916</v>
      </c>
    </row>
    <row r="414" spans="3:7">
      <c r="C414" t="s">
        <v>6924</v>
      </c>
      <c r="D414" s="41" t="str">
        <f t="shared" si="20"/>
        <v>.loading-infinity</v>
      </c>
      <c r="E414" s="39" t="s">
        <v>6917</v>
      </c>
      <c r="F414" s="40" t="s">
        <v>6156</v>
      </c>
      <c r="G414" s="40" t="s">
        <v>6918</v>
      </c>
    </row>
    <row r="415" spans="3:7">
      <c r="C415" t="s">
        <v>6924</v>
      </c>
      <c r="D415" s="41" t="str">
        <f t="shared" si="20"/>
        <v>.loading-xs</v>
      </c>
      <c r="E415" s="39" t="s">
        <v>6919</v>
      </c>
      <c r="F415" s="40" t="s">
        <v>6213</v>
      </c>
      <c r="G415" s="40" t="s">
        <v>6272</v>
      </c>
    </row>
    <row r="416" spans="3:7">
      <c r="C416" t="s">
        <v>6924</v>
      </c>
      <c r="D416" s="41" t="str">
        <f t="shared" si="20"/>
        <v>.loading-sm</v>
      </c>
      <c r="E416" s="39" t="s">
        <v>6920</v>
      </c>
      <c r="F416" s="40" t="s">
        <v>6213</v>
      </c>
      <c r="G416" s="40" t="s">
        <v>6274</v>
      </c>
    </row>
    <row r="417" spans="3:7">
      <c r="C417" t="s">
        <v>6924</v>
      </c>
      <c r="D417" s="41" t="str">
        <f t="shared" si="20"/>
        <v>.loading-md</v>
      </c>
      <c r="E417" s="39" t="s">
        <v>6921</v>
      </c>
      <c r="F417" s="40" t="s">
        <v>6213</v>
      </c>
      <c r="G417" s="40" t="s">
        <v>6414</v>
      </c>
    </row>
    <row r="418" spans="3:7">
      <c r="C418" t="s">
        <v>6924</v>
      </c>
      <c r="D418" s="41" t="str">
        <f t="shared" si="20"/>
        <v>.loading-lg</v>
      </c>
      <c r="E418" s="39" t="s">
        <v>6922</v>
      </c>
      <c r="F418" s="40" t="s">
        <v>6213</v>
      </c>
      <c r="G418" s="40" t="s">
        <v>6278</v>
      </c>
    </row>
    <row r="419" spans="3:7">
      <c r="C419" t="s">
        <v>6924</v>
      </c>
      <c r="D419" s="41" t="str">
        <f t="shared" si="20"/>
        <v>.loading-xl</v>
      </c>
      <c r="E419" s="39" t="s">
        <v>6923</v>
      </c>
      <c r="F419" s="40" t="s">
        <v>6213</v>
      </c>
      <c r="G419" s="40" t="s">
        <v>6280</v>
      </c>
    </row>
    <row r="422" spans="3:7">
      <c r="C422" t="s">
        <v>6972</v>
      </c>
      <c r="D422" s="41" t="str">
        <f t="shared" ref="D422:D439" si="21">"."&amp;E422</f>
        <v>.mask</v>
      </c>
      <c r="E422" s="39" t="s">
        <v>6937</v>
      </c>
      <c r="F422" s="40" t="s">
        <v>6139</v>
      </c>
      <c r="G422" s="40" t="s">
        <v>6938</v>
      </c>
    </row>
    <row r="423" spans="3:7">
      <c r="C423" t="s">
        <v>6972</v>
      </c>
      <c r="D423" s="41" t="str">
        <f t="shared" si="21"/>
        <v>.mask-squircle</v>
      </c>
      <c r="E423" s="39" t="s">
        <v>6939</v>
      </c>
      <c r="F423" s="40" t="s">
        <v>6156</v>
      </c>
      <c r="G423" s="40" t="s">
        <v>6940</v>
      </c>
    </row>
    <row r="424" spans="3:7">
      <c r="C424" t="s">
        <v>6972</v>
      </c>
      <c r="D424" s="41" t="str">
        <f t="shared" si="21"/>
        <v>.mask-heart</v>
      </c>
      <c r="E424" s="39" t="s">
        <v>6941</v>
      </c>
      <c r="F424" s="40" t="s">
        <v>6156</v>
      </c>
      <c r="G424" s="40" t="s">
        <v>6942</v>
      </c>
    </row>
    <row r="425" spans="3:7">
      <c r="C425" t="s">
        <v>6972</v>
      </c>
      <c r="D425" s="41" t="str">
        <f t="shared" si="21"/>
        <v>.mask-hexagon</v>
      </c>
      <c r="E425" s="39" t="s">
        <v>6943</v>
      </c>
      <c r="F425" s="40" t="s">
        <v>6156</v>
      </c>
      <c r="G425" s="40" t="s">
        <v>6944</v>
      </c>
    </row>
    <row r="426" spans="3:7">
      <c r="C426" t="s">
        <v>6972</v>
      </c>
      <c r="D426" s="41" t="str">
        <f t="shared" si="21"/>
        <v>.mask-hexagon-2</v>
      </c>
      <c r="E426" s="39" t="s">
        <v>6945</v>
      </c>
      <c r="F426" s="40" t="s">
        <v>6156</v>
      </c>
      <c r="G426" s="40" t="s">
        <v>6946</v>
      </c>
    </row>
    <row r="427" spans="3:7">
      <c r="C427" t="s">
        <v>6972</v>
      </c>
      <c r="D427" s="41" t="str">
        <f t="shared" si="21"/>
        <v>.mask-decagon</v>
      </c>
      <c r="E427" s="39" t="s">
        <v>6947</v>
      </c>
      <c r="F427" s="40" t="s">
        <v>6156</v>
      </c>
      <c r="G427" s="40" t="s">
        <v>6948</v>
      </c>
    </row>
    <row r="428" spans="3:7">
      <c r="C428" t="s">
        <v>6972</v>
      </c>
      <c r="D428" s="41" t="str">
        <f t="shared" si="21"/>
        <v>.mask-pentagon</v>
      </c>
      <c r="E428" s="39" t="s">
        <v>6949</v>
      </c>
      <c r="F428" s="40" t="s">
        <v>6156</v>
      </c>
      <c r="G428" s="40" t="s">
        <v>6950</v>
      </c>
    </row>
    <row r="429" spans="3:7">
      <c r="C429" t="s">
        <v>6972</v>
      </c>
      <c r="D429" s="41" t="str">
        <f t="shared" si="21"/>
        <v>.mask-diamond</v>
      </c>
      <c r="E429" s="39" t="s">
        <v>6951</v>
      </c>
      <c r="F429" s="40" t="s">
        <v>6156</v>
      </c>
      <c r="G429" s="40" t="s">
        <v>6952</v>
      </c>
    </row>
    <row r="430" spans="3:7">
      <c r="C430" t="s">
        <v>6972</v>
      </c>
      <c r="D430" s="41" t="str">
        <f t="shared" si="21"/>
        <v>.mask-square</v>
      </c>
      <c r="E430" s="39" t="s">
        <v>6953</v>
      </c>
      <c r="F430" s="40" t="s">
        <v>6156</v>
      </c>
      <c r="G430" s="40" t="s">
        <v>3122</v>
      </c>
    </row>
    <row r="431" spans="3:7">
      <c r="C431" t="s">
        <v>6972</v>
      </c>
      <c r="D431" s="41" t="str">
        <f t="shared" si="21"/>
        <v>.mask-circle</v>
      </c>
      <c r="E431" s="39" t="s">
        <v>6954</v>
      </c>
      <c r="F431" s="40" t="s">
        <v>6156</v>
      </c>
      <c r="G431" s="40" t="s">
        <v>6955</v>
      </c>
    </row>
    <row r="432" spans="3:7">
      <c r="C432" t="s">
        <v>6972</v>
      </c>
      <c r="D432" s="41" t="str">
        <f t="shared" si="21"/>
        <v>.mask-star</v>
      </c>
      <c r="E432" s="39" t="s">
        <v>6956</v>
      </c>
      <c r="F432" s="40" t="s">
        <v>6156</v>
      </c>
      <c r="G432" s="40" t="s">
        <v>6957</v>
      </c>
    </row>
    <row r="433" spans="3:7">
      <c r="C433" t="s">
        <v>6972</v>
      </c>
      <c r="D433" s="41" t="str">
        <f t="shared" si="21"/>
        <v>.mask-star-2</v>
      </c>
      <c r="E433" s="39" t="s">
        <v>6958</v>
      </c>
      <c r="F433" s="40" t="s">
        <v>6156</v>
      </c>
      <c r="G433" s="40" t="s">
        <v>6959</v>
      </c>
    </row>
    <row r="434" spans="3:7">
      <c r="C434" t="s">
        <v>6972</v>
      </c>
      <c r="D434" s="41" t="str">
        <f t="shared" si="21"/>
        <v>.mask-triangle</v>
      </c>
      <c r="E434" s="39" t="s">
        <v>6960</v>
      </c>
      <c r="F434" s="40" t="s">
        <v>6156</v>
      </c>
      <c r="G434" s="40" t="s">
        <v>6961</v>
      </c>
    </row>
    <row r="435" spans="3:7">
      <c r="C435" t="s">
        <v>6972</v>
      </c>
      <c r="D435" s="41" t="str">
        <f t="shared" si="21"/>
        <v>.mask-triangle-2</v>
      </c>
      <c r="E435" s="39" t="s">
        <v>6962</v>
      </c>
      <c r="F435" s="40" t="s">
        <v>6156</v>
      </c>
      <c r="G435" s="40" t="s">
        <v>6963</v>
      </c>
    </row>
    <row r="436" spans="3:7">
      <c r="C436" t="s">
        <v>6972</v>
      </c>
      <c r="D436" s="41" t="str">
        <f t="shared" si="21"/>
        <v>.mask-triangle-3</v>
      </c>
      <c r="E436" s="39" t="s">
        <v>6964</v>
      </c>
      <c r="F436" s="40" t="s">
        <v>6156</v>
      </c>
      <c r="G436" s="40" t="s">
        <v>6965</v>
      </c>
    </row>
    <row r="437" spans="3:7">
      <c r="C437" t="s">
        <v>6972</v>
      </c>
      <c r="D437" s="41" t="str">
        <f t="shared" si="21"/>
        <v>.mask-triangle-4</v>
      </c>
      <c r="E437" s="39" t="s">
        <v>6966</v>
      </c>
      <c r="F437" s="40" t="s">
        <v>6156</v>
      </c>
      <c r="G437" s="40" t="s">
        <v>6967</v>
      </c>
    </row>
    <row r="438" spans="3:7">
      <c r="C438" t="s">
        <v>6972</v>
      </c>
      <c r="D438" s="41" t="str">
        <f t="shared" si="21"/>
        <v>.mask-half-1</v>
      </c>
      <c r="E438" s="39" t="s">
        <v>6968</v>
      </c>
      <c r="F438" s="40" t="s">
        <v>6146</v>
      </c>
      <c r="G438" s="40" t="s">
        <v>6969</v>
      </c>
    </row>
    <row r="439" spans="3:7">
      <c r="C439" t="s">
        <v>6972</v>
      </c>
      <c r="D439" s="41" t="str">
        <f t="shared" si="21"/>
        <v>.mask-half-2</v>
      </c>
      <c r="E439" s="39" t="s">
        <v>6970</v>
      </c>
      <c r="F439" s="40" t="s">
        <v>6146</v>
      </c>
      <c r="G439" s="40" t="s">
        <v>6971</v>
      </c>
    </row>
    <row r="442" spans="3:7">
      <c r="C442" t="s">
        <v>4373</v>
      </c>
      <c r="D442" s="41" t="str">
        <f t="shared" ref="D442:D456" si="22">"."&amp;E442</f>
        <v>.menu</v>
      </c>
      <c r="E442" s="39" t="s">
        <v>562</v>
      </c>
      <c r="F442" s="40" t="s">
        <v>6139</v>
      </c>
      <c r="G442" s="40" t="s">
        <v>6973</v>
      </c>
    </row>
    <row r="443" spans="3:7">
      <c r="C443" t="s">
        <v>4373</v>
      </c>
      <c r="D443" s="41" t="str">
        <f t="shared" si="22"/>
        <v>.menu-title</v>
      </c>
      <c r="E443" s="39" t="s">
        <v>6974</v>
      </c>
      <c r="F443" s="40" t="s">
        <v>6141</v>
      </c>
      <c r="G443" s="40" t="s">
        <v>6975</v>
      </c>
    </row>
    <row r="444" spans="3:7">
      <c r="C444" t="s">
        <v>4373</v>
      </c>
      <c r="D444" s="41" t="str">
        <f t="shared" si="22"/>
        <v>.menu-dropdown</v>
      </c>
      <c r="E444" s="39" t="s">
        <v>6976</v>
      </c>
      <c r="F444" s="40" t="s">
        <v>6141</v>
      </c>
      <c r="G444" s="40" t="s">
        <v>6977</v>
      </c>
    </row>
    <row r="445" spans="3:7">
      <c r="C445" t="s">
        <v>4373</v>
      </c>
      <c r="D445" s="41" t="str">
        <f t="shared" si="22"/>
        <v>.menu-dropdown-toggle</v>
      </c>
      <c r="E445" s="39" t="s">
        <v>6978</v>
      </c>
      <c r="F445" s="40" t="s">
        <v>6141</v>
      </c>
      <c r="G445" s="40" t="s">
        <v>6979</v>
      </c>
    </row>
    <row r="446" spans="3:7">
      <c r="C446" t="s">
        <v>4373</v>
      </c>
      <c r="D446" s="41" t="str">
        <f t="shared" si="22"/>
        <v>.menu-disabled</v>
      </c>
      <c r="E446" s="39" t="s">
        <v>6980</v>
      </c>
      <c r="F446" s="40" t="s">
        <v>6146</v>
      </c>
      <c r="G446" s="40" t="s">
        <v>6981</v>
      </c>
    </row>
    <row r="447" spans="3:7">
      <c r="C447" t="s">
        <v>4373</v>
      </c>
      <c r="D447" s="41" t="str">
        <f t="shared" si="22"/>
        <v>.menu-active</v>
      </c>
      <c r="E447" s="39" t="s">
        <v>6982</v>
      </c>
      <c r="F447" s="40" t="s">
        <v>6146</v>
      </c>
      <c r="G447" s="40" t="s">
        <v>6983</v>
      </c>
    </row>
    <row r="448" spans="3:7">
      <c r="C448" t="s">
        <v>4373</v>
      </c>
      <c r="D448" s="41" t="str">
        <f t="shared" si="22"/>
        <v>.menu-focus</v>
      </c>
      <c r="E448" s="39" t="s">
        <v>6984</v>
      </c>
      <c r="F448" s="40" t="s">
        <v>6146</v>
      </c>
      <c r="G448" s="40" t="s">
        <v>6985</v>
      </c>
    </row>
    <row r="449" spans="3:7">
      <c r="C449" t="s">
        <v>4373</v>
      </c>
      <c r="D449" s="41" t="str">
        <f t="shared" si="22"/>
        <v>.menu-dropdown-show</v>
      </c>
      <c r="E449" s="39" t="s">
        <v>6986</v>
      </c>
      <c r="F449" s="40" t="s">
        <v>6146</v>
      </c>
      <c r="G449" s="40" t="s">
        <v>6987</v>
      </c>
    </row>
    <row r="450" spans="3:7">
      <c r="C450" t="s">
        <v>4373</v>
      </c>
      <c r="D450" s="41" t="str">
        <f t="shared" si="22"/>
        <v>.menu-xs</v>
      </c>
      <c r="E450" s="39" t="s">
        <v>6988</v>
      </c>
      <c r="F450" s="40" t="s">
        <v>6213</v>
      </c>
      <c r="G450" s="40" t="s">
        <v>6272</v>
      </c>
    </row>
    <row r="451" spans="3:7">
      <c r="C451" t="s">
        <v>4373</v>
      </c>
      <c r="D451" s="41" t="str">
        <f t="shared" si="22"/>
        <v>.menu-sm</v>
      </c>
      <c r="E451" s="39" t="s">
        <v>6989</v>
      </c>
      <c r="F451" s="40" t="s">
        <v>6213</v>
      </c>
      <c r="G451" s="40" t="s">
        <v>6274</v>
      </c>
    </row>
    <row r="452" spans="3:7">
      <c r="C452" t="s">
        <v>4373</v>
      </c>
      <c r="D452" s="41" t="str">
        <f t="shared" si="22"/>
        <v>.menu-md</v>
      </c>
      <c r="E452" s="39" t="s">
        <v>6990</v>
      </c>
      <c r="F452" s="40" t="s">
        <v>6213</v>
      </c>
      <c r="G452" s="40" t="s">
        <v>6414</v>
      </c>
    </row>
    <row r="453" spans="3:7">
      <c r="C453" t="s">
        <v>4373</v>
      </c>
      <c r="D453" s="41" t="str">
        <f t="shared" si="22"/>
        <v>.menu-lg</v>
      </c>
      <c r="E453" s="39" t="s">
        <v>6991</v>
      </c>
      <c r="F453" s="40" t="s">
        <v>6213</v>
      </c>
      <c r="G453" s="40" t="s">
        <v>6278</v>
      </c>
    </row>
    <row r="454" spans="3:7">
      <c r="C454" t="s">
        <v>4373</v>
      </c>
      <c r="D454" s="41" t="str">
        <f t="shared" si="22"/>
        <v>.menu-xl</v>
      </c>
      <c r="E454" s="39" t="s">
        <v>6992</v>
      </c>
      <c r="F454" s="40" t="s">
        <v>6213</v>
      </c>
      <c r="G454" s="40" t="s">
        <v>6280</v>
      </c>
    </row>
    <row r="455" spans="3:7">
      <c r="C455" t="s">
        <v>4373</v>
      </c>
      <c r="D455" s="41" t="str">
        <f t="shared" si="22"/>
        <v>.menu-vertical</v>
      </c>
      <c r="E455" s="39" t="s">
        <v>6993</v>
      </c>
      <c r="F455" s="40" t="s">
        <v>6172</v>
      </c>
      <c r="G455" s="40" t="s">
        <v>6994</v>
      </c>
    </row>
    <row r="456" spans="3:7">
      <c r="C456" t="s">
        <v>4373</v>
      </c>
      <c r="D456" s="41" t="str">
        <f t="shared" si="22"/>
        <v>.menu-horizontal</v>
      </c>
      <c r="E456" s="39" t="s">
        <v>6995</v>
      </c>
      <c r="F456" s="40" t="s">
        <v>6172</v>
      </c>
      <c r="G456" s="40" t="s">
        <v>6996</v>
      </c>
    </row>
    <row r="459" spans="3:7">
      <c r="C459" t="s">
        <v>7012</v>
      </c>
      <c r="D459" s="41" t="str">
        <f t="shared" ref="D459:D465" si="23">"."&amp;E459</f>
        <v>.mockup-browser</v>
      </c>
      <c r="E459" s="39" t="s">
        <v>7011</v>
      </c>
      <c r="F459" s="40" t="s">
        <v>6139</v>
      </c>
      <c r="G459" s="40" t="s">
        <v>7012</v>
      </c>
    </row>
    <row r="460" spans="3:7">
      <c r="C460" t="s">
        <v>7012</v>
      </c>
      <c r="D460" s="41" t="str">
        <f t="shared" si="23"/>
        <v>.mockup-browser-toolbar</v>
      </c>
      <c r="E460" s="39" t="s">
        <v>7013</v>
      </c>
      <c r="F460" s="40" t="s">
        <v>6141</v>
      </c>
      <c r="G460" s="40" t="s">
        <v>7014</v>
      </c>
    </row>
    <row r="461" spans="3:7">
      <c r="C461" t="s">
        <v>7016</v>
      </c>
      <c r="D461" s="41" t="str">
        <f t="shared" si="23"/>
        <v>.mockup-code	Component	Code terminal mockup</v>
      </c>
      <c r="E461" s="39" t="s">
        <v>7015</v>
      </c>
    </row>
    <row r="462" spans="3:7">
      <c r="C462" t="s">
        <v>7018</v>
      </c>
      <c r="D462" s="41" t="str">
        <f t="shared" si="23"/>
        <v>.mockup-phone</v>
      </c>
      <c r="E462" s="39" t="s">
        <v>7017</v>
      </c>
      <c r="F462" s="40" t="s">
        <v>6139</v>
      </c>
      <c r="G462" s="40" t="s">
        <v>7018</v>
      </c>
    </row>
    <row r="463" spans="3:7">
      <c r="C463" t="s">
        <v>7018</v>
      </c>
      <c r="D463" s="41" t="str">
        <f t="shared" si="23"/>
        <v>.mockup-phone-camera</v>
      </c>
      <c r="E463" s="39" t="s">
        <v>7019</v>
      </c>
      <c r="F463" s="40" t="s">
        <v>6141</v>
      </c>
      <c r="G463" s="40" t="s">
        <v>7020</v>
      </c>
    </row>
    <row r="464" spans="3:7">
      <c r="C464" t="s">
        <v>7018</v>
      </c>
      <c r="D464" s="41" t="str">
        <f t="shared" si="23"/>
        <v>.mockup-phone-display</v>
      </c>
      <c r="E464" s="39" t="s">
        <v>7021</v>
      </c>
      <c r="F464" s="40" t="s">
        <v>6141</v>
      </c>
      <c r="G464" s="40" t="s">
        <v>7022</v>
      </c>
    </row>
    <row r="465" spans="3:7">
      <c r="C465" t="s">
        <v>7025</v>
      </c>
      <c r="D465" s="41" t="str">
        <f t="shared" si="23"/>
        <v>.mockup-window</v>
      </c>
      <c r="E465" s="39" t="s">
        <v>7023</v>
      </c>
      <c r="F465" s="40" t="s">
        <v>6139</v>
      </c>
      <c r="G465" s="40" t="s">
        <v>7024</v>
      </c>
    </row>
    <row r="468" spans="3:7">
      <c r="C468" t="s">
        <v>3543</v>
      </c>
      <c r="D468" s="41" t="str">
        <f t="shared" ref="D468:D478" si="24">"."&amp;E468</f>
        <v>.modal</v>
      </c>
      <c r="E468" s="39" t="s">
        <v>2104</v>
      </c>
      <c r="F468" s="40" t="s">
        <v>6139</v>
      </c>
      <c r="G468" s="40" t="s">
        <v>3543</v>
      </c>
    </row>
    <row r="469" spans="3:7">
      <c r="C469" t="s">
        <v>3543</v>
      </c>
      <c r="D469" s="41" t="str">
        <f t="shared" si="24"/>
        <v>.modal-box</v>
      </c>
      <c r="E469" s="39" t="s">
        <v>7034</v>
      </c>
      <c r="F469" s="40" t="s">
        <v>6141</v>
      </c>
      <c r="G469" s="40" t="s">
        <v>7035</v>
      </c>
    </row>
    <row r="470" spans="3:7">
      <c r="C470" t="s">
        <v>3543</v>
      </c>
      <c r="D470" s="41" t="str">
        <f t="shared" si="24"/>
        <v>.modal-action</v>
      </c>
      <c r="E470" s="39" t="s">
        <v>7036</v>
      </c>
      <c r="F470" s="40" t="s">
        <v>6141</v>
      </c>
      <c r="G470" s="40" t="s">
        <v>6315</v>
      </c>
    </row>
    <row r="471" spans="3:7">
      <c r="C471" t="s">
        <v>3543</v>
      </c>
      <c r="D471" s="41" t="str">
        <f t="shared" si="24"/>
        <v>.modal-backdrop</v>
      </c>
      <c r="E471" s="39" t="s">
        <v>7037</v>
      </c>
      <c r="F471" s="40" t="s">
        <v>6141</v>
      </c>
      <c r="G471" s="40" t="s">
        <v>7038</v>
      </c>
    </row>
    <row r="472" spans="3:7">
      <c r="C472" t="s">
        <v>3543</v>
      </c>
      <c r="D472" s="41" t="str">
        <f t="shared" si="24"/>
        <v>.modal-toggle</v>
      </c>
      <c r="E472" s="39" t="s">
        <v>7039</v>
      </c>
      <c r="F472" s="40" t="s">
        <v>6141</v>
      </c>
      <c r="G472" s="40" t="s">
        <v>7040</v>
      </c>
    </row>
    <row r="473" spans="3:7">
      <c r="C473" t="s">
        <v>3543</v>
      </c>
      <c r="D473" s="41" t="str">
        <f t="shared" si="24"/>
        <v>.modal-open</v>
      </c>
      <c r="E473" s="39" t="s">
        <v>7041</v>
      </c>
      <c r="F473" s="40" t="s">
        <v>6146</v>
      </c>
      <c r="G473" s="40" t="s">
        <v>7042</v>
      </c>
    </row>
    <row r="474" spans="3:7">
      <c r="C474" t="s">
        <v>3543</v>
      </c>
      <c r="D474" s="41" t="str">
        <f t="shared" si="24"/>
        <v>.modal-top</v>
      </c>
      <c r="E474" s="39" t="s">
        <v>7043</v>
      </c>
      <c r="F474" s="40" t="s">
        <v>6367</v>
      </c>
      <c r="G474" s="40" t="s">
        <v>7044</v>
      </c>
    </row>
    <row r="475" spans="3:7">
      <c r="C475" t="s">
        <v>3543</v>
      </c>
      <c r="D475" s="41" t="str">
        <f t="shared" si="24"/>
        <v>.modal-middle</v>
      </c>
      <c r="E475" s="39" t="s">
        <v>7045</v>
      </c>
      <c r="F475" s="40" t="s">
        <v>6367</v>
      </c>
      <c r="G475" s="40" t="s">
        <v>7046</v>
      </c>
    </row>
    <row r="476" spans="3:7">
      <c r="C476" t="s">
        <v>3543</v>
      </c>
      <c r="D476" s="41" t="str">
        <f t="shared" si="24"/>
        <v>.modal-bottom</v>
      </c>
      <c r="E476" s="39" t="s">
        <v>7047</v>
      </c>
      <c r="F476" s="40" t="s">
        <v>6367</v>
      </c>
      <c r="G476" s="40" t="s">
        <v>7048</v>
      </c>
    </row>
    <row r="477" spans="3:7">
      <c r="C477" t="s">
        <v>3543</v>
      </c>
      <c r="D477" s="41" t="str">
        <f t="shared" si="24"/>
        <v>.modal-start</v>
      </c>
      <c r="E477" s="39" t="s">
        <v>7049</v>
      </c>
      <c r="F477" s="40" t="s">
        <v>6367</v>
      </c>
      <c r="G477" s="40" t="s">
        <v>7050</v>
      </c>
    </row>
    <row r="478" spans="3:7">
      <c r="C478" t="s">
        <v>3543</v>
      </c>
      <c r="D478" s="41" t="str">
        <f t="shared" si="24"/>
        <v>.modal-end</v>
      </c>
      <c r="E478" s="39" t="s">
        <v>7051</v>
      </c>
      <c r="F478" s="40" t="s">
        <v>6367</v>
      </c>
      <c r="G478" s="40" t="s">
        <v>7052</v>
      </c>
    </row>
    <row r="481" spans="3:7">
      <c r="C481" t="s">
        <v>3545</v>
      </c>
      <c r="D481" s="41" t="str">
        <f t="shared" ref="D481:D535" si="25">"."&amp;E481</f>
        <v>.navbar</v>
      </c>
      <c r="E481" s="39" t="s">
        <v>7062</v>
      </c>
      <c r="F481" s="40" t="s">
        <v>6139</v>
      </c>
      <c r="G481" s="40" t="s">
        <v>7063</v>
      </c>
    </row>
    <row r="482" spans="3:7">
      <c r="C482" t="s">
        <v>3545</v>
      </c>
      <c r="D482" s="41" t="str">
        <f t="shared" si="25"/>
        <v>.navbar-start</v>
      </c>
      <c r="E482" s="39" t="s">
        <v>7064</v>
      </c>
      <c r="F482" s="40" t="s">
        <v>6141</v>
      </c>
      <c r="G482" s="40" t="s">
        <v>7065</v>
      </c>
    </row>
    <row r="483" spans="3:7">
      <c r="C483" t="s">
        <v>3545</v>
      </c>
      <c r="D483" s="41" t="str">
        <f t="shared" si="25"/>
        <v>.navbar-center</v>
      </c>
      <c r="E483" s="39" t="s">
        <v>7066</v>
      </c>
      <c r="F483" s="40" t="s">
        <v>6141</v>
      </c>
      <c r="G483" s="40" t="s">
        <v>7067</v>
      </c>
    </row>
    <row r="484" spans="3:7">
      <c r="C484" t="s">
        <v>3545</v>
      </c>
      <c r="D484" s="41" t="str">
        <f t="shared" si="25"/>
        <v>.navbar-end</v>
      </c>
      <c r="E484" s="39" t="s">
        <v>7068</v>
      </c>
      <c r="F484" s="40" t="s">
        <v>6141</v>
      </c>
      <c r="G484" s="40" t="s">
        <v>7069</v>
      </c>
    </row>
    <row r="486" spans="3:7">
      <c r="C486" t="s">
        <v>3553</v>
      </c>
      <c r="D486" s="41" t="str">
        <f t="shared" si="25"/>
        <v>.progress</v>
      </c>
      <c r="E486" s="39" t="s">
        <v>573</v>
      </c>
      <c r="F486" t="s">
        <v>6139</v>
      </c>
      <c r="G486" t="s">
        <v>7071</v>
      </c>
    </row>
    <row r="487" spans="3:7">
      <c r="C487" t="s">
        <v>3553</v>
      </c>
      <c r="D487" s="41" t="str">
        <f t="shared" si="25"/>
        <v>.progress-neutral</v>
      </c>
      <c r="E487" s="39" t="s">
        <v>7072</v>
      </c>
      <c r="F487" t="s">
        <v>6163</v>
      </c>
      <c r="G487" t="s">
        <v>6201</v>
      </c>
    </row>
    <row r="488" spans="3:7">
      <c r="C488" t="s">
        <v>3553</v>
      </c>
      <c r="D488" s="41" t="str">
        <f t="shared" si="25"/>
        <v>.progress-primary</v>
      </c>
      <c r="E488" s="39" t="s">
        <v>7073</v>
      </c>
      <c r="F488" t="s">
        <v>6163</v>
      </c>
      <c r="G488" t="s">
        <v>6203</v>
      </c>
    </row>
    <row r="489" spans="3:7">
      <c r="C489" t="s">
        <v>3553</v>
      </c>
      <c r="D489" s="41" t="str">
        <f t="shared" si="25"/>
        <v>.progress-secondary</v>
      </c>
      <c r="E489" s="39" t="s">
        <v>7074</v>
      </c>
      <c r="F489" t="s">
        <v>6163</v>
      </c>
      <c r="G489" t="s">
        <v>6205</v>
      </c>
    </row>
    <row r="490" spans="3:7">
      <c r="C490" t="s">
        <v>3553</v>
      </c>
      <c r="D490" s="41" t="str">
        <f t="shared" si="25"/>
        <v>.progress-accent</v>
      </c>
      <c r="E490" s="39" t="s">
        <v>7075</v>
      </c>
      <c r="F490" t="s">
        <v>6163</v>
      </c>
      <c r="G490" t="s">
        <v>6207</v>
      </c>
    </row>
    <row r="491" spans="3:7">
      <c r="C491" t="s">
        <v>3553</v>
      </c>
      <c r="D491" s="41" t="str">
        <f t="shared" si="25"/>
        <v>.progress-info</v>
      </c>
      <c r="E491" s="39" t="s">
        <v>7076</v>
      </c>
      <c r="F491" t="s">
        <v>6163</v>
      </c>
      <c r="G491" t="s">
        <v>6164</v>
      </c>
    </row>
    <row r="492" spans="3:7">
      <c r="C492" t="s">
        <v>3553</v>
      </c>
      <c r="D492" s="41" t="str">
        <f t="shared" si="25"/>
        <v>.progress-success</v>
      </c>
      <c r="E492" s="39" t="s">
        <v>7077</v>
      </c>
      <c r="F492" t="s">
        <v>6163</v>
      </c>
      <c r="G492" t="s">
        <v>6166</v>
      </c>
    </row>
    <row r="493" spans="3:7">
      <c r="C493" t="s">
        <v>3553</v>
      </c>
      <c r="D493" s="41" t="str">
        <f t="shared" si="25"/>
        <v>.progress-warning</v>
      </c>
      <c r="E493" s="39" t="s">
        <v>7078</v>
      </c>
      <c r="F493" t="s">
        <v>6163</v>
      </c>
      <c r="G493" t="s">
        <v>6168</v>
      </c>
    </row>
    <row r="494" spans="3:7">
      <c r="C494" t="s">
        <v>3553</v>
      </c>
      <c r="D494" s="41" t="str">
        <f t="shared" si="25"/>
        <v>.progress-error</v>
      </c>
      <c r="E494" s="39" t="s">
        <v>7079</v>
      </c>
      <c r="F494" t="s">
        <v>6163</v>
      </c>
      <c r="G494" t="s">
        <v>6170</v>
      </c>
    </row>
    <row r="496" spans="3:7">
      <c r="C496" t="s">
        <v>7090</v>
      </c>
      <c r="D496" s="41" t="str">
        <f t="shared" si="25"/>
        <v>.radial-progress</v>
      </c>
      <c r="E496" s="39" t="s">
        <v>7088</v>
      </c>
      <c r="F496" s="40" t="s">
        <v>6139</v>
      </c>
      <c r="G496" s="40" t="s">
        <v>7089</v>
      </c>
    </row>
    <row r="498" spans="3:7">
      <c r="C498" t="s">
        <v>7107</v>
      </c>
      <c r="D498" s="41" t="str">
        <f t="shared" si="25"/>
        <v>.radio</v>
      </c>
      <c r="E498" s="39" t="s">
        <v>1966</v>
      </c>
      <c r="F498" t="s">
        <v>6139</v>
      </c>
      <c r="G498" t="s">
        <v>7093</v>
      </c>
    </row>
    <row r="499" spans="3:7">
      <c r="C499" t="s">
        <v>7107</v>
      </c>
      <c r="D499" s="41" t="str">
        <f t="shared" si="25"/>
        <v>.radio-neutral</v>
      </c>
      <c r="E499" s="39" t="s">
        <v>7094</v>
      </c>
      <c r="F499" t="s">
        <v>6163</v>
      </c>
      <c r="G499" t="s">
        <v>6201</v>
      </c>
    </row>
    <row r="500" spans="3:7">
      <c r="C500" t="s">
        <v>7107</v>
      </c>
      <c r="D500" s="41" t="str">
        <f t="shared" si="25"/>
        <v>.radio-primary</v>
      </c>
      <c r="E500" s="39" t="s">
        <v>7095</v>
      </c>
      <c r="F500" t="s">
        <v>6163</v>
      </c>
      <c r="G500" t="s">
        <v>6203</v>
      </c>
    </row>
    <row r="501" spans="3:7">
      <c r="C501" t="s">
        <v>7107</v>
      </c>
      <c r="D501" s="41" t="str">
        <f t="shared" si="25"/>
        <v>.radio-secondary</v>
      </c>
      <c r="E501" s="39" t="s">
        <v>7096</v>
      </c>
      <c r="F501" t="s">
        <v>6163</v>
      </c>
      <c r="G501" t="s">
        <v>6205</v>
      </c>
    </row>
    <row r="502" spans="3:7">
      <c r="C502" t="s">
        <v>7107</v>
      </c>
      <c r="D502" s="41" t="str">
        <f t="shared" si="25"/>
        <v>.radio-accent</v>
      </c>
      <c r="E502" s="39" t="s">
        <v>7097</v>
      </c>
      <c r="F502" t="s">
        <v>6163</v>
      </c>
      <c r="G502" t="s">
        <v>6207</v>
      </c>
    </row>
    <row r="503" spans="3:7">
      <c r="C503" t="s">
        <v>7107</v>
      </c>
      <c r="D503" s="41" t="str">
        <f t="shared" si="25"/>
        <v>.radio-success</v>
      </c>
      <c r="E503" s="39" t="s">
        <v>7098</v>
      </c>
      <c r="F503" t="s">
        <v>6163</v>
      </c>
      <c r="G503" t="s">
        <v>6166</v>
      </c>
    </row>
    <row r="504" spans="3:7">
      <c r="C504" t="s">
        <v>7107</v>
      </c>
      <c r="D504" s="41" t="str">
        <f t="shared" si="25"/>
        <v>.radio-warning</v>
      </c>
      <c r="E504" s="39" t="s">
        <v>7099</v>
      </c>
      <c r="F504" t="s">
        <v>6163</v>
      </c>
      <c r="G504" t="s">
        <v>6168</v>
      </c>
    </row>
    <row r="505" spans="3:7">
      <c r="C505" t="s">
        <v>7107</v>
      </c>
      <c r="D505" s="41" t="str">
        <f t="shared" si="25"/>
        <v>.radio-info</v>
      </c>
      <c r="E505" s="39" t="s">
        <v>7100</v>
      </c>
      <c r="F505" t="s">
        <v>6163</v>
      </c>
      <c r="G505" t="s">
        <v>6164</v>
      </c>
    </row>
    <row r="506" spans="3:7">
      <c r="C506" t="s">
        <v>7107</v>
      </c>
      <c r="D506" s="41" t="str">
        <f t="shared" si="25"/>
        <v>.radio-error</v>
      </c>
      <c r="E506" s="39" t="s">
        <v>7101</v>
      </c>
      <c r="F506" t="s">
        <v>6163</v>
      </c>
      <c r="G506" t="s">
        <v>6170</v>
      </c>
    </row>
    <row r="507" spans="3:7">
      <c r="C507" t="s">
        <v>7107</v>
      </c>
      <c r="D507" s="41" t="str">
        <f t="shared" si="25"/>
        <v>.radio-xs</v>
      </c>
      <c r="E507" s="39" t="s">
        <v>7102</v>
      </c>
      <c r="F507" t="s">
        <v>6213</v>
      </c>
      <c r="G507" t="s">
        <v>6272</v>
      </c>
    </row>
    <row r="508" spans="3:7">
      <c r="C508" t="s">
        <v>7107</v>
      </c>
      <c r="D508" s="41" t="str">
        <f t="shared" si="25"/>
        <v>.radio-sm</v>
      </c>
      <c r="E508" s="39" t="s">
        <v>7103</v>
      </c>
      <c r="F508" t="s">
        <v>6213</v>
      </c>
      <c r="G508" t="s">
        <v>6274</v>
      </c>
    </row>
    <row r="509" spans="3:7">
      <c r="C509" t="s">
        <v>7107</v>
      </c>
      <c r="D509" s="41" t="str">
        <f t="shared" si="25"/>
        <v>.radio-md</v>
      </c>
      <c r="E509" s="39" t="s">
        <v>7104</v>
      </c>
      <c r="F509" t="s">
        <v>6213</v>
      </c>
      <c r="G509" t="s">
        <v>6414</v>
      </c>
    </row>
    <row r="510" spans="3:7">
      <c r="C510" t="s">
        <v>7107</v>
      </c>
      <c r="D510" s="41" t="str">
        <f t="shared" si="25"/>
        <v>.radio-lg</v>
      </c>
      <c r="E510" s="39" t="s">
        <v>7105</v>
      </c>
      <c r="F510" t="s">
        <v>6213</v>
      </c>
      <c r="G510" t="s">
        <v>6278</v>
      </c>
    </row>
    <row r="511" spans="3:7">
      <c r="C511" t="s">
        <v>7107</v>
      </c>
      <c r="D511" s="41" t="str">
        <f t="shared" si="25"/>
        <v>.radio-xl</v>
      </c>
      <c r="E511" s="39" t="s">
        <v>7106</v>
      </c>
      <c r="F511" t="s">
        <v>6213</v>
      </c>
      <c r="G511" t="s">
        <v>6280</v>
      </c>
    </row>
    <row r="513" spans="3:7">
      <c r="C513" t="s">
        <v>7135</v>
      </c>
      <c r="D513" s="41" t="str">
        <f t="shared" si="25"/>
        <v>.range</v>
      </c>
      <c r="E513" s="39" t="s">
        <v>3092</v>
      </c>
      <c r="F513" s="40" t="s">
        <v>6139</v>
      </c>
      <c r="G513" s="40" t="s">
        <v>7121</v>
      </c>
    </row>
    <row r="514" spans="3:7">
      <c r="C514" t="s">
        <v>7135</v>
      </c>
      <c r="D514" s="41" t="str">
        <f t="shared" si="25"/>
        <v>.range-neutral</v>
      </c>
      <c r="E514" s="39" t="s">
        <v>7122</v>
      </c>
      <c r="F514" s="40" t="s">
        <v>6163</v>
      </c>
      <c r="G514" s="40" t="s">
        <v>6201</v>
      </c>
    </row>
    <row r="515" spans="3:7">
      <c r="C515" t="s">
        <v>7135</v>
      </c>
      <c r="D515" s="41" t="str">
        <f t="shared" si="25"/>
        <v>.range-primary</v>
      </c>
      <c r="E515" s="39" t="s">
        <v>7123</v>
      </c>
      <c r="F515" s="40" t="s">
        <v>6163</v>
      </c>
      <c r="G515" s="40" t="s">
        <v>6203</v>
      </c>
    </row>
    <row r="516" spans="3:7">
      <c r="C516" t="s">
        <v>7135</v>
      </c>
      <c r="D516" s="41" t="str">
        <f t="shared" si="25"/>
        <v>.range-secondary</v>
      </c>
      <c r="E516" s="39" t="s">
        <v>7124</v>
      </c>
      <c r="F516" s="40" t="s">
        <v>6163</v>
      </c>
      <c r="G516" s="40" t="s">
        <v>6205</v>
      </c>
    </row>
    <row r="517" spans="3:7">
      <c r="C517" t="s">
        <v>7135</v>
      </c>
      <c r="D517" s="41" t="str">
        <f t="shared" si="25"/>
        <v>.range-accent</v>
      </c>
      <c r="E517" s="39" t="s">
        <v>7125</v>
      </c>
      <c r="F517" s="40" t="s">
        <v>6163</v>
      </c>
      <c r="G517" s="40" t="s">
        <v>6207</v>
      </c>
    </row>
    <row r="518" spans="3:7">
      <c r="C518" t="s">
        <v>7135</v>
      </c>
      <c r="D518" s="41" t="str">
        <f t="shared" si="25"/>
        <v>.range-success</v>
      </c>
      <c r="E518" s="39" t="s">
        <v>7126</v>
      </c>
      <c r="F518" s="40" t="s">
        <v>6163</v>
      </c>
      <c r="G518" s="40" t="s">
        <v>6166</v>
      </c>
    </row>
    <row r="519" spans="3:7">
      <c r="C519" t="s">
        <v>7135</v>
      </c>
      <c r="D519" s="41" t="str">
        <f t="shared" si="25"/>
        <v>.range-warning</v>
      </c>
      <c r="E519" s="39" t="s">
        <v>7127</v>
      </c>
      <c r="F519" s="40" t="s">
        <v>6163</v>
      </c>
      <c r="G519" s="40" t="s">
        <v>6168</v>
      </c>
    </row>
    <row r="520" spans="3:7">
      <c r="C520" t="s">
        <v>7135</v>
      </c>
      <c r="D520" s="41" t="str">
        <f t="shared" si="25"/>
        <v>.range-info</v>
      </c>
      <c r="E520" s="39" t="s">
        <v>7128</v>
      </c>
      <c r="F520" s="40" t="s">
        <v>6163</v>
      </c>
      <c r="G520" s="40" t="s">
        <v>6164</v>
      </c>
    </row>
    <row r="521" spans="3:7">
      <c r="C521" t="s">
        <v>7135</v>
      </c>
      <c r="D521" s="41" t="str">
        <f t="shared" si="25"/>
        <v>.range-error</v>
      </c>
      <c r="E521" s="39" t="s">
        <v>7129</v>
      </c>
      <c r="F521" s="40" t="s">
        <v>6163</v>
      </c>
      <c r="G521" s="40" t="s">
        <v>6170</v>
      </c>
    </row>
    <row r="522" spans="3:7">
      <c r="C522" t="s">
        <v>7135</v>
      </c>
      <c r="D522" s="41" t="str">
        <f t="shared" si="25"/>
        <v>.range-xs</v>
      </c>
      <c r="E522" s="39" t="s">
        <v>7130</v>
      </c>
      <c r="F522" s="40" t="s">
        <v>6213</v>
      </c>
      <c r="G522" s="40" t="s">
        <v>6272</v>
      </c>
    </row>
    <row r="523" spans="3:7">
      <c r="C523" t="s">
        <v>7135</v>
      </c>
      <c r="D523" s="41" t="str">
        <f t="shared" si="25"/>
        <v>.range-sm</v>
      </c>
      <c r="E523" s="39" t="s">
        <v>7131</v>
      </c>
      <c r="F523" s="40" t="s">
        <v>6213</v>
      </c>
      <c r="G523" s="40" t="s">
        <v>6274</v>
      </c>
    </row>
    <row r="524" spans="3:7">
      <c r="C524" t="s">
        <v>7135</v>
      </c>
      <c r="D524" s="41" t="str">
        <f t="shared" si="25"/>
        <v>.range-md</v>
      </c>
      <c r="E524" s="39" t="s">
        <v>7132</v>
      </c>
      <c r="F524" s="40" t="s">
        <v>6213</v>
      </c>
      <c r="G524" s="40" t="s">
        <v>6414</v>
      </c>
    </row>
    <row r="525" spans="3:7">
      <c r="C525" t="s">
        <v>7135</v>
      </c>
      <c r="D525" s="41" t="str">
        <f t="shared" si="25"/>
        <v>.range-lg</v>
      </c>
      <c r="E525" s="39" t="s">
        <v>7133</v>
      </c>
      <c r="F525" s="40" t="s">
        <v>6213</v>
      </c>
      <c r="G525" s="40" t="s">
        <v>6278</v>
      </c>
    </row>
    <row r="526" spans="3:7">
      <c r="C526" t="s">
        <v>7135</v>
      </c>
      <c r="D526" s="41" t="str">
        <f t="shared" si="25"/>
        <v>.range-xl</v>
      </c>
      <c r="E526" s="39" t="s">
        <v>7134</v>
      </c>
      <c r="F526" s="40" t="s">
        <v>6213</v>
      </c>
      <c r="G526" s="40" t="s">
        <v>6280</v>
      </c>
    </row>
    <row r="527" spans="3:7" ht="26">
      <c r="E527" s="42"/>
    </row>
    <row r="528" spans="3:7">
      <c r="C528" t="s">
        <v>7161</v>
      </c>
      <c r="D528" s="41" t="str">
        <f t="shared" si="25"/>
        <v>.rating</v>
      </c>
      <c r="E528" s="39" t="s">
        <v>7150</v>
      </c>
      <c r="F528" s="40" t="s">
        <v>6139</v>
      </c>
      <c r="G528" s="40" t="s">
        <v>7151</v>
      </c>
    </row>
    <row r="529" spans="3:7">
      <c r="C529" t="s">
        <v>7161</v>
      </c>
      <c r="D529" s="41" t="str">
        <f t="shared" si="25"/>
        <v>.rating-half</v>
      </c>
      <c r="E529" s="39" t="s">
        <v>7152</v>
      </c>
      <c r="F529" s="40" t="s">
        <v>6146</v>
      </c>
      <c r="G529" s="40" t="s">
        <v>7153</v>
      </c>
    </row>
    <row r="530" spans="3:7">
      <c r="C530" t="s">
        <v>7161</v>
      </c>
      <c r="D530" s="41" t="str">
        <f t="shared" si="25"/>
        <v>.rating-hidden</v>
      </c>
      <c r="E530" s="39" t="s">
        <v>7154</v>
      </c>
      <c r="F530" s="40" t="s">
        <v>6146</v>
      </c>
      <c r="G530" s="40" t="s">
        <v>7155</v>
      </c>
    </row>
    <row r="531" spans="3:7">
      <c r="C531" t="s">
        <v>7161</v>
      </c>
      <c r="D531" s="41" t="str">
        <f t="shared" si="25"/>
        <v>.rating-xs</v>
      </c>
      <c r="E531" s="39" t="s">
        <v>7156</v>
      </c>
      <c r="F531" s="40" t="s">
        <v>6213</v>
      </c>
      <c r="G531" s="40" t="s">
        <v>6272</v>
      </c>
    </row>
    <row r="532" spans="3:7">
      <c r="C532" t="s">
        <v>7161</v>
      </c>
      <c r="D532" s="41" t="str">
        <f t="shared" si="25"/>
        <v>.rating-sm</v>
      </c>
      <c r="E532" s="39" t="s">
        <v>7157</v>
      </c>
      <c r="F532" s="40" t="s">
        <v>6213</v>
      </c>
      <c r="G532" s="40" t="s">
        <v>6274</v>
      </c>
    </row>
    <row r="533" spans="3:7">
      <c r="C533" t="s">
        <v>7161</v>
      </c>
      <c r="D533" s="41" t="str">
        <f t="shared" si="25"/>
        <v>.rating-md</v>
      </c>
      <c r="E533" s="39" t="s">
        <v>7158</v>
      </c>
      <c r="F533" s="40" t="s">
        <v>6213</v>
      </c>
      <c r="G533" s="40" t="s">
        <v>6414</v>
      </c>
    </row>
    <row r="534" spans="3:7">
      <c r="C534" t="s">
        <v>7161</v>
      </c>
      <c r="D534" s="41" t="str">
        <f t="shared" si="25"/>
        <v>.rating-lg</v>
      </c>
      <c r="E534" s="39" t="s">
        <v>7159</v>
      </c>
      <c r="F534" s="40" t="s">
        <v>6213</v>
      </c>
      <c r="G534" s="40" t="s">
        <v>6278</v>
      </c>
    </row>
    <row r="535" spans="3:7">
      <c r="C535" t="s">
        <v>7161</v>
      </c>
      <c r="D535" s="41" t="str">
        <f t="shared" si="25"/>
        <v>.rating-xl</v>
      </c>
      <c r="E535" s="39" t="s">
        <v>7160</v>
      </c>
      <c r="F535" s="40" t="s">
        <v>6213</v>
      </c>
      <c r="G535" s="40" t="s">
        <v>6280</v>
      </c>
    </row>
    <row r="538" spans="3:7">
      <c r="C538" t="s">
        <v>7185</v>
      </c>
      <c r="D538" s="41" t="str">
        <f t="shared" ref="D538:D571" si="26">"."&amp;E538</f>
        <v>.select</v>
      </c>
      <c r="E538" s="39" t="s">
        <v>582</v>
      </c>
      <c r="F538" s="40" t="s">
        <v>6139</v>
      </c>
      <c r="G538" s="40" t="s">
        <v>7170</v>
      </c>
    </row>
    <row r="539" spans="3:7">
      <c r="C539" t="s">
        <v>7185</v>
      </c>
      <c r="D539" s="41" t="str">
        <f t="shared" si="26"/>
        <v>.select-ghost</v>
      </c>
      <c r="E539" s="39" t="s">
        <v>7171</v>
      </c>
      <c r="F539" s="40" t="s">
        <v>6156</v>
      </c>
      <c r="G539" s="40" t="s">
        <v>6199</v>
      </c>
    </row>
    <row r="540" spans="3:7">
      <c r="C540" t="s">
        <v>7185</v>
      </c>
      <c r="D540" s="41" t="str">
        <f t="shared" si="26"/>
        <v>.select-neutral</v>
      </c>
      <c r="E540" s="39" t="s">
        <v>7172</v>
      </c>
      <c r="F540" s="40" t="s">
        <v>6163</v>
      </c>
      <c r="G540" s="40" t="s">
        <v>6201</v>
      </c>
    </row>
    <row r="541" spans="3:7">
      <c r="C541" t="s">
        <v>7185</v>
      </c>
      <c r="D541" s="41" t="str">
        <f t="shared" si="26"/>
        <v>.select-primary</v>
      </c>
      <c r="E541" s="39" t="s">
        <v>7173</v>
      </c>
      <c r="F541" s="40" t="s">
        <v>6163</v>
      </c>
      <c r="G541" s="40" t="s">
        <v>6203</v>
      </c>
    </row>
    <row r="542" spans="3:7">
      <c r="C542" t="s">
        <v>7185</v>
      </c>
      <c r="D542" s="41" t="str">
        <f t="shared" si="26"/>
        <v>.select-secondary</v>
      </c>
      <c r="E542" s="39" t="s">
        <v>7174</v>
      </c>
      <c r="F542" s="40" t="s">
        <v>6163</v>
      </c>
      <c r="G542" s="40" t="s">
        <v>6205</v>
      </c>
    </row>
    <row r="543" spans="3:7">
      <c r="C543" t="s">
        <v>7185</v>
      </c>
      <c r="D543" s="41" t="str">
        <f t="shared" si="26"/>
        <v>.select-accent</v>
      </c>
      <c r="E543" s="39" t="s">
        <v>7175</v>
      </c>
      <c r="F543" s="40" t="s">
        <v>6163</v>
      </c>
      <c r="G543" s="40" t="s">
        <v>6207</v>
      </c>
    </row>
    <row r="544" spans="3:7">
      <c r="C544" t="s">
        <v>7185</v>
      </c>
      <c r="D544" s="41" t="str">
        <f t="shared" si="26"/>
        <v>.select-info</v>
      </c>
      <c r="E544" s="39" t="s">
        <v>7176</v>
      </c>
      <c r="F544" s="40" t="s">
        <v>6163</v>
      </c>
      <c r="G544" s="40" t="s">
        <v>6164</v>
      </c>
    </row>
    <row r="545" spans="3:7">
      <c r="C545" t="s">
        <v>7185</v>
      </c>
      <c r="D545" s="41" t="str">
        <f t="shared" si="26"/>
        <v>.select-success</v>
      </c>
      <c r="E545" s="39" t="s">
        <v>7177</v>
      </c>
      <c r="F545" s="40" t="s">
        <v>6163</v>
      </c>
      <c r="G545" s="40" t="s">
        <v>6166</v>
      </c>
    </row>
    <row r="546" spans="3:7">
      <c r="C546" t="s">
        <v>7185</v>
      </c>
      <c r="D546" s="41" t="str">
        <f t="shared" si="26"/>
        <v>.select-warning</v>
      </c>
      <c r="E546" s="39" t="s">
        <v>7178</v>
      </c>
      <c r="F546" s="40" t="s">
        <v>6163</v>
      </c>
      <c r="G546" s="40" t="s">
        <v>6168</v>
      </c>
    </row>
    <row r="547" spans="3:7">
      <c r="C547" t="s">
        <v>7185</v>
      </c>
      <c r="D547" s="41" t="str">
        <f t="shared" si="26"/>
        <v>.select-error</v>
      </c>
      <c r="E547" s="39" t="s">
        <v>7179</v>
      </c>
      <c r="F547" s="40" t="s">
        <v>6163</v>
      </c>
      <c r="G547" s="40" t="s">
        <v>6170</v>
      </c>
    </row>
    <row r="548" spans="3:7">
      <c r="C548" t="s">
        <v>7185</v>
      </c>
      <c r="D548" s="41" t="str">
        <f t="shared" si="26"/>
        <v>.select-xs</v>
      </c>
      <c r="E548" s="39" t="s">
        <v>7180</v>
      </c>
      <c r="F548" s="40" t="s">
        <v>6213</v>
      </c>
      <c r="G548" s="40" t="s">
        <v>6272</v>
      </c>
    </row>
    <row r="549" spans="3:7">
      <c r="C549" t="s">
        <v>7185</v>
      </c>
      <c r="D549" s="41" t="str">
        <f t="shared" si="26"/>
        <v>.select-sm</v>
      </c>
      <c r="E549" s="39" t="s">
        <v>7181</v>
      </c>
      <c r="F549" s="40" t="s">
        <v>6213</v>
      </c>
      <c r="G549" s="40" t="s">
        <v>6274</v>
      </c>
    </row>
    <row r="550" spans="3:7">
      <c r="C550" t="s">
        <v>7185</v>
      </c>
      <c r="D550" s="41" t="str">
        <f t="shared" si="26"/>
        <v>.select-md</v>
      </c>
      <c r="E550" s="39" t="s">
        <v>7182</v>
      </c>
      <c r="F550" s="40" t="s">
        <v>6213</v>
      </c>
      <c r="G550" s="40" t="s">
        <v>6414</v>
      </c>
    </row>
    <row r="551" spans="3:7">
      <c r="C551" t="s">
        <v>7185</v>
      </c>
      <c r="D551" s="41" t="str">
        <f t="shared" si="26"/>
        <v>.select-lg</v>
      </c>
      <c r="E551" s="39" t="s">
        <v>7183</v>
      </c>
      <c r="F551" s="40" t="s">
        <v>6213</v>
      </c>
      <c r="G551" s="40" t="s">
        <v>6278</v>
      </c>
    </row>
    <row r="552" spans="3:7">
      <c r="C552" t="s">
        <v>7185</v>
      </c>
      <c r="D552" s="41" t="str">
        <f t="shared" si="26"/>
        <v>.select-xl</v>
      </c>
      <c r="E552" s="39" t="s">
        <v>7184</v>
      </c>
      <c r="F552" s="40" t="s">
        <v>6213</v>
      </c>
      <c r="G552" s="40" t="s">
        <v>6280</v>
      </c>
    </row>
    <row r="553" spans="3:7" ht="26">
      <c r="E553" s="42"/>
    </row>
    <row r="554" spans="3:7">
      <c r="C554" t="s">
        <v>7204</v>
      </c>
      <c r="D554" s="41" t="str">
        <f t="shared" si="26"/>
        <v>.skeleton</v>
      </c>
      <c r="E554" s="39" t="s">
        <v>7200</v>
      </c>
      <c r="F554" s="40" t="s">
        <v>6139</v>
      </c>
      <c r="G554" s="40" t="s">
        <v>7201</v>
      </c>
    </row>
    <row r="555" spans="3:7">
      <c r="C555" t="s">
        <v>7204</v>
      </c>
      <c r="D555" s="41" t="str">
        <f t="shared" si="26"/>
        <v>.skeleton-text</v>
      </c>
      <c r="E555" s="39" t="s">
        <v>7202</v>
      </c>
      <c r="F555" s="40" t="s">
        <v>6146</v>
      </c>
      <c r="G555" s="40" t="s">
        <v>7203</v>
      </c>
    </row>
    <row r="557" spans="3:7">
      <c r="C557" t="s">
        <v>7216</v>
      </c>
      <c r="D557" s="41" t="str">
        <f t="shared" si="26"/>
        <v>.stack</v>
      </c>
      <c r="E557" s="39" t="s">
        <v>3160</v>
      </c>
      <c r="F557" t="s">
        <v>6139</v>
      </c>
      <c r="G557" t="s">
        <v>7207</v>
      </c>
    </row>
    <row r="558" spans="3:7">
      <c r="C558" t="s">
        <v>7216</v>
      </c>
      <c r="D558" s="41" t="str">
        <f t="shared" si="26"/>
        <v>.stack-top</v>
      </c>
      <c r="E558" s="39" t="s">
        <v>7208</v>
      </c>
      <c r="F558" t="s">
        <v>6146</v>
      </c>
      <c r="G558" t="s">
        <v>7209</v>
      </c>
    </row>
    <row r="559" spans="3:7">
      <c r="C559" t="s">
        <v>7216</v>
      </c>
      <c r="D559" s="41" t="str">
        <f t="shared" si="26"/>
        <v>.stack-bottom</v>
      </c>
      <c r="E559" s="39" t="s">
        <v>7210</v>
      </c>
      <c r="F559" t="s">
        <v>6146</v>
      </c>
      <c r="G559" t="s">
        <v>7211</v>
      </c>
    </row>
    <row r="560" spans="3:7">
      <c r="C560" t="s">
        <v>7216</v>
      </c>
      <c r="D560" s="41" t="str">
        <f t="shared" si="26"/>
        <v>.stack-start</v>
      </c>
      <c r="E560" s="39" t="s">
        <v>7212</v>
      </c>
      <c r="F560" t="s">
        <v>6146</v>
      </c>
      <c r="G560" t="s">
        <v>7213</v>
      </c>
    </row>
    <row r="561" spans="3:7">
      <c r="C561" t="s">
        <v>7216</v>
      </c>
      <c r="D561" s="41" t="str">
        <f t="shared" si="26"/>
        <v>.stack-end</v>
      </c>
      <c r="E561" s="39" t="s">
        <v>7214</v>
      </c>
      <c r="F561" t="s">
        <v>6146</v>
      </c>
      <c r="G561" t="s">
        <v>7215</v>
      </c>
    </row>
    <row r="563" spans="3:7">
      <c r="C563" t="s">
        <v>7239</v>
      </c>
      <c r="D563" s="41" t="str">
        <f t="shared" si="26"/>
        <v>.stats</v>
      </c>
      <c r="E563" s="39" t="s">
        <v>7222</v>
      </c>
      <c r="F563" t="s">
        <v>6139</v>
      </c>
      <c r="G563" t="s">
        <v>7223</v>
      </c>
    </row>
    <row r="564" spans="3:7">
      <c r="C564" t="s">
        <v>7239</v>
      </c>
      <c r="D564" s="41" t="str">
        <f t="shared" si="26"/>
        <v>.stat</v>
      </c>
      <c r="E564" s="39" t="s">
        <v>7224</v>
      </c>
      <c r="F564" t="s">
        <v>6141</v>
      </c>
      <c r="G564" t="s">
        <v>7225</v>
      </c>
    </row>
    <row r="565" spans="3:7">
      <c r="C565" t="s">
        <v>7239</v>
      </c>
      <c r="D565" s="41" t="str">
        <f t="shared" si="26"/>
        <v>.stat-title</v>
      </c>
      <c r="E565" s="39" t="s">
        <v>7226</v>
      </c>
      <c r="F565" t="s">
        <v>6141</v>
      </c>
      <c r="G565" t="s">
        <v>6142</v>
      </c>
    </row>
    <row r="566" spans="3:7">
      <c r="C566" t="s">
        <v>7239</v>
      </c>
      <c r="D566" s="41" t="str">
        <f t="shared" si="26"/>
        <v>.stat-value</v>
      </c>
      <c r="E566" s="39" t="s">
        <v>7227</v>
      </c>
      <c r="F566" t="s">
        <v>6141</v>
      </c>
      <c r="G566" t="s">
        <v>7228</v>
      </c>
    </row>
    <row r="567" spans="3:7">
      <c r="C567" t="s">
        <v>7239</v>
      </c>
      <c r="D567" s="41" t="str">
        <f t="shared" si="26"/>
        <v>.stat-desc</v>
      </c>
      <c r="E567" s="39" t="s">
        <v>7229</v>
      </c>
      <c r="F567" t="s">
        <v>6141</v>
      </c>
      <c r="G567" t="s">
        <v>7230</v>
      </c>
    </row>
    <row r="568" spans="3:7">
      <c r="C568" t="s">
        <v>7239</v>
      </c>
      <c r="D568" s="41" t="str">
        <f t="shared" si="26"/>
        <v>.stat-figure</v>
      </c>
      <c r="E568" s="39" t="s">
        <v>7231</v>
      </c>
      <c r="F568" t="s">
        <v>6141</v>
      </c>
      <c r="G568" t="s">
        <v>7232</v>
      </c>
    </row>
    <row r="569" spans="3:7">
      <c r="C569" t="s">
        <v>7239</v>
      </c>
      <c r="D569" s="41" t="str">
        <f t="shared" si="26"/>
        <v>.stat-actions</v>
      </c>
      <c r="E569" s="39" t="s">
        <v>7233</v>
      </c>
      <c r="F569" t="s">
        <v>6141</v>
      </c>
      <c r="G569" t="s">
        <v>7234</v>
      </c>
    </row>
    <row r="570" spans="3:7">
      <c r="C570" t="s">
        <v>7239</v>
      </c>
      <c r="D570" s="41" t="str">
        <f t="shared" si="26"/>
        <v>.stats-horizontal</v>
      </c>
      <c r="E570" s="39" t="s">
        <v>7235</v>
      </c>
      <c r="F570" t="s">
        <v>6172</v>
      </c>
      <c r="G570" t="s">
        <v>7236</v>
      </c>
    </row>
    <row r="571" spans="3:7">
      <c r="C571" t="s">
        <v>7239</v>
      </c>
      <c r="D571" s="41" t="str">
        <f t="shared" si="26"/>
        <v>.stats-vertical</v>
      </c>
      <c r="E571" s="39" t="s">
        <v>7237</v>
      </c>
      <c r="F571" t="s">
        <v>6172</v>
      </c>
      <c r="G571" t="s">
        <v>7238</v>
      </c>
    </row>
    <row r="574" spans="3:7">
      <c r="C574" t="s">
        <v>7264</v>
      </c>
      <c r="D574" s="41" t="str">
        <f t="shared" ref="D574:D587" si="27">"."&amp;E574</f>
        <v>.status</v>
      </c>
      <c r="E574" s="39" t="s">
        <v>346</v>
      </c>
      <c r="F574" t="s">
        <v>6139</v>
      </c>
      <c r="G574" t="s">
        <v>7249</v>
      </c>
    </row>
    <row r="575" spans="3:7">
      <c r="C575" t="s">
        <v>7264</v>
      </c>
      <c r="D575" s="41" t="str">
        <f t="shared" si="27"/>
        <v>.status-neutral</v>
      </c>
      <c r="E575" s="39" t="s">
        <v>7250</v>
      </c>
      <c r="F575" t="s">
        <v>6163</v>
      </c>
      <c r="G575" t="s">
        <v>6201</v>
      </c>
    </row>
    <row r="576" spans="3:7">
      <c r="C576" t="s">
        <v>7264</v>
      </c>
      <c r="D576" s="41" t="str">
        <f t="shared" si="27"/>
        <v>.status-primary</v>
      </c>
      <c r="E576" s="39" t="s">
        <v>7251</v>
      </c>
      <c r="F576" t="s">
        <v>6163</v>
      </c>
      <c r="G576" t="s">
        <v>6203</v>
      </c>
    </row>
    <row r="577" spans="3:7">
      <c r="C577" t="s">
        <v>7264</v>
      </c>
      <c r="D577" s="41" t="str">
        <f t="shared" si="27"/>
        <v>.status-secondary</v>
      </c>
      <c r="E577" s="39" t="s">
        <v>7252</v>
      </c>
      <c r="F577" t="s">
        <v>6163</v>
      </c>
      <c r="G577" t="s">
        <v>6205</v>
      </c>
    </row>
    <row r="578" spans="3:7">
      <c r="C578" t="s">
        <v>7264</v>
      </c>
      <c r="D578" s="41" t="str">
        <f t="shared" si="27"/>
        <v>.status-accent</v>
      </c>
      <c r="E578" s="39" t="s">
        <v>7253</v>
      </c>
      <c r="F578" t="s">
        <v>6163</v>
      </c>
      <c r="G578" t="s">
        <v>6207</v>
      </c>
    </row>
    <row r="579" spans="3:7">
      <c r="C579" t="s">
        <v>7264</v>
      </c>
      <c r="D579" s="41" t="str">
        <f t="shared" si="27"/>
        <v>.status-info</v>
      </c>
      <c r="E579" s="39" t="s">
        <v>7254</v>
      </c>
      <c r="F579" t="s">
        <v>6163</v>
      </c>
      <c r="G579" t="s">
        <v>6164</v>
      </c>
    </row>
    <row r="580" spans="3:7">
      <c r="C580" t="s">
        <v>7264</v>
      </c>
      <c r="D580" s="41" t="str">
        <f t="shared" si="27"/>
        <v>.status-success</v>
      </c>
      <c r="E580" s="39" t="s">
        <v>7255</v>
      </c>
      <c r="F580" t="s">
        <v>6163</v>
      </c>
      <c r="G580" t="s">
        <v>6166</v>
      </c>
    </row>
    <row r="581" spans="3:7">
      <c r="C581" t="s">
        <v>7264</v>
      </c>
      <c r="D581" s="41" t="str">
        <f t="shared" si="27"/>
        <v>.status-warning</v>
      </c>
      <c r="E581" s="39" t="s">
        <v>7256</v>
      </c>
      <c r="F581" t="s">
        <v>6163</v>
      </c>
      <c r="G581" t="s">
        <v>6168</v>
      </c>
    </row>
    <row r="582" spans="3:7">
      <c r="C582" t="s">
        <v>7264</v>
      </c>
      <c r="D582" s="41" t="str">
        <f t="shared" si="27"/>
        <v>.status-error</v>
      </c>
      <c r="E582" s="39" t="s">
        <v>7257</v>
      </c>
      <c r="F582" t="s">
        <v>6163</v>
      </c>
      <c r="G582" t="s">
        <v>6170</v>
      </c>
    </row>
    <row r="583" spans="3:7">
      <c r="C583" t="s">
        <v>7264</v>
      </c>
      <c r="D583" s="41" t="str">
        <f t="shared" si="27"/>
        <v>.status-xs</v>
      </c>
      <c r="E583" s="39" t="s">
        <v>7258</v>
      </c>
      <c r="F583" t="s">
        <v>6213</v>
      </c>
      <c r="G583" t="s">
        <v>6214</v>
      </c>
    </row>
    <row r="584" spans="3:7">
      <c r="C584" t="s">
        <v>7264</v>
      </c>
      <c r="D584" s="41" t="str">
        <f t="shared" si="27"/>
        <v>.status-sm</v>
      </c>
      <c r="E584" s="39" t="s">
        <v>7259</v>
      </c>
      <c r="F584" t="s">
        <v>6213</v>
      </c>
      <c r="G584" t="s">
        <v>6216</v>
      </c>
    </row>
    <row r="585" spans="3:7">
      <c r="C585" t="s">
        <v>7264</v>
      </c>
      <c r="D585" s="41" t="str">
        <f t="shared" si="27"/>
        <v>.status-md</v>
      </c>
      <c r="E585" s="39" t="s">
        <v>7260</v>
      </c>
      <c r="F585" t="s">
        <v>6213</v>
      </c>
      <c r="G585" t="s">
        <v>7261</v>
      </c>
    </row>
    <row r="586" spans="3:7">
      <c r="C586" t="s">
        <v>7264</v>
      </c>
      <c r="D586" s="41" t="str">
        <f t="shared" si="27"/>
        <v>.status-lg</v>
      </c>
      <c r="E586" s="39" t="s">
        <v>7262</v>
      </c>
      <c r="F586" t="s">
        <v>6213</v>
      </c>
      <c r="G586" t="s">
        <v>6220</v>
      </c>
    </row>
    <row r="587" spans="3:7">
      <c r="C587" t="s">
        <v>7264</v>
      </c>
      <c r="D587" s="41" t="str">
        <f t="shared" si="27"/>
        <v>.status-xl</v>
      </c>
      <c r="E587" s="39" t="s">
        <v>7263</v>
      </c>
      <c r="F587" t="s">
        <v>6213</v>
      </c>
      <c r="G587" t="s">
        <v>6222</v>
      </c>
    </row>
    <row r="590" spans="3:7">
      <c r="C590" t="s">
        <v>7297</v>
      </c>
      <c r="D590" s="41" t="str">
        <f t="shared" ref="D590:D602" si="28">"."&amp;E590</f>
        <v>.steps</v>
      </c>
      <c r="E590" s="39" t="s">
        <v>7279</v>
      </c>
      <c r="F590" s="40" t="s">
        <v>6139</v>
      </c>
      <c r="G590" s="40" t="s">
        <v>7280</v>
      </c>
    </row>
    <row r="591" spans="3:7">
      <c r="C591" t="s">
        <v>7297</v>
      </c>
      <c r="D591" s="41" t="str">
        <f t="shared" si="28"/>
        <v>.step</v>
      </c>
      <c r="E591" s="39" t="s">
        <v>7281</v>
      </c>
      <c r="F591" s="40" t="s">
        <v>6141</v>
      </c>
      <c r="G591" s="40" t="s">
        <v>7282</v>
      </c>
    </row>
    <row r="592" spans="3:7">
      <c r="C592" t="s">
        <v>7297</v>
      </c>
      <c r="D592" s="41" t="str">
        <f t="shared" si="28"/>
        <v>.step-icon</v>
      </c>
      <c r="E592" s="39" t="s">
        <v>7283</v>
      </c>
      <c r="F592" s="40" t="s">
        <v>6141</v>
      </c>
      <c r="G592" s="40" t="s">
        <v>7284</v>
      </c>
    </row>
    <row r="593" spans="3:7">
      <c r="C593" t="s">
        <v>7297</v>
      </c>
      <c r="D593" s="41" t="str">
        <f t="shared" si="28"/>
        <v>.step-neutral</v>
      </c>
      <c r="E593" s="39" t="s">
        <v>7285</v>
      </c>
      <c r="F593" s="40" t="s">
        <v>6163</v>
      </c>
      <c r="G593" s="40" t="s">
        <v>6201</v>
      </c>
    </row>
    <row r="594" spans="3:7">
      <c r="C594" t="s">
        <v>7297</v>
      </c>
      <c r="D594" s="41" t="str">
        <f t="shared" si="28"/>
        <v>.step-primary</v>
      </c>
      <c r="E594" s="39" t="s">
        <v>7286</v>
      </c>
      <c r="F594" s="40" t="s">
        <v>6163</v>
      </c>
      <c r="G594" s="40" t="s">
        <v>6203</v>
      </c>
    </row>
    <row r="595" spans="3:7">
      <c r="C595" t="s">
        <v>7297</v>
      </c>
      <c r="D595" s="41" t="str">
        <f t="shared" si="28"/>
        <v>.step-secondary</v>
      </c>
      <c r="E595" s="39" t="s">
        <v>7287</v>
      </c>
      <c r="F595" s="40" t="s">
        <v>6163</v>
      </c>
      <c r="G595" s="40" t="s">
        <v>6205</v>
      </c>
    </row>
    <row r="596" spans="3:7">
      <c r="C596" t="s">
        <v>7297</v>
      </c>
      <c r="D596" s="41" t="str">
        <f t="shared" si="28"/>
        <v>.step-accent</v>
      </c>
      <c r="E596" s="39" t="s">
        <v>7288</v>
      </c>
      <c r="F596" s="40" t="s">
        <v>6163</v>
      </c>
      <c r="G596" s="40" t="s">
        <v>6207</v>
      </c>
    </row>
    <row r="597" spans="3:7">
      <c r="C597" t="s">
        <v>7297</v>
      </c>
      <c r="D597" s="41" t="str">
        <f t="shared" si="28"/>
        <v>.step-info</v>
      </c>
      <c r="E597" s="39" t="s">
        <v>7289</v>
      </c>
      <c r="F597" s="40" t="s">
        <v>6163</v>
      </c>
      <c r="G597" s="40" t="s">
        <v>6164</v>
      </c>
    </row>
    <row r="598" spans="3:7">
      <c r="C598" t="s">
        <v>7297</v>
      </c>
      <c r="D598" s="41" t="str">
        <f t="shared" si="28"/>
        <v>.step-success</v>
      </c>
      <c r="E598" s="39" t="s">
        <v>7290</v>
      </c>
      <c r="F598" s="40" t="s">
        <v>6163</v>
      </c>
      <c r="G598" s="40" t="s">
        <v>6166</v>
      </c>
    </row>
    <row r="599" spans="3:7">
      <c r="C599" t="s">
        <v>7297</v>
      </c>
      <c r="D599" s="41" t="str">
        <f t="shared" si="28"/>
        <v>.step-warning</v>
      </c>
      <c r="E599" s="39" t="s">
        <v>7291</v>
      </c>
      <c r="F599" s="40" t="s">
        <v>6163</v>
      </c>
      <c r="G599" s="40" t="s">
        <v>6168</v>
      </c>
    </row>
    <row r="600" spans="3:7">
      <c r="C600" t="s">
        <v>7297</v>
      </c>
      <c r="D600" s="41" t="str">
        <f t="shared" si="28"/>
        <v>.step-error</v>
      </c>
      <c r="E600" s="39" t="s">
        <v>7292</v>
      </c>
      <c r="F600" s="40" t="s">
        <v>6163</v>
      </c>
      <c r="G600" s="40" t="s">
        <v>6170</v>
      </c>
    </row>
    <row r="601" spans="3:7">
      <c r="C601" t="s">
        <v>7297</v>
      </c>
      <c r="D601" s="41" t="str">
        <f t="shared" si="28"/>
        <v>.steps-vertical</v>
      </c>
      <c r="E601" s="39" t="s">
        <v>7293</v>
      </c>
      <c r="F601" s="40" t="s">
        <v>6172</v>
      </c>
      <c r="G601" s="40" t="s">
        <v>7294</v>
      </c>
    </row>
    <row r="602" spans="3:7">
      <c r="C602" t="s">
        <v>7297</v>
      </c>
      <c r="D602" s="41" t="str">
        <f t="shared" si="28"/>
        <v>.steps-horizontal</v>
      </c>
      <c r="E602" s="39" t="s">
        <v>7295</v>
      </c>
      <c r="F602" s="40" t="s">
        <v>6172</v>
      </c>
      <c r="G602" s="40" t="s">
        <v>7296</v>
      </c>
    </row>
    <row r="605" spans="3:7">
      <c r="C605" t="s">
        <v>7325</v>
      </c>
      <c r="D605" s="41" t="str">
        <f t="shared" ref="D605:D611" si="29">"."&amp;E605</f>
        <v>.swap</v>
      </c>
      <c r="E605" s="39" t="s">
        <v>7311</v>
      </c>
      <c r="F605" s="40" t="s">
        <v>6139</v>
      </c>
      <c r="G605" s="40" t="s">
        <v>7312</v>
      </c>
    </row>
    <row r="606" spans="3:7">
      <c r="C606" t="s">
        <v>7325</v>
      </c>
      <c r="D606" s="41" t="str">
        <f t="shared" si="29"/>
        <v>.swap-on</v>
      </c>
      <c r="E606" s="39" t="s">
        <v>7313</v>
      </c>
      <c r="F606" s="40" t="s">
        <v>6141</v>
      </c>
      <c r="G606" s="40" t="s">
        <v>7314</v>
      </c>
    </row>
    <row r="607" spans="3:7">
      <c r="C607" t="s">
        <v>7325</v>
      </c>
      <c r="D607" s="41" t="str">
        <f t="shared" si="29"/>
        <v>.swap-off</v>
      </c>
      <c r="E607" s="39" t="s">
        <v>7315</v>
      </c>
      <c r="F607" s="40" t="s">
        <v>6141</v>
      </c>
      <c r="G607" s="40" t="s">
        <v>7316</v>
      </c>
    </row>
    <row r="608" spans="3:7">
      <c r="C608" t="s">
        <v>7325</v>
      </c>
      <c r="D608" s="41" t="str">
        <f t="shared" si="29"/>
        <v>.swap-indeterminate</v>
      </c>
      <c r="E608" s="39" t="s">
        <v>7317</v>
      </c>
      <c r="F608" s="40" t="s">
        <v>6141</v>
      </c>
      <c r="G608" s="40" t="s">
        <v>7318</v>
      </c>
    </row>
    <row r="609" spans="3:7">
      <c r="C609" t="s">
        <v>7325</v>
      </c>
      <c r="D609" s="41" t="str">
        <f t="shared" si="29"/>
        <v>.swap-active</v>
      </c>
      <c r="E609" s="39" t="s">
        <v>7319</v>
      </c>
      <c r="F609" s="40" t="s">
        <v>6146</v>
      </c>
      <c r="G609" s="40" t="s">
        <v>7320</v>
      </c>
    </row>
    <row r="610" spans="3:7">
      <c r="C610" t="s">
        <v>7325</v>
      </c>
      <c r="D610" s="41" t="str">
        <f t="shared" si="29"/>
        <v>.swap-rotate</v>
      </c>
      <c r="E610" s="39" t="s">
        <v>7321</v>
      </c>
      <c r="F610" s="40" t="s">
        <v>6156</v>
      </c>
      <c r="G610" s="40" t="s">
        <v>7322</v>
      </c>
    </row>
    <row r="611" spans="3:7">
      <c r="C611" t="s">
        <v>7325</v>
      </c>
      <c r="D611" s="41" t="str">
        <f t="shared" si="29"/>
        <v>.swap-flip</v>
      </c>
      <c r="E611" s="39" t="s">
        <v>7323</v>
      </c>
      <c r="F611" s="40" t="s">
        <v>6156</v>
      </c>
      <c r="G611" s="40" t="s">
        <v>7324</v>
      </c>
    </row>
    <row r="615" spans="3:7">
      <c r="C615" t="s">
        <v>93</v>
      </c>
      <c r="D615" s="41" t="str">
        <f t="shared" ref="D615:D623" si="30">"."&amp;E615</f>
        <v>.table</v>
      </c>
      <c r="E615" s="39" t="s">
        <v>91</v>
      </c>
      <c r="F615" s="40" t="s">
        <v>6139</v>
      </c>
      <c r="G615" s="40" t="s">
        <v>7333</v>
      </c>
    </row>
    <row r="616" spans="3:7">
      <c r="C616" t="s">
        <v>93</v>
      </c>
      <c r="D616" s="41" t="str">
        <f t="shared" si="30"/>
        <v>.table-zebra</v>
      </c>
      <c r="E616" s="39" t="s">
        <v>7334</v>
      </c>
      <c r="F616" s="40" t="s">
        <v>6146</v>
      </c>
      <c r="G616" s="40" t="s">
        <v>7335</v>
      </c>
    </row>
    <row r="617" spans="3:7">
      <c r="C617" t="s">
        <v>93</v>
      </c>
      <c r="D617" s="41" t="str">
        <f t="shared" si="30"/>
        <v>.table-pin-rows</v>
      </c>
      <c r="E617" s="39" t="s">
        <v>7336</v>
      </c>
      <c r="F617" s="40" t="s">
        <v>6146</v>
      </c>
      <c r="G617" s="40" t="s">
        <v>7337</v>
      </c>
    </row>
    <row r="618" spans="3:7">
      <c r="C618" t="s">
        <v>93</v>
      </c>
      <c r="D618" s="41" t="str">
        <f t="shared" si="30"/>
        <v>.table-pin-cols</v>
      </c>
      <c r="E618" s="39" t="s">
        <v>7338</v>
      </c>
      <c r="F618" s="40" t="s">
        <v>6146</v>
      </c>
      <c r="G618" s="40" t="s">
        <v>7339</v>
      </c>
    </row>
    <row r="619" spans="3:7">
      <c r="C619" t="s">
        <v>93</v>
      </c>
      <c r="D619" s="41" t="str">
        <f t="shared" si="30"/>
        <v>.table-xs</v>
      </c>
      <c r="E619" s="39" t="s">
        <v>7340</v>
      </c>
      <c r="F619" s="40" t="s">
        <v>6213</v>
      </c>
      <c r="G619" s="40" t="s">
        <v>6272</v>
      </c>
    </row>
    <row r="620" spans="3:7">
      <c r="C620" t="s">
        <v>93</v>
      </c>
      <c r="D620" s="41" t="str">
        <f t="shared" si="30"/>
        <v>.table-sm</v>
      </c>
      <c r="E620" s="39" t="s">
        <v>7341</v>
      </c>
      <c r="F620" s="40" t="s">
        <v>6213</v>
      </c>
      <c r="G620" s="40" t="s">
        <v>6274</v>
      </c>
    </row>
    <row r="621" spans="3:7">
      <c r="C621" t="s">
        <v>93</v>
      </c>
      <c r="D621" s="41" t="str">
        <f t="shared" si="30"/>
        <v>.table-md</v>
      </c>
      <c r="E621" s="39" t="s">
        <v>7342</v>
      </c>
      <c r="F621" s="40" t="s">
        <v>6213</v>
      </c>
      <c r="G621" s="40" t="s">
        <v>6414</v>
      </c>
    </row>
    <row r="622" spans="3:7">
      <c r="C622" t="s">
        <v>93</v>
      </c>
      <c r="D622" s="41" t="str">
        <f t="shared" si="30"/>
        <v>.table-lg</v>
      </c>
      <c r="E622" s="39" t="s">
        <v>7343</v>
      </c>
      <c r="F622" s="40" t="s">
        <v>6213</v>
      </c>
      <c r="G622" s="40" t="s">
        <v>6278</v>
      </c>
    </row>
    <row r="623" spans="3:7">
      <c r="C623" t="s">
        <v>93</v>
      </c>
      <c r="D623" s="41" t="str">
        <f t="shared" si="30"/>
        <v>.table-xl</v>
      </c>
      <c r="E623" s="39" t="s">
        <v>7344</v>
      </c>
      <c r="F623" s="40" t="s">
        <v>6213</v>
      </c>
      <c r="G623" s="40" t="s">
        <v>6280</v>
      </c>
    </row>
    <row r="626" spans="3:7">
      <c r="C626" t="s">
        <v>7354</v>
      </c>
      <c r="D626" s="41" t="str">
        <f t="shared" ref="D626:D628" si="31">"."&amp;E626</f>
        <v>.text-rotate</v>
      </c>
      <c r="E626" s="39" t="s">
        <v>7352</v>
      </c>
      <c r="F626" s="40" t="s">
        <v>6139</v>
      </c>
      <c r="G626" s="40" t="s">
        <v>7353</v>
      </c>
    </row>
    <row r="628" spans="3:7">
      <c r="C628" t="s">
        <v>7358</v>
      </c>
      <c r="D628" s="41" t="str">
        <f t="shared" si="31"/>
        <v>.theme-controller</v>
      </c>
      <c r="E628" s="39" t="s">
        <v>7356</v>
      </c>
      <c r="F628" s="40" t="s">
        <v>6139</v>
      </c>
      <c r="G628" s="40" t="s">
        <v>7357</v>
      </c>
    </row>
    <row r="631" spans="3:7">
      <c r="C631" t="s">
        <v>7378</v>
      </c>
      <c r="D631" s="41" t="str">
        <f t="shared" ref="D631:D642" si="32">"."&amp;E631</f>
        <v>.timeline</v>
      </c>
      <c r="E631" s="39" t="s">
        <v>2828</v>
      </c>
      <c r="F631" t="s">
        <v>6139</v>
      </c>
      <c r="G631" t="s">
        <v>7361</v>
      </c>
    </row>
    <row r="632" spans="3:7">
      <c r="C632" t="s">
        <v>7378</v>
      </c>
      <c r="D632" s="41" t="str">
        <f t="shared" si="32"/>
        <v>.timeline-start</v>
      </c>
      <c r="E632" s="39" t="s">
        <v>7362</v>
      </c>
      <c r="F632" t="s">
        <v>6141</v>
      </c>
      <c r="G632" t="s">
        <v>7363</v>
      </c>
    </row>
    <row r="633" spans="3:7">
      <c r="C633" t="s">
        <v>7378</v>
      </c>
      <c r="D633" s="41" t="str">
        <f t="shared" si="32"/>
        <v>.timeline-middle</v>
      </c>
      <c r="E633" s="39" t="s">
        <v>7364</v>
      </c>
      <c r="F633" t="s">
        <v>6141</v>
      </c>
      <c r="G633" t="s">
        <v>7365</v>
      </c>
    </row>
    <row r="634" spans="3:7">
      <c r="C634" t="s">
        <v>7378</v>
      </c>
      <c r="D634" s="41" t="str">
        <f t="shared" si="32"/>
        <v>.timeline-end</v>
      </c>
      <c r="E634" s="39" t="s">
        <v>7366</v>
      </c>
      <c r="F634" t="s">
        <v>6141</v>
      </c>
      <c r="G634" t="s">
        <v>7367</v>
      </c>
    </row>
    <row r="635" spans="3:7">
      <c r="C635" t="s">
        <v>7378</v>
      </c>
      <c r="D635" s="41" t="str">
        <f t="shared" si="32"/>
        <v>.timeline-snap-icon</v>
      </c>
      <c r="E635" s="39" t="s">
        <v>7368</v>
      </c>
      <c r="F635" t="s">
        <v>6146</v>
      </c>
      <c r="G635" t="s">
        <v>7369</v>
      </c>
    </row>
    <row r="636" spans="3:7">
      <c r="C636" t="s">
        <v>7378</v>
      </c>
      <c r="D636" s="41" t="str">
        <f t="shared" si="32"/>
        <v>.timeline-box</v>
      </c>
      <c r="E636" s="39" t="s">
        <v>7370</v>
      </c>
      <c r="F636" t="s">
        <v>6146</v>
      </c>
      <c r="G636" t="s">
        <v>7371</v>
      </c>
    </row>
    <row r="637" spans="3:7">
      <c r="C637" t="s">
        <v>7378</v>
      </c>
      <c r="D637" s="41" t="str">
        <f t="shared" si="32"/>
        <v>.timeline-compact</v>
      </c>
      <c r="E637" s="39" t="s">
        <v>7372</v>
      </c>
      <c r="F637" t="s">
        <v>6146</v>
      </c>
      <c r="G637" t="s">
        <v>7373</v>
      </c>
    </row>
    <row r="638" spans="3:7">
      <c r="C638" t="s">
        <v>7378</v>
      </c>
      <c r="D638" s="41" t="str">
        <f t="shared" si="32"/>
        <v>.timeline-horizontal</v>
      </c>
      <c r="E638" s="39" t="s">
        <v>7374</v>
      </c>
      <c r="F638" t="s">
        <v>6172</v>
      </c>
      <c r="G638" t="s">
        <v>7375</v>
      </c>
    </row>
    <row r="639" spans="3:7">
      <c r="C639" t="s">
        <v>7378</v>
      </c>
      <c r="D639" s="41" t="str">
        <f t="shared" si="32"/>
        <v>.timeline-vertical</v>
      </c>
      <c r="E639" s="39" t="s">
        <v>7376</v>
      </c>
      <c r="F639" t="s">
        <v>6172</v>
      </c>
      <c r="G639" t="s">
        <v>7377</v>
      </c>
    </row>
    <row r="641" spans="3:7">
      <c r="C641" t="s">
        <v>6624</v>
      </c>
      <c r="D641" s="41" t="str">
        <f t="shared" si="32"/>
        <v>.validator</v>
      </c>
      <c r="E641" s="39" t="s">
        <v>6620</v>
      </c>
      <c r="F641" s="40" t="s">
        <v>6139</v>
      </c>
      <c r="G641" s="40" t="s">
        <v>6621</v>
      </c>
    </row>
    <row r="642" spans="3:7">
      <c r="C642" t="s">
        <v>6624</v>
      </c>
      <c r="D642" s="41" t="str">
        <f t="shared" si="32"/>
        <v>.validator-hint</v>
      </c>
      <c r="E642" s="39" t="s">
        <v>6622</v>
      </c>
      <c r="F642" s="40" t="s">
        <v>6141</v>
      </c>
      <c r="G642" s="40" t="s">
        <v>6623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1FEA-918C-C04E-A397-AA40F84C2DE3}">
  <dimension ref="A1:C789"/>
  <sheetViews>
    <sheetView topLeftCell="A728" workbookViewId="0">
      <selection activeCell="B553" sqref="B553"/>
    </sheetView>
  </sheetViews>
  <sheetFormatPr baseColWidth="10" defaultRowHeight="16"/>
  <cols>
    <col min="1" max="1" width="36.5" bestFit="1" customWidth="1"/>
    <col min="2" max="2" width="36.5" customWidth="1"/>
  </cols>
  <sheetData>
    <row r="1" spans="1:3">
      <c r="A1" s="27" t="s">
        <v>3884</v>
      </c>
      <c r="B1" s="27"/>
      <c r="C1" s="29"/>
    </row>
    <row r="2" spans="1:3">
      <c r="C2" s="29"/>
    </row>
    <row r="3" spans="1:3">
      <c r="A3" s="2" t="s">
        <v>3568</v>
      </c>
      <c r="B3" t="s">
        <v>3884</v>
      </c>
      <c r="C3" s="29" t="s">
        <v>3568</v>
      </c>
    </row>
    <row r="4" spans="1:3">
      <c r="A4" s="2" t="s">
        <v>3885</v>
      </c>
      <c r="B4" t="s">
        <v>3884</v>
      </c>
      <c r="C4" s="29" t="s">
        <v>3885</v>
      </c>
    </row>
    <row r="5" spans="1:3">
      <c r="A5" s="2" t="s">
        <v>3886</v>
      </c>
      <c r="B5" t="s">
        <v>3884</v>
      </c>
      <c r="C5" s="29" t="s">
        <v>3886</v>
      </c>
    </row>
    <row r="6" spans="1:3">
      <c r="A6" s="2" t="s">
        <v>3887</v>
      </c>
      <c r="B6" t="s">
        <v>3884</v>
      </c>
      <c r="C6" s="29" t="s">
        <v>3887</v>
      </c>
    </row>
    <row r="7" spans="1:3">
      <c r="A7" s="2" t="s">
        <v>3888</v>
      </c>
      <c r="B7" t="s">
        <v>3884</v>
      </c>
      <c r="C7" s="29" t="s">
        <v>3888</v>
      </c>
    </row>
    <row r="8" spans="1:3">
      <c r="A8" s="2" t="s">
        <v>3889</v>
      </c>
      <c r="B8" t="s">
        <v>3884</v>
      </c>
      <c r="C8" s="29" t="s">
        <v>3889</v>
      </c>
    </row>
    <row r="9" spans="1:3">
      <c r="A9" s="2" t="s">
        <v>3890</v>
      </c>
      <c r="B9" t="s">
        <v>3884</v>
      </c>
      <c r="C9" s="29" t="s">
        <v>3890</v>
      </c>
    </row>
    <row r="10" spans="1:3">
      <c r="A10" s="2" t="s">
        <v>3891</v>
      </c>
      <c r="B10" t="s">
        <v>3884</v>
      </c>
      <c r="C10" s="29" t="s">
        <v>3891</v>
      </c>
    </row>
    <row r="11" spans="1:3">
      <c r="A11" s="2" t="s">
        <v>3892</v>
      </c>
      <c r="B11" t="s">
        <v>3884</v>
      </c>
      <c r="C11" s="29" t="s">
        <v>3892</v>
      </c>
    </row>
    <row r="12" spans="1:3">
      <c r="A12" s="2" t="s">
        <v>3893</v>
      </c>
      <c r="B12" t="s">
        <v>3884</v>
      </c>
      <c r="C12" s="29" t="s">
        <v>3893</v>
      </c>
    </row>
    <row r="13" spans="1:3">
      <c r="A13" s="2" t="s">
        <v>3894</v>
      </c>
      <c r="B13" t="s">
        <v>3884</v>
      </c>
      <c r="C13" s="29" t="s">
        <v>3894</v>
      </c>
    </row>
    <row r="14" spans="1:3">
      <c r="C14" s="29"/>
    </row>
    <row r="15" spans="1:3">
      <c r="A15" s="27" t="s">
        <v>3895</v>
      </c>
      <c r="B15" s="27"/>
      <c r="C15" s="29"/>
    </row>
    <row r="16" spans="1:3">
      <c r="C16" s="29"/>
    </row>
    <row r="17" spans="1:3">
      <c r="A17" s="2" t="s">
        <v>3896</v>
      </c>
      <c r="B17" t="s">
        <v>3895</v>
      </c>
      <c r="C17" s="29" t="s">
        <v>3896</v>
      </c>
    </row>
    <row r="18" spans="1:3">
      <c r="A18" s="2" t="s">
        <v>3897</v>
      </c>
      <c r="B18" t="s">
        <v>3895</v>
      </c>
      <c r="C18" s="29" t="s">
        <v>3897</v>
      </c>
    </row>
    <row r="19" spans="1:3">
      <c r="A19" s="2" t="s">
        <v>3898</v>
      </c>
      <c r="B19" t="s">
        <v>3895</v>
      </c>
      <c r="C19" s="29" t="s">
        <v>3898</v>
      </c>
    </row>
    <row r="20" spans="1:3">
      <c r="A20" s="2" t="s">
        <v>3899</v>
      </c>
      <c r="B20" t="s">
        <v>3895</v>
      </c>
      <c r="C20" s="29" t="s">
        <v>3899</v>
      </c>
    </row>
    <row r="21" spans="1:3">
      <c r="A21" s="2" t="s">
        <v>3900</v>
      </c>
      <c r="B21" t="s">
        <v>3895</v>
      </c>
      <c r="C21" s="29" t="s">
        <v>3900</v>
      </c>
    </row>
    <row r="22" spans="1:3">
      <c r="A22" s="2" t="s">
        <v>3901</v>
      </c>
      <c r="B22" t="s">
        <v>3895</v>
      </c>
      <c r="C22" s="29" t="s">
        <v>3901</v>
      </c>
    </row>
    <row r="23" spans="1:3">
      <c r="A23" s="2" t="s">
        <v>3902</v>
      </c>
      <c r="B23" t="s">
        <v>3895</v>
      </c>
      <c r="C23" s="29" t="s">
        <v>3902</v>
      </c>
    </row>
    <row r="24" spans="1:3">
      <c r="A24" s="2" t="s">
        <v>3903</v>
      </c>
      <c r="B24" t="s">
        <v>3895</v>
      </c>
      <c r="C24" s="29" t="s">
        <v>3903</v>
      </c>
    </row>
    <row r="25" spans="1:3">
      <c r="A25" s="2" t="s">
        <v>3904</v>
      </c>
      <c r="B25" t="s">
        <v>3895</v>
      </c>
      <c r="C25" s="29" t="s">
        <v>3904</v>
      </c>
    </row>
    <row r="26" spans="1:3">
      <c r="A26" s="2" t="s">
        <v>3905</v>
      </c>
      <c r="B26" t="s">
        <v>3895</v>
      </c>
      <c r="C26" s="29" t="s">
        <v>3905</v>
      </c>
    </row>
    <row r="27" spans="1:3">
      <c r="A27" s="2" t="s">
        <v>3906</v>
      </c>
      <c r="B27" t="s">
        <v>3895</v>
      </c>
      <c r="C27" s="29" t="s">
        <v>3906</v>
      </c>
    </row>
    <row r="28" spans="1:3">
      <c r="A28" s="2" t="s">
        <v>3907</v>
      </c>
      <c r="B28" t="s">
        <v>3895</v>
      </c>
      <c r="C28" s="29" t="s">
        <v>3907</v>
      </c>
    </row>
    <row r="29" spans="1:3">
      <c r="A29" s="2" t="s">
        <v>3908</v>
      </c>
      <c r="B29" t="s">
        <v>3895</v>
      </c>
      <c r="C29" s="29" t="s">
        <v>3908</v>
      </c>
    </row>
    <row r="30" spans="1:3">
      <c r="A30" s="2" t="s">
        <v>3909</v>
      </c>
      <c r="B30" t="s">
        <v>3895</v>
      </c>
      <c r="C30" s="29" t="s">
        <v>3909</v>
      </c>
    </row>
    <row r="31" spans="1:3">
      <c r="A31" s="2" t="s">
        <v>3910</v>
      </c>
      <c r="B31" t="s">
        <v>3895</v>
      </c>
      <c r="C31" s="29" t="s">
        <v>3910</v>
      </c>
    </row>
    <row r="32" spans="1:3">
      <c r="A32" s="2" t="s">
        <v>3911</v>
      </c>
      <c r="B32" t="s">
        <v>3895</v>
      </c>
      <c r="C32" s="29" t="s">
        <v>3911</v>
      </c>
    </row>
    <row r="33" spans="1:3">
      <c r="A33" s="2" t="s">
        <v>3912</v>
      </c>
      <c r="B33" t="s">
        <v>3895</v>
      </c>
      <c r="C33" s="29" t="s">
        <v>3912</v>
      </c>
    </row>
    <row r="34" spans="1:3">
      <c r="A34" s="2" t="s">
        <v>3913</v>
      </c>
      <c r="B34" t="s">
        <v>3895</v>
      </c>
      <c r="C34" s="29" t="s">
        <v>3913</v>
      </c>
    </row>
    <row r="35" spans="1:3">
      <c r="A35" s="2" t="s">
        <v>3914</v>
      </c>
      <c r="B35" t="s">
        <v>3895</v>
      </c>
      <c r="C35" s="29" t="s">
        <v>3914</v>
      </c>
    </row>
    <row r="36" spans="1:3">
      <c r="A36" s="2" t="s">
        <v>3915</v>
      </c>
      <c r="B36" t="s">
        <v>3895</v>
      </c>
      <c r="C36" s="29" t="s">
        <v>3915</v>
      </c>
    </row>
    <row r="37" spans="1:3">
      <c r="A37" s="2" t="s">
        <v>3916</v>
      </c>
      <c r="B37" t="s">
        <v>3895</v>
      </c>
      <c r="C37" s="29" t="s">
        <v>3916</v>
      </c>
    </row>
    <row r="38" spans="1:3">
      <c r="A38" s="2" t="s">
        <v>3917</v>
      </c>
      <c r="B38" t="s">
        <v>3895</v>
      </c>
      <c r="C38" s="29" t="s">
        <v>3917</v>
      </c>
    </row>
    <row r="39" spans="1:3">
      <c r="A39" s="2" t="s">
        <v>3918</v>
      </c>
      <c r="B39" t="s">
        <v>3895</v>
      </c>
      <c r="C39" s="29" t="s">
        <v>3918</v>
      </c>
    </row>
    <row r="40" spans="1:3">
      <c r="A40" s="2" t="s">
        <v>3919</v>
      </c>
      <c r="B40" t="s">
        <v>3895</v>
      </c>
      <c r="C40" s="29" t="s">
        <v>3919</v>
      </c>
    </row>
    <row r="41" spans="1:3">
      <c r="A41" s="2" t="s">
        <v>3920</v>
      </c>
      <c r="B41" t="s">
        <v>3895</v>
      </c>
      <c r="C41" s="29" t="s">
        <v>3920</v>
      </c>
    </row>
    <row r="42" spans="1:3">
      <c r="A42" s="2" t="s">
        <v>3921</v>
      </c>
      <c r="B42" t="s">
        <v>3895</v>
      </c>
      <c r="C42" s="29" t="s">
        <v>3921</v>
      </c>
    </row>
    <row r="43" spans="1:3">
      <c r="C43" s="29"/>
    </row>
    <row r="44" spans="1:3">
      <c r="A44" s="27" t="s">
        <v>3922</v>
      </c>
      <c r="B44" s="27"/>
      <c r="C44" s="29"/>
    </row>
    <row r="45" spans="1:3">
      <c r="C45" s="29"/>
    </row>
    <row r="46" spans="1:3">
      <c r="A46" s="2" t="s">
        <v>3646</v>
      </c>
      <c r="B46" t="s">
        <v>3922</v>
      </c>
      <c r="C46" s="29" t="s">
        <v>3646</v>
      </c>
    </row>
    <row r="47" spans="1:3">
      <c r="A47" s="2" t="s">
        <v>3923</v>
      </c>
      <c r="B47" t="s">
        <v>3922</v>
      </c>
      <c r="C47" s="29" t="s">
        <v>3923</v>
      </c>
    </row>
    <row r="48" spans="1:3">
      <c r="A48" s="2" t="s">
        <v>3649</v>
      </c>
      <c r="B48" t="s">
        <v>3922</v>
      </c>
      <c r="C48" s="29" t="s">
        <v>3649</v>
      </c>
    </row>
    <row r="49" spans="1:3">
      <c r="A49" s="2" t="s">
        <v>3924</v>
      </c>
      <c r="B49" t="s">
        <v>3922</v>
      </c>
      <c r="C49" s="29" t="s">
        <v>3924</v>
      </c>
    </row>
    <row r="50" spans="1:3">
      <c r="A50" s="2" t="s">
        <v>3651</v>
      </c>
      <c r="B50" t="s">
        <v>3922</v>
      </c>
      <c r="C50" s="29" t="s">
        <v>3651</v>
      </c>
    </row>
    <row r="51" spans="1:3">
      <c r="A51" s="2" t="s">
        <v>3925</v>
      </c>
      <c r="B51" t="s">
        <v>3922</v>
      </c>
      <c r="C51" s="29" t="s">
        <v>3925</v>
      </c>
    </row>
    <row r="52" spans="1:3">
      <c r="A52" s="2" t="s">
        <v>3926</v>
      </c>
      <c r="B52" t="s">
        <v>3922</v>
      </c>
      <c r="C52" s="29" t="s">
        <v>3926</v>
      </c>
    </row>
    <row r="53" spans="1:3">
      <c r="A53" s="2" t="s">
        <v>3927</v>
      </c>
      <c r="B53" t="s">
        <v>3922</v>
      </c>
      <c r="C53" s="29" t="s">
        <v>3927</v>
      </c>
    </row>
    <row r="54" spans="1:3">
      <c r="A54" s="2" t="s">
        <v>3928</v>
      </c>
      <c r="B54" t="s">
        <v>3922</v>
      </c>
      <c r="C54" s="29" t="s">
        <v>3928</v>
      </c>
    </row>
    <row r="56" spans="1:3">
      <c r="A56" s="27" t="s">
        <v>3526</v>
      </c>
      <c r="B56" s="27"/>
    </row>
    <row r="58" spans="1:3">
      <c r="A58" s="2" t="s">
        <v>3929</v>
      </c>
      <c r="B58" t="s">
        <v>3526</v>
      </c>
      <c r="C58" s="29" t="s">
        <v>3929</v>
      </c>
    </row>
    <row r="59" spans="1:3">
      <c r="A59" s="2" t="s">
        <v>3930</v>
      </c>
      <c r="B59" t="s">
        <v>3526</v>
      </c>
      <c r="C59" s="29" t="s">
        <v>3930</v>
      </c>
    </row>
    <row r="60" spans="1:3">
      <c r="A60" s="2" t="s">
        <v>3931</v>
      </c>
      <c r="B60" t="s">
        <v>3526</v>
      </c>
      <c r="C60" s="29" t="s">
        <v>3931</v>
      </c>
    </row>
    <row r="61" spans="1:3">
      <c r="A61" s="2" t="s">
        <v>3932</v>
      </c>
      <c r="B61" t="s">
        <v>3526</v>
      </c>
      <c r="C61" s="29" t="s">
        <v>3932</v>
      </c>
    </row>
    <row r="62" spans="1:3">
      <c r="A62" s="2" t="s">
        <v>3933</v>
      </c>
      <c r="B62" t="s">
        <v>3526</v>
      </c>
      <c r="C62" s="29" t="s">
        <v>3933</v>
      </c>
    </row>
    <row r="63" spans="1:3">
      <c r="A63" s="2" t="s">
        <v>3934</v>
      </c>
      <c r="B63" t="s">
        <v>3526</v>
      </c>
      <c r="C63" s="29" t="s">
        <v>3934</v>
      </c>
    </row>
    <row r="64" spans="1:3">
      <c r="A64" s="2" t="s">
        <v>3935</v>
      </c>
      <c r="B64" t="s">
        <v>3526</v>
      </c>
      <c r="C64" s="29" t="s">
        <v>3935</v>
      </c>
    </row>
    <row r="65" spans="1:3">
      <c r="A65" s="2" t="s">
        <v>3935</v>
      </c>
      <c r="B65" t="s">
        <v>3526</v>
      </c>
      <c r="C65" s="29" t="s">
        <v>3935</v>
      </c>
    </row>
    <row r="66" spans="1:3">
      <c r="A66" s="2" t="s">
        <v>3936</v>
      </c>
      <c r="B66" t="s">
        <v>3526</v>
      </c>
      <c r="C66" s="29" t="s">
        <v>3936</v>
      </c>
    </row>
    <row r="67" spans="1:3">
      <c r="A67" s="2" t="s">
        <v>3937</v>
      </c>
      <c r="B67" t="s">
        <v>3526</v>
      </c>
      <c r="C67" s="29" t="s">
        <v>3937</v>
      </c>
    </row>
    <row r="68" spans="1:3">
      <c r="A68" s="2" t="s">
        <v>3938</v>
      </c>
      <c r="B68" t="s">
        <v>3526</v>
      </c>
      <c r="C68" s="29" t="s">
        <v>3938</v>
      </c>
    </row>
    <row r="69" spans="1:3">
      <c r="A69" s="2" t="s">
        <v>3939</v>
      </c>
      <c r="B69" t="s">
        <v>3526</v>
      </c>
      <c r="C69" s="29" t="s">
        <v>3939</v>
      </c>
    </row>
    <row r="70" spans="1:3">
      <c r="A70" s="2" t="s">
        <v>3940</v>
      </c>
      <c r="B70" t="s">
        <v>3526</v>
      </c>
      <c r="C70" s="29" t="s">
        <v>3940</v>
      </c>
    </row>
    <row r="71" spans="1:3">
      <c r="A71" s="2" t="s">
        <v>3941</v>
      </c>
      <c r="B71" t="s">
        <v>3526</v>
      </c>
      <c r="C71" s="29" t="s">
        <v>3941</v>
      </c>
    </row>
    <row r="72" spans="1:3">
      <c r="A72" s="2" t="s">
        <v>3942</v>
      </c>
      <c r="B72" t="s">
        <v>3526</v>
      </c>
      <c r="C72" s="29" t="s">
        <v>3942</v>
      </c>
    </row>
    <row r="73" spans="1:3">
      <c r="A73" s="2" t="s">
        <v>3943</v>
      </c>
      <c r="B73" t="s">
        <v>3526</v>
      </c>
      <c r="C73" s="29" t="s">
        <v>3943</v>
      </c>
    </row>
    <row r="74" spans="1:3">
      <c r="A74" s="2" t="s">
        <v>3944</v>
      </c>
      <c r="B74" t="s">
        <v>3526</v>
      </c>
      <c r="C74" s="29" t="s">
        <v>3944</v>
      </c>
    </row>
    <row r="75" spans="1:3">
      <c r="A75" s="2" t="s">
        <v>3945</v>
      </c>
      <c r="B75" t="s">
        <v>3526</v>
      </c>
      <c r="C75" s="29" t="s">
        <v>3945</v>
      </c>
    </row>
    <row r="76" spans="1:3">
      <c r="A76" s="2" t="s">
        <v>3946</v>
      </c>
      <c r="B76" t="s">
        <v>3526</v>
      </c>
      <c r="C76" s="29" t="s">
        <v>3946</v>
      </c>
    </row>
    <row r="77" spans="1:3">
      <c r="A77" s="2" t="s">
        <v>3947</v>
      </c>
      <c r="B77" t="s">
        <v>3526</v>
      </c>
      <c r="C77" s="29" t="s">
        <v>3947</v>
      </c>
    </row>
    <row r="78" spans="1:3">
      <c r="A78" s="2" t="s">
        <v>3948</v>
      </c>
      <c r="B78" t="s">
        <v>3526</v>
      </c>
      <c r="C78" s="29" t="s">
        <v>3948</v>
      </c>
    </row>
    <row r="79" spans="1:3">
      <c r="A79" s="2" t="s">
        <v>3949</v>
      </c>
      <c r="B79" t="s">
        <v>3526</v>
      </c>
      <c r="C79" s="29" t="s">
        <v>3949</v>
      </c>
    </row>
    <row r="80" spans="1:3">
      <c r="A80" s="2" t="s">
        <v>3950</v>
      </c>
      <c r="B80" t="s">
        <v>3526</v>
      </c>
      <c r="C80" s="29" t="s">
        <v>3950</v>
      </c>
    </row>
    <row r="81" spans="1:3">
      <c r="A81" s="2" t="s">
        <v>3951</v>
      </c>
      <c r="B81" t="s">
        <v>3526</v>
      </c>
      <c r="C81" s="29" t="s">
        <v>3951</v>
      </c>
    </row>
    <row r="82" spans="1:3">
      <c r="A82" s="2" t="s">
        <v>3952</v>
      </c>
      <c r="B82" t="s">
        <v>3526</v>
      </c>
      <c r="C82" s="29" t="s">
        <v>3952</v>
      </c>
    </row>
    <row r="83" spans="1:3">
      <c r="A83" s="2" t="s">
        <v>3953</v>
      </c>
      <c r="B83" t="s">
        <v>3526</v>
      </c>
      <c r="C83" s="29" t="s">
        <v>3953</v>
      </c>
    </row>
    <row r="84" spans="1:3">
      <c r="A84" s="2" t="s">
        <v>3954</v>
      </c>
      <c r="B84" t="s">
        <v>3526</v>
      </c>
      <c r="C84" s="29" t="s">
        <v>3954</v>
      </c>
    </row>
    <row r="85" spans="1:3">
      <c r="A85" s="2" t="s">
        <v>3955</v>
      </c>
      <c r="B85" t="s">
        <v>3526</v>
      </c>
      <c r="C85" s="29" t="s">
        <v>3955</v>
      </c>
    </row>
    <row r="86" spans="1:3">
      <c r="A86" s="2" t="s">
        <v>3956</v>
      </c>
      <c r="B86" t="s">
        <v>3526</v>
      </c>
      <c r="C86" s="29" t="s">
        <v>3956</v>
      </c>
    </row>
    <row r="87" spans="1:3">
      <c r="A87" s="2" t="s">
        <v>3957</v>
      </c>
      <c r="B87" t="s">
        <v>3526</v>
      </c>
      <c r="C87" s="29" t="s">
        <v>3957</v>
      </c>
    </row>
    <row r="88" spans="1:3">
      <c r="A88" s="2" t="s">
        <v>3958</v>
      </c>
      <c r="B88" t="s">
        <v>3526</v>
      </c>
      <c r="C88" s="29" t="s">
        <v>3958</v>
      </c>
    </row>
    <row r="89" spans="1:3">
      <c r="A89" s="2" t="s">
        <v>3959</v>
      </c>
      <c r="B89" t="s">
        <v>3526</v>
      </c>
      <c r="C89" s="29" t="s">
        <v>3959</v>
      </c>
    </row>
    <row r="90" spans="1:3">
      <c r="A90" s="2" t="s">
        <v>3960</v>
      </c>
      <c r="B90" t="s">
        <v>3526</v>
      </c>
      <c r="C90" s="29" t="s">
        <v>3960</v>
      </c>
    </row>
    <row r="91" spans="1:3">
      <c r="A91" s="2" t="s">
        <v>3961</v>
      </c>
      <c r="B91" t="s">
        <v>3526</v>
      </c>
      <c r="C91" s="29" t="s">
        <v>3961</v>
      </c>
    </row>
    <row r="92" spans="1:3">
      <c r="A92" s="2" t="s">
        <v>3962</v>
      </c>
      <c r="B92" t="s">
        <v>3526</v>
      </c>
      <c r="C92" s="29" t="s">
        <v>3962</v>
      </c>
    </row>
    <row r="93" spans="1:3">
      <c r="A93" s="2" t="s">
        <v>3963</v>
      </c>
      <c r="B93" t="s">
        <v>3526</v>
      </c>
      <c r="C93" s="29" t="s">
        <v>3963</v>
      </c>
    </row>
    <row r="94" spans="1:3">
      <c r="A94" s="2" t="s">
        <v>3964</v>
      </c>
      <c r="B94" t="s">
        <v>3526</v>
      </c>
      <c r="C94" s="29" t="s">
        <v>3964</v>
      </c>
    </row>
    <row r="95" spans="1:3">
      <c r="A95" s="2" t="s">
        <v>3965</v>
      </c>
      <c r="B95" t="s">
        <v>3526</v>
      </c>
      <c r="C95" s="29" t="s">
        <v>3965</v>
      </c>
    </row>
    <row r="96" spans="1:3">
      <c r="A96" s="2" t="s">
        <v>3966</v>
      </c>
      <c r="B96" t="s">
        <v>3526</v>
      </c>
      <c r="C96" s="29" t="s">
        <v>3966</v>
      </c>
    </row>
    <row r="97" spans="1:3">
      <c r="A97" s="2" t="s">
        <v>3967</v>
      </c>
      <c r="B97" t="s">
        <v>3526</v>
      </c>
      <c r="C97" s="29" t="s">
        <v>3967</v>
      </c>
    </row>
    <row r="98" spans="1:3">
      <c r="A98" s="2" t="s">
        <v>3968</v>
      </c>
      <c r="B98" t="s">
        <v>3526</v>
      </c>
      <c r="C98" s="29" t="s">
        <v>3968</v>
      </c>
    </row>
    <row r="99" spans="1:3">
      <c r="A99" s="2" t="s">
        <v>3969</v>
      </c>
      <c r="B99" t="s">
        <v>3526</v>
      </c>
      <c r="C99" s="29" t="s">
        <v>3969</v>
      </c>
    </row>
    <row r="100" spans="1:3">
      <c r="A100" s="2" t="s">
        <v>3970</v>
      </c>
      <c r="B100" t="s">
        <v>3526</v>
      </c>
      <c r="C100" s="29" t="s">
        <v>3970</v>
      </c>
    </row>
    <row r="101" spans="1:3">
      <c r="A101" s="2" t="s">
        <v>3971</v>
      </c>
      <c r="B101" t="s">
        <v>3526</v>
      </c>
      <c r="C101" s="29" t="s">
        <v>3971</v>
      </c>
    </row>
    <row r="102" spans="1:3">
      <c r="A102" s="2" t="s">
        <v>3972</v>
      </c>
      <c r="B102" t="s">
        <v>3526</v>
      </c>
      <c r="C102" s="29" t="s">
        <v>3972</v>
      </c>
    </row>
    <row r="103" spans="1:3">
      <c r="A103" s="2" t="s">
        <v>3973</v>
      </c>
      <c r="B103" t="s">
        <v>3526</v>
      </c>
      <c r="C103" s="29" t="s">
        <v>3973</v>
      </c>
    </row>
    <row r="104" spans="1:3">
      <c r="A104" s="2" t="s">
        <v>3974</v>
      </c>
      <c r="B104" t="s">
        <v>3526</v>
      </c>
      <c r="C104" s="29" t="s">
        <v>3974</v>
      </c>
    </row>
    <row r="105" spans="1:3">
      <c r="A105" s="2" t="s">
        <v>3975</v>
      </c>
      <c r="B105" t="s">
        <v>3526</v>
      </c>
      <c r="C105" s="29" t="s">
        <v>3975</v>
      </c>
    </row>
    <row r="106" spans="1:3">
      <c r="A106" s="2" t="s">
        <v>3976</v>
      </c>
      <c r="B106" t="s">
        <v>3526</v>
      </c>
      <c r="C106" s="29" t="s">
        <v>3976</v>
      </c>
    </row>
    <row r="107" spans="1:3">
      <c r="A107" s="2" t="s">
        <v>3977</v>
      </c>
      <c r="B107" t="s">
        <v>3526</v>
      </c>
      <c r="C107" s="29" t="s">
        <v>3977</v>
      </c>
    </row>
    <row r="108" spans="1:3">
      <c r="A108" s="2" t="s">
        <v>3978</v>
      </c>
      <c r="B108" t="s">
        <v>3526</v>
      </c>
      <c r="C108" s="29" t="s">
        <v>3978</v>
      </c>
    </row>
    <row r="109" spans="1:3">
      <c r="A109" s="2" t="s">
        <v>3979</v>
      </c>
      <c r="B109" t="s">
        <v>3526</v>
      </c>
      <c r="C109" s="29" t="s">
        <v>3979</v>
      </c>
    </row>
    <row r="110" spans="1:3">
      <c r="A110" s="2" t="s">
        <v>3980</v>
      </c>
      <c r="B110" t="s">
        <v>3526</v>
      </c>
      <c r="C110" s="29" t="s">
        <v>3980</v>
      </c>
    </row>
    <row r="111" spans="1:3">
      <c r="A111" s="2" t="s">
        <v>3981</v>
      </c>
      <c r="B111" t="s">
        <v>3526</v>
      </c>
      <c r="C111" s="29" t="s">
        <v>3981</v>
      </c>
    </row>
    <row r="112" spans="1:3">
      <c r="A112" s="2" t="s">
        <v>3982</v>
      </c>
      <c r="B112" t="s">
        <v>3526</v>
      </c>
      <c r="C112" s="29" t="s">
        <v>3982</v>
      </c>
    </row>
    <row r="113" spans="1:3">
      <c r="A113" s="2" t="s">
        <v>3983</v>
      </c>
      <c r="B113" t="s">
        <v>3526</v>
      </c>
      <c r="C113" s="29" t="s">
        <v>3983</v>
      </c>
    </row>
    <row r="114" spans="1:3">
      <c r="A114" s="2" t="s">
        <v>3984</v>
      </c>
      <c r="B114" t="s">
        <v>3526</v>
      </c>
      <c r="C114" s="29" t="s">
        <v>3984</v>
      </c>
    </row>
    <row r="115" spans="1:3">
      <c r="A115" s="2" t="s">
        <v>3985</v>
      </c>
      <c r="B115" t="s">
        <v>3526</v>
      </c>
      <c r="C115" s="29" t="s">
        <v>3985</v>
      </c>
    </row>
    <row r="116" spans="1:3">
      <c r="A116" s="2" t="s">
        <v>3986</v>
      </c>
      <c r="B116" t="s">
        <v>3526</v>
      </c>
      <c r="C116" s="29" t="s">
        <v>3986</v>
      </c>
    </row>
    <row r="117" spans="1:3">
      <c r="A117" s="2" t="s">
        <v>3987</v>
      </c>
      <c r="B117" t="s">
        <v>3526</v>
      </c>
      <c r="C117" s="29" t="s">
        <v>3987</v>
      </c>
    </row>
    <row r="118" spans="1:3">
      <c r="A118" s="2" t="s">
        <v>3988</v>
      </c>
      <c r="B118" t="s">
        <v>3526</v>
      </c>
      <c r="C118" s="29" t="s">
        <v>3988</v>
      </c>
    </row>
    <row r="119" spans="1:3">
      <c r="A119" s="2" t="s">
        <v>3989</v>
      </c>
      <c r="B119" t="s">
        <v>3526</v>
      </c>
      <c r="C119" s="29" t="s">
        <v>3989</v>
      </c>
    </row>
    <row r="120" spans="1:3">
      <c r="A120" s="2" t="s">
        <v>3990</v>
      </c>
      <c r="B120" t="s">
        <v>3526</v>
      </c>
      <c r="C120" s="29" t="s">
        <v>3990</v>
      </c>
    </row>
    <row r="121" spans="1:3">
      <c r="A121" s="2" t="s">
        <v>3991</v>
      </c>
      <c r="B121" t="s">
        <v>3526</v>
      </c>
      <c r="C121" s="29" t="s">
        <v>3991</v>
      </c>
    </row>
    <row r="122" spans="1:3">
      <c r="A122" s="2" t="s">
        <v>3992</v>
      </c>
      <c r="B122" t="s">
        <v>3526</v>
      </c>
      <c r="C122" s="29" t="s">
        <v>3992</v>
      </c>
    </row>
    <row r="123" spans="1:3">
      <c r="A123" s="2" t="s">
        <v>3993</v>
      </c>
      <c r="B123" t="s">
        <v>3526</v>
      </c>
      <c r="C123" s="29" t="s">
        <v>3993</v>
      </c>
    </row>
    <row r="125" spans="1:3">
      <c r="A125" s="27" t="s">
        <v>3994</v>
      </c>
      <c r="B125" s="27"/>
    </row>
    <row r="127" spans="1:3">
      <c r="A127" s="2" t="s">
        <v>3995</v>
      </c>
      <c r="B127" t="s">
        <v>3994</v>
      </c>
      <c r="C127" t="s">
        <v>3995</v>
      </c>
    </row>
    <row r="128" spans="1:3">
      <c r="A128" s="2" t="s">
        <v>3996</v>
      </c>
      <c r="B128" t="s">
        <v>3994</v>
      </c>
      <c r="C128" t="s">
        <v>3996</v>
      </c>
    </row>
    <row r="129" spans="1:3">
      <c r="A129" s="2" t="s">
        <v>3997</v>
      </c>
      <c r="B129" t="s">
        <v>3994</v>
      </c>
      <c r="C129" t="s">
        <v>3997</v>
      </c>
    </row>
    <row r="130" spans="1:3">
      <c r="A130" s="2" t="s">
        <v>3998</v>
      </c>
      <c r="B130" t="s">
        <v>3994</v>
      </c>
      <c r="C130" t="s">
        <v>3998</v>
      </c>
    </row>
    <row r="131" spans="1:3">
      <c r="A131" s="2" t="s">
        <v>3999</v>
      </c>
      <c r="B131" t="s">
        <v>3994</v>
      </c>
      <c r="C131" t="s">
        <v>3999</v>
      </c>
    </row>
    <row r="132" spans="1:3">
      <c r="A132" s="2" t="s">
        <v>4000</v>
      </c>
      <c r="B132" t="s">
        <v>3994</v>
      </c>
      <c r="C132" t="s">
        <v>4000</v>
      </c>
    </row>
    <row r="133" spans="1:3">
      <c r="A133" s="2" t="s">
        <v>4001</v>
      </c>
      <c r="B133" t="s">
        <v>3994</v>
      </c>
      <c r="C133" t="s">
        <v>4001</v>
      </c>
    </row>
    <row r="134" spans="1:3">
      <c r="A134" s="2" t="s">
        <v>4002</v>
      </c>
      <c r="B134" t="s">
        <v>3994</v>
      </c>
      <c r="C134" t="s">
        <v>4002</v>
      </c>
    </row>
    <row r="136" spans="1:3">
      <c r="A136" s="27" t="s">
        <v>4003</v>
      </c>
      <c r="B136" s="27"/>
    </row>
    <row r="138" spans="1:3">
      <c r="A138" s="2" t="s">
        <v>4004</v>
      </c>
      <c r="B138" t="s">
        <v>4003</v>
      </c>
      <c r="C138" t="s">
        <v>4004</v>
      </c>
    </row>
    <row r="140" spans="1:3">
      <c r="A140" s="27" t="s">
        <v>4005</v>
      </c>
      <c r="B140" s="27"/>
      <c r="C140" t="s">
        <v>4005</v>
      </c>
    </row>
    <row r="142" spans="1:3">
      <c r="A142" s="2" t="s">
        <v>4006</v>
      </c>
      <c r="B142" t="s">
        <v>4005</v>
      </c>
      <c r="C142" t="s">
        <v>4006</v>
      </c>
    </row>
    <row r="143" spans="1:3">
      <c r="A143" s="2" t="s">
        <v>4007</v>
      </c>
      <c r="B143" t="s">
        <v>4005</v>
      </c>
      <c r="C143" t="s">
        <v>4007</v>
      </c>
    </row>
    <row r="144" spans="1:3">
      <c r="A144" s="2" t="s">
        <v>4008</v>
      </c>
      <c r="B144" t="s">
        <v>4005</v>
      </c>
      <c r="C144" t="s">
        <v>4008</v>
      </c>
    </row>
    <row r="145" spans="1:3">
      <c r="A145" s="2" t="s">
        <v>4009</v>
      </c>
      <c r="B145" t="s">
        <v>4005</v>
      </c>
      <c r="C145" t="s">
        <v>4009</v>
      </c>
    </row>
    <row r="146" spans="1:3">
      <c r="A146" s="2" t="s">
        <v>4010</v>
      </c>
      <c r="B146" t="s">
        <v>4005</v>
      </c>
      <c r="C146" t="s">
        <v>4010</v>
      </c>
    </row>
    <row r="148" spans="1:3">
      <c r="A148" s="27" t="s">
        <v>4011</v>
      </c>
      <c r="B148" s="27"/>
    </row>
    <row r="150" spans="1:3">
      <c r="A150" s="2" t="s">
        <v>4012</v>
      </c>
      <c r="B150" t="s">
        <v>4011</v>
      </c>
      <c r="C150" t="s">
        <v>4012</v>
      </c>
    </row>
    <row r="152" spans="1:3">
      <c r="A152" s="27" t="s">
        <v>3528</v>
      </c>
      <c r="B152" s="27"/>
    </row>
    <row r="154" spans="1:3">
      <c r="A154" s="2" t="s">
        <v>4013</v>
      </c>
      <c r="B154" t="s">
        <v>3528</v>
      </c>
      <c r="C154" t="s">
        <v>4013</v>
      </c>
    </row>
    <row r="155" spans="1:3">
      <c r="A155" s="2" t="s">
        <v>4014</v>
      </c>
      <c r="B155" t="s">
        <v>3528</v>
      </c>
      <c r="C155" t="s">
        <v>4014</v>
      </c>
    </row>
    <row r="156" spans="1:3">
      <c r="A156" s="2" t="s">
        <v>4015</v>
      </c>
      <c r="B156" t="s">
        <v>3528</v>
      </c>
      <c r="C156" t="s">
        <v>4015</v>
      </c>
    </row>
    <row r="157" spans="1:3">
      <c r="A157" s="2" t="s">
        <v>4016</v>
      </c>
      <c r="B157" t="s">
        <v>3528</v>
      </c>
      <c r="C157" t="s">
        <v>4016</v>
      </c>
    </row>
    <row r="158" spans="1:3">
      <c r="A158" s="2" t="s">
        <v>4017</v>
      </c>
      <c r="B158" t="s">
        <v>3528</v>
      </c>
      <c r="C158" t="s">
        <v>4017</v>
      </c>
    </row>
    <row r="159" spans="1:3">
      <c r="A159" s="2" t="s">
        <v>4018</v>
      </c>
      <c r="B159" t="s">
        <v>3528</v>
      </c>
      <c r="C159" t="s">
        <v>4018</v>
      </c>
    </row>
    <row r="160" spans="1:3">
      <c r="A160" s="2" t="s">
        <v>4019</v>
      </c>
      <c r="B160" t="s">
        <v>3528</v>
      </c>
      <c r="C160" t="s">
        <v>4019</v>
      </c>
    </row>
    <row r="161" spans="1:3">
      <c r="A161" s="2" t="s">
        <v>4020</v>
      </c>
      <c r="B161" t="s">
        <v>3528</v>
      </c>
      <c r="C161" t="s">
        <v>4020</v>
      </c>
    </row>
    <row r="162" spans="1:3">
      <c r="A162" s="2" t="s">
        <v>4021</v>
      </c>
      <c r="B162" t="s">
        <v>3528</v>
      </c>
      <c r="C162" t="s">
        <v>4021</v>
      </c>
    </row>
    <row r="163" spans="1:3">
      <c r="A163" s="2" t="s">
        <v>4022</v>
      </c>
      <c r="B163" t="s">
        <v>3528</v>
      </c>
      <c r="C163" t="s">
        <v>4022</v>
      </c>
    </row>
    <row r="164" spans="1:3">
      <c r="A164" s="2" t="s">
        <v>4023</v>
      </c>
      <c r="B164" t="s">
        <v>3528</v>
      </c>
      <c r="C164" t="s">
        <v>4023</v>
      </c>
    </row>
    <row r="165" spans="1:3">
      <c r="A165" s="2" t="s">
        <v>4024</v>
      </c>
      <c r="B165" t="s">
        <v>3528</v>
      </c>
      <c r="C165" t="s">
        <v>4024</v>
      </c>
    </row>
    <row r="166" spans="1:3">
      <c r="A166" s="2" t="s">
        <v>4025</v>
      </c>
      <c r="B166" t="s">
        <v>3528</v>
      </c>
      <c r="C166" t="s">
        <v>4025</v>
      </c>
    </row>
    <row r="167" spans="1:3">
      <c r="A167" s="2" t="s">
        <v>4026</v>
      </c>
      <c r="B167" t="s">
        <v>3528</v>
      </c>
      <c r="C167" t="s">
        <v>4026</v>
      </c>
    </row>
    <row r="168" spans="1:3">
      <c r="A168" s="2" t="s">
        <v>4027</v>
      </c>
      <c r="B168" t="s">
        <v>3528</v>
      </c>
      <c r="C168" t="s">
        <v>4027</v>
      </c>
    </row>
    <row r="169" spans="1:3">
      <c r="A169" s="2" t="s">
        <v>4028</v>
      </c>
      <c r="B169" t="s">
        <v>3528</v>
      </c>
      <c r="C169" t="s">
        <v>4028</v>
      </c>
    </row>
    <row r="170" spans="1:3">
      <c r="A170" s="2" t="s">
        <v>4029</v>
      </c>
      <c r="B170" t="s">
        <v>3528</v>
      </c>
      <c r="C170" t="s">
        <v>4029</v>
      </c>
    </row>
    <row r="171" spans="1:3">
      <c r="A171" s="2" t="s">
        <v>4030</v>
      </c>
      <c r="B171" t="s">
        <v>3528</v>
      </c>
      <c r="C171" t="s">
        <v>4030</v>
      </c>
    </row>
    <row r="172" spans="1:3">
      <c r="A172" s="2" t="s">
        <v>4031</v>
      </c>
      <c r="B172" t="s">
        <v>3528</v>
      </c>
      <c r="C172" t="s">
        <v>4031</v>
      </c>
    </row>
    <row r="173" spans="1:3">
      <c r="A173" s="2" t="s">
        <v>4032</v>
      </c>
      <c r="B173" t="s">
        <v>3528</v>
      </c>
      <c r="C173" t="s">
        <v>4032</v>
      </c>
    </row>
    <row r="174" spans="1:3">
      <c r="A174" s="2" t="s">
        <v>4033</v>
      </c>
      <c r="B174" t="s">
        <v>3528</v>
      </c>
      <c r="C174" t="s">
        <v>4033</v>
      </c>
    </row>
    <row r="175" spans="1:3">
      <c r="A175" s="2" t="s">
        <v>4034</v>
      </c>
      <c r="B175" t="s">
        <v>3528</v>
      </c>
      <c r="C175" t="s">
        <v>4034</v>
      </c>
    </row>
    <row r="176" spans="1:3">
      <c r="A176" s="2" t="s">
        <v>4035</v>
      </c>
      <c r="B176" t="s">
        <v>3528</v>
      </c>
      <c r="C176" t="s">
        <v>4035</v>
      </c>
    </row>
    <row r="177" spans="1:3">
      <c r="A177" s="2" t="s">
        <v>4036</v>
      </c>
      <c r="B177" t="s">
        <v>3528</v>
      </c>
      <c r="C177" t="s">
        <v>4036</v>
      </c>
    </row>
    <row r="178" spans="1:3">
      <c r="A178" s="2" t="s">
        <v>4037</v>
      </c>
      <c r="B178" t="s">
        <v>3528</v>
      </c>
      <c r="C178" t="s">
        <v>4037</v>
      </c>
    </row>
    <row r="179" spans="1:3">
      <c r="A179" s="2" t="s">
        <v>4038</v>
      </c>
      <c r="B179" t="s">
        <v>3528</v>
      </c>
      <c r="C179" t="s">
        <v>4038</v>
      </c>
    </row>
    <row r="180" spans="1:3">
      <c r="A180" s="2" t="s">
        <v>4039</v>
      </c>
      <c r="B180" t="s">
        <v>3528</v>
      </c>
      <c r="C180" t="s">
        <v>4039</v>
      </c>
    </row>
    <row r="181" spans="1:3">
      <c r="A181" s="2" t="s">
        <v>4040</v>
      </c>
      <c r="B181" t="s">
        <v>3528</v>
      </c>
      <c r="C181" t="s">
        <v>4040</v>
      </c>
    </row>
    <row r="182" spans="1:3">
      <c r="A182" s="2" t="s">
        <v>4041</v>
      </c>
      <c r="B182" t="s">
        <v>3528</v>
      </c>
      <c r="C182" t="s">
        <v>4041</v>
      </c>
    </row>
    <row r="183" spans="1:3">
      <c r="A183" s="2" t="s">
        <v>4042</v>
      </c>
      <c r="B183" t="s">
        <v>3528</v>
      </c>
      <c r="C183" t="s">
        <v>4042</v>
      </c>
    </row>
    <row r="184" spans="1:3">
      <c r="A184" s="2" t="s">
        <v>4043</v>
      </c>
      <c r="B184" t="s">
        <v>3528</v>
      </c>
      <c r="C184" t="s">
        <v>4043</v>
      </c>
    </row>
    <row r="185" spans="1:3">
      <c r="A185" s="2" t="s">
        <v>4044</v>
      </c>
      <c r="B185" t="s">
        <v>3528</v>
      </c>
      <c r="C185" t="s">
        <v>4044</v>
      </c>
    </row>
    <row r="186" spans="1:3">
      <c r="A186" s="2" t="s">
        <v>4045</v>
      </c>
      <c r="B186" t="s">
        <v>3528</v>
      </c>
      <c r="C186" t="s">
        <v>4045</v>
      </c>
    </row>
    <row r="187" spans="1:3">
      <c r="A187" s="2" t="s">
        <v>4046</v>
      </c>
      <c r="B187" t="s">
        <v>3528</v>
      </c>
      <c r="C187" t="s">
        <v>4046</v>
      </c>
    </row>
    <row r="188" spans="1:3">
      <c r="A188" s="2" t="s">
        <v>4047</v>
      </c>
      <c r="B188" t="s">
        <v>3528</v>
      </c>
      <c r="C188" t="s">
        <v>4047</v>
      </c>
    </row>
    <row r="189" spans="1:3">
      <c r="A189" s="2" t="s">
        <v>4048</v>
      </c>
      <c r="B189" t="s">
        <v>3528</v>
      </c>
      <c r="C189" t="s">
        <v>4048</v>
      </c>
    </row>
    <row r="190" spans="1:3">
      <c r="A190" s="2" t="s">
        <v>4049</v>
      </c>
      <c r="B190" t="s">
        <v>3528</v>
      </c>
      <c r="C190" t="s">
        <v>4049</v>
      </c>
    </row>
    <row r="191" spans="1:3">
      <c r="A191" s="2" t="s">
        <v>4050</v>
      </c>
      <c r="B191" t="s">
        <v>3528</v>
      </c>
      <c r="C191" t="s">
        <v>4050</v>
      </c>
    </row>
    <row r="192" spans="1:3">
      <c r="A192" s="2" t="s">
        <v>4051</v>
      </c>
      <c r="B192" t="s">
        <v>3528</v>
      </c>
      <c r="C192" t="s">
        <v>4051</v>
      </c>
    </row>
    <row r="193" spans="1:3">
      <c r="A193" s="2" t="s">
        <v>4052</v>
      </c>
      <c r="B193" t="s">
        <v>3528</v>
      </c>
      <c r="C193" t="s">
        <v>4052</v>
      </c>
    </row>
    <row r="194" spans="1:3">
      <c r="A194" s="2" t="s">
        <v>4053</v>
      </c>
      <c r="B194" t="s">
        <v>3528</v>
      </c>
      <c r="C194" t="s">
        <v>4053</v>
      </c>
    </row>
    <row r="195" spans="1:3">
      <c r="A195" s="2" t="s">
        <v>4054</v>
      </c>
      <c r="B195" t="s">
        <v>3528</v>
      </c>
      <c r="C195" t="s">
        <v>4054</v>
      </c>
    </row>
    <row r="196" spans="1:3">
      <c r="A196" s="2" t="s">
        <v>4055</v>
      </c>
      <c r="B196" t="s">
        <v>3528</v>
      </c>
      <c r="C196" t="s">
        <v>4055</v>
      </c>
    </row>
    <row r="197" spans="1:3">
      <c r="A197" s="2" t="s">
        <v>4056</v>
      </c>
      <c r="B197" t="s">
        <v>3528</v>
      </c>
      <c r="C197" t="s">
        <v>4056</v>
      </c>
    </row>
    <row r="198" spans="1:3">
      <c r="A198" s="2" t="s">
        <v>4057</v>
      </c>
      <c r="B198" t="s">
        <v>3528</v>
      </c>
      <c r="C198" t="s">
        <v>4057</v>
      </c>
    </row>
    <row r="199" spans="1:3">
      <c r="A199" s="2" t="s">
        <v>4058</v>
      </c>
      <c r="B199" t="s">
        <v>3528</v>
      </c>
      <c r="C199" t="s">
        <v>4058</v>
      </c>
    </row>
    <row r="200" spans="1:3">
      <c r="A200" s="2" t="s">
        <v>4059</v>
      </c>
      <c r="B200" t="s">
        <v>3528</v>
      </c>
      <c r="C200" t="s">
        <v>4059</v>
      </c>
    </row>
    <row r="201" spans="1:3">
      <c r="A201" s="2" t="s">
        <v>4060</v>
      </c>
      <c r="B201" t="s">
        <v>3528</v>
      </c>
      <c r="C201" t="s">
        <v>4060</v>
      </c>
    </row>
    <row r="202" spans="1:3">
      <c r="A202" s="2" t="s">
        <v>4061</v>
      </c>
      <c r="B202" t="s">
        <v>3528</v>
      </c>
      <c r="C202" t="s">
        <v>4061</v>
      </c>
    </row>
    <row r="203" spans="1:3">
      <c r="A203" s="2" t="s">
        <v>4062</v>
      </c>
      <c r="B203" t="s">
        <v>3528</v>
      </c>
      <c r="C203" t="s">
        <v>4062</v>
      </c>
    </row>
    <row r="204" spans="1:3">
      <c r="A204" s="2" t="s">
        <v>4063</v>
      </c>
      <c r="B204" t="s">
        <v>3528</v>
      </c>
      <c r="C204" t="s">
        <v>4063</v>
      </c>
    </row>
    <row r="205" spans="1:3">
      <c r="A205" s="2" t="s">
        <v>4064</v>
      </c>
      <c r="B205" t="s">
        <v>3528</v>
      </c>
      <c r="C205" t="s">
        <v>4064</v>
      </c>
    </row>
    <row r="206" spans="1:3">
      <c r="A206" s="2" t="s">
        <v>4065</v>
      </c>
      <c r="B206" t="s">
        <v>3528</v>
      </c>
      <c r="C206" t="s">
        <v>4065</v>
      </c>
    </row>
    <row r="207" spans="1:3">
      <c r="A207" s="2" t="s">
        <v>4066</v>
      </c>
      <c r="B207" t="s">
        <v>3528</v>
      </c>
      <c r="C207" t="s">
        <v>4066</v>
      </c>
    </row>
    <row r="208" spans="1:3">
      <c r="A208" s="2" t="s">
        <v>4067</v>
      </c>
      <c r="B208" t="s">
        <v>3528</v>
      </c>
      <c r="C208" t="s">
        <v>4067</v>
      </c>
    </row>
    <row r="209" spans="1:3">
      <c r="A209" s="2" t="s">
        <v>4068</v>
      </c>
      <c r="B209" t="s">
        <v>3528</v>
      </c>
      <c r="C209" t="s">
        <v>4068</v>
      </c>
    </row>
    <row r="210" spans="1:3">
      <c r="A210" s="2" t="s">
        <v>4069</v>
      </c>
      <c r="B210" t="s">
        <v>3528</v>
      </c>
      <c r="C210" t="s">
        <v>4069</v>
      </c>
    </row>
    <row r="211" spans="1:3">
      <c r="A211" s="2" t="s">
        <v>4070</v>
      </c>
      <c r="B211" t="s">
        <v>3528</v>
      </c>
      <c r="C211" t="s">
        <v>4070</v>
      </c>
    </row>
    <row r="212" spans="1:3">
      <c r="A212" s="2" t="s">
        <v>4071</v>
      </c>
      <c r="B212" t="s">
        <v>3528</v>
      </c>
      <c r="C212" t="s">
        <v>4071</v>
      </c>
    </row>
    <row r="213" spans="1:3">
      <c r="A213" s="2" t="s">
        <v>4072</v>
      </c>
      <c r="B213" t="s">
        <v>3528</v>
      </c>
      <c r="C213" t="s">
        <v>4072</v>
      </c>
    </row>
    <row r="214" spans="1:3">
      <c r="A214" s="2" t="s">
        <v>4073</v>
      </c>
      <c r="B214" t="s">
        <v>3528</v>
      </c>
      <c r="C214" t="s">
        <v>4073</v>
      </c>
    </row>
    <row r="215" spans="1:3">
      <c r="A215" s="2" t="s">
        <v>4074</v>
      </c>
      <c r="B215" t="s">
        <v>3528</v>
      </c>
      <c r="C215" t="s">
        <v>4074</v>
      </c>
    </row>
    <row r="216" spans="1:3">
      <c r="A216" s="2" t="s">
        <v>4075</v>
      </c>
      <c r="B216" t="s">
        <v>3528</v>
      </c>
      <c r="C216" t="s">
        <v>4075</v>
      </c>
    </row>
    <row r="217" spans="1:3">
      <c r="A217" s="2" t="s">
        <v>4076</v>
      </c>
      <c r="B217" t="s">
        <v>3528</v>
      </c>
      <c r="C217" t="s">
        <v>4076</v>
      </c>
    </row>
    <row r="219" spans="1:3">
      <c r="A219" s="27" t="s">
        <v>4077</v>
      </c>
      <c r="B219" s="27"/>
    </row>
    <row r="221" spans="1:3">
      <c r="A221" s="2" t="s">
        <v>3724</v>
      </c>
      <c r="B221" t="s">
        <v>4077</v>
      </c>
      <c r="C221" s="29" t="s">
        <v>3724</v>
      </c>
    </row>
    <row r="222" spans="1:3">
      <c r="A222" s="2" t="s">
        <v>4078</v>
      </c>
      <c r="B222" t="s">
        <v>4077</v>
      </c>
      <c r="C222" s="29" t="s">
        <v>4078</v>
      </c>
    </row>
    <row r="223" spans="1:3">
      <c r="A223" s="2" t="s">
        <v>3726</v>
      </c>
      <c r="B223" t="s">
        <v>4077</v>
      </c>
      <c r="C223" s="29" t="s">
        <v>3726</v>
      </c>
    </row>
    <row r="224" spans="1:3">
      <c r="A224" s="2" t="s">
        <v>3728</v>
      </c>
      <c r="B224" t="s">
        <v>4077</v>
      </c>
      <c r="C224" s="29" t="s">
        <v>3728</v>
      </c>
    </row>
    <row r="225" spans="1:3">
      <c r="A225" s="2" t="s">
        <v>3731</v>
      </c>
      <c r="B225" t="s">
        <v>4077</v>
      </c>
      <c r="C225" s="29" t="s">
        <v>3731</v>
      </c>
    </row>
    <row r="226" spans="1:3">
      <c r="A226" s="2" t="s">
        <v>4079</v>
      </c>
      <c r="B226" t="s">
        <v>4077</v>
      </c>
      <c r="C226" s="29" t="s">
        <v>4079</v>
      </c>
    </row>
    <row r="227" spans="1:3">
      <c r="A227" s="2" t="s">
        <v>4080</v>
      </c>
      <c r="B227" t="s">
        <v>4077</v>
      </c>
      <c r="C227" s="29" t="s">
        <v>4080</v>
      </c>
    </row>
    <row r="228" spans="1:3">
      <c r="A228" s="2" t="s">
        <v>4081</v>
      </c>
      <c r="B228" t="s">
        <v>4077</v>
      </c>
      <c r="C228" s="29" t="s">
        <v>4081</v>
      </c>
    </row>
    <row r="229" spans="1:3">
      <c r="A229" s="2" t="s">
        <v>4082</v>
      </c>
      <c r="B229" t="s">
        <v>4077</v>
      </c>
      <c r="C229" s="29" t="s">
        <v>4082</v>
      </c>
    </row>
    <row r="231" spans="1:3">
      <c r="A231" s="27" t="s">
        <v>4083</v>
      </c>
      <c r="B231" s="27"/>
    </row>
    <row r="233" spans="1:3">
      <c r="A233" s="2" t="s">
        <v>4084</v>
      </c>
      <c r="B233" t="s">
        <v>4083</v>
      </c>
      <c r="C233" s="48" t="s">
        <v>4084</v>
      </c>
    </row>
    <row r="234" spans="1:3">
      <c r="A234" s="2" t="s">
        <v>4085</v>
      </c>
      <c r="B234" t="s">
        <v>4083</v>
      </c>
      <c r="C234" s="49" t="s">
        <v>4085</v>
      </c>
    </row>
    <row r="235" spans="1:3">
      <c r="A235" s="2" t="s">
        <v>4086</v>
      </c>
      <c r="B235" t="s">
        <v>4083</v>
      </c>
      <c r="C235" s="48" t="s">
        <v>4086</v>
      </c>
    </row>
    <row r="236" spans="1:3">
      <c r="A236" s="2" t="s">
        <v>4087</v>
      </c>
      <c r="B236" t="s">
        <v>4083</v>
      </c>
      <c r="C236" s="49" t="s">
        <v>4087</v>
      </c>
    </row>
    <row r="237" spans="1:3">
      <c r="A237" s="2" t="s">
        <v>4088</v>
      </c>
      <c r="B237" t="s">
        <v>4083</v>
      </c>
      <c r="C237" s="48" t="s">
        <v>4088</v>
      </c>
    </row>
    <row r="238" spans="1:3">
      <c r="A238" s="2" t="s">
        <v>4089</v>
      </c>
      <c r="B238" t="s">
        <v>4083</v>
      </c>
      <c r="C238" s="49" t="s">
        <v>4089</v>
      </c>
    </row>
    <row r="239" spans="1:3">
      <c r="A239" s="2" t="s">
        <v>4090</v>
      </c>
      <c r="B239" t="s">
        <v>4083</v>
      </c>
      <c r="C239" s="48" t="s">
        <v>4090</v>
      </c>
    </row>
    <row r="240" spans="1:3">
      <c r="A240" s="2" t="s">
        <v>4091</v>
      </c>
      <c r="B240" t="s">
        <v>4083</v>
      </c>
      <c r="C240" s="49" t="s">
        <v>4091</v>
      </c>
    </row>
    <row r="241" spans="1:3">
      <c r="A241" s="2" t="s">
        <v>4092</v>
      </c>
      <c r="B241" t="s">
        <v>4083</v>
      </c>
      <c r="C241" s="48" t="s">
        <v>4092</v>
      </c>
    </row>
    <row r="242" spans="1:3">
      <c r="A242" s="2" t="s">
        <v>4093</v>
      </c>
      <c r="B242" t="s">
        <v>4083</v>
      </c>
      <c r="C242" s="49" t="s">
        <v>4093</v>
      </c>
    </row>
    <row r="243" spans="1:3">
      <c r="A243" s="2" t="s">
        <v>4094</v>
      </c>
      <c r="B243" t="s">
        <v>4083</v>
      </c>
      <c r="C243" s="50" t="s">
        <v>4094</v>
      </c>
    </row>
    <row r="245" spans="1:3">
      <c r="A245" s="27" t="s">
        <v>4095</v>
      </c>
      <c r="B245" s="27"/>
    </row>
    <row r="247" spans="1:3">
      <c r="A247" s="2" t="s">
        <v>4096</v>
      </c>
      <c r="B247" t="s">
        <v>4095</v>
      </c>
      <c r="C247" s="29" t="s">
        <v>4096</v>
      </c>
    </row>
    <row r="248" spans="1:3">
      <c r="A248" s="2" t="s">
        <v>4097</v>
      </c>
      <c r="B248" t="s">
        <v>4095</v>
      </c>
      <c r="C248" s="29" t="s">
        <v>4097</v>
      </c>
    </row>
    <row r="249" spans="1:3">
      <c r="A249" s="2" t="s">
        <v>4098</v>
      </c>
      <c r="B249" t="s">
        <v>4095</v>
      </c>
      <c r="C249" s="29" t="s">
        <v>4098</v>
      </c>
    </row>
    <row r="250" spans="1:3">
      <c r="A250" s="2" t="s">
        <v>4099</v>
      </c>
      <c r="B250" t="s">
        <v>4095</v>
      </c>
      <c r="C250" s="29" t="s">
        <v>4099</v>
      </c>
    </row>
    <row r="251" spans="1:3">
      <c r="A251" s="2" t="s">
        <v>4100</v>
      </c>
      <c r="B251" t="s">
        <v>4095</v>
      </c>
      <c r="C251" s="29" t="s">
        <v>4100</v>
      </c>
    </row>
    <row r="252" spans="1:3">
      <c r="A252" s="2" t="s">
        <v>4101</v>
      </c>
      <c r="B252" t="s">
        <v>4095</v>
      </c>
      <c r="C252" s="29" t="s">
        <v>4101</v>
      </c>
    </row>
    <row r="253" spans="1:3">
      <c r="A253" s="2" t="s">
        <v>4102</v>
      </c>
      <c r="B253" t="s">
        <v>4095</v>
      </c>
      <c r="C253" s="29" t="s">
        <v>4102</v>
      </c>
    </row>
    <row r="254" spans="1:3">
      <c r="A254" s="2" t="s">
        <v>4103</v>
      </c>
      <c r="B254" t="s">
        <v>4095</v>
      </c>
      <c r="C254" s="29" t="s">
        <v>4103</v>
      </c>
    </row>
    <row r="255" spans="1:3">
      <c r="A255" s="2" t="s">
        <v>4104</v>
      </c>
      <c r="B255" t="s">
        <v>4095</v>
      </c>
      <c r="C255" s="29" t="s">
        <v>4104</v>
      </c>
    </row>
    <row r="256" spans="1:3">
      <c r="A256" s="2" t="s">
        <v>4105</v>
      </c>
      <c r="B256" t="s">
        <v>4095</v>
      </c>
      <c r="C256" s="29" t="s">
        <v>4105</v>
      </c>
    </row>
    <row r="257" spans="1:3">
      <c r="A257" s="2" t="s">
        <v>4106</v>
      </c>
      <c r="B257" t="s">
        <v>4095</v>
      </c>
      <c r="C257" s="29" t="s">
        <v>4106</v>
      </c>
    </row>
    <row r="258" spans="1:3">
      <c r="A258" s="2" t="s">
        <v>4107</v>
      </c>
      <c r="B258" t="s">
        <v>4095</v>
      </c>
      <c r="C258" s="29" t="s">
        <v>4107</v>
      </c>
    </row>
    <row r="259" spans="1:3">
      <c r="A259" s="2" t="s">
        <v>4108</v>
      </c>
      <c r="B259" t="s">
        <v>4095</v>
      </c>
      <c r="C259" s="29" t="s">
        <v>4108</v>
      </c>
    </row>
    <row r="261" spans="1:3">
      <c r="A261" s="27" t="s">
        <v>3534</v>
      </c>
      <c r="B261" s="27"/>
    </row>
    <row r="263" spans="1:3">
      <c r="A263" s="2" t="s">
        <v>3870</v>
      </c>
      <c r="B263" t="s">
        <v>3534</v>
      </c>
      <c r="C263" s="29" t="s">
        <v>3870</v>
      </c>
    </row>
    <row r="264" spans="1:3">
      <c r="A264" s="2" t="s">
        <v>4109</v>
      </c>
      <c r="B264" t="s">
        <v>3534</v>
      </c>
      <c r="C264" s="29" t="s">
        <v>4109</v>
      </c>
    </row>
    <row r="265" spans="1:3">
      <c r="A265" s="2" t="s">
        <v>4110</v>
      </c>
      <c r="B265" t="s">
        <v>3534</v>
      </c>
      <c r="C265" s="29" t="s">
        <v>4110</v>
      </c>
    </row>
    <row r="266" spans="1:3">
      <c r="A266" s="2" t="s">
        <v>4111</v>
      </c>
      <c r="B266" t="s">
        <v>3534</v>
      </c>
      <c r="C266" s="29" t="s">
        <v>4111</v>
      </c>
    </row>
    <row r="267" spans="1:3">
      <c r="A267" s="2" t="s">
        <v>4112</v>
      </c>
      <c r="B267" t="s">
        <v>3534</v>
      </c>
      <c r="C267" s="29" t="s">
        <v>4112</v>
      </c>
    </row>
    <row r="268" spans="1:3">
      <c r="A268" s="2" t="s">
        <v>4113</v>
      </c>
      <c r="B268" t="s">
        <v>3534</v>
      </c>
      <c r="C268" s="29" t="s">
        <v>4113</v>
      </c>
    </row>
    <row r="269" spans="1:3">
      <c r="A269" s="2" t="s">
        <v>4114</v>
      </c>
      <c r="B269" t="s">
        <v>3534</v>
      </c>
      <c r="C269" s="29" t="s">
        <v>4114</v>
      </c>
    </row>
    <row r="270" spans="1:3">
      <c r="A270" s="2" t="s">
        <v>4115</v>
      </c>
      <c r="B270" t="s">
        <v>3534</v>
      </c>
      <c r="C270" s="29" t="s">
        <v>4115</v>
      </c>
    </row>
    <row r="271" spans="1:3">
      <c r="A271" s="2" t="s">
        <v>4116</v>
      </c>
      <c r="B271" t="s">
        <v>3534</v>
      </c>
      <c r="C271" s="29" t="s">
        <v>4116</v>
      </c>
    </row>
    <row r="272" spans="1:3">
      <c r="A272" s="2" t="s">
        <v>4117</v>
      </c>
      <c r="B272" t="s">
        <v>3534</v>
      </c>
      <c r="C272" s="29" t="s">
        <v>4117</v>
      </c>
    </row>
    <row r="273" spans="1:3">
      <c r="A273" s="2" t="s">
        <v>4118</v>
      </c>
      <c r="B273" t="s">
        <v>3534</v>
      </c>
      <c r="C273" s="29" t="s">
        <v>4118</v>
      </c>
    </row>
    <row r="274" spans="1:3">
      <c r="A274" s="2" t="s">
        <v>4119</v>
      </c>
      <c r="B274" t="s">
        <v>3534</v>
      </c>
      <c r="C274" s="29" t="s">
        <v>4119</v>
      </c>
    </row>
    <row r="275" spans="1:3">
      <c r="A275" s="2" t="s">
        <v>4120</v>
      </c>
      <c r="B275" t="s">
        <v>3534</v>
      </c>
      <c r="C275" s="29" t="s">
        <v>4120</v>
      </c>
    </row>
    <row r="276" spans="1:3">
      <c r="A276" s="2" t="s">
        <v>4121</v>
      </c>
      <c r="B276" t="s">
        <v>3534</v>
      </c>
      <c r="C276" s="29" t="s">
        <v>4121</v>
      </c>
    </row>
    <row r="277" spans="1:3">
      <c r="A277" s="2" t="s">
        <v>4122</v>
      </c>
      <c r="B277" t="s">
        <v>3534</v>
      </c>
      <c r="C277" s="29" t="s">
        <v>4122</v>
      </c>
    </row>
    <row r="278" spans="1:3">
      <c r="A278" s="2" t="s">
        <v>4123</v>
      </c>
      <c r="B278" t="s">
        <v>3534</v>
      </c>
      <c r="C278" s="29" t="s">
        <v>4123</v>
      </c>
    </row>
    <row r="279" spans="1:3">
      <c r="A279" s="2" t="s">
        <v>3876</v>
      </c>
      <c r="B279" t="s">
        <v>3534</v>
      </c>
      <c r="C279" s="29" t="s">
        <v>3876</v>
      </c>
    </row>
    <row r="280" spans="1:3">
      <c r="A280" s="2" t="s">
        <v>4124</v>
      </c>
      <c r="B280" t="s">
        <v>3534</v>
      </c>
      <c r="C280" s="29" t="s">
        <v>4124</v>
      </c>
    </row>
    <row r="281" spans="1:3">
      <c r="A281" s="2" t="s">
        <v>4125</v>
      </c>
      <c r="B281" t="s">
        <v>3534</v>
      </c>
      <c r="C281" s="29" t="s">
        <v>4125</v>
      </c>
    </row>
    <row r="282" spans="1:3">
      <c r="A282" s="2" t="s">
        <v>4126</v>
      </c>
      <c r="B282" t="s">
        <v>3534</v>
      </c>
      <c r="C282" s="29" t="s">
        <v>4126</v>
      </c>
    </row>
    <row r="284" spans="1:3">
      <c r="A284" s="27" t="s">
        <v>3535</v>
      </c>
      <c r="B284" s="27"/>
    </row>
    <row r="286" spans="1:3">
      <c r="A286" s="2" t="s">
        <v>4127</v>
      </c>
      <c r="B286" t="s">
        <v>3535</v>
      </c>
      <c r="C286" t="s">
        <v>4127</v>
      </c>
    </row>
    <row r="287" spans="1:3">
      <c r="A287" s="2" t="s">
        <v>4128</v>
      </c>
      <c r="B287" t="s">
        <v>3535</v>
      </c>
      <c r="C287" t="s">
        <v>4128</v>
      </c>
    </row>
    <row r="288" spans="1:3">
      <c r="A288" s="2" t="s">
        <v>4129</v>
      </c>
      <c r="B288" t="s">
        <v>3535</v>
      </c>
      <c r="C288" t="s">
        <v>4129</v>
      </c>
    </row>
    <row r="289" spans="1:3">
      <c r="A289" s="2" t="s">
        <v>4130</v>
      </c>
      <c r="B289" t="s">
        <v>3535</v>
      </c>
      <c r="C289" t="s">
        <v>4130</v>
      </c>
    </row>
    <row r="290" spans="1:3">
      <c r="A290" s="2" t="s">
        <v>4131</v>
      </c>
      <c r="B290" t="s">
        <v>3535</v>
      </c>
      <c r="C290" t="s">
        <v>4131</v>
      </c>
    </row>
    <row r="291" spans="1:3">
      <c r="A291" s="2" t="s">
        <v>4132</v>
      </c>
      <c r="B291" t="s">
        <v>3535</v>
      </c>
      <c r="C291" t="s">
        <v>4132</v>
      </c>
    </row>
    <row r="292" spans="1:3">
      <c r="A292" s="2" t="s">
        <v>4133</v>
      </c>
      <c r="B292" t="s">
        <v>3535</v>
      </c>
      <c r="C292" t="s">
        <v>4133</v>
      </c>
    </row>
    <row r="293" spans="1:3">
      <c r="A293" s="2" t="s">
        <v>4134</v>
      </c>
      <c r="B293" t="s">
        <v>3535</v>
      </c>
      <c r="C293" t="s">
        <v>4134</v>
      </c>
    </row>
    <row r="294" spans="1:3">
      <c r="A294" s="2" t="s">
        <v>4135</v>
      </c>
      <c r="B294" t="s">
        <v>3535</v>
      </c>
      <c r="C294" t="s">
        <v>4135</v>
      </c>
    </row>
    <row r="295" spans="1:3">
      <c r="A295" s="2" t="s">
        <v>4136</v>
      </c>
      <c r="B295" t="s">
        <v>3535</v>
      </c>
      <c r="C295" t="s">
        <v>4136</v>
      </c>
    </row>
    <row r="296" spans="1:3">
      <c r="A296" s="2" t="s">
        <v>4137</v>
      </c>
      <c r="B296" t="s">
        <v>3535</v>
      </c>
      <c r="C296" t="s">
        <v>4137</v>
      </c>
    </row>
    <row r="297" spans="1:3">
      <c r="A297" s="2" t="s">
        <v>4138</v>
      </c>
      <c r="B297" t="s">
        <v>3535</v>
      </c>
      <c r="C297" t="s">
        <v>4138</v>
      </c>
    </row>
    <row r="298" spans="1:3">
      <c r="A298" s="2" t="s">
        <v>4139</v>
      </c>
      <c r="B298" t="s">
        <v>3535</v>
      </c>
      <c r="C298" t="s">
        <v>4139</v>
      </c>
    </row>
    <row r="299" spans="1:3">
      <c r="A299" s="2" t="s">
        <v>4140</v>
      </c>
      <c r="B299" t="s">
        <v>3535</v>
      </c>
      <c r="C299" t="s">
        <v>4140</v>
      </c>
    </row>
    <row r="300" spans="1:3">
      <c r="A300" s="2" t="s">
        <v>4141</v>
      </c>
      <c r="B300" t="s">
        <v>3535</v>
      </c>
      <c r="C300" t="s">
        <v>4141</v>
      </c>
    </row>
    <row r="301" spans="1:3">
      <c r="A301" s="2" t="s">
        <v>4142</v>
      </c>
      <c r="B301" t="s">
        <v>3535</v>
      </c>
      <c r="C301" t="s">
        <v>4142</v>
      </c>
    </row>
    <row r="302" spans="1:3">
      <c r="A302" s="2" t="s">
        <v>4143</v>
      </c>
      <c r="B302" t="s">
        <v>3535</v>
      </c>
      <c r="C302" t="s">
        <v>4143</v>
      </c>
    </row>
    <row r="303" spans="1:3">
      <c r="A303" s="2" t="s">
        <v>4144</v>
      </c>
      <c r="B303" t="s">
        <v>3535</v>
      </c>
      <c r="C303" t="s">
        <v>4144</v>
      </c>
    </row>
    <row r="304" spans="1:3">
      <c r="A304" s="2" t="s">
        <v>4145</v>
      </c>
      <c r="B304" t="s">
        <v>3535</v>
      </c>
      <c r="C304" t="s">
        <v>4145</v>
      </c>
    </row>
    <row r="305" spans="1:3">
      <c r="A305" s="2" t="s">
        <v>4146</v>
      </c>
      <c r="B305" t="s">
        <v>3535</v>
      </c>
      <c r="C305" t="s">
        <v>4146</v>
      </c>
    </row>
    <row r="306" spans="1:3">
      <c r="A306" s="2" t="s">
        <v>4147</v>
      </c>
      <c r="B306" t="s">
        <v>3535</v>
      </c>
      <c r="C306" t="s">
        <v>4147</v>
      </c>
    </row>
    <row r="307" spans="1:3">
      <c r="A307" s="2" t="s">
        <v>4148</v>
      </c>
      <c r="B307" t="s">
        <v>3535</v>
      </c>
      <c r="C307" t="s">
        <v>4148</v>
      </c>
    </row>
    <row r="308" spans="1:3">
      <c r="A308" s="2" t="s">
        <v>4149</v>
      </c>
      <c r="B308" t="s">
        <v>3535</v>
      </c>
      <c r="C308" t="s">
        <v>4149</v>
      </c>
    </row>
    <row r="309" spans="1:3">
      <c r="A309" s="2" t="s">
        <v>4150</v>
      </c>
      <c r="B309" t="s">
        <v>3535</v>
      </c>
      <c r="C309" t="s">
        <v>4150</v>
      </c>
    </row>
    <row r="310" spans="1:3">
      <c r="A310" s="2" t="s">
        <v>4151</v>
      </c>
      <c r="B310" t="s">
        <v>3535</v>
      </c>
      <c r="C310" t="s">
        <v>4151</v>
      </c>
    </row>
    <row r="311" spans="1:3">
      <c r="A311" s="2" t="s">
        <v>4152</v>
      </c>
      <c r="B311" t="s">
        <v>3535</v>
      </c>
      <c r="C311" t="s">
        <v>4152</v>
      </c>
    </row>
    <row r="312" spans="1:3">
      <c r="A312" s="2" t="s">
        <v>4153</v>
      </c>
      <c r="B312" t="s">
        <v>3535</v>
      </c>
      <c r="C312" t="s">
        <v>4153</v>
      </c>
    </row>
    <row r="313" spans="1:3">
      <c r="A313" s="2" t="s">
        <v>4154</v>
      </c>
      <c r="B313" t="s">
        <v>3535</v>
      </c>
      <c r="C313" t="s">
        <v>4154</v>
      </c>
    </row>
    <row r="314" spans="1:3">
      <c r="A314" s="2" t="s">
        <v>4155</v>
      </c>
      <c r="B314" t="s">
        <v>3535</v>
      </c>
      <c r="C314" t="s">
        <v>4155</v>
      </c>
    </row>
    <row r="315" spans="1:3">
      <c r="A315" s="2" t="s">
        <v>4156</v>
      </c>
      <c r="B315" t="s">
        <v>3535</v>
      </c>
      <c r="C315" t="s">
        <v>4156</v>
      </c>
    </row>
    <row r="316" spans="1:3">
      <c r="A316" s="2" t="s">
        <v>4157</v>
      </c>
      <c r="B316" t="s">
        <v>3535</v>
      </c>
      <c r="C316" t="s">
        <v>4157</v>
      </c>
    </row>
    <row r="317" spans="1:3">
      <c r="A317" s="2" t="s">
        <v>4158</v>
      </c>
      <c r="B317" t="s">
        <v>3535</v>
      </c>
      <c r="C317" t="s">
        <v>4158</v>
      </c>
    </row>
    <row r="318" spans="1:3">
      <c r="A318" s="2" t="s">
        <v>4159</v>
      </c>
      <c r="B318" t="s">
        <v>3535</v>
      </c>
      <c r="C318" t="s">
        <v>4159</v>
      </c>
    </row>
    <row r="319" spans="1:3">
      <c r="A319" s="2" t="s">
        <v>4160</v>
      </c>
      <c r="B319" t="s">
        <v>3535</v>
      </c>
      <c r="C319" t="s">
        <v>4160</v>
      </c>
    </row>
    <row r="320" spans="1:3">
      <c r="A320" s="2" t="s">
        <v>4161</v>
      </c>
      <c r="B320" t="s">
        <v>3535</v>
      </c>
      <c r="C320" t="s">
        <v>4161</v>
      </c>
    </row>
    <row r="321" spans="1:3">
      <c r="A321" s="2" t="s">
        <v>4162</v>
      </c>
      <c r="B321" t="s">
        <v>3535</v>
      </c>
      <c r="C321" t="s">
        <v>4162</v>
      </c>
    </row>
    <row r="322" spans="1:3">
      <c r="A322" s="2" t="s">
        <v>4163</v>
      </c>
      <c r="B322" t="s">
        <v>3535</v>
      </c>
      <c r="C322" t="s">
        <v>4163</v>
      </c>
    </row>
    <row r="323" spans="1:3">
      <c r="A323" s="2" t="s">
        <v>4164</v>
      </c>
      <c r="B323" t="s">
        <v>3535</v>
      </c>
      <c r="C323" t="s">
        <v>4164</v>
      </c>
    </row>
    <row r="324" spans="1:3">
      <c r="A324" s="2" t="s">
        <v>4165</v>
      </c>
      <c r="B324" t="s">
        <v>3535</v>
      </c>
      <c r="C324" t="s">
        <v>4165</v>
      </c>
    </row>
    <row r="325" spans="1:3">
      <c r="A325" s="2" t="s">
        <v>4166</v>
      </c>
      <c r="B325" t="s">
        <v>3535</v>
      </c>
      <c r="C325" t="s">
        <v>4166</v>
      </c>
    </row>
    <row r="326" spans="1:3">
      <c r="A326" s="2" t="s">
        <v>4166</v>
      </c>
      <c r="B326" t="s">
        <v>3535</v>
      </c>
      <c r="C326" t="s">
        <v>4166</v>
      </c>
    </row>
    <row r="327" spans="1:3">
      <c r="A327" s="2" t="s">
        <v>4167</v>
      </c>
      <c r="B327" t="s">
        <v>3535</v>
      </c>
      <c r="C327" t="s">
        <v>4167</v>
      </c>
    </row>
    <row r="328" spans="1:3">
      <c r="A328" s="2" t="s">
        <v>4168</v>
      </c>
      <c r="B328" t="s">
        <v>3535</v>
      </c>
      <c r="C328" t="s">
        <v>4168</v>
      </c>
    </row>
    <row r="329" spans="1:3">
      <c r="A329" s="2" t="s">
        <v>4169</v>
      </c>
      <c r="B329" t="s">
        <v>3535</v>
      </c>
      <c r="C329" t="s">
        <v>4169</v>
      </c>
    </row>
    <row r="330" spans="1:3">
      <c r="A330" s="2" t="s">
        <v>4170</v>
      </c>
      <c r="B330" t="s">
        <v>3535</v>
      </c>
      <c r="C330" t="s">
        <v>4170</v>
      </c>
    </row>
    <row r="331" spans="1:3">
      <c r="A331" s="2" t="s">
        <v>4171</v>
      </c>
      <c r="B331" t="s">
        <v>3535</v>
      </c>
      <c r="C331" t="s">
        <v>4171</v>
      </c>
    </row>
    <row r="332" spans="1:3">
      <c r="A332" s="2" t="s">
        <v>4172</v>
      </c>
      <c r="B332" t="s">
        <v>3535</v>
      </c>
      <c r="C332" t="s">
        <v>4172</v>
      </c>
    </row>
    <row r="333" spans="1:3">
      <c r="A333" s="2" t="s">
        <v>4173</v>
      </c>
      <c r="B333" t="s">
        <v>3535</v>
      </c>
      <c r="C333" t="s">
        <v>4173</v>
      </c>
    </row>
    <row r="334" spans="1:3">
      <c r="A334" s="2" t="s">
        <v>4174</v>
      </c>
      <c r="B334" t="s">
        <v>3535</v>
      </c>
      <c r="C334" t="s">
        <v>4174</v>
      </c>
    </row>
    <row r="335" spans="1:3">
      <c r="A335" s="2" t="s">
        <v>4175</v>
      </c>
      <c r="B335" t="s">
        <v>3535</v>
      </c>
      <c r="C335" t="s">
        <v>4175</v>
      </c>
    </row>
    <row r="336" spans="1:3">
      <c r="A336" s="2" t="s">
        <v>4176</v>
      </c>
      <c r="B336" t="s">
        <v>3535</v>
      </c>
      <c r="C336" t="s">
        <v>4176</v>
      </c>
    </row>
    <row r="337" spans="1:3">
      <c r="A337" s="2" t="s">
        <v>4177</v>
      </c>
      <c r="B337" t="s">
        <v>3535</v>
      </c>
      <c r="C337" t="s">
        <v>4177</v>
      </c>
    </row>
    <row r="338" spans="1:3">
      <c r="A338" s="2" t="s">
        <v>4178</v>
      </c>
      <c r="B338" t="s">
        <v>3535</v>
      </c>
      <c r="C338" t="s">
        <v>4178</v>
      </c>
    </row>
    <row r="339" spans="1:3">
      <c r="A339" s="2" t="s">
        <v>4179</v>
      </c>
      <c r="B339" t="s">
        <v>3535</v>
      </c>
      <c r="C339" t="s">
        <v>4179</v>
      </c>
    </row>
    <row r="340" spans="1:3">
      <c r="A340" s="2" t="s">
        <v>4180</v>
      </c>
      <c r="B340" t="s">
        <v>3535</v>
      </c>
      <c r="C340" t="s">
        <v>4180</v>
      </c>
    </row>
    <row r="341" spans="1:3">
      <c r="A341" s="2" t="s">
        <v>4181</v>
      </c>
      <c r="B341" t="s">
        <v>3535</v>
      </c>
      <c r="C341" t="s">
        <v>4181</v>
      </c>
    </row>
    <row r="342" spans="1:3">
      <c r="A342" s="2" t="s">
        <v>4182</v>
      </c>
      <c r="B342" t="s">
        <v>3535</v>
      </c>
      <c r="C342" t="s">
        <v>4182</v>
      </c>
    </row>
    <row r="343" spans="1:3">
      <c r="A343" s="2" t="s">
        <v>4183</v>
      </c>
      <c r="B343" t="s">
        <v>3535</v>
      </c>
      <c r="C343" t="s">
        <v>4183</v>
      </c>
    </row>
    <row r="344" spans="1:3">
      <c r="A344" s="2" t="s">
        <v>4184</v>
      </c>
      <c r="B344" t="s">
        <v>3535</v>
      </c>
      <c r="C344" t="s">
        <v>4184</v>
      </c>
    </row>
    <row r="345" spans="1:3">
      <c r="A345" s="2" t="s">
        <v>4185</v>
      </c>
      <c r="B345" t="s">
        <v>3535</v>
      </c>
      <c r="C345" t="s">
        <v>4185</v>
      </c>
    </row>
    <row r="346" spans="1:3">
      <c r="A346" s="2" t="s">
        <v>4186</v>
      </c>
      <c r="B346" t="s">
        <v>3535</v>
      </c>
      <c r="C346" t="s">
        <v>4186</v>
      </c>
    </row>
    <row r="347" spans="1:3">
      <c r="A347" s="2" t="s">
        <v>4187</v>
      </c>
      <c r="B347" t="s">
        <v>3535</v>
      </c>
      <c r="C347" t="s">
        <v>4187</v>
      </c>
    </row>
    <row r="348" spans="1:3">
      <c r="A348" s="2" t="s">
        <v>4188</v>
      </c>
      <c r="B348" t="s">
        <v>3535</v>
      </c>
      <c r="C348" t="s">
        <v>4188</v>
      </c>
    </row>
    <row r="349" spans="1:3">
      <c r="A349" s="2" t="s">
        <v>4189</v>
      </c>
      <c r="B349" t="s">
        <v>3535</v>
      </c>
      <c r="C349" t="s">
        <v>4189</v>
      </c>
    </row>
    <row r="350" spans="1:3">
      <c r="A350" s="2" t="s">
        <v>4190</v>
      </c>
      <c r="B350" t="s">
        <v>3535</v>
      </c>
      <c r="C350" t="s">
        <v>4190</v>
      </c>
    </row>
    <row r="351" spans="1:3">
      <c r="A351" s="2" t="s">
        <v>4191</v>
      </c>
      <c r="B351" t="s">
        <v>3535</v>
      </c>
      <c r="C351" t="s">
        <v>4191</v>
      </c>
    </row>
    <row r="352" spans="1:3">
      <c r="A352" s="2" t="s">
        <v>4192</v>
      </c>
      <c r="B352" t="s">
        <v>3535</v>
      </c>
      <c r="C352" t="s">
        <v>4192</v>
      </c>
    </row>
    <row r="353" spans="1:3">
      <c r="A353" s="2" t="s">
        <v>4193</v>
      </c>
      <c r="B353" t="s">
        <v>3535</v>
      </c>
      <c r="C353" t="s">
        <v>4193</v>
      </c>
    </row>
    <row r="354" spans="1:3">
      <c r="A354" s="2" t="s">
        <v>4194</v>
      </c>
      <c r="B354" t="s">
        <v>3535</v>
      </c>
      <c r="C354" t="s">
        <v>4194</v>
      </c>
    </row>
    <row r="355" spans="1:3">
      <c r="A355" s="2" t="s">
        <v>4195</v>
      </c>
      <c r="B355" t="s">
        <v>3535</v>
      </c>
      <c r="C355" t="s">
        <v>4195</v>
      </c>
    </row>
    <row r="356" spans="1:3">
      <c r="A356" s="2" t="s">
        <v>4196</v>
      </c>
      <c r="B356" t="s">
        <v>3535</v>
      </c>
      <c r="C356" t="s">
        <v>4196</v>
      </c>
    </row>
    <row r="357" spans="1:3">
      <c r="A357" s="2" t="s">
        <v>4197</v>
      </c>
      <c r="B357" t="s">
        <v>3535</v>
      </c>
      <c r="C357" t="s">
        <v>4197</v>
      </c>
    </row>
    <row r="358" spans="1:3">
      <c r="A358" s="2" t="s">
        <v>4198</v>
      </c>
      <c r="B358" t="s">
        <v>3535</v>
      </c>
      <c r="C358" t="s">
        <v>4198</v>
      </c>
    </row>
    <row r="359" spans="1:3">
      <c r="A359" s="2" t="s">
        <v>4199</v>
      </c>
      <c r="B359" t="s">
        <v>3535</v>
      </c>
      <c r="C359" t="s">
        <v>4199</v>
      </c>
    </row>
    <row r="360" spans="1:3">
      <c r="A360" s="2" t="s">
        <v>4200</v>
      </c>
      <c r="B360" t="s">
        <v>3535</v>
      </c>
      <c r="C360" t="s">
        <v>4200</v>
      </c>
    </row>
    <row r="361" spans="1:3">
      <c r="A361" s="2" t="s">
        <v>4201</v>
      </c>
      <c r="B361" t="s">
        <v>3535</v>
      </c>
      <c r="C361" t="s">
        <v>4201</v>
      </c>
    </row>
    <row r="362" spans="1:3">
      <c r="A362" s="2" t="s">
        <v>4202</v>
      </c>
      <c r="B362" t="s">
        <v>3535</v>
      </c>
      <c r="C362" t="s">
        <v>4202</v>
      </c>
    </row>
    <row r="363" spans="1:3">
      <c r="A363" s="2" t="s">
        <v>4203</v>
      </c>
      <c r="B363" t="s">
        <v>3535</v>
      </c>
      <c r="C363" t="s">
        <v>4203</v>
      </c>
    </row>
    <row r="364" spans="1:3">
      <c r="A364" s="2" t="s">
        <v>4204</v>
      </c>
      <c r="B364" t="s">
        <v>3535</v>
      </c>
      <c r="C364" t="s">
        <v>4204</v>
      </c>
    </row>
    <row r="365" spans="1:3">
      <c r="A365" s="2" t="s">
        <v>4205</v>
      </c>
      <c r="B365" t="s">
        <v>3535</v>
      </c>
      <c r="C365" t="s">
        <v>4205</v>
      </c>
    </row>
    <row r="366" spans="1:3">
      <c r="A366" s="2" t="s">
        <v>4206</v>
      </c>
      <c r="B366" t="s">
        <v>3535</v>
      </c>
      <c r="C366" t="s">
        <v>4206</v>
      </c>
    </row>
    <row r="367" spans="1:3">
      <c r="A367" s="2" t="s">
        <v>4207</v>
      </c>
      <c r="B367" t="s">
        <v>3535</v>
      </c>
      <c r="C367" t="s">
        <v>4207</v>
      </c>
    </row>
    <row r="368" spans="1:3">
      <c r="A368" s="2" t="s">
        <v>4208</v>
      </c>
      <c r="B368" t="s">
        <v>3535</v>
      </c>
      <c r="C368" t="s">
        <v>4208</v>
      </c>
    </row>
    <row r="369" spans="1:3">
      <c r="A369" s="2" t="s">
        <v>4209</v>
      </c>
      <c r="B369" t="s">
        <v>3535</v>
      </c>
      <c r="C369" t="s">
        <v>4209</v>
      </c>
    </row>
    <row r="370" spans="1:3">
      <c r="A370" s="2" t="s">
        <v>4210</v>
      </c>
      <c r="B370" t="s">
        <v>3535</v>
      </c>
      <c r="C370" t="s">
        <v>4210</v>
      </c>
    </row>
    <row r="371" spans="1:3">
      <c r="A371" s="2" t="s">
        <v>4211</v>
      </c>
      <c r="B371" t="s">
        <v>3535</v>
      </c>
      <c r="C371" t="s">
        <v>4211</v>
      </c>
    </row>
    <row r="372" spans="1:3">
      <c r="A372" s="2" t="s">
        <v>4212</v>
      </c>
      <c r="B372" t="s">
        <v>3535</v>
      </c>
      <c r="C372" t="s">
        <v>4212</v>
      </c>
    </row>
    <row r="373" spans="1:3">
      <c r="A373" s="2" t="s">
        <v>4213</v>
      </c>
      <c r="B373" t="s">
        <v>3535</v>
      </c>
      <c r="C373" t="s">
        <v>4213</v>
      </c>
    </row>
    <row r="374" spans="1:3">
      <c r="A374" s="2" t="s">
        <v>4214</v>
      </c>
      <c r="B374" t="s">
        <v>3535</v>
      </c>
      <c r="C374" t="s">
        <v>4214</v>
      </c>
    </row>
    <row r="375" spans="1:3">
      <c r="A375" s="2" t="s">
        <v>4215</v>
      </c>
      <c r="B375" t="s">
        <v>3535</v>
      </c>
      <c r="C375" t="s">
        <v>4215</v>
      </c>
    </row>
    <row r="376" spans="1:3">
      <c r="A376" s="2" t="s">
        <v>4216</v>
      </c>
      <c r="B376" t="s">
        <v>3535</v>
      </c>
      <c r="C376" t="s">
        <v>4216</v>
      </c>
    </row>
    <row r="377" spans="1:3">
      <c r="A377" s="2" t="s">
        <v>4217</v>
      </c>
      <c r="B377" t="s">
        <v>3535</v>
      </c>
      <c r="C377" t="s">
        <v>4217</v>
      </c>
    </row>
    <row r="378" spans="1:3">
      <c r="A378" s="2" t="s">
        <v>4218</v>
      </c>
      <c r="B378" t="s">
        <v>3535</v>
      </c>
      <c r="C378" t="s">
        <v>4218</v>
      </c>
    </row>
    <row r="379" spans="1:3">
      <c r="A379" s="2" t="s">
        <v>4219</v>
      </c>
      <c r="B379" t="s">
        <v>3535</v>
      </c>
      <c r="C379" t="s">
        <v>4219</v>
      </c>
    </row>
    <row r="380" spans="1:3">
      <c r="A380" s="2" t="s">
        <v>4220</v>
      </c>
      <c r="B380" t="s">
        <v>3535</v>
      </c>
      <c r="C380" t="s">
        <v>4220</v>
      </c>
    </row>
    <row r="381" spans="1:3">
      <c r="A381" s="2" t="s">
        <v>4221</v>
      </c>
      <c r="B381" t="s">
        <v>3535</v>
      </c>
      <c r="C381" t="s">
        <v>4221</v>
      </c>
    </row>
    <row r="382" spans="1:3">
      <c r="A382" s="2" t="s">
        <v>4222</v>
      </c>
      <c r="B382" t="s">
        <v>3535</v>
      </c>
      <c r="C382" t="s">
        <v>4222</v>
      </c>
    </row>
    <row r="383" spans="1:3">
      <c r="A383" s="2" t="s">
        <v>4223</v>
      </c>
      <c r="B383" t="s">
        <v>3535</v>
      </c>
      <c r="C383" t="s">
        <v>4223</v>
      </c>
    </row>
    <row r="384" spans="1:3">
      <c r="A384" s="2" t="s">
        <v>4224</v>
      </c>
      <c r="B384" t="s">
        <v>3535</v>
      </c>
      <c r="C384" t="s">
        <v>4224</v>
      </c>
    </row>
    <row r="385" spans="1:3">
      <c r="A385" s="2" t="s">
        <v>4225</v>
      </c>
      <c r="B385" t="s">
        <v>3535</v>
      </c>
      <c r="C385" t="s">
        <v>4225</v>
      </c>
    </row>
    <row r="386" spans="1:3">
      <c r="A386" s="2" t="s">
        <v>4226</v>
      </c>
      <c r="B386" t="s">
        <v>3535</v>
      </c>
      <c r="C386" t="s">
        <v>4226</v>
      </c>
    </row>
    <row r="387" spans="1:3">
      <c r="A387" s="2" t="s">
        <v>4227</v>
      </c>
      <c r="B387" t="s">
        <v>3535</v>
      </c>
      <c r="C387" t="s">
        <v>4227</v>
      </c>
    </row>
    <row r="388" spans="1:3">
      <c r="A388" s="2" t="s">
        <v>4228</v>
      </c>
      <c r="B388" t="s">
        <v>3535</v>
      </c>
      <c r="C388" t="s">
        <v>4228</v>
      </c>
    </row>
    <row r="389" spans="1:3">
      <c r="A389" s="2" t="s">
        <v>4229</v>
      </c>
      <c r="B389" t="s">
        <v>3535</v>
      </c>
      <c r="C389" t="s">
        <v>4229</v>
      </c>
    </row>
    <row r="390" spans="1:3">
      <c r="A390" s="2" t="s">
        <v>4230</v>
      </c>
      <c r="B390" t="s">
        <v>3535</v>
      </c>
      <c r="C390" t="s">
        <v>4230</v>
      </c>
    </row>
    <row r="391" spans="1:3">
      <c r="A391" s="2" t="s">
        <v>4231</v>
      </c>
      <c r="B391" t="s">
        <v>3535</v>
      </c>
      <c r="C391" t="s">
        <v>4231</v>
      </c>
    </row>
    <row r="392" spans="1:3">
      <c r="A392" s="2" t="s">
        <v>4232</v>
      </c>
      <c r="B392" t="s">
        <v>3535</v>
      </c>
      <c r="C392" t="s">
        <v>4232</v>
      </c>
    </row>
    <row r="393" spans="1:3">
      <c r="A393" s="2" t="s">
        <v>4233</v>
      </c>
      <c r="B393" t="s">
        <v>3535</v>
      </c>
      <c r="C393" t="s">
        <v>4233</v>
      </c>
    </row>
    <row r="394" spans="1:3">
      <c r="A394" s="2" t="s">
        <v>4234</v>
      </c>
      <c r="B394" t="s">
        <v>3535</v>
      </c>
      <c r="C394" t="s">
        <v>4234</v>
      </c>
    </row>
    <row r="395" spans="1:3">
      <c r="A395" s="2" t="s">
        <v>4235</v>
      </c>
      <c r="B395" t="s">
        <v>3535</v>
      </c>
      <c r="C395" t="s">
        <v>4235</v>
      </c>
    </row>
    <row r="396" spans="1:3">
      <c r="A396" s="2" t="s">
        <v>4236</v>
      </c>
      <c r="B396" t="s">
        <v>3535</v>
      </c>
      <c r="C396" t="s">
        <v>4236</v>
      </c>
    </row>
    <row r="397" spans="1:3">
      <c r="A397" s="2" t="s">
        <v>4237</v>
      </c>
      <c r="B397" t="s">
        <v>3535</v>
      </c>
      <c r="C397" t="s">
        <v>4237</v>
      </c>
    </row>
    <row r="398" spans="1:3">
      <c r="A398" s="2" t="s">
        <v>4238</v>
      </c>
      <c r="B398" t="s">
        <v>3535</v>
      </c>
      <c r="C398" t="s">
        <v>4238</v>
      </c>
    </row>
    <row r="399" spans="1:3">
      <c r="A399" s="2" t="s">
        <v>4239</v>
      </c>
      <c r="B399" t="s">
        <v>3535</v>
      </c>
      <c r="C399" t="s">
        <v>4239</v>
      </c>
    </row>
    <row r="400" spans="1:3">
      <c r="A400" s="2" t="s">
        <v>4240</v>
      </c>
      <c r="B400" t="s">
        <v>3535</v>
      </c>
      <c r="C400" t="s">
        <v>4240</v>
      </c>
    </row>
    <row r="401" spans="1:3">
      <c r="A401" s="2" t="s">
        <v>4241</v>
      </c>
      <c r="B401" t="s">
        <v>3535</v>
      </c>
      <c r="C401" t="s">
        <v>4241</v>
      </c>
    </row>
    <row r="402" spans="1:3">
      <c r="A402" s="2" t="s">
        <v>4242</v>
      </c>
      <c r="B402" t="s">
        <v>3535</v>
      </c>
      <c r="C402" t="s">
        <v>4242</v>
      </c>
    </row>
    <row r="403" spans="1:3">
      <c r="A403" s="2" t="s">
        <v>4243</v>
      </c>
      <c r="B403" t="s">
        <v>3535</v>
      </c>
      <c r="C403" t="s">
        <v>4243</v>
      </c>
    </row>
    <row r="404" spans="1:3">
      <c r="A404" s="2" t="s">
        <v>4244</v>
      </c>
      <c r="B404" t="s">
        <v>3535</v>
      </c>
      <c r="C404" t="s">
        <v>4244</v>
      </c>
    </row>
    <row r="405" spans="1:3">
      <c r="A405" s="2" t="s">
        <v>4245</v>
      </c>
      <c r="B405" t="s">
        <v>3535</v>
      </c>
      <c r="C405" t="s">
        <v>4245</v>
      </c>
    </row>
    <row r="406" spans="1:3">
      <c r="A406" s="2" t="s">
        <v>4246</v>
      </c>
      <c r="B406" t="s">
        <v>3535</v>
      </c>
      <c r="C406" t="s">
        <v>4246</v>
      </c>
    </row>
    <row r="407" spans="1:3">
      <c r="A407" s="2" t="s">
        <v>4247</v>
      </c>
      <c r="B407" t="s">
        <v>3535</v>
      </c>
      <c r="C407" t="s">
        <v>4247</v>
      </c>
    </row>
    <row r="408" spans="1:3">
      <c r="A408" s="2" t="s">
        <v>4248</v>
      </c>
      <c r="B408" t="s">
        <v>3535</v>
      </c>
      <c r="C408" t="s">
        <v>4248</v>
      </c>
    </row>
    <row r="409" spans="1:3">
      <c r="A409" s="2" t="s">
        <v>4249</v>
      </c>
      <c r="B409" t="s">
        <v>3535</v>
      </c>
      <c r="C409" t="s">
        <v>4249</v>
      </c>
    </row>
    <row r="410" spans="1:3">
      <c r="A410" s="2" t="s">
        <v>4250</v>
      </c>
      <c r="B410" t="s">
        <v>3535</v>
      </c>
      <c r="C410" t="s">
        <v>4250</v>
      </c>
    </row>
    <row r="411" spans="1:3">
      <c r="A411" s="2" t="s">
        <v>4251</v>
      </c>
      <c r="B411" t="s">
        <v>3535</v>
      </c>
      <c r="C411" t="s">
        <v>4251</v>
      </c>
    </row>
    <row r="412" spans="1:3">
      <c r="A412" s="2" t="s">
        <v>4252</v>
      </c>
      <c r="B412" t="s">
        <v>3535</v>
      </c>
      <c r="C412" t="s">
        <v>4252</v>
      </c>
    </row>
    <row r="413" spans="1:3">
      <c r="A413" s="2" t="s">
        <v>4253</v>
      </c>
      <c r="B413" t="s">
        <v>3535</v>
      </c>
      <c r="C413" t="s">
        <v>4253</v>
      </c>
    </row>
    <row r="414" spans="1:3">
      <c r="A414" s="2" t="s">
        <v>4254</v>
      </c>
      <c r="B414" t="s">
        <v>3535</v>
      </c>
      <c r="C414" t="s">
        <v>4254</v>
      </c>
    </row>
    <row r="415" spans="1:3">
      <c r="A415" s="2" t="s">
        <v>4255</v>
      </c>
      <c r="B415" t="s">
        <v>3535</v>
      </c>
      <c r="C415" t="s">
        <v>4255</v>
      </c>
    </row>
    <row r="416" spans="1:3">
      <c r="A416" s="2" t="s">
        <v>4256</v>
      </c>
      <c r="B416" t="s">
        <v>3535</v>
      </c>
      <c r="C416" t="s">
        <v>4256</v>
      </c>
    </row>
    <row r="417" spans="1:3">
      <c r="A417" s="2" t="s">
        <v>4257</v>
      </c>
      <c r="B417" t="s">
        <v>3535</v>
      </c>
      <c r="C417" t="s">
        <v>4257</v>
      </c>
    </row>
    <row r="418" spans="1:3">
      <c r="A418" s="2" t="s">
        <v>4258</v>
      </c>
      <c r="B418" t="s">
        <v>3535</v>
      </c>
      <c r="C418" t="s">
        <v>4258</v>
      </c>
    </row>
    <row r="419" spans="1:3">
      <c r="A419" s="2" t="s">
        <v>4259</v>
      </c>
      <c r="B419" t="s">
        <v>3535</v>
      </c>
      <c r="C419" t="s">
        <v>4259</v>
      </c>
    </row>
    <row r="420" spans="1:3">
      <c r="A420" s="2" t="s">
        <v>4260</v>
      </c>
      <c r="B420" t="s">
        <v>3535</v>
      </c>
      <c r="C420" t="s">
        <v>4260</v>
      </c>
    </row>
    <row r="421" spans="1:3">
      <c r="A421" s="2" t="s">
        <v>4261</v>
      </c>
      <c r="B421" t="s">
        <v>3535</v>
      </c>
      <c r="C421" t="s">
        <v>4261</v>
      </c>
    </row>
    <row r="422" spans="1:3">
      <c r="A422" s="2" t="s">
        <v>4262</v>
      </c>
      <c r="B422" t="s">
        <v>3535</v>
      </c>
      <c r="C422" t="s">
        <v>4262</v>
      </c>
    </row>
    <row r="423" spans="1:3">
      <c r="A423" s="2" t="s">
        <v>4263</v>
      </c>
      <c r="B423" t="s">
        <v>3535</v>
      </c>
      <c r="C423" t="s">
        <v>4263</v>
      </c>
    </row>
    <row r="424" spans="1:3">
      <c r="A424" s="2" t="s">
        <v>4264</v>
      </c>
      <c r="B424" t="s">
        <v>3535</v>
      </c>
      <c r="C424" t="s">
        <v>4264</v>
      </c>
    </row>
    <row r="425" spans="1:3">
      <c r="A425" s="2" t="s">
        <v>4265</v>
      </c>
      <c r="B425" t="s">
        <v>3535</v>
      </c>
      <c r="C425" t="s">
        <v>4265</v>
      </c>
    </row>
    <row r="426" spans="1:3">
      <c r="A426" s="2" t="s">
        <v>4266</v>
      </c>
      <c r="B426" t="s">
        <v>3535</v>
      </c>
      <c r="C426" t="s">
        <v>4266</v>
      </c>
    </row>
    <row r="427" spans="1:3">
      <c r="A427" s="2" t="s">
        <v>4267</v>
      </c>
      <c r="B427" t="s">
        <v>3535</v>
      </c>
      <c r="C427" t="s">
        <v>4267</v>
      </c>
    </row>
    <row r="428" spans="1:3">
      <c r="A428" s="2" t="s">
        <v>4268</v>
      </c>
      <c r="B428" t="s">
        <v>3535</v>
      </c>
      <c r="C428" t="s">
        <v>4268</v>
      </c>
    </row>
    <row r="429" spans="1:3">
      <c r="A429" s="2" t="s">
        <v>4269</v>
      </c>
      <c r="B429" t="s">
        <v>3535</v>
      </c>
      <c r="C429" t="s">
        <v>4269</v>
      </c>
    </row>
    <row r="430" spans="1:3">
      <c r="A430" s="2" t="s">
        <v>4270</v>
      </c>
      <c r="B430" t="s">
        <v>3535</v>
      </c>
      <c r="C430" t="s">
        <v>4270</v>
      </c>
    </row>
    <row r="431" spans="1:3">
      <c r="A431" s="2" t="s">
        <v>4271</v>
      </c>
      <c r="B431" t="s">
        <v>3535</v>
      </c>
      <c r="C431" t="s">
        <v>4271</v>
      </c>
    </row>
    <row r="432" spans="1:3">
      <c r="A432" s="2" t="s">
        <v>4272</v>
      </c>
      <c r="B432" t="s">
        <v>3535</v>
      </c>
      <c r="C432" t="s">
        <v>4272</v>
      </c>
    </row>
    <row r="433" spans="1:3">
      <c r="A433" s="2" t="s">
        <v>4273</v>
      </c>
      <c r="B433" t="s">
        <v>3535</v>
      </c>
      <c r="C433" t="s">
        <v>4273</v>
      </c>
    </row>
    <row r="434" spans="1:3">
      <c r="A434" s="2" t="s">
        <v>4274</v>
      </c>
      <c r="B434" t="s">
        <v>3535</v>
      </c>
      <c r="C434" t="s">
        <v>4274</v>
      </c>
    </row>
    <row r="435" spans="1:3">
      <c r="A435" s="2" t="s">
        <v>4275</v>
      </c>
      <c r="B435" t="s">
        <v>3535</v>
      </c>
      <c r="C435" t="s">
        <v>4275</v>
      </c>
    </row>
    <row r="436" spans="1:3">
      <c r="A436" s="2" t="s">
        <v>4276</v>
      </c>
      <c r="B436" t="s">
        <v>3535</v>
      </c>
      <c r="C436" t="s">
        <v>4276</v>
      </c>
    </row>
    <row r="437" spans="1:3">
      <c r="A437" s="2" t="s">
        <v>4277</v>
      </c>
      <c r="B437" t="s">
        <v>3535</v>
      </c>
      <c r="C437" t="s">
        <v>4277</v>
      </c>
    </row>
    <row r="438" spans="1:3">
      <c r="A438" s="2" t="s">
        <v>4278</v>
      </c>
      <c r="B438" t="s">
        <v>3535</v>
      </c>
      <c r="C438" t="s">
        <v>4278</v>
      </c>
    </row>
    <row r="439" spans="1:3">
      <c r="A439" s="2" t="s">
        <v>4279</v>
      </c>
      <c r="B439" t="s">
        <v>3535</v>
      </c>
      <c r="C439" t="s">
        <v>4279</v>
      </c>
    </row>
    <row r="440" spans="1:3">
      <c r="A440" s="2" t="s">
        <v>4280</v>
      </c>
      <c r="B440" t="s">
        <v>3535</v>
      </c>
      <c r="C440" t="s">
        <v>4280</v>
      </c>
    </row>
    <row r="441" spans="1:3">
      <c r="A441" s="2" t="s">
        <v>4281</v>
      </c>
      <c r="B441" t="s">
        <v>3535</v>
      </c>
      <c r="C441" t="s">
        <v>4281</v>
      </c>
    </row>
    <row r="442" spans="1:3">
      <c r="A442" s="2" t="s">
        <v>4282</v>
      </c>
      <c r="B442" t="s">
        <v>3535</v>
      </c>
      <c r="C442" t="s">
        <v>4282</v>
      </c>
    </row>
    <row r="443" spans="1:3">
      <c r="A443" s="2" t="s">
        <v>4283</v>
      </c>
      <c r="B443" t="s">
        <v>3535</v>
      </c>
      <c r="C443" t="s">
        <v>4283</v>
      </c>
    </row>
    <row r="444" spans="1:3">
      <c r="A444" s="2" t="s">
        <v>4284</v>
      </c>
      <c r="B444" t="s">
        <v>3535</v>
      </c>
      <c r="C444" t="s">
        <v>4284</v>
      </c>
    </row>
    <row r="445" spans="1:3">
      <c r="A445" s="2" t="s">
        <v>4285</v>
      </c>
      <c r="B445" t="s">
        <v>3535</v>
      </c>
      <c r="C445" t="s">
        <v>4285</v>
      </c>
    </row>
    <row r="446" spans="1:3">
      <c r="A446" s="2" t="s">
        <v>4286</v>
      </c>
      <c r="B446" t="s">
        <v>3535</v>
      </c>
      <c r="C446" t="s">
        <v>4286</v>
      </c>
    </row>
    <row r="447" spans="1:3">
      <c r="A447" s="2" t="s">
        <v>4287</v>
      </c>
      <c r="B447" t="s">
        <v>3535</v>
      </c>
      <c r="C447" t="s">
        <v>4287</v>
      </c>
    </row>
    <row r="448" spans="1:3">
      <c r="A448" s="2" t="s">
        <v>4288</v>
      </c>
      <c r="B448" t="s">
        <v>3535</v>
      </c>
      <c r="C448" t="s">
        <v>4288</v>
      </c>
    </row>
    <row r="449" spans="1:3">
      <c r="A449" s="2" t="s">
        <v>4289</v>
      </c>
      <c r="B449" t="s">
        <v>3535</v>
      </c>
      <c r="C449" t="s">
        <v>4289</v>
      </c>
    </row>
    <row r="450" spans="1:3">
      <c r="A450" s="2" t="s">
        <v>4290</v>
      </c>
      <c r="B450" t="s">
        <v>3535</v>
      </c>
      <c r="C450" t="s">
        <v>4290</v>
      </c>
    </row>
    <row r="452" spans="1:3">
      <c r="A452" s="27" t="s">
        <v>4291</v>
      </c>
      <c r="B452" s="27"/>
    </row>
    <row r="454" spans="1:3">
      <c r="A454" s="2" t="s">
        <v>4292</v>
      </c>
      <c r="B454" t="s">
        <v>4291</v>
      </c>
      <c r="C454" t="s">
        <v>4292</v>
      </c>
    </row>
    <row r="456" spans="1:3">
      <c r="A456" s="27" t="s">
        <v>4293</v>
      </c>
      <c r="B456" s="27"/>
    </row>
    <row r="458" spans="1:3">
      <c r="A458" s="2" t="s">
        <v>4294</v>
      </c>
      <c r="B458" t="s">
        <v>4293</v>
      </c>
      <c r="C458" t="s">
        <v>4294</v>
      </c>
    </row>
    <row r="459" spans="1:3">
      <c r="A459" s="2" t="s">
        <v>4295</v>
      </c>
      <c r="B459" t="s">
        <v>4293</v>
      </c>
      <c r="C459" t="s">
        <v>4295</v>
      </c>
    </row>
    <row r="460" spans="1:3">
      <c r="A460" s="2" t="s">
        <v>4296</v>
      </c>
      <c r="B460" t="s">
        <v>4293</v>
      </c>
      <c r="C460" t="s">
        <v>4296</v>
      </c>
    </row>
    <row r="461" spans="1:3">
      <c r="A461" s="2" t="s">
        <v>4297</v>
      </c>
      <c r="B461" t="s">
        <v>4293</v>
      </c>
      <c r="C461" t="s">
        <v>4297</v>
      </c>
    </row>
    <row r="462" spans="1:3">
      <c r="A462" s="2" t="s">
        <v>4298</v>
      </c>
      <c r="B462" t="s">
        <v>4293</v>
      </c>
      <c r="C462" t="s">
        <v>4298</v>
      </c>
    </row>
    <row r="463" spans="1:3">
      <c r="A463" s="2" t="s">
        <v>4299</v>
      </c>
      <c r="B463" t="s">
        <v>4293</v>
      </c>
      <c r="C463" t="s">
        <v>4299</v>
      </c>
    </row>
    <row r="464" spans="1:3">
      <c r="A464" s="2" t="s">
        <v>4300</v>
      </c>
      <c r="B464" t="s">
        <v>4293</v>
      </c>
      <c r="C464" t="s">
        <v>4300</v>
      </c>
    </row>
    <row r="465" spans="1:3">
      <c r="A465" s="2" t="s">
        <v>4301</v>
      </c>
      <c r="B465" t="s">
        <v>4293</v>
      </c>
      <c r="C465" t="s">
        <v>4301</v>
      </c>
    </row>
    <row r="466" spans="1:3">
      <c r="A466" s="2" t="s">
        <v>4302</v>
      </c>
      <c r="B466" t="s">
        <v>4293</v>
      </c>
      <c r="C466" t="s">
        <v>4302</v>
      </c>
    </row>
    <row r="467" spans="1:3">
      <c r="A467" s="2" t="s">
        <v>4303</v>
      </c>
      <c r="B467" t="s">
        <v>4293</v>
      </c>
      <c r="C467" t="s">
        <v>4303</v>
      </c>
    </row>
    <row r="468" spans="1:3">
      <c r="A468" s="2" t="s">
        <v>4304</v>
      </c>
      <c r="B468" t="s">
        <v>4293</v>
      </c>
      <c r="C468" t="s">
        <v>4304</v>
      </c>
    </row>
    <row r="469" spans="1:3">
      <c r="A469" s="2" t="s">
        <v>4305</v>
      </c>
      <c r="B469" t="s">
        <v>4293</v>
      </c>
      <c r="C469" t="s">
        <v>4305</v>
      </c>
    </row>
    <row r="470" spans="1:3">
      <c r="A470" s="2" t="s">
        <v>4306</v>
      </c>
      <c r="B470" t="s">
        <v>4293</v>
      </c>
      <c r="C470" t="s">
        <v>4306</v>
      </c>
    </row>
    <row r="471" spans="1:3">
      <c r="A471" s="2" t="s">
        <v>4307</v>
      </c>
      <c r="B471" t="s">
        <v>4293</v>
      </c>
      <c r="C471" t="s">
        <v>4307</v>
      </c>
    </row>
    <row r="473" spans="1:3">
      <c r="A473" s="27" t="s">
        <v>4308</v>
      </c>
      <c r="B473" s="27"/>
    </row>
    <row r="475" spans="1:3">
      <c r="A475" s="2" t="s">
        <v>4309</v>
      </c>
      <c r="B475" t="s">
        <v>4308</v>
      </c>
      <c r="C475" s="29" t="s">
        <v>4309</v>
      </c>
    </row>
    <row r="476" spans="1:3">
      <c r="A476" s="2" t="s">
        <v>4310</v>
      </c>
      <c r="B476" t="s">
        <v>4308</v>
      </c>
      <c r="C476" s="29" t="s">
        <v>4310</v>
      </c>
    </row>
    <row r="477" spans="1:3">
      <c r="A477" s="2" t="s">
        <v>4311</v>
      </c>
      <c r="B477" t="s">
        <v>4308</v>
      </c>
      <c r="C477" s="29" t="s">
        <v>4311</v>
      </c>
    </row>
    <row r="478" spans="1:3">
      <c r="A478" s="2" t="s">
        <v>4312</v>
      </c>
      <c r="B478" t="s">
        <v>4308</v>
      </c>
      <c r="C478" s="29" t="s">
        <v>4312</v>
      </c>
    </row>
    <row r="479" spans="1:3">
      <c r="A479" s="2" t="s">
        <v>4313</v>
      </c>
      <c r="B479" t="s">
        <v>4308</v>
      </c>
      <c r="C479" s="29" t="s">
        <v>4313</v>
      </c>
    </row>
    <row r="480" spans="1:3">
      <c r="A480" s="2" t="s">
        <v>4314</v>
      </c>
      <c r="B480" t="s">
        <v>4308</v>
      </c>
      <c r="C480" s="29" t="s">
        <v>4314</v>
      </c>
    </row>
    <row r="481" spans="1:3">
      <c r="A481" s="2" t="s">
        <v>4315</v>
      </c>
      <c r="B481" t="s">
        <v>4308</v>
      </c>
      <c r="C481" s="29" t="s">
        <v>4315</v>
      </c>
    </row>
    <row r="482" spans="1:3">
      <c r="A482" s="2" t="s">
        <v>4316</v>
      </c>
      <c r="B482" t="s">
        <v>4308</v>
      </c>
      <c r="C482" s="29" t="s">
        <v>4316</v>
      </c>
    </row>
    <row r="483" spans="1:3">
      <c r="A483" s="2" t="s">
        <v>4317</v>
      </c>
      <c r="B483" t="s">
        <v>4308</v>
      </c>
      <c r="C483" s="29" t="s">
        <v>4317</v>
      </c>
    </row>
    <row r="485" spans="1:3">
      <c r="A485" s="27" t="s">
        <v>4318</v>
      </c>
      <c r="B485" s="27"/>
    </row>
    <row r="487" spans="1:3">
      <c r="A487" s="2" t="s">
        <v>4319</v>
      </c>
      <c r="B487" t="s">
        <v>4318</v>
      </c>
      <c r="C487" t="s">
        <v>4319</v>
      </c>
    </row>
    <row r="488" spans="1:3">
      <c r="A488" s="2" t="s">
        <v>4320</v>
      </c>
      <c r="B488" t="s">
        <v>4318</v>
      </c>
      <c r="C488" t="s">
        <v>4320</v>
      </c>
    </row>
    <row r="489" spans="1:3">
      <c r="A489" s="2" t="s">
        <v>4321</v>
      </c>
      <c r="B489" t="s">
        <v>4318</v>
      </c>
      <c r="C489" t="s">
        <v>4321</v>
      </c>
    </row>
    <row r="491" spans="1:3">
      <c r="A491" s="27" t="s">
        <v>3537</v>
      </c>
      <c r="B491" s="27"/>
    </row>
    <row r="493" spans="1:3">
      <c r="A493" s="2" t="s">
        <v>4322</v>
      </c>
      <c r="B493" t="s">
        <v>3537</v>
      </c>
      <c r="C493" t="s">
        <v>4322</v>
      </c>
    </row>
    <row r="494" spans="1:3">
      <c r="A494" s="2" t="s">
        <v>4323</v>
      </c>
      <c r="B494" t="s">
        <v>3537</v>
      </c>
      <c r="C494" t="s">
        <v>4323</v>
      </c>
    </row>
    <row r="495" spans="1:3">
      <c r="A495" s="2" t="s">
        <v>4324</v>
      </c>
      <c r="B495" t="s">
        <v>3537</v>
      </c>
      <c r="C495" t="s">
        <v>4324</v>
      </c>
    </row>
    <row r="496" spans="1:3">
      <c r="A496" s="2" t="s">
        <v>4325</v>
      </c>
      <c r="B496" t="s">
        <v>3537</v>
      </c>
      <c r="C496" t="s">
        <v>4325</v>
      </c>
    </row>
    <row r="497" spans="1:3">
      <c r="A497" s="2" t="s">
        <v>4326</v>
      </c>
      <c r="B497" t="s">
        <v>3537</v>
      </c>
      <c r="C497" t="s">
        <v>4326</v>
      </c>
    </row>
    <row r="498" spans="1:3">
      <c r="A498" s="2" t="s">
        <v>4327</v>
      </c>
      <c r="B498" t="s">
        <v>3537</v>
      </c>
      <c r="C498" t="s">
        <v>4327</v>
      </c>
    </row>
    <row r="499" spans="1:3">
      <c r="A499" s="2" t="s">
        <v>4328</v>
      </c>
      <c r="B499" t="s">
        <v>3537</v>
      </c>
      <c r="C499" t="s">
        <v>4328</v>
      </c>
    </row>
    <row r="500" spans="1:3">
      <c r="A500" s="2" t="s">
        <v>4329</v>
      </c>
      <c r="B500" t="s">
        <v>3537</v>
      </c>
      <c r="C500" t="s">
        <v>4329</v>
      </c>
    </row>
    <row r="501" spans="1:3">
      <c r="A501" s="2" t="s">
        <v>4330</v>
      </c>
      <c r="B501" t="s">
        <v>3537</v>
      </c>
      <c r="C501" t="s">
        <v>4330</v>
      </c>
    </row>
    <row r="502" spans="1:3">
      <c r="A502" s="2" t="s">
        <v>4331</v>
      </c>
      <c r="B502" t="s">
        <v>3537</v>
      </c>
      <c r="C502" t="s">
        <v>4331</v>
      </c>
    </row>
    <row r="503" spans="1:3">
      <c r="A503" s="2" t="s">
        <v>4332</v>
      </c>
      <c r="B503" t="s">
        <v>3537</v>
      </c>
      <c r="C503" t="s">
        <v>4332</v>
      </c>
    </row>
    <row r="504" spans="1:3">
      <c r="A504" s="2" t="s">
        <v>4333</v>
      </c>
      <c r="B504" t="s">
        <v>3537</v>
      </c>
      <c r="C504" t="s">
        <v>4333</v>
      </c>
    </row>
    <row r="505" spans="1:3">
      <c r="A505" s="2" t="s">
        <v>4334</v>
      </c>
      <c r="B505" t="s">
        <v>3537</v>
      </c>
      <c r="C505" t="s">
        <v>4334</v>
      </c>
    </row>
    <row r="506" spans="1:3">
      <c r="A506" s="2" t="s">
        <v>4335</v>
      </c>
      <c r="B506" t="s">
        <v>3537</v>
      </c>
      <c r="C506" t="s">
        <v>4335</v>
      </c>
    </row>
    <row r="507" spans="1:3">
      <c r="A507" s="2" t="s">
        <v>4336</v>
      </c>
      <c r="B507" t="s">
        <v>3537</v>
      </c>
      <c r="C507" t="s">
        <v>4336</v>
      </c>
    </row>
    <row r="508" spans="1:3">
      <c r="A508" s="2" t="s">
        <v>4337</v>
      </c>
      <c r="B508" t="s">
        <v>3537</v>
      </c>
      <c r="C508" t="s">
        <v>4337</v>
      </c>
    </row>
    <row r="509" spans="1:3">
      <c r="A509" s="2" t="s">
        <v>4338</v>
      </c>
      <c r="B509" t="s">
        <v>3537</v>
      </c>
      <c r="C509" t="s">
        <v>4338</v>
      </c>
    </row>
    <row r="510" spans="1:3">
      <c r="A510" s="2" t="s">
        <v>4339</v>
      </c>
      <c r="B510" t="s">
        <v>3537</v>
      </c>
      <c r="C510" t="s">
        <v>4339</v>
      </c>
    </row>
    <row r="511" spans="1:3">
      <c r="A511" s="2" t="s">
        <v>4340</v>
      </c>
      <c r="B511" t="s">
        <v>3537</v>
      </c>
      <c r="C511" t="s">
        <v>4340</v>
      </c>
    </row>
    <row r="512" spans="1:3">
      <c r="A512" s="2" t="s">
        <v>4341</v>
      </c>
      <c r="B512" t="s">
        <v>3537</v>
      </c>
      <c r="C512" t="s">
        <v>4341</v>
      </c>
    </row>
    <row r="513" spans="1:3">
      <c r="A513" s="2" t="s">
        <v>4342</v>
      </c>
      <c r="B513" t="s">
        <v>3537</v>
      </c>
      <c r="C513" t="s">
        <v>4342</v>
      </c>
    </row>
    <row r="514" spans="1:3">
      <c r="A514" s="2" t="s">
        <v>4343</v>
      </c>
      <c r="B514" t="s">
        <v>3537</v>
      </c>
      <c r="C514" t="s">
        <v>4343</v>
      </c>
    </row>
    <row r="515" spans="1:3">
      <c r="A515" s="2" t="s">
        <v>4344</v>
      </c>
      <c r="B515" t="s">
        <v>3537</v>
      </c>
      <c r="C515" t="s">
        <v>4344</v>
      </c>
    </row>
    <row r="516" spans="1:3">
      <c r="A516" s="2" t="s">
        <v>4345</v>
      </c>
      <c r="B516" t="s">
        <v>3537</v>
      </c>
      <c r="C516" t="s">
        <v>4345</v>
      </c>
    </row>
    <row r="517" spans="1:3">
      <c r="A517" s="2" t="s">
        <v>4346</v>
      </c>
      <c r="B517" t="s">
        <v>3537</v>
      </c>
      <c r="C517" t="s">
        <v>4346</v>
      </c>
    </row>
    <row r="519" spans="1:3">
      <c r="A519" s="27" t="s">
        <v>4347</v>
      </c>
      <c r="B519" s="27"/>
    </row>
    <row r="521" spans="1:3">
      <c r="A521" s="2" t="s">
        <v>4348</v>
      </c>
      <c r="B521" t="s">
        <v>4347</v>
      </c>
      <c r="C521" s="29" t="s">
        <v>4348</v>
      </c>
    </row>
    <row r="522" spans="1:3">
      <c r="A522" s="2" t="s">
        <v>4349</v>
      </c>
      <c r="B522" t="s">
        <v>4347</v>
      </c>
      <c r="C522" s="29" t="s">
        <v>4349</v>
      </c>
    </row>
    <row r="523" spans="1:3">
      <c r="A523" s="2" t="s">
        <v>4350</v>
      </c>
      <c r="B523" t="s">
        <v>4347</v>
      </c>
      <c r="C523" s="29" t="s">
        <v>4350</v>
      </c>
    </row>
    <row r="524" spans="1:3">
      <c r="A524" s="2" t="s">
        <v>4351</v>
      </c>
      <c r="B524" t="s">
        <v>4347</v>
      </c>
      <c r="C524" s="29" t="s">
        <v>4351</v>
      </c>
    </row>
    <row r="526" spans="1:3">
      <c r="A526" s="27" t="s">
        <v>4352</v>
      </c>
      <c r="B526" s="27"/>
    </row>
    <row r="528" spans="1:3">
      <c r="A528" s="2" t="s">
        <v>4353</v>
      </c>
      <c r="B528" t="s">
        <v>4352</v>
      </c>
      <c r="C528" s="29" t="s">
        <v>4353</v>
      </c>
    </row>
    <row r="529" spans="1:3">
      <c r="A529" s="2" t="s">
        <v>4354</v>
      </c>
      <c r="B529" t="s">
        <v>4352</v>
      </c>
      <c r="C529" s="29" t="s">
        <v>4354</v>
      </c>
    </row>
    <row r="530" spans="1:3">
      <c r="A530" s="2" t="s">
        <v>4355</v>
      </c>
      <c r="B530" t="s">
        <v>4352</v>
      </c>
      <c r="C530" s="29" t="s">
        <v>4355</v>
      </c>
    </row>
    <row r="531" spans="1:3">
      <c r="A531" s="2" t="s">
        <v>4356</v>
      </c>
      <c r="B531" t="s">
        <v>4352</v>
      </c>
      <c r="C531" s="29" t="s">
        <v>4356</v>
      </c>
    </row>
    <row r="532" spans="1:3">
      <c r="A532" s="2" t="s">
        <v>4357</v>
      </c>
      <c r="B532" t="s">
        <v>4352</v>
      </c>
      <c r="C532" s="29" t="s">
        <v>4357</v>
      </c>
    </row>
    <row r="534" spans="1:3">
      <c r="A534" s="27" t="s">
        <v>681</v>
      </c>
      <c r="B534" s="27"/>
    </row>
    <row r="536" spans="1:3">
      <c r="A536" s="2" t="s">
        <v>4358</v>
      </c>
      <c r="B536" t="s">
        <v>681</v>
      </c>
      <c r="C536" s="29" t="s">
        <v>4358</v>
      </c>
    </row>
    <row r="537" spans="1:3">
      <c r="A537" s="2" t="s">
        <v>4359</v>
      </c>
      <c r="B537" t="s">
        <v>681</v>
      </c>
      <c r="C537" s="29" t="s">
        <v>4359</v>
      </c>
    </row>
    <row r="538" spans="1:3">
      <c r="A538" s="2" t="s">
        <v>4360</v>
      </c>
      <c r="B538" t="s">
        <v>681</v>
      </c>
      <c r="C538" s="29" t="s">
        <v>4360</v>
      </c>
    </row>
    <row r="539" spans="1:3">
      <c r="A539" s="2" t="s">
        <v>4361</v>
      </c>
      <c r="B539" t="s">
        <v>681</v>
      </c>
      <c r="C539" s="29" t="s">
        <v>4361</v>
      </c>
    </row>
    <row r="540" spans="1:3">
      <c r="A540" s="2" t="s">
        <v>4362</v>
      </c>
      <c r="B540" t="s">
        <v>681</v>
      </c>
      <c r="C540" s="29" t="s">
        <v>4362</v>
      </c>
    </row>
    <row r="541" spans="1:3">
      <c r="A541" s="2" t="s">
        <v>4363</v>
      </c>
      <c r="B541" t="s">
        <v>681</v>
      </c>
      <c r="C541" s="29" t="s">
        <v>4363</v>
      </c>
    </row>
    <row r="542" spans="1:3">
      <c r="A542" s="2" t="s">
        <v>4364</v>
      </c>
      <c r="B542" t="s">
        <v>681</v>
      </c>
      <c r="C542" s="29" t="s">
        <v>4364</v>
      </c>
    </row>
    <row r="544" spans="1:3">
      <c r="A544" s="27" t="s">
        <v>4365</v>
      </c>
      <c r="B544" s="27"/>
    </row>
    <row r="546" spans="1:3">
      <c r="A546" s="2" t="s">
        <v>4366</v>
      </c>
      <c r="B546" t="s">
        <v>4365</v>
      </c>
      <c r="C546" t="s">
        <v>4366</v>
      </c>
    </row>
    <row r="548" spans="1:3">
      <c r="A548" s="27" t="s">
        <v>4367</v>
      </c>
      <c r="B548" s="27"/>
    </row>
    <row r="550" spans="1:3">
      <c r="A550" s="2" t="s">
        <v>4368</v>
      </c>
      <c r="B550" t="s">
        <v>4367</v>
      </c>
      <c r="C550" t="s">
        <v>4368</v>
      </c>
    </row>
    <row r="551" spans="1:3">
      <c r="A551" s="2" t="s">
        <v>4369</v>
      </c>
      <c r="B551" t="s">
        <v>4367</v>
      </c>
      <c r="C551" t="s">
        <v>4369</v>
      </c>
    </row>
    <row r="552" spans="1:3">
      <c r="A552" s="2" t="s">
        <v>4370</v>
      </c>
      <c r="B552" t="s">
        <v>4367</v>
      </c>
      <c r="C552" t="s">
        <v>4370</v>
      </c>
    </row>
    <row r="553" spans="1:3">
      <c r="A553" s="2" t="s">
        <v>4371</v>
      </c>
      <c r="B553" t="s">
        <v>4367</v>
      </c>
      <c r="C553" t="s">
        <v>4371</v>
      </c>
    </row>
    <row r="554" spans="1:3">
      <c r="A554" s="2" t="s">
        <v>4372</v>
      </c>
      <c r="B554" t="s">
        <v>4367</v>
      </c>
      <c r="C554" t="s">
        <v>4372</v>
      </c>
    </row>
    <row r="556" spans="1:3">
      <c r="A556" s="27" t="s">
        <v>4373</v>
      </c>
      <c r="B556" s="27"/>
    </row>
    <row r="558" spans="1:3">
      <c r="A558" s="2" t="s">
        <v>4374</v>
      </c>
      <c r="B558" t="s">
        <v>4373</v>
      </c>
      <c r="C558" s="29" t="s">
        <v>4374</v>
      </c>
    </row>
    <row r="559" spans="1:3">
      <c r="A559" s="2" t="s">
        <v>4375</v>
      </c>
      <c r="B559" t="s">
        <v>4373</v>
      </c>
      <c r="C559" s="29" t="s">
        <v>4375</v>
      </c>
    </row>
    <row r="560" spans="1:3">
      <c r="A560" s="2" t="s">
        <v>4376</v>
      </c>
      <c r="B560" t="s">
        <v>4373</v>
      </c>
      <c r="C560" s="29" t="s">
        <v>4376</v>
      </c>
    </row>
    <row r="561" spans="1:3">
      <c r="A561" s="2" t="s">
        <v>4377</v>
      </c>
      <c r="B561" t="s">
        <v>4373</v>
      </c>
      <c r="C561" s="29" t="s">
        <v>4377</v>
      </c>
    </row>
    <row r="562" spans="1:3">
      <c r="A562" s="2" t="s">
        <v>4378</v>
      </c>
      <c r="B562" t="s">
        <v>4373</v>
      </c>
      <c r="C562" s="29" t="s">
        <v>4378</v>
      </c>
    </row>
    <row r="563" spans="1:3">
      <c r="A563" s="2" t="s">
        <v>4379</v>
      </c>
      <c r="B563" t="s">
        <v>4373</v>
      </c>
      <c r="C563" s="29" t="s">
        <v>4379</v>
      </c>
    </row>
    <row r="565" spans="1:3">
      <c r="A565" s="27" t="s">
        <v>4380</v>
      </c>
      <c r="B565" s="27"/>
    </row>
    <row r="567" spans="1:3">
      <c r="A567" s="2" t="s">
        <v>4381</v>
      </c>
      <c r="B567" t="s">
        <v>4380</v>
      </c>
      <c r="C567" s="29" t="s">
        <v>4381</v>
      </c>
    </row>
    <row r="568" spans="1:3">
      <c r="A568" s="2" t="s">
        <v>4382</v>
      </c>
      <c r="B568" t="s">
        <v>4380</v>
      </c>
      <c r="C568" s="29" t="s">
        <v>4382</v>
      </c>
    </row>
    <row r="569" spans="1:3">
      <c r="A569" s="2" t="s">
        <v>4383</v>
      </c>
      <c r="B569" t="s">
        <v>4380</v>
      </c>
      <c r="C569" s="29" t="s">
        <v>4383</v>
      </c>
    </row>
    <row r="571" spans="1:3">
      <c r="A571" s="27" t="s">
        <v>3543</v>
      </c>
      <c r="B571" s="27"/>
    </row>
    <row r="573" spans="1:3">
      <c r="A573" s="2" t="s">
        <v>3640</v>
      </c>
      <c r="B573" t="s">
        <v>3543</v>
      </c>
      <c r="C573" s="29" t="s">
        <v>3640</v>
      </c>
    </row>
    <row r="574" spans="1:3">
      <c r="A574" s="2" t="s">
        <v>4384</v>
      </c>
      <c r="B574" t="s">
        <v>3543</v>
      </c>
      <c r="C574" s="29" t="s">
        <v>4384</v>
      </c>
    </row>
    <row r="575" spans="1:3">
      <c r="A575" s="2" t="s">
        <v>4385</v>
      </c>
      <c r="B575" t="s">
        <v>3543</v>
      </c>
      <c r="C575" s="29" t="s">
        <v>4385</v>
      </c>
    </row>
    <row r="576" spans="1:3">
      <c r="A576" s="2" t="s">
        <v>4386</v>
      </c>
      <c r="B576" t="s">
        <v>3543</v>
      </c>
      <c r="C576" s="29" t="s">
        <v>4386</v>
      </c>
    </row>
    <row r="577" spans="1:3">
      <c r="A577" s="2" t="s">
        <v>4387</v>
      </c>
      <c r="B577" t="s">
        <v>3543</v>
      </c>
      <c r="C577" s="29" t="s">
        <v>4387</v>
      </c>
    </row>
    <row r="578" spans="1:3">
      <c r="A578" s="2" t="s">
        <v>4388</v>
      </c>
      <c r="B578" t="s">
        <v>3543</v>
      </c>
      <c r="C578" s="29" t="s">
        <v>4388</v>
      </c>
    </row>
    <row r="579" spans="1:3">
      <c r="A579" s="2" t="s">
        <v>4389</v>
      </c>
      <c r="B579" t="s">
        <v>3543</v>
      </c>
      <c r="C579" s="29" t="s">
        <v>4389</v>
      </c>
    </row>
    <row r="580" spans="1:3">
      <c r="A580" s="2" t="s">
        <v>4390</v>
      </c>
      <c r="B580" t="s">
        <v>3543</v>
      </c>
      <c r="C580" s="29" t="s">
        <v>4390</v>
      </c>
    </row>
    <row r="581" spans="1:3">
      <c r="A581" s="2" t="s">
        <v>3670</v>
      </c>
      <c r="B581" t="s">
        <v>3543</v>
      </c>
      <c r="C581" s="29" t="s">
        <v>3670</v>
      </c>
    </row>
    <row r="582" spans="1:3">
      <c r="A582" s="2" t="s">
        <v>4391</v>
      </c>
      <c r="B582" t="s">
        <v>3543</v>
      </c>
      <c r="C582" s="29" t="s">
        <v>4391</v>
      </c>
    </row>
    <row r="584" spans="1:3">
      <c r="A584" s="27" t="s">
        <v>3545</v>
      </c>
      <c r="B584" s="27"/>
    </row>
    <row r="586" spans="1:3">
      <c r="A586" s="2" t="s">
        <v>4392</v>
      </c>
      <c r="B586" t="s">
        <v>3545</v>
      </c>
      <c r="C586" s="28" t="s">
        <v>4392</v>
      </c>
    </row>
    <row r="587" spans="1:3">
      <c r="A587" s="2" t="s">
        <v>4393</v>
      </c>
      <c r="B587" t="s">
        <v>3545</v>
      </c>
      <c r="C587" s="28" t="s">
        <v>4393</v>
      </c>
    </row>
    <row r="588" spans="1:3">
      <c r="A588" s="2" t="s">
        <v>4394</v>
      </c>
      <c r="B588" t="s">
        <v>3545</v>
      </c>
      <c r="C588" s="28" t="s">
        <v>4394</v>
      </c>
    </row>
    <row r="589" spans="1:3">
      <c r="A589" s="2" t="s">
        <v>4395</v>
      </c>
      <c r="B589" t="s">
        <v>3545</v>
      </c>
      <c r="C589" s="28" t="s">
        <v>4395</v>
      </c>
    </row>
    <row r="590" spans="1:3">
      <c r="A590" s="2" t="s">
        <v>4396</v>
      </c>
      <c r="B590" t="s">
        <v>3545</v>
      </c>
      <c r="C590" s="28" t="s">
        <v>4396</v>
      </c>
    </row>
    <row r="591" spans="1:3">
      <c r="A591" s="2" t="s">
        <v>4397</v>
      </c>
      <c r="B591" t="s">
        <v>3545</v>
      </c>
      <c r="C591" s="28" t="s">
        <v>4397</v>
      </c>
    </row>
    <row r="592" spans="1:3">
      <c r="A592" s="2" t="s">
        <v>4398</v>
      </c>
      <c r="B592" t="s">
        <v>3545</v>
      </c>
      <c r="C592" s="28" t="s">
        <v>4398</v>
      </c>
    </row>
    <row r="593" spans="1:3">
      <c r="A593" s="2" t="s">
        <v>4399</v>
      </c>
      <c r="B593" t="s">
        <v>3545</v>
      </c>
      <c r="C593" s="28" t="s">
        <v>4399</v>
      </c>
    </row>
    <row r="594" spans="1:3">
      <c r="A594" s="2" t="s">
        <v>4400</v>
      </c>
      <c r="B594" t="s">
        <v>3545</v>
      </c>
      <c r="C594" s="28" t="s">
        <v>4400</v>
      </c>
    </row>
    <row r="595" spans="1:3">
      <c r="A595" s="2" t="s">
        <v>4401</v>
      </c>
      <c r="B595" t="s">
        <v>3545</v>
      </c>
      <c r="C595" s="28" t="s">
        <v>4401</v>
      </c>
    </row>
    <row r="596" spans="1:3">
      <c r="A596" s="2" t="s">
        <v>4402</v>
      </c>
      <c r="B596" t="s">
        <v>3545</v>
      </c>
      <c r="C596" s="28" t="s">
        <v>4402</v>
      </c>
    </row>
    <row r="597" spans="1:3">
      <c r="A597" s="2" t="s">
        <v>4403</v>
      </c>
      <c r="B597" t="s">
        <v>3545</v>
      </c>
      <c r="C597" s="28" t="s">
        <v>4403</v>
      </c>
    </row>
    <row r="598" spans="1:3">
      <c r="A598" s="2" t="s">
        <v>4404</v>
      </c>
      <c r="B598" t="s">
        <v>3545</v>
      </c>
      <c r="C598" s="28" t="s">
        <v>4404</v>
      </c>
    </row>
    <row r="599" spans="1:3">
      <c r="A599" s="2" t="s">
        <v>4405</v>
      </c>
      <c r="B599" t="s">
        <v>3545</v>
      </c>
      <c r="C599" s="28" t="s">
        <v>4405</v>
      </c>
    </row>
    <row r="600" spans="1:3">
      <c r="A600" s="2" t="s">
        <v>4406</v>
      </c>
      <c r="B600" t="s">
        <v>3545</v>
      </c>
      <c r="C600" s="28" t="s">
        <v>4406</v>
      </c>
    </row>
    <row r="601" spans="1:3">
      <c r="A601" s="2" t="s">
        <v>4407</v>
      </c>
      <c r="B601" t="s">
        <v>3545</v>
      </c>
      <c r="C601" s="28" t="s">
        <v>4407</v>
      </c>
    </row>
    <row r="602" spans="1:3">
      <c r="A602" s="2" t="s">
        <v>4408</v>
      </c>
      <c r="B602" t="s">
        <v>3545</v>
      </c>
      <c r="C602" s="28" t="s">
        <v>4408</v>
      </c>
    </row>
    <row r="603" spans="1:3">
      <c r="A603" s="2" t="s">
        <v>4409</v>
      </c>
      <c r="B603" t="s">
        <v>3545</v>
      </c>
      <c r="C603" s="28" t="s">
        <v>4409</v>
      </c>
    </row>
    <row r="604" spans="1:3">
      <c r="A604" s="2" t="s">
        <v>4410</v>
      </c>
      <c r="B604" t="s">
        <v>3545</v>
      </c>
      <c r="C604" s="28" t="s">
        <v>4410</v>
      </c>
    </row>
    <row r="605" spans="1:3">
      <c r="A605" s="2" t="s">
        <v>4411</v>
      </c>
      <c r="B605" t="s">
        <v>3545</v>
      </c>
      <c r="C605" s="28" t="s">
        <v>4411</v>
      </c>
    </row>
    <row r="606" spans="1:3">
      <c r="A606" s="2" t="s">
        <v>4412</v>
      </c>
      <c r="B606" t="s">
        <v>3545</v>
      </c>
      <c r="C606" s="28" t="s">
        <v>4412</v>
      </c>
    </row>
    <row r="607" spans="1:3">
      <c r="A607" s="2" t="s">
        <v>4413</v>
      </c>
      <c r="B607" t="s">
        <v>3545</v>
      </c>
      <c r="C607" s="28" t="s">
        <v>4413</v>
      </c>
    </row>
    <row r="608" spans="1:3">
      <c r="A608" s="2" t="s">
        <v>4414</v>
      </c>
      <c r="B608" t="s">
        <v>3545</v>
      </c>
      <c r="C608" s="28" t="s">
        <v>4414</v>
      </c>
    </row>
    <row r="609" spans="1:3">
      <c r="A609" s="2" t="s">
        <v>4415</v>
      </c>
      <c r="B609" t="s">
        <v>3545</v>
      </c>
      <c r="C609" s="28" t="s">
        <v>4415</v>
      </c>
    </row>
    <row r="611" spans="1:3">
      <c r="A611" s="27" t="s">
        <v>4416</v>
      </c>
      <c r="B611" s="27"/>
    </row>
    <row r="613" spans="1:3">
      <c r="A613" s="2" t="s">
        <v>4417</v>
      </c>
      <c r="B613" t="s">
        <v>4416</v>
      </c>
      <c r="C613" t="s">
        <v>4417</v>
      </c>
    </row>
    <row r="615" spans="1:3">
      <c r="A615" s="27" t="s">
        <v>3549</v>
      </c>
      <c r="B615" s="27"/>
    </row>
    <row r="617" spans="1:3">
      <c r="A617" s="2" t="s">
        <v>3666</v>
      </c>
      <c r="B617" t="s">
        <v>3549</v>
      </c>
      <c r="C617" s="29" t="s">
        <v>3666</v>
      </c>
    </row>
    <row r="618" spans="1:3">
      <c r="A618" s="2" t="s">
        <v>4418</v>
      </c>
      <c r="B618" t="s">
        <v>3549</v>
      </c>
      <c r="C618" s="29" t="s">
        <v>4418</v>
      </c>
    </row>
    <row r="619" spans="1:3">
      <c r="A619" s="2" t="s">
        <v>4419</v>
      </c>
      <c r="B619" t="s">
        <v>3549</v>
      </c>
      <c r="C619" s="29" t="s">
        <v>4419</v>
      </c>
    </row>
    <row r="620" spans="1:3">
      <c r="A620" s="2" t="s">
        <v>4420</v>
      </c>
      <c r="B620" t="s">
        <v>3549</v>
      </c>
      <c r="C620" s="29" t="s">
        <v>4420</v>
      </c>
    </row>
    <row r="621" spans="1:3">
      <c r="A621" s="2" t="s">
        <v>4421</v>
      </c>
      <c r="B621" t="s">
        <v>3549</v>
      </c>
      <c r="C621" s="29" t="s">
        <v>4421</v>
      </c>
    </row>
    <row r="622" spans="1:3">
      <c r="A622" s="2" t="s">
        <v>4422</v>
      </c>
      <c r="B622" t="s">
        <v>3549</v>
      </c>
      <c r="C622" s="29" t="s">
        <v>4422</v>
      </c>
    </row>
    <row r="623" spans="1:3">
      <c r="A623" s="2" t="s">
        <v>4423</v>
      </c>
      <c r="B623" t="s">
        <v>3549</v>
      </c>
      <c r="C623" s="29" t="s">
        <v>4423</v>
      </c>
    </row>
    <row r="624" spans="1:3">
      <c r="A624" s="2" t="s">
        <v>4424</v>
      </c>
      <c r="B624" t="s">
        <v>3549</v>
      </c>
      <c r="C624" s="29" t="s">
        <v>4424</v>
      </c>
    </row>
    <row r="626" spans="1:3">
      <c r="A626" s="27" t="s">
        <v>4425</v>
      </c>
      <c r="B626" s="27"/>
    </row>
    <row r="628" spans="1:3">
      <c r="A628" s="2" t="s">
        <v>4426</v>
      </c>
      <c r="B628" t="s">
        <v>4425</v>
      </c>
      <c r="C628" s="29" t="s">
        <v>4426</v>
      </c>
    </row>
    <row r="629" spans="1:3">
      <c r="A629" s="2" t="s">
        <v>4427</v>
      </c>
      <c r="B629" t="s">
        <v>4425</v>
      </c>
      <c r="C629" s="29" t="s">
        <v>4427</v>
      </c>
    </row>
    <row r="630" spans="1:3">
      <c r="A630" s="2" t="s">
        <v>4428</v>
      </c>
      <c r="B630" t="s">
        <v>4425</v>
      </c>
      <c r="C630" s="29" t="s">
        <v>4428</v>
      </c>
    </row>
    <row r="631" spans="1:3">
      <c r="A631" s="2" t="s">
        <v>4429</v>
      </c>
      <c r="B631" t="s">
        <v>4425</v>
      </c>
      <c r="C631" s="29" t="s">
        <v>4429</v>
      </c>
    </row>
    <row r="632" spans="1:3">
      <c r="A632" s="2" t="s">
        <v>4430</v>
      </c>
      <c r="B632" t="s">
        <v>4425</v>
      </c>
      <c r="C632" s="29" t="s">
        <v>4430</v>
      </c>
    </row>
    <row r="633" spans="1:3">
      <c r="A633" s="2" t="s">
        <v>4431</v>
      </c>
      <c r="B633" t="s">
        <v>4425</v>
      </c>
      <c r="C633" s="29" t="s">
        <v>4431</v>
      </c>
    </row>
    <row r="635" spans="1:3">
      <c r="A635" s="27" t="s">
        <v>4432</v>
      </c>
      <c r="B635" s="27"/>
    </row>
    <row r="637" spans="1:3">
      <c r="A637" s="2" t="s">
        <v>3629</v>
      </c>
      <c r="B637" t="s">
        <v>4432</v>
      </c>
      <c r="C637" t="s">
        <v>3629</v>
      </c>
    </row>
    <row r="639" spans="1:3">
      <c r="A639" s="27" t="s">
        <v>4433</v>
      </c>
      <c r="B639" s="27"/>
    </row>
    <row r="641" spans="1:3">
      <c r="A641" s="2" t="s">
        <v>4434</v>
      </c>
      <c r="B641" t="s">
        <v>4433</v>
      </c>
      <c r="C641" t="s">
        <v>4434</v>
      </c>
    </row>
    <row r="642" spans="1:3">
      <c r="A642" s="2" t="s">
        <v>4435</v>
      </c>
      <c r="B642" t="s">
        <v>4433</v>
      </c>
      <c r="C642" t="s">
        <v>4435</v>
      </c>
    </row>
    <row r="643" spans="1:3">
      <c r="A643" s="2" t="s">
        <v>4436</v>
      </c>
      <c r="B643" t="s">
        <v>4433</v>
      </c>
      <c r="C643" t="s">
        <v>4436</v>
      </c>
    </row>
    <row r="644" spans="1:3">
      <c r="A644" s="2" t="s">
        <v>4437</v>
      </c>
      <c r="B644" t="s">
        <v>4433</v>
      </c>
      <c r="C644" t="s">
        <v>4437</v>
      </c>
    </row>
    <row r="645" spans="1:3">
      <c r="A645" s="2" t="s">
        <v>4438</v>
      </c>
      <c r="B645" t="s">
        <v>4433</v>
      </c>
      <c r="C645" t="s">
        <v>4438</v>
      </c>
    </row>
    <row r="647" spans="1:3">
      <c r="A647" s="27" t="s">
        <v>3556</v>
      </c>
      <c r="B647" s="27"/>
    </row>
    <row r="649" spans="1:3">
      <c r="A649" s="2" t="s">
        <v>4439</v>
      </c>
      <c r="B649" t="s">
        <v>3556</v>
      </c>
      <c r="C649" t="s">
        <v>4439</v>
      </c>
    </row>
    <row r="650" spans="1:3">
      <c r="A650" s="2" t="s">
        <v>4440</v>
      </c>
      <c r="B650" t="s">
        <v>3556</v>
      </c>
      <c r="C650" t="s">
        <v>4440</v>
      </c>
    </row>
    <row r="651" spans="1:3">
      <c r="A651" s="2" t="s">
        <v>4441</v>
      </c>
      <c r="B651" t="s">
        <v>3556</v>
      </c>
      <c r="C651" t="s">
        <v>4441</v>
      </c>
    </row>
    <row r="652" spans="1:3">
      <c r="A652" s="2" t="s">
        <v>4442</v>
      </c>
      <c r="B652" t="s">
        <v>3556</v>
      </c>
      <c r="C652" t="s">
        <v>4442</v>
      </c>
    </row>
    <row r="653" spans="1:3">
      <c r="A653" s="2" t="s">
        <v>4443</v>
      </c>
      <c r="B653" t="s">
        <v>3556</v>
      </c>
      <c r="C653" t="s">
        <v>4443</v>
      </c>
    </row>
    <row r="654" spans="1:3">
      <c r="A654" s="2" t="s">
        <v>4444</v>
      </c>
      <c r="B654" t="s">
        <v>3556</v>
      </c>
      <c r="C654" t="s">
        <v>4444</v>
      </c>
    </row>
    <row r="655" spans="1:3">
      <c r="A655" s="2" t="s">
        <v>4445</v>
      </c>
      <c r="B655" t="s">
        <v>3556</v>
      </c>
      <c r="C655" t="s">
        <v>4445</v>
      </c>
    </row>
    <row r="657" spans="1:3">
      <c r="A657" s="27" t="s">
        <v>3558</v>
      </c>
      <c r="B657" s="27"/>
    </row>
    <row r="659" spans="1:3">
      <c r="A659" s="2" t="s">
        <v>4446</v>
      </c>
      <c r="B659" t="s">
        <v>3558</v>
      </c>
      <c r="C659" t="s">
        <v>4446</v>
      </c>
    </row>
    <row r="660" spans="1:3">
      <c r="A660" s="2" t="s">
        <v>4447</v>
      </c>
      <c r="B660" t="s">
        <v>3558</v>
      </c>
      <c r="C660" t="s">
        <v>4447</v>
      </c>
    </row>
    <row r="661" spans="1:3">
      <c r="A661" s="2" t="s">
        <v>4448</v>
      </c>
      <c r="B661" t="s">
        <v>3558</v>
      </c>
      <c r="C661" t="s">
        <v>4448</v>
      </c>
    </row>
    <row r="662" spans="1:3">
      <c r="A662" s="2" t="s">
        <v>4449</v>
      </c>
      <c r="B662" t="s">
        <v>3558</v>
      </c>
      <c r="C662" t="s">
        <v>4449</v>
      </c>
    </row>
    <row r="663" spans="1:3">
      <c r="A663" s="2" t="s">
        <v>4450</v>
      </c>
      <c r="B663" t="s">
        <v>3558</v>
      </c>
      <c r="C663" t="s">
        <v>4450</v>
      </c>
    </row>
    <row r="664" spans="1:3">
      <c r="A664" s="2" t="s">
        <v>4451</v>
      </c>
      <c r="B664" t="s">
        <v>3558</v>
      </c>
      <c r="C664" t="s">
        <v>4451</v>
      </c>
    </row>
    <row r="665" spans="1:3">
      <c r="A665" s="2" t="s">
        <v>4452</v>
      </c>
      <c r="B665" t="s">
        <v>3558</v>
      </c>
      <c r="C665" t="s">
        <v>4452</v>
      </c>
    </row>
    <row r="666" spans="1:3">
      <c r="A666" s="2" t="s">
        <v>4453</v>
      </c>
      <c r="B666" t="s">
        <v>3558</v>
      </c>
      <c r="C666" t="s">
        <v>4453</v>
      </c>
    </row>
    <row r="667" spans="1:3">
      <c r="A667" s="2" t="s">
        <v>4454</v>
      </c>
      <c r="B667" t="s">
        <v>3558</v>
      </c>
      <c r="C667" t="s">
        <v>4454</v>
      </c>
    </row>
    <row r="668" spans="1:3">
      <c r="A668" s="2" t="s">
        <v>4455</v>
      </c>
      <c r="B668" t="s">
        <v>3558</v>
      </c>
      <c r="C668" t="s">
        <v>4455</v>
      </c>
    </row>
    <row r="669" spans="1:3">
      <c r="A669" s="2" t="s">
        <v>4456</v>
      </c>
      <c r="B669" t="s">
        <v>3558</v>
      </c>
      <c r="C669" t="s">
        <v>4456</v>
      </c>
    </row>
    <row r="670" spans="1:3">
      <c r="A670" s="2" t="s">
        <v>4457</v>
      </c>
      <c r="B670" t="s">
        <v>3558</v>
      </c>
      <c r="C670" t="s">
        <v>4457</v>
      </c>
    </row>
    <row r="672" spans="1:3">
      <c r="A672" s="27" t="s">
        <v>93</v>
      </c>
      <c r="B672" s="27"/>
    </row>
    <row r="674" spans="1:3">
      <c r="A674" s="2" t="s">
        <v>4458</v>
      </c>
      <c r="B674" t="s">
        <v>93</v>
      </c>
      <c r="C674" s="29" t="s">
        <v>4458</v>
      </c>
    </row>
    <row r="675" spans="1:3">
      <c r="A675" s="2" t="s">
        <v>4459</v>
      </c>
      <c r="B675" t="s">
        <v>93</v>
      </c>
      <c r="C675" s="29" t="s">
        <v>4459</v>
      </c>
    </row>
    <row r="676" spans="1:3">
      <c r="A676" s="2" t="s">
        <v>4460</v>
      </c>
      <c r="B676" t="s">
        <v>93</v>
      </c>
      <c r="C676" s="29" t="s">
        <v>4460</v>
      </c>
    </row>
    <row r="677" spans="1:3">
      <c r="A677" s="2" t="s">
        <v>4461</v>
      </c>
      <c r="B677" t="s">
        <v>93</v>
      </c>
      <c r="C677" s="29" t="s">
        <v>4461</v>
      </c>
    </row>
    <row r="678" spans="1:3">
      <c r="A678" s="2" t="s">
        <v>4462</v>
      </c>
      <c r="B678" t="s">
        <v>93</v>
      </c>
      <c r="C678" s="29" t="s">
        <v>4462</v>
      </c>
    </row>
    <row r="679" spans="1:3">
      <c r="A679" s="2" t="s">
        <v>4463</v>
      </c>
      <c r="B679" t="s">
        <v>93</v>
      </c>
      <c r="C679" s="29" t="s">
        <v>4463</v>
      </c>
    </row>
    <row r="680" spans="1:3">
      <c r="A680" s="2" t="s">
        <v>4464</v>
      </c>
      <c r="B680" t="s">
        <v>93</v>
      </c>
      <c r="C680" s="29" t="s">
        <v>4464</v>
      </c>
    </row>
    <row r="681" spans="1:3">
      <c r="A681" s="2" t="s">
        <v>4465</v>
      </c>
      <c r="B681" t="s">
        <v>93</v>
      </c>
      <c r="C681" s="29" t="s">
        <v>4465</v>
      </c>
    </row>
    <row r="682" spans="1:3">
      <c r="A682" s="2" t="s">
        <v>4466</v>
      </c>
      <c r="B682" t="s">
        <v>93</v>
      </c>
      <c r="C682" s="29" t="s">
        <v>4466</v>
      </c>
    </row>
    <row r="684" spans="1:3">
      <c r="A684" s="27" t="s">
        <v>4467</v>
      </c>
      <c r="B684" s="27"/>
    </row>
    <row r="686" spans="1:3">
      <c r="A686" s="2" t="s">
        <v>4468</v>
      </c>
      <c r="B686" t="s">
        <v>4467</v>
      </c>
      <c r="C686" s="29" t="s">
        <v>4468</v>
      </c>
    </row>
    <row r="687" spans="1:3">
      <c r="A687" s="2" t="s">
        <v>4469</v>
      </c>
      <c r="B687" t="s">
        <v>4467</v>
      </c>
      <c r="C687" s="29" t="s">
        <v>4469</v>
      </c>
    </row>
    <row r="688" spans="1:3">
      <c r="A688" s="2" t="s">
        <v>4470</v>
      </c>
      <c r="B688" t="s">
        <v>4467</v>
      </c>
      <c r="C688" s="29" t="s">
        <v>4470</v>
      </c>
    </row>
    <row r="689" spans="1:3">
      <c r="A689" s="2" t="s">
        <v>4471</v>
      </c>
      <c r="B689" t="s">
        <v>4467</v>
      </c>
      <c r="C689" s="29" t="s">
        <v>4471</v>
      </c>
    </row>
    <row r="690" spans="1:3">
      <c r="A690" s="2" t="s">
        <v>4472</v>
      </c>
      <c r="B690" t="s">
        <v>4467</v>
      </c>
      <c r="C690" s="29" t="s">
        <v>4472</v>
      </c>
    </row>
    <row r="691" spans="1:3">
      <c r="A691" s="2" t="s">
        <v>4473</v>
      </c>
      <c r="B691" t="s">
        <v>4467</v>
      </c>
      <c r="C691" s="29" t="s">
        <v>4473</v>
      </c>
    </row>
    <row r="692" spans="1:3">
      <c r="A692" s="2" t="s">
        <v>4474</v>
      </c>
      <c r="B692" t="s">
        <v>4467</v>
      </c>
      <c r="C692" s="29" t="s">
        <v>4474</v>
      </c>
    </row>
    <row r="693" spans="1:3">
      <c r="A693" s="2" t="s">
        <v>4475</v>
      </c>
      <c r="B693" t="s">
        <v>4467</v>
      </c>
      <c r="C693" s="29" t="s">
        <v>4475</v>
      </c>
    </row>
    <row r="694" spans="1:3">
      <c r="A694" s="2" t="s">
        <v>4476</v>
      </c>
      <c r="B694" t="s">
        <v>4467</v>
      </c>
      <c r="C694" s="29" t="s">
        <v>4476</v>
      </c>
    </row>
    <row r="695" spans="1:3">
      <c r="A695" s="2" t="s">
        <v>4477</v>
      </c>
      <c r="B695" t="s">
        <v>4467</v>
      </c>
      <c r="C695" s="29" t="s">
        <v>4477</v>
      </c>
    </row>
    <row r="697" spans="1:3">
      <c r="A697" s="27" t="s">
        <v>4478</v>
      </c>
      <c r="B697" s="27"/>
    </row>
    <row r="699" spans="1:3">
      <c r="A699" s="2" t="s">
        <v>4479</v>
      </c>
      <c r="B699" t="s">
        <v>4478</v>
      </c>
      <c r="C699" s="29" t="s">
        <v>4479</v>
      </c>
    </row>
    <row r="700" spans="1:3">
      <c r="A700" s="2" t="s">
        <v>4480</v>
      </c>
      <c r="B700" t="s">
        <v>4478</v>
      </c>
      <c r="C700" s="29" t="s">
        <v>4480</v>
      </c>
    </row>
    <row r="701" spans="1:3">
      <c r="A701" s="2" t="s">
        <v>4481</v>
      </c>
      <c r="B701" t="s">
        <v>4478</v>
      </c>
      <c r="C701" s="29" t="s">
        <v>4481</v>
      </c>
    </row>
    <row r="702" spans="1:3">
      <c r="A702" s="2" t="s">
        <v>4482</v>
      </c>
      <c r="B702" t="s">
        <v>4478</v>
      </c>
      <c r="C702" s="29" t="s">
        <v>4482</v>
      </c>
    </row>
    <row r="703" spans="1:3">
      <c r="A703" s="2" t="s">
        <v>4483</v>
      </c>
      <c r="B703" t="s">
        <v>4478</v>
      </c>
      <c r="C703" s="29" t="s">
        <v>4483</v>
      </c>
    </row>
    <row r="704" spans="1:3">
      <c r="A704" s="2" t="s">
        <v>4484</v>
      </c>
      <c r="B704" t="s">
        <v>4478</v>
      </c>
      <c r="C704" s="29" t="s">
        <v>4484</v>
      </c>
    </row>
    <row r="705" spans="1:3">
      <c r="A705" s="2" t="s">
        <v>4485</v>
      </c>
      <c r="B705" t="s">
        <v>4478</v>
      </c>
      <c r="C705" s="29" t="s">
        <v>4485</v>
      </c>
    </row>
    <row r="707" spans="1:3">
      <c r="A707" s="27" t="s">
        <v>4486</v>
      </c>
      <c r="B707" s="27"/>
    </row>
    <row r="709" spans="1:3">
      <c r="A709" s="2" t="s">
        <v>4487</v>
      </c>
      <c r="B709" t="s">
        <v>4486</v>
      </c>
      <c r="C709" t="s">
        <v>4487</v>
      </c>
    </row>
    <row r="710" spans="1:3">
      <c r="A710" s="2" t="s">
        <v>4488</v>
      </c>
      <c r="B710" t="s">
        <v>4486</v>
      </c>
      <c r="C710" t="s">
        <v>4488</v>
      </c>
    </row>
    <row r="711" spans="1:3">
      <c r="A711" s="2" t="s">
        <v>4489</v>
      </c>
      <c r="B711" t="s">
        <v>4486</v>
      </c>
      <c r="C711" t="s">
        <v>4489</v>
      </c>
    </row>
    <row r="712" spans="1:3">
      <c r="A712" s="2" t="s">
        <v>4490</v>
      </c>
      <c r="B712" t="s">
        <v>4486</v>
      </c>
      <c r="C712" t="s">
        <v>4490</v>
      </c>
    </row>
    <row r="713" spans="1:3">
      <c r="A713" s="2" t="s">
        <v>4491</v>
      </c>
      <c r="B713" t="s">
        <v>4486</v>
      </c>
      <c r="C713" t="s">
        <v>4491</v>
      </c>
    </row>
    <row r="714" spans="1:3">
      <c r="A714" s="2" t="s">
        <v>4492</v>
      </c>
      <c r="B714" t="s">
        <v>4486</v>
      </c>
      <c r="C714" t="s">
        <v>4492</v>
      </c>
    </row>
    <row r="715" spans="1:3">
      <c r="A715" s="2" t="s">
        <v>4493</v>
      </c>
      <c r="B715" t="s">
        <v>4486</v>
      </c>
      <c r="C715" t="s">
        <v>4493</v>
      </c>
    </row>
    <row r="716" spans="1:3">
      <c r="A716" s="2" t="s">
        <v>4494</v>
      </c>
      <c r="B716" t="s">
        <v>4486</v>
      </c>
      <c r="C716" t="s">
        <v>4494</v>
      </c>
    </row>
    <row r="717" spans="1:3">
      <c r="A717" s="2" t="s">
        <v>4495</v>
      </c>
      <c r="B717" t="s">
        <v>4486</v>
      </c>
      <c r="C717" t="s">
        <v>4495</v>
      </c>
    </row>
    <row r="718" spans="1:3">
      <c r="A718" s="2" t="s">
        <v>4496</v>
      </c>
      <c r="B718" t="s">
        <v>4486</v>
      </c>
      <c r="C718" t="s">
        <v>4496</v>
      </c>
    </row>
    <row r="719" spans="1:3">
      <c r="A719" s="2" t="s">
        <v>4497</v>
      </c>
      <c r="B719" t="s">
        <v>4486</v>
      </c>
      <c r="C719" t="s">
        <v>4497</v>
      </c>
    </row>
    <row r="720" spans="1:3">
      <c r="A720" s="2" t="s">
        <v>4498</v>
      </c>
      <c r="B720" t="s">
        <v>4486</v>
      </c>
      <c r="C720" t="s">
        <v>4498</v>
      </c>
    </row>
    <row r="721" spans="1:3">
      <c r="A721" s="2" t="s">
        <v>4499</v>
      </c>
      <c r="B721" t="s">
        <v>4486</v>
      </c>
      <c r="C721" t="s">
        <v>4499</v>
      </c>
    </row>
    <row r="722" spans="1:3">
      <c r="A722" s="2" t="s">
        <v>4500</v>
      </c>
      <c r="B722" t="s">
        <v>4486</v>
      </c>
      <c r="C722" t="s">
        <v>4500</v>
      </c>
    </row>
    <row r="723" spans="1:3">
      <c r="A723" s="2" t="s">
        <v>4500</v>
      </c>
      <c r="B723" t="s">
        <v>4486</v>
      </c>
      <c r="C723" t="s">
        <v>4500</v>
      </c>
    </row>
    <row r="724" spans="1:3">
      <c r="A724" s="2" t="s">
        <v>4501</v>
      </c>
      <c r="B724" t="s">
        <v>4486</v>
      </c>
      <c r="C724" t="s">
        <v>4501</v>
      </c>
    </row>
    <row r="725" spans="1:3">
      <c r="A725" s="2" t="s">
        <v>4501</v>
      </c>
      <c r="B725" t="s">
        <v>4486</v>
      </c>
      <c r="C725" t="s">
        <v>4501</v>
      </c>
    </row>
    <row r="726" spans="1:3">
      <c r="A726" s="2" t="s">
        <v>4502</v>
      </c>
      <c r="B726" t="s">
        <v>4486</v>
      </c>
      <c r="C726" t="s">
        <v>4502</v>
      </c>
    </row>
    <row r="727" spans="1:3">
      <c r="A727" s="2" t="s">
        <v>4503</v>
      </c>
      <c r="B727" t="s">
        <v>4486</v>
      </c>
      <c r="C727" t="s">
        <v>4503</v>
      </c>
    </row>
    <row r="728" spans="1:3">
      <c r="A728" s="2" t="s">
        <v>4504</v>
      </c>
      <c r="B728" t="s">
        <v>4486</v>
      </c>
      <c r="C728" t="s">
        <v>4504</v>
      </c>
    </row>
    <row r="729" spans="1:3">
      <c r="A729" s="2" t="s">
        <v>4505</v>
      </c>
      <c r="B729" t="s">
        <v>4486</v>
      </c>
      <c r="C729" t="s">
        <v>4505</v>
      </c>
    </row>
    <row r="730" spans="1:3">
      <c r="A730" s="2" t="s">
        <v>4506</v>
      </c>
      <c r="B730" t="s">
        <v>4486</v>
      </c>
      <c r="C730" t="s">
        <v>4506</v>
      </c>
    </row>
    <row r="731" spans="1:3">
      <c r="A731" s="2" t="s">
        <v>4507</v>
      </c>
      <c r="B731" t="s">
        <v>4486</v>
      </c>
      <c r="C731" t="s">
        <v>4507</v>
      </c>
    </row>
    <row r="732" spans="1:3">
      <c r="A732" s="2" t="s">
        <v>4508</v>
      </c>
      <c r="B732" t="s">
        <v>4486</v>
      </c>
      <c r="C732" t="s">
        <v>4508</v>
      </c>
    </row>
    <row r="733" spans="1:3">
      <c r="A733" s="2" t="s">
        <v>4509</v>
      </c>
      <c r="B733" t="s">
        <v>4486</v>
      </c>
      <c r="C733" t="s">
        <v>4509</v>
      </c>
    </row>
    <row r="734" spans="1:3">
      <c r="A734" s="2" t="s">
        <v>4510</v>
      </c>
      <c r="B734" t="s">
        <v>4486</v>
      </c>
      <c r="C734" t="s">
        <v>4510</v>
      </c>
    </row>
    <row r="735" spans="1:3">
      <c r="A735" s="2" t="s">
        <v>4511</v>
      </c>
      <c r="B735" t="s">
        <v>4486</v>
      </c>
      <c r="C735" t="s">
        <v>4511</v>
      </c>
    </row>
    <row r="736" spans="1:3">
      <c r="A736" s="2" t="s">
        <v>4512</v>
      </c>
      <c r="B736" t="s">
        <v>4486</v>
      </c>
      <c r="C736" t="s">
        <v>4512</v>
      </c>
    </row>
    <row r="737" spans="1:3">
      <c r="A737" s="2" t="s">
        <v>4513</v>
      </c>
      <c r="B737" t="s">
        <v>4486</v>
      </c>
      <c r="C737" t="s">
        <v>4513</v>
      </c>
    </row>
    <row r="738" spans="1:3">
      <c r="A738" s="2" t="s">
        <v>4514</v>
      </c>
      <c r="B738" t="s">
        <v>4486</v>
      </c>
      <c r="C738" t="s">
        <v>4514</v>
      </c>
    </row>
    <row r="739" spans="1:3">
      <c r="A739" s="2" t="s">
        <v>4515</v>
      </c>
      <c r="B739" t="s">
        <v>4486</v>
      </c>
      <c r="C739" t="s">
        <v>4515</v>
      </c>
    </row>
    <row r="740" spans="1:3">
      <c r="A740" s="2" t="s">
        <v>4516</v>
      </c>
      <c r="B740" t="s">
        <v>4486</v>
      </c>
      <c r="C740" t="s">
        <v>4516</v>
      </c>
    </row>
    <row r="741" spans="1:3">
      <c r="A741" s="2" t="s">
        <v>4517</v>
      </c>
      <c r="B741" t="s">
        <v>4486</v>
      </c>
      <c r="C741" t="s">
        <v>4517</v>
      </c>
    </row>
    <row r="742" spans="1:3">
      <c r="A742" s="2" t="s">
        <v>4518</v>
      </c>
      <c r="B742" t="s">
        <v>4486</v>
      </c>
      <c r="C742" t="s">
        <v>4518</v>
      </c>
    </row>
    <row r="743" spans="1:3">
      <c r="A743" s="2" t="s">
        <v>4519</v>
      </c>
      <c r="B743" t="s">
        <v>4486</v>
      </c>
      <c r="C743" t="s">
        <v>4519</v>
      </c>
    </row>
    <row r="744" spans="1:3">
      <c r="A744" s="2" t="s">
        <v>4520</v>
      </c>
      <c r="B744" t="s">
        <v>4486</v>
      </c>
      <c r="C744" t="s">
        <v>4520</v>
      </c>
    </row>
    <row r="745" spans="1:3">
      <c r="A745" s="2" t="s">
        <v>4521</v>
      </c>
      <c r="B745" t="s">
        <v>4486</v>
      </c>
      <c r="C745" t="s">
        <v>4521</v>
      </c>
    </row>
    <row r="746" spans="1:3">
      <c r="A746" s="2" t="s">
        <v>4522</v>
      </c>
      <c r="B746" t="s">
        <v>4486</v>
      </c>
      <c r="C746" t="s">
        <v>4522</v>
      </c>
    </row>
    <row r="747" spans="1:3">
      <c r="A747" s="2" t="s">
        <v>4523</v>
      </c>
      <c r="B747" t="s">
        <v>4486</v>
      </c>
      <c r="C747" t="s">
        <v>4523</v>
      </c>
    </row>
    <row r="748" spans="1:3">
      <c r="A748" s="2" t="s">
        <v>4524</v>
      </c>
      <c r="B748" t="s">
        <v>4486</v>
      </c>
      <c r="C748" t="s">
        <v>4524</v>
      </c>
    </row>
    <row r="749" spans="1:3">
      <c r="A749" s="2" t="s">
        <v>4525</v>
      </c>
      <c r="B749" t="s">
        <v>4486</v>
      </c>
      <c r="C749" t="s">
        <v>4525</v>
      </c>
    </row>
    <row r="750" spans="1:3">
      <c r="A750" s="2" t="s">
        <v>4526</v>
      </c>
      <c r="B750" t="s">
        <v>4486</v>
      </c>
      <c r="C750" t="s">
        <v>4526</v>
      </c>
    </row>
    <row r="751" spans="1:3">
      <c r="A751" s="2" t="s">
        <v>4527</v>
      </c>
      <c r="B751" t="s">
        <v>4486</v>
      </c>
      <c r="C751" t="s">
        <v>4527</v>
      </c>
    </row>
    <row r="752" spans="1:3">
      <c r="A752" s="2" t="s">
        <v>4528</v>
      </c>
      <c r="B752" t="s">
        <v>4486</v>
      </c>
      <c r="C752" t="s">
        <v>4528</v>
      </c>
    </row>
    <row r="753" spans="1:3">
      <c r="A753" s="2" t="s">
        <v>4529</v>
      </c>
      <c r="B753" t="s">
        <v>4486</v>
      </c>
      <c r="C753" t="s">
        <v>4529</v>
      </c>
    </row>
    <row r="754" spans="1:3">
      <c r="A754" s="2" t="s">
        <v>4530</v>
      </c>
      <c r="B754" t="s">
        <v>4486</v>
      </c>
      <c r="C754" t="s">
        <v>4530</v>
      </c>
    </row>
    <row r="755" spans="1:3">
      <c r="A755" s="2" t="s">
        <v>4531</v>
      </c>
      <c r="B755" t="s">
        <v>4486</v>
      </c>
      <c r="C755" t="s">
        <v>4531</v>
      </c>
    </row>
    <row r="756" spans="1:3">
      <c r="A756" s="2" t="s">
        <v>4532</v>
      </c>
      <c r="B756" t="s">
        <v>4486</v>
      </c>
      <c r="C756" t="s">
        <v>4532</v>
      </c>
    </row>
    <row r="757" spans="1:3">
      <c r="A757" s="2" t="s">
        <v>4533</v>
      </c>
      <c r="B757" t="s">
        <v>4486</v>
      </c>
      <c r="C757" t="s">
        <v>4533</v>
      </c>
    </row>
    <row r="758" spans="1:3">
      <c r="A758" s="2" t="s">
        <v>4534</v>
      </c>
      <c r="B758" t="s">
        <v>4486</v>
      </c>
      <c r="C758" t="s">
        <v>4534</v>
      </c>
    </row>
    <row r="759" spans="1:3">
      <c r="A759" s="2" t="s">
        <v>4535</v>
      </c>
      <c r="B759" t="s">
        <v>4486</v>
      </c>
      <c r="C759" t="s">
        <v>4535</v>
      </c>
    </row>
    <row r="760" spans="1:3">
      <c r="A760" s="2" t="s">
        <v>4536</v>
      </c>
      <c r="B760" t="s">
        <v>4486</v>
      </c>
      <c r="C760" t="s">
        <v>4536</v>
      </c>
    </row>
    <row r="761" spans="1:3">
      <c r="A761" s="2" t="s">
        <v>4537</v>
      </c>
      <c r="B761" t="s">
        <v>4486</v>
      </c>
      <c r="C761" t="s">
        <v>4537</v>
      </c>
    </row>
    <row r="762" spans="1:3">
      <c r="A762" s="2" t="s">
        <v>4538</v>
      </c>
      <c r="B762" t="s">
        <v>4486</v>
      </c>
      <c r="C762" t="s">
        <v>4538</v>
      </c>
    </row>
    <row r="763" spans="1:3">
      <c r="A763" s="2" t="s">
        <v>4539</v>
      </c>
      <c r="B763" t="s">
        <v>4486</v>
      </c>
      <c r="C763" t="s">
        <v>4539</v>
      </c>
    </row>
    <row r="764" spans="1:3">
      <c r="A764" s="2" t="s">
        <v>4540</v>
      </c>
      <c r="B764" t="s">
        <v>4486</v>
      </c>
      <c r="C764" t="s">
        <v>4540</v>
      </c>
    </row>
    <row r="765" spans="1:3">
      <c r="A765" s="2" t="s">
        <v>4541</v>
      </c>
      <c r="B765" t="s">
        <v>4486</v>
      </c>
      <c r="C765" t="s">
        <v>4541</v>
      </c>
    </row>
    <row r="766" spans="1:3">
      <c r="A766" s="2" t="s">
        <v>4542</v>
      </c>
      <c r="B766" t="s">
        <v>4486</v>
      </c>
      <c r="C766" t="s">
        <v>4542</v>
      </c>
    </row>
    <row r="767" spans="1:3">
      <c r="A767" s="2" t="s">
        <v>4543</v>
      </c>
      <c r="B767" t="s">
        <v>4486</v>
      </c>
      <c r="C767" t="s">
        <v>4543</v>
      </c>
    </row>
    <row r="768" spans="1:3">
      <c r="A768" s="2" t="s">
        <v>4544</v>
      </c>
      <c r="B768" t="s">
        <v>4486</v>
      </c>
      <c r="C768" t="s">
        <v>4544</v>
      </c>
    </row>
    <row r="769" spans="1:3">
      <c r="A769" s="2" t="s">
        <v>4545</v>
      </c>
      <c r="B769" t="s">
        <v>4486</v>
      </c>
      <c r="C769" t="s">
        <v>4545</v>
      </c>
    </row>
    <row r="770" spans="1:3">
      <c r="A770" s="2" t="s">
        <v>4546</v>
      </c>
      <c r="B770" t="s">
        <v>4486</v>
      </c>
      <c r="C770" t="s">
        <v>4546</v>
      </c>
    </row>
    <row r="771" spans="1:3">
      <c r="A771" s="2" t="s">
        <v>4547</v>
      </c>
      <c r="B771" t="s">
        <v>4486</v>
      </c>
      <c r="C771" t="s">
        <v>4547</v>
      </c>
    </row>
    <row r="772" spans="1:3">
      <c r="A772" s="2" t="s">
        <v>4548</v>
      </c>
      <c r="B772" t="s">
        <v>4486</v>
      </c>
      <c r="C772" t="s">
        <v>4548</v>
      </c>
    </row>
    <row r="773" spans="1:3">
      <c r="A773" s="2" t="s">
        <v>4549</v>
      </c>
      <c r="B773" t="s">
        <v>4486</v>
      </c>
      <c r="C773" t="s">
        <v>4549</v>
      </c>
    </row>
    <row r="774" spans="1:3">
      <c r="A774" s="2" t="s">
        <v>4550</v>
      </c>
      <c r="B774" t="s">
        <v>4486</v>
      </c>
      <c r="C774" t="s">
        <v>4550</v>
      </c>
    </row>
    <row r="776" spans="1:3">
      <c r="A776" s="27" t="s">
        <v>4551</v>
      </c>
      <c r="B776" s="27"/>
    </row>
    <row r="778" spans="1:3">
      <c r="A778" s="2" t="s">
        <v>4552</v>
      </c>
      <c r="B778" t="s">
        <v>4551</v>
      </c>
      <c r="C778" s="29" t="s">
        <v>4552</v>
      </c>
    </row>
    <row r="779" spans="1:3">
      <c r="A779" s="2" t="s">
        <v>4553</v>
      </c>
      <c r="B779" t="s">
        <v>4551</v>
      </c>
      <c r="C779" s="29" t="s">
        <v>4553</v>
      </c>
    </row>
    <row r="780" spans="1:3">
      <c r="A780" s="2" t="s">
        <v>4554</v>
      </c>
      <c r="B780" t="s">
        <v>4551</v>
      </c>
      <c r="C780" s="29" t="s">
        <v>4554</v>
      </c>
    </row>
    <row r="781" spans="1:3">
      <c r="A781" s="2" t="s">
        <v>4555</v>
      </c>
      <c r="B781" t="s">
        <v>4551</v>
      </c>
      <c r="C781" s="29" t="s">
        <v>4555</v>
      </c>
    </row>
    <row r="782" spans="1:3">
      <c r="A782" s="2" t="s">
        <v>4556</v>
      </c>
      <c r="B782" t="s">
        <v>4551</v>
      </c>
      <c r="C782" s="29" t="s">
        <v>4556</v>
      </c>
    </row>
    <row r="784" spans="1:3">
      <c r="A784" s="27" t="s">
        <v>4557</v>
      </c>
      <c r="B784" s="27"/>
    </row>
    <row r="786" spans="1:3">
      <c r="A786" s="2" t="s">
        <v>4558</v>
      </c>
      <c r="B786" t="s">
        <v>4557</v>
      </c>
      <c r="C786" t="s">
        <v>4558</v>
      </c>
    </row>
    <row r="787" spans="1:3">
      <c r="A787" s="2" t="s">
        <v>4559</v>
      </c>
      <c r="B787" t="s">
        <v>4557</v>
      </c>
      <c r="C787" t="s">
        <v>4559</v>
      </c>
    </row>
    <row r="788" spans="1:3">
      <c r="A788" s="2" t="s">
        <v>4560</v>
      </c>
      <c r="B788" t="s">
        <v>4557</v>
      </c>
      <c r="C788" t="s">
        <v>4560</v>
      </c>
    </row>
    <row r="789" spans="1:3">
      <c r="A789" s="2" t="s">
        <v>4561</v>
      </c>
      <c r="B789" t="s">
        <v>4557</v>
      </c>
      <c r="C789" t="s">
        <v>4561</v>
      </c>
    </row>
  </sheetData>
  <hyperlinks>
    <hyperlink ref="A3" r:id="rId1" display="https://bulma.dev/classes/breadcrumb/breadcrumb" xr:uid="{18195D48-D4E8-3B42-94E2-2397630D55E0}"/>
    <hyperlink ref="A4" r:id="rId2" display="https://bulma.dev/classes/breadcrumb/breadcrumb.has-arrow-separator" xr:uid="{4F56C030-0A11-A140-926B-E498AD6202E8}"/>
    <hyperlink ref="A5" r:id="rId3" display="https://bulma.dev/classes/breadcrumb/breadcrumb.has-bullet-separator" xr:uid="{B7A4371B-937D-A645-9235-0AFADD1C6294}"/>
    <hyperlink ref="A6" r:id="rId4" display="https://bulma.dev/classes/breadcrumb/breadcrumb.has-dot-separator" xr:uid="{F9FC5037-1BB1-1643-BE17-792EC6237CF8}"/>
    <hyperlink ref="A7" r:id="rId5" display="https://bulma.dev/classes/breadcrumb/breadcrumb.has-succeeds-separator" xr:uid="{C0064542-4862-F64B-BCE4-D64B4831B284}"/>
    <hyperlink ref="A8" r:id="rId6" display="https://bulma.dev/classes/breadcrumb/breadcrumb.is-centered" xr:uid="{066CB5E4-8A19-104F-91B3-13926A8817AB}"/>
    <hyperlink ref="A9" r:id="rId7" display="https://bulma.dev/classes/breadcrumb/breadcrumb.is-large" xr:uid="{89E6F8E5-4FED-094A-9721-18A3F0CFCC63}"/>
    <hyperlink ref="A10" r:id="rId8" display="https://bulma.dev/classes/breadcrumb/breadcrumb.is-medium" xr:uid="{83F096C4-53E2-4648-B82A-9E2FF7A5FEBE}"/>
    <hyperlink ref="A11" r:id="rId9" display="https://bulma.dev/classes/breadcrumb/breadcrumb.is-right" xr:uid="{3BB852CB-2F04-E742-88C7-092E9332D462}"/>
    <hyperlink ref="A12" r:id="rId10" display="https://bulma.dev/classes/breadcrumb/breadcrumb.is-small" xr:uid="{2AC86152-6819-F245-A733-095605E9D01B}"/>
    <hyperlink ref="A13" r:id="rId11" display="https://bulma.dev/classes/breadcrumb/has-succeeds-separator" xr:uid="{29E7CCB7-0D55-3B44-94B7-010B176DCBA5}"/>
    <hyperlink ref="A17" r:id="rId12" display="https://bulma.dev/classes/button/button" xr:uid="{9A3E60A7-D07F-8F43-9A57-1F496014B6F0}"/>
    <hyperlink ref="A18" r:id="rId13" display="https://bulma.dev/classes/button/button.is-black" xr:uid="{E101AD9F-CEAD-4740-8FFC-8C40A5A37F8B}"/>
    <hyperlink ref="A19" r:id="rId14" display="https://bulma.dev/classes/button/button.is-danger" xr:uid="{E7E3A541-4E21-1143-8572-A07546455697}"/>
    <hyperlink ref="A20" r:id="rId15" display="https://bulma.dev/classes/button/button.is-dark" xr:uid="{A946A3F9-2621-674D-84BE-7F0BB2FAC515}"/>
    <hyperlink ref="A21" r:id="rId16" display="https://bulma.dev/classes/button/button.is-fullwidth" xr:uid="{483A69E6-2FF8-9C4B-8CB3-AB5430B00B6D}"/>
    <hyperlink ref="A22" r:id="rId17" display="https://bulma.dev/classes/button/button.is-info" xr:uid="{A8BE307B-8A78-AE48-8FCE-E7130C7534E5}"/>
    <hyperlink ref="A23" r:id="rId18" display="https://bulma.dev/classes/button/button.is-large" xr:uid="{CC740ED7-B14B-084B-B420-67C5D96FCC25}"/>
    <hyperlink ref="A24" r:id="rId19" display="https://bulma.dev/classes/button/button.is-light" xr:uid="{8B821688-3298-D942-97FF-1294074B4629}"/>
    <hyperlink ref="A25" r:id="rId20" display="https://bulma.dev/classes/button/button.is-link" xr:uid="{6CDBCBB7-4BE7-5049-82ED-305C4884E5F9}"/>
    <hyperlink ref="A26" r:id="rId21" display="https://bulma.dev/classes/button/button.is-loading" xr:uid="{F8BFF2AC-D9B3-3545-954C-EFB42F985953}"/>
    <hyperlink ref="A27" r:id="rId22" display="https://bulma.dev/classes/button/button.is-medium" xr:uid="{BCEC8ABF-D43E-2744-9783-FE51E598DA4C}"/>
    <hyperlink ref="A28" r:id="rId23" display="https://bulma.dev/classes/button/button.is-normal" xr:uid="{EBBC2EF2-BC54-C342-BB15-EB0769DC1229}"/>
    <hyperlink ref="A29" r:id="rId24" display="https://bulma.dev/classes/button/button.is-primary" xr:uid="{3EAFE6E3-EE85-6348-89FC-87BCDA0F3379}"/>
    <hyperlink ref="A30" r:id="rId25" display="https://bulma.dev/classes/button/button.is-rounded" xr:uid="{8DC20D09-5FB7-BF41-989C-CFFBC116DC7A}"/>
    <hyperlink ref="A31" r:id="rId26" display="https://bulma.dev/classes/button/button.is-small" xr:uid="{C8E313B3-5C28-8A45-B8F8-E41597AA4F95}"/>
    <hyperlink ref="A32" r:id="rId27" display="https://bulma.dev/classes/button/button.is-static" xr:uid="{71945CEC-5751-BD41-BF27-8F0AACF1743B}"/>
    <hyperlink ref="A33" r:id="rId28" display="https://bulma.dev/classes/button/button.is-success" xr:uid="{9956E3B0-130D-FC4D-A9E5-D36769133603}"/>
    <hyperlink ref="A34" r:id="rId29" display="https://bulma.dev/classes/button/button.is-text" xr:uid="{C2194943-5F5B-7643-9D04-276BDCE0D9FD}"/>
    <hyperlink ref="A35" r:id="rId30" display="https://bulma.dev/classes/button/button.is-warning" xr:uid="{0A97607F-FB18-7F4B-A13A-226F2A5BA307}"/>
    <hyperlink ref="A36" r:id="rId31" display="https://bulma.dev/classes/button/button.is-white" xr:uid="{F84F3662-6A6B-AB41-B24B-77F46DBF91A3}"/>
    <hyperlink ref="A37" r:id="rId32" display="https://bulma.dev/classes/button/buttons" xr:uid="{1111960D-A5C1-7343-B085-9AD89DB9FE65}"/>
    <hyperlink ref="A38" r:id="rId33" display="https://bulma.dev/classes/button/buttons.has-addons" xr:uid="{F99B519E-0B47-0246-B613-BE5748AC8841}"/>
    <hyperlink ref="A39" r:id="rId34" display="https://bulma.dev/classes/button/buttons.is-centered" xr:uid="{9036F707-9ECB-1C41-A683-8F89059B066C}"/>
    <hyperlink ref="A40" r:id="rId35" display="https://bulma.dev/classes/button/buttons.is-right" xr:uid="{277B4E55-017D-7E48-A6E1-413AE6B9B917}"/>
    <hyperlink ref="A41" r:id="rId36" display="https://bulma.dev/classes/button/is-hovered" xr:uid="{14E6496D-ED35-3144-A885-55EC00EA8D30}"/>
    <hyperlink ref="A42" r:id="rId37" display="https://bulma.dev/classes/button/is-outlined" xr:uid="{7A85462D-E7E7-7D4D-82C4-D0C5EA86BF42}"/>
    <hyperlink ref="A46" r:id="rId38" display="https://bulma.dev/classes/card/card" xr:uid="{01397247-1A92-4F47-9285-259733D92236}"/>
    <hyperlink ref="A47" r:id="rId39" display="https://bulma.dev/classes/card/card-content" xr:uid="{8896F795-6F7B-654E-979E-CD6E71887266}"/>
    <hyperlink ref="A48" r:id="rId40" display="https://bulma.dev/classes/card/card-footer" xr:uid="{34F25993-96CC-3445-8511-4849B57BA3A4}"/>
    <hyperlink ref="A49" r:id="rId41" display="https://bulma.dev/classes/card/card-footer-item" xr:uid="{B1113054-2926-D54F-ACFE-57A6C7047A0B}"/>
    <hyperlink ref="A50" r:id="rId42" display="https://bulma.dev/classes/card/card-header" xr:uid="{38E2FAFF-A951-A940-9ACA-A8C033DD03EA}"/>
    <hyperlink ref="A51" r:id="rId43" display="https://bulma.dev/classes/card/card-header-icon" xr:uid="{1FEC242F-029C-054C-82CB-284A42B892D2}"/>
    <hyperlink ref="A52" r:id="rId44" display="https://bulma.dev/classes/card/card-header-title" xr:uid="{1F440496-F8AC-E246-9898-8ACE6F6595DA}"/>
    <hyperlink ref="A53" r:id="rId45" display="https://bulma.dev/classes/card/card-header-title.is-centered" xr:uid="{7911E2D9-48ED-0640-BC92-5FCE19935A6D}"/>
    <hyperlink ref="A54" r:id="rId46" display="https://bulma.dev/classes/card/card-image" xr:uid="{6453F2FB-13AB-C846-8381-C053AD1B95AF}"/>
    <hyperlink ref="A58" r:id="rId47" display="https://bulma.dev/classes/colors/has-background-black" xr:uid="{4F393D13-A46A-7E46-A3BA-6769AF58261D}"/>
    <hyperlink ref="A59" r:id="rId48" display="https://bulma.dev/classes/colors/has-background-black-bis" xr:uid="{30E5A939-EFB0-8745-810A-2251DCF40640}"/>
    <hyperlink ref="A60" r:id="rId49" display="https://bulma.dev/classes/colors/has-background-black-ter" xr:uid="{2E6475C6-4C52-324F-B488-97D26C7293AF}"/>
    <hyperlink ref="A61" r:id="rId50" display="https://bulma.dev/classes/colors/has-background-danger" xr:uid="{DBF2AD6E-2E8D-8A41-A55B-8A7B6D1DA66F}"/>
    <hyperlink ref="A62" r:id="rId51" display="https://bulma.dev/classes/colors/has-background-danger-dark" xr:uid="{2FF4D6A9-459D-8D48-A0F0-27F52B6F85B9}"/>
    <hyperlink ref="A63" r:id="rId52" display="https://bulma.dev/classes/colors/has-background-danger-light" xr:uid="{CD9C6F81-7FC0-D743-91CF-55A4A4EEF585}"/>
    <hyperlink ref="A64" r:id="rId53" display="https://bulma.dev/classes/colors/has-background-dark" xr:uid="{16D85D35-7240-BF46-B3FA-8160FF5087D4}"/>
    <hyperlink ref="A65" r:id="rId54" display="https://bulma.dev/classes/colors/has-background-dark" xr:uid="{24556CF9-5256-834D-90BB-F597B15ABF61}"/>
    <hyperlink ref="A66" r:id="rId55" display="https://bulma.dev/classes/colors/has-background-grey" xr:uid="{00204802-8E81-CE4A-9163-D9E65165C90B}"/>
    <hyperlink ref="A67" r:id="rId56" display="https://bulma.dev/classes/colors/has-background-grey-dark" xr:uid="{446461B2-6226-304A-94C9-584C26473DF3}"/>
    <hyperlink ref="A68" r:id="rId57" display="https://bulma.dev/classes/colors/has-background-grey-darker" xr:uid="{70CB05D4-8538-6245-A462-247FAAB9210E}"/>
    <hyperlink ref="A69" r:id="rId58" display="https://bulma.dev/classes/colors/has-background-grey-light" xr:uid="{694D8A96-2ABF-2140-ADB6-3724AA5A4238}"/>
    <hyperlink ref="A70" r:id="rId59" display="https://bulma.dev/classes/colors/has-background-grey-lighter" xr:uid="{58105909-1B89-854E-A3B9-9CA7746FE0C3}"/>
    <hyperlink ref="A71" r:id="rId60" display="https://bulma.dev/classes/colors/has-background-info" xr:uid="{2A13357A-5AC3-F849-B6DD-939CEDD34E06}"/>
    <hyperlink ref="A72" r:id="rId61" display="https://bulma.dev/classes/colors/has-background-info-dark" xr:uid="{C96D9377-8C7F-6347-839B-2D074CBD673E}"/>
    <hyperlink ref="A73" r:id="rId62" display="https://bulma.dev/classes/colors/has-background-info-light" xr:uid="{47005A48-9D68-3E45-9FEB-2051A8598EB6}"/>
    <hyperlink ref="A74" r:id="rId63" display="https://bulma.dev/classes/colors/has-background-light" xr:uid="{2F6A3C5E-8FB3-E64F-A432-AE834A93817B}"/>
    <hyperlink ref="A75" r:id="rId64" display="https://bulma.dev/classes/colors/has-background-link" xr:uid="{878D0CA9-3612-ED44-B07C-40E1B3294B3F}"/>
    <hyperlink ref="A76" r:id="rId65" display="https://bulma.dev/classes/colors/has-background-link-dark" xr:uid="{DB4C07A2-9FE7-9F4B-949E-7C06848CBF6F}"/>
    <hyperlink ref="A77" r:id="rId66" display="https://bulma.dev/classes/colors/has-background-link-light" xr:uid="{ED07EFB0-AFB3-574D-8054-CA79F696C2F1}"/>
    <hyperlink ref="A78" r:id="rId67" display="https://bulma.dev/classes/colors/has-background-primary" xr:uid="{E6747004-56F8-B147-B3D4-3963FE464239}"/>
    <hyperlink ref="A79" r:id="rId68" display="https://bulma.dev/classes/colors/has-background-primary-dark" xr:uid="{5880C8A3-5515-8F4B-AA71-2E9BE9425B0B}"/>
    <hyperlink ref="A80" r:id="rId69" display="https://bulma.dev/classes/colors/has-background-primary-light" xr:uid="{2BD37090-B642-4246-BBCD-66D269F07004}"/>
    <hyperlink ref="A81" r:id="rId70" display="https://bulma.dev/classes/colors/has-background-success" xr:uid="{87340EA6-9FEE-564D-9C31-AF39C2AADCDB}"/>
    <hyperlink ref="A82" r:id="rId71" display="https://bulma.dev/classes/colors/has-background-success-dark" xr:uid="{1D19F52A-175E-134C-B2C3-EACDDF864A3C}"/>
    <hyperlink ref="A83" r:id="rId72" display="https://bulma.dev/classes/colors/has-background-success-light" xr:uid="{9111C51D-6EF8-5442-A306-2F67BE15D7D3}"/>
    <hyperlink ref="A84" r:id="rId73" display="https://bulma.dev/classes/colors/has-background-warning" xr:uid="{55497ED7-9AF6-2145-9D87-88FAF8788693}"/>
    <hyperlink ref="A85" r:id="rId74" display="https://bulma.dev/classes/colors/has-background-warning-dark" xr:uid="{2C3E0B23-096B-AF4B-B16F-9040737F3A10}"/>
    <hyperlink ref="A86" r:id="rId75" display="https://bulma.dev/classes/colors/has-background-warning-light" xr:uid="{D4C91E60-929F-A343-8233-839157D9ED0F}"/>
    <hyperlink ref="A87" r:id="rId76" display="https://bulma.dev/classes/colors/has-background-white" xr:uid="{6637D593-959B-BE44-9404-F832B7C013C7}"/>
    <hyperlink ref="A88" r:id="rId77" display="https://bulma.dev/classes/colors/has-background-white-bis" xr:uid="{6C29DED0-CE28-3948-B74D-85F35B188835}"/>
    <hyperlink ref="A89" r:id="rId78" display="https://bulma.dev/classes/colors/has-background-white-ter" xr:uid="{D79FD476-C93C-F64B-B529-314BA52E62D2}"/>
    <hyperlink ref="A90" r:id="rId79" display="https://bulma.dev/classes/colors/has-text-black" xr:uid="{60B405CD-825C-8D4F-9689-85996C1A4B0B}"/>
    <hyperlink ref="A91" r:id="rId80" display="https://bulma.dev/classes/colors/has-text-black-bis" xr:uid="{1D3B18F8-6B86-F949-9979-B3EA33CB7EF5}"/>
    <hyperlink ref="A92" r:id="rId81" display="https://bulma.dev/classes/colors/has-text-black-ter" xr:uid="{1F2562BF-F520-8641-B0C9-DA5B361EB021}"/>
    <hyperlink ref="A93" r:id="rId82" display="https://bulma.dev/classes/colors/has-text-danger" xr:uid="{D6FE0E0C-41AF-B54E-977C-6C5B2AB1DF80}"/>
    <hyperlink ref="A94" r:id="rId83" display="https://bulma.dev/classes/colors/has-text-danger-dark" xr:uid="{3F6AB0CE-FABA-9842-8437-0C0EBA7CB935}"/>
    <hyperlink ref="A95" r:id="rId84" display="https://bulma.dev/classes/colors/has-text-danger-light" xr:uid="{07B61AE9-D4D2-F647-B795-543848B03EDC}"/>
    <hyperlink ref="A96" r:id="rId85" display="https://bulma.dev/classes/colors/has-text-dark" xr:uid="{4E38095C-3B44-DA46-9F53-DC38BB03F21F}"/>
    <hyperlink ref="A97" r:id="rId86" display="https://bulma.dev/classes/colors/has-text-grey" xr:uid="{87A51841-6CD3-D849-A72E-4DBDDA32FCA7}"/>
    <hyperlink ref="A98" r:id="rId87" display="https://bulma.dev/classes/colors/has-text-grey-dark" xr:uid="{EDD35E37-6EEB-BC48-878B-AADBD5D9B9CB}"/>
    <hyperlink ref="A99" r:id="rId88" display="https://bulma.dev/classes/colors/has-text-grey-darker" xr:uid="{97C4CC14-4F3D-8B45-A3A4-DE8358347FE3}"/>
    <hyperlink ref="A100" r:id="rId89" display="https://bulma.dev/classes/colors/has-text-grey-light" xr:uid="{7AADBDA7-6F13-5D4D-B649-E2509A989B16}"/>
    <hyperlink ref="A101" r:id="rId90" display="https://bulma.dev/classes/colors/has-text-grey-lighter" xr:uid="{A5501011-6F34-C242-82C3-16AE3AAAA384}"/>
    <hyperlink ref="A102" r:id="rId91" display="https://bulma.dev/classes/colors/has-text-info" xr:uid="{9728113A-2646-A14C-8509-59885C9C5A73}"/>
    <hyperlink ref="A103" r:id="rId92" display="https://bulma.dev/classes/colors/has-text-info-dark" xr:uid="{867D8D74-C116-D14F-BEA1-D71686810A52}"/>
    <hyperlink ref="A104" r:id="rId93" display="https://bulma.dev/classes/colors/has-text-info-light" xr:uid="{ECAC90FD-D746-0942-B893-88603DAD8985}"/>
    <hyperlink ref="A105" r:id="rId94" display="https://bulma.dev/classes/colors/has-text-light" xr:uid="{59CFE4F8-F863-8B4B-A59A-87DAF38F4394}"/>
    <hyperlink ref="A106" r:id="rId95" display="https://bulma.dev/classes/colors/has-text-link" xr:uid="{282BE814-DCD8-8B49-A223-57D0D477A247}"/>
    <hyperlink ref="A107" r:id="rId96" display="https://bulma.dev/classes/colors/has-text-link-dark" xr:uid="{6F3D5A18-54C0-D54B-8077-5DEF01AA390B}"/>
    <hyperlink ref="A108" r:id="rId97" display="https://bulma.dev/classes/colors/has-text-link-light" xr:uid="{8EF8D163-0D95-A64F-9663-697E1FFB8812}"/>
    <hyperlink ref="A109" r:id="rId98" display="https://bulma.dev/classes/colors/has-text-primary" xr:uid="{B251A41F-664B-4F48-90A1-47D07EFE637E}"/>
    <hyperlink ref="A110" r:id="rId99" display="https://bulma.dev/classes/colors/has-text-primary-dark" xr:uid="{F26DE4D8-9C2C-7549-9835-031998CAE9B3}"/>
    <hyperlink ref="A111" r:id="rId100" display="https://bulma.dev/classes/colors/has-text-primary-light" xr:uid="{DDE73A15-8A08-0146-B4A6-6B1A89E258AC}"/>
    <hyperlink ref="A112" r:id="rId101" display="https://bulma.dev/classes/colors/has-text-success" xr:uid="{4E099765-21F2-A94F-99BA-7D8B8BE365B4}"/>
    <hyperlink ref="A113" r:id="rId102" display="https://bulma.dev/classes/colors/has-text-success-dark" xr:uid="{1DBD25B2-0E9D-AC42-A3A1-BD6E0B94C043}"/>
    <hyperlink ref="A114" r:id="rId103" display="https://bulma.dev/classes/colors/has-text-success-light" xr:uid="{700324C7-89C4-5544-B590-E239C907F247}"/>
    <hyperlink ref="A115" r:id="rId104" display="https://bulma.dev/classes/colors/has-text-warning" xr:uid="{2FD56058-9A60-2D4A-B662-B3CAB0492F29}"/>
    <hyperlink ref="A116" r:id="rId105" display="https://bulma.dev/classes/colors/has-text-warning-dark" xr:uid="{4ECD4C10-12CA-D545-9587-942F81D005E6}"/>
    <hyperlink ref="A117" r:id="rId106" display="https://bulma.dev/classes/colors/has-text-warning-light" xr:uid="{E5BBE333-ADC4-9045-869E-87E136B6164E}"/>
    <hyperlink ref="A118" r:id="rId107" display="https://bulma.dev/classes/colors/has-text-white" xr:uid="{9D935490-02DC-EE4C-852D-4A3C1A62C803}"/>
    <hyperlink ref="A119" r:id="rId108" display="https://bulma.dev/classes/colors/has-text-white-bis" xr:uid="{5947EECD-A5AB-5047-A705-CCDFD4A12BF7}"/>
    <hyperlink ref="A120" r:id="rId109" display="https://bulma.dev/classes/colors/has-text-white-ter" xr:uid="{521865D0-BDF6-0C4A-A41E-4033056A66F8}"/>
    <hyperlink ref="A121" r:id="rId110" display="https://bulma.dev/classes/colors/is-info" xr:uid="{0E92B882-4DF1-1441-AED4-70656EB4D1B0}"/>
    <hyperlink ref="A122" r:id="rId111" display="https://bulma.dev/classes/colors/is-inverted" xr:uid="{481D689E-A504-C94C-B11C-0A1ED7B3F6BF}"/>
    <hyperlink ref="A123" r:id="rId112" display="https://bulma.dev/classes/colors/is-transparent" xr:uid="{CDD061E4-ED8B-DD49-88A9-44800EFC758C}"/>
    <hyperlink ref="A127" r:id="rId113" display="https://bulma.dev/classes/column/column" xr:uid="{4D70CEE2-8802-5F45-98FB-286532ED1FF8}"/>
    <hyperlink ref="A128" r:id="rId114" display="https://bulma.dev/classes/column/columns" xr:uid="{34C2A664-EFC4-7045-9C49-B906D31FFC15}"/>
    <hyperlink ref="A129" r:id="rId115" display="https://bulma.dev/classes/column/columns.is-centered" xr:uid="{35669713-97CD-584E-B8EC-6D1E85B8C1DE}"/>
    <hyperlink ref="A130" r:id="rId116" display="https://bulma.dev/classes/column/columns.is-gapless" xr:uid="{03A2B5FD-2667-094C-8FAC-99AFA0DC5500}"/>
    <hyperlink ref="A131" r:id="rId117" display="https://bulma.dev/classes/column/columns.is-mobile" xr:uid="{52345441-8E62-C84D-BD99-3150DB46F5BC}"/>
    <hyperlink ref="A132" r:id="rId118" display="https://bulma.dev/classes/column/columns.is-multiline" xr:uid="{80A2C777-3274-C046-ACA4-983F08CA1F67}"/>
    <hyperlink ref="A133" r:id="rId119" display="https://bulma.dev/classes/column/columns.is-variable" xr:uid="{76580496-0EE6-3949-B5A6-BD2633E78386}"/>
    <hyperlink ref="A134" r:id="rId120" display="https://bulma.dev/classes/column/columns.is-vcentered" xr:uid="{1B0FD886-0584-094D-9DD9-6BF51BC6E82C}"/>
    <hyperlink ref="A138" r:id="rId121" display="https://bulma.dev/classes/container/is-fluid" xr:uid="{E8DA9433-6C73-D845-9833-F527F96C0823}"/>
    <hyperlink ref="A142" r:id="rId122" display="https://bulma.dev/classes/containers/box" xr:uid="{8CDAE2BB-6CCC-924C-A1C3-F0365144368C}"/>
    <hyperlink ref="A143" r:id="rId123" display="https://bulma.dev/classes/containers/container" xr:uid="{E55D7F6B-9B4B-9841-AAD5-27EAFC39A348}"/>
    <hyperlink ref="A144" r:id="rId124" display="https://bulma.dev/classes/containers/content" xr:uid="{6B68CD5E-6EE3-2844-B7A1-1B3933A5A83F}"/>
    <hyperlink ref="A145" r:id="rId125" display="https://bulma.dev/classes/containers/footer" xr:uid="{063072D4-0161-CD4B-B0A0-84AB1CECE53E}"/>
    <hyperlink ref="A146" r:id="rId126" display="https://bulma.dev/classes/containers/section" xr:uid="{C7E576A8-AD3C-6F43-8BDF-2E8889DD901A}"/>
    <hyperlink ref="A150" r:id="rId127" display="https://bulma.dev/classes/delete/delete" xr:uid="{0A930AE4-982F-B640-8EEE-E19D572B4F56}"/>
    <hyperlink ref="A154" r:id="rId128" display="https://bulma.dev/classes/display/block" xr:uid="{9E8C429B-4418-774C-A3CD-FC30C6043FE2}"/>
    <hyperlink ref="A155" r:id="rId129" display="https://bulma.dev/classes/display/is-block-desktop" xr:uid="{6EB2AC55-08D4-0A49-ABB5-062DDE56A0E1}"/>
    <hyperlink ref="A156" r:id="rId130" display="https://bulma.dev/classes/display/is-block-desktop-only" xr:uid="{11545865-F77D-EC4A-97E6-DA13DFAEC46F}"/>
    <hyperlink ref="A157" r:id="rId131" display="https://bulma.dev/classes/display/is-block-fullhd" xr:uid="{CA78A069-438F-7E42-A147-6AA26138B832}"/>
    <hyperlink ref="A158" r:id="rId132" display="https://bulma.dev/classes/display/is-block-mobile" xr:uid="{D8441E6C-8B66-D34E-8B3B-CC2A73D47296}"/>
    <hyperlink ref="A159" r:id="rId133" display="https://bulma.dev/classes/display/is-block-tablet" xr:uid="{8A14AFFB-FF6A-C841-8576-DAB6FF9A4272}"/>
    <hyperlink ref="A160" r:id="rId134" display="https://bulma.dev/classes/display/is-block-tablet-only" xr:uid="{A14E436D-CBB0-E641-AB52-66E11F6B40F7}"/>
    <hyperlink ref="A161" r:id="rId135" display="https://bulma.dev/classes/display/is-block-touch" xr:uid="{F8A8908F-B4D4-BC41-BDC4-51B746EDCD52}"/>
    <hyperlink ref="A162" r:id="rId136" display="https://bulma.dev/classes/display/is-block-widescreen" xr:uid="{30E7F411-05F7-2544-B1CD-29CC2FF2EFEF}"/>
    <hyperlink ref="A163" r:id="rId137" display="https://bulma.dev/classes/display/is-block-widescreen-only" xr:uid="{10327F6C-B40E-7949-9E04-785906AE5302}"/>
    <hyperlink ref="A164" r:id="rId138" display="https://bulma.dev/classes/display/is-flex-desktop" xr:uid="{16FBD028-7F25-D244-8AC1-694919F2B04C}"/>
    <hyperlink ref="A165" r:id="rId139" display="https://bulma.dev/classes/display/is-flex-desktop-only" xr:uid="{6722E894-6C5D-D840-A978-66E5A3A2C29F}"/>
    <hyperlink ref="A166" r:id="rId140" display="https://bulma.dev/classes/display/is-flex-fullhd" xr:uid="{81E84038-770B-1644-9D75-477F10227484}"/>
    <hyperlink ref="A167" r:id="rId141" display="https://bulma.dev/classes/display/is-flex-mobile" xr:uid="{8DD57834-2924-5C49-B2A7-2E620179F37D}"/>
    <hyperlink ref="A168" r:id="rId142" display="https://bulma.dev/classes/display/is-flex-tablet" xr:uid="{08A49BBB-7217-CD40-987F-AFD634A45F8F}"/>
    <hyperlink ref="A169" r:id="rId143" display="https://bulma.dev/classes/display/is-flex-tablet-only" xr:uid="{D3DD962D-7655-8B4D-8754-78579AA6D10C}"/>
    <hyperlink ref="A170" r:id="rId144" display="https://bulma.dev/classes/display/is-flex-touch" xr:uid="{78F78982-9E75-DA48-AAAA-8FCC81A66020}"/>
    <hyperlink ref="A171" r:id="rId145" display="https://bulma.dev/classes/display/is-flex-widescreen" xr:uid="{74D793A7-0DEF-A84C-9FB2-4556BA97DFA6}"/>
    <hyperlink ref="A172" r:id="rId146" display="https://bulma.dev/classes/display/is-flex-widescreen-only" xr:uid="{6C75C567-FA1D-4447-AEF1-95D1D1A780C4}"/>
    <hyperlink ref="A173" r:id="rId147" display="https://bulma.dev/classes/display/is-hidden-desktop" xr:uid="{F5D54A49-13FE-2A44-9F1F-9E1CB9599DB1}"/>
    <hyperlink ref="A174" r:id="rId148" display="https://bulma.dev/classes/display/is-hidden-desktop-only" xr:uid="{9D38D6C4-C757-F143-BAA7-4ACA5049C575}"/>
    <hyperlink ref="A175" r:id="rId149" display="https://bulma.dev/classes/display/is-hidden-fullhd" xr:uid="{6D99223B-ACA9-7D4C-9440-C5F843E992D9}"/>
    <hyperlink ref="A176" r:id="rId150" display="https://bulma.dev/classes/display/is-hidden-mobile" xr:uid="{2173268A-451D-5D4A-B065-7BCD6B9B9983}"/>
    <hyperlink ref="A177" r:id="rId151" display="https://bulma.dev/classes/display/is-hidden-tablet" xr:uid="{C87FA970-187F-2146-8727-05457EB15CA3}"/>
    <hyperlink ref="A178" r:id="rId152" display="https://bulma.dev/classes/display/is-hidden-tablet-only" xr:uid="{3E088553-B39F-5B4F-960B-38FCB33B1E9B}"/>
    <hyperlink ref="A179" r:id="rId153" display="https://bulma.dev/classes/display/is-hidden-touch" xr:uid="{AAB12766-92AB-DB4E-8A35-DB57559231B9}"/>
    <hyperlink ref="A180" r:id="rId154" display="https://bulma.dev/classes/display/is-hidden-widescreen" xr:uid="{DC199CC0-A416-BC4C-B95F-D82B9D2F0029}"/>
    <hyperlink ref="A181" r:id="rId155" display="https://bulma.dev/classes/display/is-hidden-widescreen-only" xr:uid="{4BA522FB-1A96-E64E-9B87-8F158100153D}"/>
    <hyperlink ref="A182" r:id="rId156" display="https://bulma.dev/classes/display/is-inline-block-desktop" xr:uid="{247D050F-3634-2B42-A3E7-F98A4FD69312}"/>
    <hyperlink ref="A183" r:id="rId157" display="https://bulma.dev/classes/display/is-inline-block-desktop-only" xr:uid="{DE4D9186-F733-1941-8DD6-0B6BE5AC5AFB}"/>
    <hyperlink ref="A184" r:id="rId158" display="https://bulma.dev/classes/display/is-inline-block-fullhd" xr:uid="{2CE60286-1ABC-334F-B3B1-E8345808A34E}"/>
    <hyperlink ref="A185" r:id="rId159" display="https://bulma.dev/classes/display/is-inline-block-mobile" xr:uid="{DABBB92F-323D-5949-BE73-FBA2EE3D5BC3}"/>
    <hyperlink ref="A186" r:id="rId160" display="https://bulma.dev/classes/display/is-inline-block-tablet" xr:uid="{C76961BB-8D13-1747-8F64-159D3491E4E7}"/>
    <hyperlink ref="A187" r:id="rId161" display="https://bulma.dev/classes/display/is-inline-block-tablet-only" xr:uid="{63A1F663-8156-C346-9F38-39D66B57B31D}"/>
    <hyperlink ref="A188" r:id="rId162" display="https://bulma.dev/classes/display/is-inline-block-touch" xr:uid="{EDE98ACC-F33A-BA46-BEE5-FACAEB1E4F62}"/>
    <hyperlink ref="A189" r:id="rId163" display="https://bulma.dev/classes/display/is-inline-block-widescreen" xr:uid="{ECFE9E38-1B90-A34E-9A12-08AE4F82A655}"/>
    <hyperlink ref="A190" r:id="rId164" display="https://bulma.dev/classes/display/is-inline-block-widescreen-only" xr:uid="{0060BE2E-3687-B04D-A47F-0D041651EDBE}"/>
    <hyperlink ref="A191" r:id="rId165" display="https://bulma.dev/classes/display/is-inline-desktop" xr:uid="{350BDF8E-C138-9944-992D-377D463A88C4}"/>
    <hyperlink ref="A192" r:id="rId166" display="https://bulma.dev/classes/display/is-inline-desktop-only" xr:uid="{A1B2883F-49E1-124E-8BFD-E4E2984404E6}"/>
    <hyperlink ref="A193" r:id="rId167" display="https://bulma.dev/classes/display/is-inline-flex-desktop" xr:uid="{4FB883C4-1DE4-3644-8756-3CFB1AEE0666}"/>
    <hyperlink ref="A194" r:id="rId168" display="https://bulma.dev/classes/display/is-inline-flex-desktop-only" xr:uid="{CF4993B4-AAEC-464D-A8E0-8B6308F5485A}"/>
    <hyperlink ref="A195" r:id="rId169" display="https://bulma.dev/classes/display/is-inline-flex-fullhd" xr:uid="{E8C4B010-AE0B-1B40-9A5C-D33D8F01BB9F}"/>
    <hyperlink ref="A196" r:id="rId170" display="https://bulma.dev/classes/display/is-inline-flex-mobile" xr:uid="{82727B68-3E67-F444-8032-4284B3730C4D}"/>
    <hyperlink ref="A197" r:id="rId171" display="https://bulma.dev/classes/display/is-inline-flex-tablet" xr:uid="{A5ECE5D1-1547-5942-A20B-CBE99165C272}"/>
    <hyperlink ref="A198" r:id="rId172" display="https://bulma.dev/classes/display/is-inline-flex-tablet-only" xr:uid="{C8E02E80-FE9E-0949-9CD9-453505715930}"/>
    <hyperlink ref="A199" r:id="rId173" display="https://bulma.dev/classes/display/is-inline-flex-touch" xr:uid="{2739DE76-B4A1-644D-88BD-B2CD37024659}"/>
    <hyperlink ref="A200" r:id="rId174" display="https://bulma.dev/classes/display/is-inline-flex-widescreen" xr:uid="{32D3889F-A63D-9446-B7E9-10F346D59637}"/>
    <hyperlink ref="A201" r:id="rId175" display="https://bulma.dev/classes/display/is-inline-flex-widescreen-only" xr:uid="{40C47831-4A61-6F48-8EF2-00D007E74C5C}"/>
    <hyperlink ref="A202" r:id="rId176" display="https://bulma.dev/classes/display/is-inline-fullhd" xr:uid="{EA178AFC-007A-FC40-ACD9-732044E5941F}"/>
    <hyperlink ref="A203" r:id="rId177" display="https://bulma.dev/classes/display/is-inline-mobile" xr:uid="{82F8C1F9-567F-A94D-B72D-8ACF6034BAF0}"/>
    <hyperlink ref="A204" r:id="rId178" display="https://bulma.dev/classes/display/is-inline-tablet" xr:uid="{BFB5F1A6-D1B7-CD47-8DF4-11FECEABF66D}"/>
    <hyperlink ref="A205" r:id="rId179" display="https://bulma.dev/classes/display/is-inline-tablet-only" xr:uid="{CE8080B6-5CA4-624E-B448-EDFB1BED1357}"/>
    <hyperlink ref="A206" r:id="rId180" display="https://bulma.dev/classes/display/is-inline-touch" xr:uid="{8A6F5853-2A89-7B44-85E8-AB28E622243B}"/>
    <hyperlink ref="A207" r:id="rId181" display="https://bulma.dev/classes/display/is-inline-widescreen" xr:uid="{2C6A453F-4CFF-604E-96A6-01843888EF8B}"/>
    <hyperlink ref="A208" r:id="rId182" display="https://bulma.dev/classes/display/is-inline-widescreen-only" xr:uid="{F083042D-5FA0-D448-93C5-71DFDF12B45E}"/>
    <hyperlink ref="A209" r:id="rId183" display="https://bulma.dev/classes/display/is-invisible-desktop" xr:uid="{D46B4AC5-ADFE-7249-8CA8-EA705989CE77}"/>
    <hyperlink ref="A210" r:id="rId184" display="https://bulma.dev/classes/display/is-invisible-desktop-only" xr:uid="{EFE863C3-C3EE-5B48-8F3B-4E3D0B086F3B}"/>
    <hyperlink ref="A211" r:id="rId185" display="https://bulma.dev/classes/display/is-invisible-fullhd" xr:uid="{AA8E8F29-7055-EF4F-A57C-DE65464CB906}"/>
    <hyperlink ref="A212" r:id="rId186" display="https://bulma.dev/classes/display/is-invisible-mobile" xr:uid="{2E240988-D84C-6E4A-9160-007FD63525ED}"/>
    <hyperlink ref="A213" r:id="rId187" display="https://bulma.dev/classes/display/is-invisible-tablet" xr:uid="{24D81B34-1B08-FB46-A12F-63903D9A9FB4}"/>
    <hyperlink ref="A214" r:id="rId188" display="https://bulma.dev/classes/display/is-invisible-tablet-only" xr:uid="{A704B194-1250-FA43-82FE-69F9E9BEBB39}"/>
    <hyperlink ref="A215" r:id="rId189" display="https://bulma.dev/classes/display/is-invisible-touch" xr:uid="{55C86DC3-42C3-3745-B3CB-D6B1449AB9B6}"/>
    <hyperlink ref="A216" r:id="rId190" display="https://bulma.dev/classes/display/is-invisible-widescreen" xr:uid="{05A87EBF-7CA0-8348-AFB0-D71D19663692}"/>
    <hyperlink ref="A217" r:id="rId191" display="https://bulma.dev/classes/display/is-invisible-widescreen-only" xr:uid="{5AC049C0-7EC0-E342-A619-FE2DA71B99FD}"/>
    <hyperlink ref="A221" r:id="rId192" display="https://bulma.dev/classes/dropdown/dropdown" xr:uid="{35FB0FA7-CB45-C945-8DD5-CB063E90EB46}"/>
    <hyperlink ref="A222" r:id="rId193" display="https://bulma.dev/classes/dropdown/dropdown-content" xr:uid="{02C9A02F-2637-0D49-B5F4-ADAC52397000}"/>
    <hyperlink ref="A223" r:id="rId194" display="https://bulma.dev/classes/dropdown/dropdown-divider" xr:uid="{8A913497-A41E-1649-BBE8-272E48D96084}"/>
    <hyperlink ref="A224" r:id="rId195" display="https://bulma.dev/classes/dropdown/dropdown-item" xr:uid="{B37380E5-1BDB-C944-91AB-F03BC8CD50FE}"/>
    <hyperlink ref="A225" r:id="rId196" display="https://bulma.dev/classes/dropdown/dropdown-menu" xr:uid="{F3EED1C5-4903-0146-9811-AE73F9CEE945}"/>
    <hyperlink ref="A226" r:id="rId197" display="https://bulma.dev/classes/dropdown/dropdown.is-active" xr:uid="{7BC84369-7DD3-0A4F-8AB3-B1BFC5EAEDE0}"/>
    <hyperlink ref="A227" r:id="rId198" display="https://bulma.dev/classes/dropdown/dropdown.is-right" xr:uid="{DAA682A4-4F37-AE4D-80CA-1ABECC55A758}"/>
    <hyperlink ref="A228" r:id="rId199" display="https://bulma.dev/classes/dropdown/dropdown.is-up" xr:uid="{31CBC631-37F5-5D44-A775-F86E9EDB1D6D}"/>
    <hyperlink ref="A229" r:id="rId200" display="https://bulma.dev/classes/dropdown/is-hoverable" xr:uid="{3EFFBC3B-87F1-E34F-8117-555655408C4C}"/>
    <hyperlink ref="A233" r:id="rId201" display="https://bulma.dev/classes/field/field" xr:uid="{3C8C9A23-C246-D74D-8D5F-44A1739D0C1C}"/>
    <hyperlink ref="A234" r:id="rId202" display="https://bulma.dev/classes/field/field-body" xr:uid="{63FA0D68-A81E-D442-B067-2597988788C0}"/>
    <hyperlink ref="A235" r:id="rId203" display="https://bulma.dev/classes/field/field-label" xr:uid="{E475D278-C9DE-BA4D-B6DF-CC733582FBED}"/>
    <hyperlink ref="A236" r:id="rId204" display="https://bulma.dev/classes/field/field.has-addons" xr:uid="{2F67D310-1964-2041-A96F-7F7D99618E68}"/>
    <hyperlink ref="A237" r:id="rId205" display="https://bulma.dev/classes/field/field.has-addons.has-addons-centered" xr:uid="{C39FFDE3-2FC6-C642-B138-B46F7F2F4ADF}"/>
    <hyperlink ref="A238" r:id="rId206" display="https://bulma.dev/classes/field/field.has-addons.has-addons-fullwidth" xr:uid="{B69E1816-A8C2-924E-BD07-6DBF25700717}"/>
    <hyperlink ref="A239" r:id="rId207" display="https://bulma.dev/classes/field/field.has-addons.has-addons-right" xr:uid="{82F72A48-56F0-A148-A421-BD0160D131A3}"/>
    <hyperlink ref="A240" r:id="rId208" display="https://bulma.dev/classes/field/field.is-grouped" xr:uid="{B823867D-33EC-2A47-87C3-A0496B0230A1}"/>
    <hyperlink ref="A241" r:id="rId209" display="https://bulma.dev/classes/field/field.is-grouped.is-grouped-centered" xr:uid="{6E0A3A93-8A81-094A-B21B-A6AB66F1BC9A}"/>
    <hyperlink ref="A242" r:id="rId210" display="https://bulma.dev/classes/field/field.is-grouped.is-grouped-multiline" xr:uid="{B5E2FF16-47A6-604C-8B6B-A01BD411346C}"/>
    <hyperlink ref="A243" r:id="rId211" display="https://bulma.dev/classes/field/field.is-grouped.is-grouped-right" xr:uid="{CB504439-394D-2745-82B0-463E4D98D8DD}"/>
    <hyperlink ref="A247" r:id="rId212" display="https://bulma.dev/classes/file/file" xr:uid="{3D2308A3-6CDC-F24E-8C02-DD72549B36AE}"/>
    <hyperlink ref="A248" r:id="rId213" display="https://bulma.dev/classes/file/file-cta" xr:uid="{54EB4300-9A4F-864C-AAC8-8DCF5F23FDB6}"/>
    <hyperlink ref="A249" r:id="rId214" display="https://bulma.dev/classes/file/file-icon" xr:uid="{275A7CAC-27F0-3241-B9B5-CDE266831DE6}"/>
    <hyperlink ref="A250" r:id="rId215" display="https://bulma.dev/classes/file/file-input" xr:uid="{2E5A4192-2D6F-624D-9DA4-4E8D931D48C9}"/>
    <hyperlink ref="A251" r:id="rId216" display="https://bulma.dev/classes/file/file-label" xr:uid="{BAB504EA-C111-E141-872B-1FDD0F44E8BA}"/>
    <hyperlink ref="A252" r:id="rId217" display="https://bulma.dev/classes/file/file-name" xr:uid="{B492B9E6-80FD-C44E-A795-A6A270DBCDFD}"/>
    <hyperlink ref="A253" r:id="rId218" display="https://bulma.dev/classes/file/file.has-name" xr:uid="{6B69A40C-665E-6B4C-A4E4-830F882F44EB}"/>
    <hyperlink ref="A254" r:id="rId219" display="https://bulma.dev/classes/file/file.has-name.is-empty" xr:uid="{83742090-2940-174A-B554-7F12AC8D0257}"/>
    <hyperlink ref="A255" r:id="rId220" display="https://bulma.dev/classes/file/file.is-boxed" xr:uid="{42F7ABF2-7914-9845-BD58-54EBE1CA99E0}"/>
    <hyperlink ref="A256" r:id="rId221" display="https://bulma.dev/classes/file/file.is-boxed.has-name" xr:uid="{3D0D924D-DB43-5B4C-B7B6-E4450F0DB0E4}"/>
    <hyperlink ref="A257" r:id="rId222" display="https://bulma.dev/classes/file/file.is-centered" xr:uid="{33E1800C-F77A-7443-92AA-E96497ED12D8}"/>
    <hyperlink ref="A258" r:id="rId223" display="https://bulma.dev/classes/file/file.is-fullwidth" xr:uid="{2B481440-682C-BB4B-AEBC-EA758EE227C9}"/>
    <hyperlink ref="A259" r:id="rId224" display="https://bulma.dev/classes/file/file.is-right" xr:uid="{A89E9A12-133A-E141-A467-03BD93D35EAF}"/>
    <hyperlink ref="A263" r:id="rId225" display="https://bulma.dev/classes/forms/checkbox" xr:uid="{E17C8824-95C8-F14E-B306-80113142A535}"/>
    <hyperlink ref="A264" r:id="rId226" display="https://bulma.dev/classes/forms/control" xr:uid="{356D472B-1FB0-0547-B26A-2F6BE3FB81CB}"/>
    <hyperlink ref="A265" r:id="rId227" display="https://bulma.dev/classes/forms/control.has-icons-left" xr:uid="{D08956A6-0FA9-2043-9E22-55864DC133E7}"/>
    <hyperlink ref="A266" r:id="rId228" display="https://bulma.dev/classes/forms/control.has-icons-right" xr:uid="{D7EBB332-BAF3-3248-A02E-2212C1CE8D21}"/>
    <hyperlink ref="A267" r:id="rId229" display="https://bulma.dev/classes/forms/control.is-loading" xr:uid="{3DD96EDD-AC38-5B42-98E6-C7A7C8354ED1}"/>
    <hyperlink ref="A268" r:id="rId230" display="https://bulma.dev/classes/forms/has-name" xr:uid="{407826D6-2554-8640-B276-B524049823D8}"/>
    <hyperlink ref="A269" r:id="rId231" display="https://bulma.dev/classes/forms/input" xr:uid="{FC4804A8-0E5E-0A4F-93DA-D969FF00C214}"/>
    <hyperlink ref="A270" r:id="rId232" display="https://bulma.dev/classes/forms/input.is-rounded" xr:uid="{3D1E02BD-30C7-BD4D-922B-F60E6A462751}"/>
    <hyperlink ref="A271" r:id="rId233" display="https://bulma.dev/classes/forms/input.is-static" xr:uid="{46015679-4F9E-AF49-B24A-41F60B33EC4B}"/>
    <hyperlink ref="A272" r:id="rId234" display="https://bulma.dev/classes/forms/is-expanded" xr:uid="{12F956FC-831A-F94C-B948-111932F704DC}"/>
    <hyperlink ref="A273" r:id="rId235" display="https://bulma.dev/classes/forms/is-focused" xr:uid="{66CEF738-CB15-8241-9095-B86430FB8681}"/>
    <hyperlink ref="A274" r:id="rId236" display="https://bulma.dev/classes/forms/is-horizontal" xr:uid="{6E46C73F-0B15-F146-AA25-3FE47F4A261A}"/>
    <hyperlink ref="A275" r:id="rId237" display="https://bulma.dev/classes/forms/is-left" xr:uid="{30FA6E07-8ECB-5745-A961-45ABF7543B60}"/>
    <hyperlink ref="A276" r:id="rId238" display="https://bulma.dev/classes/forms/is-multiple" xr:uid="{C8937D61-1059-0D4F-B3BD-713C3A6B35E6}"/>
    <hyperlink ref="A277" r:id="rId239" display="https://bulma.dev/classes/forms/is-normal" xr:uid="{C4CAB1B9-B293-CD4C-B274-9CF43430EF36}"/>
    <hyperlink ref="A278" r:id="rId240" display="https://bulma.dev/classes/forms/is-right" xr:uid="{097E570C-65AC-4F4E-9079-722127DCC058}"/>
    <hyperlink ref="A279" r:id="rId241" display="https://bulma.dev/classes/forms/radio" xr:uid="{751DC565-4F87-4F48-B276-5F77DF5F87B9}"/>
    <hyperlink ref="A280" r:id="rId242" display="https://bulma.dev/classes/forms/select" xr:uid="{E95FAB7C-1404-3A4D-B978-33760BFED29A}"/>
    <hyperlink ref="A281" r:id="rId243" display="https://bulma.dev/classes/forms/textarea" xr:uid="{037E8516-92D2-D543-9D97-B5296D989F9B}"/>
    <hyperlink ref="A282" r:id="rId244" display="https://bulma.dev/classes/forms/textarea.has-fixed-size" xr:uid="{15078837-8600-3045-A13D-AF3AEF5DC4C7}"/>
    <hyperlink ref="A286" r:id="rId245" display="https://bulma.dev/classes/grid/is-0" xr:uid="{6FD08BA0-E24E-BF45-97E4-31AD9E6B557D}"/>
    <hyperlink ref="A287" r:id="rId246" display="https://bulma.dev/classes/grid/is-0-desktop" xr:uid="{C268AE8C-6333-D040-8F02-D0734CA3321F}"/>
    <hyperlink ref="A288" r:id="rId247" display="https://bulma.dev/classes/grid/is-0-desktop-only" xr:uid="{AFADF144-B9AB-FA43-AF4D-08A7458BF43F}"/>
    <hyperlink ref="A289" r:id="rId248" display="https://bulma.dev/classes/grid/is-0-fullhd" xr:uid="{BCECC125-07E7-5E4C-8FFE-D54CE96BF5CF}"/>
    <hyperlink ref="A290" r:id="rId249" display="https://bulma.dev/classes/grid/is-0-mobile" xr:uid="{AF14DE84-C6BD-A549-8566-EE26AD56267E}"/>
    <hyperlink ref="A291" r:id="rId250" display="https://bulma.dev/classes/grid/is-0-tablet" xr:uid="{51C37657-71C5-5840-8FC9-EAC7FC5CEEA2}"/>
    <hyperlink ref="A292" r:id="rId251" display="https://bulma.dev/classes/grid/is-0-tablet-only" xr:uid="{CEED3182-B1EB-D144-BA38-A039B09C1C89}"/>
    <hyperlink ref="A293" r:id="rId252" display="https://bulma.dev/classes/grid/is-0-touch" xr:uid="{4E113E1A-1088-4B4F-B90D-ABBA64905F69}"/>
    <hyperlink ref="A294" r:id="rId253" display="https://bulma.dev/classes/grid/is-0-widescreen" xr:uid="{7B6D3570-AFEC-724E-8097-D99A53D2701F}"/>
    <hyperlink ref="A295" r:id="rId254" display="https://bulma.dev/classes/grid/is-0-widescreen-only" xr:uid="{0886FF52-984A-6B40-90F3-40180F7E51CB}"/>
    <hyperlink ref="A296" r:id="rId255" display="https://bulma.dev/classes/grid/is-desktop" xr:uid="{D6F77E85-5AB1-7D4B-B15E-5E24799A1353}"/>
    <hyperlink ref="A297" r:id="rId256" display="https://bulma.dev/classes/grid/is-four-fifths" xr:uid="{F7492008-9B6A-B843-8A58-8FD3AAF63FFD}"/>
    <hyperlink ref="A298" r:id="rId257" display="https://bulma.dev/classes/grid/is-four-fifths-desktop" xr:uid="{5946CDEA-1CF5-2140-8C87-A99AB39A7B4D}"/>
    <hyperlink ref="A299" r:id="rId258" display="https://bulma.dev/classes/grid/is-four-fifths-fullhd" xr:uid="{008DFF2E-5A9D-584A-83F4-B9DB5BCDDF3A}"/>
    <hyperlink ref="A300" r:id="rId259" display="https://bulma.dev/classes/grid/is-four-fifths-mobile" xr:uid="{B27C3CD2-7D99-2349-884A-7DADBF8C992D}"/>
    <hyperlink ref="A301" r:id="rId260" display="https://bulma.dev/classes/grid/is-four-fifths-touch" xr:uid="{9DC22FD4-1AB4-FB4E-AFDC-361C60FAC3D2}"/>
    <hyperlink ref="A302" r:id="rId261" display="https://bulma.dev/classes/grid/is-four-fifths-widescreen" xr:uid="{B68A8A65-2A6A-3346-BB14-76A1AAC27CE5}"/>
    <hyperlink ref="A303" r:id="rId262" display="https://bulma.dev/classes/grid/is-full" xr:uid="{6670D706-DB03-1246-BC5E-C6A464F4D788}"/>
    <hyperlink ref="A304" r:id="rId263" display="https://bulma.dev/classes/grid/is-full-desktop" xr:uid="{3138EEFE-CC50-5647-A1E9-8190DF47C9AC}"/>
    <hyperlink ref="A305" r:id="rId264" display="https://bulma.dev/classes/grid/is-full-mobile" xr:uid="{361DEB36-D910-5347-AA11-6CD503CFB741}"/>
    <hyperlink ref="A306" r:id="rId265" display="https://bulma.dev/classes/grid/is-full-tablet" xr:uid="{CF38F5EF-161C-D546-9A86-168531E927EF}"/>
    <hyperlink ref="A307" r:id="rId266" display="https://bulma.dev/classes/grid/is-full-touch" xr:uid="{DFCC23F2-B582-9640-9E9D-54050856C20C}"/>
    <hyperlink ref="A308" r:id="rId267" display="https://bulma.dev/classes/grid/is-full-widescreen" xr:uid="{E1B8CE75-C0E1-B741-AB3F-E821A2EF2C2C}"/>
    <hyperlink ref="A309" r:id="rId268" display="https://bulma.dev/classes/grid/is-half" xr:uid="{ED0791D4-3FAD-574A-90B6-ED9C8ECA1A0D}"/>
    <hyperlink ref="A310" r:id="rId269" display="https://bulma.dev/classes/grid/is-half-desktop" xr:uid="{5AE731D4-657D-7140-90D4-3473B06F92B0}"/>
    <hyperlink ref="A311" r:id="rId270" display="https://bulma.dev/classes/grid/is-half-fullhd" xr:uid="{513C7165-7D72-0F42-952F-DEF46DA5820F}"/>
    <hyperlink ref="A312" r:id="rId271" display="https://bulma.dev/classes/grid/is-half-mobile" xr:uid="{67EFE52A-1E87-BC40-ABB2-13E6B80234B6}"/>
    <hyperlink ref="A313" r:id="rId272" display="https://bulma.dev/classes/grid/is-half-tablet" xr:uid="{EDD7FC37-1F25-DD45-A323-B44C9D02A73B}"/>
    <hyperlink ref="A314" r:id="rId273" display="https://bulma.dev/classes/grid/is-half-touch" xr:uid="{F78DCF5F-B01A-4E46-9FB6-57DDF8620B43}"/>
    <hyperlink ref="A315" r:id="rId274" display="https://bulma.dev/classes/grid/is-half-widescreen" xr:uid="{D4DD35C6-1D65-9C4E-BF4F-D5D1BCF93E20}"/>
    <hyperlink ref="A316" r:id="rId275" display="https://bulma.dev/classes/grid/is-narrow" xr:uid="{23C1CEDC-F076-3F4F-B3F2-CF22B745BBC8}"/>
    <hyperlink ref="A317" r:id="rId276" display="https://bulma.dev/classes/grid/is-narrow-desktop" xr:uid="{E95CAFCD-25A1-F34F-8784-3F5A90BA21C3}"/>
    <hyperlink ref="A318" r:id="rId277" display="https://bulma.dev/classes/grid/is-narrow-fullhd" xr:uid="{3E7A19F6-8DEA-154E-B552-6EBAC588BA14}"/>
    <hyperlink ref="A319" r:id="rId278" display="https://bulma.dev/classes/grid/is-narrow-mobile" xr:uid="{447A700C-A4AC-3C4A-8895-EE20459AE8C0}"/>
    <hyperlink ref="A320" r:id="rId279" display="https://bulma.dev/classes/grid/is-narrow-tablet" xr:uid="{ED31DE20-2080-2542-B95F-D1F40F71030A}"/>
    <hyperlink ref="A321" r:id="rId280" display="https://bulma.dev/classes/grid/is-narrow-touch" xr:uid="{86DB46A0-A538-5B47-A5B3-87F2BF88D7A0}"/>
    <hyperlink ref="A322" r:id="rId281" display="https://bulma.dev/classes/grid/is-narrow-widescreen" xr:uid="{83A54F8C-8AF0-1643-89AB-E20F12186D8A}"/>
    <hyperlink ref="A323" r:id="rId282" display="https://bulma.dev/classes/grid/is-offset-0" xr:uid="{35039BF7-7646-FE42-B528-DE6EF54A963B}"/>
    <hyperlink ref="A324" r:id="rId283" display="https://bulma.dev/classes/grid/is-offset-0-desktop" xr:uid="{AB681EA1-83AB-854D-A550-483D022D5C40}"/>
    <hyperlink ref="A325" r:id="rId284" display="https://bulma.dev/classes/grid/is-offset-0-fullhd" xr:uid="{F8583A1B-5EC8-3442-A7C7-DFF396AD4EA4}"/>
    <hyperlink ref="A326" r:id="rId285" display="https://bulma.dev/classes/grid/is-offset-0-fullhd" xr:uid="{A7682C38-88A4-6349-BF98-C85F41668373}"/>
    <hyperlink ref="A327" r:id="rId286" display="https://bulma.dev/classes/grid/is-offset-0-mobile" xr:uid="{B5C3B00A-510D-9249-AE86-35741B8A8986}"/>
    <hyperlink ref="A328" r:id="rId287" display="https://bulma.dev/classes/grid/is-offset-0-tablet" xr:uid="{44A67873-70A5-F644-ABCD-288DE042F6E3}"/>
    <hyperlink ref="A329" r:id="rId288" display="https://bulma.dev/classes/grid/is-offset-0-touch" xr:uid="{3618B00D-6869-7341-B1DB-2012CD770528}"/>
    <hyperlink ref="A330" r:id="rId289" display="https://bulma.dev/classes/grid/is-offset-0-widescreen" xr:uid="{7EFBD50B-FB7F-734B-862C-C60C2A3FF1EF}"/>
    <hyperlink ref="A331" r:id="rId290" display="https://bulma.dev/classes/grid/is-offset-1" xr:uid="{DA448E95-C1BC-A348-94D2-CAD0D23E4C47}"/>
    <hyperlink ref="A332" r:id="rId291" display="https://bulma.dev/classes/grid/is-offset-1-desktop" xr:uid="{E91E8424-2430-A444-A806-626FF6D0AA43}"/>
    <hyperlink ref="A333" r:id="rId292" display="https://bulma.dev/classes/grid/is-offset-1-mobile" xr:uid="{CE3280FD-152F-594D-BBC9-8B8899B86733}"/>
    <hyperlink ref="A334" r:id="rId293" display="https://bulma.dev/classes/grid/is-offset-1-tablet" xr:uid="{F3F6955D-CEF5-0045-B515-DF3B3182D555}"/>
    <hyperlink ref="A335" r:id="rId294" display="https://bulma.dev/classes/grid/is-offset-1-touch" xr:uid="{904B06FB-F7DF-044A-9C5D-975DE8959EF0}"/>
    <hyperlink ref="A336" r:id="rId295" display="https://bulma.dev/classes/grid/is-offset-1-widescreen" xr:uid="{47662EB2-A05D-5B43-9F0B-DDBDA2BA7509}"/>
    <hyperlink ref="A337" r:id="rId296" display="https://bulma.dev/classes/grid/is-offset-four-fifths" xr:uid="{4AD69F9C-1B81-4444-8CC0-5DAA21E1D253}"/>
    <hyperlink ref="A338" r:id="rId297" display="https://bulma.dev/classes/grid/is-offset-four-fifths-desktop" xr:uid="{24D456DB-E42E-C844-87FE-71A29FCB326B}"/>
    <hyperlink ref="A339" r:id="rId298" display="https://bulma.dev/classes/grid/is-offset-four-fifths-fullhd" xr:uid="{28CE3E2E-43F4-E949-8FCB-25AE47D135E1}"/>
    <hyperlink ref="A340" r:id="rId299" display="https://bulma.dev/classes/grid/is-offset-four-fifths-mobile" xr:uid="{08DE3BDB-1D01-FA4F-ACDC-5B847CFA4049}"/>
    <hyperlink ref="A341" r:id="rId300" display="https://bulma.dev/classes/grid/is-offset-four-fifths-tablet" xr:uid="{6F5F22DD-6077-774F-92BB-0C89EF08C781}"/>
    <hyperlink ref="A342" r:id="rId301" display="https://bulma.dev/classes/grid/is-offset-four-fifths-touch" xr:uid="{D6BB40A1-9F19-E84C-BDC6-8600E18F0A6A}"/>
    <hyperlink ref="A343" r:id="rId302" display="https://bulma.dev/classes/grid/is-offset-four-fifths-widescreen" xr:uid="{7EEC812F-7D90-2146-9F88-0A866E423AC8}"/>
    <hyperlink ref="A344" r:id="rId303" display="https://bulma.dev/classes/grid/is-offset-half" xr:uid="{923EE54D-723D-3941-9353-AC6997573245}"/>
    <hyperlink ref="A345" r:id="rId304" display="https://bulma.dev/classes/grid/is-offset-half-desktop" xr:uid="{E342A42D-140A-5844-B71C-4420B465FADB}"/>
    <hyperlink ref="A346" r:id="rId305" display="https://bulma.dev/classes/grid/is-offset-half-fullhd" xr:uid="{4E70A5D8-F1E5-3141-AFB8-85033050ACB2}"/>
    <hyperlink ref="A347" r:id="rId306" display="https://bulma.dev/classes/grid/is-offset-half-mobile" xr:uid="{A9F6F435-0790-AB46-83CF-39E9D6B273D6}"/>
    <hyperlink ref="A348" r:id="rId307" display="https://bulma.dev/classes/grid/is-offset-half-tablet" xr:uid="{BCC991DD-B283-5C4D-A703-0F20C64E7E9B}"/>
    <hyperlink ref="A349" r:id="rId308" display="https://bulma.dev/classes/grid/is-offset-half-touch" xr:uid="{12E73D93-347A-A54B-9F7A-3C3AB4D831C3}"/>
    <hyperlink ref="A350" r:id="rId309" display="https://bulma.dev/classes/grid/is-offset-half-widescreen" xr:uid="{B449FC5F-7F1D-734D-AA14-6EDBC6685538}"/>
    <hyperlink ref="A351" r:id="rId310" display="https://bulma.dev/classes/grid/is-offset-one-fifth" xr:uid="{CC9CD974-2696-CC4B-8399-232ED3F17CB7}"/>
    <hyperlink ref="A352" r:id="rId311" display="https://bulma.dev/classes/grid/is-offset-one-fifth-desktop" xr:uid="{226840EB-C1A5-144E-9778-2B18A968F838}"/>
    <hyperlink ref="A353" r:id="rId312" display="https://bulma.dev/classes/grid/is-offset-one-fifth-fullhd" xr:uid="{346CDD77-2931-3B4B-9453-613619F97848}"/>
    <hyperlink ref="A354" r:id="rId313" display="https://bulma.dev/classes/grid/is-offset-one-fifth-mobile" xr:uid="{7939539C-921C-4546-A8E5-DBF168B7A1CF}"/>
    <hyperlink ref="A355" r:id="rId314" display="https://bulma.dev/classes/grid/is-offset-one-fifth-tablet" xr:uid="{2FDEA3F3-08EB-F84D-898C-A0B96D1060B3}"/>
    <hyperlink ref="A356" r:id="rId315" display="https://bulma.dev/classes/grid/is-offset-one-fifth-touch" xr:uid="{99306E13-6901-7D4C-940B-D393A9CD157C}"/>
    <hyperlink ref="A357" r:id="rId316" display="https://bulma.dev/classes/grid/is-offset-one-fifth-widescreen" xr:uid="{25693B9B-3BDB-2649-8790-5EEAD6F91847}"/>
    <hyperlink ref="A358" r:id="rId317" display="https://bulma.dev/classes/grid/is-offset-one-quarter" xr:uid="{BE0946B6-EE6F-614D-A944-E51B9E426908}"/>
    <hyperlink ref="A359" r:id="rId318" display="https://bulma.dev/classes/grid/is-offset-one-quarter-desktop" xr:uid="{878EAF30-34AF-5340-9500-88FEA3C911A7}"/>
    <hyperlink ref="A360" r:id="rId319" display="https://bulma.dev/classes/grid/is-offset-one-quarter-fullhd" xr:uid="{9E1A41C6-7002-B94B-A986-CC59A9AB1383}"/>
    <hyperlink ref="A361" r:id="rId320" display="https://bulma.dev/classes/grid/is-offset-one-quarter-mobile" xr:uid="{19C58768-3870-E24A-BABA-0290A3CBFA80}"/>
    <hyperlink ref="A362" r:id="rId321" display="https://bulma.dev/classes/grid/is-offset-one-quarter-tablet" xr:uid="{DBB89C62-44BA-7849-B5B5-37310091EEC5}"/>
    <hyperlink ref="A363" r:id="rId322" display="https://bulma.dev/classes/grid/is-offset-one-quarter-touch" xr:uid="{4AF8918F-2C38-DF48-B9D7-FBD7BE9045C2}"/>
    <hyperlink ref="A364" r:id="rId323" display="https://bulma.dev/classes/grid/is-offset-one-quarter-widescreen" xr:uid="{242A5AF4-C441-8145-93FB-BE76612A6DBF}"/>
    <hyperlink ref="A365" r:id="rId324" display="https://bulma.dev/classes/grid/is-offset-one-third" xr:uid="{F03ACC65-26EB-4440-AD82-FCAE73E64FBC}"/>
    <hyperlink ref="A366" r:id="rId325" display="https://bulma.dev/classes/grid/is-offset-one-third-desktop" xr:uid="{DE7134AC-8777-2141-B916-713DC83A7229}"/>
    <hyperlink ref="A367" r:id="rId326" display="https://bulma.dev/classes/grid/is-offset-one-third-fullhd" xr:uid="{DAC52558-3301-234A-A283-10FF855E2A58}"/>
    <hyperlink ref="A368" r:id="rId327" display="https://bulma.dev/classes/grid/is-offset-one-third-mobile" xr:uid="{AE4B9EEB-5A86-E54E-8008-2465FB687A58}"/>
    <hyperlink ref="A369" r:id="rId328" display="https://bulma.dev/classes/grid/is-offset-one-third-tablet" xr:uid="{8DB5F09B-A0D8-C84C-B701-C10FC9E885F2}"/>
    <hyperlink ref="A370" r:id="rId329" display="https://bulma.dev/classes/grid/is-offset-one-third-touch" xr:uid="{B61A6BEE-FEBA-3340-9CF6-0BE8D6689C2C}"/>
    <hyperlink ref="A371" r:id="rId330" display="https://bulma.dev/classes/grid/is-offset-one-third-widescreen" xr:uid="{53C18FC5-88FA-C444-BF99-E8E57182F50D}"/>
    <hyperlink ref="A372" r:id="rId331" display="https://bulma.dev/classes/grid/is-offset-three-fifths" xr:uid="{3AB46AE1-7359-0640-A827-FF9EA15E956E}"/>
    <hyperlink ref="A373" r:id="rId332" display="https://bulma.dev/classes/grid/is-offset-three-fifths-desktop" xr:uid="{3A392E81-8358-F143-9778-F1A7D76EA779}"/>
    <hyperlink ref="A374" r:id="rId333" display="https://bulma.dev/classes/grid/is-offset-three-fifths-fullhd" xr:uid="{959F39C4-DF29-8440-A7E7-EC32BD15C237}"/>
    <hyperlink ref="A375" r:id="rId334" display="https://bulma.dev/classes/grid/is-offset-three-fifths-mobile" xr:uid="{94F20B15-6862-5945-9CFD-2AB3D1A882CF}"/>
    <hyperlink ref="A376" r:id="rId335" display="https://bulma.dev/classes/grid/is-offset-three-fifths-tablet" xr:uid="{290FEEBF-5418-1447-832B-6AAB7960C6F1}"/>
    <hyperlink ref="A377" r:id="rId336" display="https://bulma.dev/classes/grid/is-offset-three-fifths-touch" xr:uid="{7B83383F-8E9F-7348-8D87-EA589BC5BB09}"/>
    <hyperlink ref="A378" r:id="rId337" display="https://bulma.dev/classes/grid/is-offset-three-fifths-widescreen" xr:uid="{5085A0D3-6783-544F-A263-2EA253F2465E}"/>
    <hyperlink ref="A379" r:id="rId338" display="https://bulma.dev/classes/grid/is-offset-three-quarters" xr:uid="{2B1BF278-F49F-764A-965B-75227A07F4CB}"/>
    <hyperlink ref="A380" r:id="rId339" display="https://bulma.dev/classes/grid/is-offset-three-quarters-desktop" xr:uid="{A7B9C0F5-2E00-FB44-98B6-90F94BF97A14}"/>
    <hyperlink ref="A381" r:id="rId340" display="https://bulma.dev/classes/grid/is-offset-three-quarters-fullhd" xr:uid="{B71616C2-5A24-FE4C-B9DA-E5D20B5B39F1}"/>
    <hyperlink ref="A382" r:id="rId341" display="https://bulma.dev/classes/grid/is-offset-three-quarters-mobile" xr:uid="{428F8DAE-F76B-224A-8FF7-15BE7CFC0357}"/>
    <hyperlink ref="A383" r:id="rId342" display="https://bulma.dev/classes/grid/is-offset-three-quarters-tablet" xr:uid="{EC8D4405-E951-AD4C-8283-990558977A8F}"/>
    <hyperlink ref="A384" r:id="rId343" display="https://bulma.dev/classes/grid/is-offset-three-quarters-touch" xr:uid="{4F39E224-8565-1846-A460-D80B82439639}"/>
    <hyperlink ref="A385" r:id="rId344" display="https://bulma.dev/classes/grid/is-offset-three-quarters-widescreen" xr:uid="{FDE506AD-C5F1-A841-A3B4-45A30E394DC0}"/>
    <hyperlink ref="A386" r:id="rId345" display="https://bulma.dev/classes/grid/is-offset-two-fifths" xr:uid="{28FA81F7-581A-A14B-A6DB-ED690400BA22}"/>
    <hyperlink ref="A387" r:id="rId346" display="https://bulma.dev/classes/grid/is-offset-two-fifths-desktop" xr:uid="{A9F4325B-02FC-594D-8664-AAB58D16A2BA}"/>
    <hyperlink ref="A388" r:id="rId347" display="https://bulma.dev/classes/grid/is-offset-two-fifths-fullhd" xr:uid="{BE29DFD5-02AF-024B-A497-966DD2A0D445}"/>
    <hyperlink ref="A389" r:id="rId348" display="https://bulma.dev/classes/grid/is-offset-two-fifths-mobile" xr:uid="{971D2863-8EC4-1040-A467-A93406130EA6}"/>
    <hyperlink ref="A390" r:id="rId349" display="https://bulma.dev/classes/grid/is-offset-two-fifths-tablet" xr:uid="{591DEA1A-6AA8-7842-9F93-CBA6717A332D}"/>
    <hyperlink ref="A391" r:id="rId350" display="https://bulma.dev/classes/grid/is-offset-two-fifths-touch" xr:uid="{71575BE3-4AAE-4F4C-811E-1992004CE3E3}"/>
    <hyperlink ref="A392" r:id="rId351" display="https://bulma.dev/classes/grid/is-offset-two-fifths-widescreen" xr:uid="{A248DBA8-3144-FC45-A4C8-B78279DFB8EB}"/>
    <hyperlink ref="A393" r:id="rId352" display="https://bulma.dev/classes/grid/is-offset-two-thirds" xr:uid="{AFA1D172-9B3D-844A-A0F0-7FF415A40309}"/>
    <hyperlink ref="A394" r:id="rId353" display="https://bulma.dev/classes/grid/is-offset-two-thirds-desktop" xr:uid="{E948061D-9562-DD4B-98D1-7BA71D0A4C7D}"/>
    <hyperlink ref="A395" r:id="rId354" display="https://bulma.dev/classes/grid/is-offset-two-thirds-desktop-mobile" xr:uid="{9D5FB148-2DBA-974C-AD0D-6515A8692EB8}"/>
    <hyperlink ref="A396" r:id="rId355" display="https://bulma.dev/classes/grid/is-offset-two-thirds-desktop-tablet" xr:uid="{0C881CA7-5156-6840-A042-C8F3A6A597FB}"/>
    <hyperlink ref="A397" r:id="rId356" display="https://bulma.dev/classes/grid/is-offset-two-thirds-desktop-touch" xr:uid="{9A3E6D79-B201-D84D-B16E-C399434A7A91}"/>
    <hyperlink ref="A398" r:id="rId357" display="https://bulma.dev/classes/grid/is-offset-two-thirds-desktop-widescreen" xr:uid="{68FBD3E7-B8ED-2B4E-81F6-16F6C0BA0D3A}"/>
    <hyperlink ref="A399" r:id="rId358" display="https://bulma.dev/classes/grid/is-offset-two-thirds-fullhd" xr:uid="{7250FE2F-48DF-1144-98AE-66593B1CAA80}"/>
    <hyperlink ref="A400" r:id="rId359" display="https://bulma.dev/classes/grid/is-one-fifth" xr:uid="{070A6493-C386-3040-8D5F-55D96A2C06F6}"/>
    <hyperlink ref="A401" r:id="rId360" display="https://bulma.dev/classes/grid/is-one-fifth-desktop" xr:uid="{AF4849F7-D3EC-C040-AE28-EF5C142DA2F1}"/>
    <hyperlink ref="A402" r:id="rId361" display="https://bulma.dev/classes/grid/is-one-fifth-fullhd" xr:uid="{9725209F-3F82-2F4F-84B8-1A67F9BB3284}"/>
    <hyperlink ref="A403" r:id="rId362" display="https://bulma.dev/classes/grid/is-one-fifth-mobile" xr:uid="{5A399CBE-6D39-0D45-AD27-2EBD26AEB1F7}"/>
    <hyperlink ref="A404" r:id="rId363" display="https://bulma.dev/classes/grid/is-one-fifth-tablet" xr:uid="{5A046B66-C0C3-CA41-A67A-2530B92EC2F9}"/>
    <hyperlink ref="A405" r:id="rId364" display="https://bulma.dev/classes/grid/is-one-fifth-touch" xr:uid="{E6E2E194-9EE3-2D42-8D9C-A42ADA8F1B04}"/>
    <hyperlink ref="A406" r:id="rId365" display="https://bulma.dev/classes/grid/is-one-fifth-widescreen" xr:uid="{0D76BA33-9FB8-DD49-B4F3-EA745A872FA3}"/>
    <hyperlink ref="A407" r:id="rId366" display="https://bulma.dev/classes/grid/is-one-quarter" xr:uid="{A05EC8EE-895C-7949-A524-5B0683B08B99}"/>
    <hyperlink ref="A408" r:id="rId367" display="https://bulma.dev/classes/grid/is-one-quarter-desktop" xr:uid="{29F3D7C6-8CCC-4241-9612-D7C0D7101EA0}"/>
    <hyperlink ref="A409" r:id="rId368" display="https://bulma.dev/classes/grid/is-one-quarter-fullhd" xr:uid="{2B372937-0E93-D04A-80F7-0F6B7D5CF621}"/>
    <hyperlink ref="A410" r:id="rId369" display="https://bulma.dev/classes/grid/is-one-quarter-mobile" xr:uid="{BFDF5F22-9A9E-0947-AA90-9819A863BB92}"/>
    <hyperlink ref="A411" r:id="rId370" display="https://bulma.dev/classes/grid/is-one-quarter-tablet" xr:uid="{FE50FA01-2EF3-384F-A94E-5A7011852FAB}"/>
    <hyperlink ref="A412" r:id="rId371" display="https://bulma.dev/classes/grid/is-one-quarter-touch" xr:uid="{FB3BB848-6AB4-0046-BB44-6689214F5157}"/>
    <hyperlink ref="A413" r:id="rId372" display="https://bulma.dev/classes/grid/is-one-quarter-widescreen" xr:uid="{F7887E5C-02C6-8D4C-AB84-A8D596588A42}"/>
    <hyperlink ref="A414" r:id="rId373" display="https://bulma.dev/classes/grid/is-one-third" xr:uid="{33D1CF24-60EB-564D-858D-EAC159F85314}"/>
    <hyperlink ref="A415" r:id="rId374" display="https://bulma.dev/classes/grid/is-one-third-desktop" xr:uid="{F4596719-C089-5747-9A70-E62DC824EAD8}"/>
    <hyperlink ref="A416" r:id="rId375" display="https://bulma.dev/classes/grid/is-one-third-fullhd" xr:uid="{D982D77E-1760-504A-9245-A4773DB46626}"/>
    <hyperlink ref="A417" r:id="rId376" display="https://bulma.dev/classes/grid/is-one-third-mobile" xr:uid="{F0DD237A-95DF-364E-B240-4BECAC733EC5}"/>
    <hyperlink ref="A418" r:id="rId377" display="https://bulma.dev/classes/grid/is-one-third-tablet" xr:uid="{EC5D6FF2-2853-0F4D-BB60-3954C2BA5B46}"/>
    <hyperlink ref="A419" r:id="rId378" display="https://bulma.dev/classes/grid/is-one-third-touch" xr:uid="{12F2D7B9-D43F-3E4B-ADD2-D76D6566098F}"/>
    <hyperlink ref="A420" r:id="rId379" display="https://bulma.dev/classes/grid/is-one-third-widescreen" xr:uid="{E674B333-B339-684B-A19B-7B3BD9BB15F1}"/>
    <hyperlink ref="A421" r:id="rId380" display="https://bulma.dev/classes/grid/is-three-fifths" xr:uid="{6D491D4F-D324-2F46-BABA-1509C44D7CD4}"/>
    <hyperlink ref="A422" r:id="rId381" display="https://bulma.dev/classes/grid/is-three-fifths-desktop" xr:uid="{8F5F9010-3DAE-364D-952E-8FCA44D3C11F}"/>
    <hyperlink ref="A423" r:id="rId382" display="https://bulma.dev/classes/grid/is-three-fifths-fullhd" xr:uid="{678D4784-9172-CC4E-B673-FDF1DF1489DF}"/>
    <hyperlink ref="A424" r:id="rId383" display="https://bulma.dev/classes/grid/is-three-fifths-mobile" xr:uid="{C0FF1AAA-5C43-3F4B-802C-9C8C8C8B3249}"/>
    <hyperlink ref="A425" r:id="rId384" display="https://bulma.dev/classes/grid/is-three-fifths-tablet" xr:uid="{943EFF1C-7A88-494F-B7B4-8517583DF90E}"/>
    <hyperlink ref="A426" r:id="rId385" display="https://bulma.dev/classes/grid/is-three-fifths-touch" xr:uid="{76736D8B-C417-A046-9940-8EEAE2B8CA14}"/>
    <hyperlink ref="A427" r:id="rId386" display="https://bulma.dev/classes/grid/is-three-fifths-widescreen" xr:uid="{BDA45961-73E8-FD4D-BD7A-A369346B78F1}"/>
    <hyperlink ref="A428" r:id="rId387" display="https://bulma.dev/classes/grid/is-three-quarters" xr:uid="{446F07C9-80B4-EF49-BA62-4E2ACE6D83B8}"/>
    <hyperlink ref="A429" r:id="rId388" display="https://bulma.dev/classes/grid/is-three-quarters-desktop" xr:uid="{DCB6ABF2-9397-B641-9E5F-297FFE661AC1}"/>
    <hyperlink ref="A430" r:id="rId389" display="https://bulma.dev/classes/grid/is-three-quarters-fullhd" xr:uid="{1BF42BE6-AD10-984B-8256-995134C01184}"/>
    <hyperlink ref="A431" r:id="rId390" display="https://bulma.dev/classes/grid/is-three-quarters-mobile" xr:uid="{B2A611C7-BCA4-B04F-9E51-2834E852CFE0}"/>
    <hyperlink ref="A432" r:id="rId391" display="https://bulma.dev/classes/grid/is-three-quarters-tablet" xr:uid="{6D1581B1-D5C8-D940-913E-1C097FA1CFAA}"/>
    <hyperlink ref="A433" r:id="rId392" display="https://bulma.dev/classes/grid/is-three-quarters-touch" xr:uid="{12A55530-D71F-784D-B561-1C2FF6E93E61}"/>
    <hyperlink ref="A434" r:id="rId393" display="https://bulma.dev/classes/grid/is-three-quarters-widescreen" xr:uid="{E6F1E40A-9083-EB43-B1AA-CF3D9E086273}"/>
    <hyperlink ref="A435" r:id="rId394" display="https://bulma.dev/classes/grid/is-two-fifths" xr:uid="{84DF24BD-AE7E-154E-ACB8-E18FB28FA88A}"/>
    <hyperlink ref="A436" r:id="rId395" display="https://bulma.dev/classes/grid/is-two-fifths-desktop" xr:uid="{CA2E5E1C-19C7-E74E-910E-5D2D127B6413}"/>
    <hyperlink ref="A437" r:id="rId396" display="https://bulma.dev/classes/grid/is-two-fifths-fullhd" xr:uid="{0B56732F-C770-8946-8977-BDC2BA069233}"/>
    <hyperlink ref="A438" r:id="rId397" display="https://bulma.dev/classes/grid/is-two-fifths-mobile" xr:uid="{5DEE1E5F-71BB-0444-A5FC-7646C1DC8918}"/>
    <hyperlink ref="A439" r:id="rId398" display="https://bulma.dev/classes/grid/is-two-fifths-tablet" xr:uid="{A2C5BA87-0BF8-0D4E-8E19-B247240B7A55}"/>
    <hyperlink ref="A440" r:id="rId399" display="https://bulma.dev/classes/grid/is-two-fifths-touch" xr:uid="{B9B4182D-DB52-214E-9F4D-8C9D3FA5991B}"/>
    <hyperlink ref="A441" r:id="rId400" display="https://bulma.dev/classes/grid/is-two-fifths-widescreen" xr:uid="{C578A7EF-BAFC-A749-B2C0-23B975608E47}"/>
    <hyperlink ref="A442" r:id="rId401" display="https://bulma.dev/classes/grid/is-two-thirds" xr:uid="{F17B3F7D-5CD7-984C-B9FA-0F5E0C28C6CA}"/>
    <hyperlink ref="A443" r:id="rId402" display="https://bulma.dev/classes/grid/is-two-thirds-desktop" xr:uid="{2DA792B9-03A0-894D-9C41-59C4B28D7DCF}"/>
    <hyperlink ref="A444" r:id="rId403" display="https://bulma.dev/classes/grid/is-two-thirds-fullhd" xr:uid="{776511F4-090B-4342-B6E8-F95959214E99}"/>
    <hyperlink ref="A445" r:id="rId404" display="https://bulma.dev/classes/grid/is-two-thirds-mobile" xr:uid="{C3B61FB4-DE36-C844-AB78-0726BD453EDC}"/>
    <hyperlink ref="A446" r:id="rId405" display="https://bulma.dev/classes/grid/is-two-thirds-tablet" xr:uid="{E906B4BC-EF82-6145-86F5-9B034CB4AACB}"/>
    <hyperlink ref="A447" r:id="rId406" display="https://bulma.dev/classes/grid/is-two-thirds-touch" xr:uid="{5CA315C3-3F74-8E45-B7FE-C214BC3AA205}"/>
    <hyperlink ref="A448" r:id="rId407" display="https://bulma.dev/classes/grid/is-two-thirds-widescreen" xr:uid="{73F5FB8D-7CEC-D74F-8E15-395302FCE450}"/>
    <hyperlink ref="A449" r:id="rId408" display="https://bulma.dev/classes/grid/is-variable" xr:uid="{DA06947D-E73C-3A41-AFE8-BC340B8A45F4}"/>
    <hyperlink ref="A450" r:id="rId409" display="https://bulma.dev/classes/grid/is-widescreen" xr:uid="{5493CC6D-76E0-3F4C-8B91-8B20D6E8769E}"/>
    <hyperlink ref="A454" r:id="rId410" display="https://bulma.dev/classes/help/help" xr:uid="{5321F3CB-5C46-CB4F-AD1B-8C324B763B51}"/>
    <hyperlink ref="A458" r:id="rId411" display="https://bulma.dev/classes/helpers/is-clearfix" xr:uid="{FDCDE2AA-8C54-3141-8361-6EFEE89775D5}"/>
    <hyperlink ref="A459" r:id="rId412" display="https://bulma.dev/classes/helpers/is-clipped" xr:uid="{F41F0E03-8B76-F042-95E1-15EBC4F5D624}"/>
    <hyperlink ref="A460" r:id="rId413" display="https://bulma.dev/classes/helpers/is-hidden" xr:uid="{6682418B-79CA-7E43-A537-DBDD5EF40EF0}"/>
    <hyperlink ref="A461" r:id="rId414" display="https://bulma.dev/classes/helpers/is-invisible" xr:uid="{6AFD81AD-AFB4-F845-83FC-43B3F4B815DA}"/>
    <hyperlink ref="A462" r:id="rId415" display="https://bulma.dev/classes/helpers/is-marginless" xr:uid="{4CFACFC6-A674-C348-9D97-CB15D26D371B}"/>
    <hyperlink ref="A463" r:id="rId416" display="https://bulma.dev/classes/helpers/is-overlay" xr:uid="{9CD4A86A-4F0D-0B47-AFF5-0E2D01270C3C}"/>
    <hyperlink ref="A464" r:id="rId417" display="https://bulma.dev/classes/helpers/is-paddingless" xr:uid="{983B9485-A813-A941-9C1A-DB6432119001}"/>
    <hyperlink ref="A465" r:id="rId418" display="https://bulma.dev/classes/helpers/is-pulled-left" xr:uid="{3459E02A-E167-5B49-8419-697EA52E9A23}"/>
    <hyperlink ref="A466" r:id="rId419" display="https://bulma.dev/classes/helpers/is-pulled-right" xr:uid="{B401057D-075B-E54D-B560-53883E2C920D}"/>
    <hyperlink ref="A467" r:id="rId420" display="https://bulma.dev/classes/helpers/is-radiusless" xr:uid="{C1D8A5FE-2DF9-3046-AF5E-8548AA25D2C6}"/>
    <hyperlink ref="A468" r:id="rId421" display="https://bulma.dev/classes/helpers/is-relative" xr:uid="{63ED0D50-5806-4348-88D8-7B9FA0C25082}"/>
    <hyperlink ref="A469" r:id="rId422" display="https://bulma.dev/classes/helpers/is-shadowless" xr:uid="{B24D6679-CF00-3741-9CE2-61498D89AD70}"/>
    <hyperlink ref="A470" r:id="rId423" display="https://bulma.dev/classes/helpers/is-sr-only" xr:uid="{97FF915F-CD0E-A84E-9F64-5B6E973961A2}"/>
    <hyperlink ref="A471" r:id="rId424" display="https://bulma.dev/classes/helpers/is-unselectable" xr:uid="{551B8940-8954-F745-98CD-BD81D13C8BF3}"/>
    <hyperlink ref="A475" r:id="rId425" display="https://bulma.dev/classes/hero/hero" xr:uid="{C81790EF-7A7F-6845-ABCE-3241E1B0F1A8}"/>
    <hyperlink ref="A476" r:id="rId426" display="https://bulma.dev/classes/hero/hero-body" xr:uid="{48606EB3-5CDD-4549-BFFC-BB801867C3DD}"/>
    <hyperlink ref="A477" r:id="rId427" display="https://bulma.dev/classes/hero/hero-foot" xr:uid="{862C2CC1-F565-7A49-BE16-F94BFA81F910}"/>
    <hyperlink ref="A478" r:id="rId428" display="https://bulma.dev/classes/hero/hero-head" xr:uid="{46F1D3E1-F139-3546-8832-24A3AB494D58}"/>
    <hyperlink ref="A479" r:id="rId429" display="https://bulma.dev/classes/hero/hero-video" xr:uid="{BE3716A6-F8C8-5C43-B659-0E3D95E39EE0}"/>
    <hyperlink ref="A480" r:id="rId430" display="https://bulma.dev/classes/hero/hero.is-fullheight" xr:uid="{F7633ABE-6214-3541-A7AC-8A98AB1A783D}"/>
    <hyperlink ref="A481" r:id="rId431" display="https://bulma.dev/classes/hero/hero.is-fullheight-with-navbar" xr:uid="{231E68D7-D9AE-7747-9C8D-D21E74AAA818}"/>
    <hyperlink ref="A482" r:id="rId432" display="https://bulma.dev/classes/hero/hero.is-halfheight" xr:uid="{9C71D31C-D2E8-1243-9703-06A837C4DF52}"/>
    <hyperlink ref="A483" r:id="rId433" display="https://bulma.dev/classes/hero/hero.is-small" xr:uid="{C5061AB5-25A8-1745-A6A9-15CC9098B63F}"/>
    <hyperlink ref="A487" r:id="rId434" display="https://bulma.dev/classes/icon/has-icons-left" xr:uid="{7A0C5DBD-8748-4946-9FDD-3DB11BFEF77F}"/>
    <hyperlink ref="A488" r:id="rId435" display="https://bulma.dev/classes/icon/has-icons-right" xr:uid="{BC99636A-1F7C-D14C-A9EF-E8CFCFA1AD91}"/>
    <hyperlink ref="A489" r:id="rId436" display="https://bulma.dev/classes/icon/icon" xr:uid="{1AC2D4F5-FBA1-AC41-8D8B-2DF76B4BD87E}"/>
    <hyperlink ref="A493" r:id="rId437" display="https://bulma.dev/classes/images/has-ratio" xr:uid="{0301E061-D948-414A-AFA2-DD33278B211B}"/>
    <hyperlink ref="A494" r:id="rId438" display="https://bulma.dev/classes/images/image" xr:uid="{A9A32EA8-AE42-6B40-A0E6-C1D5B18B6734}"/>
    <hyperlink ref="A495" r:id="rId439" display="https://bulma.dev/classes/images/image.is-128x128" xr:uid="{FFC67802-C694-784C-AA6F-080980309214}"/>
    <hyperlink ref="A496" r:id="rId440" display="https://bulma.dev/classes/images/image.is-16by9" xr:uid="{EF8D97E1-F963-734E-9AA5-2099D6224F0D}"/>
    <hyperlink ref="A497" r:id="rId441" display="https://bulma.dev/classes/images/image.is-16x16" xr:uid="{5878CBA5-43FF-A84B-932F-6E0055627D2A}"/>
    <hyperlink ref="A498" r:id="rId442" display="https://bulma.dev/classes/images/image.is-1by1" xr:uid="{3E14D685-D020-B645-99D5-F46B9A7F3501}"/>
    <hyperlink ref="A499" r:id="rId443" display="https://bulma.dev/classes/images/image.is-1by2" xr:uid="{E3BAFAA2-52A5-314E-AF4F-F0AEC5DA1DB5}"/>
    <hyperlink ref="A500" r:id="rId444" display="https://bulma.dev/classes/images/image.is-1by3" xr:uid="{87A4ACE1-5BF1-8A48-B5E6-D2F0CA045192}"/>
    <hyperlink ref="A501" r:id="rId445" display="https://bulma.dev/classes/images/image.is-24x24" xr:uid="{6107F6D0-1F15-434A-B822-74B6B9926D8F}"/>
    <hyperlink ref="A502" r:id="rId446" display="https://bulma.dev/classes/images/image.is-2by1" xr:uid="{3E2CD699-2706-594F-848F-713489E1EE36}"/>
    <hyperlink ref="A503" r:id="rId447" display="https://bulma.dev/classes/images/image.is-2by3" xr:uid="{BF54006C-0FE8-464F-B3DE-03CF7D8C8DBE}"/>
    <hyperlink ref="A504" r:id="rId448" display="https://bulma.dev/classes/images/image.is-32x32" xr:uid="{85A3AD32-1C46-9249-964A-D07A0E3B22F8}"/>
    <hyperlink ref="A505" r:id="rId449" display="https://bulma.dev/classes/images/image.is-3by1" xr:uid="{C8D4E72C-E479-0240-B735-8796C4A61395}"/>
    <hyperlink ref="A506" r:id="rId450" display="https://bulma.dev/classes/images/image.is-3by2" xr:uid="{22EC551F-B89B-5D45-84E6-7BDABD05F90C}"/>
    <hyperlink ref="A507" r:id="rId451" display="https://bulma.dev/classes/images/image.is-3by4" xr:uid="{3BCC026B-0E47-0B4A-BA06-2CF8BE6A1480}"/>
    <hyperlink ref="A508" r:id="rId452" display="https://bulma.dev/classes/images/image.is-3by5" xr:uid="{6113D083-D886-B646-AF30-F04C6DA17D5E}"/>
    <hyperlink ref="A509" r:id="rId453" display="https://bulma.dev/classes/images/image.is-48x48" xr:uid="{5B805EF4-5560-0043-912B-28FD73724C2B}"/>
    <hyperlink ref="A510" r:id="rId454" display="https://bulma.dev/classes/images/image.is-4by3" xr:uid="{380FC3E4-A7F9-C843-ABD3-4D1A685581FE}"/>
    <hyperlink ref="A511" r:id="rId455" display="https://bulma.dev/classes/images/image.is-4by5" xr:uid="{09C64D42-D08E-4C4A-ABF2-384764E134E9}"/>
    <hyperlink ref="A512" r:id="rId456" display="https://bulma.dev/classes/images/image.is-5by3" xr:uid="{1BEC8F74-B724-0441-84C7-9398849E3A23}"/>
    <hyperlink ref="A513" r:id="rId457" display="https://bulma.dev/classes/images/image.is-5by4" xr:uid="{901D1BCA-C0EC-AB4F-BA10-B28A893FE60A}"/>
    <hyperlink ref="A514" r:id="rId458" display="https://bulma.dev/classes/images/image.is-64x64" xr:uid="{48A481A7-1074-D04C-8193-1CDA5E38DB1D}"/>
    <hyperlink ref="A515" r:id="rId459" display="https://bulma.dev/classes/images/image.is-96x96" xr:uid="{2288BE53-D235-4843-9A10-08C61DD9C18C}"/>
    <hyperlink ref="A516" r:id="rId460" display="https://bulma.dev/classes/images/image.is-9by16" xr:uid="{5BD86DCF-B41C-B247-BE23-132F3405D9F9}"/>
    <hyperlink ref="A517" r:id="rId461" display="https://bulma.dev/classes/images/image.is-square" xr:uid="{D2B0C836-AC2E-0445-80D6-ED3A09DAD35E}"/>
    <hyperlink ref="A521" r:id="rId462" display="https://bulma.dev/classes/label/label" xr:uid="{59979318-4DC3-3349-B743-EA2B5471DDBB}"/>
    <hyperlink ref="A522" r:id="rId463" display="https://bulma.dev/classes/label/label.is-large" xr:uid="{0E1DDD0A-7F1E-BE43-A109-85A5A4EF16A5}"/>
    <hyperlink ref="A523" r:id="rId464" display="https://bulma.dev/classes/label/label.is-medium" xr:uid="{83D71CFF-F16D-2846-8F62-5A8356BBEB97}"/>
    <hyperlink ref="A524" r:id="rId465" display="https://bulma.dev/classes/label/label.is-small" xr:uid="{9639631D-0726-1042-993D-83DE0A40A76F}"/>
    <hyperlink ref="A528" r:id="rId466" display="https://bulma.dev/classes/level/level" xr:uid="{7A68D249-636C-E846-ABBF-900F04A4A3DC}"/>
    <hyperlink ref="A529" r:id="rId467" display="https://bulma.dev/classes/level/level-item" xr:uid="{C510C883-A319-C743-BFF7-CFF6745A18BD}"/>
    <hyperlink ref="A530" r:id="rId468" display="https://bulma.dev/classes/level/level-left" xr:uid="{CA542F6F-C14D-0448-9788-664EF6790B4C}"/>
    <hyperlink ref="A531" r:id="rId469" display="https://bulma.dev/classes/level/level-right" xr:uid="{F464CD49-D0E4-F648-BA99-60953DAAA994}"/>
    <hyperlink ref="A532" r:id="rId470" display="https://bulma.dev/classes/level/level.is-mobile" xr:uid="{2A52B978-B900-194E-9A45-828E50F6DDC3}"/>
    <hyperlink ref="A536" r:id="rId471" display="https://bulma.dev/classes/list/is-lower-alpha" xr:uid="{798661B4-022F-1A47-A18A-4EB4E45A2EA5}"/>
    <hyperlink ref="A537" r:id="rId472" display="https://bulma.dev/classes/list/is-lower-roman" xr:uid="{097655BB-C30F-9449-9346-31492116293A}"/>
    <hyperlink ref="A538" r:id="rId473" display="https://bulma.dev/classes/list/is-upper-alpha" xr:uid="{AB5BAF01-205A-B245-A8A7-559FBDC53259}"/>
    <hyperlink ref="A539" r:id="rId474" display="https://bulma.dev/classes/list/is-upper-roman" xr:uid="{6F2EAE78-8A72-2F4E-A401-D8D49330DB50}"/>
    <hyperlink ref="A540" r:id="rId475" display="https://bulma.dev/classes/list/list" xr:uid="{DF51A915-33A8-5F4A-A504-EBAE409C5E87}"/>
    <hyperlink ref="A541" r:id="rId476" display="https://bulma.dev/classes/list/list-item" xr:uid="{C0A47AE0-6EE0-2D4D-BD80-A67B9D7D188A}"/>
    <hyperlink ref="A542" r:id="rId477" display="https://bulma.dev/classes/list/list-item.is-active" xr:uid="{CCD1D269-FB34-B043-8BC0-3BDBD926E139}"/>
    <hyperlink ref="A546" r:id="rId478" display="https://bulma.dev/classes/loader/loader" xr:uid="{C8416841-734D-7B4E-9766-473C495F4CE0}"/>
    <hyperlink ref="A550" r:id="rId479" display="https://bulma.dev/classes/media/media" xr:uid="{849192D5-9296-8141-8A52-E02037252A37}"/>
    <hyperlink ref="A551" r:id="rId480" display="https://bulma.dev/classes/media/media-content" xr:uid="{D6E77956-496A-F049-A9C1-B41115EFE954}"/>
    <hyperlink ref="A552" r:id="rId481" display="https://bulma.dev/classes/media/media-left" xr:uid="{D4D7F461-F8EC-F841-9C93-7F5C1EC389F1}"/>
    <hyperlink ref="A553" r:id="rId482" display="https://bulma.dev/classes/media/media-right" xr:uid="{C1F00331-7456-FB4A-8779-02F48DE7F7DB}"/>
    <hyperlink ref="A554" r:id="rId483" display="https://bulma.dev/classes/media/media.is-large" xr:uid="{EF0F6FD2-B9A2-0644-91CE-E8E20B4A34A7}"/>
    <hyperlink ref="A558" r:id="rId484" display="https://bulma.dev/classes/menu/menu" xr:uid="{3DE62832-22E8-0344-A060-3D3F74D7AD9B}"/>
    <hyperlink ref="A559" r:id="rId485" display="https://bulma.dev/classes/menu/menu-label" xr:uid="{158C1DEC-324B-804F-B89D-E7C130FABFFB}"/>
    <hyperlink ref="A560" r:id="rId486" display="https://bulma.dev/classes/menu/menu-list" xr:uid="{F5465F17-18B6-6848-B06A-44C48C3D8B6A}"/>
    <hyperlink ref="A561" r:id="rId487" display="https://bulma.dev/classes/menu/menu.is-large" xr:uid="{647D7633-D3DD-AF4C-A181-D6D25DE72AEF}"/>
    <hyperlink ref="A562" r:id="rId488" display="https://bulma.dev/classes/menu/menu.is-medium" xr:uid="{3FC343D6-0345-1942-BC3E-0276C0EFA446}"/>
    <hyperlink ref="A563" r:id="rId489" display="https://bulma.dev/classes/menu/menu.is-small" xr:uid="{DA9BDE8B-37DD-F24A-99C9-6ABD03C4EE77}"/>
    <hyperlink ref="A567" r:id="rId490" display="https://bulma.dev/classes/message/message" xr:uid="{DA545A1E-5B17-AA41-86DD-FD69FE873520}"/>
    <hyperlink ref="A568" r:id="rId491" display="https://bulma.dev/classes/message/message-body" xr:uid="{C922E00F-E376-604C-8702-A728E39D0BD9}"/>
    <hyperlink ref="A569" r:id="rId492" display="https://bulma.dev/classes/message/message-header" xr:uid="{FE007B3D-4281-2946-870D-29ABCC39291C}"/>
    <hyperlink ref="A573" r:id="rId493" display="https://bulma.dev/classes/modal/modal" xr:uid="{376F65E3-417A-B647-BA5A-4BA17B01449A}"/>
    <hyperlink ref="A574" r:id="rId494" display="https://bulma.dev/classes/modal/modal-background" xr:uid="{6394479F-25B2-6B4E-A2D9-9C9747FA87CB}"/>
    <hyperlink ref="A575" r:id="rId495" display="https://bulma.dev/classes/modal/modal-card" xr:uid="{97C4EEDA-2E71-9447-9C6F-87AAC51084A6}"/>
    <hyperlink ref="A576" r:id="rId496" display="https://bulma.dev/classes/modal/modal-card-body" xr:uid="{448ED633-3A9B-3D4D-8599-BC868981C659}"/>
    <hyperlink ref="A577" r:id="rId497" display="https://bulma.dev/classes/modal/modal-card-foot" xr:uid="{EB95566B-1006-6A40-BA87-76B15460F07D}"/>
    <hyperlink ref="A578" r:id="rId498" display="https://bulma.dev/classes/modal/modal-card-head" xr:uid="{70F8FBFE-850F-5E4F-BB0B-9CA9812112B6}"/>
    <hyperlink ref="A579" r:id="rId499" display="https://bulma.dev/classes/modal/modal-card-title" xr:uid="{10ED2CF4-CCE1-BA49-9F9D-C0D90C9AD80D}"/>
    <hyperlink ref="A580" r:id="rId500" display="https://bulma.dev/classes/modal/modal-close" xr:uid="{0775EE87-C4E1-8E4B-8E6A-3FD938C2CF4A}"/>
    <hyperlink ref="A581" r:id="rId501" display="https://bulma.dev/classes/modal/modal-content" xr:uid="{5BCE9C9A-20A5-A148-9E2D-BC969497B4A9}"/>
    <hyperlink ref="A582" r:id="rId502" display="https://bulma.dev/classes/modal/modal.is-active" xr:uid="{444FD324-1A70-2340-8233-5274F2B57605}"/>
    <hyperlink ref="A586" r:id="rId503" display="https://bulma.dev/classes/navbar/is-arrowless" xr:uid="{416F42D4-070B-074C-AD8D-28D85B743D13}"/>
    <hyperlink ref="A587" r:id="rId504" display="https://bulma.dev/classes/navbar/navbar" xr:uid="{69E7E281-F73B-A84E-991F-EACF2299DE6E}"/>
    <hyperlink ref="A588" r:id="rId505" display="https://bulma.dev/classes/navbar/navbar-brand" xr:uid="{E667C874-903A-AB48-86AF-185993021212}"/>
    <hyperlink ref="A589" r:id="rId506" display="https://bulma.dev/classes/navbar/navbar-burger" xr:uid="{480B922B-37CE-B14C-92F7-040D19628B31}"/>
    <hyperlink ref="A590" r:id="rId507" display="https://bulma.dev/classes/navbar/navbar-divider" xr:uid="{9BC12EEC-6473-414A-B04F-80DACBA4F7AC}"/>
    <hyperlink ref="A591" r:id="rId508" display="https://bulma.dev/classes/navbar/navbar-dropdown" xr:uid="{D4BCDBA5-C73F-794A-A31D-17EB6E6F10F7}"/>
    <hyperlink ref="A592" r:id="rId509" display="https://bulma.dev/classes/navbar/navbar-end" xr:uid="{393FD5C7-0BD8-A648-961F-48D68C249233}"/>
    <hyperlink ref="A593" r:id="rId510" display="https://bulma.dev/classes/navbar/navbar-item" xr:uid="{9EED0C55-E18C-1B4C-9B0E-CE715F6E0315}"/>
    <hyperlink ref="A594" r:id="rId511" display="https://bulma.dev/classes/navbar/navbar-link" xr:uid="{57AF992E-EBBA-A34F-8F17-4C0E49D92E3D}"/>
    <hyperlink ref="A595" r:id="rId512" display="https://bulma.dev/classes/navbar/navbar-menu" xr:uid="{F48A39A6-313B-4644-B3C2-10703857001F}"/>
    <hyperlink ref="A596" r:id="rId513" display="https://bulma.dev/classes/navbar/navbar-start" xr:uid="{E5357F59-E274-C441-B423-F0091279DB4F}"/>
    <hyperlink ref="A597" r:id="rId514" display="https://bulma.dev/classes/navbar/navbar.has-shadow" xr:uid="{945AB9BF-AB40-DF49-B77A-3430FDB1BB80}"/>
    <hyperlink ref="A598" r:id="rId515" display="https://bulma.dev/classes/navbar/navbar.is-black" xr:uid="{C9E68377-2061-1C44-BA08-8F2596BD62F9}"/>
    <hyperlink ref="A599" r:id="rId516" display="https://bulma.dev/classes/navbar/navbar.is-danger" xr:uid="{BA411C84-09AD-0C45-B5A2-24A615AE4AB0}"/>
    <hyperlink ref="A600" r:id="rId517" display="https://bulma.dev/classes/navbar/navbar.is-dark" xr:uid="{46B9E8AA-CF79-9F44-B9C3-64EE76F001A9}"/>
    <hyperlink ref="A601" r:id="rId518" display="https://bulma.dev/classes/navbar/navbar.is-fixed-bottom" xr:uid="{4A0BAB7C-86FB-2F41-90C9-D882FFD81A75}"/>
    <hyperlink ref="A602" r:id="rId519" display="https://bulma.dev/classes/navbar/navbar.is-fixed-top" xr:uid="{D519CB1A-8F85-1549-A3D5-648E8555D6EC}"/>
    <hyperlink ref="A603" r:id="rId520" display="https://bulma.dev/classes/navbar/navbar.is-info" xr:uid="{6A7DF10C-D5BA-6C4C-97EF-64E8C66EE114}"/>
    <hyperlink ref="A604" r:id="rId521" display="https://bulma.dev/classes/navbar/navbar.is-light" xr:uid="{D6A9993A-EE7B-E842-8B7F-89DEB9742F8A}"/>
    <hyperlink ref="A605" r:id="rId522" display="https://bulma.dev/classes/navbar/navbar.is-link" xr:uid="{99691BD9-24BA-2E4C-87D9-7BF061DBDCDD}"/>
    <hyperlink ref="A606" r:id="rId523" display="https://bulma.dev/classes/navbar/navbar.is-primary" xr:uid="{40824D6B-3D0A-E749-8B9E-D9254FC7B1BD}"/>
    <hyperlink ref="A607" r:id="rId524" display="https://bulma.dev/classes/navbar/navbar.is-success" xr:uid="{076C0440-92D3-5D45-A254-E28E4A514B07}"/>
    <hyperlink ref="A608" r:id="rId525" display="https://bulma.dev/classes/navbar/navbar.is-warning" xr:uid="{366B5BAA-E53D-1640-9AF1-6C87FD54D615}"/>
    <hyperlink ref="A609" r:id="rId526" display="https://bulma.dev/classes/navbar/navbar.is-white" xr:uid="{FBC368A0-58A5-D44F-97F3-00446CEF8D1D}"/>
    <hyperlink ref="A613" r:id="rId527" display="https://bulma.dev/classes/notification/notification" xr:uid="{C9644BCA-873A-0F44-A8BB-D1542573EF77}"/>
    <hyperlink ref="A617" r:id="rId528" display="https://bulma.dev/classes/pagination/pagination" xr:uid="{B49036D4-FEF2-574E-B397-3E0D9D986402}"/>
    <hyperlink ref="A618" r:id="rId529" display="https://bulma.dev/classes/pagination/pagination-ellipsis" xr:uid="{37A843EC-A251-4444-BA37-603329754C90}"/>
    <hyperlink ref="A619" r:id="rId530" display="https://bulma.dev/classes/pagination/pagination-link" xr:uid="{43FC473E-55AB-E247-B20D-3B3AB460AB6F}"/>
    <hyperlink ref="A620" r:id="rId531" display="https://bulma.dev/classes/pagination/pagination-link.is-current" xr:uid="{87BF57DF-D267-054D-A3E1-7EBA48F16E6A}"/>
    <hyperlink ref="A621" r:id="rId532" display="https://bulma.dev/classes/pagination/pagination-list" xr:uid="{481DBA78-4716-1349-9E26-60C9C53FE12C}"/>
    <hyperlink ref="A622" r:id="rId533" display="https://bulma.dev/classes/pagination/pagination-next" xr:uid="{FC1B45E5-72F3-2E4B-905C-11FE65157BFA}"/>
    <hyperlink ref="A623" r:id="rId534" display="https://bulma.dev/classes/pagination/pagination-previous" xr:uid="{CD6FE686-38F8-6446-B114-A772F19FB2E4}"/>
    <hyperlink ref="A624" r:id="rId535" display="https://bulma.dev/classes/pagination/pagination.is-rounded" xr:uid="{F0F6C10C-3133-8446-9969-32F48E49B0CB}"/>
    <hyperlink ref="A628" r:id="rId536" display="https://bulma.dev/classes/panel/panel" xr:uid="{BCF71327-740D-7E43-A24A-600A03176FB4}"/>
    <hyperlink ref="A629" r:id="rId537" display="https://bulma.dev/classes/panel/panel-block" xr:uid="{1CCAA887-05A9-3241-B46F-379263BAEFFE}"/>
    <hyperlink ref="A630" r:id="rId538" display="https://bulma.dev/classes/panel/panel-heading" xr:uid="{E8078E3A-7D83-5343-993F-A20F553915A8}"/>
    <hyperlink ref="A631" r:id="rId539" display="https://bulma.dev/classes/panel/panel-icon" xr:uid="{83BA68B9-4789-1249-AD77-6B463AE31A6B}"/>
    <hyperlink ref="A632" r:id="rId540" display="https://bulma.dev/classes/panel/panel-list" xr:uid="{4DD752A8-6CC8-BD4A-8172-73EEA8CBB62A}"/>
    <hyperlink ref="A633" r:id="rId541" display="https://bulma.dev/classes/panel/panel-tabs" xr:uid="{8AD87D55-F22A-6942-92D4-A9D5D5BCFE31}"/>
    <hyperlink ref="A637" r:id="rId542" display="https://bulma.dev/classes/progress-bar/progress" xr:uid="{363E3911-E64B-FB4D-943E-FD387F1A6DBA}"/>
    <hyperlink ref="A641" r:id="rId543" display="https://bulma.dev/classes/responsive-helpers/is-block" xr:uid="{5CD77074-E110-1D4E-A983-BE93815AEFF2}"/>
    <hyperlink ref="A642" r:id="rId544" display="https://bulma.dev/classes/responsive-helpers/is-flex" xr:uid="{6C6D2030-8633-6C44-B61B-9DA01B14B4ED}"/>
    <hyperlink ref="A643" r:id="rId545" display="https://bulma.dev/classes/responsive-helpers/is-inline" xr:uid="{B6397FD5-3E19-784D-9303-23A1D830CE49}"/>
    <hyperlink ref="A644" r:id="rId546" display="https://bulma.dev/classes/responsive-helpers/is-inline-block" xr:uid="{429AB1C5-12DB-A345-87A1-298442212B47}"/>
    <hyperlink ref="A645" r:id="rId547" display="https://bulma.dev/classes/responsive-helpers/is-inline-flex" xr:uid="{5809F628-15BE-0E4E-9EF9-701CA2D9888A}"/>
    <hyperlink ref="A649" r:id="rId548" display="https://bulma.dev/classes/sizing/are-large" xr:uid="{4CF0878E-3960-7F4F-952F-B79CAA9B3AD4}"/>
    <hyperlink ref="A650" r:id="rId549" display="https://bulma.dev/classes/sizing/are-medium" xr:uid="{8801C35D-F70B-704B-B7DB-F8AEC02BF4AD}"/>
    <hyperlink ref="A651" r:id="rId550" display="https://bulma.dev/classes/sizing/are-small" xr:uid="{0D0A46C0-67F6-2B46-AFBD-EE78574F5110}"/>
    <hyperlink ref="A652" r:id="rId551" display="https://bulma.dev/classes/sizing/is-fullheight" xr:uid="{FE953C9D-1C8B-764B-AB90-D14FA1140586}"/>
    <hyperlink ref="A653" r:id="rId552" display="https://bulma.dev/classes/sizing/is-fullheight-with-navbar" xr:uid="{26CBB265-398A-4649-925B-8754C1CDD255}"/>
    <hyperlink ref="A654" r:id="rId553" display="https://bulma.dev/classes/sizing/is-fullwidth" xr:uid="{77E1B6E6-70FA-474D-8727-9854453D9584}"/>
    <hyperlink ref="A655" r:id="rId554" display="https://bulma.dev/classes/sizing/is-small" xr:uid="{7200AA0B-09F4-144E-BAF9-16F71A27F534}"/>
    <hyperlink ref="A659" r:id="rId555" display="https://bulma.dev/classes/spacing/is-size-1" xr:uid="{EEE71404-9957-6843-90C3-1A428D586C4C}"/>
    <hyperlink ref="A660" r:id="rId556" display="https://bulma.dev/classes/spacing/mb-0" xr:uid="{6EF926AD-800C-B34A-B1A4-BC265C647E33}"/>
    <hyperlink ref="A661" r:id="rId557" display="https://bulma.dev/classes/spacing/ml-0" xr:uid="{463CBA33-058E-1847-8E1B-8F9FB4D7284E}"/>
    <hyperlink ref="A662" r:id="rId558" display="https://bulma.dev/classes/spacing/mr-0" xr:uid="{DE7C137A-52A8-434B-B77D-A69CF26F3194}"/>
    <hyperlink ref="A663" r:id="rId559" display="https://bulma.dev/classes/spacing/mt-0" xr:uid="{E890542F-3F0E-9C41-B571-4A8D4468835E}"/>
    <hyperlink ref="A664" r:id="rId560" display="https://bulma.dev/classes/spacing/mx-0" xr:uid="{66103284-571E-2D4C-9A73-D4EB16BFB1AE}"/>
    <hyperlink ref="A665" r:id="rId561" display="https://bulma.dev/classes/spacing/my-0" xr:uid="{1A503DF7-D1FD-1742-99EC-6DE3BD59BCD3}"/>
    <hyperlink ref="A666" r:id="rId562" display="https://bulma.dev/classes/spacing/pb-0" xr:uid="{E7C71169-3CF9-7741-9C9D-F65F11265795}"/>
    <hyperlink ref="A667" r:id="rId563" display="https://bulma.dev/classes/spacing/pl-0" xr:uid="{9BFB0CD6-C833-964C-A15F-F034D0992ABD}"/>
    <hyperlink ref="A668" r:id="rId564" display="https://bulma.dev/classes/spacing/pr-0" xr:uid="{E1E8EAB9-7D64-624F-A21D-0FFA3953610C}"/>
    <hyperlink ref="A669" r:id="rId565" display="https://bulma.dev/classes/spacing/pt-0" xr:uid="{69382938-7DD8-8541-B955-361F92061559}"/>
    <hyperlink ref="A670" r:id="rId566" display="https://bulma.dev/classes/spacing/py-0" xr:uid="{1CE262A2-12BF-F44C-B090-26195D8F0739}"/>
    <hyperlink ref="A674" r:id="rId567" display="https://bulma.dev/classes/table/is-selected" xr:uid="{DB98ECE1-1305-DF44-ACC0-1A91749703BC}"/>
    <hyperlink ref="A675" r:id="rId568" display="https://bulma.dev/classes/table/table" xr:uid="{5C408DC9-E238-444F-B267-2350F53E72E7}"/>
    <hyperlink ref="A676" r:id="rId569" display="https://bulma.dev/classes/table/table-container" xr:uid="{6DCB782C-4241-3C4C-9256-5B597AB7FB98}"/>
    <hyperlink ref="A677" r:id="rId570" display="https://bulma.dev/classes/table/table.is-bordered" xr:uid="{0ACF476C-4E88-8D49-8144-AE44846D4BFC}"/>
    <hyperlink ref="A678" r:id="rId571" display="https://bulma.dev/classes/table/table.is-fullwidth" xr:uid="{836C5A62-93CC-0D48-A7E5-56970A3886E5}"/>
    <hyperlink ref="A679" r:id="rId572" display="https://bulma.dev/classes/table/table.is-hoverable" xr:uid="{4A6CCA04-1F92-1C42-A9AD-A83C79351038}"/>
    <hyperlink ref="A680" r:id="rId573" display="https://bulma.dev/classes/table/table.is-hoverable.is-striped" xr:uid="{E8D131A2-3BFE-5841-B75C-9AE99D639D0E}"/>
    <hyperlink ref="A681" r:id="rId574" display="https://bulma.dev/classes/table/table.is-narrow" xr:uid="{2E55B04A-2618-334E-943D-5EA9CAEAC14B}"/>
    <hyperlink ref="A682" r:id="rId575" display="https://bulma.dev/classes/table/table.is-striped" xr:uid="{44D6A3D8-F242-8B4D-AC2A-CB9720EB6C9E}"/>
    <hyperlink ref="A686" r:id="rId576" display="https://bulma.dev/classes/tabs/tabs" xr:uid="{A47826FC-2403-0546-BFD1-0347961BC41B}"/>
    <hyperlink ref="A687" r:id="rId577" display="https://bulma.dev/classes/tabs/tabs.is-boxed" xr:uid="{9243CCA2-C9DA-4D4A-BF14-BE9663EE728A}"/>
    <hyperlink ref="A688" r:id="rId578" display="https://bulma.dev/classes/tabs/tabs.is-centered" xr:uid="{FE936B8C-FD37-7040-8951-6D7341F0691A}"/>
    <hyperlink ref="A689" r:id="rId579" display="https://bulma.dev/classes/tabs/tabs.is-fullwidth" xr:uid="{218797F6-9FA2-D540-B321-A6E6522863F1}"/>
    <hyperlink ref="A690" r:id="rId580" display="https://bulma.dev/classes/tabs/tabs.is-large" xr:uid="{D03D238D-AC4C-6E42-B35A-971946B506AF}"/>
    <hyperlink ref="A691" r:id="rId581" display="https://bulma.dev/classes/tabs/tabs.is-medium" xr:uid="{AB07AC93-C271-3149-9367-CF8D6983902C}"/>
    <hyperlink ref="A692" r:id="rId582" display="https://bulma.dev/classes/tabs/tabs.is-right" xr:uid="{7827187E-8832-D442-9768-C797E08C2E61}"/>
    <hyperlink ref="A693" r:id="rId583" display="https://bulma.dev/classes/tabs/tabs.is-small" xr:uid="{7B5D7940-F858-564A-97BA-802B28012056}"/>
    <hyperlink ref="A694" r:id="rId584" display="https://bulma.dev/classes/tabs/tabs.is-toggle" xr:uid="{98A055DE-5F2A-6E42-AC2D-C01025D5871C}"/>
    <hyperlink ref="A695" r:id="rId585" display="https://bulma.dev/classes/tabs/tabs.is-toggle.is-toggle-rounded" xr:uid="{4363794D-A487-A947-9648-A11FFF475F8F}"/>
    <hyperlink ref="A699" r:id="rId586" display="https://bulma.dev/classes/tags/tag" xr:uid="{C8492A6B-E450-4F4D-B309-1C0E7731ECD3}"/>
    <hyperlink ref="A700" r:id="rId587" display="https://bulma.dev/classes/tags/tags" xr:uid="{C223F5DC-6E3D-104D-B88E-2222DD5297A6}"/>
    <hyperlink ref="A701" r:id="rId588" display="https://bulma.dev/classes/tags/tags.are-large" xr:uid="{18F47A66-F1C8-BB4A-A34C-DD10D6A528A9}"/>
    <hyperlink ref="A702" r:id="rId589" display="https://bulma.dev/classes/tags/tags.are-medium" xr:uid="{D0D6BA31-A52F-AA4E-88E1-5E42F1CD2B87}"/>
    <hyperlink ref="A703" r:id="rId590" display="https://bulma.dev/classes/tags/tags.has-addons" xr:uid="{AC8A7679-2267-814F-8120-0A2EAB517AAC}"/>
    <hyperlink ref="A704" r:id="rId591" display="https://bulma.dev/classes/tags/tags.is-centered" xr:uid="{EC2F51CE-04F2-FD4A-9AC1-53CA47F85B72}"/>
    <hyperlink ref="A705" r:id="rId592" display="https://bulma.dev/classes/tags/tags.is-right" xr:uid="{EA198FBF-475F-364C-BD08-1401C7D89DDF}"/>
    <hyperlink ref="A709" r:id="rId593" display="https://bulma.dev/classes/text-utilities/has-text-centered" xr:uid="{3C6E63A0-2292-2C4B-A9D9-3F28926B6FAA}"/>
    <hyperlink ref="A710" r:id="rId594" display="https://bulma.dev/classes/text-utilities/has-text-centered-desktop" xr:uid="{565A680F-FC97-9844-A684-9677A3FD4C74}"/>
    <hyperlink ref="A711" r:id="rId595" display="https://bulma.dev/classes/text-utilities/has-text-centered-desktop-only" xr:uid="{23E291B6-F544-5446-A2F9-12D1C050BDA9}"/>
    <hyperlink ref="A712" r:id="rId596" display="https://bulma.dev/classes/text-utilities/has-text-centered-fullhd" xr:uid="{6C8896F4-8AB6-CD44-8AE8-5902BCE27C4F}"/>
    <hyperlink ref="A713" r:id="rId597" display="https://bulma.dev/classes/text-utilities/has-text-centered-mobile" xr:uid="{BA757786-431A-254E-B098-328A64375679}"/>
    <hyperlink ref="A714" r:id="rId598" display="https://bulma.dev/classes/text-utilities/has-text-centered-tablet" xr:uid="{D9616C75-3B3C-4B47-BAC6-FDB80E29227A}"/>
    <hyperlink ref="A715" r:id="rId599" display="https://bulma.dev/classes/text-utilities/has-text-centered-tablet-only" xr:uid="{3AC73FA0-D871-6F45-9CA3-C427F3EBC1E1}"/>
    <hyperlink ref="A716" r:id="rId600" display="https://bulma.dev/classes/text-utilities/has-text-centered-tablet-widescreen" xr:uid="{913A1873-0559-9644-8654-9AC52F0C4E09}"/>
    <hyperlink ref="A717" r:id="rId601" display="https://bulma.dev/classes/text-utilities/has-text-centered-tablet-widescreen-only" xr:uid="{6AFF9559-DE24-F94D-924C-05FD409FC628}"/>
    <hyperlink ref="A718" r:id="rId602" display="https://bulma.dev/classes/text-utilities/has-text-centered-touch" xr:uid="{68B86A4A-8B62-4348-B522-0C0AA3975D5A}"/>
    <hyperlink ref="A719" r:id="rId603" display="https://bulma.dev/classes/text-utilities/has-text-justified" xr:uid="{572D7433-E11F-9340-8B1A-706A68A118DD}"/>
    <hyperlink ref="A720" r:id="rId604" display="https://bulma.dev/classes/text-utilities/has-text-justified-desktop" xr:uid="{F8D7BC5D-1AA8-9A49-B201-95C60C6FE3F8}"/>
    <hyperlink ref="A721" r:id="rId605" display="https://bulma.dev/classes/text-utilities/has-text-justified-desktop-only" xr:uid="{0BE2E8E0-0577-D547-93BF-FBC9AFAB800C}"/>
    <hyperlink ref="A722" r:id="rId606" display="https://bulma.dev/classes/text-utilities/has-text-justified-fullhd" xr:uid="{53FA4B40-7407-2F41-8C45-9798BA42B895}"/>
    <hyperlink ref="A723" r:id="rId607" display="https://bulma.dev/classes/text-utilities/has-text-justified-fullhd" xr:uid="{B1959B4C-F6DD-D347-B129-C22440E1CB91}"/>
    <hyperlink ref="A724" r:id="rId608" display="https://bulma.dev/classes/text-utilities/has-text-justified-mobile" xr:uid="{0339DFEF-1D04-BE49-9F49-36AFEF2E4D72}"/>
    <hyperlink ref="A725" r:id="rId609" display="https://bulma.dev/classes/text-utilities/has-text-justified-mobile" xr:uid="{90C44A98-5FCF-2845-AE9A-070A49F781AF}"/>
    <hyperlink ref="A726" r:id="rId610" display="https://bulma.dev/classes/text-utilities/has-text-justified-tablet" xr:uid="{3AB09714-C71D-0C41-AA80-9A5FE3115FE8}"/>
    <hyperlink ref="A727" r:id="rId611" display="https://bulma.dev/classes/text-utilities/has-text-justified-tablet-only" xr:uid="{876ED996-1898-804D-9C50-2182DA72D2A0}"/>
    <hyperlink ref="A728" r:id="rId612" display="https://bulma.dev/classes/text-utilities/has-text-justified-touch" xr:uid="{A87FD447-93FD-4F40-A72E-BF07CAE6908B}"/>
    <hyperlink ref="A729" r:id="rId613" display="https://bulma.dev/classes/text-utilities/has-text-justified-widescreen" xr:uid="{7555F2C6-D624-4946-BA9A-6FD9B5FD06EB}"/>
    <hyperlink ref="A730" r:id="rId614" display="https://bulma.dev/classes/text-utilities/has-text-justified-widescreen-only" xr:uid="{DA61368A-346E-6044-BAE6-274E355DADE3}"/>
    <hyperlink ref="A731" r:id="rId615" display="https://bulma.dev/classes/text-utilities/has-text-left" xr:uid="{26D1BBA5-ECFD-4642-B940-D9F3464FD6C5}"/>
    <hyperlink ref="A732" r:id="rId616" display="https://bulma.dev/classes/text-utilities/has-text-left-desktop" xr:uid="{28C8BEE6-29E1-D741-B39F-A566AAD84A8D}"/>
    <hyperlink ref="A733" r:id="rId617" display="https://bulma.dev/classes/text-utilities/has-text-left-desktop-only" xr:uid="{30DFD93A-C60B-3A47-A212-F32B5A068E8D}"/>
    <hyperlink ref="A734" r:id="rId618" display="https://bulma.dev/classes/text-utilities/has-text-left-fullhd" xr:uid="{34E9D58C-D68B-D54D-B4AD-1127A604F267}"/>
    <hyperlink ref="A735" r:id="rId619" display="https://bulma.dev/classes/text-utilities/has-text-left-mobile" xr:uid="{512D379D-F087-7847-9B6E-F41343B1BA57}"/>
    <hyperlink ref="A736" r:id="rId620" display="https://bulma.dev/classes/text-utilities/has-text-left-tablet-only" xr:uid="{4BE91814-7497-A143-8618-EA73A0A7DD50}"/>
    <hyperlink ref="A737" r:id="rId621" display="https://bulma.dev/classes/text-utilities/has-text-left-touch" xr:uid="{84F57CB4-1759-EA40-A091-47AC577EAC87}"/>
    <hyperlink ref="A738" r:id="rId622" display="https://bulma.dev/classes/text-utilities/has-text-left-widescreen" xr:uid="{C7B6527A-ECDB-B346-AC42-7877AE8374EA}"/>
    <hyperlink ref="A739" r:id="rId623" display="https://bulma.dev/classes/text-utilities/has-text-left-widescreen-only" xr:uid="{A59887F9-ED38-A848-90CE-F97D087867C0}"/>
    <hyperlink ref="A740" r:id="rId624" display="https://bulma.dev/classes/text-utilities/has-text-right" xr:uid="{C0270D1C-E131-7645-92A9-29B4A41DC929}"/>
    <hyperlink ref="A741" r:id="rId625" display="https://bulma.dev/classes/text-utilities/has-text-right-desktop" xr:uid="{D193D78A-E48D-7240-BE7C-202D6CBD8B84}"/>
    <hyperlink ref="A742" r:id="rId626" display="https://bulma.dev/classes/text-utilities/has-text-right-desktop-only" xr:uid="{4B562AD5-E33A-ED4E-907B-7B83B53BAD11}"/>
    <hyperlink ref="A743" r:id="rId627" display="https://bulma.dev/classes/text-utilities/has-text-right-fullhd" xr:uid="{9E97223B-FE2B-AD4A-9B24-CF35AEC032C0}"/>
    <hyperlink ref="A744" r:id="rId628" display="https://bulma.dev/classes/text-utilities/has-text-right-mobile" xr:uid="{71C00184-4149-D04C-A993-BF524A5274AA}"/>
    <hyperlink ref="A745" r:id="rId629" display="https://bulma.dev/classes/text-utilities/has-text-right-tablet" xr:uid="{8E782D93-321C-DA49-B5BE-2F42014D5A49}"/>
    <hyperlink ref="A746" r:id="rId630" display="https://bulma.dev/classes/text-utilities/has-text-right-tablet-only" xr:uid="{50A93C76-3419-1F43-92B4-A07CC9961AA3}"/>
    <hyperlink ref="A747" r:id="rId631" display="https://bulma.dev/classes/text-utilities/has-text-right-touch" xr:uid="{25F00765-F2C6-F245-84F3-DEB7F4F09A09}"/>
    <hyperlink ref="A748" r:id="rId632" display="https://bulma.dev/classes/text-utilities/has-text-right-widescreen" xr:uid="{52D58216-1E46-C842-942F-9951186C942B}"/>
    <hyperlink ref="A749" r:id="rId633" display="https://bulma.dev/classes/text-utilities/has-text-right-widescreen-only" xr:uid="{2D0CAC35-A3BE-6440-BE5F-79840D7DC3BC}"/>
    <hyperlink ref="A750" r:id="rId634" display="https://bulma.dev/classes/text-utilities/has-text-weight-bold" xr:uid="{6DCA30D8-8DE1-0449-B779-3CFB9F4C102E}"/>
    <hyperlink ref="A751" r:id="rId635" display="https://bulma.dev/classes/text-utilities/has-text-weight-light" xr:uid="{F13CD980-A70A-3742-B0A6-0C5F9BF88DEF}"/>
    <hyperlink ref="A752" r:id="rId636" display="https://bulma.dev/classes/text-utilities/has-text-weight-medium" xr:uid="{54CFCDFB-1D17-8B4A-AD9A-AC71F7A9D6D6}"/>
    <hyperlink ref="A753" r:id="rId637" display="https://bulma.dev/classes/text-utilities/has-text-weight-normal" xr:uid="{27BA0769-642E-214F-906E-0361AF9DFEF8}"/>
    <hyperlink ref="A754" r:id="rId638" display="https://bulma.dev/classes/text-utilities/has-text-weight-semibold" xr:uid="{7FCCF3B9-0DC1-4349-95D3-CBA91F138395}"/>
    <hyperlink ref="A755" r:id="rId639" display="https://bulma.dev/classes/text-utilities/heading" xr:uid="{D20813E2-18AC-5844-ADFE-AF05BDDC9795}"/>
    <hyperlink ref="A756" r:id="rId640" display="https://bulma.dev/classes/text-utilities/highlight" xr:uid="{3FD69002-38E4-824D-B403-E500A39A6AEC}"/>
    <hyperlink ref="A757" r:id="rId641" display="https://bulma.dev/classes/text-utilities/is-capitalized" xr:uid="{D6A95534-ADE4-3645-8AFF-83B270F8CDCA}"/>
    <hyperlink ref="A758" r:id="rId642" display="https://bulma.dev/classes/text-utilities/is-family-code" xr:uid="{34D12F7F-8A38-E146-8583-437F78BB6F46}"/>
    <hyperlink ref="A759" r:id="rId643" display="https://bulma.dev/classes/text-utilities/is-family-monospace" xr:uid="{7DE16F6D-CCA4-1D45-94EC-DB8E5C72AD72}"/>
    <hyperlink ref="A760" r:id="rId644" display="https://bulma.dev/classes/text-utilities/is-family-primary" xr:uid="{A26B214C-BDFC-B944-B705-438EAD23CB87}"/>
    <hyperlink ref="A761" r:id="rId645" display="https://bulma.dev/classes/text-utilities/is-family-sans-serif" xr:uid="{58C2E9BF-1708-7A4C-9B07-4BFE51C1E4B6}"/>
    <hyperlink ref="A762" r:id="rId646" display="https://bulma.dev/classes/text-utilities/is-family-secondary" xr:uid="{E3F4663C-01C8-A647-8E13-7AC1D3DEE1BD}"/>
    <hyperlink ref="A763" r:id="rId647" display="https://bulma.dev/classes/text-utilities/is-italic" xr:uid="{17938D6D-8231-F448-BCC2-57F05CD0ED6B}"/>
    <hyperlink ref="A764" r:id="rId648" display="https://bulma.dev/classes/text-utilities/is-lowercase" xr:uid="{040A12E0-2972-8845-930E-7176403A3CD1}"/>
    <hyperlink ref="A765" r:id="rId649" display="https://bulma.dev/classes/text-utilities/is-size-*" xr:uid="{76C30A18-83A3-4244-AD4F-F4A9D1B6D501}"/>
    <hyperlink ref="A766" r:id="rId650" display="https://bulma.dev/classes/text-utilities/is-size-1-desktop" xr:uid="{77C46720-FDCA-6948-8BCA-B412EBFC91B5}"/>
    <hyperlink ref="A767" r:id="rId651" display="https://bulma.dev/classes/text-utilities/is-size-1-fullhd" xr:uid="{5674144B-CCAB-944B-908D-717800DB4874}"/>
    <hyperlink ref="A768" r:id="rId652" display="https://bulma.dev/classes/text-utilities/is-size-1-mobile" xr:uid="{20061455-4E20-3447-8288-FAA3B52B4E03}"/>
    <hyperlink ref="A769" r:id="rId653" display="https://bulma.dev/classes/text-utilities/is-size-1-tablet" xr:uid="{1F3A9999-7BA5-084B-ADEB-638104DCEAFF}"/>
    <hyperlink ref="A770" r:id="rId654" display="https://bulma.dev/classes/text-utilities/is-size-1-touch" xr:uid="{3D3132D7-ED34-8B48-B0FB-027B8CFFD150}"/>
    <hyperlink ref="A771" r:id="rId655" display="https://bulma.dev/classes/text-utilities/is-size-1-widescreen" xr:uid="{2F2A1B0C-AAF5-1D41-AC7E-F9AF146709FF}"/>
    <hyperlink ref="A772" r:id="rId656" display="https://bulma.dev/classes/text-utilities/is-spaced" xr:uid="{48960190-68A0-8148-8272-A91C8293899A}"/>
    <hyperlink ref="A773" r:id="rId657" display="https://bulma.dev/classes/text-utilities/is-uppercase" xr:uid="{5D1217C9-DD6A-4049-AB47-F7310A5E98F7}"/>
    <hyperlink ref="A774" r:id="rId658" display="https://bulma.dev/classes/text-utilities/number" xr:uid="{36A6E346-C973-154A-BCDD-190DBD167692}"/>
    <hyperlink ref="A778" r:id="rId659" display="https://bulma.dev/classes/tile/tile" xr:uid="{6BED2457-ACBD-3644-956A-10344D149164}"/>
    <hyperlink ref="A779" r:id="rId660" display="https://bulma.dev/classes/tile/tile.is-ancestor" xr:uid="{C61A8387-8F7A-934D-8082-CBF53395E0BF}"/>
    <hyperlink ref="A780" r:id="rId661" display="https://bulma.dev/classes/tile/tile.is-child" xr:uid="{3F789043-DFB9-DC4F-97CC-65F7CDC78809}"/>
    <hyperlink ref="A781" r:id="rId662" display="https://bulma.dev/classes/tile/tile.is-parent" xr:uid="{6E514522-19FB-FD48-9706-B7E2F9BD44D0}"/>
    <hyperlink ref="A782" r:id="rId663" display="https://bulma.dev/classes/tile/tile.is-vertical" xr:uid="{4BCE58D2-E2CB-FA4C-87FF-AEBE357E6C11}"/>
    <hyperlink ref="A786" r:id="rId664" display="https://bulma.dev/classes/title-and-subtitle/subtitle" xr:uid="{AFBECE0F-9055-B741-9DC6-7B144703A32A}"/>
    <hyperlink ref="A787" r:id="rId665" display="https://bulma.dev/classes/title-and-subtitle/subtitle.is-*" xr:uid="{DD8813FD-9150-0E4E-9415-76AB61B4652B}"/>
    <hyperlink ref="A788" r:id="rId666" display="https://bulma.dev/classes/title-and-subtitle/title" xr:uid="{40D9D85D-E715-9543-95A0-9095042395AB}"/>
    <hyperlink ref="A789" r:id="rId667" display="https://bulma.dev/classes/title-and-subtitle/title.is-*" xr:uid="{C1494E4F-0C6C-AA45-8DE2-12653293FC6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A389-36E7-5540-89A1-71626CA19AB0}">
  <dimension ref="C5:H590"/>
  <sheetViews>
    <sheetView topLeftCell="A530" workbookViewId="0">
      <selection activeCell="E563" sqref="E563"/>
    </sheetView>
  </sheetViews>
  <sheetFormatPr baseColWidth="10" defaultRowHeight="16"/>
  <cols>
    <col min="3" max="4" width="11" customWidth="1"/>
  </cols>
  <sheetData>
    <row r="5" spans="3:4">
      <c r="C5" t="s">
        <v>99</v>
      </c>
      <c r="D5" t="s">
        <v>101</v>
      </c>
    </row>
    <row r="7" spans="3:4">
      <c r="D7" s="1"/>
    </row>
    <row r="8" spans="3:4">
      <c r="C8" t="s">
        <v>3478</v>
      </c>
      <c r="D8" s="25" t="s">
        <v>3479</v>
      </c>
    </row>
    <row r="9" spans="3:4">
      <c r="C9" t="s">
        <v>3478</v>
      </c>
      <c r="D9" s="25" t="s">
        <v>3480</v>
      </c>
    </row>
    <row r="10" spans="3:4">
      <c r="C10" t="s">
        <v>3478</v>
      </c>
      <c r="D10" s="25" t="s">
        <v>3481</v>
      </c>
    </row>
    <row r="11" spans="3:4">
      <c r="C11" t="s">
        <v>3478</v>
      </c>
      <c r="D11" s="25" t="s">
        <v>3482</v>
      </c>
    </row>
    <row r="12" spans="3:4">
      <c r="C12" t="s">
        <v>3478</v>
      </c>
      <c r="D12" s="25" t="s">
        <v>3483</v>
      </c>
    </row>
    <row r="13" spans="3:4">
      <c r="C13" t="s">
        <v>3478</v>
      </c>
      <c r="D13" s="25" t="s">
        <v>3484</v>
      </c>
    </row>
    <row r="14" spans="3:4">
      <c r="C14" t="s">
        <v>3478</v>
      </c>
      <c r="D14" s="25" t="s">
        <v>3485</v>
      </c>
    </row>
    <row r="15" spans="3:4">
      <c r="D15" s="25"/>
    </row>
    <row r="16" spans="3:4">
      <c r="D16" s="25"/>
    </row>
    <row r="17" spans="3:4">
      <c r="D17" s="25"/>
    </row>
    <row r="18" spans="3:4">
      <c r="D18" s="25"/>
    </row>
    <row r="19" spans="3:4">
      <c r="D19" s="25"/>
    </row>
    <row r="20" spans="3:4">
      <c r="D20" s="25"/>
    </row>
    <row r="21" spans="3:4">
      <c r="C21" t="s">
        <v>3487</v>
      </c>
      <c r="D21" s="25" t="s">
        <v>3488</v>
      </c>
    </row>
    <row r="22" spans="3:4">
      <c r="C22" t="s">
        <v>3487</v>
      </c>
      <c r="D22" s="25" t="s">
        <v>3489</v>
      </c>
    </row>
    <row r="23" spans="3:4">
      <c r="C23" t="s">
        <v>3487</v>
      </c>
      <c r="D23" s="25" t="s">
        <v>3490</v>
      </c>
    </row>
    <row r="24" spans="3:4">
      <c r="C24" t="s">
        <v>3487</v>
      </c>
      <c r="D24" s="25" t="s">
        <v>3491</v>
      </c>
    </row>
    <row r="25" spans="3:4">
      <c r="C25" t="s">
        <v>3487</v>
      </c>
      <c r="D25" s="25" t="s">
        <v>3492</v>
      </c>
    </row>
    <row r="26" spans="3:4">
      <c r="C26" t="s">
        <v>3487</v>
      </c>
      <c r="D26" s="25" t="s">
        <v>3493</v>
      </c>
    </row>
    <row r="27" spans="3:4">
      <c r="C27" t="s">
        <v>3487</v>
      </c>
      <c r="D27" s="25" t="s">
        <v>3494</v>
      </c>
    </row>
    <row r="28" spans="3:4">
      <c r="C28" t="s">
        <v>3487</v>
      </c>
      <c r="D28" s="25" t="s">
        <v>3495</v>
      </c>
    </row>
    <row r="29" spans="3:4">
      <c r="C29" t="s">
        <v>3487</v>
      </c>
      <c r="D29" s="25" t="s">
        <v>3496</v>
      </c>
    </row>
    <row r="30" spans="3:4">
      <c r="C30" t="s">
        <v>3487</v>
      </c>
      <c r="D30" s="25" t="s">
        <v>3497</v>
      </c>
    </row>
    <row r="31" spans="3:4">
      <c r="C31" t="s">
        <v>3487</v>
      </c>
      <c r="D31" s="25" t="s">
        <v>3498</v>
      </c>
    </row>
    <row r="32" spans="3:4">
      <c r="C32" t="s">
        <v>3487</v>
      </c>
      <c r="D32" s="25" t="s">
        <v>3499</v>
      </c>
    </row>
    <row r="33" spans="3:4">
      <c r="D33" s="25"/>
    </row>
    <row r="34" spans="3:4">
      <c r="D34" s="25"/>
    </row>
    <row r="35" spans="3:4">
      <c r="D35" s="25"/>
    </row>
    <row r="36" spans="3:4">
      <c r="D36" s="25"/>
    </row>
    <row r="37" spans="3:4">
      <c r="D37" s="25"/>
    </row>
    <row r="38" spans="3:4">
      <c r="C38" t="s">
        <v>3506</v>
      </c>
      <c r="D38" s="25" t="s">
        <v>3508</v>
      </c>
    </row>
    <row r="39" spans="3:4">
      <c r="C39" t="s">
        <v>3506</v>
      </c>
      <c r="D39" s="25" t="s">
        <v>3509</v>
      </c>
    </row>
    <row r="40" spans="3:4">
      <c r="C40" t="s">
        <v>3506</v>
      </c>
      <c r="D40" s="25" t="s">
        <v>3510</v>
      </c>
    </row>
    <row r="41" spans="3:4">
      <c r="C41" t="s">
        <v>3506</v>
      </c>
      <c r="D41" s="25" t="s">
        <v>3511</v>
      </c>
    </row>
    <row r="42" spans="3:4">
      <c r="C42" t="s">
        <v>3506</v>
      </c>
      <c r="D42" s="25" t="s">
        <v>3512</v>
      </c>
    </row>
    <row r="43" spans="3:4">
      <c r="C43" t="s">
        <v>3506</v>
      </c>
      <c r="D43" s="25" t="s">
        <v>3513</v>
      </c>
    </row>
    <row r="44" spans="3:4">
      <c r="C44" t="s">
        <v>3506</v>
      </c>
      <c r="D44" s="25" t="s">
        <v>3514</v>
      </c>
    </row>
    <row r="45" spans="3:4">
      <c r="C45" t="s">
        <v>3506</v>
      </c>
      <c r="D45" s="25" t="s">
        <v>3515</v>
      </c>
    </row>
    <row r="46" spans="3:4">
      <c r="C46" t="s">
        <v>3506</v>
      </c>
      <c r="D46" s="25" t="s">
        <v>3516</v>
      </c>
    </row>
    <row r="47" spans="3:4">
      <c r="C47" t="s">
        <v>3506</v>
      </c>
      <c r="D47" s="25" t="s">
        <v>3517</v>
      </c>
    </row>
    <row r="48" spans="3:4">
      <c r="D48" s="25"/>
    </row>
    <row r="49" spans="3:4">
      <c r="D49" s="25"/>
    </row>
    <row r="50" spans="3:4">
      <c r="D50" s="25"/>
    </row>
    <row r="51" spans="3:4">
      <c r="C51" t="s">
        <v>3518</v>
      </c>
      <c r="D51" s="25" t="s">
        <v>3568</v>
      </c>
    </row>
    <row r="52" spans="3:4">
      <c r="C52" t="s">
        <v>3518</v>
      </c>
      <c r="D52" s="25" t="s">
        <v>3569</v>
      </c>
    </row>
    <row r="53" spans="3:4">
      <c r="D53" s="25"/>
    </row>
    <row r="54" spans="3:4">
      <c r="C54" t="s">
        <v>3521</v>
      </c>
      <c r="D54" s="25" t="s">
        <v>3570</v>
      </c>
    </row>
    <row r="55" spans="3:4">
      <c r="C55" t="s">
        <v>3521</v>
      </c>
      <c r="D55" s="25" t="s">
        <v>3571</v>
      </c>
    </row>
    <row r="56" spans="3:4">
      <c r="C56" t="s">
        <v>3521</v>
      </c>
      <c r="D56" s="25" t="s">
        <v>3572</v>
      </c>
    </row>
    <row r="57" spans="3:4">
      <c r="C57" t="s">
        <v>3521</v>
      </c>
      <c r="D57" s="25" t="s">
        <v>3573</v>
      </c>
    </row>
    <row r="58" spans="3:4">
      <c r="C58" t="s">
        <v>3521</v>
      </c>
      <c r="D58" s="25" t="s">
        <v>3574</v>
      </c>
    </row>
    <row r="59" spans="3:4">
      <c r="C59" t="s">
        <v>3521</v>
      </c>
      <c r="D59" s="25" t="s">
        <v>3575</v>
      </c>
    </row>
    <row r="60" spans="3:4">
      <c r="C60" t="s">
        <v>3521</v>
      </c>
      <c r="D60" s="25" t="s">
        <v>3576</v>
      </c>
    </row>
    <row r="61" spans="3:4">
      <c r="C61" t="s">
        <v>3521</v>
      </c>
      <c r="D61" s="25" t="s">
        <v>3577</v>
      </c>
    </row>
    <row r="62" spans="3:4">
      <c r="C62" t="s">
        <v>3521</v>
      </c>
      <c r="D62" s="25" t="s">
        <v>3578</v>
      </c>
    </row>
    <row r="63" spans="3:4">
      <c r="C63" t="s">
        <v>3521</v>
      </c>
      <c r="D63" s="25" t="s">
        <v>3579</v>
      </c>
    </row>
    <row r="64" spans="3:4">
      <c r="C64" t="s">
        <v>3521</v>
      </c>
      <c r="D64" s="25" t="s">
        <v>3580</v>
      </c>
    </row>
    <row r="65" spans="3:4">
      <c r="C65" t="s">
        <v>3521</v>
      </c>
      <c r="D65" s="25" t="s">
        <v>3581</v>
      </c>
    </row>
    <row r="66" spans="3:4">
      <c r="C66" t="s">
        <v>3521</v>
      </c>
      <c r="D66" s="25" t="s">
        <v>3582</v>
      </c>
    </row>
    <row r="67" spans="3:4">
      <c r="C67" t="s">
        <v>3521</v>
      </c>
      <c r="D67" s="25" t="s">
        <v>3583</v>
      </c>
    </row>
    <row r="68" spans="3:4">
      <c r="C68" t="s">
        <v>3521</v>
      </c>
      <c r="D68" s="25" t="s">
        <v>3584</v>
      </c>
    </row>
    <row r="69" spans="3:4">
      <c r="C69" t="s">
        <v>3521</v>
      </c>
      <c r="D69" s="25" t="s">
        <v>3585</v>
      </c>
    </row>
    <row r="70" spans="3:4">
      <c r="C70" t="s">
        <v>3521</v>
      </c>
      <c r="D70" s="25" t="s">
        <v>3586</v>
      </c>
    </row>
    <row r="71" spans="3:4">
      <c r="C71" t="s">
        <v>3521</v>
      </c>
      <c r="D71" s="25" t="s">
        <v>3587</v>
      </c>
    </row>
    <row r="72" spans="3:4">
      <c r="C72" t="s">
        <v>3521</v>
      </c>
      <c r="D72" s="25" t="s">
        <v>3588</v>
      </c>
    </row>
    <row r="73" spans="3:4">
      <c r="C73" t="s">
        <v>3521</v>
      </c>
      <c r="D73" s="25" t="s">
        <v>3589</v>
      </c>
    </row>
    <row r="74" spans="3:4">
      <c r="D74" s="25"/>
    </row>
    <row r="75" spans="3:4">
      <c r="D75" s="25"/>
    </row>
    <row r="76" spans="3:4">
      <c r="D76" s="25"/>
    </row>
    <row r="77" spans="3:4">
      <c r="C77" t="s">
        <v>3519</v>
      </c>
      <c r="D77" s="25" t="s">
        <v>3592</v>
      </c>
    </row>
    <row r="78" spans="3:4">
      <c r="C78" t="s">
        <v>3519</v>
      </c>
      <c r="D78" s="25" t="s">
        <v>3593</v>
      </c>
    </row>
    <row r="79" spans="3:4">
      <c r="C79" t="s">
        <v>3519</v>
      </c>
      <c r="D79" s="25" t="s">
        <v>3594</v>
      </c>
    </row>
    <row r="80" spans="3:4">
      <c r="C80" t="s">
        <v>3519</v>
      </c>
      <c r="D80" s="25" t="s">
        <v>3595</v>
      </c>
    </row>
    <row r="81" spans="3:4">
      <c r="C81" t="s">
        <v>3519</v>
      </c>
      <c r="D81" s="25" t="s">
        <v>3596</v>
      </c>
    </row>
    <row r="82" spans="3:4">
      <c r="C82" t="s">
        <v>3519</v>
      </c>
      <c r="D82" s="25" t="s">
        <v>3597</v>
      </c>
    </row>
    <row r="83" spans="3:4">
      <c r="D83" s="25"/>
    </row>
    <row r="84" spans="3:4">
      <c r="D84" s="25"/>
    </row>
    <row r="85" spans="3:4">
      <c r="C85" t="s">
        <v>3520</v>
      </c>
      <c r="D85" s="25" t="s">
        <v>3598</v>
      </c>
    </row>
    <row r="86" spans="3:4">
      <c r="C86" t="s">
        <v>3520</v>
      </c>
      <c r="D86" s="25" t="s">
        <v>3599</v>
      </c>
    </row>
    <row r="87" spans="3:4">
      <c r="C87" t="s">
        <v>3520</v>
      </c>
      <c r="D87" s="25" t="s">
        <v>3600</v>
      </c>
    </row>
    <row r="88" spans="3:4">
      <c r="C88" t="s">
        <v>3520</v>
      </c>
      <c r="D88" s="25" t="s">
        <v>3601</v>
      </c>
    </row>
    <row r="89" spans="3:4">
      <c r="C89" t="s">
        <v>3520</v>
      </c>
      <c r="D89" s="25" t="s">
        <v>3602</v>
      </c>
    </row>
    <row r="90" spans="3:4">
      <c r="C90" t="s">
        <v>3520</v>
      </c>
      <c r="D90" s="25" t="s">
        <v>3603</v>
      </c>
    </row>
    <row r="91" spans="3:4">
      <c r="C91" t="s">
        <v>3520</v>
      </c>
      <c r="D91" s="25" t="s">
        <v>3604</v>
      </c>
    </row>
    <row r="92" spans="3:4">
      <c r="D92" s="25"/>
    </row>
    <row r="93" spans="3:4">
      <c r="D93" s="25"/>
    </row>
    <row r="94" spans="3:4">
      <c r="C94" t="s">
        <v>3523</v>
      </c>
      <c r="D94" s="25" t="s">
        <v>3605</v>
      </c>
    </row>
    <row r="95" spans="3:4">
      <c r="C95" t="s">
        <v>3523</v>
      </c>
      <c r="D95" s="25" t="s">
        <v>3606</v>
      </c>
    </row>
    <row r="96" spans="3:4">
      <c r="C96" t="s">
        <v>3523</v>
      </c>
      <c r="D96" s="25" t="s">
        <v>3607</v>
      </c>
    </row>
    <row r="97" spans="3:4">
      <c r="C97" t="s">
        <v>3523</v>
      </c>
      <c r="D97" s="25" t="s">
        <v>3608</v>
      </c>
    </row>
    <row r="98" spans="3:4">
      <c r="C98" t="s">
        <v>3523</v>
      </c>
      <c r="D98" s="25" t="s">
        <v>3609</v>
      </c>
    </row>
    <row r="99" spans="3:4">
      <c r="C99" t="s">
        <v>3523</v>
      </c>
      <c r="D99" s="25" t="s">
        <v>3610</v>
      </c>
    </row>
    <row r="100" spans="3:4">
      <c r="C100" t="s">
        <v>3523</v>
      </c>
      <c r="D100" s="25" t="s">
        <v>3611</v>
      </c>
    </row>
    <row r="101" spans="3:4">
      <c r="C101" t="s">
        <v>3523</v>
      </c>
      <c r="D101" s="25" t="s">
        <v>3612</v>
      </c>
    </row>
    <row r="102" spans="3:4">
      <c r="C102" t="s">
        <v>3523</v>
      </c>
      <c r="D102" s="25" t="s">
        <v>3613</v>
      </c>
    </row>
    <row r="103" spans="3:4">
      <c r="C103" t="s">
        <v>3523</v>
      </c>
      <c r="D103" s="25" t="s">
        <v>3614</v>
      </c>
    </row>
    <row r="104" spans="3:4">
      <c r="D104" s="25"/>
    </row>
    <row r="105" spans="3:4">
      <c r="C105" t="s">
        <v>3538</v>
      </c>
      <c r="D105" s="25" t="s">
        <v>3618</v>
      </c>
    </row>
    <row r="106" spans="3:4">
      <c r="C106" t="s">
        <v>3538</v>
      </c>
      <c r="D106" s="25" t="s">
        <v>3619</v>
      </c>
    </row>
    <row r="107" spans="3:4">
      <c r="D107" s="25"/>
    </row>
    <row r="108" spans="3:4">
      <c r="C108" t="s">
        <v>3563</v>
      </c>
      <c r="D108" s="25" t="s">
        <v>3622</v>
      </c>
    </row>
    <row r="109" spans="3:4">
      <c r="C109" t="s">
        <v>3563</v>
      </c>
      <c r="D109" s="25" t="s">
        <v>3564</v>
      </c>
    </row>
    <row r="110" spans="3:4">
      <c r="C110" t="s">
        <v>3563</v>
      </c>
      <c r="D110" s="25" t="s">
        <v>3623</v>
      </c>
    </row>
    <row r="111" spans="3:4">
      <c r="D111" s="25"/>
    </row>
    <row r="112" spans="3:4">
      <c r="C112" t="s">
        <v>3550</v>
      </c>
      <c r="D112" s="25" t="s">
        <v>3626</v>
      </c>
    </row>
    <row r="113" spans="3:4">
      <c r="C113" t="s">
        <v>3550</v>
      </c>
      <c r="D113" s="25" t="s">
        <v>3627</v>
      </c>
    </row>
    <row r="114" spans="3:4">
      <c r="D114" s="25"/>
    </row>
    <row r="115" spans="3:4">
      <c r="C115" t="s">
        <v>3553</v>
      </c>
      <c r="D115" s="25" t="s">
        <v>3628</v>
      </c>
    </row>
    <row r="116" spans="3:4">
      <c r="C116" t="s">
        <v>3553</v>
      </c>
      <c r="D116" s="25" t="s">
        <v>3629</v>
      </c>
    </row>
    <row r="117" spans="3:4">
      <c r="C117" t="s">
        <v>3553</v>
      </c>
      <c r="D117" s="25" t="s">
        <v>3630</v>
      </c>
    </row>
    <row r="118" spans="3:4">
      <c r="C118" t="s">
        <v>3553</v>
      </c>
      <c r="D118" s="25" t="s">
        <v>3631</v>
      </c>
    </row>
    <row r="119" spans="3:4">
      <c r="C119" t="s">
        <v>3553</v>
      </c>
      <c r="D119" s="25" t="s">
        <v>3632</v>
      </c>
    </row>
    <row r="120" spans="3:4">
      <c r="C120" t="s">
        <v>3553</v>
      </c>
      <c r="D120" s="25" t="s">
        <v>3633</v>
      </c>
    </row>
    <row r="121" spans="3:4">
      <c r="C121" t="s">
        <v>3553</v>
      </c>
      <c r="D121" s="25" t="s">
        <v>3634</v>
      </c>
    </row>
    <row r="122" spans="3:4">
      <c r="C122" t="s">
        <v>3553</v>
      </c>
      <c r="D122" s="25" t="s">
        <v>3635</v>
      </c>
    </row>
    <row r="123" spans="3:4">
      <c r="C123" t="s">
        <v>3553</v>
      </c>
      <c r="D123" s="25" t="s">
        <v>3636</v>
      </c>
    </row>
    <row r="124" spans="3:4">
      <c r="D124" s="25"/>
    </row>
    <row r="125" spans="3:4">
      <c r="C125" t="s">
        <v>3543</v>
      </c>
      <c r="D125" s="25" t="s">
        <v>3640</v>
      </c>
    </row>
    <row r="126" spans="3:4">
      <c r="C126" t="s">
        <v>3543</v>
      </c>
      <c r="D126" s="25" t="s">
        <v>3641</v>
      </c>
    </row>
    <row r="127" spans="3:4">
      <c r="C127" t="s">
        <v>3543</v>
      </c>
      <c r="D127" s="25" t="s">
        <v>3642</v>
      </c>
    </row>
    <row r="128" spans="3:4">
      <c r="C128" t="s">
        <v>3543</v>
      </c>
      <c r="D128" s="25" t="s">
        <v>3643</v>
      </c>
    </row>
    <row r="129" spans="3:4">
      <c r="C129" t="s">
        <v>3543</v>
      </c>
      <c r="D129" s="25" t="s">
        <v>3644</v>
      </c>
    </row>
    <row r="130" spans="3:4">
      <c r="C130" t="s">
        <v>3543</v>
      </c>
      <c r="D130" s="25" t="s">
        <v>3645</v>
      </c>
    </row>
    <row r="131" spans="3:4">
      <c r="D131" s="25"/>
    </row>
    <row r="132" spans="3:4">
      <c r="C132" t="s">
        <v>3522</v>
      </c>
      <c r="D132" s="25" t="s">
        <v>3646</v>
      </c>
    </row>
    <row r="133" spans="3:4">
      <c r="C133" t="s">
        <v>3522</v>
      </c>
      <c r="D133" s="25" t="s">
        <v>3659</v>
      </c>
    </row>
    <row r="134" spans="3:4">
      <c r="C134" t="s">
        <v>3522</v>
      </c>
      <c r="D134" s="25" t="s">
        <v>3660</v>
      </c>
    </row>
    <row r="135" spans="3:4">
      <c r="C135" t="s">
        <v>3522</v>
      </c>
      <c r="D135" s="25" t="s">
        <v>3647</v>
      </c>
    </row>
    <row r="136" spans="3:4">
      <c r="C136" t="s">
        <v>3522</v>
      </c>
      <c r="D136" s="25" t="s">
        <v>3648</v>
      </c>
    </row>
    <row r="137" spans="3:4">
      <c r="C137" t="s">
        <v>3522</v>
      </c>
      <c r="D137" s="25" t="s">
        <v>3649</v>
      </c>
    </row>
    <row r="138" spans="3:4">
      <c r="C138" t="s">
        <v>3522</v>
      </c>
      <c r="D138" s="25" t="s">
        <v>3650</v>
      </c>
    </row>
    <row r="139" spans="3:4">
      <c r="C139" t="s">
        <v>3522</v>
      </c>
      <c r="D139" s="25" t="s">
        <v>3651</v>
      </c>
    </row>
    <row r="140" spans="3:4">
      <c r="C140" t="s">
        <v>3522</v>
      </c>
      <c r="D140" s="25" t="s">
        <v>3652</v>
      </c>
    </row>
    <row r="141" spans="3:4">
      <c r="C141" t="s">
        <v>3522</v>
      </c>
      <c r="D141" s="25" t="s">
        <v>3653</v>
      </c>
    </row>
    <row r="142" spans="3:4">
      <c r="C142" t="s">
        <v>3522</v>
      </c>
      <c r="D142" s="25" t="s">
        <v>3654</v>
      </c>
    </row>
    <row r="143" spans="3:4">
      <c r="C143" t="s">
        <v>3522</v>
      </c>
      <c r="D143" s="25" t="s">
        <v>3655</v>
      </c>
    </row>
    <row r="144" spans="3:4">
      <c r="C144" t="s">
        <v>3522</v>
      </c>
      <c r="D144" s="25" t="s">
        <v>3656</v>
      </c>
    </row>
    <row r="145" spans="3:4">
      <c r="C145" t="s">
        <v>3522</v>
      </c>
      <c r="D145" s="25" t="s">
        <v>3657</v>
      </c>
    </row>
    <row r="146" spans="3:4">
      <c r="C146" t="s">
        <v>3522</v>
      </c>
      <c r="D146" s="25" t="s">
        <v>3658</v>
      </c>
    </row>
    <row r="147" spans="3:4">
      <c r="C147" t="s">
        <v>3522</v>
      </c>
      <c r="D147" s="25" t="s">
        <v>3663</v>
      </c>
    </row>
    <row r="148" spans="3:4">
      <c r="C148" t="s">
        <v>3522</v>
      </c>
      <c r="D148" s="25" t="s">
        <v>3661</v>
      </c>
    </row>
    <row r="149" spans="3:4">
      <c r="C149" t="s">
        <v>3522</v>
      </c>
      <c r="D149" s="25" t="s">
        <v>3651</v>
      </c>
    </row>
    <row r="150" spans="3:4">
      <c r="C150" t="s">
        <v>3522</v>
      </c>
      <c r="D150" s="25" t="s">
        <v>3662</v>
      </c>
    </row>
    <row r="151" spans="3:4">
      <c r="C151" t="s">
        <v>3565</v>
      </c>
      <c r="D151" s="25" t="s">
        <v>3566</v>
      </c>
    </row>
    <row r="152" spans="3:4">
      <c r="D152" s="25"/>
    </row>
    <row r="153" spans="3:4">
      <c r="C153" t="s">
        <v>3549</v>
      </c>
      <c r="D153" s="25" t="s">
        <v>3664</v>
      </c>
    </row>
    <row r="154" spans="3:4">
      <c r="C154" t="s">
        <v>3549</v>
      </c>
      <c r="D154" s="25" t="s">
        <v>3665</v>
      </c>
    </row>
    <row r="155" spans="3:4">
      <c r="C155" t="s">
        <v>3549</v>
      </c>
      <c r="D155" s="25" t="s">
        <v>3666</v>
      </c>
    </row>
    <row r="156" spans="3:4">
      <c r="C156" t="s">
        <v>3549</v>
      </c>
      <c r="D156" s="25" t="s">
        <v>3667</v>
      </c>
    </row>
    <row r="157" spans="3:4">
      <c r="C157" t="s">
        <v>3549</v>
      </c>
      <c r="D157" s="25" t="s">
        <v>3668</v>
      </c>
    </row>
    <row r="158" spans="3:4">
      <c r="D158" s="25"/>
    </row>
    <row r="159" spans="3:4">
      <c r="C159" t="s">
        <v>3544</v>
      </c>
      <c r="D159" s="25" t="s">
        <v>3669</v>
      </c>
    </row>
    <row r="160" spans="3:4">
      <c r="C160" t="s">
        <v>3544</v>
      </c>
      <c r="D160" s="25" t="s">
        <v>3670</v>
      </c>
    </row>
    <row r="161" spans="3:4">
      <c r="C161" t="s">
        <v>3544</v>
      </c>
      <c r="D161" s="25" t="s">
        <v>3671</v>
      </c>
    </row>
    <row r="162" spans="3:4">
      <c r="C162" t="s">
        <v>3544</v>
      </c>
      <c r="D162" s="25" t="s">
        <v>3672</v>
      </c>
    </row>
    <row r="163" spans="3:4">
      <c r="C163" t="s">
        <v>3544</v>
      </c>
      <c r="D163" s="25" t="s">
        <v>3673</v>
      </c>
    </row>
    <row r="164" spans="3:4">
      <c r="C164" t="s">
        <v>3544</v>
      </c>
      <c r="D164" s="25" t="s">
        <v>3674</v>
      </c>
    </row>
    <row r="165" spans="3:4">
      <c r="C165" t="s">
        <v>3544</v>
      </c>
      <c r="D165" s="25" t="s">
        <v>3675</v>
      </c>
    </row>
    <row r="166" spans="3:4">
      <c r="C166" t="s">
        <v>3544</v>
      </c>
      <c r="D166" s="25" t="s">
        <v>3676</v>
      </c>
    </row>
    <row r="167" spans="3:4">
      <c r="C167" t="s">
        <v>3544</v>
      </c>
      <c r="D167" s="25" t="s">
        <v>3677</v>
      </c>
    </row>
    <row r="168" spans="3:4">
      <c r="C168" t="s">
        <v>3544</v>
      </c>
      <c r="D168" s="25" t="s">
        <v>3678</v>
      </c>
    </row>
    <row r="169" spans="3:4">
      <c r="C169" t="s">
        <v>3544</v>
      </c>
      <c r="D169" s="25" t="s">
        <v>3679</v>
      </c>
    </row>
    <row r="170" spans="3:4">
      <c r="C170" t="s">
        <v>3544</v>
      </c>
      <c r="D170" s="25" t="s">
        <v>3681</v>
      </c>
    </row>
    <row r="171" spans="3:4">
      <c r="C171" t="s">
        <v>3544</v>
      </c>
      <c r="D171" s="25" t="s">
        <v>3680</v>
      </c>
    </row>
    <row r="172" spans="3:4">
      <c r="C172" t="s">
        <v>3544</v>
      </c>
      <c r="D172" s="25" t="s">
        <v>3682</v>
      </c>
    </row>
    <row r="173" spans="3:4">
      <c r="D173" s="25"/>
    </row>
    <row r="174" spans="3:4">
      <c r="D174" s="25"/>
    </row>
    <row r="175" spans="3:4">
      <c r="C175" t="s">
        <v>3507</v>
      </c>
      <c r="D175" s="25" t="s">
        <v>3683</v>
      </c>
    </row>
    <row r="176" spans="3:4">
      <c r="C176" t="s">
        <v>3507</v>
      </c>
      <c r="D176" s="25" t="s">
        <v>3684</v>
      </c>
    </row>
    <row r="177" spans="3:4">
      <c r="C177" t="s">
        <v>3507</v>
      </c>
      <c r="D177" s="25" t="s">
        <v>3685</v>
      </c>
    </row>
    <row r="178" spans="3:4">
      <c r="C178" t="s">
        <v>3507</v>
      </c>
      <c r="D178" s="25" t="s">
        <v>3686</v>
      </c>
    </row>
    <row r="179" spans="3:4">
      <c r="C179" t="s">
        <v>3507</v>
      </c>
      <c r="D179" s="25" t="s">
        <v>3687</v>
      </c>
    </row>
    <row r="180" spans="3:4">
      <c r="C180" t="s">
        <v>3507</v>
      </c>
      <c r="D180" s="25" t="s">
        <v>3688</v>
      </c>
    </row>
    <row r="181" spans="3:4">
      <c r="C181" t="s">
        <v>3507</v>
      </c>
      <c r="D181" s="25" t="s">
        <v>3689</v>
      </c>
    </row>
    <row r="182" spans="3:4">
      <c r="C182" t="s">
        <v>3507</v>
      </c>
      <c r="D182" s="25" t="s">
        <v>3690</v>
      </c>
    </row>
    <row r="183" spans="3:4">
      <c r="C183" t="s">
        <v>3507</v>
      </c>
      <c r="D183" s="25" t="s">
        <v>3691</v>
      </c>
    </row>
    <row r="184" spans="3:4">
      <c r="C184" t="s">
        <v>3507</v>
      </c>
      <c r="D184" s="25" t="s">
        <v>3692</v>
      </c>
    </row>
    <row r="185" spans="3:4">
      <c r="C185" t="s">
        <v>3507</v>
      </c>
      <c r="D185" s="25" t="s">
        <v>3693</v>
      </c>
    </row>
    <row r="186" spans="3:4">
      <c r="C186" t="s">
        <v>3507</v>
      </c>
      <c r="D186" s="25" t="s">
        <v>3694</v>
      </c>
    </row>
    <row r="187" spans="3:4">
      <c r="C187" t="s">
        <v>3507</v>
      </c>
      <c r="D187" s="25" t="s">
        <v>3695</v>
      </c>
    </row>
    <row r="188" spans="3:4">
      <c r="C188" t="s">
        <v>3507</v>
      </c>
      <c r="D188" s="25" t="s">
        <v>3696</v>
      </c>
    </row>
    <row r="189" spans="3:4">
      <c r="C189" t="s">
        <v>3507</v>
      </c>
      <c r="D189" s="25" t="s">
        <v>3697</v>
      </c>
    </row>
    <row r="190" spans="3:4">
      <c r="C190" t="s">
        <v>3507</v>
      </c>
      <c r="D190" s="25" t="s">
        <v>3698</v>
      </c>
    </row>
    <row r="191" spans="3:4">
      <c r="C191" t="s">
        <v>3507</v>
      </c>
      <c r="D191" s="25" t="s">
        <v>3699</v>
      </c>
    </row>
    <row r="192" spans="3:4">
      <c r="C192" t="s">
        <v>3507</v>
      </c>
      <c r="D192" s="25" t="s">
        <v>3700</v>
      </c>
    </row>
    <row r="193" spans="3:4">
      <c r="C193" t="s">
        <v>3507</v>
      </c>
      <c r="D193" s="25" t="s">
        <v>3701</v>
      </c>
    </row>
    <row r="194" spans="3:4">
      <c r="C194" t="s">
        <v>3507</v>
      </c>
      <c r="D194" s="25" t="s">
        <v>3702</v>
      </c>
    </row>
    <row r="195" spans="3:4">
      <c r="C195" t="s">
        <v>3507</v>
      </c>
      <c r="D195" s="25" t="s">
        <v>3703</v>
      </c>
    </row>
    <row r="196" spans="3:4">
      <c r="C196" t="s">
        <v>3507</v>
      </c>
      <c r="D196" s="25" t="s">
        <v>3704</v>
      </c>
    </row>
    <row r="197" spans="3:4">
      <c r="C197" t="s">
        <v>3507</v>
      </c>
      <c r="D197" s="25" t="s">
        <v>3705</v>
      </c>
    </row>
    <row r="198" spans="3:4">
      <c r="C198" t="s">
        <v>3507</v>
      </c>
      <c r="D198" s="25" t="s">
        <v>3706</v>
      </c>
    </row>
    <row r="199" spans="3:4">
      <c r="D199" s="25"/>
    </row>
    <row r="200" spans="3:4">
      <c r="C200" t="s">
        <v>3537</v>
      </c>
      <c r="D200" s="25" t="s">
        <v>3715</v>
      </c>
    </row>
    <row r="201" spans="3:4">
      <c r="C201" t="s">
        <v>3537</v>
      </c>
      <c r="D201" s="25" t="s">
        <v>3716</v>
      </c>
    </row>
    <row r="202" spans="3:4">
      <c r="D202" s="25"/>
    </row>
    <row r="203" spans="3:4">
      <c r="C203" t="s">
        <v>3560</v>
      </c>
      <c r="D203" s="25" t="s">
        <v>3717</v>
      </c>
    </row>
    <row r="204" spans="3:4">
      <c r="C204" t="s">
        <v>3560</v>
      </c>
      <c r="D204" s="25" t="s">
        <v>3718</v>
      </c>
    </row>
    <row r="205" spans="3:4">
      <c r="C205" t="s">
        <v>3560</v>
      </c>
      <c r="D205" s="25" t="s">
        <v>3719</v>
      </c>
    </row>
    <row r="206" spans="3:4">
      <c r="C206" t="s">
        <v>3560</v>
      </c>
      <c r="D206" s="25" t="s">
        <v>3720</v>
      </c>
    </row>
    <row r="207" spans="3:4">
      <c r="C207" t="s">
        <v>3560</v>
      </c>
      <c r="D207" s="25" t="s">
        <v>3721</v>
      </c>
    </row>
    <row r="208" spans="3:4">
      <c r="C208" t="s">
        <v>3560</v>
      </c>
      <c r="D208" s="25" t="s">
        <v>3722</v>
      </c>
    </row>
    <row r="209" spans="3:4">
      <c r="D209" s="25"/>
    </row>
    <row r="210" spans="3:4">
      <c r="C210" t="s">
        <v>3530</v>
      </c>
      <c r="D210" s="25" t="s">
        <v>3724</v>
      </c>
    </row>
    <row r="211" spans="3:4">
      <c r="C211" t="s">
        <v>3530</v>
      </c>
      <c r="D211" s="25" t="s">
        <v>3725</v>
      </c>
    </row>
    <row r="212" spans="3:4">
      <c r="C212" t="s">
        <v>3530</v>
      </c>
      <c r="D212" s="25" t="s">
        <v>3726</v>
      </c>
    </row>
    <row r="213" spans="3:4">
      <c r="C213" t="s">
        <v>3530</v>
      </c>
      <c r="D213" s="25" t="s">
        <v>3727</v>
      </c>
    </row>
    <row r="214" spans="3:4">
      <c r="C214" t="s">
        <v>3530</v>
      </c>
      <c r="D214" s="25" t="s">
        <v>3728</v>
      </c>
    </row>
    <row r="215" spans="3:4">
      <c r="C215" t="s">
        <v>3530</v>
      </c>
      <c r="D215" s="25" t="s">
        <v>3729</v>
      </c>
    </row>
    <row r="216" spans="3:4">
      <c r="C216" t="s">
        <v>3530</v>
      </c>
      <c r="D216" s="25" t="s">
        <v>3730</v>
      </c>
    </row>
    <row r="217" spans="3:4">
      <c r="C217" t="s">
        <v>3530</v>
      </c>
      <c r="D217" s="25" t="s">
        <v>3731</v>
      </c>
    </row>
    <row r="218" spans="3:4">
      <c r="C218" t="s">
        <v>3530</v>
      </c>
      <c r="D218" s="25" t="s">
        <v>3732</v>
      </c>
    </row>
    <row r="219" spans="3:4">
      <c r="C219" t="s">
        <v>3530</v>
      </c>
      <c r="D219" s="25" t="s">
        <v>3733</v>
      </c>
    </row>
    <row r="220" spans="3:4">
      <c r="C220" t="s">
        <v>3530</v>
      </c>
      <c r="D220" s="25" t="s">
        <v>3734</v>
      </c>
    </row>
    <row r="221" spans="3:4">
      <c r="C221" t="s">
        <v>3530</v>
      </c>
      <c r="D221" s="25" t="s">
        <v>3735</v>
      </c>
    </row>
    <row r="222" spans="3:4">
      <c r="C222" t="s">
        <v>3530</v>
      </c>
      <c r="D222" s="25" t="s">
        <v>3736</v>
      </c>
    </row>
    <row r="223" spans="3:4">
      <c r="C223" t="s">
        <v>3530</v>
      </c>
      <c r="D223" s="25" t="s">
        <v>3737</v>
      </c>
    </row>
    <row r="224" spans="3:4">
      <c r="C224" t="s">
        <v>3530</v>
      </c>
      <c r="D224" s="25" t="s">
        <v>3738</v>
      </c>
    </row>
    <row r="225" spans="3:4">
      <c r="C225" t="s">
        <v>3530</v>
      </c>
      <c r="D225" s="25" t="s">
        <v>3739</v>
      </c>
    </row>
    <row r="226" spans="3:4">
      <c r="C226" t="s">
        <v>3530</v>
      </c>
      <c r="D226" s="25" t="s">
        <v>3740</v>
      </c>
    </row>
    <row r="227" spans="3:4">
      <c r="C227" t="s">
        <v>3530</v>
      </c>
      <c r="D227" s="25" t="s">
        <v>3741</v>
      </c>
    </row>
    <row r="228" spans="3:4">
      <c r="C228" t="s">
        <v>3530</v>
      </c>
      <c r="D228" s="25" t="s">
        <v>3742</v>
      </c>
    </row>
    <row r="229" spans="3:4">
      <c r="C229" t="s">
        <v>3530</v>
      </c>
      <c r="D229" s="25" t="s">
        <v>3743</v>
      </c>
    </row>
    <row r="230" spans="3:4">
      <c r="C230" t="s">
        <v>3530</v>
      </c>
      <c r="D230" s="25" t="s">
        <v>3744</v>
      </c>
    </row>
    <row r="231" spans="3:4">
      <c r="C231" t="s">
        <v>3530</v>
      </c>
      <c r="D231" s="25" t="s">
        <v>3745</v>
      </c>
    </row>
    <row r="232" spans="3:4">
      <c r="C232" t="s">
        <v>3530</v>
      </c>
      <c r="D232" s="25" t="s">
        <v>3746</v>
      </c>
    </row>
    <row r="233" spans="3:4">
      <c r="C233" t="s">
        <v>3530</v>
      </c>
      <c r="D233" s="25" t="s">
        <v>3748</v>
      </c>
    </row>
    <row r="234" spans="3:4">
      <c r="C234" t="s">
        <v>3530</v>
      </c>
      <c r="D234" s="25" t="s">
        <v>3747</v>
      </c>
    </row>
    <row r="235" spans="3:4">
      <c r="C235" t="s">
        <v>3530</v>
      </c>
      <c r="D235" s="25" t="s">
        <v>3749</v>
      </c>
    </row>
    <row r="236" spans="3:4">
      <c r="D236" s="25"/>
    </row>
    <row r="237" spans="3:4">
      <c r="C237" t="s">
        <v>3531</v>
      </c>
      <c r="D237" s="25" t="s">
        <v>3750</v>
      </c>
    </row>
    <row r="238" spans="3:4">
      <c r="C238" t="s">
        <v>3531</v>
      </c>
      <c r="D238" s="25" t="s">
        <v>3751</v>
      </c>
    </row>
    <row r="239" spans="3:4">
      <c r="C239" t="s">
        <v>3531</v>
      </c>
      <c r="D239" s="25" t="s">
        <v>3752</v>
      </c>
    </row>
    <row r="240" spans="3:4">
      <c r="D240" s="25"/>
    </row>
    <row r="241" spans="3:4">
      <c r="C241" t="s">
        <v>3562</v>
      </c>
      <c r="D241" s="25" t="s">
        <v>3753</v>
      </c>
    </row>
    <row r="242" spans="3:4">
      <c r="C242" t="s">
        <v>3562</v>
      </c>
      <c r="D242" s="25" t="s">
        <v>3754</v>
      </c>
    </row>
    <row r="243" spans="3:4">
      <c r="C243" t="s">
        <v>3562</v>
      </c>
      <c r="D243" s="25" t="s">
        <v>3755</v>
      </c>
    </row>
    <row r="244" spans="3:4">
      <c r="C244" t="s">
        <v>3562</v>
      </c>
      <c r="D244" s="25" t="s">
        <v>3756</v>
      </c>
    </row>
    <row r="245" spans="3:4">
      <c r="C245" t="s">
        <v>3562</v>
      </c>
      <c r="D245" s="25" t="s">
        <v>3757</v>
      </c>
    </row>
    <row r="246" spans="3:4">
      <c r="C246" t="s">
        <v>3562</v>
      </c>
      <c r="D246" s="25" t="s">
        <v>3758</v>
      </c>
    </row>
    <row r="247" spans="3:4">
      <c r="C247" t="s">
        <v>3562</v>
      </c>
      <c r="D247" s="25" t="s">
        <v>3759</v>
      </c>
    </row>
    <row r="248" spans="3:4">
      <c r="C248" t="s">
        <v>3562</v>
      </c>
      <c r="D248" s="25" t="s">
        <v>3760</v>
      </c>
    </row>
    <row r="249" spans="3:4">
      <c r="C249" t="s">
        <v>3562</v>
      </c>
      <c r="D249" s="25" t="s">
        <v>3761</v>
      </c>
    </row>
    <row r="250" spans="3:4">
      <c r="C250" t="s">
        <v>3562</v>
      </c>
      <c r="D250" s="25" t="s">
        <v>3762</v>
      </c>
    </row>
    <row r="251" spans="3:4">
      <c r="C251" t="s">
        <v>3562</v>
      </c>
      <c r="D251" s="25" t="s">
        <v>3763</v>
      </c>
    </row>
    <row r="252" spans="3:4">
      <c r="C252" t="s">
        <v>3562</v>
      </c>
      <c r="D252" s="25" t="s">
        <v>3764</v>
      </c>
    </row>
    <row r="253" spans="3:4">
      <c r="C253" t="s">
        <v>3562</v>
      </c>
      <c r="D253" s="25" t="s">
        <v>3765</v>
      </c>
    </row>
    <row r="254" spans="3:4">
      <c r="C254" t="s">
        <v>3562</v>
      </c>
      <c r="D254" s="25" t="s">
        <v>3766</v>
      </c>
    </row>
    <row r="255" spans="3:4">
      <c r="C255" t="s">
        <v>3562</v>
      </c>
      <c r="D255" s="25" t="s">
        <v>3767</v>
      </c>
    </row>
    <row r="256" spans="3:4">
      <c r="C256" t="s">
        <v>3562</v>
      </c>
      <c r="D256" s="25" t="s">
        <v>3768</v>
      </c>
    </row>
    <row r="257" spans="3:4">
      <c r="C257" t="s">
        <v>3562</v>
      </c>
      <c r="D257" s="25" t="s">
        <v>3769</v>
      </c>
    </row>
    <row r="258" spans="3:4">
      <c r="C258" t="s">
        <v>3562</v>
      </c>
      <c r="D258" s="25" t="s">
        <v>3770</v>
      </c>
    </row>
    <row r="259" spans="3:4">
      <c r="C259" t="s">
        <v>3562</v>
      </c>
      <c r="D259" s="25" t="s">
        <v>3771</v>
      </c>
    </row>
    <row r="260" spans="3:4">
      <c r="C260" t="s">
        <v>3562</v>
      </c>
      <c r="D260" s="25" t="s">
        <v>3772</v>
      </c>
    </row>
    <row r="261" spans="3:4">
      <c r="C261" t="s">
        <v>3562</v>
      </c>
      <c r="D261" s="25" t="s">
        <v>3773</v>
      </c>
    </row>
    <row r="262" spans="3:4">
      <c r="D262" s="25"/>
    </row>
    <row r="263" spans="3:4">
      <c r="C263" t="s">
        <v>3567</v>
      </c>
      <c r="D263" s="25" t="s">
        <v>3774</v>
      </c>
    </row>
    <row r="264" spans="3:4">
      <c r="C264" t="s">
        <v>3567</v>
      </c>
      <c r="D264" s="25" t="s">
        <v>3775</v>
      </c>
    </row>
    <row r="265" spans="3:4">
      <c r="C265" t="s">
        <v>3567</v>
      </c>
      <c r="D265" s="25" t="s">
        <v>3776</v>
      </c>
    </row>
    <row r="266" spans="3:4">
      <c r="C266" t="s">
        <v>3567</v>
      </c>
      <c r="D266" s="25" t="s">
        <v>3777</v>
      </c>
    </row>
    <row r="267" spans="3:4">
      <c r="C267" t="s">
        <v>3567</v>
      </c>
      <c r="D267" s="25" t="s">
        <v>3778</v>
      </c>
    </row>
    <row r="268" spans="3:4">
      <c r="C268" t="s">
        <v>3567</v>
      </c>
      <c r="D268" s="25" t="s">
        <v>3779</v>
      </c>
    </row>
    <row r="269" spans="3:4">
      <c r="C269" t="s">
        <v>3567</v>
      </c>
      <c r="D269" s="25" t="s">
        <v>3780</v>
      </c>
    </row>
    <row r="270" spans="3:4">
      <c r="C270" t="s">
        <v>3567</v>
      </c>
      <c r="D270" s="25" t="s">
        <v>3781</v>
      </c>
    </row>
    <row r="271" spans="3:4">
      <c r="C271" t="s">
        <v>3567</v>
      </c>
      <c r="D271" s="25" t="s">
        <v>3782</v>
      </c>
    </row>
    <row r="272" spans="3:4">
      <c r="C272" t="s">
        <v>3567</v>
      </c>
      <c r="D272" s="25" t="s">
        <v>3783</v>
      </c>
    </row>
    <row r="273" spans="3:4">
      <c r="C273" t="s">
        <v>3567</v>
      </c>
      <c r="D273" s="25" t="s">
        <v>3784</v>
      </c>
    </row>
    <row r="274" spans="3:4">
      <c r="C274" t="s">
        <v>3567</v>
      </c>
      <c r="D274" s="25" t="s">
        <v>3785</v>
      </c>
    </row>
    <row r="275" spans="3:4">
      <c r="C275" t="s">
        <v>3567</v>
      </c>
      <c r="D275" s="25" t="s">
        <v>3786</v>
      </c>
    </row>
    <row r="276" spans="3:4">
      <c r="C276" t="s">
        <v>3567</v>
      </c>
      <c r="D276" s="25" t="s">
        <v>3787</v>
      </c>
    </row>
    <row r="277" spans="3:4">
      <c r="C277" t="s">
        <v>3567</v>
      </c>
      <c r="D277" s="25" t="s">
        <v>3788</v>
      </c>
    </row>
    <row r="278" spans="3:4">
      <c r="C278" t="s">
        <v>3567</v>
      </c>
      <c r="D278" s="25" t="s">
        <v>3789</v>
      </c>
    </row>
    <row r="279" spans="3:4">
      <c r="C279" t="s">
        <v>3567</v>
      </c>
      <c r="D279" s="25" t="s">
        <v>3789</v>
      </c>
    </row>
    <row r="280" spans="3:4">
      <c r="C280" t="s">
        <v>3567</v>
      </c>
      <c r="D280" s="25" t="s">
        <v>3790</v>
      </c>
    </row>
    <row r="281" spans="3:4">
      <c r="C281" t="s">
        <v>3567</v>
      </c>
      <c r="D281" s="25" t="s">
        <v>3791</v>
      </c>
    </row>
    <row r="282" spans="3:4">
      <c r="C282" t="s">
        <v>3567</v>
      </c>
      <c r="D282" s="25" t="s">
        <v>3792</v>
      </c>
    </row>
    <row r="283" spans="3:4">
      <c r="C283" t="s">
        <v>3567</v>
      </c>
      <c r="D283" s="25" t="s">
        <v>3793</v>
      </c>
    </row>
    <row r="284" spans="3:4">
      <c r="C284" t="s">
        <v>3567</v>
      </c>
      <c r="D284" s="25" t="s">
        <v>3794</v>
      </c>
    </row>
    <row r="285" spans="3:4">
      <c r="C285" t="s">
        <v>3567</v>
      </c>
      <c r="D285" s="25" t="s">
        <v>3795</v>
      </c>
    </row>
    <row r="286" spans="3:4">
      <c r="C286" t="s">
        <v>3567</v>
      </c>
      <c r="D286" s="25" t="s">
        <v>3796</v>
      </c>
    </row>
    <row r="287" spans="3:4">
      <c r="C287" t="s">
        <v>3567</v>
      </c>
      <c r="D287" s="25" t="s">
        <v>3797</v>
      </c>
    </row>
    <row r="288" spans="3:4">
      <c r="C288" t="s">
        <v>3567</v>
      </c>
      <c r="D288" s="25" t="s">
        <v>3798</v>
      </c>
    </row>
    <row r="289" spans="3:4">
      <c r="C289" t="s">
        <v>3567</v>
      </c>
      <c r="D289" s="25" t="s">
        <v>3799</v>
      </c>
    </row>
    <row r="290" spans="3:4">
      <c r="C290" t="s">
        <v>3567</v>
      </c>
      <c r="D290" s="25" t="s">
        <v>3800</v>
      </c>
    </row>
    <row r="291" spans="3:4">
      <c r="C291" t="s">
        <v>3567</v>
      </c>
      <c r="D291" s="25" t="s">
        <v>3801</v>
      </c>
    </row>
    <row r="292" spans="3:4">
      <c r="C292" t="s">
        <v>3567</v>
      </c>
      <c r="D292" s="25" t="s">
        <v>3802</v>
      </c>
    </row>
    <row r="293" spans="3:4">
      <c r="C293" t="s">
        <v>3567</v>
      </c>
      <c r="D293" s="25" t="s">
        <v>3803</v>
      </c>
    </row>
    <row r="294" spans="3:4">
      <c r="C294" t="s">
        <v>3567</v>
      </c>
      <c r="D294" s="25" t="s">
        <v>3804</v>
      </c>
    </row>
    <row r="295" spans="3:4">
      <c r="C295" t="s">
        <v>3567</v>
      </c>
      <c r="D295" s="25" t="s">
        <v>3805</v>
      </c>
    </row>
    <row r="296" spans="3:4">
      <c r="C296" t="s">
        <v>3567</v>
      </c>
      <c r="D296" s="25" t="s">
        <v>3806</v>
      </c>
    </row>
    <row r="297" spans="3:4">
      <c r="C297" t="s">
        <v>3567</v>
      </c>
      <c r="D297" s="25" t="s">
        <v>3807</v>
      </c>
    </row>
    <row r="298" spans="3:4">
      <c r="C298" t="s">
        <v>3567</v>
      </c>
      <c r="D298" s="25" t="s">
        <v>3808</v>
      </c>
    </row>
    <row r="299" spans="3:4">
      <c r="C299" t="s">
        <v>3567</v>
      </c>
      <c r="D299" s="25" t="s">
        <v>3809</v>
      </c>
    </row>
    <row r="300" spans="3:4">
      <c r="C300" t="s">
        <v>3567</v>
      </c>
      <c r="D300" s="25" t="s">
        <v>3810</v>
      </c>
    </row>
    <row r="301" spans="3:4">
      <c r="C301" t="s">
        <v>3567</v>
      </c>
      <c r="D301" s="25" t="s">
        <v>3811</v>
      </c>
    </row>
    <row r="302" spans="3:4">
      <c r="C302" t="s">
        <v>3567</v>
      </c>
      <c r="D302" s="25" t="s">
        <v>3812</v>
      </c>
    </row>
    <row r="303" spans="3:4">
      <c r="C303" t="s">
        <v>3567</v>
      </c>
      <c r="D303" s="25" t="s">
        <v>3813</v>
      </c>
    </row>
    <row r="304" spans="3:4">
      <c r="C304" t="s">
        <v>3567</v>
      </c>
      <c r="D304" s="25" t="s">
        <v>3814</v>
      </c>
    </row>
    <row r="305" spans="3:4">
      <c r="C305" t="s">
        <v>3567</v>
      </c>
      <c r="D305" s="25" t="s">
        <v>3815</v>
      </c>
    </row>
    <row r="306" spans="3:4">
      <c r="C306" t="s">
        <v>3567</v>
      </c>
      <c r="D306" s="25" t="s">
        <v>3816</v>
      </c>
    </row>
    <row r="307" spans="3:4">
      <c r="C307" t="s">
        <v>3567</v>
      </c>
      <c r="D307" s="25" t="s">
        <v>3817</v>
      </c>
    </row>
    <row r="308" spans="3:4">
      <c r="C308" t="s">
        <v>3567</v>
      </c>
      <c r="D308" s="25" t="s">
        <v>3818</v>
      </c>
    </row>
    <row r="309" spans="3:4">
      <c r="C309" t="s">
        <v>3567</v>
      </c>
      <c r="D309" s="25" t="s">
        <v>3819</v>
      </c>
    </row>
    <row r="310" spans="3:4">
      <c r="C310" t="s">
        <v>3567</v>
      </c>
      <c r="D310" s="25" t="s">
        <v>3820</v>
      </c>
    </row>
    <row r="311" spans="3:4">
      <c r="C311" t="s">
        <v>3567</v>
      </c>
      <c r="D311" s="25" t="s">
        <v>3821</v>
      </c>
    </row>
    <row r="312" spans="3:4">
      <c r="C312" t="s">
        <v>3567</v>
      </c>
      <c r="D312" s="25" t="s">
        <v>3822</v>
      </c>
    </row>
    <row r="313" spans="3:4">
      <c r="C313" t="s">
        <v>3567</v>
      </c>
      <c r="D313" s="25" t="s">
        <v>3823</v>
      </c>
    </row>
    <row r="314" spans="3:4">
      <c r="C314" t="s">
        <v>3567</v>
      </c>
      <c r="D314" s="25" t="s">
        <v>3824</v>
      </c>
    </row>
    <row r="315" spans="3:4">
      <c r="C315" t="s">
        <v>3567</v>
      </c>
      <c r="D315" s="25" t="s">
        <v>3825</v>
      </c>
    </row>
    <row r="316" spans="3:4">
      <c r="C316" t="s">
        <v>3567</v>
      </c>
      <c r="D316" s="25" t="s">
        <v>3826</v>
      </c>
    </row>
    <row r="317" spans="3:4">
      <c r="C317" t="s">
        <v>3567</v>
      </c>
      <c r="D317" s="25" t="s">
        <v>3827</v>
      </c>
    </row>
    <row r="318" spans="3:4">
      <c r="C318" t="s">
        <v>3567</v>
      </c>
      <c r="D318" s="25" t="s">
        <v>3828</v>
      </c>
    </row>
    <row r="319" spans="3:4">
      <c r="C319" t="s">
        <v>3567</v>
      </c>
      <c r="D319" s="25" t="s">
        <v>3829</v>
      </c>
    </row>
    <row r="320" spans="3:4">
      <c r="C320" t="s">
        <v>3567</v>
      </c>
      <c r="D320" s="25" t="s">
        <v>3830</v>
      </c>
    </row>
    <row r="321" spans="3:4">
      <c r="C321" t="s">
        <v>3567</v>
      </c>
      <c r="D321" s="25" t="s">
        <v>3831</v>
      </c>
    </row>
    <row r="322" spans="3:4">
      <c r="C322" t="s">
        <v>3567</v>
      </c>
      <c r="D322" s="25" t="s">
        <v>3831</v>
      </c>
    </row>
    <row r="323" spans="3:4">
      <c r="C323" t="s">
        <v>3567</v>
      </c>
      <c r="D323" s="25" t="s">
        <v>3831</v>
      </c>
    </row>
    <row r="324" spans="3:4">
      <c r="C324" t="s">
        <v>3567</v>
      </c>
      <c r="D324" s="25" t="s">
        <v>3832</v>
      </c>
    </row>
    <row r="325" spans="3:4">
      <c r="C325" t="s">
        <v>3567</v>
      </c>
      <c r="D325" s="25" t="s">
        <v>3832</v>
      </c>
    </row>
    <row r="326" spans="3:4">
      <c r="C326" t="s">
        <v>3567</v>
      </c>
      <c r="D326" s="25" t="s">
        <v>3832</v>
      </c>
    </row>
    <row r="327" spans="3:4">
      <c r="C327" t="s">
        <v>3567</v>
      </c>
      <c r="D327" s="25" t="s">
        <v>3833</v>
      </c>
    </row>
    <row r="328" spans="3:4">
      <c r="C328" t="s">
        <v>3567</v>
      </c>
      <c r="D328" s="25" t="s">
        <v>3834</v>
      </c>
    </row>
    <row r="329" spans="3:4">
      <c r="C329" t="s">
        <v>3567</v>
      </c>
      <c r="D329" s="25" t="s">
        <v>3835</v>
      </c>
    </row>
    <row r="330" spans="3:4">
      <c r="D330" s="25"/>
    </row>
    <row r="331" spans="3:4">
      <c r="C331" t="s">
        <v>3526</v>
      </c>
      <c r="D331" s="25" t="s">
        <v>3837</v>
      </c>
    </row>
    <row r="332" spans="3:4">
      <c r="C332" t="s">
        <v>3526</v>
      </c>
      <c r="D332" s="25" t="s">
        <v>3838</v>
      </c>
    </row>
    <row r="333" spans="3:4">
      <c r="C333" t="s">
        <v>3526</v>
      </c>
      <c r="D333" s="25" t="s">
        <v>3839</v>
      </c>
    </row>
    <row r="334" spans="3:4">
      <c r="C334" t="s">
        <v>3526</v>
      </c>
      <c r="D334" s="25" t="s">
        <v>3840</v>
      </c>
    </row>
    <row r="335" spans="3:4">
      <c r="C335" t="s">
        <v>3526</v>
      </c>
      <c r="D335" s="25" t="s">
        <v>3841</v>
      </c>
    </row>
    <row r="336" spans="3:4">
      <c r="C336" t="s">
        <v>3526</v>
      </c>
      <c r="D336" s="25" t="s">
        <v>3842</v>
      </c>
    </row>
    <row r="337" spans="3:4">
      <c r="C337" t="s">
        <v>3526</v>
      </c>
      <c r="D337" s="25" t="s">
        <v>3843</v>
      </c>
    </row>
    <row r="338" spans="3:4">
      <c r="C338" t="s">
        <v>3526</v>
      </c>
      <c r="D338" s="25" t="s">
        <v>3844</v>
      </c>
    </row>
    <row r="339" spans="3:4">
      <c r="C339" t="s">
        <v>3526</v>
      </c>
      <c r="D339" s="25" t="s">
        <v>3845</v>
      </c>
    </row>
    <row r="340" spans="3:4">
      <c r="C340" t="s">
        <v>3526</v>
      </c>
      <c r="D340" s="25" t="s">
        <v>3846</v>
      </c>
    </row>
    <row r="341" spans="3:4">
      <c r="C341" t="s">
        <v>3526</v>
      </c>
      <c r="D341" s="25" t="s">
        <v>3847</v>
      </c>
    </row>
    <row r="342" spans="3:4">
      <c r="C342" t="s">
        <v>3526</v>
      </c>
      <c r="D342" s="25" t="s">
        <v>3848</v>
      </c>
    </row>
    <row r="343" spans="3:4">
      <c r="C343" t="s">
        <v>3526</v>
      </c>
      <c r="D343" s="25" t="s">
        <v>3849</v>
      </c>
    </row>
    <row r="344" spans="3:4">
      <c r="C344" t="s">
        <v>3526</v>
      </c>
      <c r="D344" s="25" t="s">
        <v>3850</v>
      </c>
    </row>
    <row r="345" spans="3:4">
      <c r="C345" t="s">
        <v>3526</v>
      </c>
      <c r="D345" s="25" t="s">
        <v>3851</v>
      </c>
    </row>
    <row r="346" spans="3:4">
      <c r="C346" t="s">
        <v>3526</v>
      </c>
      <c r="D346" s="25" t="s">
        <v>3852</v>
      </c>
    </row>
    <row r="347" spans="3:4">
      <c r="C347" t="s">
        <v>3526</v>
      </c>
      <c r="D347" s="25" t="s">
        <v>3853</v>
      </c>
    </row>
    <row r="348" spans="3:4">
      <c r="C348" t="s">
        <v>3526</v>
      </c>
      <c r="D348" s="25" t="s">
        <v>3854</v>
      </c>
    </row>
    <row r="349" spans="3:4">
      <c r="C349" t="s">
        <v>3526</v>
      </c>
      <c r="D349" s="25" t="s">
        <v>3855</v>
      </c>
    </row>
    <row r="350" spans="3:4">
      <c r="C350" t="s">
        <v>3526</v>
      </c>
      <c r="D350" s="25" t="s">
        <v>3856</v>
      </c>
    </row>
    <row r="351" spans="3:4">
      <c r="C351" t="s">
        <v>3526</v>
      </c>
      <c r="D351" s="25" t="s">
        <v>3857</v>
      </c>
    </row>
    <row r="352" spans="3:4">
      <c r="C352" t="s">
        <v>3526</v>
      </c>
      <c r="D352" s="25" t="s">
        <v>3858</v>
      </c>
    </row>
    <row r="353" spans="3:4">
      <c r="C353" t="s">
        <v>3526</v>
      </c>
      <c r="D353" s="25" t="s">
        <v>3859</v>
      </c>
    </row>
    <row r="354" spans="3:4">
      <c r="C354" t="s">
        <v>3526</v>
      </c>
      <c r="D354" s="25" t="s">
        <v>3860</v>
      </c>
    </row>
    <row r="355" spans="3:4">
      <c r="C355" t="s">
        <v>3526</v>
      </c>
      <c r="D355" s="25" t="s">
        <v>3861</v>
      </c>
    </row>
    <row r="356" spans="3:4">
      <c r="C356" t="s">
        <v>3526</v>
      </c>
      <c r="D356" s="25" t="s">
        <v>3862</v>
      </c>
    </row>
    <row r="357" spans="3:4">
      <c r="C357" t="s">
        <v>3526</v>
      </c>
      <c r="D357" s="25" t="s">
        <v>3863</v>
      </c>
    </row>
    <row r="358" spans="3:4">
      <c r="C358" t="s">
        <v>3526</v>
      </c>
      <c r="D358" s="25" t="s">
        <v>3864</v>
      </c>
    </row>
    <row r="359" spans="3:4">
      <c r="C359" t="s">
        <v>3526</v>
      </c>
      <c r="D359" s="25" t="s">
        <v>3865</v>
      </c>
    </row>
    <row r="361" spans="3:4">
      <c r="C361" t="s">
        <v>3533</v>
      </c>
      <c r="D361" t="s">
        <v>3870</v>
      </c>
    </row>
    <row r="362" spans="3:4">
      <c r="C362" t="s">
        <v>3533</v>
      </c>
      <c r="D362" t="s">
        <v>3724</v>
      </c>
    </row>
    <row r="363" spans="3:4">
      <c r="C363" t="s">
        <v>3533</v>
      </c>
      <c r="D363" t="s">
        <v>3871</v>
      </c>
    </row>
    <row r="364" spans="3:4">
      <c r="C364" t="s">
        <v>3533</v>
      </c>
      <c r="D364" t="s">
        <v>3872</v>
      </c>
    </row>
    <row r="365" spans="3:4">
      <c r="C365" t="s">
        <v>3533</v>
      </c>
      <c r="D365" t="s">
        <v>3873</v>
      </c>
    </row>
    <row r="366" spans="3:4">
      <c r="C366" t="s">
        <v>3533</v>
      </c>
      <c r="D366" t="s">
        <v>3874</v>
      </c>
    </row>
    <row r="367" spans="3:4">
      <c r="C367" t="s">
        <v>3533</v>
      </c>
      <c r="D367" t="s">
        <v>3875</v>
      </c>
    </row>
    <row r="368" spans="3:4">
      <c r="C368" t="s">
        <v>3533</v>
      </c>
      <c r="D368" t="s">
        <v>3876</v>
      </c>
    </row>
    <row r="369" spans="3:4">
      <c r="C369" t="s">
        <v>3533</v>
      </c>
      <c r="D369" t="s">
        <v>3877</v>
      </c>
    </row>
    <row r="371" spans="3:4">
      <c r="C371" t="s">
        <v>3527</v>
      </c>
      <c r="D371" s="25" t="s">
        <v>3878</v>
      </c>
    </row>
    <row r="372" spans="3:4">
      <c r="C372" t="s">
        <v>3527</v>
      </c>
      <c r="D372" s="25" t="s">
        <v>3879</v>
      </c>
    </row>
    <row r="373" spans="3:4">
      <c r="C373" t="s">
        <v>3527</v>
      </c>
      <c r="D373" s="25" t="s">
        <v>3880</v>
      </c>
    </row>
    <row r="374" spans="3:4">
      <c r="C374" t="s">
        <v>3527</v>
      </c>
      <c r="D374" s="25" t="s">
        <v>3881</v>
      </c>
    </row>
    <row r="375" spans="3:4">
      <c r="C375" t="s">
        <v>3527</v>
      </c>
      <c r="D375" s="25" t="s">
        <v>3882</v>
      </c>
    </row>
    <row r="376" spans="3:4">
      <c r="C376" t="s">
        <v>3527</v>
      </c>
      <c r="D376" s="25" t="s">
        <v>3883</v>
      </c>
    </row>
    <row r="383" spans="3:4">
      <c r="C383" t="s">
        <v>3534</v>
      </c>
      <c r="D383" s="25" t="s">
        <v>4738</v>
      </c>
    </row>
    <row r="384" spans="3:4">
      <c r="C384" t="s">
        <v>3534</v>
      </c>
      <c r="D384" s="25" t="s">
        <v>4739</v>
      </c>
    </row>
    <row r="385" spans="3:4">
      <c r="C385" t="s">
        <v>3534</v>
      </c>
      <c r="D385" s="25" t="s">
        <v>4740</v>
      </c>
    </row>
    <row r="386" spans="3:4">
      <c r="C386" t="s">
        <v>3534</v>
      </c>
      <c r="D386" s="25" t="s">
        <v>7410</v>
      </c>
    </row>
    <row r="387" spans="3:4">
      <c r="C387" t="s">
        <v>3534</v>
      </c>
      <c r="D387" s="25" t="s">
        <v>7411</v>
      </c>
    </row>
    <row r="388" spans="3:4">
      <c r="C388" t="s">
        <v>3534</v>
      </c>
      <c r="D388" s="25" t="s">
        <v>4990</v>
      </c>
    </row>
    <row r="389" spans="3:4">
      <c r="C389" t="s">
        <v>3534</v>
      </c>
      <c r="D389" s="25" t="s">
        <v>4991</v>
      </c>
    </row>
    <row r="390" spans="3:4">
      <c r="C390" t="s">
        <v>3534</v>
      </c>
      <c r="D390" s="25" t="s">
        <v>4992</v>
      </c>
    </row>
    <row r="391" spans="3:4">
      <c r="C391" t="s">
        <v>3534</v>
      </c>
      <c r="D391" s="25" t="s">
        <v>4993</v>
      </c>
    </row>
    <row r="392" spans="3:4">
      <c r="C392" t="s">
        <v>3534</v>
      </c>
      <c r="D392" s="25" t="s">
        <v>4994</v>
      </c>
    </row>
    <row r="393" spans="3:4">
      <c r="C393" t="s">
        <v>3534</v>
      </c>
      <c r="D393" s="25" t="s">
        <v>4995</v>
      </c>
    </row>
    <row r="394" spans="3:4">
      <c r="C394" t="s">
        <v>3534</v>
      </c>
      <c r="D394" s="25" t="s">
        <v>7422</v>
      </c>
    </row>
    <row r="395" spans="3:4">
      <c r="C395" t="s">
        <v>3534</v>
      </c>
      <c r="D395" s="25" t="s">
        <v>4996</v>
      </c>
    </row>
    <row r="396" spans="3:4">
      <c r="C396" t="s">
        <v>3534</v>
      </c>
      <c r="D396" s="25" t="s">
        <v>4997</v>
      </c>
    </row>
    <row r="397" spans="3:4">
      <c r="C397" t="s">
        <v>3534</v>
      </c>
      <c r="D397" s="25" t="s">
        <v>7423</v>
      </c>
    </row>
    <row r="398" spans="3:4">
      <c r="C398" t="s">
        <v>3534</v>
      </c>
      <c r="D398" s="25" t="s">
        <v>4998</v>
      </c>
    </row>
    <row r="399" spans="3:4">
      <c r="C399" t="s">
        <v>3534</v>
      </c>
      <c r="D399" s="25" t="s">
        <v>4999</v>
      </c>
    </row>
    <row r="400" spans="3:4">
      <c r="C400" t="s">
        <v>3534</v>
      </c>
      <c r="D400" s="25" t="s">
        <v>7424</v>
      </c>
    </row>
    <row r="401" spans="3:4">
      <c r="C401" t="s">
        <v>3534</v>
      </c>
      <c r="D401" s="25" t="s">
        <v>7425</v>
      </c>
    </row>
    <row r="402" spans="3:4">
      <c r="C402" t="s">
        <v>3534</v>
      </c>
      <c r="D402" s="25" t="s">
        <v>5000</v>
      </c>
    </row>
    <row r="403" spans="3:4">
      <c r="C403" t="s">
        <v>3534</v>
      </c>
      <c r="D403" s="25" t="s">
        <v>5002</v>
      </c>
    </row>
    <row r="404" spans="3:4">
      <c r="C404" t="s">
        <v>3534</v>
      </c>
      <c r="D404" s="25" t="s">
        <v>5003</v>
      </c>
    </row>
    <row r="405" spans="3:4">
      <c r="C405" t="s">
        <v>3534</v>
      </c>
      <c r="D405" s="25" t="s">
        <v>5004</v>
      </c>
    </row>
    <row r="406" spans="3:4">
      <c r="C406" t="s">
        <v>3534</v>
      </c>
      <c r="D406" s="25" t="s">
        <v>5005</v>
      </c>
    </row>
    <row r="407" spans="3:4">
      <c r="C407" t="s">
        <v>3534</v>
      </c>
      <c r="D407" s="25" t="s">
        <v>5006</v>
      </c>
    </row>
    <row r="408" spans="3:4">
      <c r="C408" t="s">
        <v>3534</v>
      </c>
      <c r="D408" s="25" t="s">
        <v>7426</v>
      </c>
    </row>
    <row r="409" spans="3:4">
      <c r="C409" t="s">
        <v>3534</v>
      </c>
      <c r="D409" s="25" t="s">
        <v>5164</v>
      </c>
    </row>
    <row r="410" spans="3:4">
      <c r="C410" t="s">
        <v>3534</v>
      </c>
      <c r="D410" s="25" t="s">
        <v>5165</v>
      </c>
    </row>
    <row r="411" spans="3:4">
      <c r="C411" t="s">
        <v>3534</v>
      </c>
      <c r="D411" s="25" t="s">
        <v>7427</v>
      </c>
    </row>
    <row r="412" spans="3:4">
      <c r="C412" t="s">
        <v>3534</v>
      </c>
      <c r="D412" s="25" t="s">
        <v>6050</v>
      </c>
    </row>
    <row r="413" spans="3:4">
      <c r="C413" t="s">
        <v>3534</v>
      </c>
      <c r="D413" s="25" t="s">
        <v>6051</v>
      </c>
    </row>
    <row r="416" spans="3:4">
      <c r="C416" t="s">
        <v>3539</v>
      </c>
      <c r="D416" s="25" t="s">
        <v>5202</v>
      </c>
    </row>
    <row r="417" spans="3:4">
      <c r="C417" t="s">
        <v>3539</v>
      </c>
      <c r="D417" s="25" t="s">
        <v>10120</v>
      </c>
    </row>
    <row r="418" spans="3:4">
      <c r="C418" t="s">
        <v>3539</v>
      </c>
      <c r="D418" s="25" t="s">
        <v>10121</v>
      </c>
    </row>
    <row r="419" spans="3:4">
      <c r="C419" t="s">
        <v>3539</v>
      </c>
      <c r="D419" s="25" t="s">
        <v>10122</v>
      </c>
    </row>
    <row r="420" spans="3:4">
      <c r="C420" t="s">
        <v>3539</v>
      </c>
      <c r="D420" s="25" t="s">
        <v>10123</v>
      </c>
    </row>
    <row r="421" spans="3:4">
      <c r="C421" t="s">
        <v>3539</v>
      </c>
      <c r="D421" s="25" t="s">
        <v>5211</v>
      </c>
    </row>
    <row r="422" spans="3:4">
      <c r="C422" t="s">
        <v>3539</v>
      </c>
      <c r="D422" s="25" t="s">
        <v>5212</v>
      </c>
    </row>
    <row r="423" spans="3:4">
      <c r="C423" t="s">
        <v>3539</v>
      </c>
      <c r="D423" s="25" t="s">
        <v>5213</v>
      </c>
    </row>
    <row r="424" spans="3:4">
      <c r="C424" t="s">
        <v>3539</v>
      </c>
      <c r="D424" s="25" t="s">
        <v>5214</v>
      </c>
    </row>
    <row r="425" spans="3:4">
      <c r="C425" t="s">
        <v>3539</v>
      </c>
      <c r="D425" s="25" t="s">
        <v>5215</v>
      </c>
    </row>
    <row r="426" spans="3:4">
      <c r="C426" t="s">
        <v>3539</v>
      </c>
      <c r="D426" s="25" t="s">
        <v>5216</v>
      </c>
    </row>
    <row r="427" spans="3:4">
      <c r="C427" t="s">
        <v>3539</v>
      </c>
      <c r="D427" s="25" t="s">
        <v>5217</v>
      </c>
    </row>
    <row r="428" spans="3:4">
      <c r="C428" t="s">
        <v>3539</v>
      </c>
      <c r="D428" s="25" t="s">
        <v>5218</v>
      </c>
    </row>
    <row r="429" spans="3:4">
      <c r="C429" t="s">
        <v>3539</v>
      </c>
      <c r="D429" s="25" t="s">
        <v>5219</v>
      </c>
    </row>
    <row r="430" spans="3:4">
      <c r="C430" t="s">
        <v>3539</v>
      </c>
      <c r="D430" s="25" t="s">
        <v>5203</v>
      </c>
    </row>
    <row r="431" spans="3:4">
      <c r="C431" t="s">
        <v>3539</v>
      </c>
      <c r="D431" s="25" t="s">
        <v>5204</v>
      </c>
    </row>
    <row r="432" spans="3:4">
      <c r="C432" t="s">
        <v>3539</v>
      </c>
      <c r="D432" s="25" t="s">
        <v>5205</v>
      </c>
    </row>
    <row r="433" spans="3:4">
      <c r="C433" t="s">
        <v>3539</v>
      </c>
      <c r="D433" s="25" t="s">
        <v>5206</v>
      </c>
    </row>
    <row r="434" spans="3:4">
      <c r="C434" t="s">
        <v>3539</v>
      </c>
      <c r="D434" s="25" t="s">
        <v>5207</v>
      </c>
    </row>
    <row r="435" spans="3:4">
      <c r="C435" t="s">
        <v>3539</v>
      </c>
      <c r="D435" s="25" t="s">
        <v>5208</v>
      </c>
    </row>
    <row r="436" spans="3:4">
      <c r="C436" t="s">
        <v>3539</v>
      </c>
      <c r="D436" s="25" t="s">
        <v>5209</v>
      </c>
    </row>
    <row r="437" spans="3:4">
      <c r="C437" t="s">
        <v>3539</v>
      </c>
      <c r="D437" s="25" t="s">
        <v>5210</v>
      </c>
    </row>
    <row r="440" spans="3:4">
      <c r="C440" t="s">
        <v>3532</v>
      </c>
      <c r="D440" s="25" t="s">
        <v>10126</v>
      </c>
    </row>
    <row r="441" spans="3:4">
      <c r="C441" t="s">
        <v>3532</v>
      </c>
      <c r="D441" s="25" t="s">
        <v>10131</v>
      </c>
    </row>
    <row r="442" spans="3:4">
      <c r="C442" t="s">
        <v>3532</v>
      </c>
      <c r="D442" s="25" t="s">
        <v>10132</v>
      </c>
    </row>
    <row r="443" spans="3:4">
      <c r="C443" t="s">
        <v>3532</v>
      </c>
      <c r="D443" s="25" t="s">
        <v>10133</v>
      </c>
    </row>
    <row r="444" spans="3:4">
      <c r="C444" t="s">
        <v>3532</v>
      </c>
      <c r="D444" s="25" t="s">
        <v>10134</v>
      </c>
    </row>
    <row r="445" spans="3:4">
      <c r="C445" t="s">
        <v>3532</v>
      </c>
      <c r="D445" t="s">
        <v>10135</v>
      </c>
    </row>
    <row r="446" spans="3:4">
      <c r="C446" t="s">
        <v>3532</v>
      </c>
      <c r="D446" t="s">
        <v>10136</v>
      </c>
    </row>
    <row r="447" spans="3:4">
      <c r="C447" t="s">
        <v>3532</v>
      </c>
      <c r="D447" t="s">
        <v>10137</v>
      </c>
    </row>
    <row r="448" spans="3:4">
      <c r="C448" t="s">
        <v>3532</v>
      </c>
      <c r="D448" t="s">
        <v>10138</v>
      </c>
    </row>
    <row r="449" spans="3:4">
      <c r="C449" t="s">
        <v>3532</v>
      </c>
      <c r="D449" t="s">
        <v>10139</v>
      </c>
    </row>
    <row r="450" spans="3:4">
      <c r="C450" t="s">
        <v>3532</v>
      </c>
      <c r="D450" s="25" t="s">
        <v>10140</v>
      </c>
    </row>
    <row r="451" spans="3:4">
      <c r="C451" t="s">
        <v>3532</v>
      </c>
      <c r="D451" s="25" t="s">
        <v>10141</v>
      </c>
    </row>
    <row r="452" spans="3:4">
      <c r="C452" t="s">
        <v>3532</v>
      </c>
      <c r="D452" s="25" t="s">
        <v>10142</v>
      </c>
    </row>
    <row r="453" spans="3:4">
      <c r="C453" t="s">
        <v>3532</v>
      </c>
      <c r="D453" s="25" t="s">
        <v>10143</v>
      </c>
    </row>
    <row r="454" spans="3:4">
      <c r="C454" t="s">
        <v>3532</v>
      </c>
      <c r="D454" s="25" t="s">
        <v>10144</v>
      </c>
    </row>
    <row r="455" spans="3:4">
      <c r="C455" t="s">
        <v>3532</v>
      </c>
      <c r="D455" t="s">
        <v>10145</v>
      </c>
    </row>
    <row r="456" spans="3:4">
      <c r="C456" t="s">
        <v>3532</v>
      </c>
      <c r="D456" t="s">
        <v>10146</v>
      </c>
    </row>
    <row r="457" spans="3:4">
      <c r="C457" t="s">
        <v>3532</v>
      </c>
      <c r="D457" t="s">
        <v>10147</v>
      </c>
    </row>
    <row r="458" spans="3:4">
      <c r="C458" t="s">
        <v>3532</v>
      </c>
      <c r="D458" t="s">
        <v>10148</v>
      </c>
    </row>
    <row r="459" spans="3:4">
      <c r="C459" t="s">
        <v>3532</v>
      </c>
      <c r="D459" t="s">
        <v>10149</v>
      </c>
    </row>
    <row r="460" spans="3:4">
      <c r="C460" t="s">
        <v>3532</v>
      </c>
      <c r="D460" t="s">
        <v>10150</v>
      </c>
    </row>
    <row r="461" spans="3:4">
      <c r="C461" t="s">
        <v>3532</v>
      </c>
      <c r="D461" t="s">
        <v>10151</v>
      </c>
    </row>
    <row r="462" spans="3:4">
      <c r="C462" t="s">
        <v>3532</v>
      </c>
      <c r="D462" t="s">
        <v>10152</v>
      </c>
    </row>
    <row r="463" spans="3:4">
      <c r="C463" t="s">
        <v>3532</v>
      </c>
      <c r="D463" t="s">
        <v>10153</v>
      </c>
    </row>
    <row r="464" spans="3:4">
      <c r="C464" t="s">
        <v>3532</v>
      </c>
      <c r="D464" t="s">
        <v>10154</v>
      </c>
    </row>
    <row r="465" spans="3:4">
      <c r="C465" t="s">
        <v>3532</v>
      </c>
      <c r="D465" t="s">
        <v>10155</v>
      </c>
    </row>
    <row r="466" spans="3:4">
      <c r="C466" t="s">
        <v>3532</v>
      </c>
      <c r="D466" t="s">
        <v>4902</v>
      </c>
    </row>
    <row r="467" spans="3:4">
      <c r="C467" t="s">
        <v>3532</v>
      </c>
      <c r="D467" t="s">
        <v>4907</v>
      </c>
    </row>
    <row r="468" spans="3:4">
      <c r="C468" t="s">
        <v>3532</v>
      </c>
      <c r="D468" t="s">
        <v>4919</v>
      </c>
    </row>
    <row r="469" spans="3:4">
      <c r="C469" t="s">
        <v>3532</v>
      </c>
      <c r="D469" t="s">
        <v>4936</v>
      </c>
    </row>
    <row r="470" spans="3:4">
      <c r="C470" t="s">
        <v>3532</v>
      </c>
      <c r="D470" t="s">
        <v>4950</v>
      </c>
    </row>
    <row r="471" spans="3:4">
      <c r="C471" t="s">
        <v>3532</v>
      </c>
      <c r="D471" t="s">
        <v>4960</v>
      </c>
    </row>
    <row r="472" spans="3:4">
      <c r="C472" t="s">
        <v>3532</v>
      </c>
      <c r="D472" t="s">
        <v>4961</v>
      </c>
    </row>
    <row r="473" spans="3:4">
      <c r="C473" t="s">
        <v>3532</v>
      </c>
      <c r="D473" t="s">
        <v>4962</v>
      </c>
    </row>
    <row r="474" spans="3:4">
      <c r="C474" t="s">
        <v>3532</v>
      </c>
      <c r="D474" t="s">
        <v>4963</v>
      </c>
    </row>
    <row r="475" spans="3:4">
      <c r="C475" t="s">
        <v>3532</v>
      </c>
      <c r="D475" t="s">
        <v>4964</v>
      </c>
    </row>
    <row r="476" spans="3:4">
      <c r="C476" t="s">
        <v>3532</v>
      </c>
      <c r="D476" t="s">
        <v>4965</v>
      </c>
    </row>
    <row r="477" spans="3:4">
      <c r="C477" t="s">
        <v>3532</v>
      </c>
      <c r="D477" t="s">
        <v>4966</v>
      </c>
    </row>
    <row r="478" spans="3:4">
      <c r="C478" t="s">
        <v>3532</v>
      </c>
      <c r="D478" t="s">
        <v>4967</v>
      </c>
    </row>
    <row r="479" spans="3:4">
      <c r="C479" t="s">
        <v>3532</v>
      </c>
      <c r="D479" t="s">
        <v>4968</v>
      </c>
    </row>
    <row r="480" spans="3:4">
      <c r="C480" t="s">
        <v>3532</v>
      </c>
      <c r="D480" t="s">
        <v>4969</v>
      </c>
    </row>
    <row r="481" spans="3:4">
      <c r="C481" t="s">
        <v>3532</v>
      </c>
      <c r="D481" t="s">
        <v>4970</v>
      </c>
    </row>
    <row r="482" spans="3:4">
      <c r="C482" t="s">
        <v>3532</v>
      </c>
      <c r="D482" t="s">
        <v>4971</v>
      </c>
    </row>
    <row r="483" spans="3:4">
      <c r="C483" t="s">
        <v>3532</v>
      </c>
      <c r="D483" s="25" t="s">
        <v>10156</v>
      </c>
    </row>
    <row r="484" spans="3:4">
      <c r="C484" t="s">
        <v>3532</v>
      </c>
      <c r="D484" s="25" t="s">
        <v>10157</v>
      </c>
    </row>
    <row r="485" spans="3:4">
      <c r="C485" t="s">
        <v>3532</v>
      </c>
      <c r="D485" s="25" t="s">
        <v>10158</v>
      </c>
    </row>
    <row r="486" spans="3:4">
      <c r="C486" t="s">
        <v>3532</v>
      </c>
      <c r="D486" s="25" t="s">
        <v>10159</v>
      </c>
    </row>
    <row r="487" spans="3:4">
      <c r="C487" t="s">
        <v>3532</v>
      </c>
      <c r="D487" s="25" t="s">
        <v>10160</v>
      </c>
    </row>
    <row r="488" spans="3:4">
      <c r="C488" t="s">
        <v>3532</v>
      </c>
      <c r="D488" s="25" t="s">
        <v>5166</v>
      </c>
    </row>
    <row r="489" spans="3:4">
      <c r="C489" t="s">
        <v>3532</v>
      </c>
      <c r="D489" s="25" t="s">
        <v>5167</v>
      </c>
    </row>
    <row r="490" spans="3:4">
      <c r="C490" t="s">
        <v>3532</v>
      </c>
      <c r="D490" s="25" t="s">
        <v>5168</v>
      </c>
    </row>
    <row r="491" spans="3:4">
      <c r="C491" t="s">
        <v>3532</v>
      </c>
      <c r="D491" s="25" t="s">
        <v>5169</v>
      </c>
    </row>
    <row r="492" spans="3:4">
      <c r="C492" t="s">
        <v>3532</v>
      </c>
      <c r="D492" s="25" t="s">
        <v>5170</v>
      </c>
    </row>
    <row r="493" spans="3:4">
      <c r="C493" t="s">
        <v>3532</v>
      </c>
      <c r="D493" t="s">
        <v>5171</v>
      </c>
    </row>
    <row r="494" spans="3:4">
      <c r="C494" t="s">
        <v>3532</v>
      </c>
      <c r="D494" t="s">
        <v>5172</v>
      </c>
    </row>
    <row r="495" spans="3:4">
      <c r="C495" t="s">
        <v>3532</v>
      </c>
      <c r="D495" t="s">
        <v>5173</v>
      </c>
    </row>
    <row r="496" spans="3:4">
      <c r="C496" t="s">
        <v>3532</v>
      </c>
      <c r="D496" t="s">
        <v>5174</v>
      </c>
    </row>
    <row r="497" spans="3:4">
      <c r="C497" t="s">
        <v>3532</v>
      </c>
      <c r="D497" t="s">
        <v>5175</v>
      </c>
    </row>
    <row r="498" spans="3:4">
      <c r="C498" t="s">
        <v>3532</v>
      </c>
      <c r="D498" t="s">
        <v>5176</v>
      </c>
    </row>
    <row r="499" spans="3:4">
      <c r="C499" t="s">
        <v>3532</v>
      </c>
      <c r="D499" t="s">
        <v>5177</v>
      </c>
    </row>
    <row r="500" spans="3:4">
      <c r="C500" t="s">
        <v>3532</v>
      </c>
      <c r="D500" t="s">
        <v>5178</v>
      </c>
    </row>
    <row r="501" spans="3:4">
      <c r="C501" t="s">
        <v>3532</v>
      </c>
      <c r="D501" t="s">
        <v>5179</v>
      </c>
    </row>
    <row r="502" spans="3:4">
      <c r="C502" t="s">
        <v>3532</v>
      </c>
      <c r="D502" t="s">
        <v>5180</v>
      </c>
    </row>
    <row r="503" spans="3:4">
      <c r="C503" t="s">
        <v>3532</v>
      </c>
      <c r="D503" t="s">
        <v>5181</v>
      </c>
    </row>
    <row r="504" spans="3:4">
      <c r="C504" t="s">
        <v>3532</v>
      </c>
      <c r="D504" t="s">
        <v>5182</v>
      </c>
    </row>
    <row r="505" spans="3:4">
      <c r="C505" t="s">
        <v>3532</v>
      </c>
      <c r="D505" t="s">
        <v>5183</v>
      </c>
    </row>
    <row r="506" spans="3:4">
      <c r="C506" t="s">
        <v>3532</v>
      </c>
      <c r="D506" t="s">
        <v>5184</v>
      </c>
    </row>
    <row r="507" spans="3:4">
      <c r="C507" t="s">
        <v>3532</v>
      </c>
      <c r="D507" t="s">
        <v>5185</v>
      </c>
    </row>
    <row r="508" spans="3:4">
      <c r="C508" t="s">
        <v>3532</v>
      </c>
      <c r="D508" t="s">
        <v>5186</v>
      </c>
    </row>
    <row r="509" spans="3:4">
      <c r="C509" t="s">
        <v>3532</v>
      </c>
      <c r="D509" t="s">
        <v>5187</v>
      </c>
    </row>
    <row r="510" spans="3:4">
      <c r="C510" t="s">
        <v>3532</v>
      </c>
      <c r="D510" t="s">
        <v>5188</v>
      </c>
    </row>
    <row r="511" spans="3:4">
      <c r="C511" t="s">
        <v>3532</v>
      </c>
      <c r="D511" t="s">
        <v>5189</v>
      </c>
    </row>
    <row r="512" spans="3:4">
      <c r="C512" t="s">
        <v>3532</v>
      </c>
      <c r="D512" t="s">
        <v>5190</v>
      </c>
    </row>
    <row r="513" spans="3:4">
      <c r="C513" t="s">
        <v>3532</v>
      </c>
      <c r="D513" t="s">
        <v>5191</v>
      </c>
    </row>
    <row r="514" spans="3:4">
      <c r="C514" t="s">
        <v>3532</v>
      </c>
      <c r="D514" t="s">
        <v>5192</v>
      </c>
    </row>
    <row r="515" spans="3:4">
      <c r="C515" t="s">
        <v>3532</v>
      </c>
      <c r="D515" t="s">
        <v>5193</v>
      </c>
    </row>
    <row r="516" spans="3:4">
      <c r="C516" t="s">
        <v>3532</v>
      </c>
      <c r="D516" t="s">
        <v>5194</v>
      </c>
    </row>
    <row r="517" spans="3:4">
      <c r="C517" t="s">
        <v>3532</v>
      </c>
      <c r="D517" t="s">
        <v>5195</v>
      </c>
    </row>
    <row r="518" spans="3:4">
      <c r="C518" t="s">
        <v>3532</v>
      </c>
      <c r="D518" t="s">
        <v>5196</v>
      </c>
    </row>
    <row r="519" spans="3:4">
      <c r="C519" t="s">
        <v>3532</v>
      </c>
      <c r="D519" t="s">
        <v>5197</v>
      </c>
    </row>
    <row r="520" spans="3:4">
      <c r="C520" t="s">
        <v>3532</v>
      </c>
      <c r="D520" t="s">
        <v>5198</v>
      </c>
    </row>
    <row r="521" spans="3:4">
      <c r="C521" t="s">
        <v>3532</v>
      </c>
      <c r="D521" t="s">
        <v>5199</v>
      </c>
    </row>
    <row r="522" spans="3:4">
      <c r="C522" t="s">
        <v>3532</v>
      </c>
      <c r="D522" t="s">
        <v>5200</v>
      </c>
    </row>
    <row r="523" spans="3:4">
      <c r="C523" t="s">
        <v>3532</v>
      </c>
      <c r="D523" t="s">
        <v>5201</v>
      </c>
    </row>
    <row r="524" spans="3:4">
      <c r="C524" t="s">
        <v>3532</v>
      </c>
      <c r="D524" s="25" t="s">
        <v>10161</v>
      </c>
    </row>
    <row r="525" spans="3:4">
      <c r="C525" t="s">
        <v>3532</v>
      </c>
      <c r="D525" s="25" t="s">
        <v>5625</v>
      </c>
    </row>
    <row r="526" spans="3:4">
      <c r="C526" t="s">
        <v>3532</v>
      </c>
      <c r="D526" s="25" t="s">
        <v>5626</v>
      </c>
    </row>
    <row r="527" spans="3:4">
      <c r="C527" t="s">
        <v>3532</v>
      </c>
      <c r="D527" s="25" t="s">
        <v>5631</v>
      </c>
    </row>
    <row r="528" spans="3:4">
      <c r="C528" t="s">
        <v>3532</v>
      </c>
      <c r="D528" s="25" t="s">
        <v>5632</v>
      </c>
    </row>
    <row r="529" spans="3:4">
      <c r="C529" t="s">
        <v>3532</v>
      </c>
      <c r="D529" t="s">
        <v>5633</v>
      </c>
    </row>
    <row r="530" spans="3:4">
      <c r="C530" t="s">
        <v>3532</v>
      </c>
      <c r="D530" t="s">
        <v>5639</v>
      </c>
    </row>
    <row r="531" spans="3:4">
      <c r="C531" t="s">
        <v>3532</v>
      </c>
      <c r="D531" t="s">
        <v>5640</v>
      </c>
    </row>
    <row r="532" spans="3:4">
      <c r="C532" t="s">
        <v>3532</v>
      </c>
      <c r="D532" t="s">
        <v>5641</v>
      </c>
    </row>
    <row r="533" spans="3:4">
      <c r="C533" t="s">
        <v>3532</v>
      </c>
      <c r="D533" t="s">
        <v>5647</v>
      </c>
    </row>
    <row r="534" spans="3:4">
      <c r="C534" t="s">
        <v>3532</v>
      </c>
      <c r="D534" t="s">
        <v>5648</v>
      </c>
    </row>
    <row r="535" spans="3:4">
      <c r="C535" t="s">
        <v>3532</v>
      </c>
      <c r="D535" t="s">
        <v>5649</v>
      </c>
    </row>
    <row r="536" spans="3:4">
      <c r="C536" t="s">
        <v>3532</v>
      </c>
      <c r="D536" t="s">
        <v>5655</v>
      </c>
    </row>
    <row r="537" spans="3:4">
      <c r="C537" t="s">
        <v>3532</v>
      </c>
      <c r="D537" t="s">
        <v>5656</v>
      </c>
    </row>
    <row r="538" spans="3:4">
      <c r="C538" t="s">
        <v>3532</v>
      </c>
      <c r="D538" t="s">
        <v>5657</v>
      </c>
    </row>
    <row r="539" spans="3:4">
      <c r="C539" t="s">
        <v>3532</v>
      </c>
      <c r="D539" t="s">
        <v>5663</v>
      </c>
    </row>
    <row r="540" spans="3:4">
      <c r="C540" t="s">
        <v>3532</v>
      </c>
      <c r="D540" t="s">
        <v>5664</v>
      </c>
    </row>
    <row r="541" spans="3:4">
      <c r="C541" t="s">
        <v>3532</v>
      </c>
      <c r="D541" t="s">
        <v>5665</v>
      </c>
    </row>
    <row r="542" spans="3:4">
      <c r="C542" t="s">
        <v>3532</v>
      </c>
      <c r="D542" t="s">
        <v>5671</v>
      </c>
    </row>
    <row r="543" spans="3:4">
      <c r="C543" t="s">
        <v>3532</v>
      </c>
      <c r="D543" t="s">
        <v>5672</v>
      </c>
    </row>
    <row r="545" spans="3:8">
      <c r="C545" s="65" t="s">
        <v>3561</v>
      </c>
      <c r="D545" s="51" t="s">
        <v>4713</v>
      </c>
    </row>
    <row r="546" spans="3:8">
      <c r="C546" s="65" t="s">
        <v>3561</v>
      </c>
      <c r="D546" t="s">
        <v>4459</v>
      </c>
    </row>
    <row r="547" spans="3:8">
      <c r="C547" s="65" t="s">
        <v>3561</v>
      </c>
      <c r="D547" t="s">
        <v>10167</v>
      </c>
    </row>
    <row r="548" spans="3:8">
      <c r="C548" s="65" t="s">
        <v>3561</v>
      </c>
      <c r="D548" t="s">
        <v>6013</v>
      </c>
    </row>
    <row r="549" spans="3:8">
      <c r="C549" s="65" t="s">
        <v>3561</v>
      </c>
      <c r="D549" t="s">
        <v>6014</v>
      </c>
    </row>
    <row r="550" spans="3:8">
      <c r="C550" s="65" t="s">
        <v>3561</v>
      </c>
      <c r="D550" t="s">
        <v>6015</v>
      </c>
    </row>
    <row r="551" spans="3:8">
      <c r="C551" s="65" t="s">
        <v>3561</v>
      </c>
      <c r="D551" t="s">
        <v>6016</v>
      </c>
    </row>
    <row r="552" spans="3:8">
      <c r="C552" s="65" t="s">
        <v>3561</v>
      </c>
      <c r="D552" t="s">
        <v>6017</v>
      </c>
      <c r="H552" t="s">
        <v>3540</v>
      </c>
    </row>
    <row r="553" spans="3:8">
      <c r="C553" s="65" t="s">
        <v>3561</v>
      </c>
      <c r="D553" t="s">
        <v>6018</v>
      </c>
      <c r="H553" t="s">
        <v>3541</v>
      </c>
    </row>
    <row r="554" spans="3:8">
      <c r="C554" s="65" t="s">
        <v>3561</v>
      </c>
      <c r="D554" t="s">
        <v>6019</v>
      </c>
    </row>
    <row r="555" spans="3:8">
      <c r="C555" s="65" t="s">
        <v>3561</v>
      </c>
      <c r="D555" t="s">
        <v>6020</v>
      </c>
    </row>
    <row r="556" spans="3:8">
      <c r="C556" s="65" t="s">
        <v>3561</v>
      </c>
      <c r="D556" t="s">
        <v>6021</v>
      </c>
    </row>
    <row r="557" spans="3:8">
      <c r="C557" s="65" t="s">
        <v>3561</v>
      </c>
      <c r="D557" t="s">
        <v>10168</v>
      </c>
    </row>
    <row r="558" spans="3:8">
      <c r="C558" s="65" t="s">
        <v>3561</v>
      </c>
      <c r="D558" t="s">
        <v>6027</v>
      </c>
      <c r="H558" t="s">
        <v>3535</v>
      </c>
    </row>
    <row r="559" spans="3:8">
      <c r="C559" s="65" t="s">
        <v>3561</v>
      </c>
      <c r="D559" t="s">
        <v>6028</v>
      </c>
      <c r="H559" t="s">
        <v>3536</v>
      </c>
    </row>
    <row r="560" spans="3:8">
      <c r="C560" s="65" t="s">
        <v>3561</v>
      </c>
      <c r="D560" t="s">
        <v>6029</v>
      </c>
    </row>
    <row r="561" spans="3:8">
      <c r="C561" s="65" t="s">
        <v>3561</v>
      </c>
      <c r="D561" t="s">
        <v>6030</v>
      </c>
      <c r="H561" t="s">
        <v>3551</v>
      </c>
    </row>
    <row r="562" spans="3:8">
      <c r="C562" s="65" t="s">
        <v>3561</v>
      </c>
      <c r="D562" t="s">
        <v>6031</v>
      </c>
      <c r="H562" t="s">
        <v>3552</v>
      </c>
    </row>
    <row r="563" spans="3:8">
      <c r="C563" s="65" t="s">
        <v>3561</v>
      </c>
      <c r="D563" t="s">
        <v>6032</v>
      </c>
    </row>
    <row r="564" spans="3:8">
      <c r="C564" s="65" t="s">
        <v>3561</v>
      </c>
      <c r="D564" t="s">
        <v>10169</v>
      </c>
      <c r="H564" t="s">
        <v>3545</v>
      </c>
    </row>
    <row r="565" spans="3:8">
      <c r="C565" s="65" t="s">
        <v>3561</v>
      </c>
      <c r="D565" t="s">
        <v>10170</v>
      </c>
      <c r="H565" t="s">
        <v>3546</v>
      </c>
    </row>
    <row r="567" spans="3:8">
      <c r="C567" t="s">
        <v>3542</v>
      </c>
      <c r="D567" t="s">
        <v>10171</v>
      </c>
      <c r="H567" t="s">
        <v>3547</v>
      </c>
    </row>
    <row r="568" spans="3:8">
      <c r="C568" t="s">
        <v>3542</v>
      </c>
      <c r="D568" t="s">
        <v>10172</v>
      </c>
      <c r="H568" t="s">
        <v>3548</v>
      </c>
    </row>
    <row r="569" spans="3:8">
      <c r="C569" t="s">
        <v>3542</v>
      </c>
      <c r="D569" t="s">
        <v>5159</v>
      </c>
    </row>
    <row r="570" spans="3:8">
      <c r="C570" t="s">
        <v>3542</v>
      </c>
      <c r="D570" s="25" t="s">
        <v>5163</v>
      </c>
      <c r="H570" t="s">
        <v>3554</v>
      </c>
    </row>
    <row r="571" spans="3:8">
      <c r="C571" t="s">
        <v>3542</v>
      </c>
      <c r="D571" s="25" t="s">
        <v>5673</v>
      </c>
      <c r="H571" t="s">
        <v>3555</v>
      </c>
    </row>
    <row r="572" spans="3:8">
      <c r="C572" t="s">
        <v>3542</v>
      </c>
      <c r="D572" s="25" t="s">
        <v>5674</v>
      </c>
    </row>
    <row r="573" spans="3:8">
      <c r="C573" t="s">
        <v>3542</v>
      </c>
      <c r="D573" s="25" t="s">
        <v>5675</v>
      </c>
      <c r="H573" t="s">
        <v>3556</v>
      </c>
    </row>
    <row r="574" spans="3:8">
      <c r="C574" t="s">
        <v>3542</v>
      </c>
      <c r="D574" s="25" t="s">
        <v>5676</v>
      </c>
      <c r="H574" t="s">
        <v>3557</v>
      </c>
    </row>
    <row r="575" spans="3:8">
      <c r="C575" t="s">
        <v>3542</v>
      </c>
      <c r="D575" s="25" t="s">
        <v>5756</v>
      </c>
    </row>
    <row r="576" spans="3:8">
      <c r="C576" t="s">
        <v>3542</v>
      </c>
      <c r="D576" s="25" t="s">
        <v>5769</v>
      </c>
      <c r="H576" t="s">
        <v>3558</v>
      </c>
    </row>
    <row r="577" spans="3:8">
      <c r="C577" t="s">
        <v>3542</v>
      </c>
      <c r="D577" s="25" t="s">
        <v>5994</v>
      </c>
      <c r="H577" t="s">
        <v>3559</v>
      </c>
    </row>
    <row r="578" spans="3:8">
      <c r="C578" t="s">
        <v>3542</v>
      </c>
      <c r="D578" s="25" t="s">
        <v>5995</v>
      </c>
    </row>
    <row r="579" spans="3:8">
      <c r="C579" t="s">
        <v>3542</v>
      </c>
      <c r="D579" s="25" t="s">
        <v>5996</v>
      </c>
    </row>
    <row r="580" spans="3:8">
      <c r="C580" t="s">
        <v>3542</v>
      </c>
      <c r="D580" s="25" t="s">
        <v>5997</v>
      </c>
      <c r="H580" t="s">
        <v>3524</v>
      </c>
    </row>
    <row r="581" spans="3:8">
      <c r="C581" t="s">
        <v>3542</v>
      </c>
      <c r="D581" s="25" t="s">
        <v>9748</v>
      </c>
      <c r="H581" t="s">
        <v>3525</v>
      </c>
    </row>
    <row r="582" spans="3:8">
      <c r="C582" t="s">
        <v>3542</v>
      </c>
      <c r="D582" s="25" t="s">
        <v>10173</v>
      </c>
    </row>
    <row r="583" spans="3:8">
      <c r="C583" t="s">
        <v>3542</v>
      </c>
      <c r="D583" s="25" t="s">
        <v>6053</v>
      </c>
    </row>
    <row r="584" spans="3:8">
      <c r="C584" t="s">
        <v>3542</v>
      </c>
      <c r="D584" s="25" t="s">
        <v>6054</v>
      </c>
    </row>
    <row r="585" spans="3:8">
      <c r="C585" t="s">
        <v>3542</v>
      </c>
      <c r="D585" s="25" t="s">
        <v>6055</v>
      </c>
    </row>
    <row r="589" spans="3:8">
      <c r="H589" t="s">
        <v>3528</v>
      </c>
    </row>
    <row r="590" spans="3:8">
      <c r="H590" t="s">
        <v>3529</v>
      </c>
    </row>
  </sheetData>
  <hyperlinks>
    <hyperlink ref="H571" r:id="rId1" display="https://bootstrapshuffle.com/classes/scrollspy/data-spy" xr:uid="{FF5B8ABE-9520-9148-B194-CD3885584431}"/>
    <hyperlink ref="D109" r:id="rId2" display="https://bootstrapshuffle.com/classes/toasts/toast" xr:uid="{8A3292BB-819A-814B-B4F3-8CA70398F621}"/>
    <hyperlink ref="D151" r:id="rId3" display="https://bootstrapshuffle.com/classes/tooltips/tooltip" xr:uid="{FD78280B-F5B2-1B4F-975D-DB0ACB4F69EE}"/>
  </hyperlinks>
  <pageMargins left="0.7" right="0.7" top="0.75" bottom="0.75" header="0.3" footer="0.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4C6E-3777-C24A-94E6-C1839F156604}">
  <dimension ref="A1:A1756"/>
  <sheetViews>
    <sheetView topLeftCell="A390" workbookViewId="0">
      <selection activeCell="G402" sqref="G402"/>
    </sheetView>
  </sheetViews>
  <sheetFormatPr baseColWidth="10" defaultRowHeight="16"/>
  <sheetData>
    <row r="1" spans="1:1" ht="17">
      <c r="A1" s="30" t="s">
        <v>4569</v>
      </c>
    </row>
    <row r="2" spans="1:1" ht="17">
      <c r="A2" s="30" t="s">
        <v>3479</v>
      </c>
    </row>
    <row r="3" spans="1:1" ht="17">
      <c r="A3" s="30" t="s">
        <v>3480</v>
      </c>
    </row>
    <row r="4" spans="1:1" ht="17">
      <c r="A4" s="30" t="s">
        <v>3481</v>
      </c>
    </row>
    <row r="5" spans="1:1" ht="17">
      <c r="A5" s="30" t="s">
        <v>3482</v>
      </c>
    </row>
    <row r="6" spans="1:1" ht="17">
      <c r="A6" s="30" t="s">
        <v>3483</v>
      </c>
    </row>
    <row r="7" spans="1:1" ht="17">
      <c r="A7" s="30" t="s">
        <v>3484</v>
      </c>
    </row>
    <row r="8" spans="1:1" ht="17">
      <c r="A8" s="30" t="s">
        <v>4570</v>
      </c>
    </row>
    <row r="9" spans="1:1" ht="17">
      <c r="A9" s="30" t="s">
        <v>4571</v>
      </c>
    </row>
    <row r="10" spans="1:1" ht="17">
      <c r="A10" s="30" t="s">
        <v>3488</v>
      </c>
    </row>
    <row r="11" spans="1:1" ht="17">
      <c r="A11" s="30" t="s">
        <v>3489</v>
      </c>
    </row>
    <row r="12" spans="1:1" ht="17">
      <c r="A12" s="30" t="s">
        <v>3490</v>
      </c>
    </row>
    <row r="13" spans="1:1" ht="17">
      <c r="A13" s="30" t="s">
        <v>3491</v>
      </c>
    </row>
    <row r="14" spans="1:1" ht="17">
      <c r="A14" s="30" t="s">
        <v>3492</v>
      </c>
    </row>
    <row r="15" spans="1:1" ht="17">
      <c r="A15" s="30" t="s">
        <v>3493</v>
      </c>
    </row>
    <row r="16" spans="1:1" ht="17">
      <c r="A16" s="30" t="s">
        <v>3494</v>
      </c>
    </row>
    <row r="17" spans="1:1" ht="17">
      <c r="A17" s="30" t="s">
        <v>3495</v>
      </c>
    </row>
    <row r="18" spans="1:1" ht="17">
      <c r="A18" s="30" t="s">
        <v>3496</v>
      </c>
    </row>
    <row r="19" spans="1:1" ht="17">
      <c r="A19" s="30" t="s">
        <v>3497</v>
      </c>
    </row>
    <row r="20" spans="1:1" ht="17">
      <c r="A20" s="30" t="s">
        <v>3498</v>
      </c>
    </row>
    <row r="21" spans="1:1" ht="17">
      <c r="A21" s="30" t="s">
        <v>4572</v>
      </c>
    </row>
    <row r="22" spans="1:1" ht="17">
      <c r="A22" s="30" t="s">
        <v>4573</v>
      </c>
    </row>
    <row r="23" spans="1:1" ht="17">
      <c r="A23" s="30" t="s">
        <v>4574</v>
      </c>
    </row>
    <row r="24" spans="1:1" ht="17">
      <c r="A24" s="30" t="s">
        <v>4575</v>
      </c>
    </row>
    <row r="25" spans="1:1" ht="17">
      <c r="A25" s="30" t="s">
        <v>4576</v>
      </c>
    </row>
    <row r="26" spans="1:1" ht="17">
      <c r="A26" s="30" t="s">
        <v>4577</v>
      </c>
    </row>
    <row r="27" spans="1:1" ht="17">
      <c r="A27" s="30" t="s">
        <v>4578</v>
      </c>
    </row>
    <row r="28" spans="1:1" ht="17">
      <c r="A28" s="30" t="s">
        <v>4579</v>
      </c>
    </row>
    <row r="29" spans="1:1" ht="17">
      <c r="A29" s="30" t="s">
        <v>4580</v>
      </c>
    </row>
    <row r="30" spans="1:1" ht="17">
      <c r="A30" s="30" t="s">
        <v>4581</v>
      </c>
    </row>
    <row r="31" spans="1:1" ht="17">
      <c r="A31" s="30" t="s">
        <v>4582</v>
      </c>
    </row>
    <row r="32" spans="1:1" ht="17">
      <c r="A32" s="30" t="s">
        <v>4583</v>
      </c>
    </row>
    <row r="33" spans="1:1" ht="17">
      <c r="A33" s="30" t="s">
        <v>4584</v>
      </c>
    </row>
    <row r="34" spans="1:1" ht="17">
      <c r="A34" s="30" t="s">
        <v>4585</v>
      </c>
    </row>
    <row r="35" spans="1:1" ht="17">
      <c r="A35" s="30" t="s">
        <v>4586</v>
      </c>
    </row>
    <row r="36" spans="1:1" ht="17">
      <c r="A36" s="30" t="s">
        <v>4587</v>
      </c>
    </row>
    <row r="37" spans="1:1" ht="17">
      <c r="A37" s="30" t="s">
        <v>4588</v>
      </c>
    </row>
    <row r="38" spans="1:1" ht="17">
      <c r="A38" s="30" t="s">
        <v>4589</v>
      </c>
    </row>
    <row r="39" spans="1:1" ht="17">
      <c r="A39" s="30" t="s">
        <v>4590</v>
      </c>
    </row>
    <row r="40" spans="1:1" ht="17">
      <c r="A40" s="30" t="s">
        <v>4591</v>
      </c>
    </row>
    <row r="41" spans="1:1" ht="17">
      <c r="A41" s="30" t="s">
        <v>4592</v>
      </c>
    </row>
    <row r="42" spans="1:1" ht="17">
      <c r="A42" s="30" t="s">
        <v>4593</v>
      </c>
    </row>
    <row r="43" spans="1:1" ht="17">
      <c r="A43" s="30" t="s">
        <v>4594</v>
      </c>
    </row>
    <row r="44" spans="1:1" ht="17">
      <c r="A44" s="30" t="s">
        <v>4595</v>
      </c>
    </row>
    <row r="45" spans="1:1" ht="17">
      <c r="A45" s="30" t="s">
        <v>4596</v>
      </c>
    </row>
    <row r="46" spans="1:1" ht="17">
      <c r="A46" s="30" t="s">
        <v>4597</v>
      </c>
    </row>
    <row r="47" spans="1:1" ht="17">
      <c r="A47" s="30" t="s">
        <v>4598</v>
      </c>
    </row>
    <row r="48" spans="1:1" ht="17">
      <c r="A48" s="30" t="s">
        <v>4599</v>
      </c>
    </row>
    <row r="49" spans="1:1" ht="17">
      <c r="A49" s="30" t="s">
        <v>4600</v>
      </c>
    </row>
    <row r="50" spans="1:1" ht="17">
      <c r="A50" s="30" t="s">
        <v>4601</v>
      </c>
    </row>
    <row r="51" spans="1:1" ht="17">
      <c r="A51" s="30" t="s">
        <v>4602</v>
      </c>
    </row>
    <row r="52" spans="1:1" ht="17">
      <c r="A52" s="30" t="s">
        <v>4603</v>
      </c>
    </row>
    <row r="53" spans="1:1" ht="17">
      <c r="A53" s="30" t="s">
        <v>4604</v>
      </c>
    </row>
    <row r="54" spans="1:1" ht="17">
      <c r="A54" s="30" t="s">
        <v>4605</v>
      </c>
    </row>
    <row r="55" spans="1:1" ht="17">
      <c r="A55" s="30" t="s">
        <v>4606</v>
      </c>
    </row>
    <row r="56" spans="1:1" ht="17">
      <c r="A56" s="30" t="s">
        <v>4607</v>
      </c>
    </row>
    <row r="57" spans="1:1" ht="17">
      <c r="A57" s="30" t="s">
        <v>4608</v>
      </c>
    </row>
    <row r="58" spans="1:1" ht="17">
      <c r="A58" s="30" t="s">
        <v>4609</v>
      </c>
    </row>
    <row r="59" spans="1:1" ht="17">
      <c r="A59" s="30" t="s">
        <v>4610</v>
      </c>
    </row>
    <row r="60" spans="1:1" ht="17">
      <c r="A60" s="30" t="s">
        <v>4611</v>
      </c>
    </row>
    <row r="61" spans="1:1" ht="17">
      <c r="A61" s="30" t="s">
        <v>4612</v>
      </c>
    </row>
    <row r="62" spans="1:1" ht="17">
      <c r="A62" s="30" t="s">
        <v>4613</v>
      </c>
    </row>
    <row r="63" spans="1:1" ht="17">
      <c r="A63" s="30" t="s">
        <v>4614</v>
      </c>
    </row>
    <row r="64" spans="1:1" ht="17">
      <c r="A64" s="30" t="s">
        <v>4615</v>
      </c>
    </row>
    <row r="65" spans="1:1" ht="17">
      <c r="A65" s="30" t="s">
        <v>4616</v>
      </c>
    </row>
    <row r="66" spans="1:1" ht="17">
      <c r="A66" s="30" t="s">
        <v>4617</v>
      </c>
    </row>
    <row r="67" spans="1:1" ht="17">
      <c r="A67" s="30" t="s">
        <v>4618</v>
      </c>
    </row>
    <row r="68" spans="1:1" ht="17">
      <c r="A68" s="30" t="s">
        <v>4619</v>
      </c>
    </row>
    <row r="69" spans="1:1" ht="17">
      <c r="A69" s="30" t="s">
        <v>4620</v>
      </c>
    </row>
    <row r="70" spans="1:1" ht="17">
      <c r="A70" s="30" t="s">
        <v>4621</v>
      </c>
    </row>
    <row r="71" spans="1:1" ht="17">
      <c r="A71" s="30" t="s">
        <v>4622</v>
      </c>
    </row>
    <row r="72" spans="1:1" ht="17">
      <c r="A72" s="30" t="s">
        <v>4623</v>
      </c>
    </row>
    <row r="73" spans="1:1" ht="17">
      <c r="A73" s="30" t="s">
        <v>4624</v>
      </c>
    </row>
    <row r="74" spans="1:1" ht="17">
      <c r="A74" s="30" t="s">
        <v>4625</v>
      </c>
    </row>
    <row r="75" spans="1:1" ht="17">
      <c r="A75" s="30" t="s">
        <v>4626</v>
      </c>
    </row>
    <row r="76" spans="1:1" ht="17">
      <c r="A76" s="30" t="s">
        <v>4627</v>
      </c>
    </row>
    <row r="77" spans="1:1" ht="17">
      <c r="A77" s="30" t="s">
        <v>4628</v>
      </c>
    </row>
    <row r="78" spans="1:1" ht="17">
      <c r="A78" s="30" t="s">
        <v>4629</v>
      </c>
    </row>
    <row r="79" spans="1:1" ht="17">
      <c r="A79" s="30" t="s">
        <v>4630</v>
      </c>
    </row>
    <row r="80" spans="1:1" ht="17">
      <c r="A80" s="30" t="s">
        <v>4631</v>
      </c>
    </row>
    <row r="81" spans="1:1" ht="17">
      <c r="A81" s="30" t="s">
        <v>4632</v>
      </c>
    </row>
    <row r="82" spans="1:1" ht="17">
      <c r="A82" s="30" t="s">
        <v>4633</v>
      </c>
    </row>
    <row r="83" spans="1:1" ht="17">
      <c r="A83" s="30" t="s">
        <v>4634</v>
      </c>
    </row>
    <row r="84" spans="1:1" ht="17">
      <c r="A84" s="30" t="s">
        <v>4635</v>
      </c>
    </row>
    <row r="85" spans="1:1" ht="17">
      <c r="A85" s="30" t="s">
        <v>4636</v>
      </c>
    </row>
    <row r="86" spans="1:1" ht="17">
      <c r="A86" s="30" t="s">
        <v>4637</v>
      </c>
    </row>
    <row r="87" spans="1:1" ht="17">
      <c r="A87" s="30" t="s">
        <v>4638</v>
      </c>
    </row>
    <row r="88" spans="1:1" ht="17">
      <c r="A88" s="30" t="s">
        <v>4639</v>
      </c>
    </row>
    <row r="89" spans="1:1" ht="17">
      <c r="A89" s="30" t="s">
        <v>4640</v>
      </c>
    </row>
    <row r="90" spans="1:1" ht="17">
      <c r="A90" s="30" t="s">
        <v>4641</v>
      </c>
    </row>
    <row r="91" spans="1:1" ht="17">
      <c r="A91" s="30" t="s">
        <v>4642</v>
      </c>
    </row>
    <row r="92" spans="1:1" ht="17">
      <c r="A92" s="30" t="s">
        <v>4643</v>
      </c>
    </row>
    <row r="93" spans="1:1" ht="17">
      <c r="A93" s="30" t="s">
        <v>4644</v>
      </c>
    </row>
    <row r="94" spans="1:1" ht="17">
      <c r="A94" s="30" t="s">
        <v>4645</v>
      </c>
    </row>
    <row r="95" spans="1:1" ht="17">
      <c r="A95" s="30" t="s">
        <v>4646</v>
      </c>
    </row>
    <row r="96" spans="1:1" ht="17">
      <c r="A96" s="30" t="s">
        <v>4647</v>
      </c>
    </row>
    <row r="97" spans="1:1" ht="17">
      <c r="A97" s="30" t="s">
        <v>4648</v>
      </c>
    </row>
    <row r="98" spans="1:1" ht="17">
      <c r="A98" s="30" t="s">
        <v>4649</v>
      </c>
    </row>
    <row r="99" spans="1:1" ht="17">
      <c r="A99" s="30" t="s">
        <v>4650</v>
      </c>
    </row>
    <row r="100" spans="1:1" ht="17">
      <c r="A100" s="30" t="s">
        <v>4651</v>
      </c>
    </row>
    <row r="101" spans="1:1" ht="17">
      <c r="A101" s="30" t="s">
        <v>4652</v>
      </c>
    </row>
    <row r="102" spans="1:1" ht="17">
      <c r="A102" s="30" t="s">
        <v>4653</v>
      </c>
    </row>
    <row r="103" spans="1:1" ht="17">
      <c r="A103" s="30" t="s">
        <v>4654</v>
      </c>
    </row>
    <row r="104" spans="1:1" ht="17">
      <c r="A104" s="30" t="s">
        <v>4655</v>
      </c>
    </row>
    <row r="105" spans="1:1" ht="17">
      <c r="A105" s="30" t="s">
        <v>4656</v>
      </c>
    </row>
    <row r="106" spans="1:1" ht="17">
      <c r="A106" s="30" t="s">
        <v>4657</v>
      </c>
    </row>
    <row r="107" spans="1:1" ht="17">
      <c r="A107" s="30" t="s">
        <v>4658</v>
      </c>
    </row>
    <row r="108" spans="1:1" ht="17">
      <c r="A108" s="30" t="s">
        <v>4659</v>
      </c>
    </row>
    <row r="109" spans="1:1" ht="17">
      <c r="A109" s="30" t="s">
        <v>4660</v>
      </c>
    </row>
    <row r="110" spans="1:1" ht="17">
      <c r="A110" s="30" t="s">
        <v>4661</v>
      </c>
    </row>
    <row r="111" spans="1:1" ht="17">
      <c r="A111" s="30" t="s">
        <v>4662</v>
      </c>
    </row>
    <row r="112" spans="1:1" ht="17">
      <c r="A112" s="30" t="s">
        <v>4663</v>
      </c>
    </row>
    <row r="113" spans="1:1" ht="17">
      <c r="A113" s="30" t="s">
        <v>4664</v>
      </c>
    </row>
    <row r="114" spans="1:1" ht="17">
      <c r="A114" s="30" t="s">
        <v>4665</v>
      </c>
    </row>
    <row r="115" spans="1:1" ht="17">
      <c r="A115" s="30" t="s">
        <v>4666</v>
      </c>
    </row>
    <row r="116" spans="1:1" ht="17">
      <c r="A116" s="30" t="s">
        <v>4667</v>
      </c>
    </row>
    <row r="117" spans="1:1" ht="17">
      <c r="A117" s="30" t="s">
        <v>4668</v>
      </c>
    </row>
    <row r="118" spans="1:1" ht="17">
      <c r="A118" s="30" t="s">
        <v>4669</v>
      </c>
    </row>
    <row r="119" spans="1:1" ht="17">
      <c r="A119" s="30" t="s">
        <v>4670</v>
      </c>
    </row>
    <row r="120" spans="1:1" ht="17">
      <c r="A120" s="30" t="s">
        <v>4671</v>
      </c>
    </row>
    <row r="121" spans="1:1" ht="17">
      <c r="A121" s="30" t="s">
        <v>4672</v>
      </c>
    </row>
    <row r="122" spans="1:1" ht="17">
      <c r="A122" s="30" t="s">
        <v>4673</v>
      </c>
    </row>
    <row r="123" spans="1:1" ht="17">
      <c r="A123" s="30" t="s">
        <v>4674</v>
      </c>
    </row>
    <row r="124" spans="1:1" ht="17">
      <c r="A124" s="30" t="s">
        <v>4675</v>
      </c>
    </row>
    <row r="125" spans="1:1" ht="17">
      <c r="A125" s="30" t="s">
        <v>4676</v>
      </c>
    </row>
    <row r="126" spans="1:1" ht="17">
      <c r="A126" s="30" t="s">
        <v>4677</v>
      </c>
    </row>
    <row r="127" spans="1:1" ht="17">
      <c r="A127" s="30" t="s">
        <v>4678</v>
      </c>
    </row>
    <row r="128" spans="1:1" ht="17">
      <c r="A128" s="30" t="s">
        <v>4679</v>
      </c>
    </row>
    <row r="129" spans="1:1" ht="17">
      <c r="A129" s="30" t="s">
        <v>3508</v>
      </c>
    </row>
    <row r="130" spans="1:1" ht="17">
      <c r="A130" s="30" t="s">
        <v>4680</v>
      </c>
    </row>
    <row r="131" spans="1:1" ht="17">
      <c r="A131" s="30" t="s">
        <v>3837</v>
      </c>
    </row>
    <row r="132" spans="1:1" ht="17">
      <c r="A132" s="30" t="s">
        <v>3838</v>
      </c>
    </row>
    <row r="133" spans="1:1" ht="17">
      <c r="A133" s="30" t="s">
        <v>3839</v>
      </c>
    </row>
    <row r="134" spans="1:1" ht="17">
      <c r="A134" s="30" t="s">
        <v>3840</v>
      </c>
    </row>
    <row r="135" spans="1:1" ht="17">
      <c r="A135" s="30" t="s">
        <v>3841</v>
      </c>
    </row>
    <row r="136" spans="1:1" ht="17">
      <c r="A136" s="30" t="s">
        <v>3842</v>
      </c>
    </row>
    <row r="137" spans="1:1" ht="17">
      <c r="A137" s="30" t="s">
        <v>4681</v>
      </c>
    </row>
    <row r="138" spans="1:1" ht="17">
      <c r="A138" s="30" t="s">
        <v>4682</v>
      </c>
    </row>
    <row r="139" spans="1:1" ht="17">
      <c r="A139" s="30" t="s">
        <v>4683</v>
      </c>
    </row>
    <row r="140" spans="1:1" ht="17">
      <c r="A140" s="30" t="s">
        <v>4684</v>
      </c>
    </row>
    <row r="141" spans="1:1" ht="17">
      <c r="A141" s="30" t="s">
        <v>4685</v>
      </c>
    </row>
    <row r="142" spans="1:1" ht="17">
      <c r="A142" s="30" t="s">
        <v>3843</v>
      </c>
    </row>
    <row r="143" spans="1:1" ht="17">
      <c r="A143" s="30" t="s">
        <v>3844</v>
      </c>
    </row>
    <row r="144" spans="1:1" ht="17">
      <c r="A144" s="30" t="s">
        <v>3845</v>
      </c>
    </row>
    <row r="145" spans="1:1" ht="17">
      <c r="A145" s="30" t="s">
        <v>3846</v>
      </c>
    </row>
    <row r="146" spans="1:1" ht="17">
      <c r="A146" s="30" t="s">
        <v>3847</v>
      </c>
    </row>
    <row r="147" spans="1:1" ht="17">
      <c r="A147" s="30" t="s">
        <v>3848</v>
      </c>
    </row>
    <row r="148" spans="1:1" ht="17">
      <c r="A148" s="30" t="s">
        <v>3774</v>
      </c>
    </row>
    <row r="149" spans="1:1" ht="17">
      <c r="A149" s="30" t="s">
        <v>3775</v>
      </c>
    </row>
    <row r="150" spans="1:1" ht="17">
      <c r="A150" s="30" t="s">
        <v>3683</v>
      </c>
    </row>
    <row r="151" spans="1:1" ht="17">
      <c r="A151" s="30" t="s">
        <v>4686</v>
      </c>
    </row>
    <row r="152" spans="1:1" ht="17">
      <c r="A152" s="30" t="s">
        <v>3685</v>
      </c>
    </row>
    <row r="153" spans="1:1" ht="17">
      <c r="A153" s="30" t="s">
        <v>4687</v>
      </c>
    </row>
    <row r="154" spans="1:1" ht="17">
      <c r="A154" s="30" t="s">
        <v>4688</v>
      </c>
    </row>
    <row r="155" spans="1:1" ht="17">
      <c r="A155" s="30" t="s">
        <v>4689</v>
      </c>
    </row>
    <row r="156" spans="1:1" ht="17">
      <c r="A156" s="30" t="s">
        <v>4690</v>
      </c>
    </row>
    <row r="157" spans="1:1" ht="17">
      <c r="A157" s="30" t="s">
        <v>4691</v>
      </c>
    </row>
    <row r="158" spans="1:1" ht="17">
      <c r="A158" s="30" t="s">
        <v>4692</v>
      </c>
    </row>
    <row r="159" spans="1:1" ht="17">
      <c r="A159" s="30" t="s">
        <v>3686</v>
      </c>
    </row>
    <row r="160" spans="1:1" ht="17">
      <c r="A160" s="30" t="s">
        <v>3687</v>
      </c>
    </row>
    <row r="161" spans="1:1" ht="17">
      <c r="A161" s="30" t="s">
        <v>4693</v>
      </c>
    </row>
    <row r="162" spans="1:1" ht="17">
      <c r="A162" s="30" t="s">
        <v>4694</v>
      </c>
    </row>
    <row r="163" spans="1:1" ht="17">
      <c r="A163" s="30" t="s">
        <v>3688</v>
      </c>
    </row>
    <row r="164" spans="1:1" ht="17">
      <c r="A164" s="30" t="s">
        <v>3689</v>
      </c>
    </row>
    <row r="165" spans="1:1" ht="17">
      <c r="A165" s="30" t="s">
        <v>3690</v>
      </c>
    </row>
    <row r="166" spans="1:1" ht="17">
      <c r="A166" s="30" t="s">
        <v>3691</v>
      </c>
    </row>
    <row r="167" spans="1:1" ht="17">
      <c r="A167" s="30" t="s">
        <v>4695</v>
      </c>
    </row>
    <row r="168" spans="1:1" ht="17">
      <c r="A168" s="30" t="s">
        <v>4696</v>
      </c>
    </row>
    <row r="169" spans="1:1" ht="17">
      <c r="A169" s="30" t="s">
        <v>3692</v>
      </c>
    </row>
    <row r="170" spans="1:1" ht="17">
      <c r="A170" s="30" t="s">
        <v>4697</v>
      </c>
    </row>
    <row r="171" spans="1:1" ht="17">
      <c r="A171" s="30" t="s">
        <v>4698</v>
      </c>
    </row>
    <row r="172" spans="1:1" ht="17">
      <c r="A172" s="30" t="s">
        <v>3693</v>
      </c>
    </row>
    <row r="173" spans="1:1" ht="17">
      <c r="A173" s="30" t="s">
        <v>3694</v>
      </c>
    </row>
    <row r="174" spans="1:1" ht="17">
      <c r="A174" s="30" t="s">
        <v>4699</v>
      </c>
    </row>
    <row r="175" spans="1:1" ht="17">
      <c r="A175" s="30" t="s">
        <v>4700</v>
      </c>
    </row>
    <row r="176" spans="1:1" ht="17">
      <c r="A176" s="30" t="s">
        <v>4701</v>
      </c>
    </row>
    <row r="177" spans="1:1" ht="17">
      <c r="A177" s="30" t="s">
        <v>3568</v>
      </c>
    </row>
    <row r="178" spans="1:1" ht="17">
      <c r="A178" s="30" t="s">
        <v>3569</v>
      </c>
    </row>
    <row r="179" spans="1:1" ht="17">
      <c r="A179" s="30" t="s">
        <v>4702</v>
      </c>
    </row>
    <row r="180" spans="1:1" ht="17">
      <c r="A180" s="30" t="s">
        <v>4703</v>
      </c>
    </row>
    <row r="181" spans="1:1" ht="17">
      <c r="A181" s="30" t="s">
        <v>4704</v>
      </c>
    </row>
    <row r="182" spans="1:1" ht="17">
      <c r="A182" s="30" t="s">
        <v>4705</v>
      </c>
    </row>
    <row r="183" spans="1:1" ht="17">
      <c r="A183" s="30" t="s">
        <v>4706</v>
      </c>
    </row>
    <row r="184" spans="1:1" ht="17">
      <c r="A184" s="30" t="s">
        <v>4707</v>
      </c>
    </row>
    <row r="185" spans="1:1" ht="17">
      <c r="A185" s="30" t="s">
        <v>4708</v>
      </c>
    </row>
    <row r="186" spans="1:1" ht="17">
      <c r="A186" s="30" t="s">
        <v>4709</v>
      </c>
    </row>
    <row r="187" spans="1:1" ht="17">
      <c r="A187" s="30" t="s">
        <v>4710</v>
      </c>
    </row>
    <row r="188" spans="1:1" ht="17">
      <c r="A188" s="30" t="s">
        <v>4711</v>
      </c>
    </row>
    <row r="189" spans="1:1" ht="17">
      <c r="A189" s="30" t="s">
        <v>3570</v>
      </c>
    </row>
    <row r="190" spans="1:1" ht="17">
      <c r="A190" s="30" t="s">
        <v>4712</v>
      </c>
    </row>
    <row r="191" spans="1:1" ht="17">
      <c r="A191" s="30" t="s">
        <v>3571</v>
      </c>
    </row>
    <row r="192" spans="1:1" ht="17">
      <c r="A192" s="30" t="s">
        <v>3572</v>
      </c>
    </row>
    <row r="193" spans="1:1" ht="17">
      <c r="A193" s="30" t="s">
        <v>3573</v>
      </c>
    </row>
    <row r="194" spans="1:1" ht="17">
      <c r="A194" s="30" t="s">
        <v>3574</v>
      </c>
    </row>
    <row r="195" spans="1:1" ht="17">
      <c r="A195" s="30" t="s">
        <v>3592</v>
      </c>
    </row>
    <row r="196" spans="1:1" ht="17">
      <c r="A196" s="30" t="s">
        <v>3594</v>
      </c>
    </row>
    <row r="197" spans="1:1" ht="17">
      <c r="A197" s="30" t="s">
        <v>3595</v>
      </c>
    </row>
    <row r="198" spans="1:1" ht="17">
      <c r="A198" s="30" t="s">
        <v>3596</v>
      </c>
    </row>
    <row r="199" spans="1:1" ht="17">
      <c r="A199" s="30" t="s">
        <v>3575</v>
      </c>
    </row>
    <row r="200" spans="1:1" ht="17">
      <c r="A200" s="30" t="s">
        <v>3600</v>
      </c>
    </row>
    <row r="201" spans="1:1" ht="17">
      <c r="A201" s="30" t="s">
        <v>3576</v>
      </c>
    </row>
    <row r="202" spans="1:1" ht="17">
      <c r="A202" s="30" t="s">
        <v>3577</v>
      </c>
    </row>
    <row r="203" spans="1:1" ht="17">
      <c r="A203" s="30" t="s">
        <v>3578</v>
      </c>
    </row>
    <row r="204" spans="1:1" ht="17">
      <c r="A204" s="30" t="s">
        <v>3579</v>
      </c>
    </row>
    <row r="205" spans="1:1" ht="17">
      <c r="A205" s="30" t="s">
        <v>3580</v>
      </c>
    </row>
    <row r="206" spans="1:1" ht="17">
      <c r="A206" s="30" t="s">
        <v>3581</v>
      </c>
    </row>
    <row r="207" spans="1:1" ht="17">
      <c r="A207" s="30" t="s">
        <v>3582</v>
      </c>
    </row>
    <row r="208" spans="1:1" ht="17">
      <c r="A208" s="30" t="s">
        <v>3583</v>
      </c>
    </row>
    <row r="209" spans="1:1" ht="17">
      <c r="A209" s="30" t="s">
        <v>3584</v>
      </c>
    </row>
    <row r="210" spans="1:1" ht="17">
      <c r="A210" s="30" t="s">
        <v>3585</v>
      </c>
    </row>
    <row r="211" spans="1:1" ht="17">
      <c r="A211" s="30" t="s">
        <v>3586</v>
      </c>
    </row>
    <row r="212" spans="1:1" ht="17">
      <c r="A212" s="30" t="s">
        <v>3587</v>
      </c>
    </row>
    <row r="213" spans="1:1" ht="17">
      <c r="A213" s="30" t="s">
        <v>3601</v>
      </c>
    </row>
    <row r="214" spans="1:1" ht="17">
      <c r="A214" s="30" t="s">
        <v>3588</v>
      </c>
    </row>
    <row r="215" spans="1:1" ht="17">
      <c r="A215" s="30" t="s">
        <v>3597</v>
      </c>
    </row>
    <row r="216" spans="1:1" ht="17">
      <c r="A216" s="30" t="s">
        <v>3589</v>
      </c>
    </row>
    <row r="217" spans="1:1" ht="17">
      <c r="A217" s="30" t="s">
        <v>4713</v>
      </c>
    </row>
    <row r="218" spans="1:1" ht="17">
      <c r="A218" s="30" t="s">
        <v>3646</v>
      </c>
    </row>
    <row r="219" spans="1:1" ht="17">
      <c r="A219" s="30" t="s">
        <v>3660</v>
      </c>
    </row>
    <row r="220" spans="1:1" ht="17">
      <c r="A220" s="30" t="s">
        <v>3649</v>
      </c>
    </row>
    <row r="221" spans="1:1" ht="17">
      <c r="A221" s="30" t="s">
        <v>3650</v>
      </c>
    </row>
    <row r="222" spans="1:1" ht="17">
      <c r="A222" s="30" t="s">
        <v>3651</v>
      </c>
    </row>
    <row r="223" spans="1:1" ht="17">
      <c r="A223" s="30" t="s">
        <v>3652</v>
      </c>
    </row>
    <row r="224" spans="1:1" ht="17">
      <c r="A224" s="30" t="s">
        <v>3653</v>
      </c>
    </row>
    <row r="225" spans="1:1" ht="17">
      <c r="A225" s="30" t="s">
        <v>4714</v>
      </c>
    </row>
    <row r="226" spans="1:1" ht="17">
      <c r="A226" s="30" t="s">
        <v>3654</v>
      </c>
    </row>
    <row r="227" spans="1:1" ht="17">
      <c r="A227" s="30" t="s">
        <v>3655</v>
      </c>
    </row>
    <row r="228" spans="1:1" ht="17">
      <c r="A228" s="30" t="s">
        <v>3656</v>
      </c>
    </row>
    <row r="229" spans="1:1" ht="17">
      <c r="A229" s="30" t="s">
        <v>3657</v>
      </c>
    </row>
    <row r="230" spans="1:1" ht="17">
      <c r="A230" s="30" t="s">
        <v>3658</v>
      </c>
    </row>
    <row r="231" spans="1:1" ht="17">
      <c r="A231" s="30" t="s">
        <v>3663</v>
      </c>
    </row>
    <row r="232" spans="1:1" ht="17">
      <c r="A232" s="30" t="s">
        <v>4715</v>
      </c>
    </row>
    <row r="233" spans="1:1" ht="17">
      <c r="A233" s="30" t="s">
        <v>4716</v>
      </c>
    </row>
    <row r="234" spans="1:1" ht="17">
      <c r="A234" s="30" t="s">
        <v>3606</v>
      </c>
    </row>
    <row r="235" spans="1:1" ht="17">
      <c r="A235" s="30" t="s">
        <v>3607</v>
      </c>
    </row>
    <row r="236" spans="1:1" ht="17">
      <c r="A236" s="30" t="s">
        <v>3608</v>
      </c>
    </row>
    <row r="237" spans="1:1" ht="17">
      <c r="A237" s="30" t="s">
        <v>3609</v>
      </c>
    </row>
    <row r="238" spans="1:1" ht="17">
      <c r="A238" s="30" t="s">
        <v>3610</v>
      </c>
    </row>
    <row r="239" spans="1:1" ht="17">
      <c r="A239" s="30" t="s">
        <v>4717</v>
      </c>
    </row>
    <row r="240" spans="1:1" ht="17">
      <c r="A240" s="30" t="s">
        <v>4718</v>
      </c>
    </row>
    <row r="241" spans="1:1" ht="17">
      <c r="A241" s="30" t="s">
        <v>3612</v>
      </c>
    </row>
    <row r="242" spans="1:1" ht="17">
      <c r="A242" s="30" t="s">
        <v>3613</v>
      </c>
    </row>
    <row r="243" spans="1:1" ht="17">
      <c r="A243" s="30" t="s">
        <v>3614</v>
      </c>
    </row>
    <row r="244" spans="1:1" ht="17">
      <c r="A244" s="30" t="s">
        <v>4719</v>
      </c>
    </row>
    <row r="245" spans="1:1" ht="17">
      <c r="A245" s="30" t="s">
        <v>4720</v>
      </c>
    </row>
    <row r="246" spans="1:1" ht="17">
      <c r="A246" s="30" t="s">
        <v>4721</v>
      </c>
    </row>
    <row r="247" spans="1:1" ht="17">
      <c r="A247" s="30" t="s">
        <v>4722</v>
      </c>
    </row>
    <row r="248" spans="1:1" ht="17">
      <c r="A248" s="30" t="s">
        <v>4723</v>
      </c>
    </row>
    <row r="249" spans="1:1" ht="17">
      <c r="A249" s="30" t="s">
        <v>4724</v>
      </c>
    </row>
    <row r="250" spans="1:1" ht="17">
      <c r="A250" s="30" t="s">
        <v>4725</v>
      </c>
    </row>
    <row r="251" spans="1:1" ht="17">
      <c r="A251" s="30" t="s">
        <v>4726</v>
      </c>
    </row>
    <row r="252" spans="1:1" ht="17">
      <c r="A252" s="30" t="s">
        <v>4727</v>
      </c>
    </row>
    <row r="253" spans="1:1" ht="17">
      <c r="A253" s="30" t="s">
        <v>4728</v>
      </c>
    </row>
    <row r="254" spans="1:1" ht="17">
      <c r="A254" s="30" t="s">
        <v>4729</v>
      </c>
    </row>
    <row r="255" spans="1:1" ht="17">
      <c r="A255" s="30" t="s">
        <v>4730</v>
      </c>
    </row>
    <row r="256" spans="1:1" ht="17">
      <c r="A256" s="30" t="s">
        <v>4731</v>
      </c>
    </row>
    <row r="257" spans="1:1" ht="17">
      <c r="A257" s="30" t="s">
        <v>4732</v>
      </c>
    </row>
    <row r="258" spans="1:1" ht="17">
      <c r="A258" s="30" t="s">
        <v>4733</v>
      </c>
    </row>
    <row r="259" spans="1:1" ht="17">
      <c r="A259" s="30" t="s">
        <v>4734</v>
      </c>
    </row>
    <row r="260" spans="1:1" ht="17">
      <c r="A260" s="30" t="s">
        <v>4735</v>
      </c>
    </row>
    <row r="261" spans="1:1" ht="17">
      <c r="A261" s="30" t="s">
        <v>4736</v>
      </c>
    </row>
    <row r="262" spans="1:1" ht="17">
      <c r="A262" s="30" t="s">
        <v>4737</v>
      </c>
    </row>
    <row r="263" spans="1:1" ht="17">
      <c r="A263" s="30" t="s">
        <v>4738</v>
      </c>
    </row>
    <row r="264" spans="1:1" ht="17">
      <c r="A264" s="30" t="s">
        <v>4739</v>
      </c>
    </row>
    <row r="265" spans="1:1" ht="17">
      <c r="A265" s="30" t="s">
        <v>4740</v>
      </c>
    </row>
    <row r="266" spans="1:1" ht="17">
      <c r="A266" s="30" t="s">
        <v>4741</v>
      </c>
    </row>
    <row r="267" spans="1:1" ht="17">
      <c r="A267" s="30" t="s">
        <v>4742</v>
      </c>
    </row>
    <row r="268" spans="1:1" ht="17">
      <c r="A268" s="30" t="s">
        <v>4743</v>
      </c>
    </row>
    <row r="269" spans="1:1" ht="17">
      <c r="A269" s="30" t="s">
        <v>4744</v>
      </c>
    </row>
    <row r="270" spans="1:1" ht="17">
      <c r="A270" s="30" t="s">
        <v>4745</v>
      </c>
    </row>
    <row r="271" spans="1:1" ht="17">
      <c r="A271" s="30" t="s">
        <v>4746</v>
      </c>
    </row>
    <row r="272" spans="1:1" ht="17">
      <c r="A272" s="30" t="s">
        <v>4747</v>
      </c>
    </row>
    <row r="273" spans="1:1" ht="17">
      <c r="A273" s="30" t="s">
        <v>4748</v>
      </c>
    </row>
    <row r="274" spans="1:1" ht="17">
      <c r="A274" s="30" t="s">
        <v>4749</v>
      </c>
    </row>
    <row r="275" spans="1:1" ht="17">
      <c r="A275" s="30" t="s">
        <v>4750</v>
      </c>
    </row>
    <row r="276" spans="1:1" ht="17">
      <c r="A276" s="30" t="s">
        <v>4751</v>
      </c>
    </row>
    <row r="277" spans="1:1" ht="17">
      <c r="A277" s="30" t="s">
        <v>4752</v>
      </c>
    </row>
    <row r="278" spans="1:1" ht="17">
      <c r="A278" s="30" t="s">
        <v>4753</v>
      </c>
    </row>
    <row r="279" spans="1:1" ht="17">
      <c r="A279" s="30" t="s">
        <v>4754</v>
      </c>
    </row>
    <row r="280" spans="1:1" ht="17">
      <c r="A280" s="30" t="s">
        <v>4755</v>
      </c>
    </row>
    <row r="281" spans="1:1" ht="17">
      <c r="A281" s="30" t="s">
        <v>4756</v>
      </c>
    </row>
    <row r="282" spans="1:1" ht="17">
      <c r="A282" s="30" t="s">
        <v>4757</v>
      </c>
    </row>
    <row r="283" spans="1:1" ht="17">
      <c r="A283" s="30" t="s">
        <v>4758</v>
      </c>
    </row>
    <row r="284" spans="1:1" ht="17">
      <c r="A284" s="30" t="s">
        <v>4759</v>
      </c>
    </row>
    <row r="285" spans="1:1" ht="17">
      <c r="A285" s="30" t="s">
        <v>4760</v>
      </c>
    </row>
    <row r="286" spans="1:1" ht="17">
      <c r="A286" s="30" t="s">
        <v>4761</v>
      </c>
    </row>
    <row r="287" spans="1:1" ht="17">
      <c r="A287" s="30" t="s">
        <v>4762</v>
      </c>
    </row>
    <row r="288" spans="1:1" ht="17">
      <c r="A288" s="30" t="s">
        <v>4763</v>
      </c>
    </row>
    <row r="289" spans="1:1" ht="17">
      <c r="A289" s="30" t="s">
        <v>4764</v>
      </c>
    </row>
    <row r="290" spans="1:1" ht="17">
      <c r="A290" s="30" t="s">
        <v>4765</v>
      </c>
    </row>
    <row r="291" spans="1:1" ht="17">
      <c r="A291" s="30" t="s">
        <v>4766</v>
      </c>
    </row>
    <row r="292" spans="1:1" ht="17">
      <c r="A292" s="30" t="s">
        <v>4767</v>
      </c>
    </row>
    <row r="293" spans="1:1" ht="17">
      <c r="A293" s="30" t="s">
        <v>4768</v>
      </c>
    </row>
    <row r="294" spans="1:1" ht="17">
      <c r="A294" s="30" t="s">
        <v>4769</v>
      </c>
    </row>
    <row r="295" spans="1:1" ht="17">
      <c r="A295" s="30" t="s">
        <v>4770</v>
      </c>
    </row>
    <row r="296" spans="1:1" ht="17">
      <c r="A296" s="30" t="s">
        <v>4771</v>
      </c>
    </row>
    <row r="297" spans="1:1" ht="17">
      <c r="A297" s="30" t="s">
        <v>4772</v>
      </c>
    </row>
    <row r="298" spans="1:1" ht="17">
      <c r="A298" s="30" t="s">
        <v>4773</v>
      </c>
    </row>
    <row r="299" spans="1:1" ht="17">
      <c r="A299" s="30" t="s">
        <v>4774</v>
      </c>
    </row>
    <row r="300" spans="1:1" ht="17">
      <c r="A300" s="30" t="s">
        <v>4775</v>
      </c>
    </row>
    <row r="301" spans="1:1" ht="17">
      <c r="A301" s="30" t="s">
        <v>4776</v>
      </c>
    </row>
    <row r="302" spans="1:1" ht="17">
      <c r="A302" s="30" t="s">
        <v>4777</v>
      </c>
    </row>
    <row r="303" spans="1:1" ht="17">
      <c r="A303" s="30" t="s">
        <v>4778</v>
      </c>
    </row>
    <row r="304" spans="1:1" ht="17">
      <c r="A304" s="30" t="s">
        <v>4779</v>
      </c>
    </row>
    <row r="305" spans="1:1" ht="17">
      <c r="A305" s="30" t="s">
        <v>4780</v>
      </c>
    </row>
    <row r="306" spans="1:1" ht="17">
      <c r="A306" s="30" t="s">
        <v>4781</v>
      </c>
    </row>
    <row r="307" spans="1:1" ht="17">
      <c r="A307" s="30" t="s">
        <v>4782</v>
      </c>
    </row>
    <row r="308" spans="1:1" ht="17">
      <c r="A308" s="30" t="s">
        <v>4783</v>
      </c>
    </row>
    <row r="309" spans="1:1" ht="17">
      <c r="A309" s="30" t="s">
        <v>4784</v>
      </c>
    </row>
    <row r="310" spans="1:1" ht="17">
      <c r="A310" s="30" t="s">
        <v>4785</v>
      </c>
    </row>
    <row r="311" spans="1:1" ht="17">
      <c r="A311" s="30" t="s">
        <v>4786</v>
      </c>
    </row>
    <row r="312" spans="1:1" ht="17">
      <c r="A312" s="30" t="s">
        <v>4787</v>
      </c>
    </row>
    <row r="313" spans="1:1" ht="17">
      <c r="A313" s="30" t="s">
        <v>4788</v>
      </c>
    </row>
    <row r="314" spans="1:1" ht="17">
      <c r="A314" s="30" t="s">
        <v>4789</v>
      </c>
    </row>
    <row r="315" spans="1:1" ht="17">
      <c r="A315" s="30" t="s">
        <v>4790</v>
      </c>
    </row>
    <row r="316" spans="1:1" ht="17">
      <c r="A316" s="30" t="s">
        <v>4791</v>
      </c>
    </row>
    <row r="317" spans="1:1" ht="17">
      <c r="A317" s="30" t="s">
        <v>4792</v>
      </c>
    </row>
    <row r="318" spans="1:1" ht="17">
      <c r="A318" s="30" t="s">
        <v>4793</v>
      </c>
    </row>
    <row r="319" spans="1:1" ht="17">
      <c r="A319" s="30" t="s">
        <v>4794</v>
      </c>
    </row>
    <row r="320" spans="1:1" ht="17">
      <c r="A320" s="30" t="s">
        <v>4795</v>
      </c>
    </row>
    <row r="321" spans="1:1" ht="17">
      <c r="A321" s="30" t="s">
        <v>4796</v>
      </c>
    </row>
    <row r="322" spans="1:1" ht="17">
      <c r="A322" s="30" t="s">
        <v>4797</v>
      </c>
    </row>
    <row r="323" spans="1:1" ht="17">
      <c r="A323" s="30" t="s">
        <v>4798</v>
      </c>
    </row>
    <row r="324" spans="1:1" ht="17">
      <c r="A324" s="30" t="s">
        <v>4799</v>
      </c>
    </row>
    <row r="325" spans="1:1" ht="17">
      <c r="A325" s="30" t="s">
        <v>4800</v>
      </c>
    </row>
    <row r="326" spans="1:1" ht="17">
      <c r="A326" s="30" t="s">
        <v>4801</v>
      </c>
    </row>
    <row r="327" spans="1:1" ht="17">
      <c r="A327" s="30" t="s">
        <v>4802</v>
      </c>
    </row>
    <row r="328" spans="1:1" ht="17">
      <c r="A328" s="30" t="s">
        <v>4803</v>
      </c>
    </row>
    <row r="329" spans="1:1" ht="17">
      <c r="A329" s="30" t="s">
        <v>4804</v>
      </c>
    </row>
    <row r="330" spans="1:1" ht="17">
      <c r="A330" s="30" t="s">
        <v>4805</v>
      </c>
    </row>
    <row r="331" spans="1:1" ht="17">
      <c r="A331" s="30" t="s">
        <v>4806</v>
      </c>
    </row>
    <row r="332" spans="1:1" ht="17">
      <c r="A332" s="30" t="s">
        <v>4807</v>
      </c>
    </row>
    <row r="333" spans="1:1" ht="17">
      <c r="A333" s="30" t="s">
        <v>4808</v>
      </c>
    </row>
    <row r="334" spans="1:1" ht="17">
      <c r="A334" s="30" t="s">
        <v>4809</v>
      </c>
    </row>
    <row r="335" spans="1:1" ht="17">
      <c r="A335" s="30" t="s">
        <v>4810</v>
      </c>
    </row>
    <row r="336" spans="1:1" ht="17">
      <c r="A336" s="30" t="s">
        <v>4811</v>
      </c>
    </row>
    <row r="337" spans="1:1" ht="17">
      <c r="A337" s="30" t="s">
        <v>4812</v>
      </c>
    </row>
    <row r="338" spans="1:1" ht="17">
      <c r="A338" s="30" t="s">
        <v>3485</v>
      </c>
    </row>
    <row r="339" spans="1:1" ht="17">
      <c r="A339" s="30" t="s">
        <v>4813</v>
      </c>
    </row>
    <row r="340" spans="1:1" ht="17">
      <c r="A340" s="30" t="s">
        <v>4007</v>
      </c>
    </row>
    <row r="341" spans="1:1" ht="17">
      <c r="A341" s="30" t="s">
        <v>4814</v>
      </c>
    </row>
    <row r="342" spans="1:1" ht="17">
      <c r="A342" s="30" t="s">
        <v>4815</v>
      </c>
    </row>
    <row r="343" spans="1:1" ht="17">
      <c r="A343" s="30" t="s">
        <v>4816</v>
      </c>
    </row>
    <row r="344" spans="1:1" ht="17">
      <c r="A344" s="30" t="s">
        <v>4817</v>
      </c>
    </row>
    <row r="345" spans="1:1" ht="17">
      <c r="A345" s="30" t="s">
        <v>4818</v>
      </c>
    </row>
    <row r="346" spans="1:1" ht="17">
      <c r="A346" s="30" t="s">
        <v>4819</v>
      </c>
    </row>
    <row r="347" spans="1:1" ht="17">
      <c r="A347" s="30" t="s">
        <v>4820</v>
      </c>
    </row>
    <row r="348" spans="1:1" ht="17">
      <c r="A348" s="30" t="s">
        <v>4821</v>
      </c>
    </row>
    <row r="349" spans="1:1" ht="17">
      <c r="A349" s="30" t="s">
        <v>4822</v>
      </c>
    </row>
    <row r="350" spans="1:1" ht="17">
      <c r="A350" s="30" t="s">
        <v>4823</v>
      </c>
    </row>
    <row r="351" spans="1:1" ht="17">
      <c r="A351" s="30" t="s">
        <v>4824</v>
      </c>
    </row>
    <row r="352" spans="1:1" ht="17">
      <c r="A352" s="30" t="s">
        <v>4825</v>
      </c>
    </row>
    <row r="353" spans="1:1" ht="17">
      <c r="A353" s="30" t="s">
        <v>4826</v>
      </c>
    </row>
    <row r="354" spans="1:1" ht="17">
      <c r="A354" s="30" t="s">
        <v>4827</v>
      </c>
    </row>
    <row r="355" spans="1:1" ht="17">
      <c r="A355" s="30" t="s">
        <v>4828</v>
      </c>
    </row>
    <row r="356" spans="1:1" ht="17">
      <c r="A356" s="30" t="s">
        <v>4829</v>
      </c>
    </row>
    <row r="357" spans="1:1" ht="17">
      <c r="A357" s="30" t="s">
        <v>4830</v>
      </c>
    </row>
    <row r="358" spans="1:1" ht="17">
      <c r="A358" s="30" t="s">
        <v>4831</v>
      </c>
    </row>
    <row r="359" spans="1:1" ht="17">
      <c r="A359" s="30" t="s">
        <v>4832</v>
      </c>
    </row>
    <row r="360" spans="1:1" ht="17">
      <c r="A360" s="30" t="s">
        <v>4833</v>
      </c>
    </row>
    <row r="361" spans="1:1" ht="17">
      <c r="A361" s="30" t="s">
        <v>4834</v>
      </c>
    </row>
    <row r="362" spans="1:1" ht="17">
      <c r="A362" s="30" t="s">
        <v>4835</v>
      </c>
    </row>
    <row r="363" spans="1:1" ht="17">
      <c r="A363" s="30" t="s">
        <v>4836</v>
      </c>
    </row>
    <row r="364" spans="1:1" ht="17">
      <c r="A364" s="30" t="s">
        <v>4837</v>
      </c>
    </row>
    <row r="365" spans="1:1" ht="17">
      <c r="A365" s="30" t="s">
        <v>4838</v>
      </c>
    </row>
    <row r="366" spans="1:1" ht="17">
      <c r="A366" s="30" t="s">
        <v>4839</v>
      </c>
    </row>
    <row r="367" spans="1:1" ht="17">
      <c r="A367" s="30" t="s">
        <v>4840</v>
      </c>
    </row>
    <row r="368" spans="1:1" ht="17">
      <c r="A368" s="30" t="s">
        <v>4841</v>
      </c>
    </row>
    <row r="369" spans="1:1" ht="17">
      <c r="A369" s="30" t="s">
        <v>4842</v>
      </c>
    </row>
    <row r="370" spans="1:1" ht="17">
      <c r="A370" s="30" t="s">
        <v>4843</v>
      </c>
    </row>
    <row r="371" spans="1:1" ht="17">
      <c r="A371" s="30" t="s">
        <v>4844</v>
      </c>
    </row>
    <row r="372" spans="1:1" ht="17">
      <c r="A372" s="30" t="s">
        <v>4845</v>
      </c>
    </row>
    <row r="373" spans="1:1" ht="17">
      <c r="A373" s="30" t="s">
        <v>4846</v>
      </c>
    </row>
    <row r="374" spans="1:1" ht="17">
      <c r="A374" s="30" t="s">
        <v>4847</v>
      </c>
    </row>
    <row r="375" spans="1:1" ht="17">
      <c r="A375" s="30" t="s">
        <v>4848</v>
      </c>
    </row>
    <row r="376" spans="1:1" ht="17">
      <c r="A376" s="30" t="s">
        <v>4849</v>
      </c>
    </row>
    <row r="377" spans="1:1" ht="17">
      <c r="A377" s="30" t="s">
        <v>4850</v>
      </c>
    </row>
    <row r="378" spans="1:1" ht="17">
      <c r="A378" s="30" t="s">
        <v>4851</v>
      </c>
    </row>
    <row r="379" spans="1:1" ht="17">
      <c r="A379" s="30" t="s">
        <v>4852</v>
      </c>
    </row>
    <row r="380" spans="1:1" ht="17">
      <c r="A380" s="30" t="s">
        <v>4853</v>
      </c>
    </row>
    <row r="381" spans="1:1" ht="17">
      <c r="A381" s="30" t="s">
        <v>4854</v>
      </c>
    </row>
    <row r="382" spans="1:1" ht="17">
      <c r="A382" s="30" t="s">
        <v>4855</v>
      </c>
    </row>
    <row r="383" spans="1:1" ht="17">
      <c r="A383" s="30" t="s">
        <v>4856</v>
      </c>
    </row>
    <row r="384" spans="1:1" ht="17">
      <c r="A384" s="30" t="s">
        <v>4857</v>
      </c>
    </row>
    <row r="385" spans="1:1" ht="17">
      <c r="A385" s="30" t="s">
        <v>4858</v>
      </c>
    </row>
    <row r="386" spans="1:1" ht="17">
      <c r="A386" s="30" t="s">
        <v>4859</v>
      </c>
    </row>
    <row r="387" spans="1:1" ht="17">
      <c r="A387" s="30" t="s">
        <v>4860</v>
      </c>
    </row>
    <row r="388" spans="1:1" ht="17">
      <c r="A388" s="30" t="s">
        <v>4861</v>
      </c>
    </row>
    <row r="389" spans="1:1" ht="17">
      <c r="A389" s="30" t="s">
        <v>4862</v>
      </c>
    </row>
    <row r="390" spans="1:1" ht="17">
      <c r="A390" s="30" t="s">
        <v>4863</v>
      </c>
    </row>
    <row r="391" spans="1:1" ht="17">
      <c r="A391" s="30" t="s">
        <v>4864</v>
      </c>
    </row>
    <row r="392" spans="1:1" ht="17">
      <c r="A392" s="30" t="s">
        <v>4865</v>
      </c>
    </row>
    <row r="393" spans="1:1" ht="17">
      <c r="A393" s="30" t="s">
        <v>4866</v>
      </c>
    </row>
    <row r="394" spans="1:1" ht="17">
      <c r="A394" s="30" t="s">
        <v>4867</v>
      </c>
    </row>
    <row r="395" spans="1:1" ht="17">
      <c r="A395" s="30" t="s">
        <v>4868</v>
      </c>
    </row>
    <row r="396" spans="1:1" ht="17">
      <c r="A396" s="30" t="s">
        <v>4869</v>
      </c>
    </row>
    <row r="397" spans="1:1" ht="17">
      <c r="A397" s="30" t="s">
        <v>4870</v>
      </c>
    </row>
    <row r="398" spans="1:1" ht="17">
      <c r="A398" s="30" t="s">
        <v>4871</v>
      </c>
    </row>
    <row r="399" spans="1:1" ht="17">
      <c r="A399" s="30" t="s">
        <v>4872</v>
      </c>
    </row>
    <row r="400" spans="1:1" ht="17">
      <c r="A400" s="30" t="s">
        <v>4873</v>
      </c>
    </row>
    <row r="401" spans="1:1" ht="17">
      <c r="A401" s="30" t="s">
        <v>4874</v>
      </c>
    </row>
    <row r="402" spans="1:1" ht="17">
      <c r="A402" s="30" t="s">
        <v>4875</v>
      </c>
    </row>
    <row r="403" spans="1:1" ht="17">
      <c r="A403" s="30" t="s">
        <v>4876</v>
      </c>
    </row>
    <row r="404" spans="1:1" ht="17">
      <c r="A404" s="30" t="s">
        <v>4877</v>
      </c>
    </row>
    <row r="405" spans="1:1" ht="17">
      <c r="A405" s="30" t="s">
        <v>4878</v>
      </c>
    </row>
    <row r="406" spans="1:1" ht="17">
      <c r="A406" s="30" t="s">
        <v>4879</v>
      </c>
    </row>
    <row r="407" spans="1:1" ht="17">
      <c r="A407" s="30" t="s">
        <v>4880</v>
      </c>
    </row>
    <row r="408" spans="1:1" ht="17">
      <c r="A408" s="30" t="s">
        <v>4881</v>
      </c>
    </row>
    <row r="409" spans="1:1" ht="17">
      <c r="A409" s="30" t="s">
        <v>4882</v>
      </c>
    </row>
    <row r="410" spans="1:1" ht="17">
      <c r="A410" s="30" t="s">
        <v>4883</v>
      </c>
    </row>
    <row r="411" spans="1:1" ht="17">
      <c r="A411" s="30" t="s">
        <v>4884</v>
      </c>
    </row>
    <row r="412" spans="1:1" ht="17">
      <c r="A412" s="30" t="s">
        <v>4885</v>
      </c>
    </row>
    <row r="413" spans="1:1" ht="17">
      <c r="A413" s="30" t="s">
        <v>4886</v>
      </c>
    </row>
    <row r="414" spans="1:1" ht="17">
      <c r="A414" s="30" t="s">
        <v>4887</v>
      </c>
    </row>
    <row r="415" spans="1:1" ht="17">
      <c r="A415" s="30" t="s">
        <v>4888</v>
      </c>
    </row>
    <row r="416" spans="1:1" ht="17">
      <c r="A416" s="30" t="s">
        <v>4889</v>
      </c>
    </row>
    <row r="417" spans="1:1" ht="17">
      <c r="A417" s="30" t="s">
        <v>4890</v>
      </c>
    </row>
    <row r="418" spans="1:1" ht="17">
      <c r="A418" s="30" t="s">
        <v>3778</v>
      </c>
    </row>
    <row r="419" spans="1:1" ht="17">
      <c r="A419" s="30" t="s">
        <v>3779</v>
      </c>
    </row>
    <row r="420" spans="1:1" ht="17">
      <c r="A420" s="30" t="s">
        <v>3780</v>
      </c>
    </row>
    <row r="421" spans="1:1" ht="17">
      <c r="A421" s="30" t="s">
        <v>3781</v>
      </c>
    </row>
    <row r="422" spans="1:1" ht="17">
      <c r="A422" s="30" t="s">
        <v>3782</v>
      </c>
    </row>
    <row r="423" spans="1:1" ht="17">
      <c r="A423" s="30" t="s">
        <v>3783</v>
      </c>
    </row>
    <row r="424" spans="1:1" ht="17">
      <c r="A424" s="30" t="s">
        <v>3724</v>
      </c>
    </row>
    <row r="425" spans="1:1" ht="17">
      <c r="A425" s="30" t="s">
        <v>3726</v>
      </c>
    </row>
    <row r="426" spans="1:1" ht="17">
      <c r="A426" s="30" t="s">
        <v>3727</v>
      </c>
    </row>
    <row r="427" spans="1:1" ht="17">
      <c r="A427" s="30" t="s">
        <v>3728</v>
      </c>
    </row>
    <row r="428" spans="1:1" ht="17">
      <c r="A428" s="30" t="s">
        <v>3730</v>
      </c>
    </row>
    <row r="429" spans="1:1" ht="17">
      <c r="A429" s="30" t="s">
        <v>3731</v>
      </c>
    </row>
    <row r="430" spans="1:1" ht="17">
      <c r="A430" s="30" t="s">
        <v>3732</v>
      </c>
    </row>
    <row r="431" spans="1:1" ht="17">
      <c r="A431" s="30" t="s">
        <v>3733</v>
      </c>
    </row>
    <row r="432" spans="1:1" ht="17">
      <c r="A432" s="30" t="s">
        <v>3734</v>
      </c>
    </row>
    <row r="433" spans="1:1" ht="17">
      <c r="A433" s="30" t="s">
        <v>3735</v>
      </c>
    </row>
    <row r="434" spans="1:1" ht="17">
      <c r="A434" s="30" t="s">
        <v>3736</v>
      </c>
    </row>
    <row r="435" spans="1:1" ht="17">
      <c r="A435" s="30" t="s">
        <v>3737</v>
      </c>
    </row>
    <row r="436" spans="1:1" ht="17">
      <c r="A436" s="30" t="s">
        <v>3739</v>
      </c>
    </row>
    <row r="437" spans="1:1" ht="17">
      <c r="A437" s="30" t="s">
        <v>3740</v>
      </c>
    </row>
    <row r="438" spans="1:1" ht="17">
      <c r="A438" s="30" t="s">
        <v>3741</v>
      </c>
    </row>
    <row r="439" spans="1:1" ht="17">
      <c r="A439" s="30" t="s">
        <v>3742</v>
      </c>
    </row>
    <row r="440" spans="1:1" ht="17">
      <c r="A440" s="30" t="s">
        <v>3743</v>
      </c>
    </row>
    <row r="441" spans="1:1" ht="17">
      <c r="A441" s="30" t="s">
        <v>4891</v>
      </c>
    </row>
    <row r="442" spans="1:1" ht="17">
      <c r="A442" s="30" t="s">
        <v>4892</v>
      </c>
    </row>
    <row r="443" spans="1:1" ht="17">
      <c r="A443" s="30" t="s">
        <v>3744</v>
      </c>
    </row>
    <row r="444" spans="1:1" ht="17">
      <c r="A444" s="30" t="s">
        <v>3745</v>
      </c>
    </row>
    <row r="445" spans="1:1" ht="17">
      <c r="A445" s="30" t="s">
        <v>4893</v>
      </c>
    </row>
    <row r="446" spans="1:1" ht="17">
      <c r="A446" s="30" t="s">
        <v>4894</v>
      </c>
    </row>
    <row r="447" spans="1:1" ht="17">
      <c r="A447" s="30" t="s">
        <v>3748</v>
      </c>
    </row>
    <row r="448" spans="1:1" ht="17">
      <c r="A448" s="30" t="s">
        <v>4895</v>
      </c>
    </row>
    <row r="449" spans="1:1" ht="17">
      <c r="A449" s="30" t="s">
        <v>4896</v>
      </c>
    </row>
    <row r="450" spans="1:1" ht="17">
      <c r="A450" s="30" t="s">
        <v>4897</v>
      </c>
    </row>
    <row r="451" spans="1:1" ht="17">
      <c r="A451" s="30" t="s">
        <v>3499</v>
      </c>
    </row>
    <row r="452" spans="1:1" ht="17">
      <c r="A452" s="30" t="s">
        <v>3750</v>
      </c>
    </row>
    <row r="453" spans="1:1" ht="17">
      <c r="A453" s="30" t="s">
        <v>3751</v>
      </c>
    </row>
    <row r="454" spans="1:1" ht="17">
      <c r="A454" s="30" t="s">
        <v>3752</v>
      </c>
    </row>
    <row r="455" spans="1:1" ht="17">
      <c r="A455" s="30" t="s">
        <v>4898</v>
      </c>
    </row>
    <row r="456" spans="1:1" ht="17">
      <c r="A456" s="30" t="s">
        <v>4899</v>
      </c>
    </row>
    <row r="457" spans="1:1" ht="17">
      <c r="A457" s="30" t="s">
        <v>4900</v>
      </c>
    </row>
    <row r="458" spans="1:1" ht="17">
      <c r="A458" s="30" t="s">
        <v>4901</v>
      </c>
    </row>
    <row r="459" spans="1:1" ht="17">
      <c r="A459" s="30" t="s">
        <v>4902</v>
      </c>
    </row>
    <row r="460" spans="1:1" ht="17">
      <c r="A460" s="30" t="s">
        <v>4903</v>
      </c>
    </row>
    <row r="461" spans="1:1" ht="17">
      <c r="A461" s="30" t="s">
        <v>4904</v>
      </c>
    </row>
    <row r="462" spans="1:1" ht="17">
      <c r="A462" s="30" t="s">
        <v>4905</v>
      </c>
    </row>
    <row r="463" spans="1:1" ht="17">
      <c r="A463" s="30" t="s">
        <v>4906</v>
      </c>
    </row>
    <row r="464" spans="1:1" ht="17">
      <c r="A464" s="30" t="s">
        <v>4907</v>
      </c>
    </row>
    <row r="465" spans="1:1" ht="17">
      <c r="A465" s="30" t="s">
        <v>4908</v>
      </c>
    </row>
    <row r="466" spans="1:1" ht="17">
      <c r="A466" s="30" t="s">
        <v>4909</v>
      </c>
    </row>
    <row r="467" spans="1:1" ht="17">
      <c r="A467" s="30" t="s">
        <v>4910</v>
      </c>
    </row>
    <row r="468" spans="1:1" ht="17">
      <c r="A468" s="30" t="s">
        <v>4911</v>
      </c>
    </row>
    <row r="469" spans="1:1" ht="17">
      <c r="A469" s="30" t="s">
        <v>4912</v>
      </c>
    </row>
    <row r="470" spans="1:1" ht="17">
      <c r="A470" s="30" t="s">
        <v>4913</v>
      </c>
    </row>
    <row r="471" spans="1:1" ht="17">
      <c r="A471" s="30" t="s">
        <v>4914</v>
      </c>
    </row>
    <row r="472" spans="1:1" ht="17">
      <c r="A472" s="30" t="s">
        <v>4915</v>
      </c>
    </row>
    <row r="473" spans="1:1" ht="17">
      <c r="A473" s="30" t="s">
        <v>4916</v>
      </c>
    </row>
    <row r="474" spans="1:1" ht="17">
      <c r="A474" s="30" t="s">
        <v>4917</v>
      </c>
    </row>
    <row r="475" spans="1:1" ht="17">
      <c r="A475" s="30" t="s">
        <v>4918</v>
      </c>
    </row>
    <row r="476" spans="1:1" ht="17">
      <c r="A476" s="30" t="s">
        <v>4919</v>
      </c>
    </row>
    <row r="477" spans="1:1" ht="17">
      <c r="A477" s="30" t="s">
        <v>4920</v>
      </c>
    </row>
    <row r="478" spans="1:1" ht="17">
      <c r="A478" s="30" t="s">
        <v>4921</v>
      </c>
    </row>
    <row r="479" spans="1:1" ht="17">
      <c r="A479" s="30" t="s">
        <v>4922</v>
      </c>
    </row>
    <row r="480" spans="1:1" ht="17">
      <c r="A480" s="30" t="s">
        <v>4923</v>
      </c>
    </row>
    <row r="481" spans="1:1" ht="17">
      <c r="A481" s="30" t="s">
        <v>4924</v>
      </c>
    </row>
    <row r="482" spans="1:1" ht="17">
      <c r="A482" s="30" t="s">
        <v>4925</v>
      </c>
    </row>
    <row r="483" spans="1:1" ht="17">
      <c r="A483" s="30" t="s">
        <v>4926</v>
      </c>
    </row>
    <row r="484" spans="1:1" ht="17">
      <c r="A484" s="30" t="s">
        <v>4927</v>
      </c>
    </row>
    <row r="485" spans="1:1" ht="17">
      <c r="A485" s="30" t="s">
        <v>4928</v>
      </c>
    </row>
    <row r="486" spans="1:1" ht="17">
      <c r="A486" s="30" t="s">
        <v>4929</v>
      </c>
    </row>
    <row r="487" spans="1:1" ht="17">
      <c r="A487" s="30" t="s">
        <v>4930</v>
      </c>
    </row>
    <row r="488" spans="1:1" ht="17">
      <c r="A488" s="30" t="s">
        <v>4931</v>
      </c>
    </row>
    <row r="489" spans="1:1" ht="17">
      <c r="A489" s="30" t="s">
        <v>4932</v>
      </c>
    </row>
    <row r="490" spans="1:1" ht="17">
      <c r="A490" s="30" t="s">
        <v>4933</v>
      </c>
    </row>
    <row r="491" spans="1:1" ht="17">
      <c r="A491" s="30" t="s">
        <v>4934</v>
      </c>
    </row>
    <row r="492" spans="1:1" ht="17">
      <c r="A492" s="30" t="s">
        <v>4935</v>
      </c>
    </row>
    <row r="493" spans="1:1" ht="17">
      <c r="A493" s="30" t="s">
        <v>4936</v>
      </c>
    </row>
    <row r="494" spans="1:1" ht="17">
      <c r="A494" s="30" t="s">
        <v>4937</v>
      </c>
    </row>
    <row r="495" spans="1:1" ht="17">
      <c r="A495" s="30" t="s">
        <v>4938</v>
      </c>
    </row>
    <row r="496" spans="1:1" ht="17">
      <c r="A496" s="30" t="s">
        <v>4939</v>
      </c>
    </row>
    <row r="497" spans="1:1" ht="17">
      <c r="A497" s="30" t="s">
        <v>4940</v>
      </c>
    </row>
    <row r="498" spans="1:1" ht="17">
      <c r="A498" s="30" t="s">
        <v>4941</v>
      </c>
    </row>
    <row r="499" spans="1:1" ht="17">
      <c r="A499" s="30" t="s">
        <v>4942</v>
      </c>
    </row>
    <row r="500" spans="1:1" ht="17">
      <c r="A500" s="30" t="s">
        <v>4943</v>
      </c>
    </row>
    <row r="501" spans="1:1" ht="17">
      <c r="A501" s="30" t="s">
        <v>4944</v>
      </c>
    </row>
    <row r="502" spans="1:1" ht="17">
      <c r="A502" s="30" t="s">
        <v>4945</v>
      </c>
    </row>
    <row r="503" spans="1:1" ht="17">
      <c r="A503" s="30" t="s">
        <v>4946</v>
      </c>
    </row>
    <row r="504" spans="1:1" ht="17">
      <c r="A504" s="30" t="s">
        <v>4947</v>
      </c>
    </row>
    <row r="505" spans="1:1" ht="17">
      <c r="A505" s="30" t="s">
        <v>4948</v>
      </c>
    </row>
    <row r="506" spans="1:1" ht="17">
      <c r="A506" s="30" t="s">
        <v>4949</v>
      </c>
    </row>
    <row r="507" spans="1:1" ht="17">
      <c r="A507" s="30" t="s">
        <v>4950</v>
      </c>
    </row>
    <row r="508" spans="1:1" ht="17">
      <c r="A508" s="30" t="s">
        <v>4951</v>
      </c>
    </row>
    <row r="509" spans="1:1" ht="17">
      <c r="A509" s="30" t="s">
        <v>4952</v>
      </c>
    </row>
    <row r="510" spans="1:1" ht="17">
      <c r="A510" s="30" t="s">
        <v>4953</v>
      </c>
    </row>
    <row r="511" spans="1:1" ht="17">
      <c r="A511" s="30" t="s">
        <v>4954</v>
      </c>
    </row>
    <row r="512" spans="1:1" ht="17">
      <c r="A512" s="30" t="s">
        <v>4955</v>
      </c>
    </row>
    <row r="513" spans="1:1" ht="17">
      <c r="A513" s="30" t="s">
        <v>4956</v>
      </c>
    </row>
    <row r="514" spans="1:1" ht="17">
      <c r="A514" s="30" t="s">
        <v>4957</v>
      </c>
    </row>
    <row r="515" spans="1:1" ht="17">
      <c r="A515" s="30" t="s">
        <v>4958</v>
      </c>
    </row>
    <row r="516" spans="1:1" ht="17">
      <c r="A516" s="30" t="s">
        <v>4959</v>
      </c>
    </row>
    <row r="517" spans="1:1" ht="17">
      <c r="A517" s="30" t="s">
        <v>4960</v>
      </c>
    </row>
    <row r="518" spans="1:1" ht="17">
      <c r="A518" s="30" t="s">
        <v>4961</v>
      </c>
    </row>
    <row r="519" spans="1:1" ht="17">
      <c r="A519" s="30" t="s">
        <v>4962</v>
      </c>
    </row>
    <row r="520" spans="1:1" ht="17">
      <c r="A520" s="30" t="s">
        <v>4963</v>
      </c>
    </row>
    <row r="521" spans="1:1" ht="17">
      <c r="A521" s="30" t="s">
        <v>4964</v>
      </c>
    </row>
    <row r="522" spans="1:1" ht="17">
      <c r="A522" s="30" t="s">
        <v>4965</v>
      </c>
    </row>
    <row r="523" spans="1:1" ht="17">
      <c r="A523" s="30" t="s">
        <v>4966</v>
      </c>
    </row>
    <row r="524" spans="1:1" ht="17">
      <c r="A524" s="30" t="s">
        <v>4967</v>
      </c>
    </row>
    <row r="525" spans="1:1" ht="17">
      <c r="A525" s="30" t="s">
        <v>4968</v>
      </c>
    </row>
    <row r="526" spans="1:1" ht="17">
      <c r="A526" s="30" t="s">
        <v>4969</v>
      </c>
    </row>
    <row r="527" spans="1:1" ht="17">
      <c r="A527" s="30" t="s">
        <v>4970</v>
      </c>
    </row>
    <row r="528" spans="1:1" ht="17">
      <c r="A528" s="30" t="s">
        <v>4971</v>
      </c>
    </row>
    <row r="529" spans="1:1" ht="17">
      <c r="A529" s="30" t="s">
        <v>4972</v>
      </c>
    </row>
    <row r="530" spans="1:1" ht="17">
      <c r="A530" s="30" t="s">
        <v>4973</v>
      </c>
    </row>
    <row r="531" spans="1:1" ht="17">
      <c r="A531" s="30" t="s">
        <v>4974</v>
      </c>
    </row>
    <row r="532" spans="1:1" ht="17">
      <c r="A532" s="30" t="s">
        <v>4975</v>
      </c>
    </row>
    <row r="533" spans="1:1" ht="17">
      <c r="A533" s="30" t="s">
        <v>4976</v>
      </c>
    </row>
    <row r="534" spans="1:1" ht="17">
      <c r="A534" s="30" t="s">
        <v>4977</v>
      </c>
    </row>
    <row r="535" spans="1:1" ht="17">
      <c r="A535" s="30" t="s">
        <v>4978</v>
      </c>
    </row>
    <row r="536" spans="1:1" ht="17">
      <c r="A536" s="30" t="s">
        <v>4979</v>
      </c>
    </row>
    <row r="537" spans="1:1" ht="17">
      <c r="A537" s="30" t="s">
        <v>4980</v>
      </c>
    </row>
    <row r="538" spans="1:1" ht="17">
      <c r="A538" s="30" t="s">
        <v>4981</v>
      </c>
    </row>
    <row r="539" spans="1:1" ht="17">
      <c r="A539" s="30" t="s">
        <v>4982</v>
      </c>
    </row>
    <row r="540" spans="1:1" ht="17">
      <c r="A540" s="30" t="s">
        <v>4983</v>
      </c>
    </row>
    <row r="541" spans="1:1" ht="17">
      <c r="A541" s="30" t="s">
        <v>4984</v>
      </c>
    </row>
    <row r="542" spans="1:1" ht="17">
      <c r="A542" s="30" t="s">
        <v>4985</v>
      </c>
    </row>
    <row r="543" spans="1:1" ht="17">
      <c r="A543" s="30" t="s">
        <v>4986</v>
      </c>
    </row>
    <row r="544" spans="1:1" ht="17">
      <c r="A544" s="30" t="s">
        <v>4987</v>
      </c>
    </row>
    <row r="545" spans="1:1" ht="17">
      <c r="A545" s="30" t="s">
        <v>4988</v>
      </c>
    </row>
    <row r="546" spans="1:1" ht="17">
      <c r="A546" s="30" t="s">
        <v>4989</v>
      </c>
    </row>
    <row r="547" spans="1:1" ht="17">
      <c r="A547" s="30" t="s">
        <v>3785</v>
      </c>
    </row>
    <row r="548" spans="1:1" ht="17">
      <c r="A548" s="30" t="s">
        <v>4990</v>
      </c>
    </row>
    <row r="549" spans="1:1" ht="17">
      <c r="A549" s="30" t="s">
        <v>4991</v>
      </c>
    </row>
    <row r="550" spans="1:1" ht="17">
      <c r="A550" s="30" t="s">
        <v>4992</v>
      </c>
    </row>
    <row r="551" spans="1:1" ht="17">
      <c r="A551" s="30" t="s">
        <v>4993</v>
      </c>
    </row>
    <row r="552" spans="1:1" ht="17">
      <c r="A552" s="30" t="s">
        <v>4994</v>
      </c>
    </row>
    <row r="553" spans="1:1" ht="17">
      <c r="A553" s="30" t="s">
        <v>4995</v>
      </c>
    </row>
    <row r="554" spans="1:1" ht="17">
      <c r="A554" s="30" t="s">
        <v>4996</v>
      </c>
    </row>
    <row r="555" spans="1:1" ht="17">
      <c r="A555" s="30" t="s">
        <v>4997</v>
      </c>
    </row>
    <row r="556" spans="1:1" ht="17">
      <c r="A556" s="30" t="s">
        <v>4998</v>
      </c>
    </row>
    <row r="557" spans="1:1" ht="17">
      <c r="A557" s="30" t="s">
        <v>4999</v>
      </c>
    </row>
    <row r="558" spans="1:1" ht="17">
      <c r="A558" s="30" t="s">
        <v>5000</v>
      </c>
    </row>
    <row r="559" spans="1:1" ht="17">
      <c r="A559" s="30" t="s">
        <v>5001</v>
      </c>
    </row>
    <row r="560" spans="1:1" ht="17">
      <c r="A560" s="30" t="s">
        <v>5002</v>
      </c>
    </row>
    <row r="561" spans="1:1" ht="17">
      <c r="A561" s="30" t="s">
        <v>5003</v>
      </c>
    </row>
    <row r="562" spans="1:1" ht="17">
      <c r="A562" s="30" t="s">
        <v>5004</v>
      </c>
    </row>
    <row r="563" spans="1:1" ht="17">
      <c r="A563" s="30" t="s">
        <v>5005</v>
      </c>
    </row>
    <row r="564" spans="1:1" ht="17">
      <c r="A564" s="30" t="s">
        <v>5006</v>
      </c>
    </row>
    <row r="565" spans="1:1" ht="17">
      <c r="A565" s="30" t="s">
        <v>3786</v>
      </c>
    </row>
    <row r="566" spans="1:1" ht="17">
      <c r="A566" s="30" t="s">
        <v>3787</v>
      </c>
    </row>
    <row r="567" spans="1:1" ht="17">
      <c r="A567" s="30" t="s">
        <v>3788</v>
      </c>
    </row>
    <row r="568" spans="1:1" ht="17">
      <c r="A568" s="30" t="s">
        <v>3789</v>
      </c>
    </row>
    <row r="569" spans="1:1" ht="17">
      <c r="A569" s="30" t="s">
        <v>3790</v>
      </c>
    </row>
    <row r="570" spans="1:1" ht="17">
      <c r="A570" s="30" t="s">
        <v>3791</v>
      </c>
    </row>
    <row r="571" spans="1:1" ht="17">
      <c r="A571" s="30" t="s">
        <v>3795</v>
      </c>
    </row>
    <row r="572" spans="1:1" ht="17">
      <c r="A572" s="30" t="s">
        <v>3796</v>
      </c>
    </row>
    <row r="573" spans="1:1" ht="17">
      <c r="A573" s="30" t="s">
        <v>5007</v>
      </c>
    </row>
    <row r="574" spans="1:1" ht="17">
      <c r="A574" s="30" t="s">
        <v>3797</v>
      </c>
    </row>
    <row r="575" spans="1:1" ht="17">
      <c r="A575" s="30" t="s">
        <v>3798</v>
      </c>
    </row>
    <row r="576" spans="1:1" ht="17">
      <c r="A576" s="30" t="s">
        <v>3799</v>
      </c>
    </row>
    <row r="577" spans="1:1" ht="17">
      <c r="A577" s="30" t="s">
        <v>3800</v>
      </c>
    </row>
    <row r="578" spans="1:1" ht="17">
      <c r="A578" s="30" t="s">
        <v>5008</v>
      </c>
    </row>
    <row r="579" spans="1:1" ht="17">
      <c r="A579" s="30" t="s">
        <v>5009</v>
      </c>
    </row>
    <row r="580" spans="1:1" ht="17">
      <c r="A580" s="30" t="s">
        <v>5010</v>
      </c>
    </row>
    <row r="581" spans="1:1" ht="17">
      <c r="A581" s="30" t="s">
        <v>5011</v>
      </c>
    </row>
    <row r="582" spans="1:1" ht="17">
      <c r="A582" s="30" t="s">
        <v>5012</v>
      </c>
    </row>
    <row r="583" spans="1:1" ht="17">
      <c r="A583" s="30" t="s">
        <v>5013</v>
      </c>
    </row>
    <row r="584" spans="1:1" ht="17">
      <c r="A584" s="30" t="s">
        <v>5014</v>
      </c>
    </row>
    <row r="585" spans="1:1" ht="17">
      <c r="A585" s="30" t="s">
        <v>5015</v>
      </c>
    </row>
    <row r="586" spans="1:1" ht="17">
      <c r="A586" s="30" t="s">
        <v>5016</v>
      </c>
    </row>
    <row r="587" spans="1:1" ht="17">
      <c r="A587" s="30" t="s">
        <v>5017</v>
      </c>
    </row>
    <row r="588" spans="1:1" ht="17">
      <c r="A588" s="30" t="s">
        <v>5018</v>
      </c>
    </row>
    <row r="589" spans="1:1" ht="17">
      <c r="A589" s="30" t="s">
        <v>5019</v>
      </c>
    </row>
    <row r="590" spans="1:1" ht="17">
      <c r="A590" s="30" t="s">
        <v>5020</v>
      </c>
    </row>
    <row r="591" spans="1:1" ht="17">
      <c r="A591" s="30" t="s">
        <v>5021</v>
      </c>
    </row>
    <row r="592" spans="1:1" ht="17">
      <c r="A592" s="30" t="s">
        <v>5022</v>
      </c>
    </row>
    <row r="593" spans="1:1" ht="17">
      <c r="A593" s="30" t="s">
        <v>5023</v>
      </c>
    </row>
    <row r="594" spans="1:1" ht="17">
      <c r="A594" s="30" t="s">
        <v>5024</v>
      </c>
    </row>
    <row r="595" spans="1:1" ht="17">
      <c r="A595" s="30" t="s">
        <v>5025</v>
      </c>
    </row>
    <row r="596" spans="1:1" ht="17">
      <c r="A596" s="30" t="s">
        <v>5026</v>
      </c>
    </row>
    <row r="597" spans="1:1" ht="17">
      <c r="A597" s="30" t="s">
        <v>5027</v>
      </c>
    </row>
    <row r="598" spans="1:1" ht="17">
      <c r="A598" s="30" t="s">
        <v>5028</v>
      </c>
    </row>
    <row r="599" spans="1:1" ht="17">
      <c r="A599" s="30" t="s">
        <v>5029</v>
      </c>
    </row>
    <row r="600" spans="1:1" ht="17">
      <c r="A600" s="30" t="s">
        <v>5030</v>
      </c>
    </row>
    <row r="601" spans="1:1" ht="17">
      <c r="A601" s="30" t="s">
        <v>5031</v>
      </c>
    </row>
    <row r="602" spans="1:1" ht="17">
      <c r="A602" s="30" t="s">
        <v>5032</v>
      </c>
    </row>
    <row r="603" spans="1:1" ht="17">
      <c r="A603" s="30" t="s">
        <v>5033</v>
      </c>
    </row>
    <row r="604" spans="1:1" ht="17">
      <c r="A604" s="30" t="s">
        <v>5034</v>
      </c>
    </row>
    <row r="605" spans="1:1" ht="17">
      <c r="A605" s="30" t="s">
        <v>5035</v>
      </c>
    </row>
    <row r="606" spans="1:1" ht="17">
      <c r="A606" s="30" t="s">
        <v>5036</v>
      </c>
    </row>
    <row r="607" spans="1:1" ht="17">
      <c r="A607" s="30" t="s">
        <v>5037</v>
      </c>
    </row>
    <row r="608" spans="1:1" ht="17">
      <c r="A608" s="30" t="s">
        <v>5038</v>
      </c>
    </row>
    <row r="609" spans="1:1" ht="17">
      <c r="A609" s="30" t="s">
        <v>5039</v>
      </c>
    </row>
    <row r="610" spans="1:1" ht="17">
      <c r="A610" s="30" t="s">
        <v>5040</v>
      </c>
    </row>
    <row r="611" spans="1:1" ht="17">
      <c r="A611" s="30" t="s">
        <v>5041</v>
      </c>
    </row>
    <row r="612" spans="1:1" ht="17">
      <c r="A612" s="30" t="s">
        <v>5042</v>
      </c>
    </row>
    <row r="613" spans="1:1" ht="17">
      <c r="A613" s="30" t="s">
        <v>5043</v>
      </c>
    </row>
    <row r="614" spans="1:1" ht="17">
      <c r="A614" s="30" t="s">
        <v>5044</v>
      </c>
    </row>
    <row r="615" spans="1:1" ht="17">
      <c r="A615" s="30" t="s">
        <v>5045</v>
      </c>
    </row>
    <row r="616" spans="1:1" ht="17">
      <c r="A616" s="30" t="s">
        <v>5046</v>
      </c>
    </row>
    <row r="617" spans="1:1" ht="17">
      <c r="A617" s="30" t="s">
        <v>5047</v>
      </c>
    </row>
    <row r="618" spans="1:1" ht="17">
      <c r="A618" s="30" t="s">
        <v>5048</v>
      </c>
    </row>
    <row r="619" spans="1:1" ht="17">
      <c r="A619" s="30" t="s">
        <v>5049</v>
      </c>
    </row>
    <row r="620" spans="1:1" ht="17">
      <c r="A620" s="30" t="s">
        <v>5050</v>
      </c>
    </row>
    <row r="621" spans="1:1" ht="17">
      <c r="A621" s="30" t="s">
        <v>5051</v>
      </c>
    </row>
    <row r="622" spans="1:1" ht="17">
      <c r="A622" s="30" t="s">
        <v>5052</v>
      </c>
    </row>
    <row r="623" spans="1:1" ht="17">
      <c r="A623" s="30" t="s">
        <v>5053</v>
      </c>
    </row>
    <row r="624" spans="1:1" ht="17">
      <c r="A624" s="30" t="s">
        <v>5054</v>
      </c>
    </row>
    <row r="625" spans="1:1" ht="17">
      <c r="A625" s="30" t="s">
        <v>5055</v>
      </c>
    </row>
    <row r="626" spans="1:1" ht="17">
      <c r="A626" s="30" t="s">
        <v>5056</v>
      </c>
    </row>
    <row r="627" spans="1:1" ht="17">
      <c r="A627" s="30" t="s">
        <v>5057</v>
      </c>
    </row>
    <row r="628" spans="1:1" ht="17">
      <c r="A628" s="30" t="s">
        <v>5058</v>
      </c>
    </row>
    <row r="629" spans="1:1" ht="17">
      <c r="A629" s="30" t="s">
        <v>5059</v>
      </c>
    </row>
    <row r="630" spans="1:1" ht="17">
      <c r="A630" s="30" t="s">
        <v>5060</v>
      </c>
    </row>
    <row r="631" spans="1:1" ht="17">
      <c r="A631" s="30" t="s">
        <v>5061</v>
      </c>
    </row>
    <row r="632" spans="1:1" ht="17">
      <c r="A632" s="30" t="s">
        <v>5062</v>
      </c>
    </row>
    <row r="633" spans="1:1" ht="17">
      <c r="A633" s="30" t="s">
        <v>5063</v>
      </c>
    </row>
    <row r="634" spans="1:1" ht="17">
      <c r="A634" s="30" t="s">
        <v>5064</v>
      </c>
    </row>
    <row r="635" spans="1:1" ht="17">
      <c r="A635" s="30" t="s">
        <v>5065</v>
      </c>
    </row>
    <row r="636" spans="1:1" ht="17">
      <c r="A636" s="30" t="s">
        <v>5066</v>
      </c>
    </row>
    <row r="637" spans="1:1" ht="17">
      <c r="A637" s="30" t="s">
        <v>5067</v>
      </c>
    </row>
    <row r="638" spans="1:1" ht="17">
      <c r="A638" s="30" t="s">
        <v>5068</v>
      </c>
    </row>
    <row r="639" spans="1:1" ht="17">
      <c r="A639" s="30" t="s">
        <v>5069</v>
      </c>
    </row>
    <row r="640" spans="1:1" ht="17">
      <c r="A640" s="30" t="s">
        <v>5070</v>
      </c>
    </row>
    <row r="641" spans="1:1" ht="17">
      <c r="A641" s="30" t="s">
        <v>5071</v>
      </c>
    </row>
    <row r="642" spans="1:1" ht="17">
      <c r="A642" s="30" t="s">
        <v>5072</v>
      </c>
    </row>
    <row r="643" spans="1:1" ht="17">
      <c r="A643" s="30" t="s">
        <v>5073</v>
      </c>
    </row>
    <row r="644" spans="1:1" ht="17">
      <c r="A644" s="30" t="s">
        <v>5074</v>
      </c>
    </row>
    <row r="645" spans="1:1" ht="17">
      <c r="A645" s="30" t="s">
        <v>5075</v>
      </c>
    </row>
    <row r="646" spans="1:1" ht="17">
      <c r="A646" s="30" t="s">
        <v>5076</v>
      </c>
    </row>
    <row r="647" spans="1:1" ht="17">
      <c r="A647" s="30" t="s">
        <v>5077</v>
      </c>
    </row>
    <row r="648" spans="1:1" ht="17">
      <c r="A648" s="30" t="s">
        <v>5078</v>
      </c>
    </row>
    <row r="649" spans="1:1" ht="17">
      <c r="A649" s="30" t="s">
        <v>5079</v>
      </c>
    </row>
    <row r="650" spans="1:1" ht="17">
      <c r="A650" s="30" t="s">
        <v>5080</v>
      </c>
    </row>
    <row r="651" spans="1:1" ht="17">
      <c r="A651" s="30" t="s">
        <v>5081</v>
      </c>
    </row>
    <row r="652" spans="1:1" ht="17">
      <c r="A652" s="30" t="s">
        <v>5082</v>
      </c>
    </row>
    <row r="653" spans="1:1" ht="17">
      <c r="A653" s="30" t="s">
        <v>5083</v>
      </c>
    </row>
    <row r="654" spans="1:1" ht="17">
      <c r="A654" s="30" t="s">
        <v>5084</v>
      </c>
    </row>
    <row r="655" spans="1:1" ht="17">
      <c r="A655" s="30" t="s">
        <v>5085</v>
      </c>
    </row>
    <row r="656" spans="1:1" ht="17">
      <c r="A656" s="30" t="s">
        <v>5086</v>
      </c>
    </row>
    <row r="657" spans="1:1" ht="17">
      <c r="A657" s="30" t="s">
        <v>5087</v>
      </c>
    </row>
    <row r="658" spans="1:1" ht="17">
      <c r="A658" s="30" t="s">
        <v>5088</v>
      </c>
    </row>
    <row r="659" spans="1:1" ht="17">
      <c r="A659" s="30" t="s">
        <v>5089</v>
      </c>
    </row>
    <row r="660" spans="1:1" ht="17">
      <c r="A660" s="30" t="s">
        <v>5090</v>
      </c>
    </row>
    <row r="661" spans="1:1" ht="17">
      <c r="A661" s="30" t="s">
        <v>5091</v>
      </c>
    </row>
    <row r="662" spans="1:1" ht="17">
      <c r="A662" s="30" t="s">
        <v>5092</v>
      </c>
    </row>
    <row r="663" spans="1:1" ht="17">
      <c r="A663" s="30" t="s">
        <v>5093</v>
      </c>
    </row>
    <row r="664" spans="1:1" ht="17">
      <c r="A664" s="30" t="s">
        <v>5094</v>
      </c>
    </row>
    <row r="665" spans="1:1" ht="17">
      <c r="A665" s="30" t="s">
        <v>5095</v>
      </c>
    </row>
    <row r="666" spans="1:1" ht="17">
      <c r="A666" s="30" t="s">
        <v>5096</v>
      </c>
    </row>
    <row r="667" spans="1:1" ht="17">
      <c r="A667" s="30" t="s">
        <v>5097</v>
      </c>
    </row>
    <row r="668" spans="1:1" ht="17">
      <c r="A668" s="30" t="s">
        <v>5098</v>
      </c>
    </row>
    <row r="669" spans="1:1" ht="17">
      <c r="A669" s="30" t="s">
        <v>5099</v>
      </c>
    </row>
    <row r="670" spans="1:1" ht="17">
      <c r="A670" s="30" t="s">
        <v>5100</v>
      </c>
    </row>
    <row r="671" spans="1:1" ht="17">
      <c r="A671" s="30" t="s">
        <v>5101</v>
      </c>
    </row>
    <row r="672" spans="1:1" ht="17">
      <c r="A672" s="30" t="s">
        <v>5102</v>
      </c>
    </row>
    <row r="673" spans="1:1" ht="17">
      <c r="A673" s="30" t="s">
        <v>5103</v>
      </c>
    </row>
    <row r="674" spans="1:1" ht="17">
      <c r="A674" s="30" t="s">
        <v>5104</v>
      </c>
    </row>
    <row r="675" spans="1:1" ht="17">
      <c r="A675" s="30" t="s">
        <v>5105</v>
      </c>
    </row>
    <row r="676" spans="1:1" ht="17">
      <c r="A676" s="30" t="s">
        <v>5106</v>
      </c>
    </row>
    <row r="677" spans="1:1" ht="17">
      <c r="A677" s="30" t="s">
        <v>5107</v>
      </c>
    </row>
    <row r="678" spans="1:1" ht="17">
      <c r="A678" s="30" t="s">
        <v>5108</v>
      </c>
    </row>
    <row r="679" spans="1:1" ht="17">
      <c r="A679" s="30" t="s">
        <v>5109</v>
      </c>
    </row>
    <row r="680" spans="1:1" ht="17">
      <c r="A680" s="30" t="s">
        <v>5110</v>
      </c>
    </row>
    <row r="681" spans="1:1" ht="17">
      <c r="A681" s="30" t="s">
        <v>5111</v>
      </c>
    </row>
    <row r="682" spans="1:1" ht="17">
      <c r="A682" s="30" t="s">
        <v>5112</v>
      </c>
    </row>
    <row r="683" spans="1:1" ht="17">
      <c r="A683" s="30" t="s">
        <v>5113</v>
      </c>
    </row>
    <row r="684" spans="1:1" ht="17">
      <c r="A684" s="30" t="s">
        <v>5114</v>
      </c>
    </row>
    <row r="685" spans="1:1" ht="17">
      <c r="A685" s="30" t="s">
        <v>5115</v>
      </c>
    </row>
    <row r="686" spans="1:1" ht="17">
      <c r="A686" s="30" t="s">
        <v>5116</v>
      </c>
    </row>
    <row r="687" spans="1:1" ht="17">
      <c r="A687" s="30" t="s">
        <v>5117</v>
      </c>
    </row>
    <row r="688" spans="1:1" ht="17">
      <c r="A688" s="30" t="s">
        <v>5118</v>
      </c>
    </row>
    <row r="689" spans="1:1" ht="17">
      <c r="A689" s="30" t="s">
        <v>5119</v>
      </c>
    </row>
    <row r="690" spans="1:1" ht="17">
      <c r="A690" s="30" t="s">
        <v>5120</v>
      </c>
    </row>
    <row r="691" spans="1:1" ht="17">
      <c r="A691" s="30" t="s">
        <v>5121</v>
      </c>
    </row>
    <row r="692" spans="1:1" ht="17">
      <c r="A692" s="30" t="s">
        <v>5122</v>
      </c>
    </row>
    <row r="693" spans="1:1" ht="17">
      <c r="A693" s="30" t="s">
        <v>5123</v>
      </c>
    </row>
    <row r="694" spans="1:1" ht="17">
      <c r="A694" s="30" t="s">
        <v>5124</v>
      </c>
    </row>
    <row r="695" spans="1:1" ht="17">
      <c r="A695" s="30" t="s">
        <v>5125</v>
      </c>
    </row>
    <row r="696" spans="1:1" ht="17">
      <c r="A696" s="30" t="s">
        <v>5126</v>
      </c>
    </row>
    <row r="697" spans="1:1" ht="17">
      <c r="A697" s="30" t="s">
        <v>5127</v>
      </c>
    </row>
    <row r="698" spans="1:1" ht="17">
      <c r="A698" s="30" t="s">
        <v>5128</v>
      </c>
    </row>
    <row r="699" spans="1:1" ht="17">
      <c r="A699" s="30" t="s">
        <v>5129</v>
      </c>
    </row>
    <row r="700" spans="1:1" ht="17">
      <c r="A700" s="30" t="s">
        <v>5130</v>
      </c>
    </row>
    <row r="701" spans="1:1" ht="17">
      <c r="A701" s="30" t="s">
        <v>5131</v>
      </c>
    </row>
    <row r="702" spans="1:1" ht="17">
      <c r="A702" s="30" t="s">
        <v>5132</v>
      </c>
    </row>
    <row r="703" spans="1:1" ht="17">
      <c r="A703" s="30" t="s">
        <v>5133</v>
      </c>
    </row>
    <row r="704" spans="1:1" ht="17">
      <c r="A704" s="30" t="s">
        <v>5134</v>
      </c>
    </row>
    <row r="705" spans="1:1" ht="17">
      <c r="A705" s="30" t="s">
        <v>5135</v>
      </c>
    </row>
    <row r="706" spans="1:1" ht="17">
      <c r="A706" s="30" t="s">
        <v>5136</v>
      </c>
    </row>
    <row r="707" spans="1:1" ht="17">
      <c r="A707" s="30" t="s">
        <v>5137</v>
      </c>
    </row>
    <row r="708" spans="1:1" ht="17">
      <c r="A708" s="30" t="s">
        <v>5138</v>
      </c>
    </row>
    <row r="709" spans="1:1" ht="17">
      <c r="A709" s="30" t="s">
        <v>5139</v>
      </c>
    </row>
    <row r="710" spans="1:1" ht="17">
      <c r="A710" s="30" t="s">
        <v>5140</v>
      </c>
    </row>
    <row r="711" spans="1:1" ht="17">
      <c r="A711" s="30" t="s">
        <v>5141</v>
      </c>
    </row>
    <row r="712" spans="1:1" ht="17">
      <c r="A712" s="30" t="s">
        <v>5142</v>
      </c>
    </row>
    <row r="713" spans="1:1" ht="17">
      <c r="A713" s="30" t="s">
        <v>5143</v>
      </c>
    </row>
    <row r="714" spans="1:1" ht="17">
      <c r="A714" s="30" t="s">
        <v>5144</v>
      </c>
    </row>
    <row r="715" spans="1:1" ht="17">
      <c r="A715" s="30" t="s">
        <v>5145</v>
      </c>
    </row>
    <row r="716" spans="1:1" ht="17">
      <c r="A716" s="30" t="s">
        <v>5146</v>
      </c>
    </row>
    <row r="717" spans="1:1" ht="17">
      <c r="A717" s="30" t="s">
        <v>5147</v>
      </c>
    </row>
    <row r="718" spans="1:1" ht="17">
      <c r="A718" s="30" t="s">
        <v>5148</v>
      </c>
    </row>
    <row r="719" spans="1:1" ht="17">
      <c r="A719" s="30" t="s">
        <v>5149</v>
      </c>
    </row>
    <row r="720" spans="1:1" ht="17">
      <c r="A720" s="30" t="s">
        <v>5150</v>
      </c>
    </row>
    <row r="721" spans="1:1" ht="17">
      <c r="A721" s="30" t="s">
        <v>5151</v>
      </c>
    </row>
    <row r="722" spans="1:1" ht="17">
      <c r="A722" s="30" t="s">
        <v>5152</v>
      </c>
    </row>
    <row r="723" spans="1:1" ht="17">
      <c r="A723" s="30" t="s">
        <v>5153</v>
      </c>
    </row>
    <row r="724" spans="1:1" ht="17">
      <c r="A724" s="30" t="s">
        <v>5154</v>
      </c>
    </row>
    <row r="725" spans="1:1" ht="17">
      <c r="A725" s="30" t="s">
        <v>5155</v>
      </c>
    </row>
    <row r="726" spans="1:1" ht="17">
      <c r="A726" s="30" t="s">
        <v>5156</v>
      </c>
    </row>
    <row r="727" spans="1:1" ht="17">
      <c r="A727" s="30" t="s">
        <v>3801</v>
      </c>
    </row>
    <row r="728" spans="1:1" ht="17">
      <c r="A728" s="30" t="s">
        <v>3802</v>
      </c>
    </row>
    <row r="729" spans="1:1" ht="17">
      <c r="A729" s="30" t="s">
        <v>3803</v>
      </c>
    </row>
    <row r="730" spans="1:1" ht="17">
      <c r="A730" s="30" t="s">
        <v>3804</v>
      </c>
    </row>
    <row r="731" spans="1:1" ht="17">
      <c r="A731" s="30" t="s">
        <v>3805</v>
      </c>
    </row>
    <row r="732" spans="1:1" ht="17">
      <c r="A732" s="30" t="s">
        <v>3806</v>
      </c>
    </row>
    <row r="733" spans="1:1" ht="17">
      <c r="A733" s="30" t="s">
        <v>5157</v>
      </c>
    </row>
    <row r="734" spans="1:1" ht="17">
      <c r="A734" s="30" t="s">
        <v>5158</v>
      </c>
    </row>
    <row r="735" spans="1:1" ht="17">
      <c r="A735" s="30" t="s">
        <v>3715</v>
      </c>
    </row>
    <row r="736" spans="1:1" ht="17">
      <c r="A736" s="30" t="s">
        <v>3716</v>
      </c>
    </row>
    <row r="737" spans="1:1" ht="17">
      <c r="A737" s="30" t="s">
        <v>5159</v>
      </c>
    </row>
    <row r="738" spans="1:1" ht="17">
      <c r="A738" s="30" t="s">
        <v>3871</v>
      </c>
    </row>
    <row r="739" spans="1:1" ht="17">
      <c r="A739" s="30" t="s">
        <v>3873</v>
      </c>
    </row>
    <row r="740" spans="1:1" ht="17">
      <c r="A740" s="30" t="s">
        <v>3875</v>
      </c>
    </row>
    <row r="741" spans="1:1" ht="17">
      <c r="A741" s="30" t="s">
        <v>5160</v>
      </c>
    </row>
    <row r="742" spans="1:1" ht="17">
      <c r="A742" s="30" t="s">
        <v>5161</v>
      </c>
    </row>
    <row r="743" spans="1:1" ht="17">
      <c r="A743" s="30" t="s">
        <v>5162</v>
      </c>
    </row>
    <row r="744" spans="1:1" ht="17">
      <c r="A744" s="30" t="s">
        <v>5163</v>
      </c>
    </row>
    <row r="745" spans="1:1" ht="17">
      <c r="A745" s="30" t="s">
        <v>5164</v>
      </c>
    </row>
    <row r="746" spans="1:1" ht="17">
      <c r="A746" s="30" t="s">
        <v>5165</v>
      </c>
    </row>
    <row r="747" spans="1:1" ht="17">
      <c r="A747" s="30" t="s">
        <v>5166</v>
      </c>
    </row>
    <row r="748" spans="1:1" ht="17">
      <c r="A748" s="30" t="s">
        <v>5167</v>
      </c>
    </row>
    <row r="749" spans="1:1" ht="17">
      <c r="A749" s="30" t="s">
        <v>5168</v>
      </c>
    </row>
    <row r="750" spans="1:1" ht="17">
      <c r="A750" s="30" t="s">
        <v>5169</v>
      </c>
    </row>
    <row r="751" spans="1:1" ht="17">
      <c r="A751" s="30" t="s">
        <v>5170</v>
      </c>
    </row>
    <row r="752" spans="1:1" ht="17">
      <c r="A752" s="30" t="s">
        <v>5171</v>
      </c>
    </row>
    <row r="753" spans="1:1" ht="17">
      <c r="A753" s="30" t="s">
        <v>5172</v>
      </c>
    </row>
    <row r="754" spans="1:1" ht="17">
      <c r="A754" s="30" t="s">
        <v>5173</v>
      </c>
    </row>
    <row r="755" spans="1:1" ht="17">
      <c r="A755" s="30" t="s">
        <v>5174</v>
      </c>
    </row>
    <row r="756" spans="1:1" ht="17">
      <c r="A756" s="30" t="s">
        <v>5175</v>
      </c>
    </row>
    <row r="757" spans="1:1" ht="17">
      <c r="A757" s="30" t="s">
        <v>5176</v>
      </c>
    </row>
    <row r="758" spans="1:1" ht="17">
      <c r="A758" s="30" t="s">
        <v>5177</v>
      </c>
    </row>
    <row r="759" spans="1:1" ht="17">
      <c r="A759" s="30" t="s">
        <v>5178</v>
      </c>
    </row>
    <row r="760" spans="1:1" ht="17">
      <c r="A760" s="30" t="s">
        <v>5179</v>
      </c>
    </row>
    <row r="761" spans="1:1" ht="17">
      <c r="A761" s="30" t="s">
        <v>5180</v>
      </c>
    </row>
    <row r="762" spans="1:1" ht="17">
      <c r="A762" s="30" t="s">
        <v>5181</v>
      </c>
    </row>
    <row r="763" spans="1:1" ht="17">
      <c r="A763" s="30" t="s">
        <v>5182</v>
      </c>
    </row>
    <row r="764" spans="1:1" ht="17">
      <c r="A764" s="30" t="s">
        <v>5183</v>
      </c>
    </row>
    <row r="765" spans="1:1" ht="17">
      <c r="A765" s="30" t="s">
        <v>5184</v>
      </c>
    </row>
    <row r="766" spans="1:1" ht="17">
      <c r="A766" s="30" t="s">
        <v>5185</v>
      </c>
    </row>
    <row r="767" spans="1:1" ht="17">
      <c r="A767" s="30" t="s">
        <v>5186</v>
      </c>
    </row>
    <row r="768" spans="1:1" ht="17">
      <c r="A768" s="30" t="s">
        <v>5187</v>
      </c>
    </row>
    <row r="769" spans="1:1" ht="17">
      <c r="A769" s="30" t="s">
        <v>5188</v>
      </c>
    </row>
    <row r="770" spans="1:1" ht="17">
      <c r="A770" s="30" t="s">
        <v>5189</v>
      </c>
    </row>
    <row r="771" spans="1:1" ht="17">
      <c r="A771" s="30" t="s">
        <v>5190</v>
      </c>
    </row>
    <row r="772" spans="1:1" ht="17">
      <c r="A772" s="30" t="s">
        <v>5191</v>
      </c>
    </row>
    <row r="773" spans="1:1" ht="17">
      <c r="A773" s="30" t="s">
        <v>5192</v>
      </c>
    </row>
    <row r="774" spans="1:1" ht="17">
      <c r="A774" s="30" t="s">
        <v>5193</v>
      </c>
    </row>
    <row r="775" spans="1:1" ht="17">
      <c r="A775" s="30" t="s">
        <v>5194</v>
      </c>
    </row>
    <row r="776" spans="1:1" ht="17">
      <c r="A776" s="30" t="s">
        <v>5195</v>
      </c>
    </row>
    <row r="777" spans="1:1" ht="17">
      <c r="A777" s="30" t="s">
        <v>5196</v>
      </c>
    </row>
    <row r="778" spans="1:1" ht="17">
      <c r="A778" s="30" t="s">
        <v>5197</v>
      </c>
    </row>
    <row r="779" spans="1:1" ht="17">
      <c r="A779" s="30" t="s">
        <v>5198</v>
      </c>
    </row>
    <row r="780" spans="1:1" ht="17">
      <c r="A780" s="30" t="s">
        <v>5199</v>
      </c>
    </row>
    <row r="781" spans="1:1" ht="17">
      <c r="A781" s="30" t="s">
        <v>5200</v>
      </c>
    </row>
    <row r="782" spans="1:1" ht="17">
      <c r="A782" s="30" t="s">
        <v>5201</v>
      </c>
    </row>
    <row r="783" spans="1:1" ht="17">
      <c r="A783" s="30" t="s">
        <v>3807</v>
      </c>
    </row>
    <row r="784" spans="1:1" ht="17">
      <c r="A784" s="30" t="s">
        <v>3808</v>
      </c>
    </row>
    <row r="785" spans="1:1" ht="17">
      <c r="A785" s="30" t="s">
        <v>3809</v>
      </c>
    </row>
    <row r="786" spans="1:1" ht="17">
      <c r="A786" s="30" t="s">
        <v>3810</v>
      </c>
    </row>
    <row r="787" spans="1:1" ht="17">
      <c r="A787" s="30" t="s">
        <v>3811</v>
      </c>
    </row>
    <row r="788" spans="1:1" ht="17">
      <c r="A788" s="30" t="s">
        <v>3849</v>
      </c>
    </row>
    <row r="789" spans="1:1" ht="17">
      <c r="A789" s="30" t="s">
        <v>3850</v>
      </c>
    </row>
    <row r="790" spans="1:1" ht="17">
      <c r="A790" s="30" t="s">
        <v>3851</v>
      </c>
    </row>
    <row r="791" spans="1:1" ht="17">
      <c r="A791" s="30" t="s">
        <v>3852</v>
      </c>
    </row>
    <row r="792" spans="1:1" ht="17">
      <c r="A792" s="30" t="s">
        <v>3853</v>
      </c>
    </row>
    <row r="793" spans="1:1" ht="17">
      <c r="A793" s="30" t="s">
        <v>3854</v>
      </c>
    </row>
    <row r="794" spans="1:1" ht="17">
      <c r="A794" s="30" t="s">
        <v>3855</v>
      </c>
    </row>
    <row r="795" spans="1:1" ht="17">
      <c r="A795" s="30" t="s">
        <v>3856</v>
      </c>
    </row>
    <row r="796" spans="1:1" ht="17">
      <c r="A796" s="30" t="s">
        <v>5202</v>
      </c>
    </row>
    <row r="797" spans="1:1" ht="17">
      <c r="A797" s="30" t="s">
        <v>5203</v>
      </c>
    </row>
    <row r="798" spans="1:1" ht="17">
      <c r="A798" s="30" t="s">
        <v>5204</v>
      </c>
    </row>
    <row r="799" spans="1:1" ht="17">
      <c r="A799" s="30" t="s">
        <v>5205</v>
      </c>
    </row>
    <row r="800" spans="1:1" ht="17">
      <c r="A800" s="30" t="s">
        <v>5206</v>
      </c>
    </row>
    <row r="801" spans="1:1" ht="17">
      <c r="A801" s="30" t="s">
        <v>5207</v>
      </c>
    </row>
    <row r="802" spans="1:1" ht="17">
      <c r="A802" s="30" t="s">
        <v>5208</v>
      </c>
    </row>
    <row r="803" spans="1:1" ht="17">
      <c r="A803" s="30" t="s">
        <v>5209</v>
      </c>
    </row>
    <row r="804" spans="1:1" ht="17">
      <c r="A804" s="30" t="s">
        <v>5210</v>
      </c>
    </row>
    <row r="805" spans="1:1" ht="17">
      <c r="A805" s="30" t="s">
        <v>5211</v>
      </c>
    </row>
    <row r="806" spans="1:1" ht="17">
      <c r="A806" s="30" t="s">
        <v>5212</v>
      </c>
    </row>
    <row r="807" spans="1:1" ht="17">
      <c r="A807" s="30" t="s">
        <v>5213</v>
      </c>
    </row>
    <row r="808" spans="1:1" ht="17">
      <c r="A808" s="30" t="s">
        <v>5214</v>
      </c>
    </row>
    <row r="809" spans="1:1" ht="17">
      <c r="A809" s="30" t="s">
        <v>5215</v>
      </c>
    </row>
    <row r="810" spans="1:1" ht="17">
      <c r="A810" s="30" t="s">
        <v>5216</v>
      </c>
    </row>
    <row r="811" spans="1:1" ht="17">
      <c r="A811" s="30" t="s">
        <v>5217</v>
      </c>
    </row>
    <row r="812" spans="1:1" ht="17">
      <c r="A812" s="30" t="s">
        <v>5218</v>
      </c>
    </row>
    <row r="813" spans="1:1" ht="17">
      <c r="A813" s="30" t="s">
        <v>5219</v>
      </c>
    </row>
    <row r="814" spans="1:1" ht="17">
      <c r="A814" s="30" t="s">
        <v>5220</v>
      </c>
    </row>
    <row r="815" spans="1:1" ht="17">
      <c r="A815" s="30" t="s">
        <v>3812</v>
      </c>
    </row>
    <row r="816" spans="1:1" ht="17">
      <c r="A816" s="30" t="s">
        <v>5221</v>
      </c>
    </row>
    <row r="817" spans="1:1" ht="17">
      <c r="A817" s="30" t="s">
        <v>5222</v>
      </c>
    </row>
    <row r="818" spans="1:1" ht="17">
      <c r="A818" s="30" t="s">
        <v>5223</v>
      </c>
    </row>
    <row r="819" spans="1:1" ht="17">
      <c r="A819" s="30" t="s">
        <v>5224</v>
      </c>
    </row>
    <row r="820" spans="1:1" ht="17">
      <c r="A820" s="30" t="s">
        <v>5225</v>
      </c>
    </row>
    <row r="821" spans="1:1" ht="17">
      <c r="A821" s="30" t="s">
        <v>5226</v>
      </c>
    </row>
    <row r="822" spans="1:1" ht="17">
      <c r="A822" s="30" t="s">
        <v>5227</v>
      </c>
    </row>
    <row r="823" spans="1:1" ht="17">
      <c r="A823" s="30" t="s">
        <v>5228</v>
      </c>
    </row>
    <row r="824" spans="1:1" ht="17">
      <c r="A824" s="30" t="s">
        <v>5229</v>
      </c>
    </row>
    <row r="825" spans="1:1" ht="17">
      <c r="A825" s="30" t="s">
        <v>5230</v>
      </c>
    </row>
    <row r="826" spans="1:1" ht="17">
      <c r="A826" s="30" t="s">
        <v>5231</v>
      </c>
    </row>
    <row r="827" spans="1:1" ht="17">
      <c r="A827" s="30" t="s">
        <v>5232</v>
      </c>
    </row>
    <row r="828" spans="1:1" ht="17">
      <c r="A828" s="30" t="s">
        <v>5233</v>
      </c>
    </row>
    <row r="829" spans="1:1" ht="17">
      <c r="A829" s="30" t="s">
        <v>5234</v>
      </c>
    </row>
    <row r="830" spans="1:1" ht="17">
      <c r="A830" s="30" t="s">
        <v>5235</v>
      </c>
    </row>
    <row r="831" spans="1:1" ht="17">
      <c r="A831" s="30" t="s">
        <v>5236</v>
      </c>
    </row>
    <row r="832" spans="1:1" ht="17">
      <c r="A832" s="30" t="s">
        <v>5237</v>
      </c>
    </row>
    <row r="833" spans="1:1" ht="17">
      <c r="A833" s="30" t="s">
        <v>5238</v>
      </c>
    </row>
    <row r="834" spans="1:1" ht="17">
      <c r="A834" s="30" t="s">
        <v>5239</v>
      </c>
    </row>
    <row r="835" spans="1:1" ht="17">
      <c r="A835" s="30" t="s">
        <v>5240</v>
      </c>
    </row>
    <row r="836" spans="1:1" ht="17">
      <c r="A836" s="30" t="s">
        <v>5241</v>
      </c>
    </row>
    <row r="837" spans="1:1" ht="17">
      <c r="A837" s="30" t="s">
        <v>5242</v>
      </c>
    </row>
    <row r="838" spans="1:1" ht="17">
      <c r="A838" s="30" t="s">
        <v>5243</v>
      </c>
    </row>
    <row r="839" spans="1:1" ht="17">
      <c r="A839" s="30" t="s">
        <v>5244</v>
      </c>
    </row>
    <row r="840" spans="1:1" ht="17">
      <c r="A840" s="30" t="s">
        <v>5245</v>
      </c>
    </row>
    <row r="841" spans="1:1" ht="17">
      <c r="A841" s="30" t="s">
        <v>5246</v>
      </c>
    </row>
    <row r="842" spans="1:1" ht="17">
      <c r="A842" s="30" t="s">
        <v>5247</v>
      </c>
    </row>
    <row r="843" spans="1:1" ht="17">
      <c r="A843" s="30" t="s">
        <v>5248</v>
      </c>
    </row>
    <row r="844" spans="1:1" ht="17">
      <c r="A844" s="30" t="s">
        <v>5249</v>
      </c>
    </row>
    <row r="845" spans="1:1" ht="17">
      <c r="A845" s="30" t="s">
        <v>5250</v>
      </c>
    </row>
    <row r="846" spans="1:1" ht="17">
      <c r="A846" s="30" t="s">
        <v>5251</v>
      </c>
    </row>
    <row r="847" spans="1:1" ht="17">
      <c r="A847" s="30" t="s">
        <v>5252</v>
      </c>
    </row>
    <row r="848" spans="1:1" ht="17">
      <c r="A848" s="30" t="s">
        <v>5253</v>
      </c>
    </row>
    <row r="849" spans="1:1" ht="17">
      <c r="A849" s="30" t="s">
        <v>5254</v>
      </c>
    </row>
    <row r="850" spans="1:1" ht="17">
      <c r="A850" s="30" t="s">
        <v>5255</v>
      </c>
    </row>
    <row r="851" spans="1:1" ht="17">
      <c r="A851" s="30" t="s">
        <v>5256</v>
      </c>
    </row>
    <row r="852" spans="1:1" ht="17">
      <c r="A852" s="30" t="s">
        <v>5257</v>
      </c>
    </row>
    <row r="853" spans="1:1" ht="17">
      <c r="A853" s="30" t="s">
        <v>5258</v>
      </c>
    </row>
    <row r="854" spans="1:1" ht="17">
      <c r="A854" s="30" t="s">
        <v>5259</v>
      </c>
    </row>
    <row r="855" spans="1:1" ht="17">
      <c r="A855" s="30" t="s">
        <v>5260</v>
      </c>
    </row>
    <row r="856" spans="1:1" ht="17">
      <c r="A856" s="30" t="s">
        <v>5261</v>
      </c>
    </row>
    <row r="857" spans="1:1" ht="17">
      <c r="A857" s="30" t="s">
        <v>5262</v>
      </c>
    </row>
    <row r="858" spans="1:1" ht="17">
      <c r="A858" s="30" t="s">
        <v>5263</v>
      </c>
    </row>
    <row r="859" spans="1:1" ht="17">
      <c r="A859" s="30" t="s">
        <v>5264</v>
      </c>
    </row>
    <row r="860" spans="1:1" ht="17">
      <c r="A860" s="30" t="s">
        <v>5265</v>
      </c>
    </row>
    <row r="861" spans="1:1" ht="17">
      <c r="A861" s="30" t="s">
        <v>4447</v>
      </c>
    </row>
    <row r="862" spans="1:1" ht="17">
      <c r="A862" s="30" t="s">
        <v>5266</v>
      </c>
    </row>
    <row r="863" spans="1:1" ht="17">
      <c r="A863" s="30" t="s">
        <v>5267</v>
      </c>
    </row>
    <row r="864" spans="1:1" ht="17">
      <c r="A864" s="30" t="s">
        <v>5268</v>
      </c>
    </row>
    <row r="865" spans="1:1" ht="17">
      <c r="A865" s="30" t="s">
        <v>5269</v>
      </c>
    </row>
    <row r="866" spans="1:1" ht="17">
      <c r="A866" s="30" t="s">
        <v>5270</v>
      </c>
    </row>
    <row r="867" spans="1:1" ht="17">
      <c r="A867" s="30" t="s">
        <v>5271</v>
      </c>
    </row>
    <row r="868" spans="1:1" ht="17">
      <c r="A868" s="30" t="s">
        <v>5272</v>
      </c>
    </row>
    <row r="869" spans="1:1" ht="17">
      <c r="A869" s="30" t="s">
        <v>5273</v>
      </c>
    </row>
    <row r="870" spans="1:1" ht="17">
      <c r="A870" s="30" t="s">
        <v>5274</v>
      </c>
    </row>
    <row r="871" spans="1:1" ht="17">
      <c r="A871" s="30" t="s">
        <v>5275</v>
      </c>
    </row>
    <row r="872" spans="1:1" ht="17">
      <c r="A872" s="30" t="s">
        <v>5276</v>
      </c>
    </row>
    <row r="873" spans="1:1" ht="17">
      <c r="A873" s="30" t="s">
        <v>5277</v>
      </c>
    </row>
    <row r="874" spans="1:1" ht="17">
      <c r="A874" s="30" t="s">
        <v>5278</v>
      </c>
    </row>
    <row r="875" spans="1:1" ht="17">
      <c r="A875" s="30" t="s">
        <v>5279</v>
      </c>
    </row>
    <row r="876" spans="1:1" ht="17">
      <c r="A876" s="30" t="s">
        <v>5280</v>
      </c>
    </row>
    <row r="877" spans="1:1" ht="17">
      <c r="A877" s="30" t="s">
        <v>5281</v>
      </c>
    </row>
    <row r="878" spans="1:1" ht="17">
      <c r="A878" s="30" t="s">
        <v>5282</v>
      </c>
    </row>
    <row r="879" spans="1:1" ht="17">
      <c r="A879" s="30" t="s">
        <v>5283</v>
      </c>
    </row>
    <row r="880" spans="1:1" ht="17">
      <c r="A880" s="30" t="s">
        <v>5284</v>
      </c>
    </row>
    <row r="881" spans="1:1" ht="17">
      <c r="A881" s="30" t="s">
        <v>5285</v>
      </c>
    </row>
    <row r="882" spans="1:1" ht="17">
      <c r="A882" s="30" t="s">
        <v>5286</v>
      </c>
    </row>
    <row r="883" spans="1:1" ht="17">
      <c r="A883" s="30" t="s">
        <v>5287</v>
      </c>
    </row>
    <row r="884" spans="1:1" ht="17">
      <c r="A884" s="30" t="s">
        <v>5288</v>
      </c>
    </row>
    <row r="885" spans="1:1" ht="17">
      <c r="A885" s="30" t="s">
        <v>5289</v>
      </c>
    </row>
    <row r="886" spans="1:1" ht="17">
      <c r="A886" s="30" t="s">
        <v>5290</v>
      </c>
    </row>
    <row r="887" spans="1:1" ht="17">
      <c r="A887" s="30" t="s">
        <v>5291</v>
      </c>
    </row>
    <row r="888" spans="1:1" ht="17">
      <c r="A888" s="30" t="s">
        <v>5292</v>
      </c>
    </row>
    <row r="889" spans="1:1" ht="17">
      <c r="A889" s="30" t="s">
        <v>5293</v>
      </c>
    </row>
    <row r="890" spans="1:1" ht="17">
      <c r="A890" s="30" t="s">
        <v>5294</v>
      </c>
    </row>
    <row r="891" spans="1:1" ht="17">
      <c r="A891" s="30" t="s">
        <v>5295</v>
      </c>
    </row>
    <row r="892" spans="1:1" ht="17">
      <c r="A892" s="30" t="s">
        <v>5296</v>
      </c>
    </row>
    <row r="893" spans="1:1" ht="17">
      <c r="A893" s="30" t="s">
        <v>5297</v>
      </c>
    </row>
    <row r="894" spans="1:1" ht="17">
      <c r="A894" s="30" t="s">
        <v>5298</v>
      </c>
    </row>
    <row r="895" spans="1:1" ht="17">
      <c r="A895" s="30" t="s">
        <v>5299</v>
      </c>
    </row>
    <row r="896" spans="1:1" ht="17">
      <c r="A896" s="30" t="s">
        <v>5300</v>
      </c>
    </row>
    <row r="897" spans="1:1" ht="17">
      <c r="A897" s="30" t="s">
        <v>5301</v>
      </c>
    </row>
    <row r="898" spans="1:1" ht="17">
      <c r="A898" s="30" t="s">
        <v>5302</v>
      </c>
    </row>
    <row r="899" spans="1:1" ht="17">
      <c r="A899" s="30" t="s">
        <v>5303</v>
      </c>
    </row>
    <row r="900" spans="1:1" ht="17">
      <c r="A900" s="30" t="s">
        <v>5304</v>
      </c>
    </row>
    <row r="901" spans="1:1" ht="17">
      <c r="A901" s="30" t="s">
        <v>5305</v>
      </c>
    </row>
    <row r="902" spans="1:1" ht="17">
      <c r="A902" s="30" t="s">
        <v>5306</v>
      </c>
    </row>
    <row r="903" spans="1:1" ht="17">
      <c r="A903" s="30" t="s">
        <v>5307</v>
      </c>
    </row>
    <row r="904" spans="1:1" ht="17">
      <c r="A904" s="30" t="s">
        <v>5308</v>
      </c>
    </row>
    <row r="905" spans="1:1" ht="17">
      <c r="A905" s="30" t="s">
        <v>5309</v>
      </c>
    </row>
    <row r="906" spans="1:1" ht="17">
      <c r="A906" s="30" t="s">
        <v>5310</v>
      </c>
    </row>
    <row r="907" spans="1:1" ht="17">
      <c r="A907" s="30" t="s">
        <v>5311</v>
      </c>
    </row>
    <row r="908" spans="1:1" ht="17">
      <c r="A908" s="30" t="s">
        <v>5312</v>
      </c>
    </row>
    <row r="909" spans="1:1" ht="17">
      <c r="A909" s="30" t="s">
        <v>5313</v>
      </c>
    </row>
    <row r="910" spans="1:1" ht="17">
      <c r="A910" s="30" t="s">
        <v>5314</v>
      </c>
    </row>
    <row r="911" spans="1:1" ht="17">
      <c r="A911" s="30" t="s">
        <v>5315</v>
      </c>
    </row>
    <row r="912" spans="1:1" ht="17">
      <c r="A912" s="30" t="s">
        <v>5316</v>
      </c>
    </row>
    <row r="913" spans="1:1" ht="17">
      <c r="A913" s="30" t="s">
        <v>5317</v>
      </c>
    </row>
    <row r="914" spans="1:1" ht="17">
      <c r="A914" s="30" t="s">
        <v>5318</v>
      </c>
    </row>
    <row r="915" spans="1:1" ht="17">
      <c r="A915" s="30" t="s">
        <v>5319</v>
      </c>
    </row>
    <row r="916" spans="1:1" ht="17">
      <c r="A916" s="30" t="s">
        <v>5320</v>
      </c>
    </row>
    <row r="917" spans="1:1" ht="17">
      <c r="A917" s="30" t="s">
        <v>5321</v>
      </c>
    </row>
    <row r="918" spans="1:1" ht="17">
      <c r="A918" s="30" t="s">
        <v>5322</v>
      </c>
    </row>
    <row r="919" spans="1:1" ht="17">
      <c r="A919" s="30" t="s">
        <v>5323</v>
      </c>
    </row>
    <row r="920" spans="1:1" ht="17">
      <c r="A920" s="30" t="s">
        <v>5324</v>
      </c>
    </row>
    <row r="921" spans="1:1" ht="17">
      <c r="A921" s="30" t="s">
        <v>5325</v>
      </c>
    </row>
    <row r="922" spans="1:1" ht="17">
      <c r="A922" s="30" t="s">
        <v>5326</v>
      </c>
    </row>
    <row r="923" spans="1:1" ht="17">
      <c r="A923" s="30" t="s">
        <v>5327</v>
      </c>
    </row>
    <row r="924" spans="1:1" ht="17">
      <c r="A924" s="30" t="s">
        <v>5328</v>
      </c>
    </row>
    <row r="925" spans="1:1" ht="17">
      <c r="A925" s="30" t="s">
        <v>5329</v>
      </c>
    </row>
    <row r="926" spans="1:1" ht="17">
      <c r="A926" s="30" t="s">
        <v>5330</v>
      </c>
    </row>
    <row r="927" spans="1:1" ht="17">
      <c r="A927" s="30" t="s">
        <v>5331</v>
      </c>
    </row>
    <row r="928" spans="1:1" ht="17">
      <c r="A928" s="30" t="s">
        <v>5332</v>
      </c>
    </row>
    <row r="929" spans="1:1" ht="17">
      <c r="A929" s="30" t="s">
        <v>5333</v>
      </c>
    </row>
    <row r="930" spans="1:1" ht="17">
      <c r="A930" s="30" t="s">
        <v>5334</v>
      </c>
    </row>
    <row r="931" spans="1:1" ht="17">
      <c r="A931" s="30" t="s">
        <v>5335</v>
      </c>
    </row>
    <row r="932" spans="1:1" ht="17">
      <c r="A932" s="30" t="s">
        <v>5336</v>
      </c>
    </row>
    <row r="933" spans="1:1" ht="17">
      <c r="A933" s="30" t="s">
        <v>5337</v>
      </c>
    </row>
    <row r="934" spans="1:1" ht="17">
      <c r="A934" s="30" t="s">
        <v>5338</v>
      </c>
    </row>
    <row r="935" spans="1:1" ht="17">
      <c r="A935" s="30" t="s">
        <v>5339</v>
      </c>
    </row>
    <row r="936" spans="1:1" ht="17">
      <c r="A936" s="30" t="s">
        <v>5340</v>
      </c>
    </row>
    <row r="937" spans="1:1" ht="17">
      <c r="A937" s="30" t="s">
        <v>5341</v>
      </c>
    </row>
    <row r="938" spans="1:1" ht="17">
      <c r="A938" s="30" t="s">
        <v>5342</v>
      </c>
    </row>
    <row r="939" spans="1:1" ht="17">
      <c r="A939" s="30" t="s">
        <v>5343</v>
      </c>
    </row>
    <row r="940" spans="1:1" ht="17">
      <c r="A940" s="30" t="s">
        <v>5344</v>
      </c>
    </row>
    <row r="941" spans="1:1" ht="17">
      <c r="A941" s="30" t="s">
        <v>5345</v>
      </c>
    </row>
    <row r="942" spans="1:1" ht="17">
      <c r="A942" s="30" t="s">
        <v>5346</v>
      </c>
    </row>
    <row r="943" spans="1:1" ht="17">
      <c r="A943" s="30" t="s">
        <v>5347</v>
      </c>
    </row>
    <row r="944" spans="1:1" ht="17">
      <c r="A944" s="30" t="s">
        <v>5348</v>
      </c>
    </row>
    <row r="945" spans="1:1" ht="17">
      <c r="A945" s="30" t="s">
        <v>5349</v>
      </c>
    </row>
    <row r="946" spans="1:1" ht="17">
      <c r="A946" s="30" t="s">
        <v>5350</v>
      </c>
    </row>
    <row r="947" spans="1:1" ht="17">
      <c r="A947" s="30" t="s">
        <v>5351</v>
      </c>
    </row>
    <row r="948" spans="1:1" ht="17">
      <c r="A948" s="30" t="s">
        <v>3640</v>
      </c>
    </row>
    <row r="949" spans="1:1" ht="17">
      <c r="A949" s="30" t="s">
        <v>5352</v>
      </c>
    </row>
    <row r="950" spans="1:1" ht="17">
      <c r="A950" s="30" t="s">
        <v>3669</v>
      </c>
    </row>
    <row r="951" spans="1:1" ht="17">
      <c r="A951" s="30" t="s">
        <v>3670</v>
      </c>
    </row>
    <row r="952" spans="1:1" ht="17">
      <c r="A952" s="30" t="s">
        <v>3671</v>
      </c>
    </row>
    <row r="953" spans="1:1" ht="17">
      <c r="A953" s="30" t="s">
        <v>3642</v>
      </c>
    </row>
    <row r="954" spans="1:1" ht="17">
      <c r="A954" s="30" t="s">
        <v>3672</v>
      </c>
    </row>
    <row r="955" spans="1:1" ht="17">
      <c r="A955" s="30" t="s">
        <v>3673</v>
      </c>
    </row>
    <row r="956" spans="1:1" ht="17">
      <c r="A956" s="30" t="s">
        <v>3674</v>
      </c>
    </row>
    <row r="957" spans="1:1" ht="17">
      <c r="A957" s="30" t="s">
        <v>3675</v>
      </c>
    </row>
    <row r="958" spans="1:1" ht="17">
      <c r="A958" s="30" t="s">
        <v>3676</v>
      </c>
    </row>
    <row r="959" spans="1:1" ht="17">
      <c r="A959" s="30" t="s">
        <v>3677</v>
      </c>
    </row>
    <row r="960" spans="1:1" ht="17">
      <c r="A960" s="30" t="s">
        <v>3678</v>
      </c>
    </row>
    <row r="961" spans="1:1" ht="17">
      <c r="A961" s="30" t="s">
        <v>3679</v>
      </c>
    </row>
    <row r="962" spans="1:1" ht="17">
      <c r="A962" s="30" t="s">
        <v>3681</v>
      </c>
    </row>
    <row r="963" spans="1:1" ht="17">
      <c r="A963" s="30" t="s">
        <v>3643</v>
      </c>
    </row>
    <row r="964" spans="1:1" ht="17">
      <c r="A964" s="30" t="s">
        <v>3644</v>
      </c>
    </row>
    <row r="965" spans="1:1" ht="17">
      <c r="A965" s="30" t="s">
        <v>3682</v>
      </c>
    </row>
    <row r="966" spans="1:1" ht="17">
      <c r="A966" s="30" t="s">
        <v>3680</v>
      </c>
    </row>
    <row r="967" spans="1:1" ht="17">
      <c r="A967" s="30" t="s">
        <v>3645</v>
      </c>
    </row>
    <row r="968" spans="1:1" ht="17">
      <c r="A968" s="30" t="s">
        <v>5353</v>
      </c>
    </row>
    <row r="969" spans="1:1" ht="17">
      <c r="A969" s="30" t="s">
        <v>5354</v>
      </c>
    </row>
    <row r="970" spans="1:1" ht="17">
      <c r="A970" s="30" t="s">
        <v>5355</v>
      </c>
    </row>
    <row r="971" spans="1:1" ht="17">
      <c r="A971" s="30" t="s">
        <v>5356</v>
      </c>
    </row>
    <row r="972" spans="1:1" ht="17">
      <c r="A972" s="30" t="s">
        <v>5357</v>
      </c>
    </row>
    <row r="973" spans="1:1" ht="17">
      <c r="A973" s="30" t="s">
        <v>5358</v>
      </c>
    </row>
    <row r="974" spans="1:1" ht="17">
      <c r="A974" s="30" t="s">
        <v>5359</v>
      </c>
    </row>
    <row r="975" spans="1:1" ht="17">
      <c r="A975" s="30" t="s">
        <v>5360</v>
      </c>
    </row>
    <row r="976" spans="1:1" ht="17">
      <c r="A976" s="30" t="s">
        <v>5361</v>
      </c>
    </row>
    <row r="977" spans="1:1" ht="17">
      <c r="A977" s="30" t="s">
        <v>5362</v>
      </c>
    </row>
    <row r="978" spans="1:1" ht="17">
      <c r="A978" s="30" t="s">
        <v>5363</v>
      </c>
    </row>
    <row r="979" spans="1:1" ht="17">
      <c r="A979" s="30" t="s">
        <v>5364</v>
      </c>
    </row>
    <row r="980" spans="1:1" ht="17">
      <c r="A980" s="30" t="s">
        <v>5365</v>
      </c>
    </row>
    <row r="981" spans="1:1" ht="17">
      <c r="A981" s="30" t="s">
        <v>5366</v>
      </c>
    </row>
    <row r="982" spans="1:1" ht="17">
      <c r="A982" s="30" t="s">
        <v>5367</v>
      </c>
    </row>
    <row r="983" spans="1:1" ht="17">
      <c r="A983" s="30" t="s">
        <v>5368</v>
      </c>
    </row>
    <row r="984" spans="1:1" ht="17">
      <c r="A984" s="30" t="s">
        <v>5369</v>
      </c>
    </row>
    <row r="985" spans="1:1" ht="17">
      <c r="A985" s="30" t="s">
        <v>5370</v>
      </c>
    </row>
    <row r="986" spans="1:1" ht="17">
      <c r="A986" s="30" t="s">
        <v>5371</v>
      </c>
    </row>
    <row r="987" spans="1:1" ht="17">
      <c r="A987" s="30" t="s">
        <v>5372</v>
      </c>
    </row>
    <row r="988" spans="1:1" ht="17">
      <c r="A988" s="30" t="s">
        <v>5373</v>
      </c>
    </row>
    <row r="989" spans="1:1" ht="17">
      <c r="A989" s="30" t="s">
        <v>5374</v>
      </c>
    </row>
    <row r="990" spans="1:1" ht="17">
      <c r="A990" s="30" t="s">
        <v>5375</v>
      </c>
    </row>
    <row r="991" spans="1:1" ht="17">
      <c r="A991" s="30" t="s">
        <v>5376</v>
      </c>
    </row>
    <row r="992" spans="1:1" ht="17">
      <c r="A992" s="30" t="s">
        <v>5377</v>
      </c>
    </row>
    <row r="993" spans="1:1" ht="17">
      <c r="A993" s="30" t="s">
        <v>5378</v>
      </c>
    </row>
    <row r="994" spans="1:1" ht="17">
      <c r="A994" s="30" t="s">
        <v>5379</v>
      </c>
    </row>
    <row r="995" spans="1:1" ht="17">
      <c r="A995" s="30" t="s">
        <v>5380</v>
      </c>
    </row>
    <row r="996" spans="1:1" ht="17">
      <c r="A996" s="30" t="s">
        <v>5381</v>
      </c>
    </row>
    <row r="997" spans="1:1" ht="17">
      <c r="A997" s="30" t="s">
        <v>5382</v>
      </c>
    </row>
    <row r="998" spans="1:1" ht="17">
      <c r="A998" s="30" t="s">
        <v>5383</v>
      </c>
    </row>
    <row r="999" spans="1:1" ht="17">
      <c r="A999" s="30" t="s">
        <v>5384</v>
      </c>
    </row>
    <row r="1000" spans="1:1" ht="17">
      <c r="A1000" s="30" t="s">
        <v>5385</v>
      </c>
    </row>
    <row r="1001" spans="1:1" ht="17">
      <c r="A1001" s="30" t="s">
        <v>5386</v>
      </c>
    </row>
    <row r="1002" spans="1:1" ht="17">
      <c r="A1002" s="30" t="s">
        <v>5387</v>
      </c>
    </row>
    <row r="1003" spans="1:1" ht="17">
      <c r="A1003" s="30" t="s">
        <v>5388</v>
      </c>
    </row>
    <row r="1004" spans="1:1" ht="17">
      <c r="A1004" s="30" t="s">
        <v>5389</v>
      </c>
    </row>
    <row r="1005" spans="1:1" ht="17">
      <c r="A1005" s="30" t="s">
        <v>5390</v>
      </c>
    </row>
    <row r="1006" spans="1:1" ht="17">
      <c r="A1006" s="30" t="s">
        <v>5391</v>
      </c>
    </row>
    <row r="1007" spans="1:1" ht="17">
      <c r="A1007" s="30" t="s">
        <v>5392</v>
      </c>
    </row>
    <row r="1008" spans="1:1" ht="17">
      <c r="A1008" s="30" t="s">
        <v>5393</v>
      </c>
    </row>
    <row r="1009" spans="1:1" ht="17">
      <c r="A1009" s="30" t="s">
        <v>5394</v>
      </c>
    </row>
    <row r="1010" spans="1:1" ht="17">
      <c r="A1010" s="30" t="s">
        <v>4450</v>
      </c>
    </row>
    <row r="1011" spans="1:1" ht="17">
      <c r="A1011" s="30" t="s">
        <v>5395</v>
      </c>
    </row>
    <row r="1012" spans="1:1" ht="17">
      <c r="A1012" s="30" t="s">
        <v>5396</v>
      </c>
    </row>
    <row r="1013" spans="1:1" ht="17">
      <c r="A1013" s="30" t="s">
        <v>5397</v>
      </c>
    </row>
    <row r="1014" spans="1:1" ht="17">
      <c r="A1014" s="30" t="s">
        <v>5398</v>
      </c>
    </row>
    <row r="1015" spans="1:1" ht="17">
      <c r="A1015" s="30" t="s">
        <v>5399</v>
      </c>
    </row>
    <row r="1016" spans="1:1" ht="17">
      <c r="A1016" s="30" t="s">
        <v>5400</v>
      </c>
    </row>
    <row r="1017" spans="1:1" ht="17">
      <c r="A1017" s="30" t="s">
        <v>5401</v>
      </c>
    </row>
    <row r="1018" spans="1:1" ht="17">
      <c r="A1018" s="30" t="s">
        <v>5402</v>
      </c>
    </row>
    <row r="1019" spans="1:1" ht="17">
      <c r="A1019" s="30" t="s">
        <v>5403</v>
      </c>
    </row>
    <row r="1020" spans="1:1" ht="17">
      <c r="A1020" s="30" t="s">
        <v>5404</v>
      </c>
    </row>
    <row r="1021" spans="1:1" ht="17">
      <c r="A1021" s="30" t="s">
        <v>5405</v>
      </c>
    </row>
    <row r="1022" spans="1:1" ht="17">
      <c r="A1022" s="30" t="s">
        <v>5406</v>
      </c>
    </row>
    <row r="1023" spans="1:1" ht="17">
      <c r="A1023" s="30" t="s">
        <v>5407</v>
      </c>
    </row>
    <row r="1024" spans="1:1" ht="17">
      <c r="A1024" s="30" t="s">
        <v>5408</v>
      </c>
    </row>
    <row r="1025" spans="1:1" ht="17">
      <c r="A1025" s="30" t="s">
        <v>5409</v>
      </c>
    </row>
    <row r="1026" spans="1:1" ht="17">
      <c r="A1026" s="30" t="s">
        <v>5410</v>
      </c>
    </row>
    <row r="1027" spans="1:1" ht="17">
      <c r="A1027" s="30" t="s">
        <v>5411</v>
      </c>
    </row>
    <row r="1028" spans="1:1" ht="17">
      <c r="A1028" s="30" t="s">
        <v>5412</v>
      </c>
    </row>
    <row r="1029" spans="1:1" ht="17">
      <c r="A1029" s="30" t="s">
        <v>5413</v>
      </c>
    </row>
    <row r="1030" spans="1:1" ht="17">
      <c r="A1030" s="30" t="s">
        <v>5414</v>
      </c>
    </row>
    <row r="1031" spans="1:1" ht="17">
      <c r="A1031" s="30" t="s">
        <v>5415</v>
      </c>
    </row>
    <row r="1032" spans="1:1" ht="17">
      <c r="A1032" s="30" t="s">
        <v>5416</v>
      </c>
    </row>
    <row r="1033" spans="1:1" ht="17">
      <c r="A1033" s="30" t="s">
        <v>5417</v>
      </c>
    </row>
    <row r="1034" spans="1:1" ht="17">
      <c r="A1034" s="30" t="s">
        <v>5418</v>
      </c>
    </row>
    <row r="1035" spans="1:1" ht="17">
      <c r="A1035" s="30" t="s">
        <v>5419</v>
      </c>
    </row>
    <row r="1036" spans="1:1" ht="17">
      <c r="A1036" s="30" t="s">
        <v>5420</v>
      </c>
    </row>
    <row r="1037" spans="1:1" ht="17">
      <c r="A1037" s="30" t="s">
        <v>5421</v>
      </c>
    </row>
    <row r="1038" spans="1:1" ht="17">
      <c r="A1038" s="30" t="s">
        <v>5422</v>
      </c>
    </row>
    <row r="1039" spans="1:1" ht="17">
      <c r="A1039" s="30" t="s">
        <v>5423</v>
      </c>
    </row>
    <row r="1040" spans="1:1" ht="17">
      <c r="A1040" s="30" t="s">
        <v>5424</v>
      </c>
    </row>
    <row r="1041" spans="1:1" ht="17">
      <c r="A1041" s="30" t="s">
        <v>5425</v>
      </c>
    </row>
    <row r="1042" spans="1:1" ht="17">
      <c r="A1042" s="30" t="s">
        <v>5426</v>
      </c>
    </row>
    <row r="1043" spans="1:1" ht="17">
      <c r="A1043" s="30" t="s">
        <v>5427</v>
      </c>
    </row>
    <row r="1044" spans="1:1" ht="17">
      <c r="A1044" s="30" t="s">
        <v>5428</v>
      </c>
    </row>
    <row r="1045" spans="1:1" ht="17">
      <c r="A1045" s="30" t="s">
        <v>5429</v>
      </c>
    </row>
    <row r="1046" spans="1:1" ht="17">
      <c r="A1046" s="30" t="s">
        <v>5430</v>
      </c>
    </row>
    <row r="1047" spans="1:1" ht="17">
      <c r="A1047" s="30" t="s">
        <v>5431</v>
      </c>
    </row>
    <row r="1048" spans="1:1" ht="17">
      <c r="A1048" s="30" t="s">
        <v>5432</v>
      </c>
    </row>
    <row r="1049" spans="1:1" ht="17">
      <c r="A1049" s="30" t="s">
        <v>5433</v>
      </c>
    </row>
    <row r="1050" spans="1:1" ht="17">
      <c r="A1050" s="30" t="s">
        <v>5434</v>
      </c>
    </row>
    <row r="1051" spans="1:1" ht="17">
      <c r="A1051" s="30" t="s">
        <v>5435</v>
      </c>
    </row>
    <row r="1052" spans="1:1" ht="17">
      <c r="A1052" s="30" t="s">
        <v>5436</v>
      </c>
    </row>
    <row r="1053" spans="1:1" ht="17">
      <c r="A1053" s="30" t="s">
        <v>4451</v>
      </c>
    </row>
    <row r="1054" spans="1:1" ht="17">
      <c r="A1054" s="30" t="s">
        <v>5437</v>
      </c>
    </row>
    <row r="1055" spans="1:1" ht="17">
      <c r="A1055" s="30" t="s">
        <v>5438</v>
      </c>
    </row>
    <row r="1056" spans="1:1" ht="17">
      <c r="A1056" s="30" t="s">
        <v>5439</v>
      </c>
    </row>
    <row r="1057" spans="1:1" ht="17">
      <c r="A1057" s="30" t="s">
        <v>5440</v>
      </c>
    </row>
    <row r="1058" spans="1:1" ht="17">
      <c r="A1058" s="30" t="s">
        <v>5441</v>
      </c>
    </row>
    <row r="1059" spans="1:1" ht="17">
      <c r="A1059" s="30" t="s">
        <v>5442</v>
      </c>
    </row>
    <row r="1060" spans="1:1" ht="17">
      <c r="A1060" s="30" t="s">
        <v>5443</v>
      </c>
    </row>
    <row r="1061" spans="1:1" ht="17">
      <c r="A1061" s="30" t="s">
        <v>5444</v>
      </c>
    </row>
    <row r="1062" spans="1:1" ht="17">
      <c r="A1062" s="30" t="s">
        <v>5445</v>
      </c>
    </row>
    <row r="1063" spans="1:1" ht="17">
      <c r="A1063" s="30" t="s">
        <v>5446</v>
      </c>
    </row>
    <row r="1064" spans="1:1" ht="17">
      <c r="A1064" s="30" t="s">
        <v>5447</v>
      </c>
    </row>
    <row r="1065" spans="1:1" ht="17">
      <c r="A1065" s="30" t="s">
        <v>5448</v>
      </c>
    </row>
    <row r="1066" spans="1:1" ht="17">
      <c r="A1066" s="30" t="s">
        <v>5449</v>
      </c>
    </row>
    <row r="1067" spans="1:1" ht="17">
      <c r="A1067" s="30" t="s">
        <v>5450</v>
      </c>
    </row>
    <row r="1068" spans="1:1" ht="17">
      <c r="A1068" s="30" t="s">
        <v>5451</v>
      </c>
    </row>
    <row r="1069" spans="1:1" ht="17">
      <c r="A1069" s="30" t="s">
        <v>5452</v>
      </c>
    </row>
    <row r="1070" spans="1:1" ht="17">
      <c r="A1070" s="30" t="s">
        <v>5453</v>
      </c>
    </row>
    <row r="1071" spans="1:1" ht="17">
      <c r="A1071" s="30" t="s">
        <v>5454</v>
      </c>
    </row>
    <row r="1072" spans="1:1" ht="17">
      <c r="A1072" s="30" t="s">
        <v>5455</v>
      </c>
    </row>
    <row r="1073" spans="1:1" ht="17">
      <c r="A1073" s="30" t="s">
        <v>5456</v>
      </c>
    </row>
    <row r="1074" spans="1:1" ht="17">
      <c r="A1074" s="30" t="s">
        <v>5457</v>
      </c>
    </row>
    <row r="1075" spans="1:1" ht="17">
      <c r="A1075" s="30" t="s">
        <v>5458</v>
      </c>
    </row>
    <row r="1076" spans="1:1" ht="17">
      <c r="A1076" s="30" t="s">
        <v>5459</v>
      </c>
    </row>
    <row r="1077" spans="1:1" ht="17">
      <c r="A1077" s="30" t="s">
        <v>5460</v>
      </c>
    </row>
    <row r="1078" spans="1:1" ht="17">
      <c r="A1078" s="30" t="s">
        <v>5461</v>
      </c>
    </row>
    <row r="1079" spans="1:1" ht="17">
      <c r="A1079" s="30" t="s">
        <v>5462</v>
      </c>
    </row>
    <row r="1080" spans="1:1" ht="17">
      <c r="A1080" s="30" t="s">
        <v>5463</v>
      </c>
    </row>
    <row r="1081" spans="1:1" ht="17">
      <c r="A1081" s="30" t="s">
        <v>5464</v>
      </c>
    </row>
    <row r="1082" spans="1:1" ht="17">
      <c r="A1082" s="30" t="s">
        <v>5465</v>
      </c>
    </row>
    <row r="1083" spans="1:1" ht="17">
      <c r="A1083" s="30" t="s">
        <v>5466</v>
      </c>
    </row>
    <row r="1084" spans="1:1" ht="17">
      <c r="A1084" s="30" t="s">
        <v>5467</v>
      </c>
    </row>
    <row r="1085" spans="1:1" ht="17">
      <c r="A1085" s="30" t="s">
        <v>5468</v>
      </c>
    </row>
    <row r="1086" spans="1:1" ht="17">
      <c r="A1086" s="30" t="s">
        <v>5469</v>
      </c>
    </row>
    <row r="1087" spans="1:1" ht="17">
      <c r="A1087" s="30" t="s">
        <v>5470</v>
      </c>
    </row>
    <row r="1088" spans="1:1" ht="17">
      <c r="A1088" s="30" t="s">
        <v>5471</v>
      </c>
    </row>
    <row r="1089" spans="1:1" ht="17">
      <c r="A1089" s="30" t="s">
        <v>5472</v>
      </c>
    </row>
    <row r="1090" spans="1:1" ht="17">
      <c r="A1090" s="30" t="s">
        <v>5473</v>
      </c>
    </row>
    <row r="1091" spans="1:1" ht="17">
      <c r="A1091" s="30" t="s">
        <v>5474</v>
      </c>
    </row>
    <row r="1092" spans="1:1" ht="17">
      <c r="A1092" s="30" t="s">
        <v>5475</v>
      </c>
    </row>
    <row r="1093" spans="1:1" ht="17">
      <c r="A1093" s="30" t="s">
        <v>5476</v>
      </c>
    </row>
    <row r="1094" spans="1:1" ht="17">
      <c r="A1094" s="30" t="s">
        <v>5477</v>
      </c>
    </row>
    <row r="1095" spans="1:1" ht="17">
      <c r="A1095" s="30" t="s">
        <v>4452</v>
      </c>
    </row>
    <row r="1096" spans="1:1" ht="17">
      <c r="A1096" s="30" t="s">
        <v>5478</v>
      </c>
    </row>
    <row r="1097" spans="1:1" ht="17">
      <c r="A1097" s="30" t="s">
        <v>5479</v>
      </c>
    </row>
    <row r="1098" spans="1:1" ht="17">
      <c r="A1098" s="30" t="s">
        <v>5480</v>
      </c>
    </row>
    <row r="1099" spans="1:1" ht="17">
      <c r="A1099" s="30" t="s">
        <v>5481</v>
      </c>
    </row>
    <row r="1100" spans="1:1" ht="17">
      <c r="A1100" s="30" t="s">
        <v>5482</v>
      </c>
    </row>
    <row r="1101" spans="1:1" ht="17">
      <c r="A1101" s="30" t="s">
        <v>5483</v>
      </c>
    </row>
    <row r="1102" spans="1:1" ht="17">
      <c r="A1102" s="30" t="s">
        <v>5484</v>
      </c>
    </row>
    <row r="1103" spans="1:1" ht="17">
      <c r="A1103" s="30" t="s">
        <v>5485</v>
      </c>
    </row>
    <row r="1104" spans="1:1" ht="17">
      <c r="A1104" s="30" t="s">
        <v>5486</v>
      </c>
    </row>
    <row r="1105" spans="1:1" ht="17">
      <c r="A1105" s="30" t="s">
        <v>5487</v>
      </c>
    </row>
    <row r="1106" spans="1:1" ht="17">
      <c r="A1106" s="30" t="s">
        <v>5488</v>
      </c>
    </row>
    <row r="1107" spans="1:1" ht="17">
      <c r="A1107" s="30" t="s">
        <v>5489</v>
      </c>
    </row>
    <row r="1108" spans="1:1" ht="17">
      <c r="A1108" s="30" t="s">
        <v>5490</v>
      </c>
    </row>
    <row r="1109" spans="1:1" ht="17">
      <c r="A1109" s="30" t="s">
        <v>5491</v>
      </c>
    </row>
    <row r="1110" spans="1:1" ht="17">
      <c r="A1110" s="30" t="s">
        <v>5492</v>
      </c>
    </row>
    <row r="1111" spans="1:1" ht="17">
      <c r="A1111" s="30" t="s">
        <v>5493</v>
      </c>
    </row>
    <row r="1112" spans="1:1" ht="17">
      <c r="A1112" s="30" t="s">
        <v>5494</v>
      </c>
    </row>
    <row r="1113" spans="1:1" ht="17">
      <c r="A1113" s="30" t="s">
        <v>5495</v>
      </c>
    </row>
    <row r="1114" spans="1:1" ht="17">
      <c r="A1114" s="30" t="s">
        <v>5496</v>
      </c>
    </row>
    <row r="1115" spans="1:1" ht="17">
      <c r="A1115" s="30" t="s">
        <v>5497</v>
      </c>
    </row>
    <row r="1116" spans="1:1" ht="17">
      <c r="A1116" s="30" t="s">
        <v>5498</v>
      </c>
    </row>
    <row r="1117" spans="1:1" ht="17">
      <c r="A1117" s="30" t="s">
        <v>5499</v>
      </c>
    </row>
    <row r="1118" spans="1:1" ht="17">
      <c r="A1118" s="30" t="s">
        <v>5500</v>
      </c>
    </row>
    <row r="1119" spans="1:1" ht="17">
      <c r="A1119" s="30" t="s">
        <v>5501</v>
      </c>
    </row>
    <row r="1120" spans="1:1" ht="17">
      <c r="A1120" s="30" t="s">
        <v>5502</v>
      </c>
    </row>
    <row r="1121" spans="1:1" ht="17">
      <c r="A1121" s="30" t="s">
        <v>5503</v>
      </c>
    </row>
    <row r="1122" spans="1:1" ht="17">
      <c r="A1122" s="30" t="s">
        <v>5504</v>
      </c>
    </row>
    <row r="1123" spans="1:1" ht="17">
      <c r="A1123" s="30" t="s">
        <v>5505</v>
      </c>
    </row>
    <row r="1124" spans="1:1" ht="17">
      <c r="A1124" s="30" t="s">
        <v>5506</v>
      </c>
    </row>
    <row r="1125" spans="1:1" ht="17">
      <c r="A1125" s="30" t="s">
        <v>5507</v>
      </c>
    </row>
    <row r="1126" spans="1:1" ht="17">
      <c r="A1126" s="30" t="s">
        <v>5508</v>
      </c>
    </row>
    <row r="1127" spans="1:1" ht="17">
      <c r="A1127" s="30" t="s">
        <v>5509</v>
      </c>
    </row>
    <row r="1128" spans="1:1" ht="17">
      <c r="A1128" s="30" t="s">
        <v>5510</v>
      </c>
    </row>
    <row r="1129" spans="1:1" ht="17">
      <c r="A1129" s="30" t="s">
        <v>5511</v>
      </c>
    </row>
    <row r="1130" spans="1:1" ht="17">
      <c r="A1130" s="30" t="s">
        <v>5512</v>
      </c>
    </row>
    <row r="1131" spans="1:1" ht="17">
      <c r="A1131" s="30" t="s">
        <v>5513</v>
      </c>
    </row>
    <row r="1132" spans="1:1" ht="17">
      <c r="A1132" s="30" t="s">
        <v>5514</v>
      </c>
    </row>
    <row r="1133" spans="1:1" ht="17">
      <c r="A1133" s="30" t="s">
        <v>5515</v>
      </c>
    </row>
    <row r="1134" spans="1:1" ht="17">
      <c r="A1134" s="30" t="s">
        <v>5516</v>
      </c>
    </row>
    <row r="1135" spans="1:1" ht="17">
      <c r="A1135" s="30" t="s">
        <v>5517</v>
      </c>
    </row>
    <row r="1136" spans="1:1" ht="17">
      <c r="A1136" s="30" t="s">
        <v>5518</v>
      </c>
    </row>
    <row r="1137" spans="1:1" ht="17">
      <c r="A1137" s="30" t="s">
        <v>5519</v>
      </c>
    </row>
    <row r="1138" spans="1:1" ht="17">
      <c r="A1138" s="30" t="s">
        <v>5520</v>
      </c>
    </row>
    <row r="1139" spans="1:1" ht="17">
      <c r="A1139" s="30" t="s">
        <v>5521</v>
      </c>
    </row>
    <row r="1140" spans="1:1" ht="17">
      <c r="A1140" s="30" t="s">
        <v>5522</v>
      </c>
    </row>
    <row r="1141" spans="1:1" ht="17">
      <c r="A1141" s="30" t="s">
        <v>5523</v>
      </c>
    </row>
    <row r="1142" spans="1:1" ht="17">
      <c r="A1142" s="30" t="s">
        <v>5524</v>
      </c>
    </row>
    <row r="1143" spans="1:1" ht="17">
      <c r="A1143" s="30" t="s">
        <v>5525</v>
      </c>
    </row>
    <row r="1144" spans="1:1" ht="17">
      <c r="A1144" s="30" t="s">
        <v>4393</v>
      </c>
    </row>
    <row r="1145" spans="1:1" ht="17">
      <c r="A1145" s="30" t="s">
        <v>4394</v>
      </c>
    </row>
    <row r="1146" spans="1:1" ht="17">
      <c r="A1146" s="30" t="s">
        <v>5526</v>
      </c>
    </row>
    <row r="1147" spans="1:1" ht="17">
      <c r="A1147" s="30" t="s">
        <v>5527</v>
      </c>
    </row>
    <row r="1148" spans="1:1" ht="17">
      <c r="A1148" s="30" t="s">
        <v>5528</v>
      </c>
    </row>
    <row r="1149" spans="1:1" ht="17">
      <c r="A1149" s="30" t="s">
        <v>5529</v>
      </c>
    </row>
    <row r="1150" spans="1:1" ht="17">
      <c r="A1150" s="30" t="s">
        <v>5530</v>
      </c>
    </row>
    <row r="1151" spans="1:1" ht="17">
      <c r="A1151" s="30" t="s">
        <v>5531</v>
      </c>
    </row>
    <row r="1152" spans="1:1" ht="17">
      <c r="A1152" s="30" t="s">
        <v>5532</v>
      </c>
    </row>
    <row r="1153" spans="1:1" ht="17">
      <c r="A1153" s="30" t="s">
        <v>5533</v>
      </c>
    </row>
    <row r="1154" spans="1:1" ht="17">
      <c r="A1154" s="30" t="s">
        <v>5534</v>
      </c>
    </row>
    <row r="1155" spans="1:1" ht="17">
      <c r="A1155" s="30" t="s">
        <v>5535</v>
      </c>
    </row>
    <row r="1156" spans="1:1" ht="17">
      <c r="A1156" s="30" t="s">
        <v>5536</v>
      </c>
    </row>
    <row r="1157" spans="1:1" ht="17">
      <c r="A1157" s="30" t="s">
        <v>5537</v>
      </c>
    </row>
    <row r="1158" spans="1:1" ht="17">
      <c r="A1158" s="30" t="s">
        <v>5538</v>
      </c>
    </row>
    <row r="1159" spans="1:1" ht="17">
      <c r="A1159" s="30" t="s">
        <v>5539</v>
      </c>
    </row>
    <row r="1160" spans="1:1" ht="17">
      <c r="A1160" s="30" t="s">
        <v>5540</v>
      </c>
    </row>
    <row r="1161" spans="1:1" ht="17">
      <c r="A1161" s="30" t="s">
        <v>5541</v>
      </c>
    </row>
    <row r="1162" spans="1:1" ht="17">
      <c r="A1162" s="30" t="s">
        <v>5542</v>
      </c>
    </row>
    <row r="1163" spans="1:1" ht="17">
      <c r="A1163" s="30" t="s">
        <v>5543</v>
      </c>
    </row>
    <row r="1164" spans="1:1" ht="17">
      <c r="A1164" s="30" t="s">
        <v>5544</v>
      </c>
    </row>
    <row r="1165" spans="1:1" ht="17">
      <c r="A1165" s="30" t="s">
        <v>5545</v>
      </c>
    </row>
    <row r="1166" spans="1:1" ht="17">
      <c r="A1166" s="30" t="s">
        <v>5546</v>
      </c>
    </row>
    <row r="1167" spans="1:1" ht="17">
      <c r="A1167" s="30" t="s">
        <v>5547</v>
      </c>
    </row>
    <row r="1168" spans="1:1" ht="17">
      <c r="A1168" s="30" t="s">
        <v>5548</v>
      </c>
    </row>
    <row r="1169" spans="1:1" ht="17">
      <c r="A1169" s="30" t="s">
        <v>5549</v>
      </c>
    </row>
    <row r="1170" spans="1:1" ht="17">
      <c r="A1170" s="30" t="s">
        <v>5550</v>
      </c>
    </row>
    <row r="1171" spans="1:1" ht="17">
      <c r="A1171" s="30" t="s">
        <v>5551</v>
      </c>
    </row>
    <row r="1172" spans="1:1" ht="17">
      <c r="A1172" s="30" t="s">
        <v>5552</v>
      </c>
    </row>
    <row r="1173" spans="1:1" ht="17">
      <c r="A1173" s="30" t="s">
        <v>5553</v>
      </c>
    </row>
    <row r="1174" spans="1:1" ht="17">
      <c r="A1174" s="30" t="s">
        <v>5554</v>
      </c>
    </row>
    <row r="1175" spans="1:1" ht="17">
      <c r="A1175" s="30" t="s">
        <v>5555</v>
      </c>
    </row>
    <row r="1176" spans="1:1" ht="17">
      <c r="A1176" s="30" t="s">
        <v>5556</v>
      </c>
    </row>
    <row r="1177" spans="1:1" ht="17">
      <c r="A1177" s="30" t="s">
        <v>5557</v>
      </c>
    </row>
    <row r="1178" spans="1:1" ht="17">
      <c r="A1178" s="30" t="s">
        <v>5558</v>
      </c>
    </row>
    <row r="1179" spans="1:1" ht="17">
      <c r="A1179" s="30" t="s">
        <v>5559</v>
      </c>
    </row>
    <row r="1180" spans="1:1" ht="17">
      <c r="A1180" s="30" t="s">
        <v>5560</v>
      </c>
    </row>
    <row r="1181" spans="1:1" ht="17">
      <c r="A1181" s="30" t="s">
        <v>5561</v>
      </c>
    </row>
    <row r="1182" spans="1:1" ht="17">
      <c r="A1182" s="30" t="s">
        <v>5562</v>
      </c>
    </row>
    <row r="1183" spans="1:1" ht="17">
      <c r="A1183" s="30" t="s">
        <v>5563</v>
      </c>
    </row>
    <row r="1184" spans="1:1" ht="17">
      <c r="A1184" s="30" t="s">
        <v>5564</v>
      </c>
    </row>
    <row r="1185" spans="1:1" ht="17">
      <c r="A1185" s="30" t="s">
        <v>5565</v>
      </c>
    </row>
    <row r="1186" spans="1:1" ht="17">
      <c r="A1186" s="30" t="s">
        <v>5566</v>
      </c>
    </row>
    <row r="1187" spans="1:1" ht="17">
      <c r="A1187" s="30" t="s">
        <v>5567</v>
      </c>
    </row>
    <row r="1188" spans="1:1" ht="17">
      <c r="A1188" s="30" t="s">
        <v>5568</v>
      </c>
    </row>
    <row r="1189" spans="1:1" ht="17">
      <c r="A1189" s="30" t="s">
        <v>5569</v>
      </c>
    </row>
    <row r="1190" spans="1:1" ht="17">
      <c r="A1190" s="30" t="s">
        <v>5570</v>
      </c>
    </row>
    <row r="1191" spans="1:1" ht="17">
      <c r="A1191" s="30" t="s">
        <v>5571</v>
      </c>
    </row>
    <row r="1192" spans="1:1" ht="17">
      <c r="A1192" s="30" t="s">
        <v>5572</v>
      </c>
    </row>
    <row r="1193" spans="1:1" ht="17">
      <c r="A1193" s="30" t="s">
        <v>5573</v>
      </c>
    </row>
    <row r="1194" spans="1:1" ht="17">
      <c r="A1194" s="30" t="s">
        <v>5574</v>
      </c>
    </row>
    <row r="1195" spans="1:1" ht="17">
      <c r="A1195" s="30" t="s">
        <v>5575</v>
      </c>
    </row>
    <row r="1196" spans="1:1" ht="17">
      <c r="A1196" s="30" t="s">
        <v>5576</v>
      </c>
    </row>
    <row r="1197" spans="1:1" ht="17">
      <c r="A1197" s="30" t="s">
        <v>5577</v>
      </c>
    </row>
    <row r="1198" spans="1:1" ht="17">
      <c r="A1198" s="30" t="s">
        <v>5578</v>
      </c>
    </row>
    <row r="1199" spans="1:1" ht="17">
      <c r="A1199" s="30" t="s">
        <v>5579</v>
      </c>
    </row>
    <row r="1200" spans="1:1" ht="17">
      <c r="A1200" s="30" t="s">
        <v>5580</v>
      </c>
    </row>
    <row r="1201" spans="1:1" ht="17">
      <c r="A1201" s="30" t="s">
        <v>5581</v>
      </c>
    </row>
    <row r="1202" spans="1:1" ht="17">
      <c r="A1202" s="30" t="s">
        <v>5582</v>
      </c>
    </row>
    <row r="1203" spans="1:1" ht="17">
      <c r="A1203" s="30" t="s">
        <v>5583</v>
      </c>
    </row>
    <row r="1204" spans="1:1" ht="17">
      <c r="A1204" s="30" t="s">
        <v>5584</v>
      </c>
    </row>
    <row r="1205" spans="1:1" ht="17">
      <c r="A1205" s="30" t="s">
        <v>5585</v>
      </c>
    </row>
    <row r="1206" spans="1:1" ht="17">
      <c r="A1206" s="30" t="s">
        <v>5586</v>
      </c>
    </row>
    <row r="1207" spans="1:1" ht="17">
      <c r="A1207" s="30" t="s">
        <v>5587</v>
      </c>
    </row>
    <row r="1208" spans="1:1" ht="17">
      <c r="A1208" s="30" t="s">
        <v>5588</v>
      </c>
    </row>
    <row r="1209" spans="1:1" ht="17">
      <c r="A1209" s="30" t="s">
        <v>5589</v>
      </c>
    </row>
    <row r="1210" spans="1:1" ht="17">
      <c r="A1210" s="30" t="s">
        <v>5590</v>
      </c>
    </row>
    <row r="1211" spans="1:1" ht="17">
      <c r="A1211" s="30" t="s">
        <v>5591</v>
      </c>
    </row>
    <row r="1212" spans="1:1" ht="17">
      <c r="A1212" s="30" t="s">
        <v>5592</v>
      </c>
    </row>
    <row r="1213" spans="1:1" ht="17">
      <c r="A1213" s="30" t="s">
        <v>5593</v>
      </c>
    </row>
    <row r="1214" spans="1:1" ht="17">
      <c r="A1214" s="30" t="s">
        <v>5594</v>
      </c>
    </row>
    <row r="1215" spans="1:1" ht="17">
      <c r="A1215" s="30" t="s">
        <v>5595</v>
      </c>
    </row>
    <row r="1216" spans="1:1" ht="17">
      <c r="A1216" s="30" t="s">
        <v>5596</v>
      </c>
    </row>
    <row r="1217" spans="1:1" ht="17">
      <c r="A1217" s="30" t="s">
        <v>5597</v>
      </c>
    </row>
    <row r="1218" spans="1:1" ht="17">
      <c r="A1218" s="30" t="s">
        <v>5598</v>
      </c>
    </row>
    <row r="1219" spans="1:1" ht="17">
      <c r="A1219" s="30" t="s">
        <v>5599</v>
      </c>
    </row>
    <row r="1220" spans="1:1" ht="17">
      <c r="A1220" s="30" t="s">
        <v>5600</v>
      </c>
    </row>
    <row r="1221" spans="1:1" ht="17">
      <c r="A1221" s="30" t="s">
        <v>5601</v>
      </c>
    </row>
    <row r="1222" spans="1:1" ht="17">
      <c r="A1222" s="30" t="s">
        <v>5602</v>
      </c>
    </row>
    <row r="1223" spans="1:1" ht="17">
      <c r="A1223" s="30" t="s">
        <v>5603</v>
      </c>
    </row>
    <row r="1224" spans="1:1" ht="17">
      <c r="A1224" s="30" t="s">
        <v>5604</v>
      </c>
    </row>
    <row r="1225" spans="1:1" ht="17">
      <c r="A1225" s="30" t="s">
        <v>5605</v>
      </c>
    </row>
    <row r="1226" spans="1:1" ht="17">
      <c r="A1226" s="30" t="s">
        <v>5606</v>
      </c>
    </row>
    <row r="1227" spans="1:1" ht="17">
      <c r="A1227" s="30" t="s">
        <v>5607</v>
      </c>
    </row>
    <row r="1228" spans="1:1" ht="17">
      <c r="A1228" s="30" t="s">
        <v>5608</v>
      </c>
    </row>
    <row r="1229" spans="1:1" ht="17">
      <c r="A1229" s="30" t="s">
        <v>5609</v>
      </c>
    </row>
    <row r="1230" spans="1:1" ht="17">
      <c r="A1230" s="30" t="s">
        <v>5610</v>
      </c>
    </row>
    <row r="1231" spans="1:1" ht="17">
      <c r="A1231" s="30" t="s">
        <v>5611</v>
      </c>
    </row>
    <row r="1232" spans="1:1" ht="17">
      <c r="A1232" s="30" t="s">
        <v>5612</v>
      </c>
    </row>
    <row r="1233" spans="1:1" ht="17">
      <c r="A1233" s="30" t="s">
        <v>5613</v>
      </c>
    </row>
    <row r="1234" spans="1:1" ht="17">
      <c r="A1234" s="30" t="s">
        <v>5614</v>
      </c>
    </row>
    <row r="1235" spans="1:1" ht="17">
      <c r="A1235" s="30" t="s">
        <v>5615</v>
      </c>
    </row>
    <row r="1236" spans="1:1" ht="17">
      <c r="A1236" s="30" t="s">
        <v>5616</v>
      </c>
    </row>
    <row r="1237" spans="1:1" ht="17">
      <c r="A1237" s="30" t="s">
        <v>5617</v>
      </c>
    </row>
    <row r="1238" spans="1:1" ht="17">
      <c r="A1238" s="30" t="s">
        <v>5618</v>
      </c>
    </row>
    <row r="1239" spans="1:1" ht="17">
      <c r="A1239" s="30" t="s">
        <v>5619</v>
      </c>
    </row>
    <row r="1240" spans="1:1" ht="17">
      <c r="A1240" s="30" t="s">
        <v>5620</v>
      </c>
    </row>
    <row r="1241" spans="1:1" ht="17">
      <c r="A1241" s="30" t="s">
        <v>5621</v>
      </c>
    </row>
    <row r="1242" spans="1:1" ht="17">
      <c r="A1242" s="30" t="s">
        <v>5622</v>
      </c>
    </row>
    <row r="1243" spans="1:1" ht="17">
      <c r="A1243" s="30" t="s">
        <v>5623</v>
      </c>
    </row>
    <row r="1244" spans="1:1" ht="17">
      <c r="A1244" s="30" t="s">
        <v>5624</v>
      </c>
    </row>
    <row r="1245" spans="1:1" ht="17">
      <c r="A1245" s="30" t="s">
        <v>5625</v>
      </c>
    </row>
    <row r="1246" spans="1:1" ht="17">
      <c r="A1246" s="30" t="s">
        <v>5626</v>
      </c>
    </row>
    <row r="1247" spans="1:1" ht="17">
      <c r="A1247" s="30" t="s">
        <v>5627</v>
      </c>
    </row>
    <row r="1248" spans="1:1" ht="17">
      <c r="A1248" s="30" t="s">
        <v>5628</v>
      </c>
    </row>
    <row r="1249" spans="1:1" ht="17">
      <c r="A1249" s="30" t="s">
        <v>5629</v>
      </c>
    </row>
    <row r="1250" spans="1:1" ht="17">
      <c r="A1250" s="30" t="s">
        <v>5630</v>
      </c>
    </row>
    <row r="1251" spans="1:1" ht="17">
      <c r="A1251" s="30" t="s">
        <v>5631</v>
      </c>
    </row>
    <row r="1252" spans="1:1" ht="17">
      <c r="A1252" s="30" t="s">
        <v>5632</v>
      </c>
    </row>
    <row r="1253" spans="1:1" ht="17">
      <c r="A1253" s="30" t="s">
        <v>5633</v>
      </c>
    </row>
    <row r="1254" spans="1:1" ht="17">
      <c r="A1254" s="30" t="s">
        <v>5634</v>
      </c>
    </row>
    <row r="1255" spans="1:1" ht="17">
      <c r="A1255" s="30" t="s">
        <v>5635</v>
      </c>
    </row>
    <row r="1256" spans="1:1" ht="17">
      <c r="A1256" s="30" t="s">
        <v>5636</v>
      </c>
    </row>
    <row r="1257" spans="1:1" ht="17">
      <c r="A1257" s="30" t="s">
        <v>5637</v>
      </c>
    </row>
    <row r="1258" spans="1:1" ht="17">
      <c r="A1258" s="30" t="s">
        <v>5638</v>
      </c>
    </row>
    <row r="1259" spans="1:1" ht="17">
      <c r="A1259" s="30" t="s">
        <v>5639</v>
      </c>
    </row>
    <row r="1260" spans="1:1" ht="17">
      <c r="A1260" s="30" t="s">
        <v>5640</v>
      </c>
    </row>
    <row r="1261" spans="1:1" ht="17">
      <c r="A1261" s="30" t="s">
        <v>5641</v>
      </c>
    </row>
    <row r="1262" spans="1:1" ht="17">
      <c r="A1262" s="30" t="s">
        <v>5642</v>
      </c>
    </row>
    <row r="1263" spans="1:1" ht="17">
      <c r="A1263" s="30" t="s">
        <v>5643</v>
      </c>
    </row>
    <row r="1264" spans="1:1" ht="17">
      <c r="A1264" s="30" t="s">
        <v>5644</v>
      </c>
    </row>
    <row r="1265" spans="1:1" ht="17">
      <c r="A1265" s="30" t="s">
        <v>5645</v>
      </c>
    </row>
    <row r="1266" spans="1:1" ht="17">
      <c r="A1266" s="30" t="s">
        <v>5646</v>
      </c>
    </row>
    <row r="1267" spans="1:1" ht="17">
      <c r="A1267" s="30" t="s">
        <v>5647</v>
      </c>
    </row>
    <row r="1268" spans="1:1" ht="17">
      <c r="A1268" s="30" t="s">
        <v>5648</v>
      </c>
    </row>
    <row r="1269" spans="1:1" ht="17">
      <c r="A1269" s="30" t="s">
        <v>5649</v>
      </c>
    </row>
    <row r="1270" spans="1:1" ht="17">
      <c r="A1270" s="30" t="s">
        <v>5650</v>
      </c>
    </row>
    <row r="1271" spans="1:1" ht="17">
      <c r="A1271" s="30" t="s">
        <v>5651</v>
      </c>
    </row>
    <row r="1272" spans="1:1" ht="17">
      <c r="A1272" s="30" t="s">
        <v>5652</v>
      </c>
    </row>
    <row r="1273" spans="1:1" ht="17">
      <c r="A1273" s="30" t="s">
        <v>5653</v>
      </c>
    </row>
    <row r="1274" spans="1:1" ht="17">
      <c r="A1274" s="30" t="s">
        <v>5654</v>
      </c>
    </row>
    <row r="1275" spans="1:1" ht="17">
      <c r="A1275" s="30" t="s">
        <v>5655</v>
      </c>
    </row>
    <row r="1276" spans="1:1" ht="17">
      <c r="A1276" s="30" t="s">
        <v>5656</v>
      </c>
    </row>
    <row r="1277" spans="1:1" ht="17">
      <c r="A1277" s="30" t="s">
        <v>5657</v>
      </c>
    </row>
    <row r="1278" spans="1:1" ht="17">
      <c r="A1278" s="30" t="s">
        <v>5658</v>
      </c>
    </row>
    <row r="1279" spans="1:1" ht="17">
      <c r="A1279" s="30" t="s">
        <v>5659</v>
      </c>
    </row>
    <row r="1280" spans="1:1" ht="17">
      <c r="A1280" s="30" t="s">
        <v>5660</v>
      </c>
    </row>
    <row r="1281" spans="1:1" ht="17">
      <c r="A1281" s="30" t="s">
        <v>5661</v>
      </c>
    </row>
    <row r="1282" spans="1:1" ht="17">
      <c r="A1282" s="30" t="s">
        <v>5662</v>
      </c>
    </row>
    <row r="1283" spans="1:1" ht="17">
      <c r="A1283" s="30" t="s">
        <v>5663</v>
      </c>
    </row>
    <row r="1284" spans="1:1" ht="17">
      <c r="A1284" s="30" t="s">
        <v>5664</v>
      </c>
    </row>
    <row r="1285" spans="1:1" ht="17">
      <c r="A1285" s="30" t="s">
        <v>5665</v>
      </c>
    </row>
    <row r="1286" spans="1:1" ht="17">
      <c r="A1286" s="30" t="s">
        <v>5666</v>
      </c>
    </row>
    <row r="1287" spans="1:1" ht="17">
      <c r="A1287" s="30" t="s">
        <v>5667</v>
      </c>
    </row>
    <row r="1288" spans="1:1" ht="17">
      <c r="A1288" s="30" t="s">
        <v>5668</v>
      </c>
    </row>
    <row r="1289" spans="1:1" ht="17">
      <c r="A1289" s="30" t="s">
        <v>5669</v>
      </c>
    </row>
    <row r="1290" spans="1:1" ht="17">
      <c r="A1290" s="30" t="s">
        <v>5670</v>
      </c>
    </row>
    <row r="1291" spans="1:1" ht="17">
      <c r="A1291" s="30" t="s">
        <v>5671</v>
      </c>
    </row>
    <row r="1292" spans="1:1" ht="17">
      <c r="A1292" s="30" t="s">
        <v>5672</v>
      </c>
    </row>
    <row r="1293" spans="1:1" ht="17">
      <c r="A1293" s="30" t="s">
        <v>5673</v>
      </c>
    </row>
    <row r="1294" spans="1:1" ht="17">
      <c r="A1294" s="30" t="s">
        <v>5674</v>
      </c>
    </row>
    <row r="1295" spans="1:1" ht="17">
      <c r="A1295" s="30" t="s">
        <v>5675</v>
      </c>
    </row>
    <row r="1296" spans="1:1" ht="17">
      <c r="A1296" s="30" t="s">
        <v>5676</v>
      </c>
    </row>
    <row r="1297" spans="1:1" ht="17">
      <c r="A1297" s="30" t="s">
        <v>5677</v>
      </c>
    </row>
    <row r="1298" spans="1:1" ht="17">
      <c r="A1298" s="30" t="s">
        <v>5678</v>
      </c>
    </row>
    <row r="1299" spans="1:1" ht="17">
      <c r="A1299" s="30" t="s">
        <v>5679</v>
      </c>
    </row>
    <row r="1300" spans="1:1" ht="17">
      <c r="A1300" s="30" t="s">
        <v>5680</v>
      </c>
    </row>
    <row r="1301" spans="1:1" ht="17">
      <c r="A1301" s="30" t="s">
        <v>5681</v>
      </c>
    </row>
    <row r="1302" spans="1:1" ht="17">
      <c r="A1302" s="30" t="s">
        <v>5682</v>
      </c>
    </row>
    <row r="1303" spans="1:1" ht="17">
      <c r="A1303" s="30" t="s">
        <v>5683</v>
      </c>
    </row>
    <row r="1304" spans="1:1" ht="17">
      <c r="A1304" s="30" t="s">
        <v>5684</v>
      </c>
    </row>
    <row r="1305" spans="1:1" ht="17">
      <c r="A1305" s="30" t="s">
        <v>5685</v>
      </c>
    </row>
    <row r="1306" spans="1:1" ht="17">
      <c r="A1306" s="30" t="s">
        <v>5686</v>
      </c>
    </row>
    <row r="1307" spans="1:1" ht="17">
      <c r="A1307" s="30" t="s">
        <v>5687</v>
      </c>
    </row>
    <row r="1308" spans="1:1" ht="17">
      <c r="A1308" s="30" t="s">
        <v>5688</v>
      </c>
    </row>
    <row r="1309" spans="1:1" ht="17">
      <c r="A1309" s="30" t="s">
        <v>5689</v>
      </c>
    </row>
    <row r="1310" spans="1:1" ht="17">
      <c r="A1310" s="30" t="s">
        <v>5690</v>
      </c>
    </row>
    <row r="1311" spans="1:1" ht="17">
      <c r="A1311" s="30" t="s">
        <v>5691</v>
      </c>
    </row>
    <row r="1312" spans="1:1" ht="17">
      <c r="A1312" s="30" t="s">
        <v>5692</v>
      </c>
    </row>
    <row r="1313" spans="1:1" ht="17">
      <c r="A1313" s="30" t="s">
        <v>5693</v>
      </c>
    </row>
    <row r="1314" spans="1:1" ht="17">
      <c r="A1314" s="30" t="s">
        <v>5694</v>
      </c>
    </row>
    <row r="1315" spans="1:1" ht="17">
      <c r="A1315" s="30" t="s">
        <v>5695</v>
      </c>
    </row>
    <row r="1316" spans="1:1" ht="17">
      <c r="A1316" s="30" t="s">
        <v>5696</v>
      </c>
    </row>
    <row r="1317" spans="1:1" ht="17">
      <c r="A1317" s="30" t="s">
        <v>5697</v>
      </c>
    </row>
    <row r="1318" spans="1:1" ht="17">
      <c r="A1318" s="30" t="s">
        <v>5698</v>
      </c>
    </row>
    <row r="1319" spans="1:1" ht="17">
      <c r="A1319" s="30" t="s">
        <v>5699</v>
      </c>
    </row>
    <row r="1320" spans="1:1" ht="17">
      <c r="A1320" s="30" t="s">
        <v>5700</v>
      </c>
    </row>
    <row r="1321" spans="1:1" ht="17">
      <c r="A1321" s="30" t="s">
        <v>5701</v>
      </c>
    </row>
    <row r="1322" spans="1:1" ht="17">
      <c r="A1322" s="30" t="s">
        <v>5702</v>
      </c>
    </row>
    <row r="1323" spans="1:1" ht="17">
      <c r="A1323" s="30" t="s">
        <v>5703</v>
      </c>
    </row>
    <row r="1324" spans="1:1" ht="17">
      <c r="A1324" s="30" t="s">
        <v>5704</v>
      </c>
    </row>
    <row r="1325" spans="1:1" ht="17">
      <c r="A1325" s="30" t="s">
        <v>5705</v>
      </c>
    </row>
    <row r="1326" spans="1:1" ht="17">
      <c r="A1326" s="30" t="s">
        <v>5706</v>
      </c>
    </row>
    <row r="1327" spans="1:1" ht="17">
      <c r="A1327" s="30" t="s">
        <v>5707</v>
      </c>
    </row>
    <row r="1328" spans="1:1" ht="17">
      <c r="A1328" s="30" t="s">
        <v>5708</v>
      </c>
    </row>
    <row r="1329" spans="1:1" ht="17">
      <c r="A1329" s="30" t="s">
        <v>5709</v>
      </c>
    </row>
    <row r="1330" spans="1:1" ht="17">
      <c r="A1330" s="30" t="s">
        <v>5710</v>
      </c>
    </row>
    <row r="1331" spans="1:1" ht="17">
      <c r="A1331" s="30" t="s">
        <v>5711</v>
      </c>
    </row>
    <row r="1332" spans="1:1" ht="17">
      <c r="A1332" s="30" t="s">
        <v>5712</v>
      </c>
    </row>
    <row r="1333" spans="1:1" ht="17">
      <c r="A1333" s="30" t="s">
        <v>5713</v>
      </c>
    </row>
    <row r="1334" spans="1:1" ht="17">
      <c r="A1334" s="30" t="s">
        <v>5714</v>
      </c>
    </row>
    <row r="1335" spans="1:1" ht="17">
      <c r="A1335" s="30" t="s">
        <v>3666</v>
      </c>
    </row>
    <row r="1336" spans="1:1" ht="17">
      <c r="A1336" s="30" t="s">
        <v>3667</v>
      </c>
    </row>
    <row r="1337" spans="1:1" ht="17">
      <c r="A1337" s="30" t="s">
        <v>3668</v>
      </c>
    </row>
    <row r="1338" spans="1:1" ht="17">
      <c r="A1338" s="30" t="s">
        <v>4453</v>
      </c>
    </row>
    <row r="1339" spans="1:1" ht="17">
      <c r="A1339" s="30" t="s">
        <v>5715</v>
      </c>
    </row>
    <row r="1340" spans="1:1" ht="17">
      <c r="A1340" s="30" t="s">
        <v>5716</v>
      </c>
    </row>
    <row r="1341" spans="1:1" ht="17">
      <c r="A1341" s="30" t="s">
        <v>5717</v>
      </c>
    </row>
    <row r="1342" spans="1:1" ht="17">
      <c r="A1342" s="30" t="s">
        <v>5718</v>
      </c>
    </row>
    <row r="1343" spans="1:1" ht="17">
      <c r="A1343" s="30" t="s">
        <v>5719</v>
      </c>
    </row>
    <row r="1344" spans="1:1" ht="17">
      <c r="A1344" s="30" t="s">
        <v>5720</v>
      </c>
    </row>
    <row r="1345" spans="1:1" ht="17">
      <c r="A1345" s="30" t="s">
        <v>5721</v>
      </c>
    </row>
    <row r="1346" spans="1:1" ht="17">
      <c r="A1346" s="30" t="s">
        <v>5722</v>
      </c>
    </row>
    <row r="1347" spans="1:1" ht="17">
      <c r="A1347" s="30" t="s">
        <v>5723</v>
      </c>
    </row>
    <row r="1348" spans="1:1" ht="17">
      <c r="A1348" s="30" t="s">
        <v>5724</v>
      </c>
    </row>
    <row r="1349" spans="1:1" ht="17">
      <c r="A1349" s="30" t="s">
        <v>5725</v>
      </c>
    </row>
    <row r="1350" spans="1:1" ht="17">
      <c r="A1350" s="30" t="s">
        <v>5726</v>
      </c>
    </row>
    <row r="1351" spans="1:1" ht="17">
      <c r="A1351" s="30" t="s">
        <v>5727</v>
      </c>
    </row>
    <row r="1352" spans="1:1" ht="17">
      <c r="A1352" s="30" t="s">
        <v>5728</v>
      </c>
    </row>
    <row r="1353" spans="1:1" ht="17">
      <c r="A1353" s="30" t="s">
        <v>5729</v>
      </c>
    </row>
    <row r="1354" spans="1:1" ht="17">
      <c r="A1354" s="30" t="s">
        <v>5730</v>
      </c>
    </row>
    <row r="1355" spans="1:1" ht="17">
      <c r="A1355" s="30" t="s">
        <v>5731</v>
      </c>
    </row>
    <row r="1356" spans="1:1" ht="17">
      <c r="A1356" s="30" t="s">
        <v>5732</v>
      </c>
    </row>
    <row r="1357" spans="1:1" ht="17">
      <c r="A1357" s="30" t="s">
        <v>5733</v>
      </c>
    </row>
    <row r="1358" spans="1:1" ht="17">
      <c r="A1358" s="30" t="s">
        <v>5734</v>
      </c>
    </row>
    <row r="1359" spans="1:1" ht="17">
      <c r="A1359" s="30" t="s">
        <v>5735</v>
      </c>
    </row>
    <row r="1360" spans="1:1" ht="17">
      <c r="A1360" s="30" t="s">
        <v>5736</v>
      </c>
    </row>
    <row r="1361" spans="1:1" ht="17">
      <c r="A1361" s="30" t="s">
        <v>5737</v>
      </c>
    </row>
    <row r="1362" spans="1:1" ht="17">
      <c r="A1362" s="30" t="s">
        <v>5738</v>
      </c>
    </row>
    <row r="1363" spans="1:1" ht="17">
      <c r="A1363" s="30" t="s">
        <v>5739</v>
      </c>
    </row>
    <row r="1364" spans="1:1" ht="17">
      <c r="A1364" s="30" t="s">
        <v>5740</v>
      </c>
    </row>
    <row r="1365" spans="1:1" ht="17">
      <c r="A1365" s="30" t="s">
        <v>5741</v>
      </c>
    </row>
    <row r="1366" spans="1:1" ht="17">
      <c r="A1366" s="30" t="s">
        <v>5742</v>
      </c>
    </row>
    <row r="1367" spans="1:1" ht="17">
      <c r="A1367" s="30" t="s">
        <v>5743</v>
      </c>
    </row>
    <row r="1368" spans="1:1" ht="17">
      <c r="A1368" s="30" t="s">
        <v>5744</v>
      </c>
    </row>
    <row r="1369" spans="1:1" ht="17">
      <c r="A1369" s="30" t="s">
        <v>5745</v>
      </c>
    </row>
    <row r="1370" spans="1:1" ht="17">
      <c r="A1370" s="30" t="s">
        <v>5746</v>
      </c>
    </row>
    <row r="1371" spans="1:1" ht="17">
      <c r="A1371" s="30" t="s">
        <v>5747</v>
      </c>
    </row>
    <row r="1372" spans="1:1" ht="17">
      <c r="A1372" s="30" t="s">
        <v>5748</v>
      </c>
    </row>
    <row r="1373" spans="1:1" ht="17">
      <c r="A1373" s="30" t="s">
        <v>5749</v>
      </c>
    </row>
    <row r="1374" spans="1:1" ht="17">
      <c r="A1374" s="30" t="s">
        <v>5750</v>
      </c>
    </row>
    <row r="1375" spans="1:1" ht="17">
      <c r="A1375" s="30" t="s">
        <v>5751</v>
      </c>
    </row>
    <row r="1376" spans="1:1" ht="17">
      <c r="A1376" s="30" t="s">
        <v>5752</v>
      </c>
    </row>
    <row r="1377" spans="1:1" ht="17">
      <c r="A1377" s="30" t="s">
        <v>5753</v>
      </c>
    </row>
    <row r="1378" spans="1:1" ht="17">
      <c r="A1378" s="30" t="s">
        <v>5754</v>
      </c>
    </row>
    <row r="1379" spans="1:1" ht="17">
      <c r="A1379" s="30" t="s">
        <v>5755</v>
      </c>
    </row>
    <row r="1380" spans="1:1" ht="17">
      <c r="A1380" s="30" t="s">
        <v>5756</v>
      </c>
    </row>
    <row r="1381" spans="1:1" ht="17">
      <c r="A1381" s="30" t="s">
        <v>5757</v>
      </c>
    </row>
    <row r="1382" spans="1:1" ht="17">
      <c r="A1382" s="30" t="s">
        <v>5758</v>
      </c>
    </row>
    <row r="1383" spans="1:1" ht="17">
      <c r="A1383" s="30" t="s">
        <v>5759</v>
      </c>
    </row>
    <row r="1384" spans="1:1" ht="17">
      <c r="A1384" s="30" t="s">
        <v>5760</v>
      </c>
    </row>
    <row r="1385" spans="1:1" ht="17">
      <c r="A1385" s="30" t="s">
        <v>5761</v>
      </c>
    </row>
    <row r="1386" spans="1:1" ht="17">
      <c r="A1386" s="30" t="s">
        <v>5762</v>
      </c>
    </row>
    <row r="1387" spans="1:1" ht="17">
      <c r="A1387" s="30" t="s">
        <v>5763</v>
      </c>
    </row>
    <row r="1388" spans="1:1" ht="17">
      <c r="A1388" s="30" t="s">
        <v>5764</v>
      </c>
    </row>
    <row r="1389" spans="1:1" ht="17">
      <c r="A1389" s="30" t="s">
        <v>5765</v>
      </c>
    </row>
    <row r="1390" spans="1:1" ht="17">
      <c r="A1390" s="30" t="s">
        <v>5766</v>
      </c>
    </row>
    <row r="1391" spans="1:1" ht="17">
      <c r="A1391" s="30" t="s">
        <v>5767</v>
      </c>
    </row>
    <row r="1392" spans="1:1" ht="17">
      <c r="A1392" s="30" t="s">
        <v>5768</v>
      </c>
    </row>
    <row r="1393" spans="1:1" ht="17">
      <c r="A1393" s="30" t="s">
        <v>5769</v>
      </c>
    </row>
    <row r="1394" spans="1:1" ht="17">
      <c r="A1394" s="30" t="s">
        <v>5770</v>
      </c>
    </row>
    <row r="1395" spans="1:1" ht="17">
      <c r="A1395" s="30" t="s">
        <v>5771</v>
      </c>
    </row>
    <row r="1396" spans="1:1" ht="17">
      <c r="A1396" s="30" t="s">
        <v>5772</v>
      </c>
    </row>
    <row r="1397" spans="1:1" ht="17">
      <c r="A1397" s="30" t="s">
        <v>5773</v>
      </c>
    </row>
    <row r="1398" spans="1:1" ht="17">
      <c r="A1398" s="30" t="s">
        <v>5774</v>
      </c>
    </row>
    <row r="1399" spans="1:1" ht="17">
      <c r="A1399" s="30" t="s">
        <v>5775</v>
      </c>
    </row>
    <row r="1400" spans="1:1" ht="17">
      <c r="A1400" s="30" t="s">
        <v>5776</v>
      </c>
    </row>
    <row r="1401" spans="1:1" ht="17">
      <c r="A1401" s="30" t="s">
        <v>5777</v>
      </c>
    </row>
    <row r="1402" spans="1:1" ht="17">
      <c r="A1402" s="30" t="s">
        <v>5778</v>
      </c>
    </row>
    <row r="1403" spans="1:1" ht="17">
      <c r="A1403" s="30" t="s">
        <v>5779</v>
      </c>
    </row>
    <row r="1404" spans="1:1" ht="17">
      <c r="A1404" s="30" t="s">
        <v>5780</v>
      </c>
    </row>
    <row r="1405" spans="1:1" ht="17">
      <c r="A1405" s="30" t="s">
        <v>5781</v>
      </c>
    </row>
    <row r="1406" spans="1:1" ht="17">
      <c r="A1406" s="30" t="s">
        <v>5782</v>
      </c>
    </row>
    <row r="1407" spans="1:1" ht="17">
      <c r="A1407" s="30" t="s">
        <v>5783</v>
      </c>
    </row>
    <row r="1408" spans="1:1" ht="17">
      <c r="A1408" s="30" t="s">
        <v>5784</v>
      </c>
    </row>
    <row r="1409" spans="1:1" ht="17">
      <c r="A1409" s="30" t="s">
        <v>5785</v>
      </c>
    </row>
    <row r="1410" spans="1:1" ht="17">
      <c r="A1410" s="30" t="s">
        <v>5786</v>
      </c>
    </row>
    <row r="1411" spans="1:1" ht="17">
      <c r="A1411" s="30" t="s">
        <v>5787</v>
      </c>
    </row>
    <row r="1412" spans="1:1" ht="17">
      <c r="A1412" s="30" t="s">
        <v>5788</v>
      </c>
    </row>
    <row r="1413" spans="1:1" ht="17">
      <c r="A1413" s="30" t="s">
        <v>5789</v>
      </c>
    </row>
    <row r="1414" spans="1:1" ht="17">
      <c r="A1414" s="30" t="s">
        <v>5790</v>
      </c>
    </row>
    <row r="1415" spans="1:1" ht="17">
      <c r="A1415" s="30" t="s">
        <v>5791</v>
      </c>
    </row>
    <row r="1416" spans="1:1" ht="17">
      <c r="A1416" s="30" t="s">
        <v>5792</v>
      </c>
    </row>
    <row r="1417" spans="1:1" ht="17">
      <c r="A1417" s="30" t="s">
        <v>5793</v>
      </c>
    </row>
    <row r="1418" spans="1:1" ht="17">
      <c r="A1418" s="30" t="s">
        <v>5794</v>
      </c>
    </row>
    <row r="1419" spans="1:1" ht="17">
      <c r="A1419" s="30" t="s">
        <v>5795</v>
      </c>
    </row>
    <row r="1420" spans="1:1" ht="17">
      <c r="A1420" s="30" t="s">
        <v>5796</v>
      </c>
    </row>
    <row r="1421" spans="1:1" ht="17">
      <c r="A1421" s="30" t="s">
        <v>5797</v>
      </c>
    </row>
    <row r="1422" spans="1:1" ht="17">
      <c r="A1422" s="30" t="s">
        <v>5798</v>
      </c>
    </row>
    <row r="1423" spans="1:1" ht="17">
      <c r="A1423" s="30" t="s">
        <v>5799</v>
      </c>
    </row>
    <row r="1424" spans="1:1" ht="17">
      <c r="A1424" s="30" t="s">
        <v>5800</v>
      </c>
    </row>
    <row r="1425" spans="1:1" ht="17">
      <c r="A1425" s="30" t="s">
        <v>5801</v>
      </c>
    </row>
    <row r="1426" spans="1:1" ht="17">
      <c r="A1426" s="30" t="s">
        <v>5802</v>
      </c>
    </row>
    <row r="1427" spans="1:1" ht="17">
      <c r="A1427" s="30" t="s">
        <v>5803</v>
      </c>
    </row>
    <row r="1428" spans="1:1" ht="17">
      <c r="A1428" s="30" t="s">
        <v>3629</v>
      </c>
    </row>
    <row r="1429" spans="1:1" ht="17">
      <c r="A1429" s="30" t="s">
        <v>3630</v>
      </c>
    </row>
    <row r="1430" spans="1:1" ht="17">
      <c r="A1430" s="30" t="s">
        <v>3634</v>
      </c>
    </row>
    <row r="1431" spans="1:1" ht="17">
      <c r="A1431" s="30" t="s">
        <v>3635</v>
      </c>
    </row>
    <row r="1432" spans="1:1" ht="17">
      <c r="A1432" s="30" t="s">
        <v>5804</v>
      </c>
    </row>
    <row r="1433" spans="1:1" ht="17">
      <c r="A1433" s="30" t="s">
        <v>5805</v>
      </c>
    </row>
    <row r="1434" spans="1:1" ht="17">
      <c r="A1434" s="30" t="s">
        <v>5806</v>
      </c>
    </row>
    <row r="1435" spans="1:1" ht="17">
      <c r="A1435" s="30" t="s">
        <v>5807</v>
      </c>
    </row>
    <row r="1436" spans="1:1" ht="17">
      <c r="A1436" s="30" t="s">
        <v>5808</v>
      </c>
    </row>
    <row r="1437" spans="1:1" ht="17">
      <c r="A1437" s="30" t="s">
        <v>5809</v>
      </c>
    </row>
    <row r="1438" spans="1:1" ht="17">
      <c r="A1438" s="30" t="s">
        <v>5810</v>
      </c>
    </row>
    <row r="1439" spans="1:1" ht="17">
      <c r="A1439" s="30" t="s">
        <v>5811</v>
      </c>
    </row>
    <row r="1440" spans="1:1" ht="17">
      <c r="A1440" s="30" t="s">
        <v>5812</v>
      </c>
    </row>
    <row r="1441" spans="1:1" ht="17">
      <c r="A1441" s="30" t="s">
        <v>5813</v>
      </c>
    </row>
    <row r="1442" spans="1:1" ht="17">
      <c r="A1442" s="30" t="s">
        <v>5814</v>
      </c>
    </row>
    <row r="1443" spans="1:1" ht="17">
      <c r="A1443" s="30" t="s">
        <v>5815</v>
      </c>
    </row>
    <row r="1444" spans="1:1" ht="17">
      <c r="A1444" s="30" t="s">
        <v>5816</v>
      </c>
    </row>
    <row r="1445" spans="1:1" ht="17">
      <c r="A1445" s="30" t="s">
        <v>5817</v>
      </c>
    </row>
    <row r="1446" spans="1:1" ht="17">
      <c r="A1446" s="30" t="s">
        <v>5818</v>
      </c>
    </row>
    <row r="1447" spans="1:1" ht="17">
      <c r="A1447" s="30" t="s">
        <v>5819</v>
      </c>
    </row>
    <row r="1448" spans="1:1" ht="17">
      <c r="A1448" s="30" t="s">
        <v>5820</v>
      </c>
    </row>
    <row r="1449" spans="1:1" ht="17">
      <c r="A1449" s="30" t="s">
        <v>5821</v>
      </c>
    </row>
    <row r="1450" spans="1:1" ht="17">
      <c r="A1450" s="30" t="s">
        <v>5822</v>
      </c>
    </row>
    <row r="1451" spans="1:1" ht="17">
      <c r="A1451" s="30" t="s">
        <v>5823</v>
      </c>
    </row>
    <row r="1452" spans="1:1" ht="17">
      <c r="A1452" s="30" t="s">
        <v>5824</v>
      </c>
    </row>
    <row r="1453" spans="1:1" ht="17">
      <c r="A1453" s="30" t="s">
        <v>5825</v>
      </c>
    </row>
    <row r="1454" spans="1:1" ht="17">
      <c r="A1454" s="30" t="s">
        <v>5826</v>
      </c>
    </row>
    <row r="1455" spans="1:1" ht="17">
      <c r="A1455" s="30" t="s">
        <v>5827</v>
      </c>
    </row>
    <row r="1456" spans="1:1" ht="17">
      <c r="A1456" s="30" t="s">
        <v>5828</v>
      </c>
    </row>
    <row r="1457" spans="1:1" ht="17">
      <c r="A1457" s="30" t="s">
        <v>5829</v>
      </c>
    </row>
    <row r="1458" spans="1:1" ht="17">
      <c r="A1458" s="30" t="s">
        <v>5830</v>
      </c>
    </row>
    <row r="1459" spans="1:1" ht="17">
      <c r="A1459" s="30" t="s">
        <v>5831</v>
      </c>
    </row>
    <row r="1460" spans="1:1" ht="17">
      <c r="A1460" s="30" t="s">
        <v>5832</v>
      </c>
    </row>
    <row r="1461" spans="1:1" ht="17">
      <c r="A1461" s="30" t="s">
        <v>5833</v>
      </c>
    </row>
    <row r="1462" spans="1:1" ht="17">
      <c r="A1462" s="30" t="s">
        <v>5834</v>
      </c>
    </row>
    <row r="1463" spans="1:1" ht="17">
      <c r="A1463" s="30" t="s">
        <v>5835</v>
      </c>
    </row>
    <row r="1464" spans="1:1" ht="17">
      <c r="A1464" s="30" t="s">
        <v>5836</v>
      </c>
    </row>
    <row r="1465" spans="1:1" ht="17">
      <c r="A1465" s="30" t="s">
        <v>5837</v>
      </c>
    </row>
    <row r="1466" spans="1:1" ht="17">
      <c r="A1466" s="30" t="s">
        <v>5838</v>
      </c>
    </row>
    <row r="1467" spans="1:1" ht="17">
      <c r="A1467" s="30" t="s">
        <v>5839</v>
      </c>
    </row>
    <row r="1468" spans="1:1" ht="17">
      <c r="A1468" s="30" t="s">
        <v>4456</v>
      </c>
    </row>
    <row r="1469" spans="1:1" ht="17">
      <c r="A1469" s="30" t="s">
        <v>5840</v>
      </c>
    </row>
    <row r="1470" spans="1:1" ht="17">
      <c r="A1470" s="30" t="s">
        <v>5841</v>
      </c>
    </row>
    <row r="1471" spans="1:1" ht="17">
      <c r="A1471" s="30" t="s">
        <v>5842</v>
      </c>
    </row>
    <row r="1472" spans="1:1" ht="17">
      <c r="A1472" s="30" t="s">
        <v>5843</v>
      </c>
    </row>
    <row r="1473" spans="1:1" ht="17">
      <c r="A1473" s="30" t="s">
        <v>5844</v>
      </c>
    </row>
    <row r="1474" spans="1:1" ht="17">
      <c r="A1474" s="30" t="s">
        <v>5845</v>
      </c>
    </row>
    <row r="1475" spans="1:1" ht="17">
      <c r="A1475" s="30" t="s">
        <v>5846</v>
      </c>
    </row>
    <row r="1476" spans="1:1" ht="17">
      <c r="A1476" s="30" t="s">
        <v>5847</v>
      </c>
    </row>
    <row r="1477" spans="1:1" ht="17">
      <c r="A1477" s="30" t="s">
        <v>5848</v>
      </c>
    </row>
    <row r="1478" spans="1:1" ht="17">
      <c r="A1478" s="30" t="s">
        <v>5849</v>
      </c>
    </row>
    <row r="1479" spans="1:1" ht="17">
      <c r="A1479" s="30" t="s">
        <v>5850</v>
      </c>
    </row>
    <row r="1480" spans="1:1" ht="17">
      <c r="A1480" s="30" t="s">
        <v>5851</v>
      </c>
    </row>
    <row r="1481" spans="1:1" ht="17">
      <c r="A1481" s="30" t="s">
        <v>5852</v>
      </c>
    </row>
    <row r="1482" spans="1:1" ht="17">
      <c r="A1482" s="30" t="s">
        <v>5853</v>
      </c>
    </row>
    <row r="1483" spans="1:1" ht="17">
      <c r="A1483" s="30" t="s">
        <v>5854</v>
      </c>
    </row>
    <row r="1484" spans="1:1" ht="17">
      <c r="A1484" s="30" t="s">
        <v>5855</v>
      </c>
    </row>
    <row r="1485" spans="1:1" ht="17">
      <c r="A1485" s="30" t="s">
        <v>5856</v>
      </c>
    </row>
    <row r="1486" spans="1:1" ht="17">
      <c r="A1486" s="30" t="s">
        <v>5857</v>
      </c>
    </row>
    <row r="1487" spans="1:1" ht="17">
      <c r="A1487" s="30" t="s">
        <v>5858</v>
      </c>
    </row>
    <row r="1488" spans="1:1" ht="17">
      <c r="A1488" s="30" t="s">
        <v>5859</v>
      </c>
    </row>
    <row r="1489" spans="1:1" ht="17">
      <c r="A1489" s="30" t="s">
        <v>5860</v>
      </c>
    </row>
    <row r="1490" spans="1:1" ht="17">
      <c r="A1490" s="30" t="s">
        <v>5861</v>
      </c>
    </row>
    <row r="1491" spans="1:1" ht="17">
      <c r="A1491" s="30" t="s">
        <v>5862</v>
      </c>
    </row>
    <row r="1492" spans="1:1" ht="17">
      <c r="A1492" s="30" t="s">
        <v>5863</v>
      </c>
    </row>
    <row r="1493" spans="1:1" ht="17">
      <c r="A1493" s="30" t="s">
        <v>5864</v>
      </c>
    </row>
    <row r="1494" spans="1:1" ht="17">
      <c r="A1494" s="30" t="s">
        <v>5865</v>
      </c>
    </row>
    <row r="1495" spans="1:1" ht="17">
      <c r="A1495" s="30" t="s">
        <v>5866</v>
      </c>
    </row>
    <row r="1496" spans="1:1" ht="17">
      <c r="A1496" s="30" t="s">
        <v>5867</v>
      </c>
    </row>
    <row r="1497" spans="1:1" ht="17">
      <c r="A1497" s="30" t="s">
        <v>5868</v>
      </c>
    </row>
    <row r="1498" spans="1:1" ht="17">
      <c r="A1498" s="30" t="s">
        <v>5869</v>
      </c>
    </row>
    <row r="1499" spans="1:1" ht="17">
      <c r="A1499" s="30" t="s">
        <v>5870</v>
      </c>
    </row>
    <row r="1500" spans="1:1" ht="17">
      <c r="A1500" s="30" t="s">
        <v>5871</v>
      </c>
    </row>
    <row r="1501" spans="1:1" ht="17">
      <c r="A1501" s="30" t="s">
        <v>5872</v>
      </c>
    </row>
    <row r="1502" spans="1:1" ht="17">
      <c r="A1502" s="30" t="s">
        <v>5873</v>
      </c>
    </row>
    <row r="1503" spans="1:1" ht="17">
      <c r="A1503" s="30" t="s">
        <v>5874</v>
      </c>
    </row>
    <row r="1504" spans="1:1" ht="17">
      <c r="A1504" s="30" t="s">
        <v>5875</v>
      </c>
    </row>
    <row r="1505" spans="1:1" ht="17">
      <c r="A1505" s="30" t="s">
        <v>5876</v>
      </c>
    </row>
    <row r="1506" spans="1:1" ht="17">
      <c r="A1506" s="30" t="s">
        <v>5877</v>
      </c>
    </row>
    <row r="1507" spans="1:1" ht="17">
      <c r="A1507" s="30" t="s">
        <v>5878</v>
      </c>
    </row>
    <row r="1508" spans="1:1" ht="17">
      <c r="A1508" s="30" t="s">
        <v>5879</v>
      </c>
    </row>
    <row r="1509" spans="1:1" ht="17">
      <c r="A1509" s="30" t="s">
        <v>5880</v>
      </c>
    </row>
    <row r="1510" spans="1:1" ht="17">
      <c r="A1510" s="30" t="s">
        <v>5881</v>
      </c>
    </row>
    <row r="1511" spans="1:1" ht="17">
      <c r="A1511" s="30" t="s">
        <v>5882</v>
      </c>
    </row>
    <row r="1512" spans="1:1" ht="17">
      <c r="A1512" s="30" t="s">
        <v>5883</v>
      </c>
    </row>
    <row r="1513" spans="1:1" ht="17">
      <c r="A1513" s="30" t="s">
        <v>5884</v>
      </c>
    </row>
    <row r="1514" spans="1:1" ht="17">
      <c r="A1514" s="30" t="s">
        <v>5885</v>
      </c>
    </row>
    <row r="1515" spans="1:1" ht="17">
      <c r="A1515" s="30" t="s">
        <v>5886</v>
      </c>
    </row>
    <row r="1516" spans="1:1" ht="17">
      <c r="A1516" s="30" t="s">
        <v>5887</v>
      </c>
    </row>
    <row r="1517" spans="1:1" ht="17">
      <c r="A1517" s="30" t="s">
        <v>5888</v>
      </c>
    </row>
    <row r="1518" spans="1:1" ht="17">
      <c r="A1518" s="30" t="s">
        <v>5889</v>
      </c>
    </row>
    <row r="1519" spans="1:1" ht="17">
      <c r="A1519" s="30" t="s">
        <v>5890</v>
      </c>
    </row>
    <row r="1520" spans="1:1" ht="17">
      <c r="A1520" s="30" t="s">
        <v>5891</v>
      </c>
    </row>
    <row r="1521" spans="1:1" ht="17">
      <c r="A1521" s="30" t="s">
        <v>5892</v>
      </c>
    </row>
    <row r="1522" spans="1:1" ht="17">
      <c r="A1522" s="30" t="s">
        <v>5893</v>
      </c>
    </row>
    <row r="1523" spans="1:1" ht="17">
      <c r="A1523" s="30" t="s">
        <v>5894</v>
      </c>
    </row>
    <row r="1524" spans="1:1" ht="17">
      <c r="A1524" s="30" t="s">
        <v>5895</v>
      </c>
    </row>
    <row r="1525" spans="1:1" ht="17">
      <c r="A1525" s="30" t="s">
        <v>5896</v>
      </c>
    </row>
    <row r="1526" spans="1:1" ht="17">
      <c r="A1526" s="30" t="s">
        <v>5897</v>
      </c>
    </row>
    <row r="1527" spans="1:1" ht="17">
      <c r="A1527" s="30" t="s">
        <v>5898</v>
      </c>
    </row>
    <row r="1528" spans="1:1" ht="17">
      <c r="A1528" s="30" t="s">
        <v>5899</v>
      </c>
    </row>
    <row r="1529" spans="1:1" ht="17">
      <c r="A1529" s="30" t="s">
        <v>5900</v>
      </c>
    </row>
    <row r="1530" spans="1:1" ht="17">
      <c r="A1530" s="30" t="s">
        <v>5901</v>
      </c>
    </row>
    <row r="1531" spans="1:1" ht="17">
      <c r="A1531" s="30" t="s">
        <v>5902</v>
      </c>
    </row>
    <row r="1532" spans="1:1" ht="17">
      <c r="A1532" s="30" t="s">
        <v>5903</v>
      </c>
    </row>
    <row r="1533" spans="1:1" ht="17">
      <c r="A1533" s="30" t="s">
        <v>5904</v>
      </c>
    </row>
    <row r="1534" spans="1:1" ht="17">
      <c r="A1534" s="30" t="s">
        <v>5905</v>
      </c>
    </row>
    <row r="1535" spans="1:1" ht="17">
      <c r="A1535" s="30" t="s">
        <v>5906</v>
      </c>
    </row>
    <row r="1536" spans="1:1" ht="17">
      <c r="A1536" s="30" t="s">
        <v>5907</v>
      </c>
    </row>
    <row r="1537" spans="1:1" ht="17">
      <c r="A1537" s="30" t="s">
        <v>5908</v>
      </c>
    </row>
    <row r="1538" spans="1:1" ht="17">
      <c r="A1538" s="30" t="s">
        <v>5909</v>
      </c>
    </row>
    <row r="1539" spans="1:1" ht="17">
      <c r="A1539" s="30" t="s">
        <v>5910</v>
      </c>
    </row>
    <row r="1540" spans="1:1" ht="17">
      <c r="A1540" s="30" t="s">
        <v>4457</v>
      </c>
    </row>
    <row r="1541" spans="1:1" ht="17">
      <c r="A1541" s="30" t="s">
        <v>5911</v>
      </c>
    </row>
    <row r="1542" spans="1:1" ht="17">
      <c r="A1542" s="30" t="s">
        <v>5912</v>
      </c>
    </row>
    <row r="1543" spans="1:1" ht="17">
      <c r="A1543" s="30" t="s">
        <v>5913</v>
      </c>
    </row>
    <row r="1544" spans="1:1" ht="17">
      <c r="A1544" s="30" t="s">
        <v>5914</v>
      </c>
    </row>
    <row r="1545" spans="1:1" ht="17">
      <c r="A1545" s="30" t="s">
        <v>5915</v>
      </c>
    </row>
    <row r="1546" spans="1:1" ht="17">
      <c r="A1546" s="30" t="s">
        <v>5916</v>
      </c>
    </row>
    <row r="1547" spans="1:1" ht="17">
      <c r="A1547" s="30" t="s">
        <v>5917</v>
      </c>
    </row>
    <row r="1548" spans="1:1" ht="17">
      <c r="A1548" s="30" t="s">
        <v>5918</v>
      </c>
    </row>
    <row r="1549" spans="1:1" ht="17">
      <c r="A1549" s="30" t="s">
        <v>5919</v>
      </c>
    </row>
    <row r="1550" spans="1:1" ht="17">
      <c r="A1550" s="30" t="s">
        <v>5920</v>
      </c>
    </row>
    <row r="1551" spans="1:1" ht="17">
      <c r="A1551" s="30" t="s">
        <v>5921</v>
      </c>
    </row>
    <row r="1552" spans="1:1" ht="17">
      <c r="A1552" s="30" t="s">
        <v>5922</v>
      </c>
    </row>
    <row r="1553" spans="1:1" ht="17">
      <c r="A1553" s="30" t="s">
        <v>5923</v>
      </c>
    </row>
    <row r="1554" spans="1:1" ht="17">
      <c r="A1554" s="30" t="s">
        <v>5924</v>
      </c>
    </row>
    <row r="1555" spans="1:1" ht="17">
      <c r="A1555" s="30" t="s">
        <v>5925</v>
      </c>
    </row>
    <row r="1556" spans="1:1" ht="17">
      <c r="A1556" s="30" t="s">
        <v>5926</v>
      </c>
    </row>
    <row r="1557" spans="1:1" ht="17">
      <c r="A1557" s="30" t="s">
        <v>5927</v>
      </c>
    </row>
    <row r="1558" spans="1:1" ht="17">
      <c r="A1558" s="30" t="s">
        <v>5928</v>
      </c>
    </row>
    <row r="1559" spans="1:1" ht="17">
      <c r="A1559" s="30" t="s">
        <v>5929</v>
      </c>
    </row>
    <row r="1560" spans="1:1" ht="17">
      <c r="A1560" s="30" t="s">
        <v>5930</v>
      </c>
    </row>
    <row r="1561" spans="1:1" ht="17">
      <c r="A1561" s="30" t="s">
        <v>5931</v>
      </c>
    </row>
    <row r="1562" spans="1:1" ht="17">
      <c r="A1562" s="30" t="s">
        <v>5932</v>
      </c>
    </row>
    <row r="1563" spans="1:1" ht="17">
      <c r="A1563" s="30" t="s">
        <v>5933</v>
      </c>
    </row>
    <row r="1564" spans="1:1" ht="17">
      <c r="A1564" s="30" t="s">
        <v>5934</v>
      </c>
    </row>
    <row r="1565" spans="1:1" ht="17">
      <c r="A1565" s="30" t="s">
        <v>5935</v>
      </c>
    </row>
    <row r="1566" spans="1:1" ht="17">
      <c r="A1566" s="30" t="s">
        <v>5936</v>
      </c>
    </row>
    <row r="1567" spans="1:1" ht="17">
      <c r="A1567" s="30" t="s">
        <v>5937</v>
      </c>
    </row>
    <row r="1568" spans="1:1" ht="17">
      <c r="A1568" s="30" t="s">
        <v>5938</v>
      </c>
    </row>
    <row r="1569" spans="1:1" ht="17">
      <c r="A1569" s="30" t="s">
        <v>5939</v>
      </c>
    </row>
    <row r="1570" spans="1:1" ht="17">
      <c r="A1570" s="30" t="s">
        <v>5940</v>
      </c>
    </row>
    <row r="1571" spans="1:1" ht="17">
      <c r="A1571" s="30" t="s">
        <v>5941</v>
      </c>
    </row>
    <row r="1572" spans="1:1" ht="17">
      <c r="A1572" s="30" t="s">
        <v>5942</v>
      </c>
    </row>
    <row r="1573" spans="1:1" ht="17">
      <c r="A1573" s="30" t="s">
        <v>5943</v>
      </c>
    </row>
    <row r="1574" spans="1:1" ht="17">
      <c r="A1574" s="30" t="s">
        <v>5944</v>
      </c>
    </row>
    <row r="1575" spans="1:1" ht="17">
      <c r="A1575" s="30" t="s">
        <v>5945</v>
      </c>
    </row>
    <row r="1576" spans="1:1" ht="17">
      <c r="A1576" s="30" t="s">
        <v>5946</v>
      </c>
    </row>
    <row r="1577" spans="1:1" ht="17">
      <c r="A1577" s="30" t="s">
        <v>5947</v>
      </c>
    </row>
    <row r="1578" spans="1:1" ht="17">
      <c r="A1578" s="30" t="s">
        <v>5948</v>
      </c>
    </row>
    <row r="1579" spans="1:1" ht="17">
      <c r="A1579" s="30" t="s">
        <v>5949</v>
      </c>
    </row>
    <row r="1580" spans="1:1" ht="17">
      <c r="A1580" s="30" t="s">
        <v>5950</v>
      </c>
    </row>
    <row r="1581" spans="1:1" ht="17">
      <c r="A1581" s="30" t="s">
        <v>3695</v>
      </c>
    </row>
    <row r="1582" spans="1:1" ht="17">
      <c r="A1582" s="30" t="s">
        <v>3697</v>
      </c>
    </row>
    <row r="1583" spans="1:1" ht="17">
      <c r="A1583" s="30" t="s">
        <v>3698</v>
      </c>
    </row>
    <row r="1584" spans="1:1" ht="17">
      <c r="A1584" s="30" t="s">
        <v>3699</v>
      </c>
    </row>
    <row r="1585" spans="1:1" ht="17">
      <c r="A1585" s="30" t="s">
        <v>3700</v>
      </c>
    </row>
    <row r="1586" spans="1:1" ht="17">
      <c r="A1586" s="30" t="s">
        <v>3701</v>
      </c>
    </row>
    <row r="1587" spans="1:1" ht="17">
      <c r="A1587" s="30" t="s">
        <v>3702</v>
      </c>
    </row>
    <row r="1588" spans="1:1" ht="17">
      <c r="A1588" s="30" t="s">
        <v>3703</v>
      </c>
    </row>
    <row r="1589" spans="1:1" ht="17">
      <c r="A1589" s="30" t="s">
        <v>3704</v>
      </c>
    </row>
    <row r="1590" spans="1:1" ht="17">
      <c r="A1590" s="30" t="s">
        <v>3705</v>
      </c>
    </row>
    <row r="1591" spans="1:1" ht="17">
      <c r="A1591" s="30" t="s">
        <v>3706</v>
      </c>
    </row>
    <row r="1592" spans="1:1" ht="17">
      <c r="A1592" s="30" t="s">
        <v>5951</v>
      </c>
    </row>
    <row r="1593" spans="1:1" ht="17">
      <c r="A1593" s="30" t="s">
        <v>5952</v>
      </c>
    </row>
    <row r="1594" spans="1:1" ht="17">
      <c r="A1594" s="30" t="s">
        <v>5953</v>
      </c>
    </row>
    <row r="1595" spans="1:1" ht="17">
      <c r="A1595" s="30" t="s">
        <v>5954</v>
      </c>
    </row>
    <row r="1596" spans="1:1" ht="17">
      <c r="A1596" s="30" t="s">
        <v>5955</v>
      </c>
    </row>
    <row r="1597" spans="1:1" ht="17">
      <c r="A1597" s="30" t="s">
        <v>5956</v>
      </c>
    </row>
    <row r="1598" spans="1:1" ht="17">
      <c r="A1598" s="30" t="s">
        <v>5957</v>
      </c>
    </row>
    <row r="1599" spans="1:1" ht="17">
      <c r="A1599" s="30" t="s">
        <v>5958</v>
      </c>
    </row>
    <row r="1600" spans="1:1" ht="17">
      <c r="A1600" s="30" t="s">
        <v>5959</v>
      </c>
    </row>
    <row r="1601" spans="1:1" ht="17">
      <c r="A1601" s="30" t="s">
        <v>5960</v>
      </c>
    </row>
    <row r="1602" spans="1:1" ht="17">
      <c r="A1602" s="30" t="s">
        <v>5961</v>
      </c>
    </row>
    <row r="1603" spans="1:1" ht="17">
      <c r="A1603" s="30" t="s">
        <v>5962</v>
      </c>
    </row>
    <row r="1604" spans="1:1" ht="17">
      <c r="A1604" s="30" t="s">
        <v>5963</v>
      </c>
    </row>
    <row r="1605" spans="1:1" ht="17">
      <c r="A1605" s="30" t="s">
        <v>5964</v>
      </c>
    </row>
    <row r="1606" spans="1:1" ht="17">
      <c r="A1606" s="30" t="s">
        <v>5965</v>
      </c>
    </row>
    <row r="1607" spans="1:1" ht="17">
      <c r="A1607" s="30" t="s">
        <v>5966</v>
      </c>
    </row>
    <row r="1608" spans="1:1" ht="17">
      <c r="A1608" s="30" t="s">
        <v>5967</v>
      </c>
    </row>
    <row r="1609" spans="1:1" ht="17">
      <c r="A1609" s="30" t="s">
        <v>5968</v>
      </c>
    </row>
    <row r="1610" spans="1:1" ht="17">
      <c r="A1610" s="30" t="s">
        <v>5969</v>
      </c>
    </row>
    <row r="1611" spans="1:1" ht="17">
      <c r="A1611" s="30" t="s">
        <v>5970</v>
      </c>
    </row>
    <row r="1612" spans="1:1" ht="17">
      <c r="A1612" s="30" t="s">
        <v>5971</v>
      </c>
    </row>
    <row r="1613" spans="1:1" ht="17">
      <c r="A1613" s="30" t="s">
        <v>5972</v>
      </c>
    </row>
    <row r="1614" spans="1:1" ht="17">
      <c r="A1614" s="30" t="s">
        <v>5973</v>
      </c>
    </row>
    <row r="1615" spans="1:1" ht="17">
      <c r="A1615" s="30" t="s">
        <v>5974</v>
      </c>
    </row>
    <row r="1616" spans="1:1" ht="17">
      <c r="A1616" s="30" t="s">
        <v>5975</v>
      </c>
    </row>
    <row r="1617" spans="1:1" ht="17">
      <c r="A1617" s="30" t="s">
        <v>5976</v>
      </c>
    </row>
    <row r="1618" spans="1:1" ht="17">
      <c r="A1618" s="30" t="s">
        <v>5977</v>
      </c>
    </row>
    <row r="1619" spans="1:1" ht="17">
      <c r="A1619" s="30" t="s">
        <v>5978</v>
      </c>
    </row>
    <row r="1620" spans="1:1" ht="17">
      <c r="A1620" s="30" t="s">
        <v>5979</v>
      </c>
    </row>
    <row r="1621" spans="1:1" ht="17">
      <c r="A1621" s="30" t="s">
        <v>5980</v>
      </c>
    </row>
    <row r="1622" spans="1:1" ht="17">
      <c r="A1622" s="30" t="s">
        <v>5981</v>
      </c>
    </row>
    <row r="1623" spans="1:1" ht="17">
      <c r="A1623" s="30" t="s">
        <v>5982</v>
      </c>
    </row>
    <row r="1624" spans="1:1" ht="17">
      <c r="A1624" s="30" t="s">
        <v>5983</v>
      </c>
    </row>
    <row r="1625" spans="1:1" ht="17">
      <c r="A1625" s="30" t="s">
        <v>5984</v>
      </c>
    </row>
    <row r="1626" spans="1:1" ht="17">
      <c r="A1626" s="30" t="s">
        <v>5985</v>
      </c>
    </row>
    <row r="1627" spans="1:1" ht="17">
      <c r="A1627" s="30" t="s">
        <v>5986</v>
      </c>
    </row>
    <row r="1628" spans="1:1" ht="17">
      <c r="A1628" s="30" t="s">
        <v>5987</v>
      </c>
    </row>
    <row r="1629" spans="1:1" ht="17">
      <c r="A1629" s="30" t="s">
        <v>5988</v>
      </c>
    </row>
    <row r="1630" spans="1:1" ht="17">
      <c r="A1630" s="30" t="s">
        <v>5989</v>
      </c>
    </row>
    <row r="1631" spans="1:1" ht="17">
      <c r="A1631" s="30" t="s">
        <v>5990</v>
      </c>
    </row>
    <row r="1632" spans="1:1" ht="17">
      <c r="A1632" s="30" t="s">
        <v>5991</v>
      </c>
    </row>
    <row r="1633" spans="1:1" ht="17">
      <c r="A1633" s="30" t="s">
        <v>5992</v>
      </c>
    </row>
    <row r="1634" spans="1:1" ht="17">
      <c r="A1634" s="30" t="s">
        <v>5993</v>
      </c>
    </row>
    <row r="1635" spans="1:1" ht="17">
      <c r="A1635" s="30" t="s">
        <v>5994</v>
      </c>
    </row>
    <row r="1636" spans="1:1" ht="17">
      <c r="A1636" s="30" t="s">
        <v>5995</v>
      </c>
    </row>
    <row r="1637" spans="1:1" ht="17">
      <c r="A1637" s="30" t="s">
        <v>5996</v>
      </c>
    </row>
    <row r="1638" spans="1:1" ht="17">
      <c r="A1638" s="30" t="s">
        <v>5997</v>
      </c>
    </row>
    <row r="1639" spans="1:1" ht="17">
      <c r="A1639" s="30" t="s">
        <v>5998</v>
      </c>
    </row>
    <row r="1640" spans="1:1" ht="17">
      <c r="A1640" s="30" t="s">
        <v>5999</v>
      </c>
    </row>
    <row r="1641" spans="1:1" ht="17">
      <c r="A1641" s="30" t="s">
        <v>6000</v>
      </c>
    </row>
    <row r="1642" spans="1:1" ht="17">
      <c r="A1642" s="30" t="s">
        <v>3717</v>
      </c>
    </row>
    <row r="1643" spans="1:1" ht="17">
      <c r="A1643" s="30" t="s">
        <v>3719</v>
      </c>
    </row>
    <row r="1644" spans="1:1" ht="17">
      <c r="A1644" s="30" t="s">
        <v>3720</v>
      </c>
    </row>
    <row r="1645" spans="1:1" ht="17">
      <c r="A1645" s="30" t="s">
        <v>3722</v>
      </c>
    </row>
    <row r="1646" spans="1:1" ht="17">
      <c r="A1646" s="30" t="s">
        <v>6001</v>
      </c>
    </row>
    <row r="1647" spans="1:1" ht="17">
      <c r="A1647" s="30" t="s">
        <v>6002</v>
      </c>
    </row>
    <row r="1648" spans="1:1" ht="17">
      <c r="A1648" s="30" t="s">
        <v>6003</v>
      </c>
    </row>
    <row r="1649" spans="1:1" ht="17">
      <c r="A1649" s="30" t="s">
        <v>6004</v>
      </c>
    </row>
    <row r="1650" spans="1:1" ht="17">
      <c r="A1650" s="30" t="s">
        <v>6005</v>
      </c>
    </row>
    <row r="1651" spans="1:1" ht="17">
      <c r="A1651" s="30" t="s">
        <v>6006</v>
      </c>
    </row>
    <row r="1652" spans="1:1" ht="17">
      <c r="A1652" s="30" t="s">
        <v>6007</v>
      </c>
    </row>
    <row r="1653" spans="1:1" ht="17">
      <c r="A1653" s="30" t="s">
        <v>6008</v>
      </c>
    </row>
    <row r="1654" spans="1:1" ht="17">
      <c r="A1654" s="30" t="s">
        <v>6009</v>
      </c>
    </row>
    <row r="1655" spans="1:1" ht="17">
      <c r="A1655" s="30" t="s">
        <v>6010</v>
      </c>
    </row>
    <row r="1656" spans="1:1" ht="17">
      <c r="A1656" s="30" t="s">
        <v>6011</v>
      </c>
    </row>
    <row r="1657" spans="1:1" ht="17">
      <c r="A1657" s="30" t="s">
        <v>6012</v>
      </c>
    </row>
    <row r="1658" spans="1:1" ht="17">
      <c r="A1658" s="30" t="s">
        <v>4459</v>
      </c>
    </row>
    <row r="1659" spans="1:1" ht="17">
      <c r="A1659" s="30" t="s">
        <v>6013</v>
      </c>
    </row>
    <row r="1660" spans="1:1" ht="17">
      <c r="A1660" s="30" t="s">
        <v>6014</v>
      </c>
    </row>
    <row r="1661" spans="1:1" ht="17">
      <c r="A1661" s="30" t="s">
        <v>6015</v>
      </c>
    </row>
    <row r="1662" spans="1:1" ht="17">
      <c r="A1662" s="30" t="s">
        <v>6016</v>
      </c>
    </row>
    <row r="1663" spans="1:1" ht="17">
      <c r="A1663" s="30" t="s">
        <v>6017</v>
      </c>
    </row>
    <row r="1664" spans="1:1" ht="17">
      <c r="A1664" s="30" t="s">
        <v>6018</v>
      </c>
    </row>
    <row r="1665" spans="1:1" ht="17">
      <c r="A1665" s="30" t="s">
        <v>6019</v>
      </c>
    </row>
    <row r="1666" spans="1:1" ht="17">
      <c r="A1666" s="30" t="s">
        <v>6020</v>
      </c>
    </row>
    <row r="1667" spans="1:1" ht="17">
      <c r="A1667" s="30" t="s">
        <v>6021</v>
      </c>
    </row>
    <row r="1668" spans="1:1" ht="17">
      <c r="A1668" s="30" t="s">
        <v>6022</v>
      </c>
    </row>
    <row r="1669" spans="1:1" ht="17">
      <c r="A1669" s="30" t="s">
        <v>6023</v>
      </c>
    </row>
    <row r="1670" spans="1:1" ht="17">
      <c r="A1670" s="30" t="s">
        <v>6024</v>
      </c>
    </row>
    <row r="1671" spans="1:1" ht="17">
      <c r="A1671" s="30" t="s">
        <v>6025</v>
      </c>
    </row>
    <row r="1672" spans="1:1" ht="17">
      <c r="A1672" s="30" t="s">
        <v>6026</v>
      </c>
    </row>
    <row r="1673" spans="1:1" ht="17">
      <c r="A1673" s="30" t="s">
        <v>6027</v>
      </c>
    </row>
    <row r="1674" spans="1:1" ht="17">
      <c r="A1674" s="30" t="s">
        <v>6028</v>
      </c>
    </row>
    <row r="1675" spans="1:1" ht="17">
      <c r="A1675" s="30" t="s">
        <v>6029</v>
      </c>
    </row>
    <row r="1676" spans="1:1" ht="17">
      <c r="A1676" s="30" t="s">
        <v>6030</v>
      </c>
    </row>
    <row r="1677" spans="1:1" ht="17">
      <c r="A1677" s="30" t="s">
        <v>6031</v>
      </c>
    </row>
    <row r="1678" spans="1:1" ht="17">
      <c r="A1678" s="30" t="s">
        <v>6032</v>
      </c>
    </row>
    <row r="1679" spans="1:1" ht="17">
      <c r="A1679" s="30" t="s">
        <v>6033</v>
      </c>
    </row>
    <row r="1680" spans="1:1" ht="17">
      <c r="A1680" s="30" t="s">
        <v>3761</v>
      </c>
    </row>
    <row r="1681" spans="1:1" ht="17">
      <c r="A1681" s="30" t="s">
        <v>3762</v>
      </c>
    </row>
    <row r="1682" spans="1:1" ht="17">
      <c r="A1682" s="30" t="s">
        <v>3813</v>
      </c>
    </row>
    <row r="1683" spans="1:1" ht="17">
      <c r="A1683" s="30" t="s">
        <v>3763</v>
      </c>
    </row>
    <row r="1684" spans="1:1" ht="17">
      <c r="A1684" s="30" t="s">
        <v>3814</v>
      </c>
    </row>
    <row r="1685" spans="1:1" ht="17">
      <c r="A1685" s="30" t="s">
        <v>3857</v>
      </c>
    </row>
    <row r="1686" spans="1:1" ht="17">
      <c r="A1686" s="30" t="s">
        <v>3858</v>
      </c>
    </row>
    <row r="1687" spans="1:1" ht="17">
      <c r="A1687" s="30" t="s">
        <v>3815</v>
      </c>
    </row>
    <row r="1688" spans="1:1" ht="17">
      <c r="A1688" s="30" t="s">
        <v>3764</v>
      </c>
    </row>
    <row r="1689" spans="1:1" ht="17">
      <c r="A1689" s="30" t="s">
        <v>3816</v>
      </c>
    </row>
    <row r="1690" spans="1:1" ht="17">
      <c r="A1690" s="30" t="s">
        <v>3817</v>
      </c>
    </row>
    <row r="1691" spans="1:1" ht="17">
      <c r="A1691" s="30" t="s">
        <v>3859</v>
      </c>
    </row>
    <row r="1692" spans="1:1" ht="17">
      <c r="A1692" s="30" t="s">
        <v>3818</v>
      </c>
    </row>
    <row r="1693" spans="1:1" ht="17">
      <c r="A1693" s="30" t="s">
        <v>3819</v>
      </c>
    </row>
    <row r="1694" spans="1:1" ht="17">
      <c r="A1694" s="30" t="s">
        <v>3820</v>
      </c>
    </row>
    <row r="1695" spans="1:1" ht="17">
      <c r="A1695" s="30" t="s">
        <v>3860</v>
      </c>
    </row>
    <row r="1696" spans="1:1" ht="17">
      <c r="A1696" s="30" t="s">
        <v>3767</v>
      </c>
    </row>
    <row r="1697" spans="1:1" ht="17">
      <c r="A1697" s="30" t="s">
        <v>3821</v>
      </c>
    </row>
    <row r="1698" spans="1:1" ht="17">
      <c r="A1698" s="30" t="s">
        <v>3822</v>
      </c>
    </row>
    <row r="1699" spans="1:1" ht="17">
      <c r="A1699" s="30" t="s">
        <v>3823</v>
      </c>
    </row>
    <row r="1700" spans="1:1" ht="17">
      <c r="A1700" s="30" t="s">
        <v>3769</v>
      </c>
    </row>
    <row r="1701" spans="1:1" ht="17">
      <c r="A1701" s="30" t="s">
        <v>3770</v>
      </c>
    </row>
    <row r="1702" spans="1:1" ht="17">
      <c r="A1702" s="30" t="s">
        <v>6034</v>
      </c>
    </row>
    <row r="1703" spans="1:1" ht="17">
      <c r="A1703" s="30" t="s">
        <v>6035</v>
      </c>
    </row>
    <row r="1704" spans="1:1" ht="17">
      <c r="A1704" s="30" t="s">
        <v>6036</v>
      </c>
    </row>
    <row r="1705" spans="1:1" ht="17">
      <c r="A1705" s="30" t="s">
        <v>6037</v>
      </c>
    </row>
    <row r="1706" spans="1:1" ht="17">
      <c r="A1706" s="30" t="s">
        <v>3861</v>
      </c>
    </row>
    <row r="1707" spans="1:1" ht="17">
      <c r="A1707" s="30" t="s">
        <v>3824</v>
      </c>
    </row>
    <row r="1708" spans="1:1" ht="17">
      <c r="A1708" s="30" t="s">
        <v>3862</v>
      </c>
    </row>
    <row r="1709" spans="1:1" ht="17">
      <c r="A1709" s="30" t="s">
        <v>3825</v>
      </c>
    </row>
    <row r="1710" spans="1:1" ht="17">
      <c r="A1710" s="30" t="s">
        <v>3826</v>
      </c>
    </row>
    <row r="1711" spans="1:1" ht="17">
      <c r="A1711" s="30" t="s">
        <v>3827</v>
      </c>
    </row>
    <row r="1712" spans="1:1" ht="17">
      <c r="A1712" s="30" t="s">
        <v>3828</v>
      </c>
    </row>
    <row r="1713" spans="1:1" ht="17">
      <c r="A1713" s="30" t="s">
        <v>3863</v>
      </c>
    </row>
    <row r="1714" spans="1:1" ht="17">
      <c r="A1714" s="30" t="s">
        <v>3771</v>
      </c>
    </row>
    <row r="1715" spans="1:1" ht="17">
      <c r="A1715" s="30" t="s">
        <v>3772</v>
      </c>
    </row>
    <row r="1716" spans="1:1" ht="17">
      <c r="A1716" s="30" t="s">
        <v>3864</v>
      </c>
    </row>
    <row r="1717" spans="1:1" ht="17">
      <c r="A1717" s="30" t="s">
        <v>3865</v>
      </c>
    </row>
    <row r="1718" spans="1:1" ht="17">
      <c r="A1718" s="30" t="s">
        <v>3773</v>
      </c>
    </row>
    <row r="1719" spans="1:1" ht="17">
      <c r="A1719" s="30" t="s">
        <v>3829</v>
      </c>
    </row>
    <row r="1720" spans="1:1" ht="17">
      <c r="A1720" s="30" t="s">
        <v>3830</v>
      </c>
    </row>
    <row r="1721" spans="1:1" ht="17">
      <c r="A1721" s="30" t="s">
        <v>3831</v>
      </c>
    </row>
    <row r="1722" spans="1:1" ht="17">
      <c r="A1722" s="30" t="s">
        <v>3832</v>
      </c>
    </row>
    <row r="1723" spans="1:1" ht="17">
      <c r="A1723" s="30" t="s">
        <v>3833</v>
      </c>
    </row>
    <row r="1724" spans="1:1" ht="17">
      <c r="A1724" s="30" t="s">
        <v>3834</v>
      </c>
    </row>
    <row r="1725" spans="1:1" ht="17">
      <c r="A1725" s="30" t="s">
        <v>3835</v>
      </c>
    </row>
    <row r="1726" spans="1:1" ht="17">
      <c r="A1726" s="30" t="s">
        <v>3564</v>
      </c>
    </row>
    <row r="1727" spans="1:1" ht="17">
      <c r="A1727" s="30" t="s">
        <v>3622</v>
      </c>
    </row>
    <row r="1728" spans="1:1" ht="17">
      <c r="A1728" s="30" t="s">
        <v>6038</v>
      </c>
    </row>
    <row r="1729" spans="1:1" ht="17">
      <c r="A1729" s="30" t="s">
        <v>3623</v>
      </c>
    </row>
    <row r="1730" spans="1:1" ht="17">
      <c r="A1730" s="30" t="s">
        <v>3566</v>
      </c>
    </row>
    <row r="1731" spans="1:1" ht="17">
      <c r="A1731" s="30" t="s">
        <v>6039</v>
      </c>
    </row>
    <row r="1732" spans="1:1" ht="17">
      <c r="A1732" s="30" t="s">
        <v>6040</v>
      </c>
    </row>
    <row r="1733" spans="1:1" ht="17">
      <c r="A1733" s="30" t="s">
        <v>6041</v>
      </c>
    </row>
    <row r="1734" spans="1:1" ht="17">
      <c r="A1734" s="30" t="s">
        <v>6042</v>
      </c>
    </row>
    <row r="1735" spans="1:1" ht="17">
      <c r="A1735" s="30" t="s">
        <v>6043</v>
      </c>
    </row>
    <row r="1736" spans="1:1" ht="17">
      <c r="A1736" s="30" t="s">
        <v>6044</v>
      </c>
    </row>
    <row r="1737" spans="1:1" ht="17">
      <c r="A1737" s="30" t="s">
        <v>6045</v>
      </c>
    </row>
    <row r="1738" spans="1:1" ht="17">
      <c r="A1738" s="30" t="s">
        <v>6046</v>
      </c>
    </row>
    <row r="1739" spans="1:1" ht="17">
      <c r="A1739" s="30" t="s">
        <v>6047</v>
      </c>
    </row>
    <row r="1740" spans="1:1" ht="17">
      <c r="A1740" s="30" t="s">
        <v>6048</v>
      </c>
    </row>
    <row r="1741" spans="1:1" ht="17">
      <c r="A1741" s="30" t="s">
        <v>6049</v>
      </c>
    </row>
    <row r="1742" spans="1:1" ht="17">
      <c r="A1742" s="30" t="s">
        <v>6050</v>
      </c>
    </row>
    <row r="1743" spans="1:1" ht="17">
      <c r="A1743" s="30" t="s">
        <v>6051</v>
      </c>
    </row>
    <row r="1744" spans="1:1" ht="17">
      <c r="A1744" s="30" t="s">
        <v>6052</v>
      </c>
    </row>
    <row r="1745" spans="1:1" ht="17">
      <c r="A1745" s="30" t="s">
        <v>6053</v>
      </c>
    </row>
    <row r="1746" spans="1:1" ht="17">
      <c r="A1746" s="30" t="s">
        <v>6054</v>
      </c>
    </row>
    <row r="1747" spans="1:1" ht="17">
      <c r="A1747" s="30" t="s">
        <v>6055</v>
      </c>
    </row>
    <row r="1748" spans="1:1" ht="17">
      <c r="A1748" s="30" t="s">
        <v>6056</v>
      </c>
    </row>
    <row r="1749" spans="1:1" ht="17">
      <c r="A1749" s="30" t="s">
        <v>6057</v>
      </c>
    </row>
    <row r="1750" spans="1:1" ht="17">
      <c r="A1750" s="30" t="s">
        <v>6058</v>
      </c>
    </row>
    <row r="1751" spans="1:1" ht="17">
      <c r="A1751" s="30" t="s">
        <v>6059</v>
      </c>
    </row>
    <row r="1752" spans="1:1" ht="17">
      <c r="A1752" s="30" t="s">
        <v>6060</v>
      </c>
    </row>
    <row r="1753" spans="1:1" ht="17">
      <c r="A1753" s="30" t="s">
        <v>6061</v>
      </c>
    </row>
    <row r="1754" spans="1:1" ht="17">
      <c r="A1754" s="30" t="s">
        <v>6062</v>
      </c>
    </row>
    <row r="1755" spans="1:1" ht="17">
      <c r="A1755" s="30" t="s">
        <v>6063</v>
      </c>
    </row>
    <row r="1756" spans="1:1" ht="17">
      <c r="A1756" s="30" t="s">
        <v>6064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3D7F-1C96-9A49-AD8C-1E236783FF43}">
  <dimension ref="A2:A183"/>
  <sheetViews>
    <sheetView topLeftCell="A38" workbookViewId="0">
      <selection activeCell="D202" sqref="D202"/>
    </sheetView>
  </sheetViews>
  <sheetFormatPr baseColWidth="10" defaultRowHeight="16"/>
  <sheetData>
    <row r="2" spans="1:1">
      <c r="A2" s="31" t="s">
        <v>6065</v>
      </c>
    </row>
    <row r="3" spans="1:1">
      <c r="A3" s="31" t="s">
        <v>6066</v>
      </c>
    </row>
    <row r="5" spans="1:1" ht="30">
      <c r="A5" s="32" t="s">
        <v>6067</v>
      </c>
    </row>
    <row r="7" spans="1:1" ht="18">
      <c r="A7" s="33" t="s">
        <v>6068</v>
      </c>
    </row>
    <row r="9" spans="1:1">
      <c r="A9" s="34" t="s">
        <v>6069</v>
      </c>
    </row>
    <row r="11" spans="1:1" ht="18">
      <c r="A11" s="35" t="s">
        <v>6070</v>
      </c>
    </row>
    <row r="13" spans="1:1">
      <c r="A13" s="34" t="s">
        <v>6071</v>
      </c>
    </row>
    <row r="15" spans="1:1" ht="18">
      <c r="A15" s="35" t="s">
        <v>6072</v>
      </c>
    </row>
    <row r="17" spans="1:1">
      <c r="A17" s="34" t="s">
        <v>6073</v>
      </c>
    </row>
    <row r="19" spans="1:1" ht="18">
      <c r="A19" s="35" t="s">
        <v>6074</v>
      </c>
    </row>
    <row r="21" spans="1:1">
      <c r="A21" s="34" t="s">
        <v>6075</v>
      </c>
    </row>
    <row r="23" spans="1:1" ht="18">
      <c r="A23" s="35" t="s">
        <v>6076</v>
      </c>
    </row>
    <row r="25" spans="1:1">
      <c r="A25" s="34" t="s">
        <v>6077</v>
      </c>
    </row>
    <row r="27" spans="1:1" ht="18">
      <c r="A27" s="35" t="s">
        <v>6078</v>
      </c>
    </row>
    <row r="29" spans="1:1">
      <c r="A29" s="34" t="s">
        <v>6079</v>
      </c>
    </row>
    <row r="31" spans="1:1" ht="18">
      <c r="A31" s="35" t="s">
        <v>6080</v>
      </c>
    </row>
    <row r="33" spans="1:1">
      <c r="A33" s="34" t="s">
        <v>6081</v>
      </c>
    </row>
    <row r="35" spans="1:1" ht="18">
      <c r="A35" s="35" t="s">
        <v>6082</v>
      </c>
    </row>
    <row r="37" spans="1:1">
      <c r="A37" s="34" t="s">
        <v>3507</v>
      </c>
    </row>
    <row r="39" spans="1:1" ht="18">
      <c r="A39" s="35" t="s">
        <v>6083</v>
      </c>
    </row>
    <row r="41" spans="1:1">
      <c r="A41" s="34" t="s">
        <v>6084</v>
      </c>
    </row>
    <row r="43" spans="1:1" ht="18">
      <c r="A43" s="35" t="s">
        <v>6085</v>
      </c>
    </row>
    <row r="45" spans="1:1">
      <c r="A45" s="34" t="s">
        <v>3526</v>
      </c>
    </row>
    <row r="47" spans="1:1" ht="18">
      <c r="A47" s="35" t="s">
        <v>6086</v>
      </c>
    </row>
    <row r="49" spans="1:1">
      <c r="A49" s="34" t="s">
        <v>3528</v>
      </c>
    </row>
    <row r="51" spans="1:1" ht="18">
      <c r="A51" s="35" t="s">
        <v>6087</v>
      </c>
    </row>
    <row r="53" spans="1:1">
      <c r="A53" s="34" t="s">
        <v>6088</v>
      </c>
    </row>
    <row r="55" spans="1:1" ht="18">
      <c r="A55" s="35" t="s">
        <v>6089</v>
      </c>
    </row>
    <row r="57" spans="1:1">
      <c r="A57" s="34" t="s">
        <v>6090</v>
      </c>
    </row>
    <row r="59" spans="1:1" ht="18">
      <c r="A59" s="35" t="s">
        <v>6091</v>
      </c>
    </row>
    <row r="61" spans="1:1">
      <c r="A61" s="34" t="s">
        <v>3532</v>
      </c>
    </row>
    <row r="63" spans="1:1" ht="18">
      <c r="A63" s="35" t="s">
        <v>6092</v>
      </c>
    </row>
    <row r="65" spans="1:1">
      <c r="A65" s="34" t="s">
        <v>3534</v>
      </c>
    </row>
    <row r="67" spans="1:1" ht="18">
      <c r="A67" s="35" t="s">
        <v>6093</v>
      </c>
    </row>
    <row r="69" spans="1:1">
      <c r="A69" s="34" t="s">
        <v>3535</v>
      </c>
    </row>
    <row r="71" spans="1:1" ht="18">
      <c r="A71" s="35" t="s">
        <v>6094</v>
      </c>
    </row>
    <row r="73" spans="1:1">
      <c r="A73" s="34" t="s">
        <v>6095</v>
      </c>
    </row>
    <row r="75" spans="1:1" ht="18">
      <c r="A75" s="35" t="s">
        <v>6096</v>
      </c>
    </row>
    <row r="77" spans="1:1">
      <c r="A77" s="34" t="s">
        <v>6097</v>
      </c>
    </row>
    <row r="79" spans="1:1" ht="18">
      <c r="A79" s="35" t="s">
        <v>6098</v>
      </c>
    </row>
    <row r="81" spans="1:1">
      <c r="A81" s="34" t="s">
        <v>681</v>
      </c>
    </row>
    <row r="83" spans="1:1" ht="18">
      <c r="A83" s="35" t="s">
        <v>6099</v>
      </c>
    </row>
    <row r="85" spans="1:1">
      <c r="A85" s="34" t="s">
        <v>6100</v>
      </c>
    </row>
    <row r="87" spans="1:1" ht="18">
      <c r="A87" s="35" t="s">
        <v>6101</v>
      </c>
    </row>
    <row r="89" spans="1:1">
      <c r="A89" s="34" t="s">
        <v>6102</v>
      </c>
    </row>
    <row r="91" spans="1:1" ht="18">
      <c r="A91" s="35" t="s">
        <v>6103</v>
      </c>
    </row>
    <row r="93" spans="1:1">
      <c r="A93" s="34" t="s">
        <v>6104</v>
      </c>
    </row>
    <row r="95" spans="1:1">
      <c r="A95" s="2" t="s">
        <v>6105</v>
      </c>
    </row>
    <row r="97" spans="1:1">
      <c r="A97" s="34" t="s">
        <v>6106</v>
      </c>
    </row>
    <row r="99" spans="1:1" ht="18">
      <c r="A99" s="35" t="s">
        <v>6107</v>
      </c>
    </row>
    <row r="101" spans="1:1">
      <c r="A101" s="34" t="s">
        <v>6108</v>
      </c>
    </row>
    <row r="103" spans="1:1" ht="18">
      <c r="A103" s="35" t="s">
        <v>6109</v>
      </c>
    </row>
    <row r="105" spans="1:1">
      <c r="A105" s="34" t="s">
        <v>3551</v>
      </c>
    </row>
    <row r="107" spans="1:1" ht="18">
      <c r="A107" s="35" t="s">
        <v>6110</v>
      </c>
    </row>
    <row r="109" spans="1:1">
      <c r="A109" s="34" t="s">
        <v>6111</v>
      </c>
    </row>
    <row r="111" spans="1:1" ht="18">
      <c r="A111" s="35" t="s">
        <v>6112</v>
      </c>
    </row>
    <row r="113" spans="1:1">
      <c r="A113" s="34" t="s">
        <v>6113</v>
      </c>
    </row>
    <row r="115" spans="1:1" ht="18">
      <c r="A115" s="35" t="s">
        <v>6114</v>
      </c>
    </row>
    <row r="117" spans="1:1">
      <c r="A117" s="34" t="s">
        <v>6115</v>
      </c>
    </row>
    <row r="119" spans="1:1" ht="18">
      <c r="A119" s="35" t="s">
        <v>6116</v>
      </c>
    </row>
    <row r="121" spans="1:1">
      <c r="A121" s="34" t="s">
        <v>6117</v>
      </c>
    </row>
    <row r="123" spans="1:1" ht="18">
      <c r="A123" s="35" t="s">
        <v>6118</v>
      </c>
    </row>
    <row r="125" spans="1:1">
      <c r="A125" s="34" t="s">
        <v>6119</v>
      </c>
    </row>
    <row r="127" spans="1:1" ht="18">
      <c r="A127" s="35" t="s">
        <v>6120</v>
      </c>
    </row>
    <row r="129" spans="1:1">
      <c r="A129" s="34" t="s">
        <v>3556</v>
      </c>
    </row>
    <row r="131" spans="1:1">
      <c r="A131" s="2" t="s">
        <v>6121</v>
      </c>
    </row>
    <row r="133" spans="1:1">
      <c r="A133" s="34" t="s">
        <v>3558</v>
      </c>
    </row>
    <row r="135" spans="1:1" ht="18">
      <c r="A135" s="35" t="s">
        <v>6122</v>
      </c>
    </row>
    <row r="137" spans="1:1">
      <c r="A137" s="34" t="s">
        <v>6123</v>
      </c>
    </row>
    <row r="139" spans="1:1" ht="18">
      <c r="A139" s="35" t="s">
        <v>6124</v>
      </c>
    </row>
    <row r="141" spans="1:1">
      <c r="A141" s="34" t="s">
        <v>93</v>
      </c>
    </row>
    <row r="143" spans="1:1" ht="18">
      <c r="A143" s="35" t="s">
        <v>6125</v>
      </c>
    </row>
    <row r="145" spans="1:1">
      <c r="A145" s="34" t="s">
        <v>3562</v>
      </c>
    </row>
    <row r="147" spans="1:1" ht="18">
      <c r="A147" s="35" t="s">
        <v>6126</v>
      </c>
    </row>
    <row r="149" spans="1:1">
      <c r="A149" s="34" t="s">
        <v>6127</v>
      </c>
    </row>
    <row r="151" spans="1:1" ht="18">
      <c r="A151" s="35" t="s">
        <v>6128</v>
      </c>
    </row>
    <row r="153" spans="1:1">
      <c r="A153" s="34" t="s">
        <v>6129</v>
      </c>
    </row>
    <row r="155" spans="1:1" ht="18">
      <c r="A155" s="35" t="s">
        <v>6130</v>
      </c>
    </row>
    <row r="157" spans="1:1">
      <c r="A157" s="34" t="s">
        <v>3567</v>
      </c>
    </row>
    <row r="159" spans="1:1" ht="18">
      <c r="A159" s="35" t="s">
        <v>6131</v>
      </c>
    </row>
    <row r="161" spans="1:1">
      <c r="A161" s="34" t="s">
        <v>6132</v>
      </c>
    </row>
    <row r="163" spans="1:1" ht="18">
      <c r="A163" s="35" t="s">
        <v>6133</v>
      </c>
    </row>
    <row r="165" spans="1:1">
      <c r="A165" s="34" t="s">
        <v>6134</v>
      </c>
    </row>
    <row r="167" spans="1:1" ht="18">
      <c r="A167" s="35" t="s">
        <v>6135</v>
      </c>
    </row>
    <row r="169" spans="1:1">
      <c r="A169" s="34" t="s">
        <v>6136</v>
      </c>
    </row>
    <row r="171" spans="1:1" ht="18">
      <c r="A171" s="35" t="s">
        <v>6137</v>
      </c>
    </row>
    <row r="173" spans="1:1">
      <c r="A173" s="36"/>
    </row>
    <row r="175" spans="1:1">
      <c r="A175" s="2"/>
    </row>
    <row r="176" spans="1:1">
      <c r="A176" s="2"/>
    </row>
    <row r="178" spans="1:1">
      <c r="A178" s="2"/>
    </row>
    <row r="179" spans="1:1" ht="18">
      <c r="A179" s="37"/>
    </row>
    <row r="181" spans="1:1">
      <c r="A181" s="2"/>
    </row>
    <row r="183" spans="1:1">
      <c r="A183" s="2"/>
    </row>
  </sheetData>
  <hyperlinks>
    <hyperlink ref="A95" r:id="rId1" display="https://tailwind.build/classes/opacity/opacity-10" xr:uid="{DB28C6C5-B401-244D-B222-FEA645A3592C}"/>
    <hyperlink ref="A131" r:id="rId2" display="https://tailwind.build/classes/sizing/h-11" xr:uid="{CB65A2B3-E0BB-4948-87F3-9D2B59343F49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823F-3ECD-2C40-A837-98AB9DFEFCF3}">
  <dimension ref="A1:J376"/>
  <sheetViews>
    <sheetView workbookViewId="0">
      <selection activeCell="E392" sqref="E392"/>
    </sheetView>
  </sheetViews>
  <sheetFormatPr baseColWidth="10" defaultColWidth="11" defaultRowHeight="16"/>
  <cols>
    <col min="1" max="1" width="33.6640625" bestFit="1" customWidth="1"/>
    <col min="2" max="2" width="4.83203125" bestFit="1" customWidth="1"/>
    <col min="3" max="7" width="7.6640625" bestFit="1" customWidth="1"/>
    <col min="8" max="8" width="12" bestFit="1" customWidth="1"/>
    <col min="9" max="10" width="27.1640625" bestFit="1" customWidth="1"/>
  </cols>
  <sheetData>
    <row r="1" spans="1:10">
      <c r="A1" t="s">
        <v>619</v>
      </c>
      <c r="B1" t="s">
        <v>620</v>
      </c>
      <c r="C1" t="s">
        <v>621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</row>
    <row r="2" spans="1:10">
      <c r="A2" t="s">
        <v>630</v>
      </c>
      <c r="B2">
        <v>-39</v>
      </c>
      <c r="C2" t="s">
        <v>631</v>
      </c>
      <c r="D2" t="s">
        <v>631</v>
      </c>
      <c r="E2" t="s">
        <v>631</v>
      </c>
      <c r="F2" t="s">
        <v>631</v>
      </c>
      <c r="G2" t="s">
        <v>631</v>
      </c>
      <c r="H2" t="s">
        <v>629</v>
      </c>
      <c r="I2" t="s">
        <v>632</v>
      </c>
      <c r="J2" t="s">
        <v>632</v>
      </c>
    </row>
    <row r="3" spans="1:10">
      <c r="A3" t="s">
        <v>633</v>
      </c>
      <c r="B3">
        <v>-40</v>
      </c>
      <c r="C3" t="s">
        <v>631</v>
      </c>
      <c r="D3" t="s">
        <v>631</v>
      </c>
      <c r="E3" t="s">
        <v>631</v>
      </c>
      <c r="F3" t="s">
        <v>631</v>
      </c>
      <c r="G3" t="s">
        <v>631</v>
      </c>
      <c r="H3" t="s">
        <v>629</v>
      </c>
      <c r="I3" t="s">
        <v>634</v>
      </c>
      <c r="J3" t="s">
        <v>634</v>
      </c>
    </row>
    <row r="4" spans="1:10">
      <c r="A4" t="s">
        <v>635</v>
      </c>
      <c r="B4">
        <v>-41</v>
      </c>
      <c r="C4" t="s">
        <v>631</v>
      </c>
      <c r="D4" t="s">
        <v>631</v>
      </c>
      <c r="E4" t="s">
        <v>631</v>
      </c>
      <c r="F4" t="s">
        <v>631</v>
      </c>
      <c r="G4" t="s">
        <v>631</v>
      </c>
      <c r="H4" t="s">
        <v>629</v>
      </c>
      <c r="I4" t="s">
        <v>636</v>
      </c>
      <c r="J4" t="s">
        <v>636</v>
      </c>
    </row>
    <row r="5" spans="1:10">
      <c r="A5" t="s">
        <v>637</v>
      </c>
      <c r="B5">
        <v>-42</v>
      </c>
      <c r="C5" t="s">
        <v>631</v>
      </c>
      <c r="D5" t="s">
        <v>631</v>
      </c>
      <c r="E5" t="s">
        <v>631</v>
      </c>
      <c r="F5" t="s">
        <v>631</v>
      </c>
      <c r="G5" t="s">
        <v>631</v>
      </c>
      <c r="H5" t="s">
        <v>629</v>
      </c>
      <c r="I5" t="s">
        <v>638</v>
      </c>
      <c r="J5" t="s">
        <v>638</v>
      </c>
    </row>
    <row r="6" spans="1:10">
      <c r="A6" t="s">
        <v>639</v>
      </c>
      <c r="B6">
        <v>-43</v>
      </c>
      <c r="C6" t="s">
        <v>631</v>
      </c>
      <c r="D6" t="s">
        <v>631</v>
      </c>
      <c r="E6" t="s">
        <v>631</v>
      </c>
      <c r="F6" t="s">
        <v>631</v>
      </c>
      <c r="G6" t="s">
        <v>631</v>
      </c>
      <c r="H6" t="s">
        <v>629</v>
      </c>
      <c r="I6" t="s">
        <v>640</v>
      </c>
      <c r="J6" t="s">
        <v>640</v>
      </c>
    </row>
    <row r="7" spans="1:10">
      <c r="A7" t="s">
        <v>641</v>
      </c>
      <c r="B7">
        <v>-66</v>
      </c>
      <c r="C7" t="s">
        <v>631</v>
      </c>
      <c r="D7" t="s">
        <v>631</v>
      </c>
      <c r="E7" t="s">
        <v>631</v>
      </c>
      <c r="F7" t="s">
        <v>631</v>
      </c>
      <c r="G7" t="s">
        <v>631</v>
      </c>
      <c r="H7" t="s">
        <v>629</v>
      </c>
      <c r="I7" t="s">
        <v>642</v>
      </c>
      <c r="J7" t="s">
        <v>642</v>
      </c>
    </row>
    <row r="8" spans="1:10">
      <c r="A8" t="s">
        <v>643</v>
      </c>
      <c r="B8">
        <v>-86</v>
      </c>
      <c r="C8" t="s">
        <v>631</v>
      </c>
      <c r="D8" t="s">
        <v>631</v>
      </c>
      <c r="E8" t="s">
        <v>631</v>
      </c>
      <c r="F8" t="s">
        <v>631</v>
      </c>
      <c r="G8" t="s">
        <v>631</v>
      </c>
      <c r="H8" t="s">
        <v>629</v>
      </c>
      <c r="I8" t="s">
        <v>358</v>
      </c>
      <c r="J8" t="s">
        <v>358</v>
      </c>
    </row>
    <row r="9" spans="1:10">
      <c r="A9" t="s">
        <v>644</v>
      </c>
      <c r="B9">
        <v>-87</v>
      </c>
      <c r="C9" t="s">
        <v>631</v>
      </c>
      <c r="D9" t="s">
        <v>631</v>
      </c>
      <c r="E9" t="s">
        <v>631</v>
      </c>
      <c r="F9" t="s">
        <v>631</v>
      </c>
      <c r="G9" t="s">
        <v>631</v>
      </c>
      <c r="H9" t="s">
        <v>629</v>
      </c>
      <c r="I9" t="s">
        <v>645</v>
      </c>
      <c r="J9" t="s">
        <v>645</v>
      </c>
    </row>
    <row r="10" spans="1:10">
      <c r="A10" t="s">
        <v>646</v>
      </c>
      <c r="B10">
        <v>-88</v>
      </c>
      <c r="C10" t="s">
        <v>631</v>
      </c>
      <c r="D10" t="s">
        <v>631</v>
      </c>
      <c r="E10" t="s">
        <v>631</v>
      </c>
      <c r="F10" t="s">
        <v>631</v>
      </c>
      <c r="G10" t="s">
        <v>631</v>
      </c>
      <c r="H10" t="s">
        <v>629</v>
      </c>
      <c r="I10" t="s">
        <v>647</v>
      </c>
      <c r="J10" t="s">
        <v>647</v>
      </c>
    </row>
    <row r="11" spans="1:10">
      <c r="A11" t="s">
        <v>648</v>
      </c>
      <c r="B11">
        <v>-89</v>
      </c>
      <c r="C11" t="s">
        <v>631</v>
      </c>
      <c r="D11" t="s">
        <v>631</v>
      </c>
      <c r="E11" t="s">
        <v>631</v>
      </c>
      <c r="F11" t="s">
        <v>631</v>
      </c>
      <c r="G11" t="s">
        <v>631</v>
      </c>
      <c r="H11" t="s">
        <v>629</v>
      </c>
      <c r="I11" t="s">
        <v>442</v>
      </c>
      <c r="J11" t="s">
        <v>442</v>
      </c>
    </row>
    <row r="12" spans="1:10">
      <c r="A12" t="s">
        <v>649</v>
      </c>
      <c r="B12">
        <v>-96</v>
      </c>
      <c r="C12" t="s">
        <v>631</v>
      </c>
      <c r="D12" t="s">
        <v>631</v>
      </c>
      <c r="E12" t="s">
        <v>631</v>
      </c>
      <c r="F12" t="s">
        <v>631</v>
      </c>
      <c r="G12" t="s">
        <v>631</v>
      </c>
      <c r="H12" t="s">
        <v>629</v>
      </c>
      <c r="I12" t="s">
        <v>650</v>
      </c>
      <c r="J12" t="s">
        <v>650</v>
      </c>
    </row>
    <row r="13" spans="1:10">
      <c r="A13" t="s">
        <v>651</v>
      </c>
      <c r="B13">
        <v>-98</v>
      </c>
      <c r="C13" t="s">
        <v>631</v>
      </c>
      <c r="D13" t="s">
        <v>631</v>
      </c>
      <c r="E13" t="s">
        <v>631</v>
      </c>
      <c r="F13" t="s">
        <v>631</v>
      </c>
      <c r="G13" t="s">
        <v>631</v>
      </c>
      <c r="H13" t="s">
        <v>629</v>
      </c>
      <c r="I13" t="s">
        <v>652</v>
      </c>
      <c r="J13" t="s">
        <v>652</v>
      </c>
    </row>
    <row r="14" spans="1:10">
      <c r="A14" t="s">
        <v>653</v>
      </c>
      <c r="B14">
        <v>-99</v>
      </c>
      <c r="C14" t="s">
        <v>631</v>
      </c>
      <c r="D14" t="s">
        <v>631</v>
      </c>
      <c r="E14" t="s">
        <v>631</v>
      </c>
      <c r="F14" t="s">
        <v>631</v>
      </c>
      <c r="G14" t="s">
        <v>631</v>
      </c>
      <c r="H14" t="s">
        <v>629</v>
      </c>
      <c r="I14" t="s">
        <v>654</v>
      </c>
      <c r="J14" t="s">
        <v>654</v>
      </c>
    </row>
    <row r="15" spans="1:10">
      <c r="A15" t="s">
        <v>655</v>
      </c>
      <c r="B15">
        <v>-100</v>
      </c>
      <c r="C15" t="s">
        <v>631</v>
      </c>
      <c r="D15" t="s">
        <v>631</v>
      </c>
      <c r="E15" t="s">
        <v>631</v>
      </c>
      <c r="F15" t="s">
        <v>631</v>
      </c>
      <c r="G15" t="s">
        <v>631</v>
      </c>
      <c r="H15" t="s">
        <v>629</v>
      </c>
      <c r="I15" t="s">
        <v>656</v>
      </c>
      <c r="J15" t="s">
        <v>656</v>
      </c>
    </row>
    <row r="16" spans="1:10">
      <c r="A16" t="s">
        <v>657</v>
      </c>
      <c r="B16">
        <v>-101</v>
      </c>
      <c r="C16" t="s">
        <v>631</v>
      </c>
      <c r="D16" t="s">
        <v>631</v>
      </c>
      <c r="E16" t="s">
        <v>631</v>
      </c>
      <c r="F16" t="s">
        <v>631</v>
      </c>
      <c r="G16" t="s">
        <v>631</v>
      </c>
      <c r="H16" t="s">
        <v>629</v>
      </c>
      <c r="I16" t="s">
        <v>658</v>
      </c>
      <c r="J16" t="s">
        <v>658</v>
      </c>
    </row>
    <row r="17" spans="1:10">
      <c r="A17" t="s">
        <v>659</v>
      </c>
      <c r="B17">
        <v>-103</v>
      </c>
      <c r="C17" t="s">
        <v>631</v>
      </c>
      <c r="D17" t="s">
        <v>631</v>
      </c>
      <c r="E17" t="s">
        <v>631</v>
      </c>
      <c r="F17" t="s">
        <v>631</v>
      </c>
      <c r="G17" t="s">
        <v>631</v>
      </c>
      <c r="H17" t="s">
        <v>629</v>
      </c>
      <c r="I17" t="s">
        <v>660</v>
      </c>
      <c r="J17" t="s">
        <v>660</v>
      </c>
    </row>
    <row r="18" spans="1:10">
      <c r="A18" t="s">
        <v>661</v>
      </c>
      <c r="B18">
        <v>-104</v>
      </c>
      <c r="C18" t="s">
        <v>631</v>
      </c>
      <c r="D18" t="s">
        <v>631</v>
      </c>
      <c r="E18" t="s">
        <v>631</v>
      </c>
      <c r="F18" t="s">
        <v>631</v>
      </c>
      <c r="G18" t="s">
        <v>631</v>
      </c>
      <c r="H18" t="s">
        <v>629</v>
      </c>
      <c r="I18" t="s">
        <v>662</v>
      </c>
      <c r="J18" t="s">
        <v>662</v>
      </c>
    </row>
    <row r="19" spans="1:10">
      <c r="A19" t="s">
        <v>663</v>
      </c>
      <c r="B19">
        <v>-105</v>
      </c>
      <c r="C19" t="s">
        <v>631</v>
      </c>
      <c r="D19" t="s">
        <v>631</v>
      </c>
      <c r="E19" t="s">
        <v>631</v>
      </c>
      <c r="F19" t="s">
        <v>631</v>
      </c>
      <c r="G19" t="s">
        <v>631</v>
      </c>
      <c r="H19" t="s">
        <v>629</v>
      </c>
      <c r="I19" t="s">
        <v>664</v>
      </c>
      <c r="J19" t="s">
        <v>664</v>
      </c>
    </row>
    <row r="20" spans="1:10">
      <c r="A20" t="s">
        <v>665</v>
      </c>
      <c r="B20">
        <v>-157</v>
      </c>
      <c r="D20" t="s">
        <v>631</v>
      </c>
      <c r="E20" t="s">
        <v>631</v>
      </c>
      <c r="F20" t="s">
        <v>631</v>
      </c>
      <c r="G20" t="s">
        <v>631</v>
      </c>
      <c r="H20" t="s">
        <v>629</v>
      </c>
      <c r="I20" t="s">
        <v>666</v>
      </c>
      <c r="J20" t="s">
        <v>666</v>
      </c>
    </row>
    <row r="21" spans="1:10">
      <c r="A21" t="s">
        <v>667</v>
      </c>
      <c r="B21">
        <v>-261</v>
      </c>
      <c r="D21" t="s">
        <v>631</v>
      </c>
      <c r="E21" t="s">
        <v>631</v>
      </c>
      <c r="F21" t="s">
        <v>631</v>
      </c>
      <c r="G21" t="s">
        <v>631</v>
      </c>
      <c r="H21" t="s">
        <v>629</v>
      </c>
      <c r="I21" t="s">
        <v>668</v>
      </c>
      <c r="J21" t="s">
        <v>668</v>
      </c>
    </row>
    <row r="22" spans="1:10">
      <c r="A22" t="s">
        <v>669</v>
      </c>
      <c r="B22">
        <v>-262</v>
      </c>
      <c r="D22" t="s">
        <v>631</v>
      </c>
      <c r="E22" t="s">
        <v>631</v>
      </c>
      <c r="F22" t="s">
        <v>631</v>
      </c>
      <c r="G22" t="s">
        <v>631</v>
      </c>
      <c r="H22" t="s">
        <v>629</v>
      </c>
      <c r="I22" t="s">
        <v>670</v>
      </c>
      <c r="J22" t="s">
        <v>670</v>
      </c>
    </row>
    <row r="23" spans="1:10">
      <c r="A23" t="s">
        <v>671</v>
      </c>
      <c r="B23">
        <v>-263</v>
      </c>
      <c r="D23" t="s">
        <v>631</v>
      </c>
      <c r="E23" t="s">
        <v>631</v>
      </c>
      <c r="F23" t="s">
        <v>631</v>
      </c>
      <c r="G23" t="s">
        <v>631</v>
      </c>
      <c r="H23" t="s">
        <v>629</v>
      </c>
      <c r="I23" t="s">
        <v>672</v>
      </c>
      <c r="J23" t="s">
        <v>672</v>
      </c>
    </row>
    <row r="24" spans="1:10">
      <c r="A24" t="s">
        <v>673</v>
      </c>
      <c r="B24">
        <v>-264</v>
      </c>
      <c r="D24" t="s">
        <v>631</v>
      </c>
      <c r="E24" t="s">
        <v>631</v>
      </c>
      <c r="F24" t="s">
        <v>631</v>
      </c>
      <c r="G24" t="s">
        <v>631</v>
      </c>
      <c r="H24" t="s">
        <v>629</v>
      </c>
      <c r="I24" t="s">
        <v>674</v>
      </c>
      <c r="J24" t="s">
        <v>674</v>
      </c>
    </row>
    <row r="25" spans="1:10">
      <c r="A25" t="s">
        <v>675</v>
      </c>
      <c r="B25">
        <v>-265</v>
      </c>
      <c r="D25" t="s">
        <v>631</v>
      </c>
      <c r="E25" t="s">
        <v>631</v>
      </c>
      <c r="F25" t="s">
        <v>631</v>
      </c>
      <c r="G25" t="s">
        <v>631</v>
      </c>
      <c r="H25" t="s">
        <v>629</v>
      </c>
      <c r="I25" t="s">
        <v>676</v>
      </c>
      <c r="J25" t="s">
        <v>676</v>
      </c>
    </row>
    <row r="26" spans="1:10">
      <c r="A26" t="s">
        <v>665</v>
      </c>
      <c r="B26">
        <v>-372</v>
      </c>
      <c r="G26" t="s">
        <v>631</v>
      </c>
      <c r="H26" t="s">
        <v>629</v>
      </c>
      <c r="I26" t="s">
        <v>677</v>
      </c>
      <c r="J26" t="s">
        <v>677</v>
      </c>
    </row>
    <row r="27" spans="1:10">
      <c r="A27" t="s">
        <v>665</v>
      </c>
      <c r="B27">
        <v>-373</v>
      </c>
      <c r="G27" t="s">
        <v>631</v>
      </c>
      <c r="H27" t="s">
        <v>629</v>
      </c>
      <c r="I27" t="s">
        <v>678</v>
      </c>
      <c r="J27" t="s">
        <v>678</v>
      </c>
    </row>
    <row r="28" spans="1:10">
      <c r="A28" t="s">
        <v>665</v>
      </c>
      <c r="B28">
        <v>-374</v>
      </c>
      <c r="G28" t="s">
        <v>631</v>
      </c>
      <c r="H28" t="s">
        <v>629</v>
      </c>
      <c r="I28" t="s">
        <v>679</v>
      </c>
      <c r="J28" t="s">
        <v>679</v>
      </c>
    </row>
    <row r="29" spans="1:10">
      <c r="A29" t="s">
        <v>665</v>
      </c>
      <c r="B29">
        <v>-375</v>
      </c>
      <c r="G29" t="s">
        <v>631</v>
      </c>
      <c r="H29" t="s">
        <v>629</v>
      </c>
      <c r="I29" t="s">
        <v>680</v>
      </c>
      <c r="J29" t="s">
        <v>680</v>
      </c>
    </row>
    <row r="30" spans="1:10">
      <c r="A30" t="s">
        <v>665</v>
      </c>
      <c r="B30">
        <v>-108</v>
      </c>
      <c r="C30" t="s">
        <v>631</v>
      </c>
      <c r="D30" t="s">
        <v>631</v>
      </c>
      <c r="E30" t="s">
        <v>631</v>
      </c>
      <c r="F30" t="s">
        <v>631</v>
      </c>
      <c r="G30" t="s">
        <v>631</v>
      </c>
      <c r="H30" t="s">
        <v>681</v>
      </c>
      <c r="I30" t="s">
        <v>682</v>
      </c>
      <c r="J30" t="s">
        <v>682</v>
      </c>
    </row>
    <row r="31" spans="1:10">
      <c r="A31" t="s">
        <v>665</v>
      </c>
      <c r="B31">
        <v>-109</v>
      </c>
      <c r="C31" t="s">
        <v>631</v>
      </c>
      <c r="D31" t="s">
        <v>631</v>
      </c>
      <c r="E31" t="s">
        <v>631</v>
      </c>
      <c r="F31" t="s">
        <v>631</v>
      </c>
      <c r="G31" t="s">
        <v>631</v>
      </c>
      <c r="H31" t="s">
        <v>681</v>
      </c>
      <c r="I31" t="s">
        <v>683</v>
      </c>
      <c r="J31" t="s">
        <v>683</v>
      </c>
    </row>
    <row r="32" spans="1:10">
      <c r="A32" t="s">
        <v>665</v>
      </c>
      <c r="B32">
        <v>-110</v>
      </c>
      <c r="C32" t="s">
        <v>631</v>
      </c>
      <c r="D32" t="s">
        <v>631</v>
      </c>
      <c r="E32" t="s">
        <v>631</v>
      </c>
      <c r="F32" t="s">
        <v>631</v>
      </c>
      <c r="G32" t="s">
        <v>631</v>
      </c>
      <c r="H32" t="s">
        <v>681</v>
      </c>
      <c r="I32" t="s">
        <v>684</v>
      </c>
      <c r="J32" t="s">
        <v>684</v>
      </c>
    </row>
    <row r="33" spans="1:10">
      <c r="A33" t="s">
        <v>665</v>
      </c>
      <c r="B33">
        <v>-111</v>
      </c>
      <c r="C33" t="s">
        <v>631</v>
      </c>
      <c r="D33" t="s">
        <v>631</v>
      </c>
      <c r="E33" t="s">
        <v>631</v>
      </c>
      <c r="F33" t="s">
        <v>631</v>
      </c>
      <c r="G33" t="s">
        <v>631</v>
      </c>
      <c r="H33" t="s">
        <v>681</v>
      </c>
      <c r="I33" t="s">
        <v>685</v>
      </c>
      <c r="J33" t="s">
        <v>685</v>
      </c>
    </row>
    <row r="34" spans="1:10">
      <c r="A34" t="s">
        <v>686</v>
      </c>
      <c r="B34">
        <v>-1</v>
      </c>
      <c r="C34" t="s">
        <v>631</v>
      </c>
      <c r="D34" t="s">
        <v>631</v>
      </c>
      <c r="E34" t="s">
        <v>631</v>
      </c>
      <c r="F34" t="s">
        <v>631</v>
      </c>
      <c r="G34" t="s">
        <v>631</v>
      </c>
      <c r="H34" t="s">
        <v>490</v>
      </c>
      <c r="I34" t="s">
        <v>687</v>
      </c>
      <c r="J34" t="s">
        <v>687</v>
      </c>
    </row>
    <row r="35" spans="1:10">
      <c r="A35" t="s">
        <v>688</v>
      </c>
      <c r="B35">
        <v>-2</v>
      </c>
      <c r="C35" t="s">
        <v>631</v>
      </c>
      <c r="D35" t="s">
        <v>631</v>
      </c>
      <c r="E35" t="s">
        <v>631</v>
      </c>
      <c r="F35" t="s">
        <v>631</v>
      </c>
      <c r="G35" t="s">
        <v>631</v>
      </c>
      <c r="H35" t="s">
        <v>490</v>
      </c>
      <c r="I35" t="s">
        <v>689</v>
      </c>
      <c r="J35" t="s">
        <v>689</v>
      </c>
    </row>
    <row r="36" spans="1:10">
      <c r="A36" t="s">
        <v>690</v>
      </c>
      <c r="B36">
        <v>-3</v>
      </c>
      <c r="C36" t="s">
        <v>631</v>
      </c>
      <c r="D36" t="s">
        <v>631</v>
      </c>
      <c r="E36" t="s">
        <v>631</v>
      </c>
      <c r="F36" t="s">
        <v>631</v>
      </c>
      <c r="G36" t="s">
        <v>631</v>
      </c>
      <c r="H36" t="s">
        <v>490</v>
      </c>
      <c r="I36" t="s">
        <v>691</v>
      </c>
      <c r="J36" t="s">
        <v>691</v>
      </c>
    </row>
    <row r="37" spans="1:10">
      <c r="A37" t="s">
        <v>692</v>
      </c>
      <c r="B37">
        <v>-4</v>
      </c>
      <c r="C37" t="s">
        <v>631</v>
      </c>
      <c r="D37" t="s">
        <v>631</v>
      </c>
      <c r="E37" t="s">
        <v>631</v>
      </c>
      <c r="F37" t="s">
        <v>631</v>
      </c>
      <c r="G37" t="s">
        <v>631</v>
      </c>
      <c r="H37" t="s">
        <v>490</v>
      </c>
      <c r="I37" t="s">
        <v>693</v>
      </c>
      <c r="J37" t="s">
        <v>693</v>
      </c>
    </row>
    <row r="38" spans="1:10">
      <c r="A38" t="s">
        <v>694</v>
      </c>
      <c r="B38">
        <v>-5</v>
      </c>
      <c r="C38" t="s">
        <v>631</v>
      </c>
      <c r="D38" t="s">
        <v>631</v>
      </c>
      <c r="E38" t="s">
        <v>631</v>
      </c>
      <c r="F38" t="s">
        <v>631</v>
      </c>
      <c r="G38" t="s">
        <v>631</v>
      </c>
      <c r="H38" t="s">
        <v>490</v>
      </c>
      <c r="I38" t="s">
        <v>695</v>
      </c>
      <c r="J38" t="s">
        <v>695</v>
      </c>
    </row>
    <row r="39" spans="1:10">
      <c r="A39" t="s">
        <v>696</v>
      </c>
      <c r="B39">
        <v>-6</v>
      </c>
      <c r="C39" t="s">
        <v>631</v>
      </c>
      <c r="D39" t="s">
        <v>631</v>
      </c>
      <c r="E39" t="s">
        <v>631</v>
      </c>
      <c r="F39" t="s">
        <v>631</v>
      </c>
      <c r="G39" t="s">
        <v>631</v>
      </c>
      <c r="H39" t="s">
        <v>490</v>
      </c>
      <c r="I39" t="s">
        <v>697</v>
      </c>
      <c r="J39" t="s">
        <v>697</v>
      </c>
    </row>
    <row r="40" spans="1:10">
      <c r="A40" t="s">
        <v>698</v>
      </c>
      <c r="B40">
        <v>-7</v>
      </c>
      <c r="C40" t="s">
        <v>631</v>
      </c>
      <c r="D40" t="s">
        <v>631</v>
      </c>
      <c r="E40" t="s">
        <v>631</v>
      </c>
      <c r="F40" t="s">
        <v>631</v>
      </c>
      <c r="G40" t="s">
        <v>631</v>
      </c>
      <c r="H40" t="s">
        <v>490</v>
      </c>
      <c r="I40" t="s">
        <v>699</v>
      </c>
      <c r="J40" t="s">
        <v>699</v>
      </c>
    </row>
    <row r="41" spans="1:10">
      <c r="A41" t="s">
        <v>700</v>
      </c>
      <c r="B41">
        <v>-8</v>
      </c>
      <c r="C41" t="s">
        <v>631</v>
      </c>
      <c r="D41" t="s">
        <v>631</v>
      </c>
      <c r="E41" t="s">
        <v>631</v>
      </c>
      <c r="F41" t="s">
        <v>631</v>
      </c>
      <c r="G41" t="s">
        <v>631</v>
      </c>
      <c r="H41" t="s">
        <v>490</v>
      </c>
      <c r="I41" t="s">
        <v>701</v>
      </c>
      <c r="J41" t="s">
        <v>701</v>
      </c>
    </row>
    <row r="42" spans="1:10">
      <c r="A42" t="s">
        <v>702</v>
      </c>
      <c r="B42">
        <v>-9</v>
      </c>
      <c r="C42" t="s">
        <v>631</v>
      </c>
      <c r="D42" t="s">
        <v>631</v>
      </c>
      <c r="E42" t="s">
        <v>631</v>
      </c>
      <c r="F42" t="s">
        <v>631</v>
      </c>
      <c r="G42" t="s">
        <v>631</v>
      </c>
      <c r="H42" t="s">
        <v>490</v>
      </c>
      <c r="I42" t="s">
        <v>703</v>
      </c>
      <c r="J42" t="s">
        <v>703</v>
      </c>
    </row>
    <row r="43" spans="1:10">
      <c r="A43" t="s">
        <v>704</v>
      </c>
      <c r="B43">
        <v>-10</v>
      </c>
      <c r="C43" t="s">
        <v>631</v>
      </c>
      <c r="D43" t="s">
        <v>631</v>
      </c>
      <c r="E43" t="s">
        <v>631</v>
      </c>
      <c r="F43" t="s">
        <v>631</v>
      </c>
      <c r="G43" t="s">
        <v>631</v>
      </c>
      <c r="H43" t="s">
        <v>490</v>
      </c>
      <c r="I43" t="s">
        <v>705</v>
      </c>
      <c r="J43" t="s">
        <v>705</v>
      </c>
    </row>
    <row r="44" spans="1:10">
      <c r="A44" t="s">
        <v>706</v>
      </c>
      <c r="B44">
        <v>-11</v>
      </c>
      <c r="C44" t="s">
        <v>631</v>
      </c>
      <c r="D44" t="s">
        <v>631</v>
      </c>
      <c r="E44" t="s">
        <v>631</v>
      </c>
      <c r="F44" t="s">
        <v>631</v>
      </c>
      <c r="G44" t="s">
        <v>631</v>
      </c>
      <c r="H44" t="s">
        <v>490</v>
      </c>
      <c r="I44" t="s">
        <v>707</v>
      </c>
      <c r="J44" t="s">
        <v>707</v>
      </c>
    </row>
    <row r="45" spans="1:10">
      <c r="A45" t="s">
        <v>708</v>
      </c>
      <c r="B45">
        <v>-12</v>
      </c>
      <c r="C45" t="s">
        <v>631</v>
      </c>
      <c r="D45" t="s">
        <v>631</v>
      </c>
      <c r="E45" t="s">
        <v>631</v>
      </c>
      <c r="F45" t="s">
        <v>631</v>
      </c>
      <c r="G45" t="s">
        <v>631</v>
      </c>
      <c r="H45" t="s">
        <v>490</v>
      </c>
      <c r="I45" t="s">
        <v>709</v>
      </c>
      <c r="J45" t="s">
        <v>709</v>
      </c>
    </row>
    <row r="46" spans="1:10">
      <c r="A46" t="s">
        <v>710</v>
      </c>
      <c r="B46">
        <v>-13</v>
      </c>
      <c r="C46" t="s">
        <v>631</v>
      </c>
      <c r="D46" t="s">
        <v>631</v>
      </c>
      <c r="E46" t="s">
        <v>631</v>
      </c>
      <c r="F46" t="s">
        <v>631</v>
      </c>
      <c r="G46" t="s">
        <v>631</v>
      </c>
      <c r="H46" t="s">
        <v>490</v>
      </c>
      <c r="I46" t="s">
        <v>711</v>
      </c>
      <c r="J46" t="s">
        <v>711</v>
      </c>
    </row>
    <row r="47" spans="1:10">
      <c r="A47" t="s">
        <v>712</v>
      </c>
      <c r="B47">
        <v>-14</v>
      </c>
      <c r="C47" t="s">
        <v>631</v>
      </c>
      <c r="D47" t="s">
        <v>631</v>
      </c>
      <c r="E47" t="s">
        <v>631</v>
      </c>
      <c r="F47" t="s">
        <v>631</v>
      </c>
      <c r="G47" t="s">
        <v>631</v>
      </c>
      <c r="H47" t="s">
        <v>490</v>
      </c>
      <c r="I47" t="s">
        <v>713</v>
      </c>
      <c r="J47" t="s">
        <v>713</v>
      </c>
    </row>
    <row r="48" spans="1:10">
      <c r="A48" t="s">
        <v>714</v>
      </c>
      <c r="B48">
        <v>-15</v>
      </c>
      <c r="C48" t="s">
        <v>631</v>
      </c>
      <c r="D48" t="s">
        <v>631</v>
      </c>
      <c r="E48" t="s">
        <v>631</v>
      </c>
      <c r="F48" t="s">
        <v>631</v>
      </c>
      <c r="G48" t="s">
        <v>631</v>
      </c>
      <c r="H48" t="s">
        <v>490</v>
      </c>
      <c r="I48" t="s">
        <v>715</v>
      </c>
      <c r="J48" t="s">
        <v>715</v>
      </c>
    </row>
    <row r="49" spans="1:10">
      <c r="A49" t="s">
        <v>716</v>
      </c>
      <c r="B49">
        <v>-16</v>
      </c>
      <c r="C49" t="s">
        <v>631</v>
      </c>
      <c r="D49" t="s">
        <v>631</v>
      </c>
      <c r="E49" t="s">
        <v>631</v>
      </c>
      <c r="F49" t="s">
        <v>631</v>
      </c>
      <c r="G49" t="s">
        <v>631</v>
      </c>
      <c r="H49" t="s">
        <v>490</v>
      </c>
      <c r="I49" t="s">
        <v>717</v>
      </c>
      <c r="J49" t="s">
        <v>717</v>
      </c>
    </row>
    <row r="50" spans="1:10">
      <c r="A50" t="s">
        <v>718</v>
      </c>
      <c r="B50">
        <v>-17</v>
      </c>
      <c r="C50" t="s">
        <v>631</v>
      </c>
      <c r="D50" t="s">
        <v>631</v>
      </c>
      <c r="E50" t="s">
        <v>631</v>
      </c>
      <c r="F50" t="s">
        <v>631</v>
      </c>
      <c r="G50" t="s">
        <v>631</v>
      </c>
      <c r="H50" t="s">
        <v>490</v>
      </c>
      <c r="I50" t="s">
        <v>719</v>
      </c>
      <c r="J50" t="s">
        <v>719</v>
      </c>
    </row>
    <row r="51" spans="1:10">
      <c r="A51" t="s">
        <v>720</v>
      </c>
      <c r="B51">
        <v>-18</v>
      </c>
      <c r="C51" t="s">
        <v>631</v>
      </c>
      <c r="D51" t="s">
        <v>631</v>
      </c>
      <c r="E51" t="s">
        <v>631</v>
      </c>
      <c r="F51" t="s">
        <v>631</v>
      </c>
      <c r="G51" t="s">
        <v>631</v>
      </c>
      <c r="H51" t="s">
        <v>490</v>
      </c>
      <c r="I51" t="s">
        <v>721</v>
      </c>
      <c r="J51" t="s">
        <v>721</v>
      </c>
    </row>
    <row r="52" spans="1:10">
      <c r="A52" t="s">
        <v>722</v>
      </c>
      <c r="B52">
        <v>-19</v>
      </c>
      <c r="C52" t="s">
        <v>631</v>
      </c>
      <c r="D52" t="s">
        <v>631</v>
      </c>
      <c r="E52" t="s">
        <v>631</v>
      </c>
      <c r="F52" t="s">
        <v>631</v>
      </c>
      <c r="G52" t="s">
        <v>631</v>
      </c>
      <c r="H52" t="s">
        <v>490</v>
      </c>
      <c r="I52" t="s">
        <v>723</v>
      </c>
      <c r="J52" t="s">
        <v>723</v>
      </c>
    </row>
    <row r="53" spans="1:10">
      <c r="A53" t="s">
        <v>724</v>
      </c>
      <c r="B53">
        <v>-20</v>
      </c>
      <c r="C53" t="s">
        <v>631</v>
      </c>
      <c r="D53" t="s">
        <v>631</v>
      </c>
      <c r="E53" t="s">
        <v>631</v>
      </c>
      <c r="F53" t="s">
        <v>631</v>
      </c>
      <c r="G53" t="s">
        <v>631</v>
      </c>
      <c r="H53" t="s">
        <v>490</v>
      </c>
      <c r="I53" t="s">
        <v>725</v>
      </c>
      <c r="J53" t="s">
        <v>725</v>
      </c>
    </row>
    <row r="54" spans="1:10">
      <c r="A54" t="s">
        <v>726</v>
      </c>
      <c r="B54">
        <v>-21</v>
      </c>
      <c r="C54" t="s">
        <v>631</v>
      </c>
      <c r="D54" t="s">
        <v>631</v>
      </c>
      <c r="E54" t="s">
        <v>631</v>
      </c>
      <c r="F54" t="s">
        <v>631</v>
      </c>
      <c r="G54" t="s">
        <v>631</v>
      </c>
      <c r="H54" t="s">
        <v>490</v>
      </c>
      <c r="I54" t="s">
        <v>727</v>
      </c>
      <c r="J54" t="s">
        <v>727</v>
      </c>
    </row>
    <row r="55" spans="1:10">
      <c r="A55" t="s">
        <v>728</v>
      </c>
      <c r="B55">
        <v>-22</v>
      </c>
      <c r="C55" t="s">
        <v>631</v>
      </c>
      <c r="D55" t="s">
        <v>631</v>
      </c>
      <c r="E55" t="s">
        <v>631</v>
      </c>
      <c r="F55" t="s">
        <v>631</v>
      </c>
      <c r="G55" t="s">
        <v>631</v>
      </c>
      <c r="H55" t="s">
        <v>490</v>
      </c>
      <c r="I55" t="s">
        <v>729</v>
      </c>
      <c r="J55" t="s">
        <v>729</v>
      </c>
    </row>
    <row r="56" spans="1:10">
      <c r="A56" t="s">
        <v>730</v>
      </c>
      <c r="B56">
        <v>-23</v>
      </c>
      <c r="C56" t="s">
        <v>631</v>
      </c>
      <c r="D56" t="s">
        <v>631</v>
      </c>
      <c r="E56" t="s">
        <v>631</v>
      </c>
      <c r="F56" t="s">
        <v>631</v>
      </c>
      <c r="G56" t="s">
        <v>631</v>
      </c>
      <c r="H56" t="s">
        <v>490</v>
      </c>
      <c r="I56" t="s">
        <v>731</v>
      </c>
      <c r="J56" t="s">
        <v>731</v>
      </c>
    </row>
    <row r="57" spans="1:10">
      <c r="A57" t="s">
        <v>732</v>
      </c>
      <c r="B57">
        <v>-24</v>
      </c>
      <c r="C57" t="s">
        <v>631</v>
      </c>
      <c r="D57" t="s">
        <v>631</v>
      </c>
      <c r="E57" t="s">
        <v>631</v>
      </c>
      <c r="F57" t="s">
        <v>631</v>
      </c>
      <c r="G57" t="s">
        <v>631</v>
      </c>
      <c r="H57" t="s">
        <v>490</v>
      </c>
      <c r="I57" t="s">
        <v>733</v>
      </c>
      <c r="J57" t="s">
        <v>733</v>
      </c>
    </row>
    <row r="58" spans="1:10">
      <c r="A58" t="s">
        <v>734</v>
      </c>
      <c r="B58">
        <v>-25</v>
      </c>
      <c r="C58" t="s">
        <v>631</v>
      </c>
      <c r="D58" t="s">
        <v>631</v>
      </c>
      <c r="E58" t="s">
        <v>631</v>
      </c>
      <c r="F58" t="s">
        <v>631</v>
      </c>
      <c r="G58" t="s">
        <v>631</v>
      </c>
      <c r="H58" t="s">
        <v>490</v>
      </c>
      <c r="I58" t="s">
        <v>735</v>
      </c>
      <c r="J58" t="s">
        <v>735</v>
      </c>
    </row>
    <row r="59" spans="1:10">
      <c r="A59" t="s">
        <v>736</v>
      </c>
      <c r="B59">
        <v>-26</v>
      </c>
      <c r="C59" t="s">
        <v>631</v>
      </c>
      <c r="D59" t="s">
        <v>631</v>
      </c>
      <c r="E59" t="s">
        <v>631</v>
      </c>
      <c r="F59" t="s">
        <v>631</v>
      </c>
      <c r="G59" t="s">
        <v>631</v>
      </c>
      <c r="H59" t="s">
        <v>490</v>
      </c>
      <c r="I59" t="s">
        <v>737</v>
      </c>
      <c r="J59" t="s">
        <v>737</v>
      </c>
    </row>
    <row r="60" spans="1:10">
      <c r="A60" t="s">
        <v>738</v>
      </c>
      <c r="B60">
        <v>-27</v>
      </c>
      <c r="C60" t="s">
        <v>631</v>
      </c>
      <c r="D60" t="s">
        <v>631</v>
      </c>
      <c r="E60" t="s">
        <v>631</v>
      </c>
      <c r="F60" t="s">
        <v>631</v>
      </c>
      <c r="G60" t="s">
        <v>631</v>
      </c>
      <c r="H60" t="s">
        <v>490</v>
      </c>
      <c r="I60" t="s">
        <v>739</v>
      </c>
      <c r="J60" t="s">
        <v>739</v>
      </c>
    </row>
    <row r="61" spans="1:10">
      <c r="A61" t="s">
        <v>740</v>
      </c>
      <c r="B61">
        <v>-28</v>
      </c>
      <c r="C61" t="s">
        <v>631</v>
      </c>
      <c r="D61" t="s">
        <v>631</v>
      </c>
      <c r="E61" t="s">
        <v>631</v>
      </c>
      <c r="F61" t="s">
        <v>631</v>
      </c>
      <c r="G61" t="s">
        <v>631</v>
      </c>
      <c r="H61" t="s">
        <v>490</v>
      </c>
      <c r="I61" t="s">
        <v>741</v>
      </c>
      <c r="J61" t="s">
        <v>741</v>
      </c>
    </row>
    <row r="62" spans="1:10">
      <c r="A62" t="s">
        <v>742</v>
      </c>
      <c r="B62">
        <v>-29</v>
      </c>
      <c r="C62" t="s">
        <v>631</v>
      </c>
      <c r="D62" t="s">
        <v>631</v>
      </c>
      <c r="E62" t="s">
        <v>631</v>
      </c>
      <c r="F62" t="s">
        <v>631</v>
      </c>
      <c r="G62" t="s">
        <v>631</v>
      </c>
      <c r="H62" t="s">
        <v>490</v>
      </c>
      <c r="I62" t="s">
        <v>743</v>
      </c>
      <c r="J62" t="s">
        <v>743</v>
      </c>
    </row>
    <row r="63" spans="1:10">
      <c r="A63" t="s">
        <v>744</v>
      </c>
      <c r="B63">
        <v>-30</v>
      </c>
      <c r="C63" t="s">
        <v>631</v>
      </c>
      <c r="D63" t="s">
        <v>631</v>
      </c>
      <c r="E63" t="s">
        <v>631</v>
      </c>
      <c r="F63" t="s">
        <v>631</v>
      </c>
      <c r="G63" t="s">
        <v>631</v>
      </c>
      <c r="H63" t="s">
        <v>490</v>
      </c>
      <c r="I63" t="s">
        <v>745</v>
      </c>
      <c r="J63" t="s">
        <v>745</v>
      </c>
    </row>
    <row r="64" spans="1:10">
      <c r="A64" t="s">
        <v>746</v>
      </c>
      <c r="B64">
        <v>-31</v>
      </c>
      <c r="C64" t="s">
        <v>631</v>
      </c>
      <c r="D64" t="s">
        <v>631</v>
      </c>
      <c r="E64" t="s">
        <v>631</v>
      </c>
      <c r="F64" t="s">
        <v>631</v>
      </c>
      <c r="G64" t="s">
        <v>631</v>
      </c>
      <c r="H64" t="s">
        <v>490</v>
      </c>
      <c r="I64" t="s">
        <v>747</v>
      </c>
      <c r="J64" t="s">
        <v>747</v>
      </c>
    </row>
    <row r="65" spans="1:10">
      <c r="A65" t="s">
        <v>748</v>
      </c>
      <c r="B65">
        <v>-32</v>
      </c>
      <c r="C65" t="s">
        <v>631</v>
      </c>
      <c r="D65" t="s">
        <v>631</v>
      </c>
      <c r="E65" t="s">
        <v>631</v>
      </c>
      <c r="F65" t="s">
        <v>631</v>
      </c>
      <c r="G65" t="s">
        <v>631</v>
      </c>
      <c r="H65" t="s">
        <v>490</v>
      </c>
      <c r="I65" t="s">
        <v>749</v>
      </c>
      <c r="J65" t="s">
        <v>749</v>
      </c>
    </row>
    <row r="66" spans="1:10">
      <c r="A66" t="s">
        <v>750</v>
      </c>
      <c r="B66">
        <v>-33</v>
      </c>
      <c r="C66" t="s">
        <v>631</v>
      </c>
      <c r="D66" t="s">
        <v>631</v>
      </c>
      <c r="E66" t="s">
        <v>631</v>
      </c>
      <c r="F66" t="s">
        <v>631</v>
      </c>
      <c r="G66" t="s">
        <v>631</v>
      </c>
      <c r="H66" t="s">
        <v>490</v>
      </c>
      <c r="I66" t="s">
        <v>751</v>
      </c>
      <c r="J66" t="s">
        <v>751</v>
      </c>
    </row>
    <row r="67" spans="1:10">
      <c r="A67" t="s">
        <v>752</v>
      </c>
      <c r="B67">
        <v>-34</v>
      </c>
      <c r="C67" t="s">
        <v>631</v>
      </c>
      <c r="D67" t="s">
        <v>631</v>
      </c>
      <c r="E67" t="s">
        <v>631</v>
      </c>
      <c r="F67" t="s">
        <v>631</v>
      </c>
      <c r="G67" t="s">
        <v>631</v>
      </c>
      <c r="H67" t="s">
        <v>490</v>
      </c>
      <c r="I67" t="s">
        <v>753</v>
      </c>
      <c r="J67" t="s">
        <v>753</v>
      </c>
    </row>
    <row r="68" spans="1:10">
      <c r="A68" t="s">
        <v>754</v>
      </c>
      <c r="B68">
        <v>-35</v>
      </c>
      <c r="C68" t="s">
        <v>631</v>
      </c>
      <c r="D68" t="s">
        <v>631</v>
      </c>
      <c r="E68" t="s">
        <v>631</v>
      </c>
      <c r="F68" t="s">
        <v>631</v>
      </c>
      <c r="G68" t="s">
        <v>631</v>
      </c>
      <c r="H68" t="s">
        <v>490</v>
      </c>
      <c r="I68" t="s">
        <v>56</v>
      </c>
      <c r="J68" t="s">
        <v>56</v>
      </c>
    </row>
    <row r="69" spans="1:10">
      <c r="A69" t="s">
        <v>755</v>
      </c>
      <c r="B69">
        <v>-36</v>
      </c>
      <c r="C69" t="s">
        <v>631</v>
      </c>
      <c r="D69" t="s">
        <v>631</v>
      </c>
      <c r="E69" t="s">
        <v>631</v>
      </c>
      <c r="F69" t="s">
        <v>631</v>
      </c>
      <c r="G69" t="s">
        <v>631</v>
      </c>
      <c r="H69" t="s">
        <v>490</v>
      </c>
      <c r="I69" t="s">
        <v>756</v>
      </c>
      <c r="J69" t="s">
        <v>756</v>
      </c>
    </row>
    <row r="70" spans="1:10">
      <c r="A70" t="s">
        <v>757</v>
      </c>
      <c r="B70">
        <v>-37</v>
      </c>
      <c r="C70" t="s">
        <v>631</v>
      </c>
      <c r="D70" t="s">
        <v>631</v>
      </c>
      <c r="E70" t="s">
        <v>631</v>
      </c>
      <c r="F70" t="s">
        <v>631</v>
      </c>
      <c r="G70" t="s">
        <v>631</v>
      </c>
      <c r="H70" t="s">
        <v>490</v>
      </c>
      <c r="I70" t="s">
        <v>758</v>
      </c>
      <c r="J70" t="s">
        <v>758</v>
      </c>
    </row>
    <row r="71" spans="1:10">
      <c r="A71" t="s">
        <v>759</v>
      </c>
      <c r="B71">
        <v>-38</v>
      </c>
      <c r="C71" t="s">
        <v>631</v>
      </c>
      <c r="D71" t="s">
        <v>631</v>
      </c>
      <c r="E71" t="s">
        <v>631</v>
      </c>
      <c r="F71" t="s">
        <v>631</v>
      </c>
      <c r="G71" t="s">
        <v>631</v>
      </c>
      <c r="H71" t="s">
        <v>490</v>
      </c>
      <c r="I71" t="s">
        <v>760</v>
      </c>
      <c r="J71" t="s">
        <v>760</v>
      </c>
    </row>
    <row r="72" spans="1:10">
      <c r="A72" t="s">
        <v>761</v>
      </c>
      <c r="B72">
        <v>-44</v>
      </c>
      <c r="C72" t="s">
        <v>631</v>
      </c>
      <c r="D72" t="s">
        <v>631</v>
      </c>
      <c r="E72" t="s">
        <v>631</v>
      </c>
      <c r="F72" t="s">
        <v>631</v>
      </c>
      <c r="G72" t="s">
        <v>631</v>
      </c>
      <c r="H72" t="s">
        <v>490</v>
      </c>
      <c r="I72" t="s">
        <v>762</v>
      </c>
      <c r="J72" t="s">
        <v>762</v>
      </c>
    </row>
    <row r="73" spans="1:10">
      <c r="A73" t="s">
        <v>763</v>
      </c>
      <c r="B73">
        <v>-45</v>
      </c>
      <c r="C73" t="s">
        <v>631</v>
      </c>
      <c r="D73" t="s">
        <v>631</v>
      </c>
      <c r="E73" t="s">
        <v>631</v>
      </c>
      <c r="F73" t="s">
        <v>631</v>
      </c>
      <c r="G73" t="s">
        <v>631</v>
      </c>
      <c r="H73" t="s">
        <v>490</v>
      </c>
      <c r="I73" t="s">
        <v>764</v>
      </c>
      <c r="J73" t="s">
        <v>764</v>
      </c>
    </row>
    <row r="74" spans="1:10">
      <c r="A74" t="s">
        <v>765</v>
      </c>
      <c r="B74">
        <v>-46</v>
      </c>
      <c r="C74" t="s">
        <v>631</v>
      </c>
      <c r="D74" t="s">
        <v>631</v>
      </c>
      <c r="E74" t="s">
        <v>631</v>
      </c>
      <c r="F74" t="s">
        <v>631</v>
      </c>
      <c r="G74" t="s">
        <v>631</v>
      </c>
      <c r="H74" t="s">
        <v>490</v>
      </c>
      <c r="I74" t="s">
        <v>766</v>
      </c>
      <c r="J74" t="s">
        <v>766</v>
      </c>
    </row>
    <row r="75" spans="1:10">
      <c r="A75" t="s">
        <v>767</v>
      </c>
      <c r="B75">
        <v>-47</v>
      </c>
      <c r="C75" t="s">
        <v>631</v>
      </c>
      <c r="D75" t="s">
        <v>631</v>
      </c>
      <c r="E75" t="s">
        <v>631</v>
      </c>
      <c r="F75" t="s">
        <v>631</v>
      </c>
      <c r="G75" t="s">
        <v>631</v>
      </c>
      <c r="H75" t="s">
        <v>490</v>
      </c>
      <c r="I75" t="s">
        <v>768</v>
      </c>
      <c r="J75" t="s">
        <v>768</v>
      </c>
    </row>
    <row r="76" spans="1:10">
      <c r="A76" t="s">
        <v>769</v>
      </c>
      <c r="B76">
        <v>-48</v>
      </c>
      <c r="C76" t="s">
        <v>631</v>
      </c>
      <c r="D76" t="s">
        <v>631</v>
      </c>
      <c r="E76" t="s">
        <v>631</v>
      </c>
      <c r="F76" t="s">
        <v>631</v>
      </c>
      <c r="G76" t="s">
        <v>631</v>
      </c>
      <c r="H76" t="s">
        <v>490</v>
      </c>
      <c r="I76" t="s">
        <v>681</v>
      </c>
      <c r="J76" t="s">
        <v>681</v>
      </c>
    </row>
    <row r="77" spans="1:10">
      <c r="A77" t="s">
        <v>770</v>
      </c>
      <c r="B77">
        <v>-49</v>
      </c>
      <c r="C77" t="s">
        <v>631</v>
      </c>
      <c r="D77" t="s">
        <v>631</v>
      </c>
      <c r="E77" t="s">
        <v>631</v>
      </c>
      <c r="F77" t="s">
        <v>631</v>
      </c>
      <c r="G77" t="s">
        <v>631</v>
      </c>
      <c r="H77" t="s">
        <v>490</v>
      </c>
      <c r="I77" t="s">
        <v>771</v>
      </c>
      <c r="J77" t="s">
        <v>771</v>
      </c>
    </row>
    <row r="78" spans="1:10">
      <c r="A78" t="s">
        <v>772</v>
      </c>
      <c r="B78">
        <v>-50</v>
      </c>
      <c r="C78" t="s">
        <v>631</v>
      </c>
      <c r="D78" t="s">
        <v>631</v>
      </c>
      <c r="E78" t="s">
        <v>631</v>
      </c>
      <c r="F78" t="s">
        <v>631</v>
      </c>
      <c r="G78" t="s">
        <v>631</v>
      </c>
      <c r="H78" t="s">
        <v>490</v>
      </c>
      <c r="I78" t="s">
        <v>773</v>
      </c>
      <c r="J78" t="s">
        <v>773</v>
      </c>
    </row>
    <row r="79" spans="1:10">
      <c r="A79" t="s">
        <v>774</v>
      </c>
      <c r="B79">
        <v>-51</v>
      </c>
      <c r="C79" t="s">
        <v>631</v>
      </c>
      <c r="D79" t="s">
        <v>631</v>
      </c>
      <c r="E79" t="s">
        <v>631</v>
      </c>
      <c r="F79" t="s">
        <v>631</v>
      </c>
      <c r="G79" t="s">
        <v>631</v>
      </c>
      <c r="H79" t="s">
        <v>490</v>
      </c>
      <c r="I79" t="s">
        <v>775</v>
      </c>
      <c r="J79" t="s">
        <v>775</v>
      </c>
    </row>
    <row r="80" spans="1:10">
      <c r="A80" t="s">
        <v>776</v>
      </c>
      <c r="B80">
        <v>-52</v>
      </c>
      <c r="C80" t="s">
        <v>631</v>
      </c>
      <c r="D80" t="s">
        <v>631</v>
      </c>
      <c r="E80" t="s">
        <v>631</v>
      </c>
      <c r="F80" t="s">
        <v>631</v>
      </c>
      <c r="G80" t="s">
        <v>631</v>
      </c>
      <c r="H80" t="s">
        <v>490</v>
      </c>
      <c r="I80" t="s">
        <v>777</v>
      </c>
      <c r="J80" t="s">
        <v>777</v>
      </c>
    </row>
    <row r="81" spans="1:10">
      <c r="A81" t="s">
        <v>778</v>
      </c>
      <c r="B81">
        <v>-53</v>
      </c>
      <c r="C81" t="s">
        <v>631</v>
      </c>
      <c r="D81" t="s">
        <v>631</v>
      </c>
      <c r="E81" t="s">
        <v>631</v>
      </c>
      <c r="F81" t="s">
        <v>631</v>
      </c>
      <c r="G81" t="s">
        <v>631</v>
      </c>
      <c r="H81" t="s">
        <v>490</v>
      </c>
      <c r="I81" t="s">
        <v>779</v>
      </c>
      <c r="J81" t="s">
        <v>779</v>
      </c>
    </row>
    <row r="82" spans="1:10">
      <c r="A82" t="s">
        <v>778</v>
      </c>
      <c r="B82">
        <v>-54</v>
      </c>
      <c r="C82" t="s">
        <v>631</v>
      </c>
      <c r="D82" t="s">
        <v>631</v>
      </c>
      <c r="E82" t="s">
        <v>631</v>
      </c>
      <c r="F82" t="s">
        <v>631</v>
      </c>
      <c r="G82" t="s">
        <v>631</v>
      </c>
      <c r="H82" t="s">
        <v>490</v>
      </c>
      <c r="I82" t="s">
        <v>780</v>
      </c>
      <c r="J82" t="s">
        <v>780</v>
      </c>
    </row>
    <row r="83" spans="1:10">
      <c r="A83" t="s">
        <v>781</v>
      </c>
      <c r="B83">
        <v>-55</v>
      </c>
      <c r="C83" t="s">
        <v>631</v>
      </c>
      <c r="D83" t="s">
        <v>631</v>
      </c>
      <c r="E83" t="s">
        <v>631</v>
      </c>
      <c r="F83" t="s">
        <v>631</v>
      </c>
      <c r="G83" t="s">
        <v>631</v>
      </c>
      <c r="H83" t="s">
        <v>490</v>
      </c>
      <c r="I83" t="s">
        <v>782</v>
      </c>
      <c r="J83" t="s">
        <v>782</v>
      </c>
    </row>
    <row r="84" spans="1:10">
      <c r="A84" t="s">
        <v>783</v>
      </c>
      <c r="B84">
        <v>-56</v>
      </c>
      <c r="C84" t="s">
        <v>631</v>
      </c>
      <c r="D84" t="s">
        <v>631</v>
      </c>
      <c r="E84" t="s">
        <v>631</v>
      </c>
      <c r="F84" t="s">
        <v>631</v>
      </c>
      <c r="G84" t="s">
        <v>631</v>
      </c>
      <c r="H84" t="s">
        <v>490</v>
      </c>
      <c r="I84" t="s">
        <v>784</v>
      </c>
      <c r="J84" t="s">
        <v>784</v>
      </c>
    </row>
    <row r="85" spans="1:10">
      <c r="A85" t="s">
        <v>785</v>
      </c>
      <c r="B85">
        <v>-57</v>
      </c>
      <c r="C85" t="s">
        <v>631</v>
      </c>
      <c r="D85" t="s">
        <v>631</v>
      </c>
      <c r="E85" t="s">
        <v>631</v>
      </c>
      <c r="F85" t="s">
        <v>631</v>
      </c>
      <c r="G85" t="s">
        <v>631</v>
      </c>
      <c r="H85" t="s">
        <v>490</v>
      </c>
      <c r="I85" t="s">
        <v>786</v>
      </c>
      <c r="J85" t="s">
        <v>786</v>
      </c>
    </row>
    <row r="86" spans="1:10">
      <c r="A86" t="s">
        <v>787</v>
      </c>
      <c r="B86">
        <v>-58</v>
      </c>
      <c r="C86" t="s">
        <v>631</v>
      </c>
      <c r="D86" t="s">
        <v>631</v>
      </c>
      <c r="E86" t="s">
        <v>631</v>
      </c>
      <c r="F86" t="s">
        <v>631</v>
      </c>
      <c r="G86" t="s">
        <v>631</v>
      </c>
      <c r="H86" t="s">
        <v>490</v>
      </c>
      <c r="I86" t="s">
        <v>788</v>
      </c>
      <c r="J86" t="s">
        <v>788</v>
      </c>
    </row>
    <row r="87" spans="1:10">
      <c r="A87" t="s">
        <v>789</v>
      </c>
      <c r="B87">
        <v>-59</v>
      </c>
      <c r="C87" t="s">
        <v>631</v>
      </c>
      <c r="D87" t="s">
        <v>631</v>
      </c>
      <c r="E87" t="s">
        <v>631</v>
      </c>
      <c r="F87" t="s">
        <v>631</v>
      </c>
      <c r="G87" t="s">
        <v>631</v>
      </c>
      <c r="H87" t="s">
        <v>490</v>
      </c>
      <c r="I87" t="s">
        <v>790</v>
      </c>
      <c r="J87" t="s">
        <v>790</v>
      </c>
    </row>
    <row r="88" spans="1:10">
      <c r="A88" t="s">
        <v>791</v>
      </c>
      <c r="B88">
        <v>-60</v>
      </c>
      <c r="C88" t="s">
        <v>631</v>
      </c>
      <c r="D88" t="s">
        <v>631</v>
      </c>
      <c r="E88" t="s">
        <v>631</v>
      </c>
      <c r="F88" t="s">
        <v>631</v>
      </c>
      <c r="G88" t="s">
        <v>631</v>
      </c>
      <c r="H88" t="s">
        <v>490</v>
      </c>
      <c r="I88" t="s">
        <v>792</v>
      </c>
      <c r="J88" t="s">
        <v>792</v>
      </c>
    </row>
    <row r="89" spans="1:10">
      <c r="A89" t="s">
        <v>793</v>
      </c>
      <c r="B89">
        <v>-61</v>
      </c>
      <c r="C89" t="s">
        <v>631</v>
      </c>
      <c r="D89" t="s">
        <v>631</v>
      </c>
      <c r="E89" t="s">
        <v>631</v>
      </c>
      <c r="F89" t="s">
        <v>631</v>
      </c>
      <c r="G89" t="s">
        <v>631</v>
      </c>
      <c r="H89" t="s">
        <v>490</v>
      </c>
      <c r="I89" t="s">
        <v>794</v>
      </c>
      <c r="J89" t="s">
        <v>794</v>
      </c>
    </row>
    <row r="90" spans="1:10">
      <c r="A90" t="s">
        <v>795</v>
      </c>
      <c r="B90">
        <v>-62</v>
      </c>
      <c r="C90" t="s">
        <v>631</v>
      </c>
      <c r="D90" t="s">
        <v>631</v>
      </c>
      <c r="E90" t="s">
        <v>631</v>
      </c>
      <c r="F90" t="s">
        <v>631</v>
      </c>
      <c r="G90" t="s">
        <v>631</v>
      </c>
      <c r="H90" t="s">
        <v>490</v>
      </c>
      <c r="I90" t="s">
        <v>796</v>
      </c>
      <c r="J90" t="s">
        <v>796</v>
      </c>
    </row>
    <row r="91" spans="1:10">
      <c r="A91" t="s">
        <v>797</v>
      </c>
      <c r="B91">
        <v>-63</v>
      </c>
      <c r="C91" t="s">
        <v>631</v>
      </c>
      <c r="D91" t="s">
        <v>631</v>
      </c>
      <c r="E91" t="s">
        <v>631</v>
      </c>
      <c r="F91" t="s">
        <v>631</v>
      </c>
      <c r="G91" t="s">
        <v>631</v>
      </c>
      <c r="H91" t="s">
        <v>490</v>
      </c>
      <c r="I91" t="s">
        <v>798</v>
      </c>
      <c r="J91" t="s">
        <v>798</v>
      </c>
    </row>
    <row r="92" spans="1:10">
      <c r="A92" t="s">
        <v>799</v>
      </c>
      <c r="B92">
        <v>-64</v>
      </c>
      <c r="C92" t="s">
        <v>631</v>
      </c>
      <c r="D92" t="s">
        <v>631</v>
      </c>
      <c r="E92" t="s">
        <v>631</v>
      </c>
      <c r="F92" t="s">
        <v>631</v>
      </c>
      <c r="G92" t="s">
        <v>631</v>
      </c>
      <c r="H92" t="s">
        <v>490</v>
      </c>
      <c r="I92" t="s">
        <v>800</v>
      </c>
      <c r="J92" t="s">
        <v>800</v>
      </c>
    </row>
    <row r="93" spans="1:10">
      <c r="A93" t="s">
        <v>801</v>
      </c>
      <c r="B93">
        <v>-65</v>
      </c>
      <c r="C93" t="s">
        <v>631</v>
      </c>
      <c r="D93" t="s">
        <v>631</v>
      </c>
      <c r="E93" t="s">
        <v>631</v>
      </c>
      <c r="F93" t="s">
        <v>631</v>
      </c>
      <c r="G93" t="s">
        <v>631</v>
      </c>
      <c r="H93" t="s">
        <v>490</v>
      </c>
      <c r="I93" t="s">
        <v>802</v>
      </c>
      <c r="J93" t="s">
        <v>802</v>
      </c>
    </row>
    <row r="94" spans="1:10">
      <c r="A94" t="s">
        <v>803</v>
      </c>
      <c r="B94">
        <v>-67</v>
      </c>
      <c r="C94" t="s">
        <v>631</v>
      </c>
      <c r="D94" t="s">
        <v>631</v>
      </c>
      <c r="E94" t="s">
        <v>631</v>
      </c>
      <c r="F94" t="s">
        <v>631</v>
      </c>
      <c r="G94" t="s">
        <v>631</v>
      </c>
      <c r="H94" t="s">
        <v>490</v>
      </c>
      <c r="I94" t="s">
        <v>804</v>
      </c>
      <c r="J94" t="s">
        <v>804</v>
      </c>
    </row>
    <row r="95" spans="1:10">
      <c r="A95" t="s">
        <v>805</v>
      </c>
      <c r="B95">
        <v>-68</v>
      </c>
      <c r="C95" t="s">
        <v>631</v>
      </c>
      <c r="D95" t="s">
        <v>631</v>
      </c>
      <c r="E95" t="s">
        <v>631</v>
      </c>
      <c r="F95" t="s">
        <v>631</v>
      </c>
      <c r="G95" t="s">
        <v>631</v>
      </c>
      <c r="H95" t="s">
        <v>490</v>
      </c>
      <c r="I95" t="s">
        <v>806</v>
      </c>
      <c r="J95" t="s">
        <v>806</v>
      </c>
    </row>
    <row r="96" spans="1:10">
      <c r="A96" t="s">
        <v>807</v>
      </c>
      <c r="B96">
        <v>-69</v>
      </c>
      <c r="C96" t="s">
        <v>631</v>
      </c>
      <c r="D96" t="s">
        <v>631</v>
      </c>
      <c r="E96" t="s">
        <v>631</v>
      </c>
      <c r="F96" t="s">
        <v>631</v>
      </c>
      <c r="G96" t="s">
        <v>631</v>
      </c>
      <c r="H96" t="s">
        <v>490</v>
      </c>
      <c r="I96" t="s">
        <v>808</v>
      </c>
      <c r="J96" t="s">
        <v>808</v>
      </c>
    </row>
    <row r="97" spans="1:10">
      <c r="A97" t="s">
        <v>809</v>
      </c>
      <c r="B97">
        <v>-70</v>
      </c>
      <c r="C97" t="s">
        <v>631</v>
      </c>
      <c r="D97" t="s">
        <v>631</v>
      </c>
      <c r="E97" t="s">
        <v>631</v>
      </c>
      <c r="F97" t="s">
        <v>631</v>
      </c>
      <c r="G97" t="s">
        <v>631</v>
      </c>
      <c r="H97" t="s">
        <v>490</v>
      </c>
      <c r="I97" t="s">
        <v>810</v>
      </c>
      <c r="J97" t="s">
        <v>810</v>
      </c>
    </row>
    <row r="98" spans="1:10">
      <c r="A98" t="s">
        <v>811</v>
      </c>
      <c r="B98">
        <v>-71</v>
      </c>
      <c r="C98" t="s">
        <v>631</v>
      </c>
      <c r="D98" t="s">
        <v>631</v>
      </c>
      <c r="E98" t="s">
        <v>631</v>
      </c>
      <c r="F98" t="s">
        <v>631</v>
      </c>
      <c r="G98" t="s">
        <v>631</v>
      </c>
      <c r="H98" t="s">
        <v>490</v>
      </c>
      <c r="I98" t="s">
        <v>812</v>
      </c>
      <c r="J98" t="s">
        <v>812</v>
      </c>
    </row>
    <row r="99" spans="1:10">
      <c r="A99" t="s">
        <v>813</v>
      </c>
      <c r="B99">
        <v>-72</v>
      </c>
      <c r="C99" t="s">
        <v>631</v>
      </c>
      <c r="D99" t="s">
        <v>631</v>
      </c>
      <c r="E99" t="s">
        <v>631</v>
      </c>
      <c r="F99" t="s">
        <v>631</v>
      </c>
      <c r="G99" t="s">
        <v>631</v>
      </c>
      <c r="H99" t="s">
        <v>490</v>
      </c>
      <c r="I99" t="s">
        <v>814</v>
      </c>
      <c r="J99" t="s">
        <v>814</v>
      </c>
    </row>
    <row r="100" spans="1:10">
      <c r="A100" t="s">
        <v>815</v>
      </c>
      <c r="B100">
        <v>-73</v>
      </c>
      <c r="C100" t="s">
        <v>631</v>
      </c>
      <c r="D100" t="s">
        <v>631</v>
      </c>
      <c r="E100" t="s">
        <v>631</v>
      </c>
      <c r="F100" t="s">
        <v>631</v>
      </c>
      <c r="G100" t="s">
        <v>631</v>
      </c>
      <c r="H100" t="s">
        <v>490</v>
      </c>
      <c r="I100" t="s">
        <v>816</v>
      </c>
      <c r="J100" t="s">
        <v>816</v>
      </c>
    </row>
    <row r="101" spans="1:10">
      <c r="A101" t="s">
        <v>817</v>
      </c>
      <c r="B101">
        <v>-74</v>
      </c>
      <c r="C101" t="s">
        <v>631</v>
      </c>
      <c r="D101" t="s">
        <v>631</v>
      </c>
      <c r="E101" t="s">
        <v>631</v>
      </c>
      <c r="F101" t="s">
        <v>631</v>
      </c>
      <c r="G101" t="s">
        <v>631</v>
      </c>
      <c r="H101" t="s">
        <v>490</v>
      </c>
      <c r="I101" t="s">
        <v>818</v>
      </c>
      <c r="J101" t="s">
        <v>818</v>
      </c>
    </row>
    <row r="102" spans="1:10">
      <c r="A102" t="s">
        <v>819</v>
      </c>
      <c r="B102">
        <v>-75</v>
      </c>
      <c r="C102" t="s">
        <v>631</v>
      </c>
      <c r="D102" t="s">
        <v>631</v>
      </c>
      <c r="E102" t="s">
        <v>631</v>
      </c>
      <c r="F102" t="s">
        <v>631</v>
      </c>
      <c r="G102" t="s">
        <v>631</v>
      </c>
      <c r="H102" t="s">
        <v>490</v>
      </c>
      <c r="I102" t="s">
        <v>820</v>
      </c>
      <c r="J102" t="s">
        <v>820</v>
      </c>
    </row>
    <row r="103" spans="1:10">
      <c r="A103" t="s">
        <v>821</v>
      </c>
      <c r="B103">
        <v>-76</v>
      </c>
      <c r="C103" t="s">
        <v>631</v>
      </c>
      <c r="D103" t="s">
        <v>631</v>
      </c>
      <c r="E103" t="s">
        <v>631</v>
      </c>
      <c r="F103" t="s">
        <v>631</v>
      </c>
      <c r="G103" t="s">
        <v>631</v>
      </c>
      <c r="H103" t="s">
        <v>490</v>
      </c>
      <c r="I103" t="s">
        <v>822</v>
      </c>
      <c r="J103" t="s">
        <v>822</v>
      </c>
    </row>
    <row r="104" spans="1:10">
      <c r="A104" t="s">
        <v>823</v>
      </c>
      <c r="B104">
        <v>-77</v>
      </c>
      <c r="C104" t="s">
        <v>631</v>
      </c>
      <c r="D104" t="s">
        <v>631</v>
      </c>
      <c r="E104" t="s">
        <v>631</v>
      </c>
      <c r="F104" t="s">
        <v>631</v>
      </c>
      <c r="G104" t="s">
        <v>631</v>
      </c>
      <c r="H104" t="s">
        <v>490</v>
      </c>
      <c r="I104" t="s">
        <v>824</v>
      </c>
      <c r="J104" t="s">
        <v>824</v>
      </c>
    </row>
    <row r="105" spans="1:10">
      <c r="A105" t="s">
        <v>825</v>
      </c>
      <c r="B105">
        <v>-78</v>
      </c>
      <c r="C105" t="s">
        <v>631</v>
      </c>
      <c r="D105" t="s">
        <v>631</v>
      </c>
      <c r="E105" t="s">
        <v>631</v>
      </c>
      <c r="F105" t="s">
        <v>631</v>
      </c>
      <c r="G105" t="s">
        <v>631</v>
      </c>
      <c r="H105" t="s">
        <v>490</v>
      </c>
      <c r="I105" t="s">
        <v>826</v>
      </c>
      <c r="J105" t="s">
        <v>826</v>
      </c>
    </row>
    <row r="106" spans="1:10">
      <c r="A106" t="s">
        <v>827</v>
      </c>
      <c r="B106">
        <v>-79</v>
      </c>
      <c r="C106" t="s">
        <v>631</v>
      </c>
      <c r="D106" t="s">
        <v>631</v>
      </c>
      <c r="E106" t="s">
        <v>631</v>
      </c>
      <c r="F106" t="s">
        <v>631</v>
      </c>
      <c r="G106" t="s">
        <v>631</v>
      </c>
      <c r="H106" t="s">
        <v>490</v>
      </c>
      <c r="I106" t="s">
        <v>828</v>
      </c>
      <c r="J106" t="s">
        <v>828</v>
      </c>
    </row>
    <row r="107" spans="1:10">
      <c r="A107" t="s">
        <v>829</v>
      </c>
      <c r="B107">
        <v>-80</v>
      </c>
      <c r="C107" t="s">
        <v>631</v>
      </c>
      <c r="D107" t="s">
        <v>631</v>
      </c>
      <c r="E107" t="s">
        <v>631</v>
      </c>
      <c r="F107" t="s">
        <v>631</v>
      </c>
      <c r="G107" t="s">
        <v>631</v>
      </c>
      <c r="H107" t="s">
        <v>490</v>
      </c>
      <c r="I107" t="s">
        <v>830</v>
      </c>
      <c r="J107" t="s">
        <v>830</v>
      </c>
    </row>
    <row r="108" spans="1:10">
      <c r="A108" t="s">
        <v>831</v>
      </c>
      <c r="B108">
        <v>-81</v>
      </c>
      <c r="C108" t="s">
        <v>631</v>
      </c>
      <c r="D108" t="s">
        <v>631</v>
      </c>
      <c r="E108" t="s">
        <v>631</v>
      </c>
      <c r="F108" t="s">
        <v>631</v>
      </c>
      <c r="G108" t="s">
        <v>631</v>
      </c>
      <c r="H108" t="s">
        <v>490</v>
      </c>
      <c r="I108" t="s">
        <v>832</v>
      </c>
      <c r="J108" t="s">
        <v>832</v>
      </c>
    </row>
    <row r="109" spans="1:10">
      <c r="A109" t="s">
        <v>833</v>
      </c>
      <c r="B109">
        <v>-82</v>
      </c>
      <c r="C109" t="s">
        <v>631</v>
      </c>
      <c r="D109" t="s">
        <v>631</v>
      </c>
      <c r="E109" t="s">
        <v>631</v>
      </c>
      <c r="F109" t="s">
        <v>631</v>
      </c>
      <c r="G109" t="s">
        <v>631</v>
      </c>
      <c r="H109" t="s">
        <v>490</v>
      </c>
      <c r="I109" t="s">
        <v>834</v>
      </c>
      <c r="J109" t="s">
        <v>834</v>
      </c>
    </row>
    <row r="110" spans="1:10">
      <c r="A110" t="s">
        <v>835</v>
      </c>
      <c r="B110">
        <v>-83</v>
      </c>
      <c r="C110" t="s">
        <v>631</v>
      </c>
      <c r="D110" t="s">
        <v>631</v>
      </c>
      <c r="E110" t="s">
        <v>631</v>
      </c>
      <c r="F110" t="s">
        <v>631</v>
      </c>
      <c r="G110" t="s">
        <v>631</v>
      </c>
      <c r="H110" t="s">
        <v>490</v>
      </c>
      <c r="I110" t="s">
        <v>836</v>
      </c>
      <c r="J110" t="s">
        <v>836</v>
      </c>
    </row>
    <row r="111" spans="1:10">
      <c r="A111" t="s">
        <v>837</v>
      </c>
      <c r="B111">
        <v>-84</v>
      </c>
      <c r="C111" t="s">
        <v>631</v>
      </c>
      <c r="D111" t="s">
        <v>631</v>
      </c>
      <c r="E111" t="s">
        <v>631</v>
      </c>
      <c r="F111" t="s">
        <v>631</v>
      </c>
      <c r="G111" t="s">
        <v>631</v>
      </c>
      <c r="H111" t="s">
        <v>490</v>
      </c>
      <c r="I111" t="s">
        <v>838</v>
      </c>
      <c r="J111" t="s">
        <v>838</v>
      </c>
    </row>
    <row r="112" spans="1:10">
      <c r="A112" t="s">
        <v>839</v>
      </c>
      <c r="B112">
        <v>-85</v>
      </c>
      <c r="C112" t="s">
        <v>631</v>
      </c>
      <c r="D112" t="s">
        <v>631</v>
      </c>
      <c r="E112" t="s">
        <v>631</v>
      </c>
      <c r="F112" t="s">
        <v>631</v>
      </c>
      <c r="G112" t="s">
        <v>631</v>
      </c>
      <c r="H112" t="s">
        <v>490</v>
      </c>
      <c r="I112" t="s">
        <v>840</v>
      </c>
      <c r="J112" t="s">
        <v>840</v>
      </c>
    </row>
    <row r="113" spans="1:10">
      <c r="A113" t="s">
        <v>841</v>
      </c>
      <c r="B113">
        <v>-90</v>
      </c>
      <c r="C113" t="s">
        <v>631</v>
      </c>
      <c r="D113" t="s">
        <v>631</v>
      </c>
      <c r="E113" t="s">
        <v>631</v>
      </c>
      <c r="F113" t="s">
        <v>631</v>
      </c>
      <c r="G113" t="s">
        <v>631</v>
      </c>
      <c r="H113" t="s">
        <v>490</v>
      </c>
      <c r="I113" t="s">
        <v>842</v>
      </c>
      <c r="J113" t="s">
        <v>842</v>
      </c>
    </row>
    <row r="114" spans="1:10">
      <c r="A114" t="s">
        <v>843</v>
      </c>
      <c r="B114">
        <v>-91</v>
      </c>
      <c r="C114" t="s">
        <v>631</v>
      </c>
      <c r="D114" t="s">
        <v>631</v>
      </c>
      <c r="E114" t="s">
        <v>631</v>
      </c>
      <c r="F114" t="s">
        <v>631</v>
      </c>
      <c r="G114" t="s">
        <v>631</v>
      </c>
      <c r="H114" t="s">
        <v>490</v>
      </c>
      <c r="I114" t="s">
        <v>844</v>
      </c>
      <c r="J114" t="s">
        <v>844</v>
      </c>
    </row>
    <row r="115" spans="1:10">
      <c r="A115" t="s">
        <v>665</v>
      </c>
      <c r="B115">
        <v>-92</v>
      </c>
      <c r="C115" t="s">
        <v>631</v>
      </c>
      <c r="D115" t="s">
        <v>631</v>
      </c>
      <c r="E115" t="s">
        <v>631</v>
      </c>
      <c r="F115" t="s">
        <v>631</v>
      </c>
      <c r="G115" t="s">
        <v>631</v>
      </c>
      <c r="H115" t="s">
        <v>490</v>
      </c>
      <c r="I115" t="s">
        <v>845</v>
      </c>
      <c r="J115" t="s">
        <v>845</v>
      </c>
    </row>
    <row r="116" spans="1:10">
      <c r="A116" t="s">
        <v>665</v>
      </c>
      <c r="B116">
        <v>-93</v>
      </c>
      <c r="C116" t="s">
        <v>631</v>
      </c>
      <c r="D116" t="s">
        <v>631</v>
      </c>
      <c r="E116" t="s">
        <v>631</v>
      </c>
      <c r="F116" t="s">
        <v>631</v>
      </c>
      <c r="G116" t="s">
        <v>631</v>
      </c>
      <c r="H116" t="s">
        <v>490</v>
      </c>
      <c r="I116" t="s">
        <v>846</v>
      </c>
      <c r="J116" t="s">
        <v>846</v>
      </c>
    </row>
    <row r="117" spans="1:10">
      <c r="A117" t="s">
        <v>665</v>
      </c>
      <c r="B117">
        <v>-94</v>
      </c>
      <c r="C117" t="s">
        <v>631</v>
      </c>
      <c r="D117" t="s">
        <v>631</v>
      </c>
      <c r="E117" t="s">
        <v>631</v>
      </c>
      <c r="F117" t="s">
        <v>631</v>
      </c>
      <c r="G117" t="s">
        <v>631</v>
      </c>
      <c r="H117" t="s">
        <v>490</v>
      </c>
      <c r="I117" t="s">
        <v>847</v>
      </c>
      <c r="J117" t="s">
        <v>847</v>
      </c>
    </row>
    <row r="118" spans="1:10">
      <c r="A118" t="s">
        <v>848</v>
      </c>
      <c r="B118">
        <v>-95</v>
      </c>
      <c r="C118" t="s">
        <v>631</v>
      </c>
      <c r="D118" t="s">
        <v>631</v>
      </c>
      <c r="E118" t="s">
        <v>631</v>
      </c>
      <c r="F118" t="s">
        <v>631</v>
      </c>
      <c r="G118" t="s">
        <v>631</v>
      </c>
      <c r="H118" t="s">
        <v>490</v>
      </c>
      <c r="I118" t="s">
        <v>849</v>
      </c>
      <c r="J118" t="s">
        <v>849</v>
      </c>
    </row>
    <row r="119" spans="1:10">
      <c r="A119" t="s">
        <v>850</v>
      </c>
      <c r="B119">
        <v>-97</v>
      </c>
      <c r="C119" t="s">
        <v>631</v>
      </c>
      <c r="D119" t="s">
        <v>631</v>
      </c>
      <c r="E119" t="s">
        <v>631</v>
      </c>
      <c r="F119" t="s">
        <v>631</v>
      </c>
      <c r="G119" t="s">
        <v>631</v>
      </c>
      <c r="H119" t="s">
        <v>490</v>
      </c>
      <c r="I119" t="s">
        <v>851</v>
      </c>
      <c r="J119" t="s">
        <v>851</v>
      </c>
    </row>
    <row r="120" spans="1:10">
      <c r="A120" t="s">
        <v>852</v>
      </c>
      <c r="B120">
        <v>-102</v>
      </c>
      <c r="C120" t="s">
        <v>631</v>
      </c>
      <c r="D120" t="s">
        <v>631</v>
      </c>
      <c r="E120" t="s">
        <v>631</v>
      </c>
      <c r="F120" t="s">
        <v>631</v>
      </c>
      <c r="G120" t="s">
        <v>631</v>
      </c>
      <c r="H120" t="s">
        <v>490</v>
      </c>
      <c r="I120" t="s">
        <v>853</v>
      </c>
      <c r="J120" t="s">
        <v>853</v>
      </c>
    </row>
    <row r="121" spans="1:10">
      <c r="A121" t="s">
        <v>665</v>
      </c>
      <c r="B121">
        <v>-107</v>
      </c>
      <c r="C121" t="s">
        <v>631</v>
      </c>
      <c r="D121" t="s">
        <v>631</v>
      </c>
      <c r="E121" t="s">
        <v>631</v>
      </c>
      <c r="F121" t="s">
        <v>631</v>
      </c>
      <c r="G121" t="s">
        <v>631</v>
      </c>
      <c r="H121" t="s">
        <v>490</v>
      </c>
      <c r="I121" t="s">
        <v>854</v>
      </c>
      <c r="J121" t="s">
        <v>854</v>
      </c>
    </row>
    <row r="122" spans="1:10">
      <c r="A122" t="s">
        <v>665</v>
      </c>
      <c r="B122">
        <v>-154</v>
      </c>
      <c r="C122" t="s">
        <v>631</v>
      </c>
      <c r="D122" t="s">
        <v>631</v>
      </c>
      <c r="E122" t="s">
        <v>631</v>
      </c>
      <c r="F122" t="s">
        <v>631</v>
      </c>
      <c r="G122" t="s">
        <v>631</v>
      </c>
      <c r="H122" t="s">
        <v>490</v>
      </c>
      <c r="I122" t="s">
        <v>855</v>
      </c>
      <c r="J122" t="s">
        <v>855</v>
      </c>
    </row>
    <row r="123" spans="1:10">
      <c r="A123" t="s">
        <v>856</v>
      </c>
      <c r="B123">
        <v>-158</v>
      </c>
      <c r="D123" t="s">
        <v>631</v>
      </c>
      <c r="E123" t="s">
        <v>631</v>
      </c>
      <c r="F123" t="s">
        <v>631</v>
      </c>
      <c r="G123" t="s">
        <v>631</v>
      </c>
      <c r="H123" t="s">
        <v>490</v>
      </c>
      <c r="I123" t="s">
        <v>857</v>
      </c>
      <c r="J123" t="s">
        <v>857</v>
      </c>
    </row>
    <row r="124" spans="1:10">
      <c r="A124" t="s">
        <v>665</v>
      </c>
      <c r="B124">
        <v>-179</v>
      </c>
      <c r="D124" t="s">
        <v>631</v>
      </c>
      <c r="E124" t="s">
        <v>631</v>
      </c>
      <c r="F124" t="s">
        <v>631</v>
      </c>
      <c r="G124" t="s">
        <v>631</v>
      </c>
      <c r="H124" t="s">
        <v>490</v>
      </c>
      <c r="I124" t="s">
        <v>858</v>
      </c>
      <c r="J124" t="s">
        <v>858</v>
      </c>
    </row>
    <row r="125" spans="1:10">
      <c r="A125" t="s">
        <v>859</v>
      </c>
      <c r="B125">
        <v>-180</v>
      </c>
      <c r="D125" t="s">
        <v>631</v>
      </c>
      <c r="E125" t="s">
        <v>631</v>
      </c>
      <c r="F125" t="s">
        <v>631</v>
      </c>
      <c r="G125" t="s">
        <v>631</v>
      </c>
      <c r="H125" t="s">
        <v>490</v>
      </c>
      <c r="I125" t="s">
        <v>860</v>
      </c>
      <c r="J125" t="s">
        <v>860</v>
      </c>
    </row>
    <row r="126" spans="1:10">
      <c r="A126" t="s">
        <v>861</v>
      </c>
      <c r="B126">
        <v>-181</v>
      </c>
      <c r="D126" t="s">
        <v>631</v>
      </c>
      <c r="E126" t="s">
        <v>631</v>
      </c>
      <c r="F126" t="s">
        <v>631</v>
      </c>
      <c r="G126" t="s">
        <v>631</v>
      </c>
      <c r="H126" t="s">
        <v>490</v>
      </c>
      <c r="I126" t="s">
        <v>862</v>
      </c>
      <c r="J126" t="s">
        <v>862</v>
      </c>
    </row>
    <row r="127" spans="1:10">
      <c r="A127" t="s">
        <v>863</v>
      </c>
      <c r="B127">
        <v>-182</v>
      </c>
      <c r="D127" t="s">
        <v>631</v>
      </c>
      <c r="E127" t="s">
        <v>631</v>
      </c>
      <c r="F127" t="s">
        <v>631</v>
      </c>
      <c r="G127" t="s">
        <v>631</v>
      </c>
      <c r="H127" t="s">
        <v>490</v>
      </c>
      <c r="I127" t="s">
        <v>864</v>
      </c>
      <c r="J127" t="s">
        <v>864</v>
      </c>
    </row>
    <row r="128" spans="1:10">
      <c r="A128" t="s">
        <v>865</v>
      </c>
      <c r="B128">
        <v>-266</v>
      </c>
      <c r="D128" t="s">
        <v>631</v>
      </c>
      <c r="E128" t="s">
        <v>631</v>
      </c>
      <c r="F128" t="s">
        <v>631</v>
      </c>
      <c r="G128" t="s">
        <v>631</v>
      </c>
      <c r="H128" t="s">
        <v>490</v>
      </c>
      <c r="I128" t="s">
        <v>866</v>
      </c>
      <c r="J128" t="s">
        <v>866</v>
      </c>
    </row>
    <row r="129" spans="1:10">
      <c r="A129" t="s">
        <v>867</v>
      </c>
      <c r="B129">
        <v>-267</v>
      </c>
      <c r="D129" t="s">
        <v>631</v>
      </c>
      <c r="E129" t="s">
        <v>631</v>
      </c>
      <c r="F129" t="s">
        <v>631</v>
      </c>
      <c r="G129" t="s">
        <v>631</v>
      </c>
      <c r="H129" t="s">
        <v>490</v>
      </c>
      <c r="I129" t="s">
        <v>868</v>
      </c>
      <c r="J129" t="s">
        <v>868</v>
      </c>
    </row>
    <row r="130" spans="1:10">
      <c r="A130" t="s">
        <v>869</v>
      </c>
      <c r="B130">
        <v>-106</v>
      </c>
      <c r="C130" t="s">
        <v>631</v>
      </c>
      <c r="D130" t="s">
        <v>631</v>
      </c>
      <c r="E130" t="s">
        <v>631</v>
      </c>
      <c r="F130" t="s">
        <v>631</v>
      </c>
      <c r="G130" t="s">
        <v>631</v>
      </c>
      <c r="H130" t="s">
        <v>93</v>
      </c>
      <c r="I130" t="s">
        <v>870</v>
      </c>
      <c r="J130" t="s">
        <v>870</v>
      </c>
    </row>
    <row r="131" spans="1:10">
      <c r="A131" t="s">
        <v>665</v>
      </c>
      <c r="B131">
        <v>-112</v>
      </c>
      <c r="C131" t="s">
        <v>631</v>
      </c>
      <c r="D131" t="s">
        <v>631</v>
      </c>
      <c r="E131" t="s">
        <v>631</v>
      </c>
      <c r="F131" t="s">
        <v>631</v>
      </c>
      <c r="G131" t="s">
        <v>631</v>
      </c>
      <c r="H131" t="s">
        <v>93</v>
      </c>
      <c r="I131" t="s">
        <v>871</v>
      </c>
      <c r="J131" t="s">
        <v>871</v>
      </c>
    </row>
    <row r="132" spans="1:10">
      <c r="A132" t="s">
        <v>665</v>
      </c>
      <c r="B132">
        <v>-113</v>
      </c>
      <c r="C132" t="s">
        <v>631</v>
      </c>
      <c r="D132" t="s">
        <v>631</v>
      </c>
      <c r="E132" t="s">
        <v>631</v>
      </c>
      <c r="F132" t="s">
        <v>631</v>
      </c>
      <c r="G132" t="s">
        <v>631</v>
      </c>
      <c r="H132" t="s">
        <v>93</v>
      </c>
      <c r="I132" t="s">
        <v>872</v>
      </c>
      <c r="J132" t="s">
        <v>872</v>
      </c>
    </row>
    <row r="133" spans="1:10">
      <c r="A133" t="s">
        <v>665</v>
      </c>
      <c r="B133">
        <v>-114</v>
      </c>
      <c r="C133" t="s">
        <v>631</v>
      </c>
      <c r="D133" t="s">
        <v>631</v>
      </c>
      <c r="E133" t="s">
        <v>631</v>
      </c>
      <c r="F133" t="s">
        <v>631</v>
      </c>
      <c r="G133" t="s">
        <v>631</v>
      </c>
      <c r="H133" t="s">
        <v>93</v>
      </c>
      <c r="I133" t="s">
        <v>873</v>
      </c>
      <c r="J133" t="s">
        <v>873</v>
      </c>
    </row>
    <row r="134" spans="1:10">
      <c r="A134" t="s">
        <v>665</v>
      </c>
      <c r="B134">
        <v>-115</v>
      </c>
      <c r="C134" t="s">
        <v>631</v>
      </c>
      <c r="D134" t="s">
        <v>631</v>
      </c>
      <c r="E134" t="s">
        <v>631</v>
      </c>
      <c r="F134" t="s">
        <v>631</v>
      </c>
      <c r="G134" t="s">
        <v>631</v>
      </c>
      <c r="H134" t="s">
        <v>93</v>
      </c>
      <c r="I134" t="s">
        <v>874</v>
      </c>
      <c r="J134" t="s">
        <v>874</v>
      </c>
    </row>
    <row r="135" spans="1:10">
      <c r="A135" t="s">
        <v>665</v>
      </c>
      <c r="B135">
        <v>-116</v>
      </c>
      <c r="C135" t="s">
        <v>631</v>
      </c>
      <c r="D135" t="s">
        <v>631</v>
      </c>
      <c r="E135" t="s">
        <v>631</v>
      </c>
      <c r="F135" t="s">
        <v>631</v>
      </c>
      <c r="G135" t="s">
        <v>631</v>
      </c>
      <c r="H135" t="s">
        <v>93</v>
      </c>
      <c r="I135" t="s">
        <v>875</v>
      </c>
      <c r="J135" t="s">
        <v>875</v>
      </c>
    </row>
    <row r="136" spans="1:10">
      <c r="A136" t="s">
        <v>665</v>
      </c>
      <c r="B136">
        <v>-117</v>
      </c>
      <c r="C136" t="s">
        <v>631</v>
      </c>
      <c r="D136" t="s">
        <v>631</v>
      </c>
      <c r="E136" t="s">
        <v>631</v>
      </c>
      <c r="F136" t="s">
        <v>631</v>
      </c>
      <c r="G136" t="s">
        <v>631</v>
      </c>
      <c r="H136" t="s">
        <v>93</v>
      </c>
      <c r="I136" t="s">
        <v>876</v>
      </c>
      <c r="J136" t="s">
        <v>876</v>
      </c>
    </row>
    <row r="137" spans="1:10">
      <c r="A137" t="s">
        <v>665</v>
      </c>
      <c r="B137">
        <v>-118</v>
      </c>
      <c r="C137" t="s">
        <v>631</v>
      </c>
      <c r="D137" t="s">
        <v>631</v>
      </c>
      <c r="E137" t="s">
        <v>631</v>
      </c>
      <c r="F137" t="s">
        <v>631</v>
      </c>
      <c r="G137" t="s">
        <v>631</v>
      </c>
      <c r="H137" t="s">
        <v>93</v>
      </c>
      <c r="I137" t="s">
        <v>877</v>
      </c>
      <c r="J137" t="s">
        <v>877</v>
      </c>
    </row>
    <row r="138" spans="1:10">
      <c r="A138" t="s">
        <v>665</v>
      </c>
      <c r="B138">
        <v>-119</v>
      </c>
      <c r="C138" t="s">
        <v>631</v>
      </c>
      <c r="D138" t="s">
        <v>631</v>
      </c>
      <c r="E138" t="s">
        <v>631</v>
      </c>
      <c r="F138" t="s">
        <v>631</v>
      </c>
      <c r="G138" t="s">
        <v>631</v>
      </c>
      <c r="H138" t="s">
        <v>93</v>
      </c>
      <c r="I138" t="s">
        <v>878</v>
      </c>
      <c r="J138" t="s">
        <v>878</v>
      </c>
    </row>
    <row r="139" spans="1:10">
      <c r="A139" t="s">
        <v>665</v>
      </c>
      <c r="B139">
        <v>-120</v>
      </c>
      <c r="C139" t="s">
        <v>631</v>
      </c>
      <c r="D139" t="s">
        <v>631</v>
      </c>
      <c r="E139" t="s">
        <v>631</v>
      </c>
      <c r="F139" t="s">
        <v>631</v>
      </c>
      <c r="G139" t="s">
        <v>631</v>
      </c>
      <c r="H139" t="s">
        <v>93</v>
      </c>
      <c r="I139" t="s">
        <v>879</v>
      </c>
      <c r="J139" t="s">
        <v>879</v>
      </c>
    </row>
    <row r="140" spans="1:10">
      <c r="A140" t="s">
        <v>665</v>
      </c>
      <c r="B140">
        <v>-121</v>
      </c>
      <c r="C140" t="s">
        <v>631</v>
      </c>
      <c r="D140" t="s">
        <v>631</v>
      </c>
      <c r="E140" t="s">
        <v>631</v>
      </c>
      <c r="F140" t="s">
        <v>631</v>
      </c>
      <c r="G140" t="s">
        <v>631</v>
      </c>
      <c r="H140" t="s">
        <v>93</v>
      </c>
      <c r="I140" t="s">
        <v>880</v>
      </c>
      <c r="J140" t="s">
        <v>880</v>
      </c>
    </row>
    <row r="141" spans="1:10">
      <c r="A141" t="s">
        <v>665</v>
      </c>
      <c r="B141">
        <v>-122</v>
      </c>
      <c r="C141" t="s">
        <v>631</v>
      </c>
      <c r="D141" t="s">
        <v>631</v>
      </c>
      <c r="E141" t="s">
        <v>631</v>
      </c>
      <c r="F141" t="s">
        <v>631</v>
      </c>
      <c r="G141" t="s">
        <v>631</v>
      </c>
      <c r="H141" t="s">
        <v>93</v>
      </c>
      <c r="I141" t="s">
        <v>881</v>
      </c>
      <c r="J141" t="s">
        <v>881</v>
      </c>
    </row>
    <row r="142" spans="1:10">
      <c r="A142" t="s">
        <v>665</v>
      </c>
      <c r="B142">
        <v>-123</v>
      </c>
      <c r="C142" t="s">
        <v>631</v>
      </c>
      <c r="D142" t="s">
        <v>631</v>
      </c>
      <c r="E142" t="s">
        <v>631</v>
      </c>
      <c r="F142" t="s">
        <v>631</v>
      </c>
      <c r="G142" t="s">
        <v>631</v>
      </c>
      <c r="H142" t="s">
        <v>93</v>
      </c>
      <c r="I142" t="s">
        <v>882</v>
      </c>
      <c r="J142" t="s">
        <v>882</v>
      </c>
    </row>
    <row r="143" spans="1:10">
      <c r="A143" t="s">
        <v>665</v>
      </c>
      <c r="B143">
        <v>-124</v>
      </c>
      <c r="C143" t="s">
        <v>631</v>
      </c>
      <c r="D143" t="s">
        <v>631</v>
      </c>
      <c r="E143" t="s">
        <v>631</v>
      </c>
      <c r="F143" t="s">
        <v>631</v>
      </c>
      <c r="G143" t="s">
        <v>631</v>
      </c>
      <c r="H143" t="s">
        <v>93</v>
      </c>
      <c r="I143" t="s">
        <v>883</v>
      </c>
      <c r="J143" t="s">
        <v>883</v>
      </c>
    </row>
    <row r="144" spans="1:10">
      <c r="A144" t="s">
        <v>665</v>
      </c>
      <c r="B144">
        <v>-125</v>
      </c>
      <c r="C144" t="s">
        <v>631</v>
      </c>
      <c r="D144" t="s">
        <v>631</v>
      </c>
      <c r="E144" t="s">
        <v>631</v>
      </c>
      <c r="F144" t="s">
        <v>631</v>
      </c>
      <c r="G144" t="s">
        <v>631</v>
      </c>
      <c r="H144" t="s">
        <v>93</v>
      </c>
      <c r="I144" t="s">
        <v>884</v>
      </c>
      <c r="J144" t="s">
        <v>884</v>
      </c>
    </row>
    <row r="145" spans="1:10">
      <c r="A145" t="s">
        <v>665</v>
      </c>
      <c r="B145">
        <v>-126</v>
      </c>
      <c r="C145" t="s">
        <v>631</v>
      </c>
      <c r="D145" t="s">
        <v>631</v>
      </c>
      <c r="E145" t="s">
        <v>631</v>
      </c>
      <c r="F145" t="s">
        <v>631</v>
      </c>
      <c r="G145" t="s">
        <v>631</v>
      </c>
      <c r="H145" t="s">
        <v>93</v>
      </c>
      <c r="I145" t="s">
        <v>885</v>
      </c>
      <c r="J145" t="s">
        <v>885</v>
      </c>
    </row>
    <row r="146" spans="1:10">
      <c r="A146" t="s">
        <v>665</v>
      </c>
      <c r="B146">
        <v>-127</v>
      </c>
      <c r="C146" t="s">
        <v>631</v>
      </c>
      <c r="D146" t="s">
        <v>631</v>
      </c>
      <c r="E146" t="s">
        <v>631</v>
      </c>
      <c r="F146" t="s">
        <v>631</v>
      </c>
      <c r="G146" t="s">
        <v>631</v>
      </c>
      <c r="H146" t="s">
        <v>93</v>
      </c>
      <c r="I146" t="s">
        <v>886</v>
      </c>
      <c r="J146" t="s">
        <v>886</v>
      </c>
    </row>
    <row r="147" spans="1:10">
      <c r="A147" t="s">
        <v>665</v>
      </c>
      <c r="B147">
        <v>-128</v>
      </c>
      <c r="C147" t="s">
        <v>631</v>
      </c>
      <c r="D147" t="s">
        <v>631</v>
      </c>
      <c r="E147" t="s">
        <v>631</v>
      </c>
      <c r="F147" t="s">
        <v>631</v>
      </c>
      <c r="G147" t="s">
        <v>631</v>
      </c>
      <c r="H147" t="s">
        <v>93</v>
      </c>
      <c r="I147" t="s">
        <v>887</v>
      </c>
      <c r="J147" t="s">
        <v>887</v>
      </c>
    </row>
    <row r="148" spans="1:10">
      <c r="A148" t="s">
        <v>665</v>
      </c>
      <c r="B148">
        <v>-129</v>
      </c>
      <c r="C148" t="s">
        <v>631</v>
      </c>
      <c r="D148" t="s">
        <v>631</v>
      </c>
      <c r="E148" t="s">
        <v>631</v>
      </c>
      <c r="F148" t="s">
        <v>631</v>
      </c>
      <c r="G148" t="s">
        <v>631</v>
      </c>
      <c r="H148" t="s">
        <v>93</v>
      </c>
      <c r="I148" t="s">
        <v>888</v>
      </c>
      <c r="J148" t="s">
        <v>888</v>
      </c>
    </row>
    <row r="149" spans="1:10">
      <c r="A149" t="s">
        <v>665</v>
      </c>
      <c r="B149">
        <v>-130</v>
      </c>
      <c r="C149" t="s">
        <v>631</v>
      </c>
      <c r="D149" t="s">
        <v>631</v>
      </c>
      <c r="E149" t="s">
        <v>631</v>
      </c>
      <c r="F149" t="s">
        <v>631</v>
      </c>
      <c r="G149" t="s">
        <v>631</v>
      </c>
      <c r="H149" t="s">
        <v>93</v>
      </c>
      <c r="I149" t="s">
        <v>889</v>
      </c>
      <c r="J149" t="s">
        <v>889</v>
      </c>
    </row>
    <row r="150" spans="1:10">
      <c r="A150" t="s">
        <v>665</v>
      </c>
      <c r="B150">
        <v>-131</v>
      </c>
      <c r="C150" t="s">
        <v>631</v>
      </c>
      <c r="D150" t="s">
        <v>631</v>
      </c>
      <c r="E150" t="s">
        <v>631</v>
      </c>
      <c r="F150" t="s">
        <v>631</v>
      </c>
      <c r="G150" t="s">
        <v>631</v>
      </c>
      <c r="H150" t="s">
        <v>93</v>
      </c>
      <c r="I150" t="s">
        <v>890</v>
      </c>
      <c r="J150" t="s">
        <v>890</v>
      </c>
    </row>
    <row r="151" spans="1:10">
      <c r="A151" t="s">
        <v>665</v>
      </c>
      <c r="B151">
        <v>-132</v>
      </c>
      <c r="C151" t="s">
        <v>631</v>
      </c>
      <c r="D151" t="s">
        <v>631</v>
      </c>
      <c r="E151" t="s">
        <v>631</v>
      </c>
      <c r="F151" t="s">
        <v>631</v>
      </c>
      <c r="G151" t="s">
        <v>631</v>
      </c>
      <c r="H151" t="s">
        <v>93</v>
      </c>
      <c r="I151" t="s">
        <v>891</v>
      </c>
      <c r="J151" t="s">
        <v>891</v>
      </c>
    </row>
    <row r="152" spans="1:10">
      <c r="A152" t="s">
        <v>665</v>
      </c>
      <c r="B152">
        <v>-133</v>
      </c>
      <c r="C152" t="s">
        <v>631</v>
      </c>
      <c r="D152" t="s">
        <v>631</v>
      </c>
      <c r="E152" t="s">
        <v>631</v>
      </c>
      <c r="F152" t="s">
        <v>631</v>
      </c>
      <c r="G152" t="s">
        <v>631</v>
      </c>
      <c r="H152" t="s">
        <v>93</v>
      </c>
      <c r="I152" t="s">
        <v>892</v>
      </c>
      <c r="J152" t="s">
        <v>892</v>
      </c>
    </row>
    <row r="153" spans="1:10">
      <c r="A153" t="s">
        <v>665</v>
      </c>
      <c r="B153">
        <v>-134</v>
      </c>
      <c r="C153" t="s">
        <v>631</v>
      </c>
      <c r="D153" t="s">
        <v>631</v>
      </c>
      <c r="E153" t="s">
        <v>631</v>
      </c>
      <c r="F153" t="s">
        <v>631</v>
      </c>
      <c r="G153" t="s">
        <v>631</v>
      </c>
      <c r="H153" t="s">
        <v>93</v>
      </c>
      <c r="I153" t="s">
        <v>893</v>
      </c>
      <c r="J153" t="s">
        <v>893</v>
      </c>
    </row>
    <row r="154" spans="1:10">
      <c r="A154" t="s">
        <v>665</v>
      </c>
      <c r="B154">
        <v>-135</v>
      </c>
      <c r="C154" t="s">
        <v>631</v>
      </c>
      <c r="D154" t="s">
        <v>631</v>
      </c>
      <c r="E154" t="s">
        <v>631</v>
      </c>
      <c r="F154" t="s">
        <v>631</v>
      </c>
      <c r="G154" t="s">
        <v>631</v>
      </c>
      <c r="H154" t="s">
        <v>93</v>
      </c>
      <c r="I154" t="s">
        <v>894</v>
      </c>
      <c r="J154" t="s">
        <v>894</v>
      </c>
    </row>
    <row r="155" spans="1:10">
      <c r="A155" t="s">
        <v>665</v>
      </c>
      <c r="B155">
        <v>-136</v>
      </c>
      <c r="C155" t="s">
        <v>631</v>
      </c>
      <c r="D155" t="s">
        <v>631</v>
      </c>
      <c r="E155" t="s">
        <v>631</v>
      </c>
      <c r="F155" t="s">
        <v>631</v>
      </c>
      <c r="G155" t="s">
        <v>631</v>
      </c>
      <c r="H155" t="s">
        <v>93</v>
      </c>
      <c r="I155" t="s">
        <v>895</v>
      </c>
      <c r="J155" t="s">
        <v>895</v>
      </c>
    </row>
    <row r="156" spans="1:10">
      <c r="A156" t="s">
        <v>665</v>
      </c>
      <c r="B156">
        <v>-137</v>
      </c>
      <c r="C156" t="s">
        <v>631</v>
      </c>
      <c r="D156" t="s">
        <v>631</v>
      </c>
      <c r="E156" t="s">
        <v>631</v>
      </c>
      <c r="F156" t="s">
        <v>631</v>
      </c>
      <c r="G156" t="s">
        <v>631</v>
      </c>
      <c r="H156" t="s">
        <v>93</v>
      </c>
      <c r="I156" t="s">
        <v>896</v>
      </c>
      <c r="J156" t="s">
        <v>896</v>
      </c>
    </row>
    <row r="157" spans="1:10">
      <c r="A157" t="s">
        <v>665</v>
      </c>
      <c r="B157">
        <v>-138</v>
      </c>
      <c r="C157" t="s">
        <v>631</v>
      </c>
      <c r="D157" t="s">
        <v>631</v>
      </c>
      <c r="E157" t="s">
        <v>631</v>
      </c>
      <c r="F157" t="s">
        <v>631</v>
      </c>
      <c r="G157" t="s">
        <v>631</v>
      </c>
      <c r="H157" t="s">
        <v>93</v>
      </c>
      <c r="I157" t="s">
        <v>897</v>
      </c>
      <c r="J157" t="s">
        <v>897</v>
      </c>
    </row>
    <row r="158" spans="1:10">
      <c r="A158" t="s">
        <v>665</v>
      </c>
      <c r="B158">
        <v>-139</v>
      </c>
      <c r="C158" t="s">
        <v>631</v>
      </c>
      <c r="D158" t="s">
        <v>631</v>
      </c>
      <c r="E158" t="s">
        <v>631</v>
      </c>
      <c r="F158" t="s">
        <v>631</v>
      </c>
      <c r="G158" t="s">
        <v>631</v>
      </c>
      <c r="H158" t="s">
        <v>93</v>
      </c>
      <c r="I158" t="s">
        <v>898</v>
      </c>
      <c r="J158" t="s">
        <v>898</v>
      </c>
    </row>
    <row r="159" spans="1:10">
      <c r="A159" t="s">
        <v>665</v>
      </c>
      <c r="B159">
        <v>-140</v>
      </c>
      <c r="C159" t="s">
        <v>631</v>
      </c>
      <c r="D159" t="s">
        <v>631</v>
      </c>
      <c r="E159" t="s">
        <v>631</v>
      </c>
      <c r="F159" t="s">
        <v>631</v>
      </c>
      <c r="G159" t="s">
        <v>631</v>
      </c>
      <c r="H159" t="s">
        <v>93</v>
      </c>
      <c r="I159" t="s">
        <v>899</v>
      </c>
      <c r="J159" t="s">
        <v>899</v>
      </c>
    </row>
    <row r="160" spans="1:10">
      <c r="A160" t="s">
        <v>665</v>
      </c>
      <c r="B160">
        <v>-141</v>
      </c>
      <c r="C160" t="s">
        <v>631</v>
      </c>
      <c r="D160" t="s">
        <v>631</v>
      </c>
      <c r="E160" t="s">
        <v>631</v>
      </c>
      <c r="F160" t="s">
        <v>631</v>
      </c>
      <c r="G160" t="s">
        <v>631</v>
      </c>
      <c r="H160" t="s">
        <v>93</v>
      </c>
      <c r="I160" t="s">
        <v>900</v>
      </c>
      <c r="J160" t="s">
        <v>900</v>
      </c>
    </row>
    <row r="161" spans="1:10">
      <c r="A161" t="s">
        <v>665</v>
      </c>
      <c r="B161">
        <v>-142</v>
      </c>
      <c r="C161" t="s">
        <v>631</v>
      </c>
      <c r="D161" t="s">
        <v>631</v>
      </c>
      <c r="E161" t="s">
        <v>631</v>
      </c>
      <c r="F161" t="s">
        <v>631</v>
      </c>
      <c r="G161" t="s">
        <v>631</v>
      </c>
      <c r="H161" t="s">
        <v>93</v>
      </c>
      <c r="I161" t="s">
        <v>901</v>
      </c>
      <c r="J161" t="s">
        <v>901</v>
      </c>
    </row>
    <row r="162" spans="1:10">
      <c r="A162" t="s">
        <v>665</v>
      </c>
      <c r="B162">
        <v>-143</v>
      </c>
      <c r="C162" t="s">
        <v>631</v>
      </c>
      <c r="D162" t="s">
        <v>631</v>
      </c>
      <c r="E162" t="s">
        <v>631</v>
      </c>
      <c r="F162" t="s">
        <v>631</v>
      </c>
      <c r="G162" t="s">
        <v>631</v>
      </c>
      <c r="H162" t="s">
        <v>93</v>
      </c>
      <c r="I162" t="s">
        <v>902</v>
      </c>
      <c r="J162" t="s">
        <v>902</v>
      </c>
    </row>
    <row r="163" spans="1:10">
      <c r="A163" t="s">
        <v>665</v>
      </c>
      <c r="B163">
        <v>-144</v>
      </c>
      <c r="C163" t="s">
        <v>631</v>
      </c>
      <c r="D163" t="s">
        <v>631</v>
      </c>
      <c r="E163" t="s">
        <v>631</v>
      </c>
      <c r="F163" t="s">
        <v>631</v>
      </c>
      <c r="G163" t="s">
        <v>631</v>
      </c>
      <c r="H163" t="s">
        <v>93</v>
      </c>
      <c r="I163" t="s">
        <v>903</v>
      </c>
      <c r="J163" t="s">
        <v>903</v>
      </c>
    </row>
    <row r="164" spans="1:10">
      <c r="A164" t="s">
        <v>665</v>
      </c>
      <c r="B164">
        <v>-145</v>
      </c>
      <c r="C164" t="s">
        <v>631</v>
      </c>
      <c r="D164" t="s">
        <v>631</v>
      </c>
      <c r="E164" t="s">
        <v>631</v>
      </c>
      <c r="F164" t="s">
        <v>631</v>
      </c>
      <c r="G164" t="s">
        <v>631</v>
      </c>
      <c r="H164" t="s">
        <v>93</v>
      </c>
      <c r="I164" t="s">
        <v>904</v>
      </c>
      <c r="J164" t="s">
        <v>904</v>
      </c>
    </row>
    <row r="165" spans="1:10">
      <c r="A165" t="s">
        <v>665</v>
      </c>
      <c r="B165">
        <v>-146</v>
      </c>
      <c r="C165" t="s">
        <v>631</v>
      </c>
      <c r="D165" t="s">
        <v>631</v>
      </c>
      <c r="E165" t="s">
        <v>631</v>
      </c>
      <c r="F165" t="s">
        <v>631</v>
      </c>
      <c r="G165" t="s">
        <v>631</v>
      </c>
      <c r="H165" t="s">
        <v>93</v>
      </c>
      <c r="I165" t="s">
        <v>905</v>
      </c>
      <c r="J165" t="s">
        <v>905</v>
      </c>
    </row>
    <row r="166" spans="1:10">
      <c r="A166" t="s">
        <v>665</v>
      </c>
      <c r="B166">
        <v>-147</v>
      </c>
      <c r="C166" t="s">
        <v>631</v>
      </c>
      <c r="D166" t="s">
        <v>631</v>
      </c>
      <c r="E166" t="s">
        <v>631</v>
      </c>
      <c r="F166" t="s">
        <v>631</v>
      </c>
      <c r="G166" t="s">
        <v>631</v>
      </c>
      <c r="H166" t="s">
        <v>93</v>
      </c>
      <c r="I166" t="s">
        <v>906</v>
      </c>
      <c r="J166" t="s">
        <v>906</v>
      </c>
    </row>
    <row r="167" spans="1:10">
      <c r="A167" t="s">
        <v>665</v>
      </c>
      <c r="B167">
        <v>-148</v>
      </c>
      <c r="C167" t="s">
        <v>631</v>
      </c>
      <c r="D167" t="s">
        <v>631</v>
      </c>
      <c r="E167" t="s">
        <v>631</v>
      </c>
      <c r="F167" t="s">
        <v>631</v>
      </c>
      <c r="G167" t="s">
        <v>631</v>
      </c>
      <c r="H167" t="s">
        <v>93</v>
      </c>
      <c r="I167" t="s">
        <v>907</v>
      </c>
      <c r="J167" t="s">
        <v>907</v>
      </c>
    </row>
    <row r="168" spans="1:10">
      <c r="A168" t="s">
        <v>665</v>
      </c>
      <c r="B168">
        <v>-149</v>
      </c>
      <c r="C168" t="s">
        <v>631</v>
      </c>
      <c r="D168" t="s">
        <v>631</v>
      </c>
      <c r="E168" t="s">
        <v>631</v>
      </c>
      <c r="F168" t="s">
        <v>631</v>
      </c>
      <c r="G168" t="s">
        <v>631</v>
      </c>
      <c r="H168" t="s">
        <v>93</v>
      </c>
      <c r="I168" t="s">
        <v>908</v>
      </c>
      <c r="J168" t="s">
        <v>908</v>
      </c>
    </row>
    <row r="169" spans="1:10">
      <c r="A169" t="s">
        <v>665</v>
      </c>
      <c r="B169">
        <v>-150</v>
      </c>
      <c r="C169" t="s">
        <v>631</v>
      </c>
      <c r="D169" t="s">
        <v>631</v>
      </c>
      <c r="E169" t="s">
        <v>631</v>
      </c>
      <c r="F169" t="s">
        <v>631</v>
      </c>
      <c r="G169" t="s">
        <v>631</v>
      </c>
      <c r="H169" t="s">
        <v>93</v>
      </c>
      <c r="I169" t="s">
        <v>909</v>
      </c>
      <c r="J169" t="s">
        <v>909</v>
      </c>
    </row>
    <row r="170" spans="1:10">
      <c r="A170" t="s">
        <v>665</v>
      </c>
      <c r="B170">
        <v>-151</v>
      </c>
      <c r="C170" t="s">
        <v>631</v>
      </c>
      <c r="D170" t="s">
        <v>631</v>
      </c>
      <c r="E170" t="s">
        <v>631</v>
      </c>
      <c r="F170" t="s">
        <v>631</v>
      </c>
      <c r="G170" t="s">
        <v>631</v>
      </c>
      <c r="H170" t="s">
        <v>93</v>
      </c>
      <c r="I170" t="s">
        <v>910</v>
      </c>
      <c r="J170" t="s">
        <v>910</v>
      </c>
    </row>
    <row r="171" spans="1:10">
      <c r="A171" t="s">
        <v>665</v>
      </c>
      <c r="B171">
        <v>-152</v>
      </c>
      <c r="C171" t="s">
        <v>631</v>
      </c>
      <c r="D171" t="s">
        <v>631</v>
      </c>
      <c r="E171" t="s">
        <v>631</v>
      </c>
      <c r="F171" t="s">
        <v>631</v>
      </c>
      <c r="G171" t="s">
        <v>631</v>
      </c>
      <c r="H171" t="s">
        <v>93</v>
      </c>
      <c r="I171" t="s">
        <v>911</v>
      </c>
      <c r="J171" t="s">
        <v>911</v>
      </c>
    </row>
    <row r="172" spans="1:10">
      <c r="A172" t="s">
        <v>665</v>
      </c>
      <c r="B172">
        <v>-153</v>
      </c>
      <c r="C172" t="s">
        <v>631</v>
      </c>
      <c r="D172" t="s">
        <v>631</v>
      </c>
      <c r="E172" t="s">
        <v>631</v>
      </c>
      <c r="F172" t="s">
        <v>631</v>
      </c>
      <c r="G172" t="s">
        <v>631</v>
      </c>
      <c r="H172" t="s">
        <v>93</v>
      </c>
      <c r="I172" t="s">
        <v>912</v>
      </c>
      <c r="J172" t="s">
        <v>912</v>
      </c>
    </row>
    <row r="173" spans="1:10">
      <c r="A173" t="s">
        <v>665</v>
      </c>
      <c r="B173">
        <v>-155</v>
      </c>
      <c r="C173" t="s">
        <v>631</v>
      </c>
      <c r="D173" t="s">
        <v>631</v>
      </c>
      <c r="E173" t="s">
        <v>631</v>
      </c>
      <c r="F173" t="s">
        <v>631</v>
      </c>
      <c r="G173" t="s">
        <v>631</v>
      </c>
      <c r="H173" t="s">
        <v>93</v>
      </c>
      <c r="I173" t="s">
        <v>913</v>
      </c>
      <c r="J173" t="s">
        <v>913</v>
      </c>
    </row>
    <row r="174" spans="1:10">
      <c r="A174" t="s">
        <v>665</v>
      </c>
      <c r="B174">
        <v>-156</v>
      </c>
      <c r="C174" t="s">
        <v>631</v>
      </c>
      <c r="D174" t="s">
        <v>631</v>
      </c>
      <c r="E174" t="s">
        <v>631</v>
      </c>
      <c r="F174" t="s">
        <v>631</v>
      </c>
      <c r="G174" t="s">
        <v>631</v>
      </c>
      <c r="H174" t="s">
        <v>93</v>
      </c>
      <c r="I174" t="s">
        <v>914</v>
      </c>
      <c r="J174" t="s">
        <v>914</v>
      </c>
    </row>
    <row r="175" spans="1:10">
      <c r="A175" t="s">
        <v>915</v>
      </c>
      <c r="B175">
        <v>-159</v>
      </c>
      <c r="D175" t="s">
        <v>631</v>
      </c>
      <c r="E175" t="s">
        <v>631</v>
      </c>
      <c r="F175" t="s">
        <v>631</v>
      </c>
      <c r="G175" t="s">
        <v>631</v>
      </c>
      <c r="H175" t="s">
        <v>93</v>
      </c>
      <c r="I175" t="s">
        <v>916</v>
      </c>
      <c r="J175" t="s">
        <v>916</v>
      </c>
    </row>
    <row r="176" spans="1:10">
      <c r="A176" t="s">
        <v>917</v>
      </c>
      <c r="B176">
        <v>-160</v>
      </c>
      <c r="D176" t="s">
        <v>631</v>
      </c>
      <c r="E176" t="s">
        <v>631</v>
      </c>
      <c r="F176" t="s">
        <v>631</v>
      </c>
      <c r="G176" t="s">
        <v>631</v>
      </c>
      <c r="H176" t="s">
        <v>93</v>
      </c>
      <c r="I176" t="s">
        <v>918</v>
      </c>
      <c r="J176" t="s">
        <v>918</v>
      </c>
    </row>
    <row r="177" spans="1:10">
      <c r="A177" t="s">
        <v>919</v>
      </c>
      <c r="B177">
        <v>-161</v>
      </c>
      <c r="D177" t="s">
        <v>631</v>
      </c>
      <c r="E177" t="s">
        <v>631</v>
      </c>
      <c r="F177" t="s">
        <v>631</v>
      </c>
      <c r="G177" t="s">
        <v>631</v>
      </c>
      <c r="H177" t="s">
        <v>93</v>
      </c>
      <c r="I177" t="s">
        <v>920</v>
      </c>
      <c r="J177" t="s">
        <v>920</v>
      </c>
    </row>
    <row r="178" spans="1:10">
      <c r="A178" t="s">
        <v>921</v>
      </c>
      <c r="B178">
        <v>-162</v>
      </c>
      <c r="D178" t="s">
        <v>631</v>
      </c>
      <c r="E178" t="s">
        <v>631</v>
      </c>
      <c r="F178" t="s">
        <v>631</v>
      </c>
      <c r="G178" t="s">
        <v>631</v>
      </c>
      <c r="H178" t="s">
        <v>93</v>
      </c>
      <c r="I178" t="s">
        <v>922</v>
      </c>
      <c r="J178" t="s">
        <v>922</v>
      </c>
    </row>
    <row r="179" spans="1:10">
      <c r="A179" t="s">
        <v>923</v>
      </c>
      <c r="B179">
        <v>-163</v>
      </c>
      <c r="D179" t="s">
        <v>631</v>
      </c>
      <c r="E179" t="s">
        <v>631</v>
      </c>
      <c r="F179" t="s">
        <v>631</v>
      </c>
      <c r="G179" t="s">
        <v>631</v>
      </c>
      <c r="H179" t="s">
        <v>93</v>
      </c>
      <c r="I179" t="s">
        <v>924</v>
      </c>
      <c r="J179" t="s">
        <v>924</v>
      </c>
    </row>
    <row r="180" spans="1:10">
      <c r="A180" t="s">
        <v>925</v>
      </c>
      <c r="B180">
        <v>-164</v>
      </c>
      <c r="D180" t="s">
        <v>631</v>
      </c>
      <c r="E180" t="s">
        <v>631</v>
      </c>
      <c r="F180" t="s">
        <v>631</v>
      </c>
      <c r="G180" t="s">
        <v>631</v>
      </c>
      <c r="H180" t="s">
        <v>93</v>
      </c>
      <c r="I180" t="s">
        <v>926</v>
      </c>
      <c r="J180" t="s">
        <v>926</v>
      </c>
    </row>
    <row r="181" spans="1:10">
      <c r="A181" t="s">
        <v>927</v>
      </c>
      <c r="B181">
        <v>-165</v>
      </c>
      <c r="D181" t="s">
        <v>631</v>
      </c>
      <c r="E181" t="s">
        <v>631</v>
      </c>
      <c r="F181" t="s">
        <v>631</v>
      </c>
      <c r="G181" t="s">
        <v>631</v>
      </c>
      <c r="H181" t="s">
        <v>93</v>
      </c>
      <c r="I181" t="s">
        <v>928</v>
      </c>
      <c r="J181" t="s">
        <v>928</v>
      </c>
    </row>
    <row r="182" spans="1:10">
      <c r="A182" t="s">
        <v>929</v>
      </c>
      <c r="B182">
        <v>-166</v>
      </c>
      <c r="D182" t="s">
        <v>631</v>
      </c>
      <c r="E182" t="s">
        <v>631</v>
      </c>
      <c r="F182" t="s">
        <v>631</v>
      </c>
      <c r="G182" t="s">
        <v>631</v>
      </c>
      <c r="H182" t="s">
        <v>93</v>
      </c>
      <c r="I182" t="s">
        <v>930</v>
      </c>
      <c r="J182" t="s">
        <v>930</v>
      </c>
    </row>
    <row r="183" spans="1:10">
      <c r="A183" t="s">
        <v>931</v>
      </c>
      <c r="B183">
        <v>-167</v>
      </c>
      <c r="D183" t="s">
        <v>631</v>
      </c>
      <c r="E183" t="s">
        <v>631</v>
      </c>
      <c r="F183" t="s">
        <v>631</v>
      </c>
      <c r="G183" t="s">
        <v>631</v>
      </c>
      <c r="H183" t="s">
        <v>93</v>
      </c>
      <c r="I183" t="s">
        <v>932</v>
      </c>
      <c r="J183" t="s">
        <v>932</v>
      </c>
    </row>
    <row r="184" spans="1:10">
      <c r="A184" t="s">
        <v>933</v>
      </c>
      <c r="B184">
        <v>-168</v>
      </c>
      <c r="D184" t="s">
        <v>631</v>
      </c>
      <c r="E184" t="s">
        <v>631</v>
      </c>
      <c r="F184" t="s">
        <v>631</v>
      </c>
      <c r="G184" t="s">
        <v>631</v>
      </c>
      <c r="H184" t="s">
        <v>93</v>
      </c>
      <c r="I184" t="s">
        <v>934</v>
      </c>
      <c r="J184" t="s">
        <v>934</v>
      </c>
    </row>
    <row r="185" spans="1:10">
      <c r="A185" t="s">
        <v>935</v>
      </c>
      <c r="B185">
        <v>-169</v>
      </c>
      <c r="D185" t="s">
        <v>631</v>
      </c>
      <c r="E185" t="s">
        <v>631</v>
      </c>
      <c r="F185" t="s">
        <v>631</v>
      </c>
      <c r="G185" t="s">
        <v>631</v>
      </c>
      <c r="H185" t="s">
        <v>93</v>
      </c>
      <c r="I185" t="s">
        <v>936</v>
      </c>
      <c r="J185" t="s">
        <v>936</v>
      </c>
    </row>
    <row r="186" spans="1:10">
      <c r="A186" t="s">
        <v>937</v>
      </c>
      <c r="B186">
        <v>-170</v>
      </c>
      <c r="D186" t="s">
        <v>631</v>
      </c>
      <c r="E186" t="s">
        <v>631</v>
      </c>
      <c r="F186" t="s">
        <v>631</v>
      </c>
      <c r="G186" t="s">
        <v>631</v>
      </c>
      <c r="H186" t="s">
        <v>93</v>
      </c>
      <c r="I186" t="s">
        <v>938</v>
      </c>
      <c r="J186" t="s">
        <v>938</v>
      </c>
    </row>
    <row r="187" spans="1:10">
      <c r="A187" t="s">
        <v>939</v>
      </c>
      <c r="B187">
        <v>-171</v>
      </c>
      <c r="D187" t="s">
        <v>631</v>
      </c>
      <c r="E187" t="s">
        <v>631</v>
      </c>
      <c r="F187" t="s">
        <v>631</v>
      </c>
      <c r="G187" t="s">
        <v>631</v>
      </c>
      <c r="H187" t="s">
        <v>93</v>
      </c>
      <c r="I187" t="s">
        <v>940</v>
      </c>
      <c r="J187" t="s">
        <v>940</v>
      </c>
    </row>
    <row r="188" spans="1:10">
      <c r="A188" t="s">
        <v>941</v>
      </c>
      <c r="B188">
        <v>-172</v>
      </c>
      <c r="D188" t="s">
        <v>631</v>
      </c>
      <c r="E188" t="s">
        <v>631</v>
      </c>
      <c r="F188" t="s">
        <v>631</v>
      </c>
      <c r="G188" t="s">
        <v>631</v>
      </c>
      <c r="H188" t="s">
        <v>93</v>
      </c>
      <c r="I188" t="s">
        <v>942</v>
      </c>
      <c r="J188" t="s">
        <v>942</v>
      </c>
    </row>
    <row r="189" spans="1:10">
      <c r="A189" t="s">
        <v>943</v>
      </c>
      <c r="B189">
        <v>-173</v>
      </c>
      <c r="D189" t="s">
        <v>631</v>
      </c>
      <c r="E189" t="s">
        <v>631</v>
      </c>
      <c r="F189" t="s">
        <v>631</v>
      </c>
      <c r="G189" t="s">
        <v>631</v>
      </c>
      <c r="H189" t="s">
        <v>93</v>
      </c>
      <c r="I189" t="s">
        <v>944</v>
      </c>
      <c r="J189" t="s">
        <v>944</v>
      </c>
    </row>
    <row r="190" spans="1:10">
      <c r="A190" t="s">
        <v>945</v>
      </c>
      <c r="B190">
        <v>-174</v>
      </c>
      <c r="D190" t="s">
        <v>631</v>
      </c>
      <c r="E190" t="s">
        <v>631</v>
      </c>
      <c r="F190" t="s">
        <v>631</v>
      </c>
      <c r="G190" t="s">
        <v>631</v>
      </c>
      <c r="H190" t="s">
        <v>93</v>
      </c>
      <c r="I190" t="s">
        <v>946</v>
      </c>
      <c r="J190" t="s">
        <v>946</v>
      </c>
    </row>
    <row r="191" spans="1:10">
      <c r="A191" t="s">
        <v>947</v>
      </c>
      <c r="B191">
        <v>-175</v>
      </c>
      <c r="D191" t="s">
        <v>631</v>
      </c>
      <c r="E191" t="s">
        <v>631</v>
      </c>
      <c r="F191" t="s">
        <v>631</v>
      </c>
      <c r="G191" t="s">
        <v>631</v>
      </c>
      <c r="H191" t="s">
        <v>93</v>
      </c>
      <c r="I191" t="s">
        <v>948</v>
      </c>
      <c r="J191" t="s">
        <v>948</v>
      </c>
    </row>
    <row r="192" spans="1:10">
      <c r="A192" t="s">
        <v>949</v>
      </c>
      <c r="B192">
        <v>-176</v>
      </c>
      <c r="D192" t="s">
        <v>631</v>
      </c>
      <c r="E192" t="s">
        <v>631</v>
      </c>
      <c r="F192" t="s">
        <v>631</v>
      </c>
      <c r="G192" t="s">
        <v>631</v>
      </c>
      <c r="H192" t="s">
        <v>93</v>
      </c>
      <c r="I192" t="s">
        <v>950</v>
      </c>
      <c r="J192" t="s">
        <v>950</v>
      </c>
    </row>
    <row r="193" spans="1:10">
      <c r="A193" t="s">
        <v>951</v>
      </c>
      <c r="B193">
        <v>-177</v>
      </c>
      <c r="D193" t="s">
        <v>631</v>
      </c>
      <c r="E193" t="s">
        <v>631</v>
      </c>
      <c r="F193" t="s">
        <v>631</v>
      </c>
      <c r="G193" t="s">
        <v>631</v>
      </c>
      <c r="H193" t="s">
        <v>93</v>
      </c>
      <c r="I193" t="s">
        <v>952</v>
      </c>
      <c r="J193" t="s">
        <v>952</v>
      </c>
    </row>
    <row r="194" spans="1:10">
      <c r="A194" t="s">
        <v>953</v>
      </c>
      <c r="B194">
        <v>-178</v>
      </c>
      <c r="D194" t="s">
        <v>631</v>
      </c>
      <c r="E194" t="s">
        <v>631</v>
      </c>
      <c r="F194" t="s">
        <v>631</v>
      </c>
      <c r="G194" t="s">
        <v>631</v>
      </c>
      <c r="H194" t="s">
        <v>93</v>
      </c>
      <c r="I194" t="s">
        <v>954</v>
      </c>
      <c r="J194" t="s">
        <v>954</v>
      </c>
    </row>
    <row r="195" spans="1:10">
      <c r="A195" t="s">
        <v>665</v>
      </c>
      <c r="B195">
        <v>-183</v>
      </c>
      <c r="D195" t="s">
        <v>631</v>
      </c>
      <c r="E195" t="s">
        <v>631</v>
      </c>
      <c r="F195" t="s">
        <v>631</v>
      </c>
      <c r="G195" t="s">
        <v>631</v>
      </c>
      <c r="H195" t="s">
        <v>93</v>
      </c>
      <c r="I195" t="s">
        <v>955</v>
      </c>
      <c r="J195" t="s">
        <v>955</v>
      </c>
    </row>
    <row r="196" spans="1:10">
      <c r="A196" t="s">
        <v>665</v>
      </c>
      <c r="B196">
        <v>-184</v>
      </c>
      <c r="D196" t="s">
        <v>631</v>
      </c>
      <c r="E196" t="s">
        <v>631</v>
      </c>
      <c r="F196" t="s">
        <v>631</v>
      </c>
      <c r="G196" t="s">
        <v>631</v>
      </c>
      <c r="H196" t="s">
        <v>93</v>
      </c>
      <c r="I196" t="s">
        <v>956</v>
      </c>
      <c r="J196" t="s">
        <v>956</v>
      </c>
    </row>
    <row r="197" spans="1:10">
      <c r="A197" t="s">
        <v>665</v>
      </c>
      <c r="B197">
        <v>-185</v>
      </c>
      <c r="D197" t="s">
        <v>631</v>
      </c>
      <c r="E197" t="s">
        <v>631</v>
      </c>
      <c r="F197" t="s">
        <v>631</v>
      </c>
      <c r="G197" t="s">
        <v>631</v>
      </c>
      <c r="H197" t="s">
        <v>93</v>
      </c>
      <c r="I197" t="s">
        <v>957</v>
      </c>
      <c r="J197" t="s">
        <v>957</v>
      </c>
    </row>
    <row r="198" spans="1:10">
      <c r="A198" t="s">
        <v>665</v>
      </c>
      <c r="B198">
        <v>-186</v>
      </c>
      <c r="D198" t="s">
        <v>631</v>
      </c>
      <c r="E198" t="s">
        <v>631</v>
      </c>
      <c r="F198" t="s">
        <v>631</v>
      </c>
      <c r="G198" t="s">
        <v>631</v>
      </c>
      <c r="H198" t="s">
        <v>93</v>
      </c>
      <c r="I198" t="s">
        <v>958</v>
      </c>
      <c r="J198" t="s">
        <v>958</v>
      </c>
    </row>
    <row r="199" spans="1:10">
      <c r="A199" t="s">
        <v>665</v>
      </c>
      <c r="B199">
        <v>-187</v>
      </c>
      <c r="D199" t="s">
        <v>631</v>
      </c>
      <c r="E199" t="s">
        <v>631</v>
      </c>
      <c r="F199" t="s">
        <v>631</v>
      </c>
      <c r="G199" t="s">
        <v>631</v>
      </c>
      <c r="H199" t="s">
        <v>93</v>
      </c>
      <c r="I199" t="s">
        <v>959</v>
      </c>
      <c r="J199" t="s">
        <v>959</v>
      </c>
    </row>
    <row r="200" spans="1:10">
      <c r="A200" t="s">
        <v>665</v>
      </c>
      <c r="B200">
        <v>-188</v>
      </c>
      <c r="D200" t="s">
        <v>631</v>
      </c>
      <c r="E200" t="s">
        <v>631</v>
      </c>
      <c r="F200" t="s">
        <v>631</v>
      </c>
      <c r="G200" t="s">
        <v>631</v>
      </c>
      <c r="H200" t="s">
        <v>93</v>
      </c>
      <c r="I200" t="s">
        <v>960</v>
      </c>
      <c r="J200" t="s">
        <v>960</v>
      </c>
    </row>
    <row r="201" spans="1:10">
      <c r="A201" t="s">
        <v>665</v>
      </c>
      <c r="B201">
        <v>-189</v>
      </c>
      <c r="D201" t="s">
        <v>631</v>
      </c>
      <c r="E201" t="s">
        <v>631</v>
      </c>
      <c r="F201" t="s">
        <v>631</v>
      </c>
      <c r="G201" t="s">
        <v>631</v>
      </c>
      <c r="H201" t="s">
        <v>93</v>
      </c>
      <c r="I201" t="s">
        <v>961</v>
      </c>
      <c r="J201" t="s">
        <v>961</v>
      </c>
    </row>
    <row r="202" spans="1:10">
      <c r="A202" t="s">
        <v>665</v>
      </c>
      <c r="B202">
        <v>-190</v>
      </c>
      <c r="D202" t="s">
        <v>631</v>
      </c>
      <c r="E202" t="s">
        <v>631</v>
      </c>
      <c r="F202" t="s">
        <v>631</v>
      </c>
      <c r="G202" t="s">
        <v>631</v>
      </c>
      <c r="H202" t="s">
        <v>93</v>
      </c>
      <c r="I202" t="s">
        <v>962</v>
      </c>
      <c r="J202" t="s">
        <v>962</v>
      </c>
    </row>
    <row r="203" spans="1:10">
      <c r="A203" t="s">
        <v>665</v>
      </c>
      <c r="B203">
        <v>-191</v>
      </c>
      <c r="D203" t="s">
        <v>631</v>
      </c>
      <c r="E203" t="s">
        <v>631</v>
      </c>
      <c r="F203" t="s">
        <v>631</v>
      </c>
      <c r="G203" t="s">
        <v>631</v>
      </c>
      <c r="H203" t="s">
        <v>93</v>
      </c>
      <c r="I203" t="s">
        <v>963</v>
      </c>
      <c r="J203" t="s">
        <v>963</v>
      </c>
    </row>
    <row r="204" spans="1:10">
      <c r="A204" t="s">
        <v>665</v>
      </c>
      <c r="B204">
        <v>-192</v>
      </c>
      <c r="D204" t="s">
        <v>631</v>
      </c>
      <c r="E204" t="s">
        <v>631</v>
      </c>
      <c r="F204" t="s">
        <v>631</v>
      </c>
      <c r="G204" t="s">
        <v>631</v>
      </c>
      <c r="H204" t="s">
        <v>93</v>
      </c>
      <c r="I204" t="s">
        <v>964</v>
      </c>
      <c r="J204" t="s">
        <v>964</v>
      </c>
    </row>
    <row r="205" spans="1:10">
      <c r="A205" t="s">
        <v>665</v>
      </c>
      <c r="B205">
        <v>-193</v>
      </c>
      <c r="D205" t="s">
        <v>631</v>
      </c>
      <c r="E205" t="s">
        <v>631</v>
      </c>
      <c r="F205" t="s">
        <v>631</v>
      </c>
      <c r="G205" t="s">
        <v>631</v>
      </c>
      <c r="H205" t="s">
        <v>93</v>
      </c>
      <c r="I205" t="s">
        <v>965</v>
      </c>
      <c r="J205" t="s">
        <v>965</v>
      </c>
    </row>
    <row r="206" spans="1:10">
      <c r="A206" t="s">
        <v>665</v>
      </c>
      <c r="B206">
        <v>-194</v>
      </c>
      <c r="D206" t="s">
        <v>631</v>
      </c>
      <c r="E206" t="s">
        <v>631</v>
      </c>
      <c r="F206" t="s">
        <v>631</v>
      </c>
      <c r="G206" t="s">
        <v>631</v>
      </c>
      <c r="H206" t="s">
        <v>93</v>
      </c>
      <c r="I206" t="s">
        <v>966</v>
      </c>
      <c r="J206" t="s">
        <v>966</v>
      </c>
    </row>
    <row r="207" spans="1:10">
      <c r="A207" t="s">
        <v>665</v>
      </c>
      <c r="B207">
        <v>-195</v>
      </c>
      <c r="D207" t="s">
        <v>631</v>
      </c>
      <c r="E207" t="s">
        <v>631</v>
      </c>
      <c r="F207" t="s">
        <v>631</v>
      </c>
      <c r="G207" t="s">
        <v>631</v>
      </c>
      <c r="H207" t="s">
        <v>93</v>
      </c>
      <c r="I207" t="s">
        <v>967</v>
      </c>
      <c r="J207" t="s">
        <v>967</v>
      </c>
    </row>
    <row r="208" spans="1:10">
      <c r="A208" t="s">
        <v>665</v>
      </c>
      <c r="B208">
        <v>-196</v>
      </c>
      <c r="D208" t="s">
        <v>631</v>
      </c>
      <c r="E208" t="s">
        <v>631</v>
      </c>
      <c r="F208" t="s">
        <v>631</v>
      </c>
      <c r="G208" t="s">
        <v>631</v>
      </c>
      <c r="H208" t="s">
        <v>93</v>
      </c>
      <c r="I208" t="s">
        <v>968</v>
      </c>
      <c r="J208" t="s">
        <v>968</v>
      </c>
    </row>
    <row r="209" spans="1:10">
      <c r="A209" t="s">
        <v>665</v>
      </c>
      <c r="B209">
        <v>-197</v>
      </c>
      <c r="D209" t="s">
        <v>631</v>
      </c>
      <c r="E209" t="s">
        <v>631</v>
      </c>
      <c r="F209" t="s">
        <v>631</v>
      </c>
      <c r="G209" t="s">
        <v>631</v>
      </c>
      <c r="H209" t="s">
        <v>93</v>
      </c>
      <c r="I209" t="s">
        <v>969</v>
      </c>
      <c r="J209" t="s">
        <v>969</v>
      </c>
    </row>
    <row r="210" spans="1:10">
      <c r="A210" t="s">
        <v>665</v>
      </c>
      <c r="B210">
        <v>-198</v>
      </c>
      <c r="D210" t="s">
        <v>631</v>
      </c>
      <c r="E210" t="s">
        <v>631</v>
      </c>
      <c r="F210" t="s">
        <v>631</v>
      </c>
      <c r="G210" t="s">
        <v>631</v>
      </c>
      <c r="H210" t="s">
        <v>93</v>
      </c>
      <c r="I210" t="s">
        <v>970</v>
      </c>
      <c r="J210" t="s">
        <v>970</v>
      </c>
    </row>
    <row r="211" spans="1:10">
      <c r="A211" t="s">
        <v>665</v>
      </c>
      <c r="B211">
        <v>-199</v>
      </c>
      <c r="D211" t="s">
        <v>631</v>
      </c>
      <c r="E211" t="s">
        <v>631</v>
      </c>
      <c r="F211" t="s">
        <v>631</v>
      </c>
      <c r="G211" t="s">
        <v>631</v>
      </c>
      <c r="H211" t="s">
        <v>93</v>
      </c>
      <c r="I211" t="s">
        <v>971</v>
      </c>
      <c r="J211" t="s">
        <v>971</v>
      </c>
    </row>
    <row r="212" spans="1:10">
      <c r="A212" t="s">
        <v>665</v>
      </c>
      <c r="B212">
        <v>-200</v>
      </c>
      <c r="D212" t="s">
        <v>631</v>
      </c>
      <c r="E212" t="s">
        <v>631</v>
      </c>
      <c r="F212" t="s">
        <v>631</v>
      </c>
      <c r="G212" t="s">
        <v>631</v>
      </c>
      <c r="H212" t="s">
        <v>93</v>
      </c>
      <c r="I212" t="s">
        <v>972</v>
      </c>
      <c r="J212" t="s">
        <v>972</v>
      </c>
    </row>
    <row r="213" spans="1:10">
      <c r="A213" t="s">
        <v>665</v>
      </c>
      <c r="B213">
        <v>-201</v>
      </c>
      <c r="D213" t="s">
        <v>631</v>
      </c>
      <c r="E213" t="s">
        <v>631</v>
      </c>
      <c r="F213" t="s">
        <v>631</v>
      </c>
      <c r="G213" t="s">
        <v>631</v>
      </c>
      <c r="H213" t="s">
        <v>93</v>
      </c>
      <c r="I213" t="s">
        <v>973</v>
      </c>
      <c r="J213" t="s">
        <v>973</v>
      </c>
    </row>
    <row r="214" spans="1:10">
      <c r="A214" t="s">
        <v>665</v>
      </c>
      <c r="B214">
        <v>-202</v>
      </c>
      <c r="D214" t="s">
        <v>631</v>
      </c>
      <c r="E214" t="s">
        <v>631</v>
      </c>
      <c r="F214" t="s">
        <v>631</v>
      </c>
      <c r="G214" t="s">
        <v>631</v>
      </c>
      <c r="H214" t="s">
        <v>93</v>
      </c>
      <c r="I214" t="s">
        <v>974</v>
      </c>
      <c r="J214" t="s">
        <v>974</v>
      </c>
    </row>
    <row r="215" spans="1:10">
      <c r="A215" t="s">
        <v>665</v>
      </c>
      <c r="B215">
        <v>-203</v>
      </c>
      <c r="D215" t="s">
        <v>631</v>
      </c>
      <c r="E215" t="s">
        <v>631</v>
      </c>
      <c r="F215" t="s">
        <v>631</v>
      </c>
      <c r="G215" t="s">
        <v>631</v>
      </c>
      <c r="H215" t="s">
        <v>93</v>
      </c>
      <c r="I215" t="s">
        <v>975</v>
      </c>
      <c r="J215" t="s">
        <v>975</v>
      </c>
    </row>
    <row r="216" spans="1:10">
      <c r="A216" t="s">
        <v>665</v>
      </c>
      <c r="B216">
        <v>-204</v>
      </c>
      <c r="D216" t="s">
        <v>631</v>
      </c>
      <c r="E216" t="s">
        <v>631</v>
      </c>
      <c r="F216" t="s">
        <v>631</v>
      </c>
      <c r="G216" t="s">
        <v>631</v>
      </c>
      <c r="H216" t="s">
        <v>93</v>
      </c>
      <c r="I216" t="s">
        <v>976</v>
      </c>
      <c r="J216" t="s">
        <v>976</v>
      </c>
    </row>
    <row r="217" spans="1:10">
      <c r="A217" t="s">
        <v>665</v>
      </c>
      <c r="B217">
        <v>-205</v>
      </c>
      <c r="D217" t="s">
        <v>631</v>
      </c>
      <c r="E217" t="s">
        <v>631</v>
      </c>
      <c r="F217" t="s">
        <v>631</v>
      </c>
      <c r="G217" t="s">
        <v>631</v>
      </c>
      <c r="H217" t="s">
        <v>93</v>
      </c>
      <c r="I217" t="s">
        <v>977</v>
      </c>
      <c r="J217" t="s">
        <v>977</v>
      </c>
    </row>
    <row r="218" spans="1:10">
      <c r="A218" t="s">
        <v>665</v>
      </c>
      <c r="B218">
        <v>-206</v>
      </c>
      <c r="D218" t="s">
        <v>631</v>
      </c>
      <c r="E218" t="s">
        <v>631</v>
      </c>
      <c r="F218" t="s">
        <v>631</v>
      </c>
      <c r="G218" t="s">
        <v>631</v>
      </c>
      <c r="H218" t="s">
        <v>93</v>
      </c>
      <c r="I218" t="s">
        <v>978</v>
      </c>
      <c r="J218" t="s">
        <v>978</v>
      </c>
    </row>
    <row r="219" spans="1:10">
      <c r="A219" t="s">
        <v>665</v>
      </c>
      <c r="B219">
        <v>-207</v>
      </c>
      <c r="D219" t="s">
        <v>631</v>
      </c>
      <c r="E219" t="s">
        <v>631</v>
      </c>
      <c r="F219" t="s">
        <v>631</v>
      </c>
      <c r="G219" t="s">
        <v>631</v>
      </c>
      <c r="H219" t="s">
        <v>93</v>
      </c>
      <c r="I219" t="s">
        <v>979</v>
      </c>
      <c r="J219" t="s">
        <v>979</v>
      </c>
    </row>
    <row r="220" spans="1:10">
      <c r="A220" t="s">
        <v>665</v>
      </c>
      <c r="B220">
        <v>-208</v>
      </c>
      <c r="D220" t="s">
        <v>631</v>
      </c>
      <c r="E220" t="s">
        <v>631</v>
      </c>
      <c r="F220" t="s">
        <v>631</v>
      </c>
      <c r="G220" t="s">
        <v>631</v>
      </c>
      <c r="H220" t="s">
        <v>93</v>
      </c>
      <c r="I220" t="s">
        <v>980</v>
      </c>
      <c r="J220" t="s">
        <v>980</v>
      </c>
    </row>
    <row r="221" spans="1:10">
      <c r="A221" t="s">
        <v>665</v>
      </c>
      <c r="B221">
        <v>-209</v>
      </c>
      <c r="D221" t="s">
        <v>631</v>
      </c>
      <c r="E221" t="s">
        <v>631</v>
      </c>
      <c r="F221" t="s">
        <v>631</v>
      </c>
      <c r="G221" t="s">
        <v>631</v>
      </c>
      <c r="H221" t="s">
        <v>93</v>
      </c>
      <c r="I221" t="s">
        <v>981</v>
      </c>
      <c r="J221" t="s">
        <v>981</v>
      </c>
    </row>
    <row r="222" spans="1:10">
      <c r="A222" t="s">
        <v>665</v>
      </c>
      <c r="B222">
        <v>-210</v>
      </c>
      <c r="D222" t="s">
        <v>631</v>
      </c>
      <c r="E222" t="s">
        <v>631</v>
      </c>
      <c r="F222" t="s">
        <v>631</v>
      </c>
      <c r="G222" t="s">
        <v>631</v>
      </c>
      <c r="H222" t="s">
        <v>93</v>
      </c>
      <c r="I222" t="s">
        <v>982</v>
      </c>
      <c r="J222" t="s">
        <v>982</v>
      </c>
    </row>
    <row r="223" spans="1:10">
      <c r="A223" t="s">
        <v>665</v>
      </c>
      <c r="B223">
        <v>-211</v>
      </c>
      <c r="D223" t="s">
        <v>631</v>
      </c>
      <c r="E223" t="s">
        <v>631</v>
      </c>
      <c r="F223" t="s">
        <v>631</v>
      </c>
      <c r="G223" t="s">
        <v>631</v>
      </c>
      <c r="H223" t="s">
        <v>93</v>
      </c>
      <c r="I223" t="s">
        <v>983</v>
      </c>
      <c r="J223" t="s">
        <v>983</v>
      </c>
    </row>
    <row r="224" spans="1:10">
      <c r="A224" t="s">
        <v>665</v>
      </c>
      <c r="B224">
        <v>-212</v>
      </c>
      <c r="D224" t="s">
        <v>631</v>
      </c>
      <c r="E224" t="s">
        <v>631</v>
      </c>
      <c r="F224" t="s">
        <v>631</v>
      </c>
      <c r="G224" t="s">
        <v>631</v>
      </c>
      <c r="H224" t="s">
        <v>93</v>
      </c>
      <c r="I224" t="s">
        <v>984</v>
      </c>
      <c r="J224" t="s">
        <v>984</v>
      </c>
    </row>
    <row r="225" spans="1:10">
      <c r="A225" t="s">
        <v>665</v>
      </c>
      <c r="B225">
        <v>-213</v>
      </c>
      <c r="D225" t="s">
        <v>631</v>
      </c>
      <c r="E225" t="s">
        <v>631</v>
      </c>
      <c r="F225" t="s">
        <v>631</v>
      </c>
      <c r="G225" t="s">
        <v>631</v>
      </c>
      <c r="H225" t="s">
        <v>93</v>
      </c>
      <c r="I225" t="s">
        <v>985</v>
      </c>
      <c r="J225" t="s">
        <v>985</v>
      </c>
    </row>
    <row r="226" spans="1:10">
      <c r="A226" t="s">
        <v>665</v>
      </c>
      <c r="B226">
        <v>-214</v>
      </c>
      <c r="D226" t="s">
        <v>631</v>
      </c>
      <c r="E226" t="s">
        <v>631</v>
      </c>
      <c r="F226" t="s">
        <v>631</v>
      </c>
      <c r="G226" t="s">
        <v>631</v>
      </c>
      <c r="H226" t="s">
        <v>93</v>
      </c>
      <c r="I226" t="s">
        <v>986</v>
      </c>
      <c r="J226" t="s">
        <v>986</v>
      </c>
    </row>
    <row r="227" spans="1:10">
      <c r="A227" t="s">
        <v>665</v>
      </c>
      <c r="B227">
        <v>-215</v>
      </c>
      <c r="D227" t="s">
        <v>631</v>
      </c>
      <c r="E227" t="s">
        <v>631</v>
      </c>
      <c r="F227" t="s">
        <v>631</v>
      </c>
      <c r="G227" t="s">
        <v>631</v>
      </c>
      <c r="H227" t="s">
        <v>93</v>
      </c>
      <c r="I227" t="s">
        <v>987</v>
      </c>
      <c r="J227" t="s">
        <v>987</v>
      </c>
    </row>
    <row r="228" spans="1:10">
      <c r="A228" t="s">
        <v>665</v>
      </c>
      <c r="B228">
        <v>-216</v>
      </c>
      <c r="D228" t="s">
        <v>631</v>
      </c>
      <c r="E228" t="s">
        <v>631</v>
      </c>
      <c r="F228" t="s">
        <v>631</v>
      </c>
      <c r="G228" t="s">
        <v>631</v>
      </c>
      <c r="H228" t="s">
        <v>93</v>
      </c>
      <c r="I228" t="s">
        <v>988</v>
      </c>
      <c r="J228" t="s">
        <v>988</v>
      </c>
    </row>
    <row r="229" spans="1:10">
      <c r="A229" t="s">
        <v>665</v>
      </c>
      <c r="B229">
        <v>-217</v>
      </c>
      <c r="D229" t="s">
        <v>631</v>
      </c>
      <c r="E229" t="s">
        <v>631</v>
      </c>
      <c r="F229" t="s">
        <v>631</v>
      </c>
      <c r="G229" t="s">
        <v>631</v>
      </c>
      <c r="H229" t="s">
        <v>93</v>
      </c>
      <c r="I229" t="s">
        <v>989</v>
      </c>
      <c r="J229" t="s">
        <v>989</v>
      </c>
    </row>
    <row r="230" spans="1:10">
      <c r="A230" t="s">
        <v>665</v>
      </c>
      <c r="B230">
        <v>-218</v>
      </c>
      <c r="D230" t="s">
        <v>631</v>
      </c>
      <c r="E230" t="s">
        <v>631</v>
      </c>
      <c r="F230" t="s">
        <v>631</v>
      </c>
      <c r="G230" t="s">
        <v>631</v>
      </c>
      <c r="H230" t="s">
        <v>93</v>
      </c>
      <c r="I230" t="s">
        <v>990</v>
      </c>
      <c r="J230" t="s">
        <v>990</v>
      </c>
    </row>
    <row r="231" spans="1:10">
      <c r="A231" t="s">
        <v>665</v>
      </c>
      <c r="B231">
        <v>-219</v>
      </c>
      <c r="D231" t="s">
        <v>631</v>
      </c>
      <c r="E231" t="s">
        <v>631</v>
      </c>
      <c r="F231" t="s">
        <v>631</v>
      </c>
      <c r="G231" t="s">
        <v>631</v>
      </c>
      <c r="H231" t="s">
        <v>93</v>
      </c>
      <c r="I231" t="s">
        <v>991</v>
      </c>
      <c r="J231" t="s">
        <v>991</v>
      </c>
    </row>
    <row r="232" spans="1:10">
      <c r="A232" t="s">
        <v>665</v>
      </c>
      <c r="B232">
        <v>-220</v>
      </c>
      <c r="D232" t="s">
        <v>631</v>
      </c>
      <c r="E232" t="s">
        <v>631</v>
      </c>
      <c r="F232" t="s">
        <v>631</v>
      </c>
      <c r="G232" t="s">
        <v>631</v>
      </c>
      <c r="H232" t="s">
        <v>93</v>
      </c>
      <c r="I232" t="s">
        <v>992</v>
      </c>
      <c r="J232" t="s">
        <v>992</v>
      </c>
    </row>
    <row r="233" spans="1:10">
      <c r="A233" t="s">
        <v>665</v>
      </c>
      <c r="B233">
        <v>-221</v>
      </c>
      <c r="D233" t="s">
        <v>631</v>
      </c>
      <c r="E233" t="s">
        <v>631</v>
      </c>
      <c r="F233" t="s">
        <v>631</v>
      </c>
      <c r="G233" t="s">
        <v>631</v>
      </c>
      <c r="H233" t="s">
        <v>93</v>
      </c>
      <c r="I233" t="s">
        <v>993</v>
      </c>
      <c r="J233" t="s">
        <v>993</v>
      </c>
    </row>
    <row r="234" spans="1:10">
      <c r="A234" t="s">
        <v>665</v>
      </c>
      <c r="B234">
        <v>-222</v>
      </c>
      <c r="D234" t="s">
        <v>631</v>
      </c>
      <c r="E234" t="s">
        <v>631</v>
      </c>
      <c r="F234" t="s">
        <v>631</v>
      </c>
      <c r="G234" t="s">
        <v>631</v>
      </c>
      <c r="H234" t="s">
        <v>93</v>
      </c>
      <c r="I234" t="s">
        <v>994</v>
      </c>
      <c r="J234" t="s">
        <v>994</v>
      </c>
    </row>
    <row r="235" spans="1:10">
      <c r="A235" t="s">
        <v>665</v>
      </c>
      <c r="B235">
        <v>-223</v>
      </c>
      <c r="D235" t="s">
        <v>631</v>
      </c>
      <c r="E235" t="s">
        <v>631</v>
      </c>
      <c r="F235" t="s">
        <v>631</v>
      </c>
      <c r="G235" t="s">
        <v>631</v>
      </c>
      <c r="H235" t="s">
        <v>93</v>
      </c>
      <c r="I235" t="s">
        <v>995</v>
      </c>
      <c r="J235" t="s">
        <v>995</v>
      </c>
    </row>
    <row r="236" spans="1:10">
      <c r="A236" t="s">
        <v>665</v>
      </c>
      <c r="B236">
        <v>-224</v>
      </c>
      <c r="D236" t="s">
        <v>631</v>
      </c>
      <c r="E236" t="s">
        <v>631</v>
      </c>
      <c r="F236" t="s">
        <v>631</v>
      </c>
      <c r="G236" t="s">
        <v>631</v>
      </c>
      <c r="H236" t="s">
        <v>93</v>
      </c>
      <c r="I236" t="s">
        <v>996</v>
      </c>
      <c r="J236" t="s">
        <v>996</v>
      </c>
    </row>
    <row r="237" spans="1:10">
      <c r="A237" t="s">
        <v>665</v>
      </c>
      <c r="B237">
        <v>-225</v>
      </c>
      <c r="D237" t="s">
        <v>631</v>
      </c>
      <c r="E237" t="s">
        <v>631</v>
      </c>
      <c r="F237" t="s">
        <v>631</v>
      </c>
      <c r="G237" t="s">
        <v>631</v>
      </c>
      <c r="H237" t="s">
        <v>93</v>
      </c>
      <c r="I237" t="s">
        <v>997</v>
      </c>
      <c r="J237" t="s">
        <v>997</v>
      </c>
    </row>
    <row r="238" spans="1:10">
      <c r="A238" t="s">
        <v>665</v>
      </c>
      <c r="B238">
        <v>-226</v>
      </c>
      <c r="D238" t="s">
        <v>631</v>
      </c>
      <c r="E238" t="s">
        <v>631</v>
      </c>
      <c r="F238" t="s">
        <v>631</v>
      </c>
      <c r="G238" t="s">
        <v>631</v>
      </c>
      <c r="H238" t="s">
        <v>93</v>
      </c>
      <c r="I238" t="s">
        <v>998</v>
      </c>
      <c r="J238" t="s">
        <v>998</v>
      </c>
    </row>
    <row r="239" spans="1:10">
      <c r="A239" t="s">
        <v>665</v>
      </c>
      <c r="B239">
        <v>-227</v>
      </c>
      <c r="D239" t="s">
        <v>631</v>
      </c>
      <c r="E239" t="s">
        <v>631</v>
      </c>
      <c r="F239" t="s">
        <v>631</v>
      </c>
      <c r="G239" t="s">
        <v>631</v>
      </c>
      <c r="H239" t="s">
        <v>93</v>
      </c>
      <c r="I239" t="s">
        <v>999</v>
      </c>
      <c r="J239" t="s">
        <v>999</v>
      </c>
    </row>
    <row r="240" spans="1:10">
      <c r="A240" t="s">
        <v>665</v>
      </c>
      <c r="B240">
        <v>-228</v>
      </c>
      <c r="D240" t="s">
        <v>631</v>
      </c>
      <c r="E240" t="s">
        <v>631</v>
      </c>
      <c r="F240" t="s">
        <v>631</v>
      </c>
      <c r="G240" t="s">
        <v>631</v>
      </c>
      <c r="H240" t="s">
        <v>93</v>
      </c>
      <c r="I240" t="s">
        <v>1000</v>
      </c>
      <c r="J240" t="s">
        <v>1000</v>
      </c>
    </row>
    <row r="241" spans="1:10">
      <c r="A241" t="s">
        <v>665</v>
      </c>
      <c r="B241">
        <v>-229</v>
      </c>
      <c r="D241" t="s">
        <v>631</v>
      </c>
      <c r="E241" t="s">
        <v>631</v>
      </c>
      <c r="F241" t="s">
        <v>631</v>
      </c>
      <c r="G241" t="s">
        <v>631</v>
      </c>
      <c r="H241" t="s">
        <v>93</v>
      </c>
      <c r="I241" t="s">
        <v>1001</v>
      </c>
      <c r="J241" t="s">
        <v>1001</v>
      </c>
    </row>
    <row r="242" spans="1:10">
      <c r="A242" t="s">
        <v>665</v>
      </c>
      <c r="B242">
        <v>-230</v>
      </c>
      <c r="D242" t="s">
        <v>631</v>
      </c>
      <c r="E242" t="s">
        <v>631</v>
      </c>
      <c r="F242" t="s">
        <v>631</v>
      </c>
      <c r="G242" t="s">
        <v>631</v>
      </c>
      <c r="H242" t="s">
        <v>93</v>
      </c>
      <c r="I242" t="s">
        <v>1002</v>
      </c>
      <c r="J242" t="s">
        <v>1002</v>
      </c>
    </row>
    <row r="243" spans="1:10">
      <c r="A243" t="s">
        <v>665</v>
      </c>
      <c r="B243">
        <v>-231</v>
      </c>
      <c r="D243" t="s">
        <v>631</v>
      </c>
      <c r="E243" t="s">
        <v>631</v>
      </c>
      <c r="F243" t="s">
        <v>631</v>
      </c>
      <c r="G243" t="s">
        <v>631</v>
      </c>
      <c r="H243" t="s">
        <v>93</v>
      </c>
      <c r="I243" t="s">
        <v>1003</v>
      </c>
      <c r="J243" t="s">
        <v>1003</v>
      </c>
    </row>
    <row r="244" spans="1:10">
      <c r="A244" t="s">
        <v>665</v>
      </c>
      <c r="B244">
        <v>-232</v>
      </c>
      <c r="D244" t="s">
        <v>631</v>
      </c>
      <c r="E244" t="s">
        <v>631</v>
      </c>
      <c r="F244" t="s">
        <v>631</v>
      </c>
      <c r="G244" t="s">
        <v>631</v>
      </c>
      <c r="H244" t="s">
        <v>93</v>
      </c>
      <c r="I244" t="s">
        <v>1004</v>
      </c>
      <c r="J244" t="s">
        <v>1004</v>
      </c>
    </row>
    <row r="245" spans="1:10">
      <c r="A245" t="s">
        <v>665</v>
      </c>
      <c r="B245">
        <v>-233</v>
      </c>
      <c r="D245" t="s">
        <v>631</v>
      </c>
      <c r="E245" t="s">
        <v>631</v>
      </c>
      <c r="F245" t="s">
        <v>631</v>
      </c>
      <c r="G245" t="s">
        <v>631</v>
      </c>
      <c r="H245" t="s">
        <v>93</v>
      </c>
      <c r="I245" t="s">
        <v>1005</v>
      </c>
      <c r="J245" t="s">
        <v>1005</v>
      </c>
    </row>
    <row r="246" spans="1:10">
      <c r="A246" t="s">
        <v>665</v>
      </c>
      <c r="B246">
        <v>-234</v>
      </c>
      <c r="D246" t="s">
        <v>631</v>
      </c>
      <c r="E246" t="s">
        <v>631</v>
      </c>
      <c r="F246" t="s">
        <v>631</v>
      </c>
      <c r="G246" t="s">
        <v>631</v>
      </c>
      <c r="H246" t="s">
        <v>93</v>
      </c>
      <c r="I246" t="s">
        <v>1006</v>
      </c>
      <c r="J246" t="s">
        <v>1006</v>
      </c>
    </row>
    <row r="247" spans="1:10">
      <c r="A247" t="s">
        <v>665</v>
      </c>
      <c r="B247">
        <v>-235</v>
      </c>
      <c r="D247" t="s">
        <v>631</v>
      </c>
      <c r="E247" t="s">
        <v>631</v>
      </c>
      <c r="F247" t="s">
        <v>631</v>
      </c>
      <c r="G247" t="s">
        <v>631</v>
      </c>
      <c r="H247" t="s">
        <v>93</v>
      </c>
      <c r="I247" t="s">
        <v>1007</v>
      </c>
      <c r="J247" t="s">
        <v>1007</v>
      </c>
    </row>
    <row r="248" spans="1:10">
      <c r="A248" t="s">
        <v>665</v>
      </c>
      <c r="B248">
        <v>-236</v>
      </c>
      <c r="D248" t="s">
        <v>631</v>
      </c>
      <c r="E248" t="s">
        <v>631</v>
      </c>
      <c r="F248" t="s">
        <v>631</v>
      </c>
      <c r="G248" t="s">
        <v>631</v>
      </c>
      <c r="H248" t="s">
        <v>93</v>
      </c>
      <c r="I248" t="s">
        <v>1008</v>
      </c>
      <c r="J248" t="s">
        <v>1008</v>
      </c>
    </row>
    <row r="249" spans="1:10">
      <c r="A249" t="s">
        <v>665</v>
      </c>
      <c r="B249">
        <v>-237</v>
      </c>
      <c r="D249" t="s">
        <v>631</v>
      </c>
      <c r="E249" t="s">
        <v>631</v>
      </c>
      <c r="F249" t="s">
        <v>631</v>
      </c>
      <c r="G249" t="s">
        <v>631</v>
      </c>
      <c r="H249" t="s">
        <v>93</v>
      </c>
      <c r="I249" t="s">
        <v>1009</v>
      </c>
      <c r="J249" t="s">
        <v>1009</v>
      </c>
    </row>
    <row r="250" spans="1:10">
      <c r="A250" t="s">
        <v>665</v>
      </c>
      <c r="B250">
        <v>-238</v>
      </c>
      <c r="D250" t="s">
        <v>631</v>
      </c>
      <c r="E250" t="s">
        <v>631</v>
      </c>
      <c r="F250" t="s">
        <v>631</v>
      </c>
      <c r="G250" t="s">
        <v>631</v>
      </c>
      <c r="H250" t="s">
        <v>93</v>
      </c>
      <c r="I250" t="s">
        <v>1010</v>
      </c>
      <c r="J250" t="s">
        <v>1010</v>
      </c>
    </row>
    <row r="251" spans="1:10">
      <c r="A251" t="s">
        <v>665</v>
      </c>
      <c r="B251">
        <v>-239</v>
      </c>
      <c r="D251" t="s">
        <v>631</v>
      </c>
      <c r="E251" t="s">
        <v>631</v>
      </c>
      <c r="F251" t="s">
        <v>631</v>
      </c>
      <c r="G251" t="s">
        <v>631</v>
      </c>
      <c r="H251" t="s">
        <v>93</v>
      </c>
      <c r="I251" t="s">
        <v>1011</v>
      </c>
      <c r="J251" t="s">
        <v>1011</v>
      </c>
    </row>
    <row r="252" spans="1:10">
      <c r="A252" t="s">
        <v>665</v>
      </c>
      <c r="B252">
        <v>-240</v>
      </c>
      <c r="D252" t="s">
        <v>631</v>
      </c>
      <c r="E252" t="s">
        <v>631</v>
      </c>
      <c r="F252" t="s">
        <v>631</v>
      </c>
      <c r="G252" t="s">
        <v>631</v>
      </c>
      <c r="H252" t="s">
        <v>93</v>
      </c>
      <c r="I252" t="s">
        <v>1012</v>
      </c>
      <c r="J252" t="s">
        <v>1012</v>
      </c>
    </row>
    <row r="253" spans="1:10">
      <c r="A253" t="s">
        <v>665</v>
      </c>
      <c r="B253">
        <v>-241</v>
      </c>
      <c r="D253" t="s">
        <v>631</v>
      </c>
      <c r="E253" t="s">
        <v>631</v>
      </c>
      <c r="F253" t="s">
        <v>631</v>
      </c>
      <c r="G253" t="s">
        <v>631</v>
      </c>
      <c r="H253" t="s">
        <v>93</v>
      </c>
      <c r="I253" t="s">
        <v>1013</v>
      </c>
      <c r="J253" t="s">
        <v>1013</v>
      </c>
    </row>
    <row r="254" spans="1:10">
      <c r="A254" t="s">
        <v>665</v>
      </c>
      <c r="B254">
        <v>-242</v>
      </c>
      <c r="D254" t="s">
        <v>631</v>
      </c>
      <c r="E254" t="s">
        <v>631</v>
      </c>
      <c r="F254" t="s">
        <v>631</v>
      </c>
      <c r="G254" t="s">
        <v>631</v>
      </c>
      <c r="H254" t="s">
        <v>93</v>
      </c>
      <c r="I254" t="s">
        <v>1014</v>
      </c>
      <c r="J254" t="s">
        <v>1014</v>
      </c>
    </row>
    <row r="255" spans="1:10">
      <c r="A255" t="s">
        <v>665</v>
      </c>
      <c r="B255">
        <v>-243</v>
      </c>
      <c r="D255" t="s">
        <v>631</v>
      </c>
      <c r="E255" t="s">
        <v>631</v>
      </c>
      <c r="F255" t="s">
        <v>631</v>
      </c>
      <c r="G255" t="s">
        <v>631</v>
      </c>
      <c r="H255" t="s">
        <v>93</v>
      </c>
      <c r="I255" t="s">
        <v>1015</v>
      </c>
      <c r="J255" t="s">
        <v>1015</v>
      </c>
    </row>
    <row r="256" spans="1:10">
      <c r="A256" t="s">
        <v>665</v>
      </c>
      <c r="B256">
        <v>-244</v>
      </c>
      <c r="D256" t="s">
        <v>631</v>
      </c>
      <c r="E256" t="s">
        <v>631</v>
      </c>
      <c r="F256" t="s">
        <v>631</v>
      </c>
      <c r="G256" t="s">
        <v>631</v>
      </c>
      <c r="H256" t="s">
        <v>93</v>
      </c>
      <c r="I256" t="s">
        <v>1016</v>
      </c>
      <c r="J256" t="s">
        <v>1016</v>
      </c>
    </row>
    <row r="257" spans="1:10">
      <c r="A257" t="s">
        <v>665</v>
      </c>
      <c r="B257">
        <v>-245</v>
      </c>
      <c r="D257" t="s">
        <v>631</v>
      </c>
      <c r="E257" t="s">
        <v>631</v>
      </c>
      <c r="F257" t="s">
        <v>631</v>
      </c>
      <c r="G257" t="s">
        <v>631</v>
      </c>
      <c r="H257" t="s">
        <v>93</v>
      </c>
      <c r="I257" t="s">
        <v>1017</v>
      </c>
      <c r="J257" t="s">
        <v>1017</v>
      </c>
    </row>
    <row r="258" spans="1:10">
      <c r="A258" t="s">
        <v>665</v>
      </c>
      <c r="B258">
        <v>-246</v>
      </c>
      <c r="D258" t="s">
        <v>631</v>
      </c>
      <c r="E258" t="s">
        <v>631</v>
      </c>
      <c r="F258" t="s">
        <v>631</v>
      </c>
      <c r="G258" t="s">
        <v>631</v>
      </c>
      <c r="H258" t="s">
        <v>93</v>
      </c>
      <c r="I258" t="s">
        <v>1018</v>
      </c>
      <c r="J258" t="s">
        <v>1018</v>
      </c>
    </row>
    <row r="259" spans="1:10">
      <c r="A259" t="s">
        <v>665</v>
      </c>
      <c r="B259">
        <v>-247</v>
      </c>
      <c r="D259" t="s">
        <v>631</v>
      </c>
      <c r="E259" t="s">
        <v>631</v>
      </c>
      <c r="F259" t="s">
        <v>631</v>
      </c>
      <c r="G259" t="s">
        <v>631</v>
      </c>
      <c r="H259" t="s">
        <v>93</v>
      </c>
      <c r="I259" t="s">
        <v>1019</v>
      </c>
      <c r="J259" t="s">
        <v>1019</v>
      </c>
    </row>
    <row r="260" spans="1:10">
      <c r="A260" t="s">
        <v>665</v>
      </c>
      <c r="B260">
        <v>-248</v>
      </c>
      <c r="D260" t="s">
        <v>631</v>
      </c>
      <c r="E260" t="s">
        <v>631</v>
      </c>
      <c r="F260" t="s">
        <v>631</v>
      </c>
      <c r="G260" t="s">
        <v>631</v>
      </c>
      <c r="H260" t="s">
        <v>93</v>
      </c>
      <c r="I260" t="s">
        <v>1020</v>
      </c>
      <c r="J260" t="s">
        <v>1020</v>
      </c>
    </row>
    <row r="261" spans="1:10">
      <c r="A261" t="s">
        <v>665</v>
      </c>
      <c r="B261">
        <v>-249</v>
      </c>
      <c r="D261" t="s">
        <v>631</v>
      </c>
      <c r="E261" t="s">
        <v>631</v>
      </c>
      <c r="F261" t="s">
        <v>631</v>
      </c>
      <c r="G261" t="s">
        <v>631</v>
      </c>
      <c r="H261" t="s">
        <v>93</v>
      </c>
      <c r="I261" t="s">
        <v>1021</v>
      </c>
      <c r="J261" t="s">
        <v>1021</v>
      </c>
    </row>
    <row r="262" spans="1:10">
      <c r="A262" t="s">
        <v>665</v>
      </c>
      <c r="B262">
        <v>-250</v>
      </c>
      <c r="D262" t="s">
        <v>631</v>
      </c>
      <c r="E262" t="s">
        <v>631</v>
      </c>
      <c r="F262" t="s">
        <v>631</v>
      </c>
      <c r="G262" t="s">
        <v>631</v>
      </c>
      <c r="H262" t="s">
        <v>93</v>
      </c>
      <c r="I262" t="s">
        <v>1022</v>
      </c>
      <c r="J262" t="s">
        <v>1022</v>
      </c>
    </row>
    <row r="263" spans="1:10">
      <c r="A263" t="s">
        <v>665</v>
      </c>
      <c r="B263">
        <v>-251</v>
      </c>
      <c r="D263" t="s">
        <v>631</v>
      </c>
      <c r="E263" t="s">
        <v>631</v>
      </c>
      <c r="F263" t="s">
        <v>631</v>
      </c>
      <c r="G263" t="s">
        <v>631</v>
      </c>
      <c r="H263" t="s">
        <v>93</v>
      </c>
      <c r="I263" t="s">
        <v>1023</v>
      </c>
      <c r="J263" t="s">
        <v>1023</v>
      </c>
    </row>
    <row r="264" spans="1:10">
      <c r="A264" t="s">
        <v>665</v>
      </c>
      <c r="B264">
        <v>-252</v>
      </c>
      <c r="D264" t="s">
        <v>631</v>
      </c>
      <c r="E264" t="s">
        <v>631</v>
      </c>
      <c r="F264" t="s">
        <v>631</v>
      </c>
      <c r="G264" t="s">
        <v>631</v>
      </c>
      <c r="H264" t="s">
        <v>93</v>
      </c>
      <c r="I264" t="s">
        <v>1024</v>
      </c>
      <c r="J264" t="s">
        <v>1024</v>
      </c>
    </row>
    <row r="265" spans="1:10">
      <c r="A265" t="s">
        <v>665</v>
      </c>
      <c r="B265">
        <v>-253</v>
      </c>
      <c r="D265" t="s">
        <v>631</v>
      </c>
      <c r="E265" t="s">
        <v>631</v>
      </c>
      <c r="F265" t="s">
        <v>631</v>
      </c>
      <c r="G265" t="s">
        <v>631</v>
      </c>
      <c r="H265" t="s">
        <v>93</v>
      </c>
      <c r="I265" t="s">
        <v>1025</v>
      </c>
      <c r="J265" t="s">
        <v>1025</v>
      </c>
    </row>
    <row r="266" spans="1:10">
      <c r="A266" t="s">
        <v>665</v>
      </c>
      <c r="B266">
        <v>-254</v>
      </c>
      <c r="D266" t="s">
        <v>631</v>
      </c>
      <c r="E266" t="s">
        <v>631</v>
      </c>
      <c r="F266" t="s">
        <v>631</v>
      </c>
      <c r="G266" t="s">
        <v>631</v>
      </c>
      <c r="H266" t="s">
        <v>93</v>
      </c>
      <c r="I266" t="s">
        <v>1026</v>
      </c>
      <c r="J266" t="s">
        <v>1026</v>
      </c>
    </row>
    <row r="267" spans="1:10">
      <c r="A267" t="s">
        <v>665</v>
      </c>
      <c r="B267">
        <v>-255</v>
      </c>
      <c r="D267" t="s">
        <v>631</v>
      </c>
      <c r="E267" t="s">
        <v>631</v>
      </c>
      <c r="F267" t="s">
        <v>631</v>
      </c>
      <c r="G267" t="s">
        <v>631</v>
      </c>
      <c r="H267" t="s">
        <v>93</v>
      </c>
      <c r="I267" t="s">
        <v>1027</v>
      </c>
      <c r="J267" t="s">
        <v>1027</v>
      </c>
    </row>
    <row r="268" spans="1:10">
      <c r="A268" t="s">
        <v>665</v>
      </c>
      <c r="B268">
        <v>-256</v>
      </c>
      <c r="D268" t="s">
        <v>631</v>
      </c>
      <c r="E268" t="s">
        <v>631</v>
      </c>
      <c r="F268" t="s">
        <v>631</v>
      </c>
      <c r="G268" t="s">
        <v>631</v>
      </c>
      <c r="H268" t="s">
        <v>93</v>
      </c>
      <c r="I268" t="s">
        <v>1028</v>
      </c>
      <c r="J268" t="s">
        <v>1028</v>
      </c>
    </row>
    <row r="269" spans="1:10">
      <c r="A269" t="s">
        <v>665</v>
      </c>
      <c r="B269">
        <v>-257</v>
      </c>
      <c r="D269" t="s">
        <v>631</v>
      </c>
      <c r="E269" t="s">
        <v>631</v>
      </c>
      <c r="F269" t="s">
        <v>631</v>
      </c>
      <c r="G269" t="s">
        <v>631</v>
      </c>
      <c r="H269" t="s">
        <v>93</v>
      </c>
      <c r="I269" t="s">
        <v>1029</v>
      </c>
      <c r="J269" t="s">
        <v>1029</v>
      </c>
    </row>
    <row r="270" spans="1:10">
      <c r="A270" t="s">
        <v>665</v>
      </c>
      <c r="B270">
        <v>-258</v>
      </c>
      <c r="D270" t="s">
        <v>631</v>
      </c>
      <c r="E270" t="s">
        <v>631</v>
      </c>
      <c r="F270" t="s">
        <v>631</v>
      </c>
      <c r="G270" t="s">
        <v>631</v>
      </c>
      <c r="H270" t="s">
        <v>93</v>
      </c>
      <c r="I270" t="s">
        <v>1030</v>
      </c>
      <c r="J270" t="s">
        <v>1030</v>
      </c>
    </row>
    <row r="271" spans="1:10">
      <c r="A271" t="s">
        <v>665</v>
      </c>
      <c r="B271">
        <v>-259</v>
      </c>
      <c r="D271" t="s">
        <v>631</v>
      </c>
      <c r="E271" t="s">
        <v>631</v>
      </c>
      <c r="F271" t="s">
        <v>631</v>
      </c>
      <c r="G271" t="s">
        <v>631</v>
      </c>
      <c r="H271" t="s">
        <v>93</v>
      </c>
      <c r="I271" t="s">
        <v>1031</v>
      </c>
      <c r="J271" t="s">
        <v>1031</v>
      </c>
    </row>
    <row r="272" spans="1:10">
      <c r="A272" t="s">
        <v>665</v>
      </c>
      <c r="B272">
        <v>-260</v>
      </c>
      <c r="D272" t="s">
        <v>631</v>
      </c>
      <c r="E272" t="s">
        <v>631</v>
      </c>
      <c r="F272" t="s">
        <v>631</v>
      </c>
      <c r="G272" t="s">
        <v>631</v>
      </c>
      <c r="H272" t="s">
        <v>93</v>
      </c>
      <c r="I272" t="s">
        <v>1032</v>
      </c>
      <c r="J272" t="s">
        <v>1032</v>
      </c>
    </row>
    <row r="273" spans="1:10">
      <c r="A273" t="s">
        <v>665</v>
      </c>
      <c r="B273">
        <v>-268</v>
      </c>
      <c r="F273" t="s">
        <v>631</v>
      </c>
      <c r="G273" t="s">
        <v>631</v>
      </c>
      <c r="H273" t="s">
        <v>93</v>
      </c>
      <c r="I273" t="s">
        <v>1033</v>
      </c>
      <c r="J273" t="s">
        <v>1033</v>
      </c>
    </row>
    <row r="274" spans="1:10">
      <c r="A274" t="s">
        <v>665</v>
      </c>
      <c r="B274">
        <v>-269</v>
      </c>
      <c r="F274" t="s">
        <v>631</v>
      </c>
      <c r="G274" t="s">
        <v>631</v>
      </c>
      <c r="H274" t="s">
        <v>93</v>
      </c>
      <c r="I274" t="s">
        <v>1034</v>
      </c>
      <c r="J274" t="s">
        <v>1034</v>
      </c>
    </row>
    <row r="275" spans="1:10">
      <c r="A275" t="s">
        <v>665</v>
      </c>
      <c r="B275">
        <v>-270</v>
      </c>
      <c r="F275" t="s">
        <v>631</v>
      </c>
      <c r="G275" t="s">
        <v>631</v>
      </c>
      <c r="H275" t="s">
        <v>93</v>
      </c>
      <c r="I275" t="s">
        <v>1035</v>
      </c>
      <c r="J275" t="s">
        <v>1035</v>
      </c>
    </row>
    <row r="276" spans="1:10">
      <c r="A276" t="s">
        <v>665</v>
      </c>
      <c r="B276">
        <v>-271</v>
      </c>
      <c r="F276" t="s">
        <v>631</v>
      </c>
      <c r="G276" t="s">
        <v>631</v>
      </c>
      <c r="H276" t="s">
        <v>93</v>
      </c>
      <c r="I276" t="s">
        <v>1036</v>
      </c>
      <c r="J276" t="s">
        <v>1036</v>
      </c>
    </row>
    <row r="277" spans="1:10">
      <c r="A277" t="s">
        <v>665</v>
      </c>
      <c r="B277">
        <v>-272</v>
      </c>
      <c r="F277" t="s">
        <v>631</v>
      </c>
      <c r="G277" t="s">
        <v>631</v>
      </c>
      <c r="H277" t="s">
        <v>93</v>
      </c>
      <c r="I277" t="s">
        <v>1037</v>
      </c>
      <c r="J277" t="s">
        <v>1037</v>
      </c>
    </row>
    <row r="278" spans="1:10">
      <c r="A278" t="s">
        <v>665</v>
      </c>
      <c r="B278">
        <v>-273</v>
      </c>
      <c r="F278" t="s">
        <v>631</v>
      </c>
      <c r="G278" t="s">
        <v>631</v>
      </c>
      <c r="H278" t="s">
        <v>93</v>
      </c>
      <c r="I278" t="s">
        <v>1038</v>
      </c>
      <c r="J278" t="s">
        <v>1038</v>
      </c>
    </row>
    <row r="279" spans="1:10">
      <c r="A279" t="s">
        <v>665</v>
      </c>
      <c r="B279">
        <v>-274</v>
      </c>
      <c r="F279" t="s">
        <v>631</v>
      </c>
      <c r="G279" t="s">
        <v>631</v>
      </c>
      <c r="H279" t="s">
        <v>93</v>
      </c>
      <c r="I279" t="s">
        <v>1039</v>
      </c>
      <c r="J279" t="s">
        <v>1039</v>
      </c>
    </row>
    <row r="280" spans="1:10">
      <c r="A280" t="s">
        <v>665</v>
      </c>
      <c r="B280">
        <v>-275</v>
      </c>
      <c r="F280" t="s">
        <v>631</v>
      </c>
      <c r="G280" t="s">
        <v>631</v>
      </c>
      <c r="H280" t="s">
        <v>93</v>
      </c>
      <c r="I280" t="s">
        <v>1040</v>
      </c>
      <c r="J280" t="s">
        <v>1040</v>
      </c>
    </row>
    <row r="281" spans="1:10">
      <c r="A281" t="s">
        <v>665</v>
      </c>
      <c r="B281">
        <v>-276</v>
      </c>
      <c r="F281" t="s">
        <v>631</v>
      </c>
      <c r="G281" t="s">
        <v>631</v>
      </c>
      <c r="H281" t="s">
        <v>93</v>
      </c>
      <c r="I281" t="s">
        <v>1041</v>
      </c>
      <c r="J281" t="s">
        <v>1041</v>
      </c>
    </row>
    <row r="282" spans="1:10">
      <c r="A282" t="s">
        <v>665</v>
      </c>
      <c r="B282">
        <v>-277</v>
      </c>
      <c r="F282" t="s">
        <v>631</v>
      </c>
      <c r="G282" t="s">
        <v>631</v>
      </c>
      <c r="H282" t="s">
        <v>93</v>
      </c>
      <c r="I282" t="s">
        <v>1042</v>
      </c>
      <c r="J282" t="s">
        <v>1042</v>
      </c>
    </row>
    <row r="283" spans="1:10">
      <c r="A283" t="s">
        <v>665</v>
      </c>
      <c r="B283">
        <v>-278</v>
      </c>
      <c r="F283" t="s">
        <v>631</v>
      </c>
      <c r="G283" t="s">
        <v>631</v>
      </c>
      <c r="H283" t="s">
        <v>93</v>
      </c>
      <c r="I283" t="s">
        <v>1043</v>
      </c>
      <c r="J283" t="s">
        <v>1043</v>
      </c>
    </row>
    <row r="284" spans="1:10">
      <c r="A284" t="s">
        <v>665</v>
      </c>
      <c r="B284">
        <v>-279</v>
      </c>
      <c r="F284" t="s">
        <v>631</v>
      </c>
      <c r="G284" t="s">
        <v>631</v>
      </c>
      <c r="H284" t="s">
        <v>93</v>
      </c>
      <c r="I284" t="s">
        <v>1044</v>
      </c>
      <c r="J284" t="s">
        <v>1044</v>
      </c>
    </row>
    <row r="285" spans="1:10">
      <c r="A285" t="s">
        <v>665</v>
      </c>
      <c r="B285">
        <v>-280</v>
      </c>
      <c r="F285" t="s">
        <v>631</v>
      </c>
      <c r="G285" t="s">
        <v>631</v>
      </c>
      <c r="H285" t="s">
        <v>93</v>
      </c>
      <c r="I285" t="s">
        <v>1045</v>
      </c>
      <c r="J285" t="s">
        <v>1045</v>
      </c>
    </row>
    <row r="286" spans="1:10">
      <c r="A286" t="s">
        <v>665</v>
      </c>
      <c r="B286">
        <v>-281</v>
      </c>
      <c r="F286" t="s">
        <v>631</v>
      </c>
      <c r="G286" t="s">
        <v>631</v>
      </c>
      <c r="H286" t="s">
        <v>93</v>
      </c>
      <c r="I286" t="s">
        <v>1046</v>
      </c>
      <c r="J286" t="s">
        <v>1046</v>
      </c>
    </row>
    <row r="287" spans="1:10">
      <c r="A287" t="s">
        <v>665</v>
      </c>
      <c r="B287">
        <v>-282</v>
      </c>
      <c r="F287" t="s">
        <v>631</v>
      </c>
      <c r="G287" t="s">
        <v>631</v>
      </c>
      <c r="H287" t="s">
        <v>93</v>
      </c>
      <c r="I287" t="s">
        <v>1047</v>
      </c>
      <c r="J287" t="s">
        <v>1047</v>
      </c>
    </row>
    <row r="288" spans="1:10">
      <c r="A288" t="s">
        <v>665</v>
      </c>
      <c r="B288">
        <v>-283</v>
      </c>
      <c r="F288" t="s">
        <v>631</v>
      </c>
      <c r="G288" t="s">
        <v>631</v>
      </c>
      <c r="H288" t="s">
        <v>93</v>
      </c>
      <c r="I288" t="s">
        <v>1048</v>
      </c>
      <c r="J288" t="s">
        <v>1048</v>
      </c>
    </row>
    <row r="289" spans="1:10">
      <c r="A289" t="s">
        <v>665</v>
      </c>
      <c r="B289">
        <v>-284</v>
      </c>
      <c r="F289" t="s">
        <v>631</v>
      </c>
      <c r="G289" t="s">
        <v>631</v>
      </c>
      <c r="H289" t="s">
        <v>93</v>
      </c>
      <c r="I289" t="s">
        <v>1049</v>
      </c>
      <c r="J289" t="s">
        <v>1049</v>
      </c>
    </row>
    <row r="290" spans="1:10">
      <c r="A290" t="s">
        <v>665</v>
      </c>
      <c r="B290">
        <v>-285</v>
      </c>
      <c r="F290" t="s">
        <v>631</v>
      </c>
      <c r="G290" t="s">
        <v>631</v>
      </c>
      <c r="H290" t="s">
        <v>93</v>
      </c>
      <c r="I290" t="s">
        <v>1050</v>
      </c>
      <c r="J290" t="s">
        <v>1050</v>
      </c>
    </row>
    <row r="291" spans="1:10">
      <c r="A291" t="s">
        <v>665</v>
      </c>
      <c r="B291">
        <v>-286</v>
      </c>
      <c r="F291" t="s">
        <v>631</v>
      </c>
      <c r="G291" t="s">
        <v>631</v>
      </c>
      <c r="H291" t="s">
        <v>93</v>
      </c>
      <c r="I291" t="s">
        <v>1051</v>
      </c>
      <c r="J291" t="s">
        <v>1051</v>
      </c>
    </row>
    <row r="292" spans="1:10">
      <c r="A292" t="s">
        <v>665</v>
      </c>
      <c r="B292">
        <v>-287</v>
      </c>
      <c r="F292" t="s">
        <v>631</v>
      </c>
      <c r="G292" t="s">
        <v>631</v>
      </c>
      <c r="H292" t="s">
        <v>93</v>
      </c>
      <c r="I292" t="s">
        <v>1052</v>
      </c>
      <c r="J292" t="s">
        <v>1052</v>
      </c>
    </row>
    <row r="293" spans="1:10">
      <c r="A293" t="s">
        <v>665</v>
      </c>
      <c r="B293">
        <v>-288</v>
      </c>
      <c r="F293" t="s">
        <v>631</v>
      </c>
      <c r="G293" t="s">
        <v>631</v>
      </c>
      <c r="H293" t="s">
        <v>93</v>
      </c>
      <c r="I293" t="s">
        <v>1053</v>
      </c>
      <c r="J293" t="s">
        <v>1053</v>
      </c>
    </row>
    <row r="294" spans="1:10">
      <c r="A294" t="s">
        <v>665</v>
      </c>
      <c r="B294">
        <v>-289</v>
      </c>
      <c r="F294" t="s">
        <v>631</v>
      </c>
      <c r="G294" t="s">
        <v>631</v>
      </c>
      <c r="H294" t="s">
        <v>93</v>
      </c>
      <c r="I294" t="s">
        <v>1054</v>
      </c>
      <c r="J294" t="s">
        <v>1054</v>
      </c>
    </row>
    <row r="295" spans="1:10">
      <c r="A295" t="s">
        <v>665</v>
      </c>
      <c r="B295">
        <v>-290</v>
      </c>
      <c r="F295" t="s">
        <v>631</v>
      </c>
      <c r="G295" t="s">
        <v>631</v>
      </c>
      <c r="H295" t="s">
        <v>93</v>
      </c>
      <c r="I295" t="s">
        <v>1055</v>
      </c>
      <c r="J295" t="s">
        <v>1055</v>
      </c>
    </row>
    <row r="296" spans="1:10">
      <c r="A296" t="s">
        <v>665</v>
      </c>
      <c r="B296">
        <v>-291</v>
      </c>
      <c r="F296" t="s">
        <v>631</v>
      </c>
      <c r="G296" t="s">
        <v>631</v>
      </c>
      <c r="H296" t="s">
        <v>93</v>
      </c>
      <c r="I296" t="s">
        <v>1056</v>
      </c>
      <c r="J296" t="s">
        <v>1056</v>
      </c>
    </row>
    <row r="297" spans="1:10">
      <c r="A297" t="s">
        <v>665</v>
      </c>
      <c r="B297">
        <v>-292</v>
      </c>
      <c r="F297" t="s">
        <v>631</v>
      </c>
      <c r="G297" t="s">
        <v>631</v>
      </c>
      <c r="H297" t="s">
        <v>93</v>
      </c>
      <c r="I297" t="s">
        <v>1057</v>
      </c>
      <c r="J297" t="s">
        <v>1057</v>
      </c>
    </row>
    <row r="298" spans="1:10">
      <c r="A298" t="s">
        <v>665</v>
      </c>
      <c r="B298">
        <v>-293</v>
      </c>
      <c r="F298" t="s">
        <v>631</v>
      </c>
      <c r="G298" t="s">
        <v>631</v>
      </c>
      <c r="H298" t="s">
        <v>93</v>
      </c>
      <c r="I298" t="s">
        <v>1058</v>
      </c>
      <c r="J298" t="s">
        <v>1058</v>
      </c>
    </row>
    <row r="299" spans="1:10">
      <c r="A299" t="s">
        <v>665</v>
      </c>
      <c r="B299">
        <v>-294</v>
      </c>
      <c r="F299" t="s">
        <v>631</v>
      </c>
      <c r="G299" t="s">
        <v>631</v>
      </c>
      <c r="H299" t="s">
        <v>93</v>
      </c>
      <c r="I299" t="s">
        <v>1059</v>
      </c>
      <c r="J299" t="s">
        <v>1059</v>
      </c>
    </row>
    <row r="300" spans="1:10">
      <c r="A300" t="s">
        <v>665</v>
      </c>
      <c r="B300">
        <v>-295</v>
      </c>
      <c r="F300" t="s">
        <v>631</v>
      </c>
      <c r="G300" t="s">
        <v>631</v>
      </c>
      <c r="H300" t="s">
        <v>93</v>
      </c>
      <c r="I300" t="s">
        <v>1060</v>
      </c>
      <c r="J300" t="s">
        <v>1060</v>
      </c>
    </row>
    <row r="301" spans="1:10">
      <c r="A301" t="s">
        <v>665</v>
      </c>
      <c r="B301">
        <v>-296</v>
      </c>
      <c r="F301" t="s">
        <v>631</v>
      </c>
      <c r="G301" t="s">
        <v>631</v>
      </c>
      <c r="H301" t="s">
        <v>93</v>
      </c>
      <c r="I301" t="s">
        <v>1061</v>
      </c>
      <c r="J301" t="s">
        <v>1061</v>
      </c>
    </row>
    <row r="302" spans="1:10">
      <c r="A302" t="s">
        <v>665</v>
      </c>
      <c r="B302">
        <v>-297</v>
      </c>
      <c r="F302" t="s">
        <v>631</v>
      </c>
      <c r="G302" t="s">
        <v>631</v>
      </c>
      <c r="H302" t="s">
        <v>93</v>
      </c>
      <c r="I302" t="s">
        <v>1062</v>
      </c>
      <c r="J302" t="s">
        <v>1062</v>
      </c>
    </row>
    <row r="303" spans="1:10">
      <c r="A303" t="s">
        <v>665</v>
      </c>
      <c r="B303">
        <v>-298</v>
      </c>
      <c r="F303" t="s">
        <v>631</v>
      </c>
      <c r="G303" t="s">
        <v>631</v>
      </c>
      <c r="H303" t="s">
        <v>93</v>
      </c>
      <c r="I303" t="s">
        <v>1063</v>
      </c>
      <c r="J303" t="s">
        <v>1063</v>
      </c>
    </row>
    <row r="304" spans="1:10">
      <c r="A304" t="s">
        <v>665</v>
      </c>
      <c r="B304">
        <v>-299</v>
      </c>
      <c r="F304" t="s">
        <v>631</v>
      </c>
      <c r="G304" t="s">
        <v>631</v>
      </c>
      <c r="H304" t="s">
        <v>93</v>
      </c>
      <c r="I304" t="s">
        <v>1064</v>
      </c>
      <c r="J304" t="s">
        <v>1064</v>
      </c>
    </row>
    <row r="305" spans="1:10">
      <c r="A305" t="s">
        <v>665</v>
      </c>
      <c r="B305">
        <v>-300</v>
      </c>
      <c r="F305" t="s">
        <v>631</v>
      </c>
      <c r="G305" t="s">
        <v>631</v>
      </c>
      <c r="H305" t="s">
        <v>93</v>
      </c>
      <c r="I305" t="s">
        <v>1065</v>
      </c>
      <c r="J305" t="s">
        <v>1065</v>
      </c>
    </row>
    <row r="306" spans="1:10">
      <c r="A306" t="s">
        <v>665</v>
      </c>
      <c r="B306">
        <v>-301</v>
      </c>
      <c r="F306" t="s">
        <v>631</v>
      </c>
      <c r="G306" t="s">
        <v>631</v>
      </c>
      <c r="H306" t="s">
        <v>93</v>
      </c>
      <c r="I306" t="s">
        <v>1066</v>
      </c>
      <c r="J306" t="s">
        <v>1066</v>
      </c>
    </row>
    <row r="307" spans="1:10">
      <c r="A307" t="s">
        <v>665</v>
      </c>
      <c r="B307">
        <v>-302</v>
      </c>
      <c r="F307" t="s">
        <v>631</v>
      </c>
      <c r="G307" t="s">
        <v>631</v>
      </c>
      <c r="H307" t="s">
        <v>93</v>
      </c>
      <c r="I307" t="s">
        <v>1067</v>
      </c>
      <c r="J307" t="s">
        <v>1067</v>
      </c>
    </row>
    <row r="308" spans="1:10">
      <c r="A308" t="s">
        <v>665</v>
      </c>
      <c r="B308">
        <v>-303</v>
      </c>
      <c r="F308" t="s">
        <v>631</v>
      </c>
      <c r="G308" t="s">
        <v>631</v>
      </c>
      <c r="H308" t="s">
        <v>93</v>
      </c>
      <c r="I308" t="s">
        <v>1068</v>
      </c>
      <c r="J308" t="s">
        <v>1068</v>
      </c>
    </row>
    <row r="309" spans="1:10">
      <c r="A309" t="s">
        <v>665</v>
      </c>
      <c r="B309">
        <v>-304</v>
      </c>
      <c r="F309" t="s">
        <v>631</v>
      </c>
      <c r="G309" t="s">
        <v>631</v>
      </c>
      <c r="H309" t="s">
        <v>93</v>
      </c>
      <c r="I309" t="s">
        <v>1069</v>
      </c>
      <c r="J309" t="s">
        <v>1069</v>
      </c>
    </row>
    <row r="310" spans="1:10">
      <c r="A310" t="s">
        <v>665</v>
      </c>
      <c r="B310">
        <v>-305</v>
      </c>
      <c r="F310" t="s">
        <v>631</v>
      </c>
      <c r="G310" t="s">
        <v>631</v>
      </c>
      <c r="H310" t="s">
        <v>93</v>
      </c>
      <c r="I310" t="s">
        <v>1070</v>
      </c>
      <c r="J310" t="s">
        <v>1070</v>
      </c>
    </row>
    <row r="311" spans="1:10">
      <c r="A311" t="s">
        <v>665</v>
      </c>
      <c r="B311">
        <v>-306</v>
      </c>
      <c r="F311" t="s">
        <v>631</v>
      </c>
      <c r="G311" t="s">
        <v>631</v>
      </c>
      <c r="H311" t="s">
        <v>93</v>
      </c>
      <c r="I311" t="s">
        <v>1071</v>
      </c>
      <c r="J311" t="s">
        <v>1071</v>
      </c>
    </row>
    <row r="312" spans="1:10">
      <c r="A312" t="s">
        <v>665</v>
      </c>
      <c r="B312">
        <v>-307</v>
      </c>
      <c r="F312" t="s">
        <v>631</v>
      </c>
      <c r="G312" t="s">
        <v>631</v>
      </c>
      <c r="H312" t="s">
        <v>93</v>
      </c>
      <c r="I312" t="s">
        <v>1072</v>
      </c>
      <c r="J312" t="s">
        <v>1072</v>
      </c>
    </row>
    <row r="313" spans="1:10">
      <c r="A313" t="s">
        <v>665</v>
      </c>
      <c r="B313">
        <v>-308</v>
      </c>
      <c r="F313" t="s">
        <v>631</v>
      </c>
      <c r="G313" t="s">
        <v>631</v>
      </c>
      <c r="H313" t="s">
        <v>93</v>
      </c>
      <c r="I313" t="s">
        <v>1073</v>
      </c>
      <c r="J313" t="s">
        <v>1073</v>
      </c>
    </row>
    <row r="314" spans="1:10">
      <c r="A314" t="s">
        <v>665</v>
      </c>
      <c r="B314">
        <v>-309</v>
      </c>
      <c r="F314" t="s">
        <v>631</v>
      </c>
      <c r="G314" t="s">
        <v>631</v>
      </c>
      <c r="H314" t="s">
        <v>93</v>
      </c>
      <c r="I314" t="s">
        <v>1074</v>
      </c>
      <c r="J314" t="s">
        <v>1074</v>
      </c>
    </row>
    <row r="315" spans="1:10">
      <c r="A315" t="s">
        <v>665</v>
      </c>
      <c r="B315">
        <v>-310</v>
      </c>
      <c r="F315" t="s">
        <v>631</v>
      </c>
      <c r="G315" t="s">
        <v>631</v>
      </c>
      <c r="H315" t="s">
        <v>93</v>
      </c>
      <c r="I315" t="s">
        <v>1075</v>
      </c>
      <c r="J315" t="s">
        <v>1075</v>
      </c>
    </row>
    <row r="316" spans="1:10">
      <c r="A316" t="s">
        <v>665</v>
      </c>
      <c r="B316">
        <v>-311</v>
      </c>
      <c r="F316" t="s">
        <v>631</v>
      </c>
      <c r="G316" t="s">
        <v>631</v>
      </c>
      <c r="H316" t="s">
        <v>93</v>
      </c>
      <c r="I316" t="s">
        <v>1076</v>
      </c>
      <c r="J316" t="s">
        <v>1076</v>
      </c>
    </row>
    <row r="317" spans="1:10">
      <c r="A317" t="s">
        <v>665</v>
      </c>
      <c r="B317">
        <v>-312</v>
      </c>
      <c r="F317" t="s">
        <v>631</v>
      </c>
      <c r="G317" t="s">
        <v>631</v>
      </c>
      <c r="H317" t="s">
        <v>93</v>
      </c>
      <c r="I317" t="s">
        <v>1077</v>
      </c>
      <c r="J317" t="s">
        <v>1077</v>
      </c>
    </row>
    <row r="318" spans="1:10">
      <c r="A318" t="s">
        <v>665</v>
      </c>
      <c r="B318">
        <v>-313</v>
      </c>
      <c r="F318" t="s">
        <v>631</v>
      </c>
      <c r="G318" t="s">
        <v>631</v>
      </c>
      <c r="H318" t="s">
        <v>93</v>
      </c>
      <c r="I318" t="s">
        <v>1078</v>
      </c>
      <c r="J318" t="s">
        <v>1078</v>
      </c>
    </row>
    <row r="319" spans="1:10">
      <c r="A319" t="s">
        <v>665</v>
      </c>
      <c r="B319">
        <v>-314</v>
      </c>
      <c r="F319" t="s">
        <v>631</v>
      </c>
      <c r="G319" t="s">
        <v>631</v>
      </c>
      <c r="H319" t="s">
        <v>93</v>
      </c>
      <c r="I319" t="s">
        <v>1079</v>
      </c>
      <c r="J319" t="s">
        <v>1079</v>
      </c>
    </row>
    <row r="320" spans="1:10">
      <c r="A320" t="s">
        <v>665</v>
      </c>
      <c r="B320">
        <v>-315</v>
      </c>
      <c r="F320" t="s">
        <v>631</v>
      </c>
      <c r="G320" t="s">
        <v>631</v>
      </c>
      <c r="H320" t="s">
        <v>93</v>
      </c>
      <c r="I320" t="s">
        <v>1080</v>
      </c>
      <c r="J320" t="s">
        <v>1080</v>
      </c>
    </row>
    <row r="321" spans="1:10">
      <c r="A321" t="s">
        <v>665</v>
      </c>
      <c r="B321">
        <v>-316</v>
      </c>
      <c r="F321" t="s">
        <v>631</v>
      </c>
      <c r="G321" t="s">
        <v>631</v>
      </c>
      <c r="H321" t="s">
        <v>93</v>
      </c>
      <c r="I321" t="s">
        <v>1081</v>
      </c>
      <c r="J321" t="s">
        <v>1081</v>
      </c>
    </row>
    <row r="322" spans="1:10">
      <c r="A322" t="s">
        <v>665</v>
      </c>
      <c r="B322">
        <v>-317</v>
      </c>
      <c r="F322" t="s">
        <v>631</v>
      </c>
      <c r="G322" t="s">
        <v>631</v>
      </c>
      <c r="H322" t="s">
        <v>93</v>
      </c>
      <c r="I322" t="s">
        <v>1082</v>
      </c>
      <c r="J322" t="s">
        <v>1082</v>
      </c>
    </row>
    <row r="323" spans="1:10">
      <c r="A323" t="s">
        <v>665</v>
      </c>
      <c r="B323">
        <v>-318</v>
      </c>
      <c r="F323" t="s">
        <v>631</v>
      </c>
      <c r="G323" t="s">
        <v>631</v>
      </c>
      <c r="H323" t="s">
        <v>93</v>
      </c>
      <c r="I323" t="s">
        <v>1083</v>
      </c>
      <c r="J323" t="s">
        <v>1083</v>
      </c>
    </row>
    <row r="324" spans="1:10">
      <c r="A324" t="s">
        <v>665</v>
      </c>
      <c r="B324">
        <v>-319</v>
      </c>
      <c r="F324" t="s">
        <v>631</v>
      </c>
      <c r="G324" t="s">
        <v>631</v>
      </c>
      <c r="H324" t="s">
        <v>93</v>
      </c>
      <c r="I324" t="s">
        <v>1084</v>
      </c>
      <c r="J324" t="s">
        <v>1084</v>
      </c>
    </row>
    <row r="325" spans="1:10">
      <c r="A325" t="s">
        <v>665</v>
      </c>
      <c r="B325">
        <v>-320</v>
      </c>
      <c r="F325" t="s">
        <v>631</v>
      </c>
      <c r="G325" t="s">
        <v>631</v>
      </c>
      <c r="H325" t="s">
        <v>93</v>
      </c>
      <c r="I325" t="s">
        <v>1085</v>
      </c>
      <c r="J325" t="s">
        <v>1085</v>
      </c>
    </row>
    <row r="326" spans="1:10">
      <c r="A326" t="s">
        <v>665</v>
      </c>
      <c r="B326">
        <v>-321</v>
      </c>
      <c r="F326" t="s">
        <v>631</v>
      </c>
      <c r="G326" t="s">
        <v>631</v>
      </c>
      <c r="H326" t="s">
        <v>93</v>
      </c>
      <c r="I326" t="s">
        <v>1086</v>
      </c>
      <c r="J326" t="s">
        <v>1086</v>
      </c>
    </row>
    <row r="327" spans="1:10">
      <c r="A327" t="s">
        <v>665</v>
      </c>
      <c r="B327">
        <v>-322</v>
      </c>
      <c r="F327" t="s">
        <v>631</v>
      </c>
      <c r="G327" t="s">
        <v>631</v>
      </c>
      <c r="H327" t="s">
        <v>93</v>
      </c>
      <c r="I327" t="s">
        <v>1087</v>
      </c>
      <c r="J327" t="s">
        <v>1087</v>
      </c>
    </row>
    <row r="328" spans="1:10">
      <c r="A328" t="s">
        <v>665</v>
      </c>
      <c r="B328">
        <v>-323</v>
      </c>
      <c r="F328" t="s">
        <v>631</v>
      </c>
      <c r="G328" t="s">
        <v>631</v>
      </c>
      <c r="H328" t="s">
        <v>93</v>
      </c>
      <c r="I328" t="s">
        <v>1088</v>
      </c>
      <c r="J328" t="s">
        <v>1088</v>
      </c>
    </row>
    <row r="329" spans="1:10">
      <c r="A329" t="s">
        <v>665</v>
      </c>
      <c r="B329">
        <v>-324</v>
      </c>
      <c r="F329" t="s">
        <v>631</v>
      </c>
      <c r="G329" t="s">
        <v>631</v>
      </c>
      <c r="H329" t="s">
        <v>93</v>
      </c>
      <c r="I329" t="s">
        <v>1089</v>
      </c>
      <c r="J329" t="s">
        <v>1089</v>
      </c>
    </row>
    <row r="330" spans="1:10">
      <c r="A330" t="s">
        <v>665</v>
      </c>
      <c r="B330">
        <v>-325</v>
      </c>
      <c r="F330" t="s">
        <v>631</v>
      </c>
      <c r="G330" t="s">
        <v>631</v>
      </c>
      <c r="H330" t="s">
        <v>93</v>
      </c>
      <c r="I330" t="s">
        <v>1090</v>
      </c>
      <c r="J330" t="s">
        <v>1090</v>
      </c>
    </row>
    <row r="331" spans="1:10">
      <c r="A331" t="s">
        <v>665</v>
      </c>
      <c r="B331">
        <v>-326</v>
      </c>
      <c r="F331" t="s">
        <v>631</v>
      </c>
      <c r="G331" t="s">
        <v>631</v>
      </c>
      <c r="H331" t="s">
        <v>93</v>
      </c>
      <c r="I331" t="s">
        <v>1091</v>
      </c>
      <c r="J331" t="s">
        <v>1091</v>
      </c>
    </row>
    <row r="332" spans="1:10">
      <c r="A332" t="s">
        <v>665</v>
      </c>
      <c r="B332">
        <v>-327</v>
      </c>
      <c r="F332" t="s">
        <v>631</v>
      </c>
      <c r="G332" t="s">
        <v>631</v>
      </c>
      <c r="H332" t="s">
        <v>93</v>
      </c>
      <c r="I332" t="s">
        <v>1092</v>
      </c>
      <c r="J332" t="s">
        <v>1092</v>
      </c>
    </row>
    <row r="333" spans="1:10">
      <c r="A333" t="s">
        <v>665</v>
      </c>
      <c r="B333">
        <v>-328</v>
      </c>
      <c r="F333" t="s">
        <v>631</v>
      </c>
      <c r="G333" t="s">
        <v>631</v>
      </c>
      <c r="H333" t="s">
        <v>93</v>
      </c>
      <c r="I333" t="s">
        <v>1093</v>
      </c>
      <c r="J333" t="s">
        <v>1093</v>
      </c>
    </row>
    <row r="334" spans="1:10">
      <c r="A334" t="s">
        <v>665</v>
      </c>
      <c r="B334">
        <v>-329</v>
      </c>
      <c r="F334" t="s">
        <v>631</v>
      </c>
      <c r="G334" t="s">
        <v>631</v>
      </c>
      <c r="H334" t="s">
        <v>93</v>
      </c>
      <c r="I334" t="s">
        <v>1094</v>
      </c>
      <c r="J334" t="s">
        <v>1094</v>
      </c>
    </row>
    <row r="335" spans="1:10">
      <c r="A335" t="s">
        <v>665</v>
      </c>
      <c r="B335">
        <v>-330</v>
      </c>
      <c r="F335" t="s">
        <v>631</v>
      </c>
      <c r="G335" t="s">
        <v>631</v>
      </c>
      <c r="H335" t="s">
        <v>93</v>
      </c>
      <c r="I335" t="s">
        <v>1095</v>
      </c>
      <c r="J335" t="s">
        <v>1095</v>
      </c>
    </row>
    <row r="336" spans="1:10">
      <c r="A336" t="s">
        <v>665</v>
      </c>
      <c r="B336">
        <v>-331</v>
      </c>
      <c r="F336" t="s">
        <v>631</v>
      </c>
      <c r="G336" t="s">
        <v>631</v>
      </c>
      <c r="H336" t="s">
        <v>93</v>
      </c>
      <c r="I336" t="s">
        <v>1096</v>
      </c>
      <c r="J336" t="s">
        <v>1096</v>
      </c>
    </row>
    <row r="337" spans="1:10">
      <c r="A337" t="s">
        <v>665</v>
      </c>
      <c r="B337">
        <v>-332</v>
      </c>
      <c r="F337" t="s">
        <v>631</v>
      </c>
      <c r="G337" t="s">
        <v>631</v>
      </c>
      <c r="H337" t="s">
        <v>93</v>
      </c>
      <c r="I337" t="s">
        <v>1097</v>
      </c>
      <c r="J337" t="s">
        <v>1097</v>
      </c>
    </row>
    <row r="338" spans="1:10">
      <c r="A338" t="s">
        <v>665</v>
      </c>
      <c r="B338">
        <v>-333</v>
      </c>
      <c r="F338" t="s">
        <v>631</v>
      </c>
      <c r="G338" t="s">
        <v>631</v>
      </c>
      <c r="H338" t="s">
        <v>93</v>
      </c>
      <c r="I338" t="s">
        <v>1098</v>
      </c>
      <c r="J338" t="s">
        <v>1098</v>
      </c>
    </row>
    <row r="339" spans="1:10">
      <c r="A339" t="s">
        <v>665</v>
      </c>
      <c r="B339">
        <v>-334</v>
      </c>
      <c r="F339" t="s">
        <v>631</v>
      </c>
      <c r="G339" t="s">
        <v>631</v>
      </c>
      <c r="H339" t="s">
        <v>93</v>
      </c>
      <c r="I339" t="s">
        <v>1099</v>
      </c>
      <c r="J339" t="s">
        <v>1099</v>
      </c>
    </row>
    <row r="340" spans="1:10">
      <c r="A340" t="s">
        <v>665</v>
      </c>
      <c r="B340">
        <v>-335</v>
      </c>
      <c r="F340" t="s">
        <v>631</v>
      </c>
      <c r="G340" t="s">
        <v>631</v>
      </c>
      <c r="H340" t="s">
        <v>93</v>
      </c>
      <c r="I340" t="s">
        <v>1100</v>
      </c>
      <c r="J340" t="s">
        <v>1100</v>
      </c>
    </row>
    <row r="341" spans="1:10">
      <c r="A341" t="s">
        <v>665</v>
      </c>
      <c r="B341">
        <v>-336</v>
      </c>
      <c r="F341" t="s">
        <v>631</v>
      </c>
      <c r="G341" t="s">
        <v>631</v>
      </c>
      <c r="H341" t="s">
        <v>93</v>
      </c>
      <c r="I341" t="s">
        <v>1101</v>
      </c>
      <c r="J341" t="s">
        <v>1101</v>
      </c>
    </row>
    <row r="342" spans="1:10">
      <c r="A342" t="s">
        <v>665</v>
      </c>
      <c r="B342">
        <v>-337</v>
      </c>
      <c r="F342" t="s">
        <v>631</v>
      </c>
      <c r="G342" t="s">
        <v>631</v>
      </c>
      <c r="H342" t="s">
        <v>93</v>
      </c>
      <c r="I342" t="s">
        <v>1102</v>
      </c>
      <c r="J342" t="s">
        <v>1102</v>
      </c>
    </row>
    <row r="343" spans="1:10">
      <c r="A343" t="s">
        <v>665</v>
      </c>
      <c r="B343">
        <v>-338</v>
      </c>
      <c r="F343" t="s">
        <v>631</v>
      </c>
      <c r="G343" t="s">
        <v>631</v>
      </c>
      <c r="H343" t="s">
        <v>93</v>
      </c>
      <c r="I343" t="s">
        <v>1103</v>
      </c>
      <c r="J343" t="s">
        <v>1103</v>
      </c>
    </row>
    <row r="344" spans="1:10">
      <c r="A344" t="s">
        <v>665</v>
      </c>
      <c r="B344">
        <v>-339</v>
      </c>
      <c r="F344" t="s">
        <v>631</v>
      </c>
      <c r="G344" t="s">
        <v>631</v>
      </c>
      <c r="H344" t="s">
        <v>93</v>
      </c>
      <c r="I344" t="s">
        <v>1104</v>
      </c>
      <c r="J344" t="s">
        <v>1104</v>
      </c>
    </row>
    <row r="345" spans="1:10">
      <c r="A345" t="s">
        <v>665</v>
      </c>
      <c r="B345">
        <v>-340</v>
      </c>
      <c r="F345" t="s">
        <v>631</v>
      </c>
      <c r="G345" t="s">
        <v>631</v>
      </c>
      <c r="H345" t="s">
        <v>93</v>
      </c>
      <c r="I345" t="s">
        <v>1105</v>
      </c>
      <c r="J345" t="s">
        <v>1105</v>
      </c>
    </row>
    <row r="346" spans="1:10">
      <c r="A346" t="s">
        <v>665</v>
      </c>
      <c r="B346">
        <v>-341</v>
      </c>
      <c r="F346" t="s">
        <v>631</v>
      </c>
      <c r="G346" t="s">
        <v>631</v>
      </c>
      <c r="H346" t="s">
        <v>93</v>
      </c>
      <c r="I346" t="s">
        <v>1106</v>
      </c>
      <c r="J346" t="s">
        <v>1106</v>
      </c>
    </row>
    <row r="347" spans="1:10">
      <c r="A347" t="s">
        <v>665</v>
      </c>
      <c r="B347">
        <v>-342</v>
      </c>
      <c r="F347" t="s">
        <v>631</v>
      </c>
      <c r="G347" t="s">
        <v>631</v>
      </c>
      <c r="H347" t="s">
        <v>93</v>
      </c>
      <c r="I347" t="s">
        <v>1107</v>
      </c>
      <c r="J347" t="s">
        <v>1107</v>
      </c>
    </row>
    <row r="348" spans="1:10">
      <c r="A348" t="s">
        <v>665</v>
      </c>
      <c r="B348">
        <v>-343</v>
      </c>
      <c r="F348" t="s">
        <v>631</v>
      </c>
      <c r="G348" t="s">
        <v>631</v>
      </c>
      <c r="H348" t="s">
        <v>93</v>
      </c>
      <c r="I348" t="s">
        <v>1108</v>
      </c>
      <c r="J348" t="s">
        <v>1108</v>
      </c>
    </row>
    <row r="349" spans="1:10">
      <c r="A349" t="s">
        <v>665</v>
      </c>
      <c r="B349">
        <v>-344</v>
      </c>
      <c r="F349" t="s">
        <v>631</v>
      </c>
      <c r="G349" t="s">
        <v>631</v>
      </c>
      <c r="H349" t="s">
        <v>93</v>
      </c>
      <c r="I349" t="s">
        <v>1109</v>
      </c>
      <c r="J349" t="s">
        <v>1109</v>
      </c>
    </row>
    <row r="350" spans="1:10">
      <c r="A350" t="s">
        <v>665</v>
      </c>
      <c r="B350">
        <v>-345</v>
      </c>
      <c r="F350" t="s">
        <v>631</v>
      </c>
      <c r="G350" t="s">
        <v>631</v>
      </c>
      <c r="H350" t="s">
        <v>93</v>
      </c>
      <c r="I350" t="s">
        <v>1110</v>
      </c>
      <c r="J350" t="s">
        <v>1110</v>
      </c>
    </row>
    <row r="351" spans="1:10">
      <c r="A351" t="s">
        <v>665</v>
      </c>
      <c r="B351">
        <v>-346</v>
      </c>
      <c r="F351" t="s">
        <v>631</v>
      </c>
      <c r="G351" t="s">
        <v>631</v>
      </c>
      <c r="H351" t="s">
        <v>93</v>
      </c>
      <c r="I351" t="s">
        <v>1111</v>
      </c>
      <c r="J351" t="s">
        <v>1111</v>
      </c>
    </row>
    <row r="352" spans="1:10">
      <c r="A352" t="s">
        <v>665</v>
      </c>
      <c r="B352">
        <v>-347</v>
      </c>
      <c r="F352" t="s">
        <v>631</v>
      </c>
      <c r="G352" t="s">
        <v>631</v>
      </c>
      <c r="H352" t="s">
        <v>93</v>
      </c>
      <c r="I352" t="s">
        <v>1112</v>
      </c>
      <c r="J352" t="s">
        <v>1112</v>
      </c>
    </row>
    <row r="353" spans="1:10">
      <c r="A353" t="s">
        <v>665</v>
      </c>
      <c r="B353">
        <v>-348</v>
      </c>
      <c r="F353" t="s">
        <v>631</v>
      </c>
      <c r="G353" t="s">
        <v>631</v>
      </c>
      <c r="H353" t="s">
        <v>93</v>
      </c>
      <c r="I353" t="s">
        <v>1113</v>
      </c>
      <c r="J353" t="s">
        <v>1113</v>
      </c>
    </row>
    <row r="354" spans="1:10">
      <c r="A354" t="s">
        <v>665</v>
      </c>
      <c r="B354">
        <v>-349</v>
      </c>
      <c r="F354" t="s">
        <v>631</v>
      </c>
      <c r="G354" t="s">
        <v>631</v>
      </c>
      <c r="H354" t="s">
        <v>93</v>
      </c>
      <c r="I354" t="s">
        <v>1114</v>
      </c>
      <c r="J354" t="s">
        <v>1114</v>
      </c>
    </row>
    <row r="355" spans="1:10">
      <c r="A355" t="s">
        <v>665</v>
      </c>
      <c r="B355">
        <v>-350</v>
      </c>
      <c r="F355" t="s">
        <v>631</v>
      </c>
      <c r="G355" t="s">
        <v>631</v>
      </c>
      <c r="H355" t="s">
        <v>93</v>
      </c>
      <c r="I355" t="s">
        <v>1115</v>
      </c>
      <c r="J355" t="s">
        <v>1115</v>
      </c>
    </row>
    <row r="356" spans="1:10">
      <c r="A356" t="s">
        <v>665</v>
      </c>
      <c r="B356">
        <v>-351</v>
      </c>
      <c r="F356" t="s">
        <v>631</v>
      </c>
      <c r="G356" t="s">
        <v>631</v>
      </c>
      <c r="H356" t="s">
        <v>93</v>
      </c>
      <c r="I356" t="s">
        <v>1116</v>
      </c>
      <c r="J356" t="s">
        <v>1116</v>
      </c>
    </row>
    <row r="357" spans="1:10">
      <c r="A357" t="s">
        <v>665</v>
      </c>
      <c r="B357">
        <v>-352</v>
      </c>
      <c r="F357" t="s">
        <v>631</v>
      </c>
      <c r="G357" t="s">
        <v>631</v>
      </c>
      <c r="H357" t="s">
        <v>93</v>
      </c>
      <c r="I357" t="s">
        <v>1117</v>
      </c>
      <c r="J357" t="s">
        <v>1117</v>
      </c>
    </row>
    <row r="358" spans="1:10">
      <c r="A358" t="s">
        <v>665</v>
      </c>
      <c r="B358">
        <v>-353</v>
      </c>
      <c r="F358" t="s">
        <v>631</v>
      </c>
      <c r="G358" t="s">
        <v>631</v>
      </c>
      <c r="H358" t="s">
        <v>93</v>
      </c>
      <c r="I358" t="s">
        <v>1118</v>
      </c>
      <c r="J358" t="s">
        <v>1118</v>
      </c>
    </row>
    <row r="359" spans="1:10">
      <c r="A359" t="s">
        <v>665</v>
      </c>
      <c r="B359">
        <v>-354</v>
      </c>
      <c r="F359" t="s">
        <v>631</v>
      </c>
      <c r="G359" t="s">
        <v>631</v>
      </c>
      <c r="H359" t="s">
        <v>93</v>
      </c>
      <c r="I359" t="s">
        <v>1119</v>
      </c>
      <c r="J359" t="s">
        <v>1119</v>
      </c>
    </row>
    <row r="360" spans="1:10">
      <c r="A360" t="s">
        <v>665</v>
      </c>
      <c r="B360">
        <v>-355</v>
      </c>
      <c r="F360" t="s">
        <v>631</v>
      </c>
      <c r="G360" t="s">
        <v>631</v>
      </c>
      <c r="H360" t="s">
        <v>93</v>
      </c>
      <c r="I360" t="s">
        <v>1120</v>
      </c>
      <c r="J360" t="s">
        <v>1120</v>
      </c>
    </row>
    <row r="361" spans="1:10">
      <c r="A361" t="s">
        <v>665</v>
      </c>
      <c r="B361">
        <v>-356</v>
      </c>
      <c r="F361" t="s">
        <v>631</v>
      </c>
      <c r="G361" t="s">
        <v>631</v>
      </c>
      <c r="H361" t="s">
        <v>93</v>
      </c>
      <c r="I361" t="s">
        <v>1121</v>
      </c>
      <c r="J361" t="s">
        <v>1121</v>
      </c>
    </row>
    <row r="362" spans="1:10">
      <c r="A362" t="s">
        <v>665</v>
      </c>
      <c r="B362">
        <v>-357</v>
      </c>
      <c r="F362" t="s">
        <v>631</v>
      </c>
      <c r="G362" t="s">
        <v>631</v>
      </c>
      <c r="H362" t="s">
        <v>93</v>
      </c>
      <c r="I362" t="s">
        <v>1122</v>
      </c>
      <c r="J362" t="s">
        <v>1122</v>
      </c>
    </row>
    <row r="363" spans="1:10">
      <c r="A363" t="s">
        <v>665</v>
      </c>
      <c r="B363">
        <v>-358</v>
      </c>
      <c r="F363" t="s">
        <v>631</v>
      </c>
      <c r="G363" t="s">
        <v>631</v>
      </c>
      <c r="H363" t="s">
        <v>93</v>
      </c>
      <c r="I363" t="s">
        <v>1123</v>
      </c>
      <c r="J363" t="s">
        <v>1123</v>
      </c>
    </row>
    <row r="364" spans="1:10">
      <c r="A364" t="s">
        <v>665</v>
      </c>
      <c r="B364">
        <v>-359</v>
      </c>
      <c r="F364" t="s">
        <v>631</v>
      </c>
      <c r="G364" t="s">
        <v>631</v>
      </c>
      <c r="H364" t="s">
        <v>93</v>
      </c>
      <c r="I364" t="s">
        <v>1124</v>
      </c>
      <c r="J364" t="s">
        <v>1124</v>
      </c>
    </row>
    <row r="365" spans="1:10">
      <c r="A365" t="s">
        <v>665</v>
      </c>
      <c r="B365">
        <v>-360</v>
      </c>
      <c r="F365" t="s">
        <v>631</v>
      </c>
      <c r="G365" t="s">
        <v>631</v>
      </c>
      <c r="H365" t="s">
        <v>93</v>
      </c>
      <c r="I365" t="s">
        <v>1125</v>
      </c>
      <c r="J365" t="s">
        <v>1125</v>
      </c>
    </row>
    <row r="366" spans="1:10">
      <c r="A366" t="s">
        <v>665</v>
      </c>
      <c r="B366">
        <v>-361</v>
      </c>
      <c r="F366" t="s">
        <v>631</v>
      </c>
      <c r="G366" t="s">
        <v>631</v>
      </c>
      <c r="H366" t="s">
        <v>93</v>
      </c>
      <c r="I366" t="s">
        <v>1126</v>
      </c>
      <c r="J366" t="s">
        <v>1126</v>
      </c>
    </row>
    <row r="367" spans="1:10">
      <c r="A367" t="s">
        <v>665</v>
      </c>
      <c r="B367">
        <v>-362</v>
      </c>
      <c r="F367" t="s">
        <v>631</v>
      </c>
      <c r="G367" t="s">
        <v>631</v>
      </c>
      <c r="H367" t="s">
        <v>93</v>
      </c>
      <c r="I367" t="s">
        <v>1127</v>
      </c>
      <c r="J367" t="s">
        <v>1127</v>
      </c>
    </row>
    <row r="368" spans="1:10">
      <c r="A368" t="s">
        <v>665</v>
      </c>
      <c r="B368">
        <v>-363</v>
      </c>
      <c r="F368" t="s">
        <v>631</v>
      </c>
      <c r="G368" t="s">
        <v>631</v>
      </c>
      <c r="H368" t="s">
        <v>93</v>
      </c>
      <c r="I368" t="s">
        <v>1128</v>
      </c>
      <c r="J368" t="s">
        <v>1128</v>
      </c>
    </row>
    <row r="369" spans="1:10">
      <c r="A369" t="s">
        <v>665</v>
      </c>
      <c r="B369">
        <v>-364</v>
      </c>
      <c r="F369" t="s">
        <v>631</v>
      </c>
      <c r="G369" t="s">
        <v>631</v>
      </c>
      <c r="H369" t="s">
        <v>93</v>
      </c>
      <c r="I369" t="s">
        <v>1129</v>
      </c>
      <c r="J369" t="s">
        <v>1129</v>
      </c>
    </row>
    <row r="370" spans="1:10">
      <c r="A370" t="s">
        <v>665</v>
      </c>
      <c r="B370">
        <v>-365</v>
      </c>
      <c r="F370" t="s">
        <v>631</v>
      </c>
      <c r="G370" t="s">
        <v>631</v>
      </c>
      <c r="H370" t="s">
        <v>93</v>
      </c>
      <c r="I370" t="s">
        <v>1130</v>
      </c>
      <c r="J370" t="s">
        <v>1130</v>
      </c>
    </row>
    <row r="371" spans="1:10">
      <c r="A371" t="s">
        <v>665</v>
      </c>
      <c r="B371">
        <v>-366</v>
      </c>
      <c r="F371" t="s">
        <v>631</v>
      </c>
      <c r="G371" t="s">
        <v>631</v>
      </c>
      <c r="H371" t="s">
        <v>93</v>
      </c>
      <c r="I371" t="s">
        <v>1131</v>
      </c>
      <c r="J371" t="s">
        <v>1131</v>
      </c>
    </row>
    <row r="372" spans="1:10">
      <c r="A372" t="s">
        <v>665</v>
      </c>
      <c r="B372">
        <v>-367</v>
      </c>
      <c r="F372" t="s">
        <v>631</v>
      </c>
      <c r="G372" t="s">
        <v>631</v>
      </c>
      <c r="H372" t="s">
        <v>93</v>
      </c>
      <c r="I372" t="s">
        <v>1132</v>
      </c>
      <c r="J372" t="s">
        <v>1132</v>
      </c>
    </row>
    <row r="373" spans="1:10">
      <c r="A373" t="s">
        <v>665</v>
      </c>
      <c r="B373">
        <v>-368</v>
      </c>
      <c r="F373" t="s">
        <v>631</v>
      </c>
      <c r="G373" t="s">
        <v>631</v>
      </c>
      <c r="H373" t="s">
        <v>93</v>
      </c>
      <c r="I373" t="s">
        <v>1133</v>
      </c>
      <c r="J373" t="s">
        <v>1133</v>
      </c>
    </row>
    <row r="374" spans="1:10">
      <c r="A374" t="s">
        <v>665</v>
      </c>
      <c r="B374">
        <v>-369</v>
      </c>
      <c r="F374" t="s">
        <v>631</v>
      </c>
      <c r="G374" t="s">
        <v>631</v>
      </c>
      <c r="H374" t="s">
        <v>93</v>
      </c>
      <c r="I374" t="s">
        <v>1134</v>
      </c>
      <c r="J374" t="s">
        <v>1134</v>
      </c>
    </row>
    <row r="375" spans="1:10">
      <c r="A375" t="s">
        <v>665</v>
      </c>
      <c r="B375">
        <v>-370</v>
      </c>
      <c r="F375" t="s">
        <v>631</v>
      </c>
      <c r="G375" t="s">
        <v>631</v>
      </c>
      <c r="H375" t="s">
        <v>93</v>
      </c>
      <c r="I375" t="s">
        <v>1135</v>
      </c>
      <c r="J375" t="s">
        <v>1135</v>
      </c>
    </row>
    <row r="376" spans="1:10">
      <c r="A376" t="s">
        <v>665</v>
      </c>
      <c r="B376">
        <v>-371</v>
      </c>
      <c r="F376" t="s">
        <v>631</v>
      </c>
      <c r="G376" t="s">
        <v>631</v>
      </c>
      <c r="H376" t="s">
        <v>93</v>
      </c>
      <c r="I376" t="s">
        <v>1136</v>
      </c>
      <c r="J376" t="s">
        <v>1136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4E40-339F-4541-A538-E6CE6A614868}">
  <dimension ref="A1:M129"/>
  <sheetViews>
    <sheetView showGridLines="0" workbookViewId="0">
      <selection activeCell="H83" sqref="H83"/>
    </sheetView>
  </sheetViews>
  <sheetFormatPr baseColWidth="10" defaultRowHeight="16"/>
  <cols>
    <col min="1" max="1" width="12.33203125" bestFit="1" customWidth="1"/>
    <col min="2" max="2" width="11.1640625" bestFit="1" customWidth="1"/>
    <col min="3" max="3" width="11.1640625" customWidth="1"/>
    <col min="4" max="7" width="11" customWidth="1"/>
    <col min="8" max="8" width="86.83203125" bestFit="1" customWidth="1"/>
  </cols>
  <sheetData>
    <row r="1" spans="1:13">
      <c r="A1" t="s">
        <v>344</v>
      </c>
      <c r="B1" t="s">
        <v>101</v>
      </c>
      <c r="C1" t="s">
        <v>316</v>
      </c>
      <c r="D1" t="s">
        <v>345</v>
      </c>
      <c r="E1" t="s">
        <v>346</v>
      </c>
      <c r="F1" t="s">
        <v>347</v>
      </c>
      <c r="G1" t="s">
        <v>4</v>
      </c>
      <c r="H1" t="s">
        <v>613</v>
      </c>
      <c r="I1" t="s">
        <v>348</v>
      </c>
      <c r="J1" t="s">
        <v>349</v>
      </c>
      <c r="K1" t="s">
        <v>99</v>
      </c>
      <c r="L1" t="s">
        <v>1143</v>
      </c>
      <c r="M1" t="s">
        <v>3177</v>
      </c>
    </row>
    <row r="2" spans="1:13">
      <c r="A2" s="1" t="str">
        <f>"&lt;"&amp;Table2[[#This Row],[Column2]]&amp;"&gt;"</f>
        <v>&lt;frame&gt;</v>
      </c>
      <c r="B2" t="s">
        <v>545</v>
      </c>
      <c r="G2" t="s">
        <v>185</v>
      </c>
      <c r="H2" t="s">
        <v>186</v>
      </c>
    </row>
    <row r="3" spans="1:13">
      <c r="A3" s="1" t="str">
        <f>"&lt;"&amp;Table2[[#This Row],[Column2]]&amp;"&gt;"</f>
        <v>&lt;frameset&gt;</v>
      </c>
      <c r="B3" t="s">
        <v>546</v>
      </c>
      <c r="G3" t="s">
        <v>185</v>
      </c>
      <c r="H3" t="s">
        <v>187</v>
      </c>
    </row>
    <row r="4" spans="1:13">
      <c r="A4" s="1" t="str">
        <f>"&lt;"&amp;Table2[[#This Row],[Column2]]&amp;"&gt;"</f>
        <v>&lt;noframes&gt;</v>
      </c>
      <c r="B4" t="s">
        <v>564</v>
      </c>
      <c r="G4" t="s">
        <v>185</v>
      </c>
      <c r="H4" t="s">
        <v>228</v>
      </c>
    </row>
    <row r="5" spans="1:13">
      <c r="A5" s="1" t="str">
        <f>"&lt;"&amp;Table2[[#This Row],[Column2]]&amp;"&gt;"</f>
        <v>&lt;acronym&gt;</v>
      </c>
      <c r="B5" t="s">
        <v>365</v>
      </c>
      <c r="D5" t="s">
        <v>323</v>
      </c>
      <c r="E5" t="s">
        <v>366</v>
      </c>
      <c r="F5" t="s">
        <v>367</v>
      </c>
      <c r="G5" t="s">
        <v>521</v>
      </c>
      <c r="H5" t="s">
        <v>108</v>
      </c>
      <c r="I5" t="s">
        <v>368</v>
      </c>
      <c r="J5" t="s">
        <v>369</v>
      </c>
    </row>
    <row r="6" spans="1:13">
      <c r="A6" s="1" t="str">
        <f>"&lt;"&amp;Table2[[#This Row],[Column2]]&amp;"&gt;"</f>
        <v>&lt;basefont&gt;</v>
      </c>
      <c r="B6" t="s">
        <v>399</v>
      </c>
      <c r="D6" t="s">
        <v>335</v>
      </c>
      <c r="E6" t="s">
        <v>366</v>
      </c>
      <c r="F6" t="s">
        <v>400</v>
      </c>
      <c r="G6" t="s">
        <v>124</v>
      </c>
      <c r="H6" t="s">
        <v>125</v>
      </c>
      <c r="I6" t="s">
        <v>368</v>
      </c>
      <c r="J6" t="s">
        <v>401</v>
      </c>
    </row>
    <row r="7" spans="1:13">
      <c r="A7" s="1" t="str">
        <f>"&lt;"&amp;Table2[[#This Row],[Column2]]&amp;"&gt;"</f>
        <v>&lt;big&gt;</v>
      </c>
      <c r="B7" t="s">
        <v>526</v>
      </c>
      <c r="G7" t="s">
        <v>124</v>
      </c>
      <c r="H7" t="s">
        <v>130</v>
      </c>
    </row>
    <row r="8" spans="1:13">
      <c r="A8" s="1" t="str">
        <f>"&lt;"&amp;Table2[[#This Row],[Column2]]&amp;"&gt;"</f>
        <v>&lt;center&gt;</v>
      </c>
      <c r="B8" t="s">
        <v>425</v>
      </c>
      <c r="D8" t="s">
        <v>323</v>
      </c>
      <c r="E8" t="s">
        <v>366</v>
      </c>
      <c r="F8" t="s">
        <v>426</v>
      </c>
      <c r="G8" t="s">
        <v>124</v>
      </c>
      <c r="H8" t="s">
        <v>143</v>
      </c>
      <c r="I8" t="s">
        <v>368</v>
      </c>
      <c r="J8" t="s">
        <v>427</v>
      </c>
    </row>
    <row r="9" spans="1:13">
      <c r="A9" s="1" t="str">
        <f>"&lt;"&amp;Table2[[#This Row],[Column2]]&amp;"&gt;"</f>
        <v>&lt;font&gt;</v>
      </c>
      <c r="B9" t="s">
        <v>544</v>
      </c>
      <c r="G9" t="s">
        <v>124</v>
      </c>
      <c r="H9" t="s">
        <v>180</v>
      </c>
    </row>
    <row r="10" spans="1:13">
      <c r="A10" s="1" t="str">
        <f>"&lt;"&amp;Table2[[#This Row],[Column2]]&amp;"&gt;"</f>
        <v>&lt;tt&gt;</v>
      </c>
      <c r="B10" t="s">
        <v>604</v>
      </c>
      <c r="G10" t="s">
        <v>124</v>
      </c>
      <c r="H10" t="s">
        <v>306</v>
      </c>
    </row>
    <row r="11" spans="1:13">
      <c r="A11" s="1" t="str">
        <f>"&lt;"&amp;Table2[[#This Row],[Column2]]&amp;"&gt;"</f>
        <v>&lt;strike&gt;</v>
      </c>
      <c r="B11" t="s">
        <v>585</v>
      </c>
      <c r="G11" t="s">
        <v>586</v>
      </c>
      <c r="H11" t="s">
        <v>272</v>
      </c>
    </row>
    <row r="12" spans="1:13">
      <c r="A12" s="1" t="str">
        <f>"&lt;"&amp;Table2[[#This Row],[Column2]]&amp;"&gt;"</f>
        <v>&lt;applet&gt;</v>
      </c>
      <c r="B12" t="s">
        <v>375</v>
      </c>
      <c r="D12" t="s">
        <v>376</v>
      </c>
      <c r="E12" t="s">
        <v>366</v>
      </c>
      <c r="F12" t="s">
        <v>377</v>
      </c>
      <c r="G12" t="s">
        <v>522</v>
      </c>
      <c r="H12" t="s">
        <v>111</v>
      </c>
      <c r="I12" t="s">
        <v>368</v>
      </c>
      <c r="J12" t="s">
        <v>378</v>
      </c>
    </row>
    <row r="13" spans="1:13">
      <c r="A13" s="1" t="str">
        <f>"&lt;"&amp;Table2[[#This Row],[Column2]]&amp;"&gt;"</f>
        <v>&lt;dir&gt;</v>
      </c>
      <c r="B13" t="s">
        <v>537</v>
      </c>
      <c r="G13" t="s">
        <v>538</v>
      </c>
      <c r="H13" t="s">
        <v>165</v>
      </c>
    </row>
    <row r="14" spans="1:13">
      <c r="A14" s="1" t="str">
        <f>"&lt;"&amp;Table2[[#This Row],[Column2]]&amp;"&gt;"</f>
        <v>&lt;!--...--&gt;</v>
      </c>
      <c r="B14" t="s">
        <v>519</v>
      </c>
      <c r="D14" t="s">
        <v>336</v>
      </c>
      <c r="E14" t="s">
        <v>350</v>
      </c>
      <c r="F14" t="s">
        <v>351</v>
      </c>
      <c r="H14" t="s">
        <v>102</v>
      </c>
      <c r="I14" t="s">
        <v>352</v>
      </c>
      <c r="J14" t="s">
        <v>353</v>
      </c>
    </row>
    <row r="15" spans="1:13">
      <c r="A15" s="1" t="str">
        <f>"&lt;"&amp;Table2[[#This Row],[Column2]]&amp;"&gt;"</f>
        <v>&lt;!DOCTYPE&gt;</v>
      </c>
      <c r="B15" t="s">
        <v>520</v>
      </c>
      <c r="D15" t="s">
        <v>336</v>
      </c>
      <c r="E15" t="s">
        <v>350</v>
      </c>
      <c r="F15" t="s">
        <v>354</v>
      </c>
      <c r="H15" t="s">
        <v>103</v>
      </c>
      <c r="I15" t="s">
        <v>355</v>
      </c>
      <c r="J15" t="s">
        <v>356</v>
      </c>
    </row>
    <row r="16" spans="1:13">
      <c r="A16" s="1" t="str">
        <f>"&lt;"&amp;Table2[[#This Row],[Column2]]&amp;"&gt;"</f>
        <v>&lt;a&gt;</v>
      </c>
      <c r="B16" t="s">
        <v>357</v>
      </c>
      <c r="D16" t="s">
        <v>323</v>
      </c>
      <c r="E16" t="s">
        <v>350</v>
      </c>
      <c r="F16" t="s">
        <v>358</v>
      </c>
      <c r="H16" t="s">
        <v>104</v>
      </c>
      <c r="I16" t="s">
        <v>359</v>
      </c>
      <c r="J16" t="s">
        <v>360</v>
      </c>
    </row>
    <row r="17" spans="1:10">
      <c r="A17" s="1" t="str">
        <f>"&lt;"&amp;Table2[[#This Row],[Column2]]&amp;"&gt;"</f>
        <v>&lt;abbr&gt;</v>
      </c>
      <c r="B17" t="s">
        <v>361</v>
      </c>
      <c r="D17" t="s">
        <v>323</v>
      </c>
      <c r="E17" t="s">
        <v>350</v>
      </c>
      <c r="F17" t="s">
        <v>362</v>
      </c>
      <c r="H17" t="s">
        <v>106</v>
      </c>
      <c r="I17" s="2" t="s">
        <v>363</v>
      </c>
      <c r="J17" s="2" t="s">
        <v>364</v>
      </c>
    </row>
    <row r="18" spans="1:10">
      <c r="A18" s="1" t="str">
        <f>"&lt;"&amp;Table2[[#This Row],[Column2]]&amp;"&gt;"</f>
        <v>&lt;address&gt;</v>
      </c>
      <c r="B18" t="s">
        <v>370</v>
      </c>
      <c r="D18" t="s">
        <v>371</v>
      </c>
      <c r="E18" t="s">
        <v>350</v>
      </c>
      <c r="F18" t="s">
        <v>372</v>
      </c>
      <c r="H18" t="s">
        <v>110</v>
      </c>
      <c r="I18" t="s">
        <v>373</v>
      </c>
      <c r="J18" t="s">
        <v>374</v>
      </c>
    </row>
    <row r="19" spans="1:10">
      <c r="A19" s="1" t="str">
        <f>"&lt;"&amp;Table2[[#This Row],[Column2]]&amp;"&gt;"</f>
        <v>&lt;area&gt;</v>
      </c>
      <c r="B19" t="s">
        <v>523</v>
      </c>
      <c r="H19" t="s">
        <v>113</v>
      </c>
    </row>
    <row r="20" spans="1:10">
      <c r="A20" s="1" t="str">
        <f>"&lt;"&amp;Table2[[#This Row],[Column2]]&amp;"&gt;"</f>
        <v>&lt;article&gt;</v>
      </c>
      <c r="B20" t="s">
        <v>379</v>
      </c>
      <c r="D20" t="s">
        <v>371</v>
      </c>
      <c r="E20" t="s">
        <v>350</v>
      </c>
      <c r="F20" t="s">
        <v>380</v>
      </c>
      <c r="H20" t="s">
        <v>115</v>
      </c>
      <c r="I20" t="s">
        <v>381</v>
      </c>
      <c r="J20" t="s">
        <v>382</v>
      </c>
    </row>
    <row r="21" spans="1:10">
      <c r="A21" s="1" t="str">
        <f>"&lt;"&amp;Table2[[#This Row],[Column2]]&amp;"&gt;"</f>
        <v>&lt;aside&gt;</v>
      </c>
      <c r="B21" t="s">
        <v>383</v>
      </c>
      <c r="D21" t="s">
        <v>371</v>
      </c>
      <c r="E21" t="s">
        <v>350</v>
      </c>
      <c r="F21" t="s">
        <v>384</v>
      </c>
      <c r="H21" t="s">
        <v>117</v>
      </c>
      <c r="I21" t="s">
        <v>385</v>
      </c>
      <c r="J21" t="s">
        <v>386</v>
      </c>
    </row>
    <row r="22" spans="1:10">
      <c r="A22" s="1" t="str">
        <f>"&lt;"&amp;Table2[[#This Row],[Column2]]&amp;"&gt;"</f>
        <v>&lt;audio&gt;</v>
      </c>
      <c r="B22" t="s">
        <v>387</v>
      </c>
      <c r="D22" t="s">
        <v>388</v>
      </c>
      <c r="E22" t="s">
        <v>350</v>
      </c>
      <c r="F22" t="s">
        <v>389</v>
      </c>
      <c r="H22" t="s">
        <v>119</v>
      </c>
      <c r="I22" t="s">
        <v>390</v>
      </c>
      <c r="J22" t="s">
        <v>391</v>
      </c>
    </row>
    <row r="23" spans="1:10">
      <c r="A23" s="1" t="str">
        <f>"&lt;"&amp;Table2[[#This Row],[Column2]]&amp;"&gt;"</f>
        <v>&lt;b&gt;</v>
      </c>
      <c r="B23" t="s">
        <v>392</v>
      </c>
      <c r="D23" t="s">
        <v>323</v>
      </c>
      <c r="E23" t="s">
        <v>350</v>
      </c>
      <c r="F23" t="s">
        <v>393</v>
      </c>
      <c r="H23" t="s">
        <v>121</v>
      </c>
      <c r="I23" t="s">
        <v>394</v>
      </c>
      <c r="J23" t="s">
        <v>395</v>
      </c>
    </row>
    <row r="24" spans="1:10">
      <c r="A24" s="1" t="str">
        <f>"&lt;"&amp;Table2[[#This Row],[Column2]]&amp;"&gt;"</f>
        <v>&lt;base&gt;</v>
      </c>
      <c r="B24" t="s">
        <v>338</v>
      </c>
      <c r="D24" t="s">
        <v>335</v>
      </c>
      <c r="E24" t="s">
        <v>350</v>
      </c>
      <c r="F24" t="s">
        <v>396</v>
      </c>
      <c r="H24" t="s">
        <v>123</v>
      </c>
      <c r="I24" t="s">
        <v>397</v>
      </c>
      <c r="J24" t="s">
        <v>398</v>
      </c>
    </row>
    <row r="25" spans="1:10">
      <c r="A25" s="1" t="str">
        <f>"&lt;"&amp;Table2[[#This Row],[Column2]]&amp;"&gt;"</f>
        <v>&lt;bdi&gt;</v>
      </c>
      <c r="B25" t="s">
        <v>524</v>
      </c>
      <c r="H25" t="s">
        <v>127</v>
      </c>
    </row>
    <row r="26" spans="1:10">
      <c r="A26" s="1" t="str">
        <f>"&lt;"&amp;Table2[[#This Row],[Column2]]&amp;"&gt;"</f>
        <v>&lt;bdo&gt;</v>
      </c>
      <c r="B26" t="s">
        <v>525</v>
      </c>
      <c r="H26" t="s">
        <v>129</v>
      </c>
    </row>
    <row r="27" spans="1:10">
      <c r="A27" s="1" t="str">
        <f>"&lt;"&amp;Table2[[#This Row],[Column2]]&amp;"&gt;"</f>
        <v>&lt;blockquote&gt;</v>
      </c>
      <c r="B27" t="s">
        <v>402</v>
      </c>
      <c r="D27" t="s">
        <v>403</v>
      </c>
      <c r="E27" t="s">
        <v>350</v>
      </c>
      <c r="F27" t="s">
        <v>404</v>
      </c>
      <c r="H27" t="s">
        <v>132</v>
      </c>
      <c r="I27" t="s">
        <v>405</v>
      </c>
      <c r="J27" t="s">
        <v>406</v>
      </c>
    </row>
    <row r="28" spans="1:10">
      <c r="A28" s="1" t="str">
        <f>"&lt;"&amp;Table2[[#This Row],[Column2]]&amp;"&gt;"</f>
        <v>&lt;body&gt;</v>
      </c>
      <c r="B28" t="s">
        <v>337</v>
      </c>
      <c r="D28" t="s">
        <v>336</v>
      </c>
      <c r="E28" t="s">
        <v>350</v>
      </c>
      <c r="F28" t="s">
        <v>407</v>
      </c>
      <c r="H28" t="s">
        <v>134</v>
      </c>
      <c r="I28" t="s">
        <v>408</v>
      </c>
      <c r="J28" t="s">
        <v>409</v>
      </c>
    </row>
    <row r="29" spans="1:10">
      <c r="A29" s="1" t="str">
        <f>"&lt;"&amp;Table2[[#This Row],[Column2]]&amp;"&gt;"</f>
        <v>&lt;br&gt;</v>
      </c>
      <c r="B29" t="s">
        <v>410</v>
      </c>
      <c r="D29" t="s">
        <v>323</v>
      </c>
      <c r="E29" t="s">
        <v>350</v>
      </c>
      <c r="F29" t="s">
        <v>411</v>
      </c>
      <c r="H29" t="s">
        <v>136</v>
      </c>
      <c r="I29" t="s">
        <v>412</v>
      </c>
      <c r="J29" t="s">
        <v>413</v>
      </c>
    </row>
    <row r="30" spans="1:10">
      <c r="A30" s="1" t="str">
        <f>"&lt;"&amp;Table2[[#This Row],[Column2]]&amp;"&gt;"</f>
        <v>&lt;button&gt;</v>
      </c>
      <c r="B30" t="s">
        <v>414</v>
      </c>
      <c r="D30" t="s">
        <v>415</v>
      </c>
      <c r="E30" t="s">
        <v>350</v>
      </c>
      <c r="F30" t="s">
        <v>416</v>
      </c>
      <c r="H30" t="s">
        <v>138</v>
      </c>
      <c r="I30" t="s">
        <v>417</v>
      </c>
      <c r="J30" t="s">
        <v>418</v>
      </c>
    </row>
    <row r="31" spans="1:10">
      <c r="A31" s="1" t="str">
        <f>"&lt;"&amp;Table2[[#This Row],[Column2]]&amp;"&gt;"</f>
        <v>&lt;canvas&gt;</v>
      </c>
      <c r="B31" t="s">
        <v>419</v>
      </c>
      <c r="D31" t="s">
        <v>376</v>
      </c>
      <c r="E31" t="s">
        <v>350</v>
      </c>
      <c r="F31" t="s">
        <v>420</v>
      </c>
      <c r="H31" t="s">
        <v>140</v>
      </c>
      <c r="I31" t="s">
        <v>421</v>
      </c>
      <c r="J31" t="s">
        <v>422</v>
      </c>
    </row>
    <row r="32" spans="1:10">
      <c r="A32" s="1" t="str">
        <f>"&lt;"&amp;Table2[[#This Row],[Column2]]&amp;"&gt;"</f>
        <v>&lt;caption&gt;</v>
      </c>
      <c r="B32" t="s">
        <v>329</v>
      </c>
      <c r="D32" t="s">
        <v>91</v>
      </c>
      <c r="E32" t="s">
        <v>350</v>
      </c>
      <c r="F32" t="s">
        <v>63</v>
      </c>
      <c r="H32" t="s">
        <v>142</v>
      </c>
      <c r="I32" t="s">
        <v>423</v>
      </c>
      <c r="J32" t="s">
        <v>424</v>
      </c>
    </row>
    <row r="33" spans="1:10">
      <c r="A33" s="1" t="str">
        <f>"&lt;"&amp;Table2[[#This Row],[Column2]]&amp;"&gt;"</f>
        <v>&lt;cite&gt;</v>
      </c>
      <c r="B33" t="s">
        <v>428</v>
      </c>
      <c r="D33" t="s">
        <v>323</v>
      </c>
      <c r="E33" t="s">
        <v>350</v>
      </c>
      <c r="F33" t="s">
        <v>429</v>
      </c>
      <c r="H33" t="s">
        <v>145</v>
      </c>
      <c r="I33" t="s">
        <v>430</v>
      </c>
      <c r="J33" t="s">
        <v>431</v>
      </c>
    </row>
    <row r="34" spans="1:10">
      <c r="A34" s="1" t="str">
        <f>"&lt;"&amp;Table2[[#This Row],[Column2]]&amp;"&gt;"</f>
        <v>&lt;code&gt;</v>
      </c>
      <c r="B34" t="s">
        <v>432</v>
      </c>
      <c r="D34" t="s">
        <v>323</v>
      </c>
      <c r="E34" t="s">
        <v>350</v>
      </c>
      <c r="F34" t="s">
        <v>433</v>
      </c>
      <c r="H34" t="s">
        <v>147</v>
      </c>
      <c r="I34" t="s">
        <v>434</v>
      </c>
      <c r="J34" t="s">
        <v>435</v>
      </c>
    </row>
    <row r="35" spans="1:10">
      <c r="A35" s="1" t="str">
        <f>"&lt;"&amp;Table2[[#This Row],[Column2]]&amp;"&gt;"</f>
        <v>&lt;col&gt;</v>
      </c>
      <c r="B35" t="s">
        <v>527</v>
      </c>
      <c r="H35" t="s">
        <v>528</v>
      </c>
    </row>
    <row r="36" spans="1:10">
      <c r="A36" s="1" t="str">
        <f>"&lt;"&amp;Table2[[#This Row],[Column2]]&amp;"&gt;"</f>
        <v>&lt;colgroup&gt;</v>
      </c>
      <c r="B36" t="s">
        <v>529</v>
      </c>
      <c r="H36" t="s">
        <v>150</v>
      </c>
    </row>
    <row r="37" spans="1:10">
      <c r="A37" s="1" t="str">
        <f>"&lt;"&amp;Table2[[#This Row],[Column2]]&amp;"&gt;"</f>
        <v>&lt;data&gt;</v>
      </c>
      <c r="B37" t="s">
        <v>530</v>
      </c>
      <c r="H37" t="s">
        <v>152</v>
      </c>
    </row>
    <row r="38" spans="1:10">
      <c r="A38" s="1" t="str">
        <f>"&lt;"&amp;Table2[[#This Row],[Column2]]&amp;"&gt;"</f>
        <v>&lt;datalist&gt;</v>
      </c>
      <c r="B38" t="s">
        <v>531</v>
      </c>
      <c r="H38" t="s">
        <v>154</v>
      </c>
    </row>
    <row r="39" spans="1:10">
      <c r="A39" s="1" t="str">
        <f>"&lt;"&amp;Table2[[#This Row],[Column2]]&amp;"&gt;"</f>
        <v>&lt;dd&gt;</v>
      </c>
      <c r="B39" t="s">
        <v>532</v>
      </c>
      <c r="H39" t="s">
        <v>156</v>
      </c>
    </row>
    <row r="40" spans="1:10">
      <c r="A40" s="1" t="str">
        <f>"&lt;"&amp;Table2[[#This Row],[Column2]]&amp;"&gt;"</f>
        <v>&lt;del&gt;</v>
      </c>
      <c r="B40" t="s">
        <v>533</v>
      </c>
      <c r="H40" t="s">
        <v>158</v>
      </c>
    </row>
    <row r="41" spans="1:10">
      <c r="A41" s="1" t="str">
        <f>"&lt;"&amp;Table2[[#This Row],[Column2]]&amp;"&gt;"</f>
        <v>&lt;details&gt;</v>
      </c>
      <c r="B41" t="s">
        <v>534</v>
      </c>
      <c r="H41" t="s">
        <v>160</v>
      </c>
    </row>
    <row r="42" spans="1:10">
      <c r="A42" s="1" t="str">
        <f>"&lt;"&amp;Table2[[#This Row],[Column2]]&amp;"&gt;"</f>
        <v>&lt;dfn&gt;</v>
      </c>
      <c r="B42" t="s">
        <v>535</v>
      </c>
      <c r="H42" t="s">
        <v>162</v>
      </c>
    </row>
    <row r="43" spans="1:10">
      <c r="A43" s="1" t="str">
        <f>"&lt;"&amp;Table2[[#This Row],[Column2]]&amp;"&gt;"</f>
        <v>&lt;dialog&gt;</v>
      </c>
      <c r="B43" t="s">
        <v>536</v>
      </c>
      <c r="H43" t="s">
        <v>164</v>
      </c>
    </row>
    <row r="44" spans="1:10">
      <c r="A44" s="1" t="str">
        <f>"&lt;"&amp;Table2[[#This Row],[Column2]]&amp;"&gt;"</f>
        <v>&lt;div&gt;</v>
      </c>
      <c r="B44" t="s">
        <v>436</v>
      </c>
      <c r="D44" t="s">
        <v>437</v>
      </c>
      <c r="E44" t="s">
        <v>350</v>
      </c>
      <c r="F44" t="s">
        <v>438</v>
      </c>
      <c r="H44" t="s">
        <v>167</v>
      </c>
      <c r="I44" t="s">
        <v>439</v>
      </c>
      <c r="J44" t="s">
        <v>440</v>
      </c>
    </row>
    <row r="45" spans="1:10">
      <c r="A45" s="1" t="str">
        <f>"&lt;"&amp;Table2[[#This Row],[Column2]]&amp;"&gt;"</f>
        <v>&lt;dl&gt;</v>
      </c>
      <c r="B45" t="s">
        <v>539</v>
      </c>
      <c r="H45" t="s">
        <v>169</v>
      </c>
    </row>
    <row r="46" spans="1:10">
      <c r="A46" s="1" t="str">
        <f>"&lt;"&amp;Table2[[#This Row],[Column2]]&amp;"&gt;"</f>
        <v>&lt;dt&gt;</v>
      </c>
      <c r="B46" t="s">
        <v>540</v>
      </c>
      <c r="H46" t="s">
        <v>171</v>
      </c>
    </row>
    <row r="47" spans="1:10">
      <c r="A47" s="1" t="str">
        <f>"&lt;"&amp;Table2[[#This Row],[Column2]]&amp;"&gt;"</f>
        <v>&lt;em&gt;</v>
      </c>
      <c r="B47" t="s">
        <v>441</v>
      </c>
      <c r="D47" t="s">
        <v>323</v>
      </c>
      <c r="E47" t="s">
        <v>350</v>
      </c>
      <c r="F47" t="s">
        <v>442</v>
      </c>
      <c r="H47" t="s">
        <v>172</v>
      </c>
      <c r="I47" t="s">
        <v>443</v>
      </c>
      <c r="J47" t="s">
        <v>444</v>
      </c>
    </row>
    <row r="48" spans="1:10">
      <c r="A48" s="1" t="str">
        <f>"&lt;"&amp;Table2[[#This Row],[Column2]]&amp;"&gt;"</f>
        <v>&lt;embed&gt;</v>
      </c>
      <c r="B48" t="s">
        <v>541</v>
      </c>
      <c r="H48" t="s">
        <v>174</v>
      </c>
    </row>
    <row r="49" spans="1:10">
      <c r="A49" s="1" t="str">
        <f>"&lt;"&amp;Table2[[#This Row],[Column2]]&amp;"&gt;"</f>
        <v>&lt;fieldset&gt;</v>
      </c>
      <c r="B49" t="s">
        <v>542</v>
      </c>
      <c r="H49" t="s">
        <v>176</v>
      </c>
    </row>
    <row r="50" spans="1:10">
      <c r="A50" s="1" t="str">
        <f>"&lt;"&amp;Table2[[#This Row],[Column2]]&amp;"&gt;"</f>
        <v>&lt;figcaption&gt;</v>
      </c>
      <c r="B50" t="s">
        <v>448</v>
      </c>
      <c r="D50" t="s">
        <v>388</v>
      </c>
      <c r="E50" t="s">
        <v>350</v>
      </c>
      <c r="F50" t="s">
        <v>60</v>
      </c>
      <c r="H50" t="s">
        <v>543</v>
      </c>
      <c r="I50" t="s">
        <v>449</v>
      </c>
      <c r="J50" t="s">
        <v>450</v>
      </c>
    </row>
    <row r="51" spans="1:10">
      <c r="A51" s="1" t="str">
        <f>"&lt;"&amp;Table2[[#This Row],[Column2]]&amp;"&gt;"</f>
        <v>&lt;figure&gt;</v>
      </c>
      <c r="B51" t="s">
        <v>343</v>
      </c>
      <c r="D51" t="s">
        <v>388</v>
      </c>
      <c r="E51" t="s">
        <v>350</v>
      </c>
      <c r="F51" t="s">
        <v>445</v>
      </c>
      <c r="H51" t="s">
        <v>179</v>
      </c>
      <c r="I51" t="s">
        <v>446</v>
      </c>
      <c r="J51" t="s">
        <v>447</v>
      </c>
    </row>
    <row r="52" spans="1:10">
      <c r="A52" s="1" t="str">
        <f>"&lt;"&amp;Table2[[#This Row],[Column2]]&amp;"&gt;"</f>
        <v>&lt;footer&gt;</v>
      </c>
      <c r="B52" t="s">
        <v>451</v>
      </c>
      <c r="D52" t="s">
        <v>371</v>
      </c>
      <c r="E52" t="s">
        <v>350</v>
      </c>
      <c r="F52" t="s">
        <v>452</v>
      </c>
      <c r="H52" t="s">
        <v>182</v>
      </c>
      <c r="I52" t="s">
        <v>453</v>
      </c>
      <c r="J52" t="s">
        <v>454</v>
      </c>
    </row>
    <row r="53" spans="1:10">
      <c r="A53" s="1" t="str">
        <f>"&lt;"&amp;Table2[[#This Row],[Column2]]&amp;"&gt;"</f>
        <v>&lt;form&gt;</v>
      </c>
      <c r="B53" t="s">
        <v>415</v>
      </c>
      <c r="D53" t="s">
        <v>415</v>
      </c>
      <c r="E53" t="s">
        <v>350</v>
      </c>
      <c r="F53" t="s">
        <v>455</v>
      </c>
      <c r="H53" t="s">
        <v>184</v>
      </c>
      <c r="I53" t="s">
        <v>456</v>
      </c>
      <c r="J53" t="s">
        <v>457</v>
      </c>
    </row>
    <row r="54" spans="1:10">
      <c r="A54" s="1" t="str">
        <f>"&lt;"&amp;Table2[[#This Row],[Column2]]&amp;"&gt;"</f>
        <v>&lt;h1&gt;</v>
      </c>
      <c r="B54" t="s">
        <v>612</v>
      </c>
      <c r="D54" t="s">
        <v>403</v>
      </c>
      <c r="E54" t="s">
        <v>350</v>
      </c>
      <c r="F54" t="s">
        <v>458</v>
      </c>
      <c r="H54" t="s">
        <v>188</v>
      </c>
      <c r="I54" t="s">
        <v>459</v>
      </c>
      <c r="J54" t="s">
        <v>460</v>
      </c>
    </row>
    <row r="55" spans="1:10">
      <c r="A55" s="1" t="str">
        <f>"&lt;"&amp;Table2[[#This Row],[Column2]]&amp;"&gt;"</f>
        <v>&lt;h2&gt;</v>
      </c>
      <c r="B55" t="s">
        <v>608</v>
      </c>
      <c r="D55" t="s">
        <v>403</v>
      </c>
      <c r="E55" t="s">
        <v>350</v>
      </c>
      <c r="F55" t="s">
        <v>458</v>
      </c>
      <c r="H55" t="s">
        <v>188</v>
      </c>
      <c r="I55" t="s">
        <v>459</v>
      </c>
      <c r="J55" t="s">
        <v>460</v>
      </c>
    </row>
    <row r="56" spans="1:10">
      <c r="A56" s="1" t="str">
        <f>"&lt;"&amp;Table2[[#This Row],[Column2]]&amp;"&gt;"</f>
        <v>&lt;h3&gt;</v>
      </c>
      <c r="B56" t="s">
        <v>607</v>
      </c>
      <c r="D56" t="s">
        <v>403</v>
      </c>
      <c r="E56" t="s">
        <v>350</v>
      </c>
      <c r="F56" t="s">
        <v>458</v>
      </c>
      <c r="H56" t="s">
        <v>188</v>
      </c>
      <c r="I56" t="s">
        <v>459</v>
      </c>
      <c r="J56" t="s">
        <v>460</v>
      </c>
    </row>
    <row r="57" spans="1:10">
      <c r="A57" s="1" t="str">
        <f>"&lt;"&amp;Table2[[#This Row],[Column2]]&amp;"&gt;"</f>
        <v>&lt;h4&gt;</v>
      </c>
      <c r="B57" t="s">
        <v>609</v>
      </c>
      <c r="D57" t="s">
        <v>403</v>
      </c>
      <c r="E57" t="s">
        <v>350</v>
      </c>
      <c r="F57" t="s">
        <v>458</v>
      </c>
      <c r="H57" t="s">
        <v>188</v>
      </c>
      <c r="I57" t="s">
        <v>459</v>
      </c>
      <c r="J57" t="s">
        <v>460</v>
      </c>
    </row>
    <row r="58" spans="1:10">
      <c r="A58" s="1" t="str">
        <f>"&lt;"&amp;Table2[[#This Row],[Column2]]&amp;"&gt;"</f>
        <v>&lt;h5&gt;</v>
      </c>
      <c r="B58" t="s">
        <v>610</v>
      </c>
      <c r="D58" t="s">
        <v>403</v>
      </c>
      <c r="E58" t="s">
        <v>350</v>
      </c>
      <c r="F58" t="s">
        <v>458</v>
      </c>
      <c r="H58" t="s">
        <v>188</v>
      </c>
      <c r="I58" t="s">
        <v>459</v>
      </c>
      <c r="J58" t="s">
        <v>460</v>
      </c>
    </row>
    <row r="59" spans="1:10">
      <c r="A59" s="1" t="str">
        <f>"&lt;"&amp;Table2[[#This Row],[Column2]]&amp;"&gt;"</f>
        <v>&lt;h6&gt;</v>
      </c>
      <c r="B59" t="s">
        <v>611</v>
      </c>
      <c r="D59" t="s">
        <v>403</v>
      </c>
      <c r="E59" t="s">
        <v>350</v>
      </c>
      <c r="F59" t="s">
        <v>458</v>
      </c>
      <c r="H59" t="s">
        <v>188</v>
      </c>
      <c r="I59" t="s">
        <v>459</v>
      </c>
      <c r="J59" t="s">
        <v>460</v>
      </c>
    </row>
    <row r="60" spans="1:10">
      <c r="A60" s="1" t="str">
        <f>"&lt;"&amp;Table2[[#This Row],[Column2]]&amp;"&gt;"</f>
        <v>&lt;head&gt;</v>
      </c>
      <c r="B60" t="s">
        <v>461</v>
      </c>
      <c r="D60" t="s">
        <v>336</v>
      </c>
      <c r="E60" t="s">
        <v>350</v>
      </c>
      <c r="F60" t="s">
        <v>462</v>
      </c>
      <c r="H60" t="s">
        <v>189</v>
      </c>
      <c r="I60" t="s">
        <v>463</v>
      </c>
      <c r="J60" t="s">
        <v>464</v>
      </c>
    </row>
    <row r="61" spans="1:10">
      <c r="A61" s="1" t="str">
        <f>"&lt;"&amp;Table2[[#This Row],[Column2]]&amp;"&gt;"</f>
        <v>&lt;header&gt;</v>
      </c>
      <c r="B61" t="s">
        <v>465</v>
      </c>
      <c r="D61" t="s">
        <v>371</v>
      </c>
      <c r="E61" t="s">
        <v>350</v>
      </c>
      <c r="F61" t="s">
        <v>466</v>
      </c>
      <c r="H61" t="s">
        <v>191</v>
      </c>
      <c r="I61" t="s">
        <v>467</v>
      </c>
      <c r="J61" t="s">
        <v>468</v>
      </c>
    </row>
    <row r="62" spans="1:10">
      <c r="A62" s="1" t="str">
        <f>"&lt;"&amp;Table2[[#This Row],[Column2]]&amp;"&gt;"</f>
        <v>&lt;hgroup&gt;</v>
      </c>
      <c r="B62" t="s">
        <v>547</v>
      </c>
      <c r="H62" t="s">
        <v>193</v>
      </c>
    </row>
    <row r="63" spans="1:10">
      <c r="A63" s="1" t="str">
        <f>"&lt;"&amp;Table2[[#This Row],[Column2]]&amp;"&gt;"</f>
        <v>&lt;hr&gt;</v>
      </c>
      <c r="B63" t="s">
        <v>548</v>
      </c>
      <c r="H63" t="s">
        <v>195</v>
      </c>
    </row>
    <row r="64" spans="1:10">
      <c r="A64" s="1" t="str">
        <f>"&lt;"&amp;Table2[[#This Row],[Column2]]&amp;"&gt;"</f>
        <v>&lt;html&gt;</v>
      </c>
      <c r="B64" t="s">
        <v>469</v>
      </c>
      <c r="D64" t="s">
        <v>336</v>
      </c>
      <c r="E64" t="s">
        <v>350</v>
      </c>
      <c r="F64" t="s">
        <v>470</v>
      </c>
      <c r="H64" t="s">
        <v>196</v>
      </c>
      <c r="I64" t="s">
        <v>471</v>
      </c>
      <c r="J64" t="s">
        <v>472</v>
      </c>
    </row>
    <row r="65" spans="1:10">
      <c r="A65" s="1" t="str">
        <f>"&lt;"&amp;Table2[[#This Row],[Column2]]&amp;"&gt;"</f>
        <v>&lt;i&gt;</v>
      </c>
      <c r="B65" t="s">
        <v>549</v>
      </c>
      <c r="H65" t="s">
        <v>198</v>
      </c>
    </row>
    <row r="66" spans="1:10">
      <c r="A66" s="1" t="str">
        <f>"&lt;"&amp;Table2[[#This Row],[Column2]]&amp;"&gt;"</f>
        <v>&lt;iframe&gt;</v>
      </c>
      <c r="B66" t="s">
        <v>550</v>
      </c>
      <c r="H66" t="s">
        <v>200</v>
      </c>
    </row>
    <row r="67" spans="1:10">
      <c r="A67" s="1" t="str">
        <f>"&lt;"&amp;Table2[[#This Row],[Column2]]&amp;"&gt;"</f>
        <v>&lt;img&gt;</v>
      </c>
      <c r="B67" t="s">
        <v>473</v>
      </c>
      <c r="D67" t="s">
        <v>388</v>
      </c>
      <c r="E67" t="s">
        <v>350</v>
      </c>
      <c r="F67" t="s">
        <v>474</v>
      </c>
      <c r="H67" t="s">
        <v>202</v>
      </c>
      <c r="I67" t="s">
        <v>475</v>
      </c>
      <c r="J67" t="s">
        <v>476</v>
      </c>
    </row>
    <row r="68" spans="1:10">
      <c r="A68" s="1" t="str">
        <f>"&lt;"&amp;Table2[[#This Row],[Column2]]&amp;"&gt;"</f>
        <v>&lt;input&gt;</v>
      </c>
      <c r="B68" t="s">
        <v>551</v>
      </c>
      <c r="H68" t="s">
        <v>204</v>
      </c>
    </row>
    <row r="69" spans="1:10">
      <c r="A69" s="1" t="str">
        <f>"&lt;"&amp;Table2[[#This Row],[Column2]]&amp;"&gt;"</f>
        <v>&lt;ins&gt;</v>
      </c>
      <c r="B69" t="s">
        <v>552</v>
      </c>
      <c r="H69" t="s">
        <v>206</v>
      </c>
    </row>
    <row r="70" spans="1:10">
      <c r="A70" s="1" t="str">
        <f>"&lt;"&amp;Table2[[#This Row],[Column2]]&amp;"&gt;"</f>
        <v>&lt;kbd&gt;</v>
      </c>
      <c r="B70" t="s">
        <v>553</v>
      </c>
      <c r="H70" t="s">
        <v>208</v>
      </c>
    </row>
    <row r="71" spans="1:10">
      <c r="A71" s="1" t="str">
        <f>"&lt;"&amp;Table2[[#This Row],[Column2]]&amp;"&gt;"</f>
        <v>&lt;label&gt;</v>
      </c>
      <c r="B71" t="s">
        <v>554</v>
      </c>
      <c r="H71" t="s">
        <v>555</v>
      </c>
    </row>
    <row r="72" spans="1:10">
      <c r="A72" s="1" t="str">
        <f>"&lt;"&amp;Table2[[#This Row],[Column2]]&amp;"&gt;"</f>
        <v>&lt;legend&gt;</v>
      </c>
      <c r="B72" t="s">
        <v>556</v>
      </c>
      <c r="H72" t="s">
        <v>557</v>
      </c>
    </row>
    <row r="73" spans="1:10">
      <c r="A73" s="1" t="str">
        <f>"&lt;"&amp;Table2[[#This Row],[Column2]]&amp;"&gt;"</f>
        <v>&lt;li&gt;</v>
      </c>
      <c r="B73" t="s">
        <v>558</v>
      </c>
      <c r="H73" t="s">
        <v>212</v>
      </c>
    </row>
    <row r="74" spans="1:10">
      <c r="A74" s="1" t="str">
        <f>"&lt;"&amp;Table2[[#This Row],[Column2]]&amp;"&gt;"</f>
        <v>&lt;link&gt;</v>
      </c>
      <c r="B74" t="s">
        <v>477</v>
      </c>
      <c r="D74" t="s">
        <v>335</v>
      </c>
      <c r="E74" t="s">
        <v>350</v>
      </c>
      <c r="F74" t="s">
        <v>478</v>
      </c>
      <c r="H74" t="s">
        <v>214</v>
      </c>
      <c r="I74" t="s">
        <v>479</v>
      </c>
      <c r="J74" t="s">
        <v>480</v>
      </c>
    </row>
    <row r="75" spans="1:10">
      <c r="A75" s="1" t="str">
        <f>"&lt;"&amp;Table2[[#This Row],[Column2]]&amp;"&gt;"</f>
        <v>&lt;main&gt;</v>
      </c>
      <c r="B75" t="s">
        <v>559</v>
      </c>
      <c r="H75" t="s">
        <v>216</v>
      </c>
    </row>
    <row r="76" spans="1:10">
      <c r="A76" s="1" t="str">
        <f>"&lt;"&amp;Table2[[#This Row],[Column2]]&amp;"&gt;"</f>
        <v>&lt;map&gt;</v>
      </c>
      <c r="B76" t="s">
        <v>560</v>
      </c>
      <c r="H76" t="s">
        <v>218</v>
      </c>
    </row>
    <row r="77" spans="1:10">
      <c r="A77" s="1" t="str">
        <f>"&lt;"&amp;Table2[[#This Row],[Column2]]&amp;"&gt;"</f>
        <v>&lt;mark&gt;</v>
      </c>
      <c r="B77" t="s">
        <v>561</v>
      </c>
      <c r="H77" t="s">
        <v>220</v>
      </c>
    </row>
    <row r="78" spans="1:10">
      <c r="A78" s="1" t="str">
        <f>"&lt;"&amp;Table2[[#This Row],[Column2]]&amp;"&gt;"</f>
        <v>&lt;menu&gt;</v>
      </c>
      <c r="B78" t="s">
        <v>562</v>
      </c>
      <c r="H78" t="s">
        <v>222</v>
      </c>
    </row>
    <row r="79" spans="1:10">
      <c r="A79" s="1" t="str">
        <f>"&lt;"&amp;Table2[[#This Row],[Column2]]&amp;"&gt;"</f>
        <v>&lt;meta&gt;</v>
      </c>
      <c r="B79" t="s">
        <v>481</v>
      </c>
      <c r="D79" t="s">
        <v>335</v>
      </c>
      <c r="E79" t="s">
        <v>350</v>
      </c>
      <c r="F79" t="s">
        <v>482</v>
      </c>
      <c r="H79" t="s">
        <v>223</v>
      </c>
      <c r="I79" t="s">
        <v>483</v>
      </c>
      <c r="J79" t="s">
        <v>484</v>
      </c>
    </row>
    <row r="80" spans="1:10">
      <c r="A80" s="1" t="str">
        <f>"&lt;"&amp;Table2[[#This Row],[Column2]]&amp;"&gt;"</f>
        <v>&lt;meter&gt;</v>
      </c>
      <c r="B80" t="s">
        <v>563</v>
      </c>
      <c r="H80" t="s">
        <v>225</v>
      </c>
    </row>
    <row r="81" spans="1:10">
      <c r="A81" s="1" t="str">
        <f>"&lt;"&amp;Table2[[#This Row],[Column2]]&amp;"&gt;"</f>
        <v>&lt;nav&gt;</v>
      </c>
      <c r="B81" t="s">
        <v>485</v>
      </c>
      <c r="D81" t="s">
        <v>371</v>
      </c>
      <c r="E81" t="s">
        <v>350</v>
      </c>
      <c r="F81" t="s">
        <v>486</v>
      </c>
      <c r="H81" t="s">
        <v>227</v>
      </c>
      <c r="I81" t="s">
        <v>487</v>
      </c>
      <c r="J81" t="s">
        <v>488</v>
      </c>
    </row>
    <row r="82" spans="1:10">
      <c r="A82" s="1" t="str">
        <f>"&lt;"&amp;Table2[[#This Row],[Column2]]&amp;"&gt;"</f>
        <v>&lt;noscript&gt;</v>
      </c>
      <c r="B82" t="s">
        <v>565</v>
      </c>
      <c r="H82" t="s">
        <v>229</v>
      </c>
    </row>
    <row r="83" spans="1:10">
      <c r="A83" s="1" t="str">
        <f>"&lt;"&amp;Table2[[#This Row],[Column2]]&amp;"&gt;"</f>
        <v>&lt;object&gt;</v>
      </c>
      <c r="B83" t="s">
        <v>84</v>
      </c>
      <c r="H83" t="s">
        <v>174</v>
      </c>
    </row>
    <row r="84" spans="1:10">
      <c r="A84" s="1" t="str">
        <f>"&lt;"&amp;Table2[[#This Row],[Column2]]&amp;"&gt;"</f>
        <v>&lt;ol&gt;</v>
      </c>
      <c r="B84" t="s">
        <v>566</v>
      </c>
      <c r="H84" t="s">
        <v>232</v>
      </c>
    </row>
    <row r="85" spans="1:10">
      <c r="A85" s="1" t="str">
        <f>"&lt;"&amp;Table2[[#This Row],[Column2]]&amp;"&gt;"</f>
        <v>&lt;optgroup&gt;</v>
      </c>
      <c r="B85" t="s">
        <v>567</v>
      </c>
      <c r="H85" t="s">
        <v>234</v>
      </c>
    </row>
    <row r="86" spans="1:10">
      <c r="A86" s="1" t="str">
        <f>"&lt;"&amp;Table2[[#This Row],[Column2]]&amp;"&gt;"</f>
        <v>&lt;option&gt;</v>
      </c>
      <c r="B86" t="s">
        <v>568</v>
      </c>
      <c r="H86" t="s">
        <v>236</v>
      </c>
    </row>
    <row r="87" spans="1:10">
      <c r="A87" s="1" t="str">
        <f>"&lt;"&amp;Table2[[#This Row],[Column2]]&amp;"&gt;"</f>
        <v>&lt;output&gt;</v>
      </c>
      <c r="B87" t="s">
        <v>569</v>
      </c>
      <c r="H87" t="s">
        <v>238</v>
      </c>
    </row>
    <row r="88" spans="1:10">
      <c r="A88" s="1" t="str">
        <f>"&lt;"&amp;Table2[[#This Row],[Column2]]&amp;"&gt;"</f>
        <v>&lt;p&gt;</v>
      </c>
      <c r="B88" t="s">
        <v>489</v>
      </c>
      <c r="D88" t="s">
        <v>403</v>
      </c>
      <c r="E88" t="s">
        <v>350</v>
      </c>
      <c r="F88" t="s">
        <v>490</v>
      </c>
      <c r="H88" t="s">
        <v>240</v>
      </c>
      <c r="I88" t="s">
        <v>491</v>
      </c>
      <c r="J88" t="s">
        <v>492</v>
      </c>
    </row>
    <row r="89" spans="1:10">
      <c r="A89" s="1" t="str">
        <f>"&lt;"&amp;Table2[[#This Row],[Column2]]&amp;"&gt;"</f>
        <v>&lt;param&gt;</v>
      </c>
      <c r="B89" t="s">
        <v>570</v>
      </c>
      <c r="H89" t="s">
        <v>242</v>
      </c>
    </row>
    <row r="90" spans="1:10">
      <c r="A90" s="1" t="str">
        <f>"&lt;"&amp;Table2[[#This Row],[Column2]]&amp;"&gt;"</f>
        <v>&lt;picture&gt;</v>
      </c>
      <c r="B90" t="s">
        <v>571</v>
      </c>
      <c r="H90" t="s">
        <v>244</v>
      </c>
    </row>
    <row r="91" spans="1:10">
      <c r="A91" s="1" t="str">
        <f>"&lt;"&amp;Table2[[#This Row],[Column2]]&amp;"&gt;"</f>
        <v>&lt;pre&gt;</v>
      </c>
      <c r="B91" t="s">
        <v>572</v>
      </c>
      <c r="H91" t="s">
        <v>246</v>
      </c>
    </row>
    <row r="92" spans="1:10">
      <c r="A92" s="1" t="str">
        <f>"&lt;"&amp;Table2[[#This Row],[Column2]]&amp;"&gt;"</f>
        <v>&lt;progress&gt;</v>
      </c>
      <c r="B92" t="s">
        <v>573</v>
      </c>
      <c r="H92" t="s">
        <v>248</v>
      </c>
    </row>
    <row r="93" spans="1:10">
      <c r="A93" s="1" t="str">
        <f>"&lt;"&amp;Table2[[#This Row],[Column2]]&amp;"&gt;"</f>
        <v>&lt;q&gt;</v>
      </c>
      <c r="B93" t="s">
        <v>574</v>
      </c>
      <c r="H93" t="s">
        <v>250</v>
      </c>
    </row>
    <row r="94" spans="1:10">
      <c r="A94" s="1" t="str">
        <f>"&lt;"&amp;Table2[[#This Row],[Column2]]&amp;"&gt;"</f>
        <v>&lt;rp&gt;</v>
      </c>
      <c r="B94" t="s">
        <v>575</v>
      </c>
      <c r="H94" t="s">
        <v>252</v>
      </c>
    </row>
    <row r="95" spans="1:10">
      <c r="A95" s="1" t="str">
        <f>"&lt;"&amp;Table2[[#This Row],[Column2]]&amp;"&gt;"</f>
        <v>&lt;rt&gt;</v>
      </c>
      <c r="B95" t="s">
        <v>576</v>
      </c>
      <c r="H95" t="s">
        <v>254</v>
      </c>
    </row>
    <row r="96" spans="1:10">
      <c r="A96" s="1" t="str">
        <f>"&lt;"&amp;Table2[[#This Row],[Column2]]&amp;"&gt;"</f>
        <v>&lt;ruby&gt;</v>
      </c>
      <c r="B96" t="s">
        <v>577</v>
      </c>
      <c r="H96" t="s">
        <v>256</v>
      </c>
    </row>
    <row r="97" spans="1:13">
      <c r="A97" s="1" t="str">
        <f>"&lt;"&amp;Table2[[#This Row],[Column2]]&amp;"&gt;"</f>
        <v>&lt;s&gt;</v>
      </c>
      <c r="B97" t="s">
        <v>578</v>
      </c>
      <c r="H97" t="s">
        <v>258</v>
      </c>
    </row>
    <row r="98" spans="1:13">
      <c r="A98" s="1" t="str">
        <f>"&lt;"&amp;Table2[[#This Row],[Column2]]&amp;"&gt;"</f>
        <v>&lt;samp&gt;</v>
      </c>
      <c r="B98" t="s">
        <v>579</v>
      </c>
      <c r="H98" t="s">
        <v>260</v>
      </c>
    </row>
    <row r="99" spans="1:13">
      <c r="A99" s="1" t="str">
        <f>"&lt;"&amp;Table2[[#This Row],[Column2]]&amp;"&gt;"</f>
        <v>&lt;script&gt;</v>
      </c>
      <c r="B99" t="s">
        <v>580</v>
      </c>
      <c r="H99" t="s">
        <v>261</v>
      </c>
    </row>
    <row r="100" spans="1:13">
      <c r="A100" s="1" t="str">
        <f>"&lt;"&amp;Table2[[#This Row],[Column2]]&amp;"&gt;"</f>
        <v>&lt;search&gt;</v>
      </c>
      <c r="B100" t="s">
        <v>581</v>
      </c>
      <c r="H100" t="s">
        <v>263</v>
      </c>
      <c r="M100" t="s">
        <v>7414</v>
      </c>
    </row>
    <row r="101" spans="1:13">
      <c r="A101" s="1" t="str">
        <f>"&lt;"&amp;Table2[[#This Row],[Column2]]&amp;"&gt;"</f>
        <v>&lt;section&gt;</v>
      </c>
      <c r="B101" t="s">
        <v>493</v>
      </c>
      <c r="D101" t="s">
        <v>371</v>
      </c>
      <c r="E101" t="s">
        <v>350</v>
      </c>
      <c r="F101" t="s">
        <v>494</v>
      </c>
      <c r="H101" t="s">
        <v>167</v>
      </c>
      <c r="I101" t="s">
        <v>495</v>
      </c>
      <c r="J101" t="s">
        <v>496</v>
      </c>
    </row>
    <row r="102" spans="1:13">
      <c r="A102" s="1" t="str">
        <f>"&lt;"&amp;Table2[[#This Row],[Column2]]&amp;"&gt;"</f>
        <v>&lt;select&gt;</v>
      </c>
      <c r="B102" t="s">
        <v>582</v>
      </c>
      <c r="H102" t="s">
        <v>266</v>
      </c>
    </row>
    <row r="103" spans="1:13">
      <c r="A103" s="1" t="str">
        <f>"&lt;"&amp;Table2[[#This Row],[Column2]]&amp;"&gt;"</f>
        <v>&lt;small&gt;</v>
      </c>
      <c r="B103" t="s">
        <v>341</v>
      </c>
      <c r="H103" t="s">
        <v>268</v>
      </c>
    </row>
    <row r="104" spans="1:13">
      <c r="A104" s="1" t="str">
        <f>"&lt;"&amp;Table2[[#This Row],[Column2]]&amp;"&gt;"</f>
        <v>&lt;source&gt;</v>
      </c>
      <c r="B104" t="s">
        <v>583</v>
      </c>
      <c r="H104" t="s">
        <v>584</v>
      </c>
    </row>
    <row r="105" spans="1:13">
      <c r="A105" s="1" t="str">
        <f>"&lt;"&amp;Table2[[#This Row],[Column2]]&amp;"&gt;"</f>
        <v>&lt;span&gt;</v>
      </c>
      <c r="B105" t="s">
        <v>497</v>
      </c>
      <c r="D105" t="s">
        <v>323</v>
      </c>
      <c r="E105" t="s">
        <v>350</v>
      </c>
      <c r="F105" t="s">
        <v>498</v>
      </c>
      <c r="H105" t="s">
        <v>167</v>
      </c>
      <c r="I105" t="s">
        <v>499</v>
      </c>
      <c r="J105" t="s">
        <v>500</v>
      </c>
    </row>
    <row r="106" spans="1:13">
      <c r="A106" s="1" t="str">
        <f>"&lt;"&amp;Table2[[#This Row],[Column2]]&amp;"&gt;"</f>
        <v>&lt;strong&gt;</v>
      </c>
      <c r="B106" t="s">
        <v>501</v>
      </c>
      <c r="D106" t="s">
        <v>323</v>
      </c>
      <c r="E106" t="s">
        <v>350</v>
      </c>
      <c r="F106" t="s">
        <v>502</v>
      </c>
      <c r="H106" t="s">
        <v>273</v>
      </c>
      <c r="I106" t="s">
        <v>503</v>
      </c>
      <c r="J106" t="s">
        <v>504</v>
      </c>
    </row>
    <row r="107" spans="1:13">
      <c r="A107" s="1" t="str">
        <f>"&lt;"&amp;Table2[[#This Row],[Column2]]&amp;"&gt;"</f>
        <v>&lt;style&gt;</v>
      </c>
      <c r="B107" t="s">
        <v>587</v>
      </c>
      <c r="H107" t="s">
        <v>274</v>
      </c>
    </row>
    <row r="108" spans="1:13">
      <c r="A108" s="1" t="str">
        <f>"&lt;"&amp;Table2[[#This Row],[Column2]]&amp;"&gt;"</f>
        <v>&lt;sub&gt;</v>
      </c>
      <c r="B108" t="s">
        <v>588</v>
      </c>
      <c r="H108" t="s">
        <v>276</v>
      </c>
    </row>
    <row r="109" spans="1:13">
      <c r="A109" s="1" t="str">
        <f>"&lt;"&amp;Table2[[#This Row],[Column2]]&amp;"&gt;"</f>
        <v>&lt;summary&gt;</v>
      </c>
      <c r="B109" t="s">
        <v>589</v>
      </c>
      <c r="H109" t="s">
        <v>590</v>
      </c>
    </row>
    <row r="110" spans="1:13">
      <c r="A110" s="1" t="str">
        <f>"&lt;"&amp;Table2[[#This Row],[Column2]]&amp;"&gt;"</f>
        <v>&lt;sup&gt;</v>
      </c>
      <c r="B110" t="s">
        <v>591</v>
      </c>
      <c r="H110" t="s">
        <v>279</v>
      </c>
    </row>
    <row r="111" spans="1:13">
      <c r="A111" s="1" t="str">
        <f>"&lt;"&amp;Table2[[#This Row],[Column2]]&amp;"&gt;"</f>
        <v>&lt;svg&gt;</v>
      </c>
      <c r="B111" t="s">
        <v>592</v>
      </c>
      <c r="H111" t="s">
        <v>281</v>
      </c>
    </row>
    <row r="112" spans="1:13">
      <c r="A112" s="1" t="str">
        <f>"&lt;"&amp;Table2[[#This Row],[Column2]]&amp;"&gt;"</f>
        <v>&lt;table&gt;</v>
      </c>
      <c r="B112" t="s">
        <v>91</v>
      </c>
      <c r="D112" t="s">
        <v>91</v>
      </c>
      <c r="E112" t="s">
        <v>350</v>
      </c>
      <c r="F112" t="s">
        <v>93</v>
      </c>
      <c r="H112" t="s">
        <v>283</v>
      </c>
      <c r="I112" t="s">
        <v>505</v>
      </c>
      <c r="J112" t="s">
        <v>506</v>
      </c>
    </row>
    <row r="113" spans="1:10">
      <c r="A113" s="1" t="str">
        <f>"&lt;"&amp;Table2[[#This Row],[Column2]]&amp;"&gt;"</f>
        <v>&lt;tbody&gt;</v>
      </c>
      <c r="B113" t="s">
        <v>593</v>
      </c>
      <c r="H113" t="s">
        <v>285</v>
      </c>
    </row>
    <row r="114" spans="1:10">
      <c r="A114" s="1" t="str">
        <f>"&lt;"&amp;Table2[[#This Row],[Column2]]&amp;"&gt;"</f>
        <v>&lt;td&gt;</v>
      </c>
      <c r="B114" t="s">
        <v>594</v>
      </c>
      <c r="H114" t="s">
        <v>287</v>
      </c>
    </row>
    <row r="115" spans="1:10">
      <c r="A115" s="1" t="str">
        <f>"&lt;"&amp;Table2[[#This Row],[Column2]]&amp;"&gt;"</f>
        <v>&lt;template&gt;</v>
      </c>
      <c r="B115" t="s">
        <v>595</v>
      </c>
      <c r="H115" t="s">
        <v>289</v>
      </c>
    </row>
    <row r="116" spans="1:10">
      <c r="A116" s="1" t="str">
        <f>"&lt;"&amp;Table2[[#This Row],[Column2]]&amp;"&gt;"</f>
        <v>&lt;textarea&gt;</v>
      </c>
      <c r="B116" t="s">
        <v>596</v>
      </c>
      <c r="H116" t="s">
        <v>291</v>
      </c>
    </row>
    <row r="117" spans="1:10">
      <c r="A117" s="1" t="str">
        <f>"&lt;"&amp;Table2[[#This Row],[Column2]]&amp;"&gt;"</f>
        <v>&lt;tfoot&gt;</v>
      </c>
      <c r="B117" t="s">
        <v>597</v>
      </c>
      <c r="H117" t="s">
        <v>293</v>
      </c>
    </row>
    <row r="118" spans="1:10">
      <c r="A118" s="1" t="str">
        <f>"&lt;"&amp;Table2[[#This Row],[Column2]]&amp;"&gt;"</f>
        <v>&lt;th&gt;</v>
      </c>
      <c r="B118" t="s">
        <v>598</v>
      </c>
      <c r="H118" t="s">
        <v>295</v>
      </c>
    </row>
    <row r="119" spans="1:10">
      <c r="A119" s="1" t="str">
        <f>"&lt;"&amp;Table2[[#This Row],[Column2]]&amp;"&gt;"</f>
        <v>&lt;thead&gt;</v>
      </c>
      <c r="B119" t="s">
        <v>599</v>
      </c>
      <c r="H119" t="s">
        <v>297</v>
      </c>
    </row>
    <row r="120" spans="1:10">
      <c r="A120" s="1" t="str">
        <f>"&lt;"&amp;Table2[[#This Row],[Column2]]&amp;"&gt;"</f>
        <v>&lt;time&gt;</v>
      </c>
      <c r="B120" t="s">
        <v>600</v>
      </c>
      <c r="H120" t="s">
        <v>299</v>
      </c>
    </row>
    <row r="121" spans="1:10">
      <c r="A121" s="1" t="str">
        <f>"&lt;"&amp;Table2[[#This Row],[Column2]]&amp;"&gt;"</f>
        <v>&lt;title&gt;</v>
      </c>
      <c r="B121" t="s">
        <v>333</v>
      </c>
      <c r="H121" t="s">
        <v>301</v>
      </c>
    </row>
    <row r="122" spans="1:10">
      <c r="A122" s="1" t="str">
        <f>"&lt;"&amp;Table2[[#This Row],[Column2]]&amp;"&gt;"</f>
        <v>&lt;tr&gt;</v>
      </c>
      <c r="B122" t="s">
        <v>601</v>
      </c>
      <c r="H122" t="s">
        <v>303</v>
      </c>
    </row>
    <row r="123" spans="1:10">
      <c r="A123" s="1" t="str">
        <f>"&lt;"&amp;Table2[[#This Row],[Column2]]&amp;"&gt;"</f>
        <v>&lt;track&gt;</v>
      </c>
      <c r="B123" t="s">
        <v>602</v>
      </c>
      <c r="H123" t="s">
        <v>603</v>
      </c>
    </row>
    <row r="124" spans="1:10">
      <c r="A124" s="1" t="str">
        <f>"&lt;"&amp;Table2[[#This Row],[Column2]]&amp;"&gt;"</f>
        <v>&lt;u&gt;</v>
      </c>
      <c r="B124" t="s">
        <v>605</v>
      </c>
      <c r="H124" t="s">
        <v>308</v>
      </c>
    </row>
    <row r="125" spans="1:10">
      <c r="A125" s="1" t="str">
        <f>"&lt;"&amp;Table2[[#This Row],[Column2]]&amp;"&gt;"</f>
        <v>&lt;ul&gt;</v>
      </c>
      <c r="B125" t="s">
        <v>507</v>
      </c>
      <c r="D125" t="s">
        <v>325</v>
      </c>
      <c r="E125" t="s">
        <v>350</v>
      </c>
      <c r="F125" t="s">
        <v>47</v>
      </c>
      <c r="H125" t="s">
        <v>222</v>
      </c>
      <c r="I125" t="s">
        <v>508</v>
      </c>
      <c r="J125" t="s">
        <v>509</v>
      </c>
    </row>
    <row r="126" spans="1:10">
      <c r="A126" s="1" t="str">
        <f>"&lt;"&amp;Table2[[#This Row],[Column2]]&amp;"&gt;"</f>
        <v>&lt;var&gt;</v>
      </c>
      <c r="B126" t="s">
        <v>606</v>
      </c>
      <c r="H126" t="s">
        <v>311</v>
      </c>
    </row>
    <row r="127" spans="1:10">
      <c r="A127" s="1" t="str">
        <f>"&lt;"&amp;Table2[[#This Row],[Column2]]&amp;"&gt;"</f>
        <v>&lt;video&gt;</v>
      </c>
      <c r="B127" t="s">
        <v>510</v>
      </c>
      <c r="D127" t="s">
        <v>388</v>
      </c>
      <c r="E127" t="s">
        <v>350</v>
      </c>
      <c r="F127" t="s">
        <v>511</v>
      </c>
      <c r="H127" t="s">
        <v>313</v>
      </c>
      <c r="I127" t="s">
        <v>512</v>
      </c>
      <c r="J127" t="s">
        <v>513</v>
      </c>
    </row>
    <row r="128" spans="1:10">
      <c r="A128" s="1" t="str">
        <f>"&lt;"&amp;Table2[[#This Row],[Column2]]&amp;"&gt;"</f>
        <v>&lt;wbr&gt;</v>
      </c>
      <c r="B128" t="s">
        <v>514</v>
      </c>
      <c r="D128" t="s">
        <v>323</v>
      </c>
      <c r="E128" t="s">
        <v>350</v>
      </c>
      <c r="F128" t="s">
        <v>515</v>
      </c>
      <c r="H128" t="s">
        <v>315</v>
      </c>
      <c r="I128" t="s">
        <v>516</v>
      </c>
      <c r="J128" t="s">
        <v>517</v>
      </c>
    </row>
    <row r="129" spans="1:1">
      <c r="A129" s="7" t="s">
        <v>3080</v>
      </c>
    </row>
  </sheetData>
  <phoneticPr fontId="3" type="noConversion"/>
  <conditionalFormatting sqref="A2:A129">
    <cfRule type="duplicateValues" dxfId="2" priority="5"/>
  </conditionalFormatting>
  <hyperlinks>
    <hyperlink ref="I17" r:id="rId1" location="the-abbr-element" xr:uid="{3C1FAF64-B99F-B54D-9E24-F42F5F3876BD}"/>
    <hyperlink ref="J17" r:id="rId2" xr:uid="{A482A280-ABB0-1841-99D6-31939E4BCEF9}"/>
  </hyperlinks>
  <pageMargins left="0.7" right="0.7" top="0.75" bottom="0.75" header="0.3" footer="0.3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63FA-F483-0245-B870-F6016DCBF0CA}">
  <dimension ref="A1:C47"/>
  <sheetViews>
    <sheetView showGridLines="0" topLeftCell="A2" workbookViewId="0">
      <selection activeCell="G28" sqref="G28"/>
    </sheetView>
  </sheetViews>
  <sheetFormatPr baseColWidth="10" defaultRowHeight="16"/>
  <cols>
    <col min="1" max="1" width="17.5" bestFit="1" customWidth="1"/>
    <col min="2" max="2" width="16.83203125" bestFit="1" customWidth="1"/>
    <col min="3" max="3" width="33.33203125" bestFit="1" customWidth="1"/>
    <col min="4" max="8" width="11" customWidth="1"/>
  </cols>
  <sheetData>
    <row r="1" spans="1:3">
      <c r="A1" t="s">
        <v>99</v>
      </c>
      <c r="B1" t="s">
        <v>101</v>
      </c>
      <c r="C1" t="s">
        <v>316</v>
      </c>
    </row>
    <row r="2" spans="1:3">
      <c r="A2" s="1" t="str">
        <f>":"&amp;Table4[[#This Row],[Column2]]</f>
        <v>:active</v>
      </c>
      <c r="B2" t="s">
        <v>350</v>
      </c>
      <c r="C2" t="s">
        <v>3023</v>
      </c>
    </row>
    <row r="3" spans="1:3">
      <c r="A3" s="1" t="str">
        <f>":"&amp;Table4[[#This Row],[Column2]]</f>
        <v>:checked</v>
      </c>
      <c r="B3" t="s">
        <v>3041</v>
      </c>
      <c r="C3" t="s">
        <v>3030</v>
      </c>
    </row>
    <row r="4" spans="1:3">
      <c r="A4" s="1" t="str">
        <f>":"&amp;Table4[[#This Row],[Column2]]</f>
        <v>:default</v>
      </c>
      <c r="B4" t="s">
        <v>3004</v>
      </c>
      <c r="C4" t="s">
        <v>3076</v>
      </c>
    </row>
    <row r="5" spans="1:3" ht="17">
      <c r="A5" s="1" t="str">
        <f>":"&amp;Table4[[#This Row],[Column2]]</f>
        <v>:dir()</v>
      </c>
      <c r="B5" s="8" t="s">
        <v>3065</v>
      </c>
      <c r="C5" t="s">
        <v>3059</v>
      </c>
    </row>
    <row r="6" spans="1:3">
      <c r="A6" s="1" t="str">
        <f>":"&amp;Table4[[#This Row],[Column2]]</f>
        <v>:disabled</v>
      </c>
      <c r="B6" t="s">
        <v>3032</v>
      </c>
      <c r="C6" t="s">
        <v>3030</v>
      </c>
    </row>
    <row r="7" spans="1:3">
      <c r="A7" s="1" t="str">
        <f>":"&amp;Table4[[#This Row],[Column2]]</f>
        <v>:empty</v>
      </c>
      <c r="B7" t="s">
        <v>3056</v>
      </c>
      <c r="C7" t="s">
        <v>3055</v>
      </c>
    </row>
    <row r="8" spans="1:3">
      <c r="A8" s="1" t="str">
        <f>":"&amp;Table4[[#This Row],[Column2]]</f>
        <v>:enabled</v>
      </c>
      <c r="B8" t="s">
        <v>3031</v>
      </c>
      <c r="C8" t="s">
        <v>3030</v>
      </c>
    </row>
    <row r="9" spans="1:3">
      <c r="A9" s="1" t="str">
        <f>":"&amp;Table4[[#This Row],[Column2]]</f>
        <v>:first-child</v>
      </c>
      <c r="B9" t="s">
        <v>3044</v>
      </c>
      <c r="C9" t="s">
        <v>3045</v>
      </c>
    </row>
    <row r="10" spans="1:3">
      <c r="A10" s="1" t="str">
        <f>":"&amp;Table4[[#This Row],[Column2]]</f>
        <v>:first-of-type</v>
      </c>
      <c r="B10" t="s">
        <v>3050</v>
      </c>
      <c r="C10" t="s">
        <v>3045</v>
      </c>
    </row>
    <row r="11" spans="1:3">
      <c r="A11" s="1" t="str">
        <f>":"&amp;Table4[[#This Row],[Column2]]</f>
        <v>:focus</v>
      </c>
      <c r="B11" t="s">
        <v>3020</v>
      </c>
      <c r="C11" t="s">
        <v>3023</v>
      </c>
    </row>
    <row r="12" spans="1:3">
      <c r="A12" s="1" t="str">
        <f>":"&amp;Table4[[#This Row],[Column2]]</f>
        <v>:focus-visible</v>
      </c>
      <c r="B12" t="s">
        <v>3021</v>
      </c>
      <c r="C12" t="s">
        <v>3023</v>
      </c>
    </row>
    <row r="13" spans="1:3">
      <c r="A13" s="1" t="str">
        <f>":"&amp;Table4[[#This Row],[Column2]]</f>
        <v>:focus-within</v>
      </c>
      <c r="B13" t="s">
        <v>3022</v>
      </c>
      <c r="C13" t="s">
        <v>3023</v>
      </c>
    </row>
    <row r="14" spans="1:3">
      <c r="A14" s="1" t="str">
        <f>":"&amp;Table4[[#This Row],[Column2]]</f>
        <v>:fullscreen</v>
      </c>
      <c r="B14" t="s">
        <v>3074</v>
      </c>
      <c r="C14" t="s">
        <v>3073</v>
      </c>
    </row>
    <row r="15" spans="1:3">
      <c r="A15" s="1" t="str">
        <f>":"&amp;Table4[[#This Row],[Column2]]</f>
        <v>:has()</v>
      </c>
      <c r="B15" t="s">
        <v>3064</v>
      </c>
      <c r="C15" t="s">
        <v>3058</v>
      </c>
    </row>
    <row r="16" spans="1:3">
      <c r="A16" s="1" t="str">
        <f>":"&amp;Table4[[#This Row],[Column2]]</f>
        <v>:host</v>
      </c>
      <c r="B16" t="s">
        <v>3070</v>
      </c>
      <c r="C16" t="s">
        <v>3069</v>
      </c>
    </row>
    <row r="17" spans="1:3">
      <c r="A17" s="1" t="str">
        <f>":"&amp;Table4[[#This Row],[Column2]]</f>
        <v>:host-context()</v>
      </c>
      <c r="B17" t="s">
        <v>3072</v>
      </c>
      <c r="C17" t="s">
        <v>3069</v>
      </c>
    </row>
    <row r="18" spans="1:3">
      <c r="A18" s="1" t="str">
        <f>":"&amp;Table4[[#This Row],[Column2]]</f>
        <v>:host()</v>
      </c>
      <c r="B18" t="s">
        <v>3071</v>
      </c>
      <c r="C18" t="s">
        <v>3069</v>
      </c>
    </row>
    <row r="19" spans="1:3">
      <c r="A19" s="1" t="str">
        <f>":"&amp;Table4[[#This Row],[Column2]]</f>
        <v>:hover</v>
      </c>
      <c r="B19" t="s">
        <v>3019</v>
      </c>
      <c r="C19" t="s">
        <v>3023</v>
      </c>
    </row>
    <row r="20" spans="1:3">
      <c r="A20" s="1" t="str">
        <f>":"&amp;Table4[[#This Row],[Column2]]</f>
        <v>:in-range</v>
      </c>
      <c r="B20" t="s">
        <v>3039</v>
      </c>
      <c r="C20" t="s">
        <v>3030</v>
      </c>
    </row>
    <row r="21" spans="1:3">
      <c r="A21" s="1" t="str">
        <f>":"&amp;Table4[[#This Row],[Column2]]</f>
        <v>:indeterminate</v>
      </c>
      <c r="B21" t="s">
        <v>3042</v>
      </c>
      <c r="C21" t="s">
        <v>3030</v>
      </c>
    </row>
    <row r="22" spans="1:3">
      <c r="A22" s="1" t="str">
        <f>":"&amp;Table4[[#This Row],[Column2]]</f>
        <v>:invalid</v>
      </c>
      <c r="B22" t="s">
        <v>3038</v>
      </c>
      <c r="C22" t="s">
        <v>3030</v>
      </c>
    </row>
    <row r="23" spans="1:3">
      <c r="A23" s="1" t="str">
        <f>":"&amp;Table4[[#This Row],[Column2]]</f>
        <v>:is()</v>
      </c>
      <c r="B23" t="s">
        <v>3062</v>
      </c>
      <c r="C23" t="s">
        <v>3058</v>
      </c>
    </row>
    <row r="24" spans="1:3">
      <c r="A24" s="1" t="str">
        <f>":"&amp;Table4[[#This Row],[Column2]]</f>
        <v>:lang()</v>
      </c>
      <c r="B24" t="s">
        <v>3066</v>
      </c>
      <c r="C24" t="s">
        <v>3059</v>
      </c>
    </row>
    <row r="25" spans="1:3">
      <c r="A25" s="1" t="str">
        <f>":"&amp;Table4[[#This Row],[Column2]]</f>
        <v>:last-child</v>
      </c>
      <c r="B25" t="s">
        <v>3046</v>
      </c>
      <c r="C25" t="s">
        <v>3045</v>
      </c>
    </row>
    <row r="26" spans="1:3">
      <c r="A26" s="1" t="str">
        <f>":"&amp;Table4[[#This Row],[Column2]]</f>
        <v>:last-of-type</v>
      </c>
      <c r="B26" t="s">
        <v>3051</v>
      </c>
      <c r="C26" t="s">
        <v>3045</v>
      </c>
    </row>
    <row r="27" spans="1:3">
      <c r="A27" s="1" t="str">
        <f>":"&amp;Table4[[#This Row],[Column2]]</f>
        <v>:link</v>
      </c>
      <c r="B27" t="s">
        <v>477</v>
      </c>
      <c r="C27" t="s">
        <v>3023</v>
      </c>
    </row>
    <row r="28" spans="1:3">
      <c r="A28" s="1" t="str">
        <f>":"&amp;Table4[[#This Row],[Column2]]</f>
        <v>:not()</v>
      </c>
      <c r="B28" t="s">
        <v>3061</v>
      </c>
      <c r="C28" t="s">
        <v>3058</v>
      </c>
    </row>
    <row r="29" spans="1:3">
      <c r="A29" s="1" t="str">
        <f>":"&amp;Table4[[#This Row],[Column2]]</f>
        <v>:nth-child()</v>
      </c>
      <c r="B29" t="s">
        <v>3048</v>
      </c>
      <c r="C29" t="s">
        <v>3045</v>
      </c>
    </row>
    <row r="30" spans="1:3">
      <c r="A30" s="1" t="str">
        <f>":"&amp;Table4[[#This Row],[Column2]]</f>
        <v>:nth-last-child()</v>
      </c>
      <c r="B30" t="s">
        <v>3049</v>
      </c>
      <c r="C30" t="s">
        <v>3045</v>
      </c>
    </row>
    <row r="31" spans="1:3">
      <c r="A31" s="1" t="str">
        <f>":"&amp;Table4[[#This Row],[Column2]]</f>
        <v>:nth-last-of-type()</v>
      </c>
      <c r="B31" t="s">
        <v>3054</v>
      </c>
      <c r="C31" t="s">
        <v>3045</v>
      </c>
    </row>
    <row r="32" spans="1:3">
      <c r="A32" s="1" t="str">
        <f>":"&amp;Table4[[#This Row],[Column2]]</f>
        <v>:nth-of-type()</v>
      </c>
      <c r="B32" t="s">
        <v>3053</v>
      </c>
      <c r="C32" t="s">
        <v>3045</v>
      </c>
    </row>
    <row r="33" spans="1:3">
      <c r="A33" s="1" t="str">
        <f>":"&amp;Table4[[#This Row],[Column2]]</f>
        <v>:only-child</v>
      </c>
      <c r="B33" t="s">
        <v>3047</v>
      </c>
      <c r="C33" t="s">
        <v>3045</v>
      </c>
    </row>
    <row r="34" spans="1:3">
      <c r="A34" s="1" t="str">
        <f>":"&amp;Table4[[#This Row],[Column2]]</f>
        <v>:only-of-type</v>
      </c>
      <c r="B34" t="s">
        <v>3052</v>
      </c>
      <c r="C34" t="s">
        <v>3045</v>
      </c>
    </row>
    <row r="35" spans="1:3">
      <c r="A35" s="1" t="str">
        <f>":"&amp;Table4[[#This Row],[Column2]]</f>
        <v>:optional</v>
      </c>
      <c r="B35" t="s">
        <v>3036</v>
      </c>
      <c r="C35" t="s">
        <v>3030</v>
      </c>
    </row>
    <row r="36" spans="1:3">
      <c r="A36" s="1" t="str">
        <f>":"&amp;Table4[[#This Row],[Column2]]</f>
        <v>:out-of-range</v>
      </c>
      <c r="B36" t="s">
        <v>3040</v>
      </c>
      <c r="C36" t="s">
        <v>3030</v>
      </c>
    </row>
    <row r="37" spans="1:3">
      <c r="A37" s="1" t="str">
        <f>":"&amp;Table4[[#This Row],[Column2]]</f>
        <v>:picture-in-picture</v>
      </c>
      <c r="B37" t="s">
        <v>3075</v>
      </c>
      <c r="C37" t="s">
        <v>3073</v>
      </c>
    </row>
    <row r="38" spans="1:3">
      <c r="A38" s="1" t="str">
        <f>":"&amp;Table4[[#This Row],[Column2]]</f>
        <v>:placeholder-shown</v>
      </c>
      <c r="B38" t="s">
        <v>3043</v>
      </c>
      <c r="C38" t="s">
        <v>3030</v>
      </c>
    </row>
    <row r="39" spans="1:3">
      <c r="A39" s="1" t="str">
        <f>":"&amp;Table4[[#This Row],[Column2]]</f>
        <v>:read-only</v>
      </c>
      <c r="B39" t="s">
        <v>3033</v>
      </c>
      <c r="C39" t="s">
        <v>3030</v>
      </c>
    </row>
    <row r="40" spans="1:3">
      <c r="A40" s="1" t="str">
        <f>":"&amp;Table4[[#This Row],[Column2]]</f>
        <v>:read-write</v>
      </c>
      <c r="B40" t="s">
        <v>3034</v>
      </c>
      <c r="C40" t="s">
        <v>3030</v>
      </c>
    </row>
    <row r="41" spans="1:3">
      <c r="A41" s="1" t="str">
        <f>":"&amp;Table4[[#This Row],[Column2]]</f>
        <v>:required</v>
      </c>
      <c r="B41" t="s">
        <v>3035</v>
      </c>
      <c r="C41" t="s">
        <v>3030</v>
      </c>
    </row>
    <row r="42" spans="1:3">
      <c r="A42" s="1" t="str">
        <f>":"&amp;Table4[[#This Row],[Column2]]</f>
        <v>:root</v>
      </c>
      <c r="B42" t="s">
        <v>3057</v>
      </c>
      <c r="C42" t="s">
        <v>3055</v>
      </c>
    </row>
    <row r="43" spans="1:3">
      <c r="A43" s="1" t="str">
        <f>":"&amp;Table4[[#This Row],[Column2]]</f>
        <v>:target</v>
      </c>
      <c r="B43" t="s">
        <v>3067</v>
      </c>
      <c r="C43" t="s">
        <v>3060</v>
      </c>
    </row>
    <row r="44" spans="1:3">
      <c r="A44" s="1" t="str">
        <f>":"&amp;Table4[[#This Row],[Column2]]</f>
        <v>:target-within</v>
      </c>
      <c r="B44" t="s">
        <v>3068</v>
      </c>
      <c r="C44" t="s">
        <v>3060</v>
      </c>
    </row>
    <row r="45" spans="1:3">
      <c r="A45" s="1" t="str">
        <f>":"&amp;Table4[[#This Row],[Column2]]</f>
        <v>:valid</v>
      </c>
      <c r="B45" t="s">
        <v>3037</v>
      </c>
      <c r="C45" t="s">
        <v>3030</v>
      </c>
    </row>
    <row r="46" spans="1:3">
      <c r="A46" s="1" t="str">
        <f>":"&amp;Table4[[#This Row],[Column2]]</f>
        <v>:visited</v>
      </c>
      <c r="B46" t="s">
        <v>3018</v>
      </c>
      <c r="C46" t="s">
        <v>3023</v>
      </c>
    </row>
    <row r="47" spans="1:3">
      <c r="A47" s="1" t="str">
        <f>":"&amp;Table4[[#This Row],[Column2]]</f>
        <v>:where()</v>
      </c>
      <c r="B47" t="s">
        <v>3063</v>
      </c>
      <c r="C47" t="s">
        <v>3058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stylescape</vt:lpstr>
      <vt:lpstr>primer</vt:lpstr>
      <vt:lpstr>primer clean</vt:lpstr>
      <vt:lpstr>daisy</vt:lpstr>
      <vt:lpstr>bulma</vt:lpstr>
      <vt:lpstr>bootstrap</vt:lpstr>
      <vt:lpstr>Sheet2</vt:lpstr>
      <vt:lpstr>tailwind</vt:lpstr>
      <vt:lpstr>word</vt:lpstr>
      <vt:lpstr>html_tags</vt:lpstr>
      <vt:lpstr>html_pseudo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Bono Bot</dc:creator>
  <cp:lastModifiedBy>Bono Bot</cp:lastModifiedBy>
  <dcterms:created xsi:type="dcterms:W3CDTF">2026-01-31T12:50:36Z</dcterms:created>
  <dcterms:modified xsi:type="dcterms:W3CDTF">2026-02-02T02:39:46Z</dcterms:modified>
</cp:coreProperties>
</file>